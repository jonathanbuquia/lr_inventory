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05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86" documentId="13_ncr:1_{BFB59F67-F0DC-4675-A682-EB0734A8026A}" xr6:coauthVersionLast="47" xr6:coauthVersionMax="47" xr10:uidLastSave="{FC0C63A9-E4C2-4187-AABE-A45F2945DF28}"/>
  <bookViews>
    <workbookView xWindow="-108" yWindow="-108" windowWidth="23256" windowHeight="12456" firstSheet="1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 l="1"/>
  <c r="N3" i="4"/>
  <c r="N36" i="5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<sst xmlns="http://schemas.openxmlformats.org/spreadsheetml/2006/main" count="401" uniqueCount="91">
  <si>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</si>
  <si>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</si>
  <si>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</si>
  <si>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</si>
  <si>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</si>
  <si>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</si>
  <si>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</si>
  <si>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</si>
  <si>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</si>
  <si>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</si>
  <si>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</si>
  <si>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</si>
  <si>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</si>
  <si>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</si>
  <si>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</si>
  <si>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</si>
  <si>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</si>
  <si>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</si>
  <si>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</si>
  <si>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</si>
  <si>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</si>
  <si>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</si>
  <si>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</si>
  <si>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</si>
  <si>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</si>
  <si>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</si>
  <si>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</si>
  <si>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</si>
  <si>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</si>
  <si>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</si>
  <si>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</si>
  <si>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</si>
  <si>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</si>
  <si>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</si>
  <si>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</si>
  <si>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</si>
  <si>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</si>
  <si>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</si>
  <si>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</si>
  <si>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</si>
  <si>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</si>
  <si>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</si>
  <si>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</si>
  <si>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</si>
  <si>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</si>
  <si>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</si>
  <si>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</si>
  <si>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</si>
  <si>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</si>
  <si>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</si>
  <si>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</si>
  <si>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</si>
  <si>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</si>
  <si>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</si>
  <si>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</si>
  <si>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</si>
  <si>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</si>
  <si>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</si>
  <si>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</si>
  <si>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</si>
  <si>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</si>
  <si>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</si>
  <si>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>RO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</si>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</sst>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95" activePane="topRight" state="frozen"/>
      <selection pane="topRight" activeCell="E98" sqref="E98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>
        <v>352</v>
      </c>
      <c r="D51" s="10">
        <v>364</v>
      </c>
      <c r="E51" s="10">
        <v>2025</v>
      </c>
      <c r="F51" s="12"/>
      <c r="G51" s="3">
        <f t="shared" ref="G51:G59" si="10">IF((C51-D51)&lt;0,0,C51-D51)</f>
        <v>0</v>
      </c>
      <c r="H51" s="4">
        <f t="shared" ref="H51:H59" si="11">IF((D51-C51)&lt;0,0,D51-C51)</f>
        <v>12</v>
      </c>
    </row>
    <row r="52" spans="1:8" ht="27.75" customHeight="1">
      <c r="A52" s="10">
        <v>7</v>
      </c>
      <c r="B52" s="11" t="s">
        <v>15</v>
      </c>
      <c r="C52" s="10">
        <v>352</v>
      </c>
      <c r="D52" s="10">
        <v>0</v>
      </c>
      <c r="E52" s="10"/>
      <c r="F52" s="12"/>
      <c r="G52" s="3">
        <f t="shared" si="10"/>
        <v>352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>
        <v>352</v>
      </c>
      <c r="D53" s="10">
        <v>364</v>
      </c>
      <c r="E53" s="10">
        <v>2024</v>
      </c>
      <c r="F53" s="12"/>
      <c r="G53" s="3">
        <f t="shared" si="10"/>
        <v>0</v>
      </c>
      <c r="H53" s="4">
        <f t="shared" si="11"/>
        <v>12</v>
      </c>
    </row>
    <row r="54" spans="1:8" ht="27.75" customHeight="1">
      <c r="A54" s="10">
        <v>7</v>
      </c>
      <c r="B54" s="11" t="s">
        <v>20</v>
      </c>
      <c r="C54" s="10">
        <v>352</v>
      </c>
      <c r="D54" s="10">
        <v>0</v>
      </c>
      <c r="E54" s="10"/>
      <c r="F54" s="12"/>
      <c r="G54" s="3">
        <f t="shared" si="10"/>
        <v>352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>
        <v>352</v>
      </c>
      <c r="D55" s="10">
        <v>364</v>
      </c>
      <c r="E55" s="10">
        <v>2025</v>
      </c>
      <c r="F55" s="12"/>
      <c r="G55" s="3">
        <f t="shared" si="10"/>
        <v>0</v>
      </c>
      <c r="H55" s="4">
        <f t="shared" si="11"/>
        <v>12</v>
      </c>
    </row>
    <row r="56" spans="1:8" ht="27.75" customHeight="1">
      <c r="A56" s="10">
        <v>7</v>
      </c>
      <c r="B56" s="11" t="s">
        <v>13</v>
      </c>
      <c r="C56" s="10">
        <v>352</v>
      </c>
      <c r="D56" s="10">
        <v>364</v>
      </c>
      <c r="E56" s="10">
        <v>2024</v>
      </c>
      <c r="F56" s="12"/>
      <c r="G56" s="3">
        <f t="shared" si="10"/>
        <v>0</v>
      </c>
      <c r="H56" s="4">
        <f t="shared" si="11"/>
        <v>12</v>
      </c>
    </row>
    <row r="57" spans="1:8" ht="27.75" customHeight="1">
      <c r="A57" s="10">
        <v>7</v>
      </c>
      <c r="B57" s="11" t="s">
        <v>17</v>
      </c>
      <c r="C57" s="10">
        <v>352</v>
      </c>
      <c r="D57" s="10">
        <v>364</v>
      </c>
      <c r="E57" s="10">
        <v>2025</v>
      </c>
      <c r="F57" s="12"/>
      <c r="G57" s="3">
        <f t="shared" si="10"/>
        <v>0</v>
      </c>
      <c r="H57" s="4">
        <f t="shared" si="11"/>
        <v>12</v>
      </c>
    </row>
    <row r="58" spans="1:8" ht="27.75" customHeight="1">
      <c r="A58" s="10">
        <v>7</v>
      </c>
      <c r="B58" s="11" t="s">
        <v>21</v>
      </c>
      <c r="C58" s="10">
        <v>352</v>
      </c>
      <c r="D58" s="10">
        <v>364</v>
      </c>
      <c r="E58" s="10">
        <v>2025</v>
      </c>
      <c r="F58" s="12"/>
      <c r="G58" s="3">
        <f t="shared" si="10"/>
        <v>0</v>
      </c>
      <c r="H58" s="4">
        <f t="shared" si="11"/>
        <v>12</v>
      </c>
    </row>
    <row r="59" spans="1:8" ht="27.75" customHeight="1">
      <c r="A59" s="10">
        <v>7</v>
      </c>
      <c r="B59" s="11" t="s">
        <v>19</v>
      </c>
      <c r="C59" s="10">
        <v>352</v>
      </c>
      <c r="D59" s="10">
        <v>364</v>
      </c>
      <c r="E59" s="10">
        <v>2025</v>
      </c>
      <c r="F59" s="12"/>
      <c r="G59" s="3">
        <f t="shared" si="10"/>
        <v>0</v>
      </c>
      <c r="H59" s="4">
        <f t="shared" si="11"/>
        <v>12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>
        <v>311</v>
      </c>
      <c r="D61" s="10">
        <v>0</v>
      </c>
      <c r="E61" s="10"/>
      <c r="F61" s="12"/>
      <c r="G61" s="3">
        <f t="shared" ref="G61:G69" si="12">IF((C61-D61)&lt;0,0,C61-D61)</f>
        <v>311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>
        <v>311</v>
      </c>
      <c r="D62" s="10">
        <v>0</v>
      </c>
      <c r="E62" s="10"/>
      <c r="F62" s="12"/>
      <c r="G62" s="3">
        <f t="shared" si="12"/>
        <v>311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>
        <v>311</v>
      </c>
      <c r="D63" s="10">
        <v>304</v>
      </c>
      <c r="E63" s="10">
        <v>2025</v>
      </c>
      <c r="F63" s="12"/>
      <c r="G63" s="3">
        <f t="shared" si="12"/>
        <v>7</v>
      </c>
      <c r="H63" s="4">
        <f t="shared" si="13"/>
        <v>0</v>
      </c>
    </row>
    <row r="64" spans="1:8" ht="27.75" customHeight="1">
      <c r="A64" s="10">
        <v>8</v>
      </c>
      <c r="B64" s="11" t="s">
        <v>20</v>
      </c>
      <c r="C64" s="10">
        <v>311</v>
      </c>
      <c r="D64" s="10">
        <v>304</v>
      </c>
      <c r="E64" s="10">
        <v>2025</v>
      </c>
      <c r="F64" s="12"/>
      <c r="G64" s="3">
        <f t="shared" si="12"/>
        <v>7</v>
      </c>
      <c r="H64" s="4">
        <f t="shared" si="13"/>
        <v>0</v>
      </c>
    </row>
    <row r="65" spans="1:8" ht="27.75" customHeight="1">
      <c r="A65" s="10">
        <v>8</v>
      </c>
      <c r="B65" s="11" t="s">
        <v>22</v>
      </c>
      <c r="C65" s="10">
        <v>311</v>
      </c>
      <c r="D65" s="10">
        <v>0</v>
      </c>
      <c r="E65" s="10"/>
      <c r="F65" s="12"/>
      <c r="G65" s="3">
        <f t="shared" si="12"/>
        <v>311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>
        <v>311</v>
      </c>
      <c r="D66" s="10">
        <v>0</v>
      </c>
      <c r="E66" s="10"/>
      <c r="F66" s="12"/>
      <c r="G66" s="3">
        <f t="shared" si="12"/>
        <v>311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>
        <v>311</v>
      </c>
      <c r="D67" s="10">
        <v>0</v>
      </c>
      <c r="E67" s="10"/>
      <c r="F67" s="12"/>
      <c r="G67" s="3">
        <f t="shared" si="12"/>
        <v>311</v>
      </c>
      <c r="H67" s="4">
        <f t="shared" si="13"/>
        <v>0</v>
      </c>
    </row>
    <row r="68" spans="1:8" ht="27.75" customHeight="1">
      <c r="A68" s="10">
        <v>8</v>
      </c>
      <c r="B68" s="11" t="s">
        <v>21</v>
      </c>
      <c r="C68" s="10">
        <v>311</v>
      </c>
      <c r="D68" s="10">
        <v>0</v>
      </c>
      <c r="E68" s="10"/>
      <c r="F68" s="12"/>
      <c r="G68" s="3">
        <f t="shared" si="12"/>
        <v>311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>
        <v>311</v>
      </c>
      <c r="D69" s="10">
        <v>0</v>
      </c>
      <c r="E69" s="10"/>
      <c r="F69" s="12"/>
      <c r="G69" s="3">
        <f t="shared" si="12"/>
        <v>311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>
        <v>250</v>
      </c>
      <c r="D71" s="10">
        <v>0</v>
      </c>
      <c r="E71" s="10"/>
      <c r="F71" s="12"/>
      <c r="G71" s="3">
        <f t="shared" ref="G71:G79" si="14">IF((C71-D71)&lt;0,0,C71-D71)</f>
        <v>250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>
        <v>250</v>
      </c>
      <c r="D72" s="10">
        <v>0</v>
      </c>
      <c r="E72" s="10"/>
      <c r="F72" s="12"/>
      <c r="G72" s="3">
        <f t="shared" si="14"/>
        <v>250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>
        <v>250</v>
      </c>
      <c r="D73" s="10">
        <v>0</v>
      </c>
      <c r="E73" s="10"/>
      <c r="F73" s="12"/>
      <c r="G73" s="3">
        <f t="shared" si="14"/>
        <v>250</v>
      </c>
      <c r="H73" s="4">
        <f t="shared" si="15"/>
        <v>0</v>
      </c>
    </row>
    <row r="74" spans="1:8" ht="27.75" customHeight="1">
      <c r="A74" s="10">
        <v>9</v>
      </c>
      <c r="B74" s="11" t="s">
        <v>20</v>
      </c>
      <c r="C74" s="10">
        <v>250</v>
      </c>
      <c r="D74" s="10">
        <v>0</v>
      </c>
      <c r="E74" s="10"/>
      <c r="F74" s="12"/>
      <c r="G74" s="3">
        <f t="shared" si="14"/>
        <v>250</v>
      </c>
      <c r="H74" s="4">
        <f t="shared" si="15"/>
        <v>0</v>
      </c>
    </row>
    <row r="75" spans="1:8" ht="27.75" customHeight="1">
      <c r="A75" s="10">
        <v>9</v>
      </c>
      <c r="B75" s="11" t="s">
        <v>22</v>
      </c>
      <c r="C75" s="10">
        <v>250</v>
      </c>
      <c r="D75" s="10">
        <v>0</v>
      </c>
      <c r="E75" s="10"/>
      <c r="F75" s="12"/>
      <c r="G75" s="3">
        <f t="shared" si="14"/>
        <v>250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>
        <v>250</v>
      </c>
      <c r="D76" s="10">
        <v>0</v>
      </c>
      <c r="E76" s="10"/>
      <c r="F76" s="12"/>
      <c r="G76" s="3">
        <f t="shared" si="14"/>
        <v>250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>
        <v>250</v>
      </c>
      <c r="D77" s="10">
        <v>0</v>
      </c>
      <c r="E77" s="10"/>
      <c r="F77" s="12"/>
      <c r="G77" s="3">
        <f t="shared" si="14"/>
        <v>250</v>
      </c>
      <c r="H77" s="4">
        <f t="shared" si="15"/>
        <v>0</v>
      </c>
    </row>
    <row r="78" spans="1:8" ht="27.75" customHeight="1">
      <c r="A78" s="10">
        <v>9</v>
      </c>
      <c r="B78" s="11" t="s">
        <v>21</v>
      </c>
      <c r="C78" s="10">
        <v>250</v>
      </c>
      <c r="D78" s="10">
        <v>0</v>
      </c>
      <c r="E78" s="10"/>
      <c r="F78" s="12"/>
      <c r="G78" s="3">
        <f t="shared" si="14"/>
        <v>250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>
        <v>250</v>
      </c>
      <c r="D79" s="10">
        <v>0</v>
      </c>
      <c r="E79" s="10"/>
      <c r="F79" s="12"/>
      <c r="G79" s="3">
        <f t="shared" si="14"/>
        <v>250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>
        <v>260</v>
      </c>
      <c r="D81" s="10">
        <v>0</v>
      </c>
      <c r="E81" s="10"/>
      <c r="F81" s="12"/>
      <c r="G81" s="3">
        <f t="shared" ref="G81:G89" si="16">IF((C81-D81)&lt;0,0,C81-D81)</f>
        <v>260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>
        <v>260</v>
      </c>
      <c r="D82" s="10">
        <v>0</v>
      </c>
      <c r="E82" s="10"/>
      <c r="F82" s="12"/>
      <c r="G82" s="3">
        <f t="shared" si="16"/>
        <v>260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>
        <v>260</v>
      </c>
      <c r="D83" s="10">
        <v>0</v>
      </c>
      <c r="E83" s="10"/>
      <c r="F83" s="12"/>
      <c r="G83" s="3">
        <f t="shared" si="16"/>
        <v>260</v>
      </c>
      <c r="H83" s="4">
        <f t="shared" si="17"/>
        <v>0</v>
      </c>
    </row>
    <row r="84" spans="1:8" ht="27.75" customHeight="1">
      <c r="A84" s="10">
        <v>10</v>
      </c>
      <c r="B84" s="11" t="s">
        <v>20</v>
      </c>
      <c r="C84" s="10">
        <v>260</v>
      </c>
      <c r="D84" s="10">
        <v>0</v>
      </c>
      <c r="E84" s="10"/>
      <c r="F84" s="12"/>
      <c r="G84" s="3">
        <f t="shared" si="16"/>
        <v>260</v>
      </c>
      <c r="H84" s="4">
        <f t="shared" si="17"/>
        <v>0</v>
      </c>
    </row>
    <row r="85" spans="1:8" ht="27.75" customHeight="1">
      <c r="A85" s="10">
        <v>10</v>
      </c>
      <c r="B85" s="11" t="s">
        <v>22</v>
      </c>
      <c r="C85" s="10">
        <v>260</v>
      </c>
      <c r="D85" s="10">
        <v>0</v>
      </c>
      <c r="E85" s="10"/>
      <c r="F85" s="12"/>
      <c r="G85" s="3">
        <f t="shared" si="16"/>
        <v>260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>
        <v>260</v>
      </c>
      <c r="D86" s="10">
        <v>0</v>
      </c>
      <c r="E86" s="10"/>
      <c r="F86" s="12"/>
      <c r="G86" s="3">
        <f t="shared" si="16"/>
        <v>260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>
        <v>260</v>
      </c>
      <c r="D87" s="10">
        <v>0</v>
      </c>
      <c r="E87" s="10"/>
      <c r="F87" s="12"/>
      <c r="G87" s="3">
        <f t="shared" si="16"/>
        <v>260</v>
      </c>
      <c r="H87" s="4">
        <f t="shared" si="17"/>
        <v>0</v>
      </c>
    </row>
    <row r="88" spans="1:8" ht="27.75" customHeight="1">
      <c r="A88" s="10">
        <v>10</v>
      </c>
      <c r="B88" s="11" t="s">
        <v>21</v>
      </c>
      <c r="C88" s="10">
        <v>260</v>
      </c>
      <c r="D88" s="10">
        <v>0</v>
      </c>
      <c r="E88" s="10"/>
      <c r="F88" s="12"/>
      <c r="G88" s="3">
        <f t="shared" si="16"/>
        <v>260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>
        <v>260</v>
      </c>
      <c r="D89" s="10">
        <v>0</v>
      </c>
      <c r="E89" s="10"/>
      <c r="F89" s="12"/>
      <c r="G89" s="3">
        <f t="shared" si="16"/>
        <v>260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23</v>
      </c>
      <c r="B91" s="9" t="s">
        <v>24</v>
      </c>
      <c r="C91" s="1">
        <v>204</v>
      </c>
      <c r="D91" s="1">
        <v>0</v>
      </c>
      <c r="E91" s="1"/>
      <c r="F91" s="5"/>
      <c r="G91" s="3">
        <f t="shared" ref="G91:G98" si="18">IF((C91-D91)&lt;0,0,C91-D91)</f>
        <v>204</v>
      </c>
      <c r="H91" s="4">
        <f t="shared" ref="H91:H98" si="19">IF((D91-C91)&lt;0,0,D91-C91)</f>
        <v>0</v>
      </c>
    </row>
    <row r="92" spans="1:8" ht="27.75" customHeight="1">
      <c r="A92" s="1" t="s">
        <v>23</v>
      </c>
      <c r="B92" s="9" t="s">
        <v>25</v>
      </c>
      <c r="C92" s="1">
        <v>204</v>
      </c>
      <c r="D92" s="1">
        <v>0</v>
      </c>
      <c r="E92" s="1"/>
      <c r="F92" s="5"/>
      <c r="G92" s="3">
        <f t="shared" si="18"/>
        <v>204</v>
      </c>
      <c r="H92" s="4">
        <f t="shared" si="19"/>
        <v>0</v>
      </c>
    </row>
    <row r="93" spans="1:8" ht="27.75" customHeight="1">
      <c r="A93" s="1" t="s">
        <v>23</v>
      </c>
      <c r="B93" s="9" t="s">
        <v>26</v>
      </c>
      <c r="C93" s="1">
        <v>204</v>
      </c>
      <c r="D93" s="1">
        <v>0</v>
      </c>
      <c r="E93" s="1"/>
      <c r="F93" s="5"/>
      <c r="G93" s="3">
        <f t="shared" si="18"/>
        <v>204</v>
      </c>
      <c r="H93" s="4">
        <f t="shared" si="19"/>
        <v>0</v>
      </c>
    </row>
    <row r="94" spans="1:8" ht="27.75" customHeight="1">
      <c r="A94" s="1" t="s">
        <v>23</v>
      </c>
      <c r="B94" s="9" t="s">
        <v>27</v>
      </c>
      <c r="C94" s="1">
        <v>204</v>
      </c>
      <c r="D94" s="1">
        <v>0</v>
      </c>
      <c r="E94" s="1"/>
      <c r="F94" s="5"/>
      <c r="G94" s="3">
        <f t="shared" si="18"/>
        <v>204</v>
      </c>
      <c r="H94" s="4">
        <f t="shared" si="19"/>
        <v>0</v>
      </c>
    </row>
    <row r="95" spans="1:8" ht="40.5" customHeight="1">
      <c r="A95" s="1" t="s">
        <v>23</v>
      </c>
      <c r="B95" s="9" t="s">
        <v>28</v>
      </c>
      <c r="C95" s="1">
        <v>204</v>
      </c>
      <c r="D95" s="1">
        <v>0</v>
      </c>
      <c r="E95" s="1"/>
      <c r="F95" s="5"/>
      <c r="G95" s="3">
        <f t="shared" si="18"/>
        <v>204</v>
      </c>
      <c r="H95" s="4">
        <f t="shared" si="19"/>
        <v>0</v>
      </c>
    </row>
    <row r="96" spans="1:8" ht="38.25" customHeight="1">
      <c r="A96" s="1" t="s">
        <v>23</v>
      </c>
      <c r="B96" s="9" t="s">
        <v>29</v>
      </c>
      <c r="C96" s="1">
        <v>204</v>
      </c>
      <c r="D96" s="1">
        <v>0</v>
      </c>
      <c r="E96" s="1"/>
      <c r="F96" s="5"/>
      <c r="G96" s="3">
        <f t="shared" si="18"/>
        <v>204</v>
      </c>
      <c r="H96" s="4">
        <f t="shared" si="19"/>
        <v>0</v>
      </c>
    </row>
    <row r="97" spans="1:8" ht="27.75" customHeight="1">
      <c r="A97" s="1" t="s">
        <v>23</v>
      </c>
      <c r="B97" s="9" t="s">
        <v>30</v>
      </c>
      <c r="C97" s="1">
        <v>204</v>
      </c>
      <c r="D97" s="1">
        <v>0</v>
      </c>
      <c r="E97" s="1"/>
      <c r="F97" s="5"/>
      <c r="G97" s="3">
        <f t="shared" si="18"/>
        <v>204</v>
      </c>
      <c r="H97" s="4">
        <f t="shared" si="19"/>
        <v>0</v>
      </c>
    </row>
    <row r="98" spans="1:8" ht="47.25" customHeight="1">
      <c r="A98" s="1" t="s">
        <v>23</v>
      </c>
      <c r="B98" s="9" t="s">
        <v>31</v>
      </c>
      <c r="C98" s="1">
        <v>204</v>
      </c>
      <c r="D98" s="1">
        <v>0</v>
      </c>
      <c r="E98" s="1"/>
      <c r="F98" s="5"/>
      <c r="G98" s="3">
        <f t="shared" si="18"/>
        <v>204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91:E98 E81:E89 E71:E79 E61:E69 E51:E59 E41:E49 E31:E39 E21:E29 E14:E19 E8:E12 E2:E6" xr:uid="{B46E7B13-721E-4D49-837E-C02BF9777D48}">
      <formula1>"2024,2025,2026"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E66" zoomScale="70" zoomScaleNormal="70" workbookViewId="0">
      <selection activeCell="L152" sqref="L152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32</v>
      </c>
      <c r="E1" s="42"/>
      <c r="F1" s="42"/>
      <c r="G1" s="42"/>
      <c r="H1" s="42"/>
      <c r="I1" s="42"/>
      <c r="J1" s="43" t="s">
        <v>33</v>
      </c>
      <c r="K1" s="43"/>
      <c r="L1" s="43"/>
      <c r="M1" s="43"/>
      <c r="N1" s="43"/>
      <c r="O1" s="43"/>
      <c r="P1" s="44" t="s">
        <v>34</v>
      </c>
      <c r="Q1" s="44"/>
      <c r="R1" s="44"/>
      <c r="S1" s="44"/>
      <c r="T1" s="44"/>
      <c r="U1" s="44"/>
      <c r="V1" s="45" t="s">
        <v>35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36</v>
      </c>
      <c r="E2" s="20" t="s">
        <v>37</v>
      </c>
      <c r="F2" s="21" t="s">
        <v>38</v>
      </c>
      <c r="G2" s="24" t="s">
        <v>39</v>
      </c>
      <c r="H2" s="17" t="s">
        <v>40</v>
      </c>
      <c r="I2" s="24" t="s">
        <v>41</v>
      </c>
      <c r="J2" s="22" t="s">
        <v>42</v>
      </c>
      <c r="K2" s="22" t="s">
        <v>43</v>
      </c>
      <c r="L2" s="23" t="s">
        <v>44</v>
      </c>
      <c r="M2" s="40" t="s">
        <v>45</v>
      </c>
      <c r="N2" s="40" t="s">
        <v>46</v>
      </c>
      <c r="O2" s="22" t="s">
        <v>47</v>
      </c>
      <c r="P2" s="24" t="s">
        <v>48</v>
      </c>
      <c r="Q2" s="24" t="s">
        <v>49</v>
      </c>
      <c r="R2" s="25" t="s">
        <v>50</v>
      </c>
      <c r="S2" s="17" t="s">
        <v>51</v>
      </c>
      <c r="T2" s="17" t="s">
        <v>52</v>
      </c>
      <c r="U2" s="24" t="s">
        <v>53</v>
      </c>
      <c r="V2" s="26" t="s">
        <v>54</v>
      </c>
      <c r="W2" s="26" t="s">
        <v>55</v>
      </c>
      <c r="X2" s="27" t="s">
        <v>56</v>
      </c>
      <c r="Y2" s="41" t="s">
        <v>57</v>
      </c>
      <c r="Z2" s="41" t="s">
        <v>58</v>
      </c>
      <c r="AA2" s="26" t="s">
        <v>59</v>
      </c>
    </row>
    <row r="3" spans="1:27" ht="30.6" customHeight="1">
      <c r="A3" s="39" t="s">
        <v>60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61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61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61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20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21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5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>
        <v>52</v>
      </c>
      <c r="F73" s="10">
        <v>2025</v>
      </c>
      <c r="G73" s="12" t="s">
        <v>62</v>
      </c>
      <c r="H73" s="12">
        <f t="shared" si="2"/>
        <v>0</v>
      </c>
      <c r="I73" s="12">
        <f t="shared" si="3"/>
        <v>52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5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>
        <v>52</v>
      </c>
      <c r="F74" s="10">
        <v>2025</v>
      </c>
      <c r="G74" s="12" t="s">
        <v>62</v>
      </c>
      <c r="H74" s="12">
        <f t="shared" si="2"/>
        <v>0</v>
      </c>
      <c r="I74" s="12">
        <f t="shared" si="3"/>
        <v>52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5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>
        <v>52</v>
      </c>
      <c r="F75" s="10">
        <v>2025</v>
      </c>
      <c r="G75" s="12" t="s">
        <v>62</v>
      </c>
      <c r="H75" s="12">
        <f t="shared" si="2"/>
        <v>0</v>
      </c>
      <c r="I75" s="12">
        <f t="shared" si="3"/>
        <v>52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5">
      <c r="A76" s="10">
        <v>8</v>
      </c>
      <c r="B76" s="11" t="s">
        <v>20</v>
      </c>
      <c r="C76" s="10"/>
      <c r="D76" s="12">
        <f>Table1[[#This Row],[Enrolment S.Y. 2025-2026 ]]*8</f>
        <v>0</v>
      </c>
      <c r="E76" s="12">
        <v>52</v>
      </c>
      <c r="F76" s="10">
        <v>2025</v>
      </c>
      <c r="G76" s="12" t="s">
        <v>62</v>
      </c>
      <c r="H76" s="12">
        <f t="shared" si="2"/>
        <v>0</v>
      </c>
      <c r="I76" s="12">
        <f t="shared" si="3"/>
        <v>52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5">
      <c r="A77" s="10">
        <v>8</v>
      </c>
      <c r="B77" s="11" t="s">
        <v>22</v>
      </c>
      <c r="C77" s="10"/>
      <c r="D77" s="12">
        <f>Table1[[#This Row],[Enrolment S.Y. 2025-2026 ]]*8</f>
        <v>0</v>
      </c>
      <c r="E77" s="12">
        <v>52</v>
      </c>
      <c r="F77" s="10">
        <v>2025</v>
      </c>
      <c r="G77" s="12" t="s">
        <v>62</v>
      </c>
      <c r="H77" s="12">
        <f t="shared" si="2"/>
        <v>0</v>
      </c>
      <c r="I77" s="12">
        <f t="shared" si="3"/>
        <v>52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5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>
        <v>52</v>
      </c>
      <c r="F78" s="10">
        <v>2025</v>
      </c>
      <c r="G78" s="12" t="s">
        <v>62</v>
      </c>
      <c r="H78" s="12">
        <f t="shared" ref="H78:H127" si="22">IF((D78-E78)&lt;0,0,(D78-E78))</f>
        <v>0</v>
      </c>
      <c r="I78" s="12">
        <f t="shared" ref="I78:I127" si="23">IF((E78-D78)&lt;0,0,(E78-D78))</f>
        <v>52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5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>
        <v>52</v>
      </c>
      <c r="F79" s="10">
        <v>2025</v>
      </c>
      <c r="G79" s="12" t="s">
        <v>62</v>
      </c>
      <c r="H79" s="12">
        <f t="shared" si="22"/>
        <v>0</v>
      </c>
      <c r="I79" s="12">
        <f t="shared" si="23"/>
        <v>52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5">
      <c r="A80" s="10">
        <v>8</v>
      </c>
      <c r="B80" s="11" t="s">
        <v>21</v>
      </c>
      <c r="C80" s="10"/>
      <c r="D80" s="12">
        <f>Table1[[#This Row],[Enrolment S.Y. 2025-2026 ]]*8</f>
        <v>0</v>
      </c>
      <c r="E80" s="12">
        <v>52</v>
      </c>
      <c r="F80" s="10">
        <v>2025</v>
      </c>
      <c r="G80" s="12" t="s">
        <v>62</v>
      </c>
      <c r="H80" s="12">
        <f t="shared" si="22"/>
        <v>0</v>
      </c>
      <c r="I80" s="12">
        <f t="shared" si="23"/>
        <v>52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5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>
        <v>52</v>
      </c>
      <c r="F81" s="10">
        <v>2025</v>
      </c>
      <c r="G81" s="12" t="s">
        <v>62</v>
      </c>
      <c r="H81" s="12">
        <f t="shared" si="22"/>
        <v>0</v>
      </c>
      <c r="I81" s="12">
        <f t="shared" si="23"/>
        <v>52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20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22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21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20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22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21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23</v>
      </c>
      <c r="B103" s="9" t="s">
        <v>24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23</v>
      </c>
      <c r="B104" s="9" t="s">
        <v>25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23</v>
      </c>
      <c r="B105" s="9" t="s">
        <v>26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23</v>
      </c>
      <c r="B106" s="9" t="s">
        <v>27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23</v>
      </c>
      <c r="B107" s="9" t="s">
        <v>28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23</v>
      </c>
      <c r="B108" s="9" t="s">
        <v>29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23</v>
      </c>
      <c r="B109" s="9" t="s">
        <v>30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23</v>
      </c>
      <c r="B110" s="9" t="s">
        <v>31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 D73:F81" name="LAS"/>
    <protectedRange sqref="G2:I3 M2:O2 S2:U3 Y2:AA3 G112:G127 M112:M127 S112:S127 Y112:Y127 G5:G12 M5:M12 S4:S110 Y5:Y12 G14:G21 M14:M110 M3 Y14:Y110 G23:G31 G33:G41 G43:G51 G53:G61 G63:G71 G83:G91 G93:G101 G103:G110 G73:G81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M14:M110 Y14:Y110 S4:S110 G5:G12 M5:M12 Y5:Y12 G14:G21 G23:G31 G33:G41 G43:G51 G53:G61 G63:G71 G103:G110 G83:G91 G93:G101 G73:G81" xr:uid="{5129D80C-83DF-45BE-B6AD-F21CA596CBA5}">
      <formula1>"CO,RO,SDO,LGU,SCHOOL"</formula1>
    </dataValidation>
    <dataValidation type="list" allowBlank="1" showInputMessage="1" showErrorMessage="1" sqref="F112:F127 F103:F110 F93:F101 F83:F91 F73:F81 F63:F71 F53:F61 F43:F51 F33:F41 F23:F31 F14:F21 F5:F12 L112:L128 L103:L110 L93:L101 L83:L91 L73:L81 L63:L71 L53:L61 L43:L51 L33:L41 L23:L31 L14:L21 L5:L12 R112:R127 R103:R110 R93:R101 R83:R91 R73:R81 R63:R71 R53:R61 R43:R51 R33:R41 R23:R31 R14:R21 R5:R12 X112:X127 X103:X110 X93:X101 X83:X91 X73:X81 X63:X71 X53:X61 X43:X51 X33:X41 X23:X31 X14:X21 X6:X12 X5" xr:uid="{499C3A25-C7A2-41D0-9172-6A0EC5AD4D46}">
      <formula1>"2024,2025,2026"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zoomScale="55" zoomScaleNormal="55" workbookViewId="0">
      <pane xSplit="2" topLeftCell="F64" activePane="topRight" state="frozen"/>
      <selection pane="topRight" activeCell="M167" sqref="M167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32</v>
      </c>
      <c r="E1" s="42"/>
      <c r="F1" s="42"/>
      <c r="G1" s="42"/>
      <c r="H1" s="42"/>
      <c r="I1" s="42"/>
      <c r="J1" s="43" t="s">
        <v>33</v>
      </c>
      <c r="K1" s="43"/>
      <c r="L1" s="43"/>
      <c r="M1" s="43"/>
      <c r="N1" s="43"/>
      <c r="O1" s="43"/>
      <c r="P1" s="44" t="s">
        <v>34</v>
      </c>
      <c r="Q1" s="44"/>
      <c r="R1" s="44"/>
      <c r="S1" s="44"/>
      <c r="T1" s="44"/>
      <c r="U1" s="44"/>
      <c r="V1" s="45" t="s">
        <v>35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63</v>
      </c>
      <c r="E2" s="20" t="s">
        <v>64</v>
      </c>
      <c r="F2" s="21" t="s">
        <v>65</v>
      </c>
      <c r="G2" s="24" t="s">
        <v>66</v>
      </c>
      <c r="H2" s="17" t="s">
        <v>67</v>
      </c>
      <c r="I2" s="24" t="s">
        <v>68</v>
      </c>
      <c r="J2" s="22" t="s">
        <v>69</v>
      </c>
      <c r="K2" s="22" t="s">
        <v>70</v>
      </c>
      <c r="L2" s="23" t="s">
        <v>71</v>
      </c>
      <c r="M2" s="40" t="s">
        <v>72</v>
      </c>
      <c r="N2" s="40" t="s">
        <v>73</v>
      </c>
      <c r="O2" s="22" t="s">
        <v>74</v>
      </c>
      <c r="P2" s="24" t="s">
        <v>75</v>
      </c>
      <c r="Q2" s="24" t="s">
        <v>76</v>
      </c>
      <c r="R2" s="25" t="s">
        <v>77</v>
      </c>
      <c r="S2" s="17" t="s">
        <v>78</v>
      </c>
      <c r="T2" s="17" t="s">
        <v>79</v>
      </c>
      <c r="U2" s="24" t="s">
        <v>80</v>
      </c>
      <c r="V2" s="26" t="s">
        <v>81</v>
      </c>
      <c r="W2" s="26" t="s">
        <v>82</v>
      </c>
      <c r="X2" s="27" t="s">
        <v>83</v>
      </c>
      <c r="Y2" s="41" t="s">
        <v>84</v>
      </c>
      <c r="Z2" s="41" t="s">
        <v>85</v>
      </c>
      <c r="AA2" s="26" t="s">
        <v>86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61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61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61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87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88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89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90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87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88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89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90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87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88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89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90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20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29.25" customHeight="1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87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88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21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89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90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5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5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5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5">
      <c r="A82" s="10">
        <v>8</v>
      </c>
      <c r="B82" s="11" t="s">
        <v>20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5">
      <c r="A83" s="10">
        <v>8</v>
      </c>
      <c r="B83" s="11" t="s">
        <v>22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5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5">
      <c r="A85" s="38">
        <v>8</v>
      </c>
      <c r="B85" s="11" t="s">
        <v>87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5">
      <c r="A86" s="10">
        <v>8</v>
      </c>
      <c r="B86" s="11" t="s">
        <v>88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5">
      <c r="A87" s="10">
        <v>8</v>
      </c>
      <c r="B87" s="11" t="s">
        <v>21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5">
      <c r="A88" s="38">
        <v>8</v>
      </c>
      <c r="B88" s="11" t="s">
        <v>89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5">
      <c r="A89" s="10">
        <v>8</v>
      </c>
      <c r="B89" s="11" t="s">
        <v>90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5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>
        <v>700</v>
      </c>
      <c r="X91" s="10">
        <v>2025</v>
      </c>
      <c r="Y91" s="12"/>
      <c r="Z91" s="12">
        <f t="shared" si="18"/>
        <v>0</v>
      </c>
      <c r="AA91" s="12">
        <f t="shared" si="19"/>
        <v>700</v>
      </c>
    </row>
    <row r="92" spans="1:27" ht="19.5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>
        <v>490</v>
      </c>
      <c r="L92" s="10">
        <v>2025</v>
      </c>
      <c r="M92" s="12" t="s">
        <v>62</v>
      </c>
      <c r="N92" s="12">
        <f t="shared" si="20"/>
        <v>0</v>
      </c>
      <c r="O92" s="12">
        <f t="shared" si="21"/>
        <v>490</v>
      </c>
      <c r="P92" s="12">
        <f>Table14[[#This Row],[Enrolment S.Y. 2025-2026 ]]*8</f>
        <v>0</v>
      </c>
      <c r="Q92" s="12">
        <v>350</v>
      </c>
      <c r="R92" s="10">
        <v>2025</v>
      </c>
      <c r="S92" s="12"/>
      <c r="T92" s="12">
        <f t="shared" si="16"/>
        <v>0</v>
      </c>
      <c r="U92" s="12">
        <f t="shared" si="17"/>
        <v>350</v>
      </c>
      <c r="V92" s="12">
        <f>Table14[[#This Row],[Enrolment S.Y. 2025-2026 ]]*8</f>
        <v>0</v>
      </c>
      <c r="W92" s="12">
        <v>350</v>
      </c>
      <c r="X92" s="10">
        <v>2025</v>
      </c>
      <c r="Y92" s="12"/>
      <c r="Z92" s="12">
        <f t="shared" si="18"/>
        <v>0</v>
      </c>
      <c r="AA92" s="12">
        <f t="shared" si="19"/>
        <v>350</v>
      </c>
    </row>
    <row r="93" spans="1:27" ht="19.5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>
        <v>700</v>
      </c>
      <c r="L93" s="10">
        <v>2025</v>
      </c>
      <c r="M93" s="12" t="s">
        <v>62</v>
      </c>
      <c r="N93" s="12">
        <f t="shared" si="20"/>
        <v>0</v>
      </c>
      <c r="O93" s="12">
        <f t="shared" si="21"/>
        <v>700</v>
      </c>
      <c r="P93" s="12">
        <f>Table14[[#This Row],[Enrolment S.Y. 2025-2026 ]]*8</f>
        <v>0</v>
      </c>
      <c r="Q93" s="12">
        <v>800</v>
      </c>
      <c r="R93" s="10">
        <v>2025</v>
      </c>
      <c r="S93" s="12"/>
      <c r="T93" s="12">
        <f t="shared" si="16"/>
        <v>0</v>
      </c>
      <c r="U93" s="12">
        <f t="shared" si="17"/>
        <v>800</v>
      </c>
      <c r="V93" s="12">
        <f>Table14[[#This Row],[Enrolment S.Y. 2025-2026 ]]*8</f>
        <v>0</v>
      </c>
      <c r="W93" s="12">
        <v>450</v>
      </c>
      <c r="X93" s="10">
        <v>2025</v>
      </c>
      <c r="Y93" s="12"/>
      <c r="Z93" s="12">
        <f t="shared" si="18"/>
        <v>0</v>
      </c>
      <c r="AA93" s="12">
        <f t="shared" si="19"/>
        <v>450</v>
      </c>
    </row>
    <row r="94" spans="1:27" ht="19.5">
      <c r="A94" s="10">
        <v>9</v>
      </c>
      <c r="B94" s="11" t="s">
        <v>20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>
        <v>250</v>
      </c>
      <c r="R94" s="10">
        <v>2025</v>
      </c>
      <c r="S94" s="12"/>
      <c r="T94" s="12">
        <f t="shared" si="16"/>
        <v>0</v>
      </c>
      <c r="U94" s="12">
        <f t="shared" si="17"/>
        <v>250</v>
      </c>
      <c r="V94" s="12">
        <f>Table14[[#This Row],[Enrolment S.Y. 2025-2026 ]]*8</f>
        <v>0</v>
      </c>
      <c r="W94" s="12">
        <v>400</v>
      </c>
      <c r="X94" s="10">
        <v>2025</v>
      </c>
      <c r="Y94" s="12"/>
      <c r="Z94" s="12">
        <f t="shared" si="18"/>
        <v>0</v>
      </c>
      <c r="AA94" s="12">
        <f t="shared" si="19"/>
        <v>400</v>
      </c>
    </row>
    <row r="95" spans="1:27" ht="19.5">
      <c r="A95" s="10">
        <v>9</v>
      </c>
      <c r="B95" s="11" t="s">
        <v>22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>
        <v>350</v>
      </c>
      <c r="R95" s="10">
        <v>2025</v>
      </c>
      <c r="S95" s="12"/>
      <c r="T95" s="12">
        <f t="shared" si="16"/>
        <v>0</v>
      </c>
      <c r="U95" s="12">
        <f t="shared" si="17"/>
        <v>350</v>
      </c>
      <c r="V95" s="12">
        <f>Table14[[#This Row],[Enrolment S.Y. 2025-2026 ]]*8</f>
        <v>0</v>
      </c>
      <c r="W95" s="12">
        <v>200</v>
      </c>
      <c r="X95" s="10">
        <v>2025</v>
      </c>
      <c r="Y95" s="12"/>
      <c r="Z95" s="12">
        <f t="shared" si="18"/>
        <v>0</v>
      </c>
      <c r="AA95" s="12">
        <f t="shared" si="19"/>
        <v>200</v>
      </c>
    </row>
    <row r="96" spans="1:27" ht="19.5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>
        <v>350</v>
      </c>
      <c r="R96" s="10">
        <v>2025</v>
      </c>
      <c r="S96" s="12"/>
      <c r="T96" s="12">
        <f t="shared" si="16"/>
        <v>0</v>
      </c>
      <c r="U96" s="12">
        <f t="shared" si="17"/>
        <v>350</v>
      </c>
      <c r="V96" s="12">
        <f>Table14[[#This Row],[Enrolment S.Y. 2025-2026 ]]*8</f>
        <v>0</v>
      </c>
      <c r="W96" s="12">
        <v>500</v>
      </c>
      <c r="X96" s="10">
        <v>2025</v>
      </c>
      <c r="Y96" s="12"/>
      <c r="Z96" s="12">
        <f t="shared" si="18"/>
        <v>0</v>
      </c>
      <c r="AA96" s="12">
        <f t="shared" si="19"/>
        <v>500</v>
      </c>
    </row>
    <row r="97" spans="1:27" ht="19.5">
      <c r="A97" s="38">
        <v>9</v>
      </c>
      <c r="B97" s="11" t="s">
        <v>87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>
        <v>400</v>
      </c>
      <c r="X97" s="10">
        <v>2025</v>
      </c>
      <c r="Y97" s="12"/>
      <c r="Z97" s="12">
        <f>IF((V97-W97)&lt;0,0,(V97-W97))</f>
        <v>0</v>
      </c>
      <c r="AA97" s="12">
        <f>IF((W97-V97)&lt;0,0,(W97-V97))</f>
        <v>400</v>
      </c>
    </row>
    <row r="98" spans="1:27" ht="19.5">
      <c r="A98" s="10">
        <v>9</v>
      </c>
      <c r="B98" s="11" t="s">
        <v>88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>
        <v>400</v>
      </c>
      <c r="X98" s="10">
        <v>2025</v>
      </c>
      <c r="Y98" s="12"/>
      <c r="Z98" s="12">
        <f t="shared" si="18"/>
        <v>0</v>
      </c>
      <c r="AA98" s="12">
        <f t="shared" si="19"/>
        <v>400</v>
      </c>
    </row>
    <row r="99" spans="1:27" ht="19.5">
      <c r="A99" s="10">
        <v>9</v>
      </c>
      <c r="B99" s="11" t="s">
        <v>21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5">
      <c r="A100" s="38">
        <v>9</v>
      </c>
      <c r="B100" s="11" t="s">
        <v>89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>
        <v>350</v>
      </c>
      <c r="R100" s="10">
        <v>2025</v>
      </c>
      <c r="S100" s="12"/>
      <c r="T100" s="12">
        <f>IF((P100-Q100)&lt;0,0,(P100-Q100))</f>
        <v>0</v>
      </c>
      <c r="U100" s="12">
        <f>IF((Q100-P100)&lt;0,0,(Q100-P100))</f>
        <v>350</v>
      </c>
      <c r="V100" s="12">
        <f>Table14[[#This Row],[Enrolment S.Y. 2025-2026 ]]*8</f>
        <v>0</v>
      </c>
      <c r="W100" s="12">
        <v>200</v>
      </c>
      <c r="X100" s="10">
        <v>2025</v>
      </c>
      <c r="Y100" s="12"/>
      <c r="Z100" s="12">
        <f>IF((V100-W100)&lt;0,0,(V100-W100))</f>
        <v>0</v>
      </c>
      <c r="AA100" s="12">
        <f>IF((W100-V100)&lt;0,0,(W100-V100))</f>
        <v>200</v>
      </c>
    </row>
    <row r="101" spans="1:27" ht="19.5">
      <c r="A101" s="10">
        <v>9</v>
      </c>
      <c r="B101" s="11" t="s">
        <v>90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>
        <v>150</v>
      </c>
      <c r="R101" s="10">
        <v>2025</v>
      </c>
      <c r="S101" s="12"/>
      <c r="T101" s="12">
        <f t="shared" si="16"/>
        <v>0</v>
      </c>
      <c r="U101" s="12">
        <f t="shared" si="17"/>
        <v>150</v>
      </c>
      <c r="V101" s="12">
        <f>Table14[[#This Row],[Enrolment S.Y. 2025-2026 ]]*8</f>
        <v>0</v>
      </c>
      <c r="W101" s="12">
        <v>250</v>
      </c>
      <c r="X101" s="10">
        <v>2025</v>
      </c>
      <c r="Y101" s="12"/>
      <c r="Z101" s="12">
        <f t="shared" si="18"/>
        <v>0</v>
      </c>
      <c r="AA101" s="12">
        <f t="shared" si="19"/>
        <v>250</v>
      </c>
    </row>
    <row r="102" spans="1:27" s="7" customFormat="1"/>
    <row r="103" spans="1:27" ht="19.5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>
        <v>640</v>
      </c>
      <c r="L103" s="10">
        <v>2025</v>
      </c>
      <c r="M103" s="12" t="s">
        <v>62</v>
      </c>
      <c r="N103" s="12">
        <f t="shared" si="20"/>
        <v>0</v>
      </c>
      <c r="O103" s="12">
        <f t="shared" si="21"/>
        <v>640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>
        <v>150</v>
      </c>
      <c r="X103" s="10">
        <v>2025</v>
      </c>
      <c r="Y103" s="12"/>
      <c r="Z103" s="12">
        <f t="shared" si="18"/>
        <v>0</v>
      </c>
      <c r="AA103" s="12">
        <f t="shared" si="19"/>
        <v>150</v>
      </c>
    </row>
    <row r="104" spans="1:27" ht="19.5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>
        <v>500</v>
      </c>
      <c r="R104" s="10">
        <v>2025</v>
      </c>
      <c r="S104" s="12"/>
      <c r="T104" s="12">
        <f t="shared" si="16"/>
        <v>0</v>
      </c>
      <c r="U104" s="12">
        <f t="shared" si="17"/>
        <v>500</v>
      </c>
      <c r="V104" s="12">
        <f>Table14[[#This Row],[Enrolment S.Y. 2025-2026 ]]*8</f>
        <v>0</v>
      </c>
      <c r="W104" s="12">
        <v>350</v>
      </c>
      <c r="X104" s="10">
        <v>2025</v>
      </c>
      <c r="Y104" s="12"/>
      <c r="Z104" s="12">
        <f t="shared" si="18"/>
        <v>0</v>
      </c>
      <c r="AA104" s="12">
        <f t="shared" si="19"/>
        <v>350</v>
      </c>
    </row>
    <row r="105" spans="1:27" ht="19.5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>
        <v>640</v>
      </c>
      <c r="L105" s="10">
        <v>2025</v>
      </c>
      <c r="M105" s="12" t="s">
        <v>62</v>
      </c>
      <c r="N105" s="12">
        <f t="shared" si="20"/>
        <v>0</v>
      </c>
      <c r="O105" s="12">
        <f t="shared" si="21"/>
        <v>640</v>
      </c>
      <c r="P105" s="12">
        <f>Table14[[#This Row],[Enrolment S.Y. 2025-2026 ]]*8</f>
        <v>0</v>
      </c>
      <c r="Q105" s="12">
        <v>350</v>
      </c>
      <c r="R105" s="10">
        <v>2025</v>
      </c>
      <c r="S105" s="12"/>
      <c r="T105" s="12">
        <f t="shared" si="16"/>
        <v>0</v>
      </c>
      <c r="U105" s="12">
        <f t="shared" si="17"/>
        <v>350</v>
      </c>
      <c r="V105" s="12">
        <f>Table14[[#This Row],[Enrolment S.Y. 2025-2026 ]]*8</f>
        <v>0</v>
      </c>
      <c r="W105" s="12">
        <v>200</v>
      </c>
      <c r="X105" s="10">
        <v>2025</v>
      </c>
      <c r="Y105" s="12"/>
      <c r="Z105" s="12">
        <f t="shared" si="18"/>
        <v>0</v>
      </c>
      <c r="AA105" s="12">
        <f t="shared" si="19"/>
        <v>200</v>
      </c>
    </row>
    <row r="106" spans="1:27" ht="19.5">
      <c r="A106" s="10">
        <v>10</v>
      </c>
      <c r="B106" s="11" t="s">
        <v>20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>
        <v>400</v>
      </c>
      <c r="R106" s="10">
        <v>2025</v>
      </c>
      <c r="S106" s="12"/>
      <c r="T106" s="12">
        <f t="shared" si="16"/>
        <v>0</v>
      </c>
      <c r="U106" s="12">
        <f t="shared" si="17"/>
        <v>400</v>
      </c>
      <c r="V106" s="12">
        <f>Table14[[#This Row],[Enrolment S.Y. 2025-2026 ]]*8</f>
        <v>0</v>
      </c>
      <c r="W106" s="12">
        <v>150</v>
      </c>
      <c r="X106" s="10">
        <v>2025</v>
      </c>
      <c r="Y106" s="12"/>
      <c r="Z106" s="12">
        <f t="shared" si="18"/>
        <v>0</v>
      </c>
      <c r="AA106" s="12">
        <f t="shared" si="19"/>
        <v>150</v>
      </c>
    </row>
    <row r="107" spans="1:27" ht="19.5">
      <c r="A107" s="10">
        <v>10</v>
      </c>
      <c r="B107" s="11" t="s">
        <v>22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>
        <v>200</v>
      </c>
      <c r="R107" s="10">
        <v>2025</v>
      </c>
      <c r="S107" s="12"/>
      <c r="T107" s="12">
        <f t="shared" si="16"/>
        <v>0</v>
      </c>
      <c r="U107" s="12">
        <f t="shared" si="17"/>
        <v>200</v>
      </c>
      <c r="V107" s="12">
        <f>Table14[[#This Row],[Enrolment S.Y. 2025-2026 ]]*8</f>
        <v>0</v>
      </c>
      <c r="W107" s="12">
        <v>150</v>
      </c>
      <c r="X107" s="10">
        <v>2025</v>
      </c>
      <c r="Y107" s="12"/>
      <c r="Z107" s="12">
        <f t="shared" si="18"/>
        <v>0</v>
      </c>
      <c r="AA107" s="12">
        <f t="shared" si="19"/>
        <v>150</v>
      </c>
    </row>
    <row r="108" spans="1:27" ht="19.5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>
        <v>350</v>
      </c>
      <c r="R108" s="10">
        <v>2025</v>
      </c>
      <c r="S108" s="12"/>
      <c r="T108" s="12">
        <f t="shared" si="16"/>
        <v>0</v>
      </c>
      <c r="U108" s="12">
        <f t="shared" si="17"/>
        <v>350</v>
      </c>
      <c r="V108" s="12">
        <f>Table14[[#This Row],[Enrolment S.Y. 2025-2026 ]]*8</f>
        <v>0</v>
      </c>
      <c r="W108" s="12">
        <v>600</v>
      </c>
      <c r="X108" s="10">
        <v>2025</v>
      </c>
      <c r="Y108" s="12"/>
      <c r="Z108" s="12">
        <f t="shared" si="18"/>
        <v>0</v>
      </c>
      <c r="AA108" s="12">
        <f t="shared" si="19"/>
        <v>600</v>
      </c>
    </row>
    <row r="109" spans="1:27" ht="19.5">
      <c r="A109" s="38">
        <v>10</v>
      </c>
      <c r="B109" s="11" t="s">
        <v>87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>
        <v>100</v>
      </c>
      <c r="R109" s="10">
        <v>2025</v>
      </c>
      <c r="S109" s="12"/>
      <c r="T109" s="12">
        <f>IF((P109-Q109)&lt;0,0,(P109-Q109))</f>
        <v>0</v>
      </c>
      <c r="U109" s="12">
        <f>IF((Q109-P109)&lt;0,0,(Q109-P109))</f>
        <v>100</v>
      </c>
      <c r="V109" s="12">
        <f>Table14[[#This Row],[Enrolment S.Y. 2025-2026 ]]*8</f>
        <v>0</v>
      </c>
      <c r="W109" s="12">
        <v>100</v>
      </c>
      <c r="X109" s="10">
        <v>2025</v>
      </c>
      <c r="Y109" s="12"/>
      <c r="Z109" s="12">
        <f>IF((V109-W109)&lt;0,0,(V109-W109))</f>
        <v>0</v>
      </c>
      <c r="AA109" s="12">
        <f>IF((W109-V109)&lt;0,0,(W109-V109))</f>
        <v>100</v>
      </c>
    </row>
    <row r="110" spans="1:27" ht="19.5">
      <c r="A110" s="10">
        <v>10</v>
      </c>
      <c r="B110" s="11" t="s">
        <v>88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>
        <v>200</v>
      </c>
      <c r="R110" s="10">
        <v>2025</v>
      </c>
      <c r="S110" s="12"/>
      <c r="T110" s="12">
        <f t="shared" si="16"/>
        <v>0</v>
      </c>
      <c r="U110" s="12">
        <f t="shared" si="17"/>
        <v>200</v>
      </c>
      <c r="V110" s="12">
        <f>Table14[[#This Row],[Enrolment S.Y. 2025-2026 ]]*8</f>
        <v>0</v>
      </c>
      <c r="W110" s="12">
        <v>200</v>
      </c>
      <c r="X110" s="10">
        <v>2025</v>
      </c>
      <c r="Y110" s="12"/>
      <c r="Z110" s="12">
        <f t="shared" si="18"/>
        <v>0</v>
      </c>
      <c r="AA110" s="12">
        <f t="shared" si="19"/>
        <v>200</v>
      </c>
    </row>
    <row r="111" spans="1:27" ht="19.5">
      <c r="A111" s="10">
        <v>10</v>
      </c>
      <c r="B111" s="11" t="s">
        <v>21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5">
      <c r="A112" s="38">
        <v>10</v>
      </c>
      <c r="B112" s="11" t="s">
        <v>89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>
        <v>100</v>
      </c>
      <c r="R112" s="10">
        <v>2025</v>
      </c>
      <c r="S112" s="12"/>
      <c r="T112" s="12">
        <f>IF((P112-Q112)&lt;0,0,(P112-Q112))</f>
        <v>0</v>
      </c>
      <c r="U112" s="12">
        <f>IF((Q112-P112)&lt;0,0,(Q112-P112))</f>
        <v>100</v>
      </c>
      <c r="V112" s="12">
        <f>Table14[[#This Row],[Enrolment S.Y. 2025-2026 ]]*8</f>
        <v>0</v>
      </c>
      <c r="W112" s="12">
        <v>50</v>
      </c>
      <c r="X112" s="10">
        <v>2025</v>
      </c>
      <c r="Y112" s="12"/>
      <c r="Z112" s="12">
        <f>IF((V112-W112)&lt;0,0,(V112-W112))</f>
        <v>0</v>
      </c>
      <c r="AA112" s="12">
        <f>IF((W112-V112)&lt;0,0,(W112-V112))</f>
        <v>50</v>
      </c>
    </row>
    <row r="113" spans="1:28" ht="19.5">
      <c r="A113" s="10">
        <v>10</v>
      </c>
      <c r="B113" s="11" t="s">
        <v>90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>
        <v>100</v>
      </c>
      <c r="R113" s="10">
        <v>2025</v>
      </c>
      <c r="S113" s="12"/>
      <c r="T113" s="12">
        <f t="shared" si="16"/>
        <v>0</v>
      </c>
      <c r="U113" s="12">
        <f t="shared" si="17"/>
        <v>100</v>
      </c>
      <c r="V113" s="12">
        <f>Table14[[#This Row],[Enrolment S.Y. 2025-2026 ]]*8</f>
        <v>0</v>
      </c>
      <c r="W113" s="12">
        <v>150</v>
      </c>
      <c r="X113" s="10">
        <v>2025</v>
      </c>
      <c r="Y113" s="12"/>
      <c r="Z113" s="12">
        <f t="shared" si="18"/>
        <v>0</v>
      </c>
      <c r="AA113" s="12">
        <f t="shared" si="19"/>
        <v>150</v>
      </c>
    </row>
    <row r="114" spans="1:28" s="7" customFormat="1"/>
    <row r="115" spans="1:28" ht="38.450000000000003">
      <c r="A115" s="1" t="s">
        <v>23</v>
      </c>
      <c r="B115" s="9" t="s">
        <v>24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23</v>
      </c>
      <c r="B116" s="9" t="s">
        <v>25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23</v>
      </c>
      <c r="B117" s="9" t="s">
        <v>26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23</v>
      </c>
      <c r="B118" s="9" t="s">
        <v>27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23</v>
      </c>
      <c r="B119" s="9" t="s">
        <v>28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23</v>
      </c>
      <c r="B120" s="9" t="s">
        <v>29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23</v>
      </c>
      <c r="B121" s="9" t="s">
        <v>30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23</v>
      </c>
      <c r="B122" s="9" t="s">
        <v>31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V101 Z91:AA101 T103:V113 Z103:AA113 N115:R122 T115:X122 Z115:AA122 H115:L122 D103:F113 N31:R41 N43:R53 N55:R65 N67:R77 N79:R89 N91:R91 N103:R103 N92:P101 N104:P113 H103:L113 H91:L101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S91:S101 Y103:Y113 G103:G113 S103:S113 Y115:Y122 G115:G122 M115:M122 S115:S122 M103:M113 M91:M101" name="SOURCE"/>
    <protectedRange sqref="W91:X101" name="LAS_1"/>
    <protectedRange sqref="Q92:R101" name="LAS_2"/>
    <protectedRange sqref="W103:X113" name="LAS_3"/>
    <protectedRange sqref="Q104:R113" name="LAS_4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103:M113 G91:G101 G103:G113 Y103:Y113 S103:S113 M115:M122 M91:M101" xr:uid="{CBD486C7-A5DB-48F1-B496-5027CC51E830}">
      <formula1>"CO,RO,SDO,LGU,SCHOOL"</formula1>
    </dataValidation>
    <dataValidation type="list" allowBlank="1" showInputMessage="1" showErrorMessage="1" sqref="F115:F122 F103:F113 F91:F101 F79:F89 F67:F77 F55:F65 F43:F53 F31:F41 F21:F29 F12:F19 F3:F10 L115:L122 L103:L113 L91:L101 L79:L89 L67:L77 L55:L65 L43:L53 L31:L41 L21:L29 L12:L19 L3:L10 R115:R122 R103:R113 R91:R101 R79:R89 R67:R77 R55:R65 R43:R53 R31:R41 R21:R29 R12:R19 R3:R10 X115:X122 X103:X113 X91:X101 X79:X89 X67:X77 X55:X65 X43:X53 X31:X41 X21:X29 X12:X19 X3:X10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2026-03-10T01:05:48Z</dcterms:modified>
  <cp:category/>
  <cp:contentStatus/>
</cp:coreProperties>
</file>