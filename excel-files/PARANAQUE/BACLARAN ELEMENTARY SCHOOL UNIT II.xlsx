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" documentId="13_ncr:1_{BFB59F67-F0DC-4675-A682-EB0734A8026A}" xr6:coauthVersionLast="47" xr6:coauthVersionMax="47" xr10:uidLastSave="{A55689ED-E547-4C45-84A3-4768A7F6CF92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<sst xmlns="http://schemas.openxmlformats.org/spreadsheetml/2006/main" count="415" uniqueCount="91">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</sst>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8" borderId="11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61" activePane="topRight" state="frozen"/>
      <selection pane="topRight" activeCell="L17" sqref="L1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topLeftCell="F103" activePane="topRight" state="frozen"/>
      <selection pane="topRight" activeCell="X73" activeCellId="51" sqref="F112:F127 F103:F110 F93:F101 F83:F91 F74:F81 F63:F71 F53:F61 F43:F51 F33:F41 F23:F31 F14:F21 F5:F12 L112:L127 L103:L110 L93:L101 L83:L91 L74:L81 L63:L71 L53:L61 L43:L51 L33:L41 L23:L31 L14:L21 L5:L12 R112:R127 R103:R110 R93:R101 R83:R91 R74:R81 R63:R71 R53:R61 R43:R51 R33:R41 R23:R31 R14:R21 R5:R12 X112:X127 X103:X110 X93:X101 X83:X91 X74:X81 X63:X71 X53:X61 X43:X51 X33:X41 X23:X31 X14:X21 X5:X12 F73 L73 R73 X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>
        <v>107</v>
      </c>
      <c r="L17" s="1">
        <v>2025</v>
      </c>
      <c r="M17" s="5" t="s">
        <v>62</v>
      </c>
      <c r="N17" s="5">
        <f t="shared" si="10"/>
        <v>0</v>
      </c>
      <c r="O17" s="5">
        <f t="shared" si="11"/>
        <v>107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>
        <v>112</v>
      </c>
      <c r="F18" s="1">
        <v>2025</v>
      </c>
      <c r="G18" s="5"/>
      <c r="H18" s="5">
        <f t="shared" si="2"/>
        <v>0</v>
      </c>
      <c r="I18" s="5">
        <f t="shared" si="3"/>
        <v>112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>
        <v>112</v>
      </c>
      <c r="F19" s="1">
        <v>2025</v>
      </c>
      <c r="G19" s="5"/>
      <c r="H19" s="5">
        <f>IF((D19-E19)&lt;0,0,(D19-E19))</f>
        <v>0</v>
      </c>
      <c r="I19" s="5">
        <f>IF((E19-D19)&lt;0,0,(E19-D19))</f>
        <v>112</v>
      </c>
      <c r="J19" s="5">
        <f>Table1[[#This Row],[Enrolment S.Y. 2025-2026 ]]*8</f>
        <v>0</v>
      </c>
      <c r="K19" s="5">
        <v>107</v>
      </c>
      <c r="L19" s="1">
        <v>2025</v>
      </c>
      <c r="M19" s="5" t="s">
        <v>62</v>
      </c>
      <c r="N19" s="5">
        <f t="shared" si="10"/>
        <v>0</v>
      </c>
      <c r="O19" s="5">
        <f t="shared" si="11"/>
        <v>107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>
        <v>112</v>
      </c>
      <c r="F20" s="1">
        <v>2025</v>
      </c>
      <c r="G20" s="5"/>
      <c r="H20" s="5">
        <f>IF((D20-E20)&lt;0,0,(D20-E20))</f>
        <v>0</v>
      </c>
      <c r="I20" s="5">
        <f>IF((E20-D20)&lt;0,0,(E20-D20))</f>
        <v>112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>
        <v>83</v>
      </c>
      <c r="F25" s="1"/>
      <c r="G25" s="5"/>
      <c r="H25" s="5">
        <f t="shared" si="2"/>
        <v>0</v>
      </c>
      <c r="I25" s="5">
        <f t="shared" si="3"/>
        <v>83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>
        <v>83</v>
      </c>
      <c r="F26" s="1"/>
      <c r="G26" s="5"/>
      <c r="H26" s="5">
        <f t="shared" si="2"/>
        <v>0</v>
      </c>
      <c r="I26" s="5">
        <f t="shared" si="3"/>
        <v>83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>
        <v>83</v>
      </c>
      <c r="F27" s="1"/>
      <c r="G27" s="5"/>
      <c r="H27" s="5">
        <f t="shared" si="2"/>
        <v>0</v>
      </c>
      <c r="I27" s="5">
        <f t="shared" si="3"/>
        <v>83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>
        <v>83</v>
      </c>
      <c r="F28" s="1"/>
      <c r="G28" s="5"/>
      <c r="H28" s="5">
        <f t="shared" si="2"/>
        <v>0</v>
      </c>
      <c r="I28" s="5">
        <f t="shared" si="3"/>
        <v>83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>
        <v>83</v>
      </c>
      <c r="F30" s="1"/>
      <c r="G30" s="5"/>
      <c r="H30" s="5">
        <f>IF((D30-E30)&lt;0,0,(D30-E30))</f>
        <v>0</v>
      </c>
      <c r="I30" s="5">
        <f>IF((E30-D30)&lt;0,0,(E30-D30))</f>
        <v>83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>
        <v>38</v>
      </c>
      <c r="F43" s="1">
        <v>2025</v>
      </c>
      <c r="G43" s="5" t="s">
        <v>62</v>
      </c>
      <c r="H43" s="5">
        <f t="shared" si="2"/>
        <v>0</v>
      </c>
      <c r="I43" s="5">
        <f t="shared" si="3"/>
        <v>38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>
        <v>38</v>
      </c>
      <c r="F44" s="1">
        <v>2025</v>
      </c>
      <c r="G44" s="5" t="s">
        <v>62</v>
      </c>
      <c r="H44" s="5">
        <f t="shared" si="2"/>
        <v>0</v>
      </c>
      <c r="I44" s="5">
        <f t="shared" si="3"/>
        <v>38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38</v>
      </c>
      <c r="F45" s="1">
        <v>2025</v>
      </c>
      <c r="G45" s="5" t="s">
        <v>62</v>
      </c>
      <c r="H45" s="5">
        <f t="shared" si="2"/>
        <v>0</v>
      </c>
      <c r="I45" s="5">
        <f t="shared" si="3"/>
        <v>38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>
        <v>38</v>
      </c>
      <c r="F46" s="1">
        <v>2025</v>
      </c>
      <c r="G46" s="5" t="s">
        <v>62</v>
      </c>
      <c r="H46" s="5">
        <f t="shared" si="2"/>
        <v>0</v>
      </c>
      <c r="I46" s="5">
        <f t="shared" si="3"/>
        <v>38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>
        <v>38</v>
      </c>
      <c r="F47" s="1">
        <v>2025</v>
      </c>
      <c r="G47" s="5" t="s">
        <v>62</v>
      </c>
      <c r="H47" s="5">
        <f t="shared" si="2"/>
        <v>0</v>
      </c>
      <c r="I47" s="5">
        <f t="shared" si="3"/>
        <v>38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>
        <v>38</v>
      </c>
      <c r="F48" s="1">
        <v>2025</v>
      </c>
      <c r="G48" s="5" t="s">
        <v>62</v>
      </c>
      <c r="H48" s="5">
        <f t="shared" si="2"/>
        <v>0</v>
      </c>
      <c r="I48" s="5">
        <f t="shared" si="3"/>
        <v>38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>
        <v>38</v>
      </c>
      <c r="F49" s="1">
        <v>2025</v>
      </c>
      <c r="G49" s="5" t="s">
        <v>62</v>
      </c>
      <c r="H49" s="5">
        <f t="shared" si="2"/>
        <v>0</v>
      </c>
      <c r="I49" s="5">
        <f t="shared" si="3"/>
        <v>38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>
        <v>38</v>
      </c>
      <c r="F50" s="1">
        <v>2025</v>
      </c>
      <c r="G50" s="5" t="s">
        <v>62</v>
      </c>
      <c r="H50" s="5">
        <f t="shared" si="2"/>
        <v>0</v>
      </c>
      <c r="I50" s="5">
        <f t="shared" si="3"/>
        <v>38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>
        <v>38</v>
      </c>
      <c r="F51" s="1">
        <v>2025</v>
      </c>
      <c r="G51" s="5" t="s">
        <v>62</v>
      </c>
      <c r="H51" s="5">
        <f t="shared" si="2"/>
        <v>0</v>
      </c>
      <c r="I51" s="5">
        <f t="shared" si="3"/>
        <v>38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D23:F3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D5:F12 N5:R12 T5:X12 N4:P4 T4:V4 J4 Z4:AA127 N3:R3 Y13 K14:L21 D43:F51 D14:F21" name="LAS"/>
    <protectedRange sqref="G2:I3 M2:O2 S2:U3 Y2:AA3 G112:G127 M112:M127 S112:S127 Y112:Y127 G5:G12 M5:M12 S4:S110 Y5:Y12 G14:G21 M3 Y14:Y110 G23:G31 G33:G41 G53:G61 G63:G71 G73:G81 G83:G91 G93:G101 G103:G110 M14:M110 G43:G5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4:F81 F63:F71 F53:F61 F43:F51 F33:F41 F23:F31 F14:F21 F5:F12 L112:L127 L103:L110 L93:L101 L83:L91 L74:L81 L63:L71 L53:L61 L43:L51 L33:L41 L23:L31 L14:L21 L5:L12 R112:R127 R103:R110 R93:R101 R83:R91 R74:R81 R63:R71 R53:R61 R43:R51 R33:R41 R23:R31 R14:R21 R5:R12 X112:X127 X103:X110 X93:X101 X83:X91 X74:X81 X63:X71 X53:X61 X43:X51 X33:X41 X23:X31 X14:X21 X5:X12 F73 L73 R73 X73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103:G110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83" activePane="topRight" state="frozen"/>
      <selection pane="topRight" activeCell="X3" activeCellId="43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>
        <v>369</v>
      </c>
      <c r="X16" s="1">
        <v>2025</v>
      </c>
      <c r="Y16" s="5" t="s">
        <v>62</v>
      </c>
      <c r="Z16" s="5">
        <f t="shared" si="6"/>
        <v>0</v>
      </c>
      <c r="AA16" s="5">
        <f t="shared" si="7"/>
        <v>369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>
        <v>410</v>
      </c>
      <c r="X17" s="1">
        <v>2025</v>
      </c>
      <c r="Y17" s="5" t="s">
        <v>62</v>
      </c>
      <c r="Z17" s="5">
        <f t="shared" si="6"/>
        <v>0</v>
      </c>
      <c r="AA17" s="5">
        <f t="shared" si="7"/>
        <v>410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>
        <v>369</v>
      </c>
      <c r="X18" s="1">
        <v>2025</v>
      </c>
      <c r="Y18" s="5" t="s">
        <v>62</v>
      </c>
      <c r="Z18" s="5">
        <f t="shared" si="6"/>
        <v>0</v>
      </c>
      <c r="AA18" s="5">
        <f t="shared" si="7"/>
        <v>369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>
      <c r="W20" s="43"/>
      <c r="X20" s="43"/>
      <c r="Y20" s="43"/>
    </row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>
        <v>1190</v>
      </c>
      <c r="X26" s="1">
        <v>2025</v>
      </c>
      <c r="Y26" s="5" t="s">
        <v>62</v>
      </c>
      <c r="Z26" s="5">
        <f t="shared" si="6"/>
        <v>0</v>
      </c>
      <c r="AA26" s="5">
        <f t="shared" si="7"/>
        <v>1190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>
        <v>610</v>
      </c>
      <c r="X28" s="1">
        <v>2025</v>
      </c>
      <c r="Y28" s="5" t="s">
        <v>62</v>
      </c>
      <c r="Z28" s="5">
        <f t="shared" si="6"/>
        <v>0</v>
      </c>
      <c r="AA28" s="5">
        <f t="shared" si="7"/>
        <v>610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>
        <v>150</v>
      </c>
      <c r="F55" s="1">
        <v>2025</v>
      </c>
      <c r="G55" s="5"/>
      <c r="H55" s="5">
        <f t="shared" si="0"/>
        <v>0</v>
      </c>
      <c r="I55" s="5">
        <f t="shared" si="1"/>
        <v>150</v>
      </c>
      <c r="J55" s="5">
        <f>Table14[[#This Row],[Enrolment S.Y. 2025-2026 ]]*8</f>
        <v>0</v>
      </c>
      <c r="K55" s="5">
        <v>180</v>
      </c>
      <c r="L55" s="1">
        <v>2025</v>
      </c>
      <c r="M55" s="5" t="s">
        <v>62</v>
      </c>
      <c r="N55" s="5">
        <f t="shared" si="2"/>
        <v>0</v>
      </c>
      <c r="O55" s="5">
        <f t="shared" si="3"/>
        <v>180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>
        <v>700</v>
      </c>
      <c r="F56" s="1">
        <v>2025</v>
      </c>
      <c r="G56" s="5"/>
      <c r="H56" s="5">
        <f t="shared" si="0"/>
        <v>0</v>
      </c>
      <c r="I56" s="5">
        <f t="shared" si="1"/>
        <v>700</v>
      </c>
      <c r="J56" s="5">
        <f>Table14[[#This Row],[Enrolment S.Y. 2025-2026 ]]*8</f>
        <v>0</v>
      </c>
      <c r="K56" s="5">
        <v>840</v>
      </c>
      <c r="L56" s="1">
        <v>2025</v>
      </c>
      <c r="M56" s="5" t="s">
        <v>62</v>
      </c>
      <c r="N56" s="5">
        <f t="shared" si="2"/>
        <v>0</v>
      </c>
      <c r="O56" s="5">
        <f t="shared" si="3"/>
        <v>840</v>
      </c>
      <c r="P56" s="5">
        <f>Table14[[#This Row],[Enrolment S.Y. 2025-2026 ]]*8</f>
        <v>0</v>
      </c>
      <c r="Q56" s="5">
        <v>300</v>
      </c>
      <c r="R56" s="1">
        <v>2025</v>
      </c>
      <c r="S56" s="5" t="s">
        <v>62</v>
      </c>
      <c r="T56" s="5">
        <f t="shared" si="4"/>
        <v>0</v>
      </c>
      <c r="U56" s="5">
        <f t="shared" si="5"/>
        <v>300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>
        <v>550</v>
      </c>
      <c r="F57" s="1">
        <v>2025</v>
      </c>
      <c r="G57" s="5"/>
      <c r="H57" s="5">
        <f t="shared" si="0"/>
        <v>0</v>
      </c>
      <c r="I57" s="5">
        <f t="shared" si="1"/>
        <v>550</v>
      </c>
      <c r="J57" s="5">
        <f>Table14[[#This Row],[Enrolment S.Y. 2025-2026 ]]*8</f>
        <v>0</v>
      </c>
      <c r="K57" s="5">
        <v>840</v>
      </c>
      <c r="L57" s="1">
        <v>2025</v>
      </c>
      <c r="M57" s="5" t="s">
        <v>62</v>
      </c>
      <c r="N57" s="5">
        <f t="shared" si="2"/>
        <v>0</v>
      </c>
      <c r="O57" s="5">
        <f t="shared" si="3"/>
        <v>840</v>
      </c>
      <c r="P57" s="5">
        <f>Table14[[#This Row],[Enrolment S.Y. 2025-2026 ]]*8</f>
        <v>0</v>
      </c>
      <c r="Q57" s="42">
        <v>400</v>
      </c>
      <c r="R57" s="1">
        <v>2025</v>
      </c>
      <c r="S57" s="5" t="s">
        <v>62</v>
      </c>
      <c r="T57" s="5">
        <f t="shared" si="4"/>
        <v>0</v>
      </c>
      <c r="U57" s="5">
        <f t="shared" si="5"/>
        <v>400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300</v>
      </c>
      <c r="R59" s="1">
        <v>2025</v>
      </c>
      <c r="S59" s="5" t="s">
        <v>62</v>
      </c>
      <c r="T59" s="5">
        <f t="shared" si="4"/>
        <v>0</v>
      </c>
      <c r="U59" s="5">
        <f t="shared" si="5"/>
        <v>300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200</v>
      </c>
      <c r="R60" s="1">
        <v>2025</v>
      </c>
      <c r="S60" s="5" t="s">
        <v>62</v>
      </c>
      <c r="T60" s="5">
        <f t="shared" si="4"/>
        <v>0</v>
      </c>
      <c r="U60" s="5">
        <f t="shared" si="5"/>
        <v>200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200</v>
      </c>
      <c r="R61" s="1">
        <v>2025</v>
      </c>
      <c r="S61" s="5" t="s">
        <v>62</v>
      </c>
      <c r="T61" s="5">
        <f>IF((P61-Q61)&lt;0,0,(P61-Q61))</f>
        <v>0</v>
      </c>
      <c r="U61" s="5">
        <f>IF((Q61-P61)&lt;0,0,(Q61-P61))</f>
        <v>200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350</v>
      </c>
      <c r="R62" s="1">
        <v>2025</v>
      </c>
      <c r="S62" s="5" t="s">
        <v>62</v>
      </c>
      <c r="T62" s="5">
        <f t="shared" si="4"/>
        <v>0</v>
      </c>
      <c r="U62" s="5">
        <f t="shared" si="5"/>
        <v>350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150</v>
      </c>
      <c r="R64" s="1">
        <v>2025</v>
      </c>
      <c r="S64" s="5" t="s">
        <v>62</v>
      </c>
      <c r="T64" s="5">
        <f>IF((P64-Q64)&lt;0,0,(P64-Q64))</f>
        <v>0</v>
      </c>
      <c r="U64" s="5">
        <f>IF((Q64-P64)&lt;0,0,(Q64-P64))</f>
        <v>150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150</v>
      </c>
      <c r="R65" s="1">
        <v>2025</v>
      </c>
      <c r="S65" s="5" t="s">
        <v>62</v>
      </c>
      <c r="T65" s="5">
        <f t="shared" si="4"/>
        <v>0</v>
      </c>
      <c r="U65" s="5">
        <f t="shared" si="5"/>
        <v>150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J2:L2 D2:F10 D12:F19 D21:F29 D31:F41 D43:F53 D58:F65 D67:F77 D79:F89 D91:F101 D115:F122 P2:R10 N3:O10 V2:X10 T3:U10 N12:R19 T12:X15 H3:L10 Z3:AA10 Z12:AA19 H12:L15 N21:R29 T29:X29 Z21:AA29 H21:L29 T31:X41 Z31:AA41 H31:L41 T43:X53 Z43:AA53 H43:L53 T55:X65 Z55:AA65 H55:J55 T67:X77 Z67:AA77 H67:L77 T79:X89 Z79:AA89 H79:L89 T91:X101 Z91:AA101 H91:L101 T103:X113 Z103:AA113 H103:L113 N115:R122 T115:X122 Z115:AA122 H115:L122 D103:F113 N31:R41 N43:R53 N55:R55 N67:R77 N79:R89 N91:R101 N103:R113 D55:D57 H17:L19 H16:J16 H58:L65 H56:J57 N56:P65 T16:V19 T21:V28" name="LAS"/>
    <protectedRange sqref="G2:I2 M2:O2 S2:U2 Y2:AA2 G3:G10 M3:M10 S3:S10 Y3:Y10 Y12:Y15 G12:G19 M12:M15 S12:S19 Y29 G21:G29 M21:M29 S21:S29 Y31:Y41 G31:G41 M31:M41 S31:S41 Y43:Y53 G43:G53 M43:M53 S43:S53 Y55:Y65 G55:G65 S55 Y67:Y77 G67:G77 M67:M77 S67:S77 Y79:Y89 G79:G89 M79:M89 S79:S89 Y91:Y101 G91:G101 M91:M101 S91:S101 Y103:Y113 G103:G113 M103:M113 S103:S113 Y115:Y122 G115:G122 M115:M122 S115:S122 M17:M19 M58:M65" name="SOURCE"/>
    <protectedRange sqref="E55:F57" name="LAS_3"/>
    <protectedRange sqref="K16:L16 K56:L57" name="LAS_1"/>
    <protectedRange sqref="M16 M56:M57" name="SOURCE_1"/>
    <protectedRange sqref="K55:L55" name="LAS_2"/>
    <protectedRange sqref="M55" name="SOURCE_2"/>
    <protectedRange sqref="Q56:R65" name="LAS_5"/>
    <protectedRange sqref="S56:S65" name="SOURCE_4"/>
    <protectedRange sqref="W16:X19 W21:X25 W27:X28" name="LAS_4"/>
    <protectedRange sqref="Y16:Y19 Y21:Y25 Y27:Y28" name="SOURCE_3"/>
    <protectedRange sqref="W26:X26" name="LAS_6"/>
    <protectedRange sqref="Y26" name="SOURCE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15:M122 M21:M29 G21:G29 S55:S65 S21:S29 S31:S41 M31:M41 G31:G41 Y31:Y41 Y43:Y53 S43:S53 M43:M53 G43:G53 G55:G65 Y55:Y65 M55:M65 M12:M19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2026-03-09T06:53:15Z</dcterms:modified>
  <cp:category/>
  <cp:contentStatus/>
</cp:coreProperties>
</file>