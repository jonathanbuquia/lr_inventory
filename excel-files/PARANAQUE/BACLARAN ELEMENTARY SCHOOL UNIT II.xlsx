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1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28" documentId="13_ncr:1_{BFB59F67-F0DC-4675-A682-EB0734A8026A}" xr6:coauthVersionLast="47" xr6:coauthVersionMax="47" xr10:uidLastSave="{B1FC14C6-CF43-4788-A6E3-5519D58D2B7C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<sst xmlns="http://schemas.openxmlformats.org/spreadsheetml/2006/main" count="404" uniqueCount="91">
  <si>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</si>
  <si>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</si>
  <si>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</si>
  <si>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</si>
  <si>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</si>
  <si>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</si>
  <si>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</si>
  <si>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</si>
  <si>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</si>
  <si>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</si>
  <si>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</si>
  <si>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</si>
  <si>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</si>
  <si>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</si>
  <si>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</si>
  <si>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</si>
  <si>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</si>
  <si>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</si>
  <si>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</si>
  <si>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</si>
  <si>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</si>
  <si>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</si>
  <si>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</si>
  <si>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</si>
  <si>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</si>
  <si>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</si>
  <si>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</si>
  <si>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</si>
  <si>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</si>
  <si>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</si>
  <si>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</si>
  <si>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</si>
  <si>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</si>
  <si>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</si>
  <si>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</si>
  <si>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</si>
  <si>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</si>
  <si>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</si>
  <si>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</si>
  <si>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</si>
  <si>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</si>
  <si>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</si>
  <si>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</si>
  <si>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</si>
  <si>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</si>
  <si>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</si>
  <si>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</si>
  <si>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</si>
  <si>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</si>
  <si>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</si>
  <si>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</si>
  <si>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</si>
  <si>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</si>
  <si>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</si>
  <si>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</si>
  <si>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</si>
  <si>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</si>
  <si>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</si>
  <si>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</si>
  <si>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</si>
  <si>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</si>
  <si>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</si>
  <si>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</si>
  <si>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</si>
  <si>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</si>
  <si>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</si>
  <si>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</si>
  <si>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</si>
  <si>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</si>
  <si>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</si>
  <si>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</si>
  <si>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</si>
  <si>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</si>
  <si>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</si>
  <si>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</si>
  <si>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</si>
  <si>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</si>
  <si>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</si>
  <si>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</si>
  <si>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</si>
  <si>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</si>
  <si>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</si>
  <si>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</si>
  <si>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</si>
  <si>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</si>
  <si>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</si>
  <si>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RO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</si>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</sst>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1" fillId="7" borderId="10" xfId="0" applyFont="1" applyFill="1" applyBorder="1" applyAlignment="1">
      <alignment horizontal="center" vertical="center" wrapText="1"/>
    </xf>
    <xf numFmtId="0" fontId="0" fillId="8" borderId="11" xfId="0" applyFill="1" applyBorder="1"/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1" activePane="topRight" state="frozen"/>
      <selection pane="topRight" activeCell="J111" sqref="J111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15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20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13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17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21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20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22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21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20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22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21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20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22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21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23</v>
      </c>
      <c r="B91" s="9" t="s">
        <v>24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23</v>
      </c>
      <c r="B92" s="9" t="s">
        <v>25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23</v>
      </c>
      <c r="B93" s="9" t="s">
        <v>26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23</v>
      </c>
      <c r="B94" s="9" t="s">
        <v>27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23</v>
      </c>
      <c r="B95" s="9" t="s">
        <v>28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23</v>
      </c>
      <c r="B96" s="9" t="s">
        <v>29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23</v>
      </c>
      <c r="B97" s="9" t="s">
        <v>30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23</v>
      </c>
      <c r="B98" s="9" t="s">
        <v>31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14:E19 E21:E29 E31:E39 E51:E59 E61:E69 E41:E49 E2:E6 E71:E79 E81:E89 E8:E12 E91:E98" xr:uid="{B46E7B13-721E-4D49-837E-C02BF9777D48}">
      <formula1>"2024,2025"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topLeftCell="A33" zoomScale="70" zoomScaleNormal="70" workbookViewId="0">
      <selection activeCell="F59" sqref="F59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4" t="s">
        <v>32</v>
      </c>
      <c r="E1" s="44"/>
      <c r="F1" s="44"/>
      <c r="G1" s="44"/>
      <c r="H1" s="44"/>
      <c r="I1" s="44"/>
      <c r="J1" s="45" t="s">
        <v>33</v>
      </c>
      <c r="K1" s="45"/>
      <c r="L1" s="45"/>
      <c r="M1" s="45"/>
      <c r="N1" s="45"/>
      <c r="O1" s="45"/>
      <c r="P1" s="46" t="s">
        <v>34</v>
      </c>
      <c r="Q1" s="46"/>
      <c r="R1" s="46"/>
      <c r="S1" s="46"/>
      <c r="T1" s="46"/>
      <c r="U1" s="46"/>
      <c r="V1" s="47" t="s">
        <v>35</v>
      </c>
      <c r="W1" s="47"/>
      <c r="X1" s="47"/>
      <c r="Y1" s="47"/>
      <c r="Z1" s="47"/>
      <c r="AA1" s="47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36</v>
      </c>
      <c r="E2" s="20" t="s">
        <v>37</v>
      </c>
      <c r="F2" s="21" t="s">
        <v>38</v>
      </c>
      <c r="G2" s="24" t="s">
        <v>39</v>
      </c>
      <c r="H2" s="17" t="s">
        <v>40</v>
      </c>
      <c r="I2" s="24" t="s">
        <v>41</v>
      </c>
      <c r="J2" s="22" t="s">
        <v>42</v>
      </c>
      <c r="K2" s="22" t="s">
        <v>43</v>
      </c>
      <c r="L2" s="23" t="s">
        <v>44</v>
      </c>
      <c r="M2" s="40" t="s">
        <v>45</v>
      </c>
      <c r="N2" s="40" t="s">
        <v>46</v>
      </c>
      <c r="O2" s="22" t="s">
        <v>47</v>
      </c>
      <c r="P2" s="24" t="s">
        <v>48</v>
      </c>
      <c r="Q2" s="24" t="s">
        <v>49</v>
      </c>
      <c r="R2" s="25" t="s">
        <v>50</v>
      </c>
      <c r="S2" s="17" t="s">
        <v>51</v>
      </c>
      <c r="T2" s="17" t="s">
        <v>52</v>
      </c>
      <c r="U2" s="24" t="s">
        <v>53</v>
      </c>
      <c r="V2" s="26" t="s">
        <v>54</v>
      </c>
      <c r="W2" s="26" t="s">
        <v>55</v>
      </c>
      <c r="X2" s="27" t="s">
        <v>56</v>
      </c>
      <c r="Y2" s="41" t="s">
        <v>57</v>
      </c>
      <c r="Z2" s="41" t="s">
        <v>58</v>
      </c>
      <c r="AA2" s="26" t="s">
        <v>59</v>
      </c>
    </row>
    <row r="3" spans="1:27" ht="30.6" customHeight="1">
      <c r="A3" s="39" t="s">
        <v>60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61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61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5">
      <c r="A25" s="1">
        <v>3</v>
      </c>
      <c r="B25" s="2" t="s">
        <v>10</v>
      </c>
      <c r="C25" s="1"/>
      <c r="D25" s="5">
        <f>Table1[[#This Row],[Enrolment S.Y. 2025-2026 ]]*8</f>
        <v>0</v>
      </c>
      <c r="E25" s="5">
        <v>83</v>
      </c>
      <c r="F25" s="1"/>
      <c r="G25" s="5"/>
      <c r="H25" s="5">
        <f t="shared" si="2"/>
        <v>0</v>
      </c>
      <c r="I25" s="5">
        <f t="shared" si="3"/>
        <v>83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5">
      <c r="A30" s="1">
        <v>3</v>
      </c>
      <c r="B30" s="9" t="s">
        <v>15</v>
      </c>
      <c r="C30" s="1"/>
      <c r="D30" s="5">
        <f>Table1[[#This Row],[Enrolment S.Y. 2025-2026 ]]*8</f>
        <v>0</v>
      </c>
      <c r="E30" s="5">
        <v>83</v>
      </c>
      <c r="F30" s="1"/>
      <c r="G30" s="5"/>
      <c r="H30" s="5">
        <f>IF((D30-E30)&lt;0,0,(D30-E30))</f>
        <v>0</v>
      </c>
      <c r="I30" s="5">
        <f>IF((E30-D30)&lt;0,0,(E30-D30))</f>
        <v>83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61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5">
      <c r="A46" s="1">
        <v>5</v>
      </c>
      <c r="B46" s="9" t="s">
        <v>10</v>
      </c>
      <c r="C46" s="1"/>
      <c r="D46" s="5">
        <f>Table1[[#This Row],[Enrolment S.Y. 2025-2026 ]]*8</f>
        <v>0</v>
      </c>
      <c r="E46" s="5">
        <v>38</v>
      </c>
      <c r="F46" s="1"/>
      <c r="G46" s="5"/>
      <c r="H46" s="5">
        <f t="shared" si="2"/>
        <v>0</v>
      </c>
      <c r="I46" s="5">
        <f t="shared" si="3"/>
        <v>38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5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5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20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21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20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22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21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20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22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21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20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22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21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23</v>
      </c>
      <c r="B103" s="9" t="s">
        <v>24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23</v>
      </c>
      <c r="B104" s="9" t="s">
        <v>25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23</v>
      </c>
      <c r="B105" s="9" t="s">
        <v>26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23</v>
      </c>
      <c r="B106" s="9" t="s">
        <v>27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23</v>
      </c>
      <c r="B107" s="9" t="s">
        <v>28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23</v>
      </c>
      <c r="B108" s="9" t="s">
        <v>29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23</v>
      </c>
      <c r="B109" s="9" t="s">
        <v>30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23</v>
      </c>
      <c r="B110" s="9" t="s">
        <v>31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33:F41 F43:F51 F63:F71 F73:F81 F53:F61 F5:F12 F83:F91 F93:F101 F14:F21 F103:F110 R103:R110 L103:L110 X103:X110 X112:X127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abSelected="1" zoomScale="55" zoomScaleNormal="55" workbookViewId="0">
      <pane xSplit="2" topLeftCell="V8" activePane="topRight" state="frozen"/>
      <selection pane="topRight" activeCell="W26" sqref="W26:Y26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4" t="s">
        <v>32</v>
      </c>
      <c r="E1" s="44"/>
      <c r="F1" s="44"/>
      <c r="G1" s="44"/>
      <c r="H1" s="44"/>
      <c r="I1" s="44"/>
      <c r="J1" s="45" t="s">
        <v>33</v>
      </c>
      <c r="K1" s="45"/>
      <c r="L1" s="45"/>
      <c r="M1" s="45"/>
      <c r="N1" s="45"/>
      <c r="O1" s="45"/>
      <c r="P1" s="46" t="s">
        <v>34</v>
      </c>
      <c r="Q1" s="46"/>
      <c r="R1" s="46"/>
      <c r="S1" s="46"/>
      <c r="T1" s="46"/>
      <c r="U1" s="46"/>
      <c r="V1" s="47" t="s">
        <v>35</v>
      </c>
      <c r="W1" s="47"/>
      <c r="X1" s="47"/>
      <c r="Y1" s="47"/>
      <c r="Z1" s="47"/>
      <c r="AA1" s="47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62</v>
      </c>
      <c r="E2" s="20" t="s">
        <v>63</v>
      </c>
      <c r="F2" s="21" t="s">
        <v>64</v>
      </c>
      <c r="G2" s="24" t="s">
        <v>65</v>
      </c>
      <c r="H2" s="17" t="s">
        <v>66</v>
      </c>
      <c r="I2" s="24" t="s">
        <v>67</v>
      </c>
      <c r="J2" s="22" t="s">
        <v>68</v>
      </c>
      <c r="K2" s="22" t="s">
        <v>69</v>
      </c>
      <c r="L2" s="23" t="s">
        <v>70</v>
      </c>
      <c r="M2" s="40" t="s">
        <v>71</v>
      </c>
      <c r="N2" s="40" t="s">
        <v>72</v>
      </c>
      <c r="O2" s="22" t="s">
        <v>73</v>
      </c>
      <c r="P2" s="24" t="s">
        <v>74</v>
      </c>
      <c r="Q2" s="24" t="s">
        <v>75</v>
      </c>
      <c r="R2" s="25" t="s">
        <v>76</v>
      </c>
      <c r="S2" s="17" t="s">
        <v>77</v>
      </c>
      <c r="T2" s="17" t="s">
        <v>78</v>
      </c>
      <c r="U2" s="24" t="s">
        <v>79</v>
      </c>
      <c r="V2" s="26" t="s">
        <v>80</v>
      </c>
      <c r="W2" s="26" t="s">
        <v>81</v>
      </c>
      <c r="X2" s="27" t="s">
        <v>82</v>
      </c>
      <c r="Y2" s="41" t="s">
        <v>83</v>
      </c>
      <c r="Z2" s="41" t="s">
        <v>84</v>
      </c>
      <c r="AA2" s="26" t="s">
        <v>85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61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5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>
        <v>369</v>
      </c>
      <c r="X16" s="1">
        <v>2025</v>
      </c>
      <c r="Y16" s="5" t="s">
        <v>86</v>
      </c>
      <c r="Z16" s="5">
        <f t="shared" si="6"/>
        <v>0</v>
      </c>
      <c r="AA16" s="5">
        <f t="shared" si="7"/>
        <v>369</v>
      </c>
    </row>
    <row r="17" spans="1:27" ht="19.5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>
        <v>410</v>
      </c>
      <c r="X17" s="1">
        <v>2025</v>
      </c>
      <c r="Y17" s="5" t="s">
        <v>86</v>
      </c>
      <c r="Z17" s="5">
        <f t="shared" si="6"/>
        <v>0</v>
      </c>
      <c r="AA17" s="5">
        <f t="shared" si="7"/>
        <v>410</v>
      </c>
    </row>
    <row r="18" spans="1:27" ht="19.5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>
        <v>369</v>
      </c>
      <c r="X18" s="1">
        <v>2025</v>
      </c>
      <c r="Y18" s="5" t="s">
        <v>86</v>
      </c>
      <c r="Z18" s="5">
        <f t="shared" si="6"/>
        <v>0</v>
      </c>
      <c r="AA18" s="5">
        <f t="shared" si="7"/>
        <v>369</v>
      </c>
    </row>
    <row r="19" spans="1:27" ht="19.5">
      <c r="A19" s="1">
        <v>2</v>
      </c>
      <c r="B19" s="9" t="s">
        <v>61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 ht="15">
      <c r="W20" s="43"/>
      <c r="X20" s="43"/>
      <c r="Y20" s="43"/>
    </row>
    <row r="21" spans="1:27" ht="38.25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5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5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5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5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5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>
        <v>1190</v>
      </c>
      <c r="X26" s="1">
        <v>2025</v>
      </c>
      <c r="Y26" s="5" t="s">
        <v>86</v>
      </c>
      <c r="Z26" s="5">
        <f t="shared" si="6"/>
        <v>0</v>
      </c>
      <c r="AA26" s="5">
        <f t="shared" si="7"/>
        <v>1190</v>
      </c>
    </row>
    <row r="27" spans="1:27" ht="19.5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5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>
        <v>610</v>
      </c>
      <c r="X28" s="1">
        <v>2025</v>
      </c>
      <c r="Y28" s="5" t="s">
        <v>86</v>
      </c>
      <c r="Z28" s="5">
        <f t="shared" si="6"/>
        <v>0</v>
      </c>
      <c r="AA28" s="5">
        <f t="shared" si="7"/>
        <v>610</v>
      </c>
    </row>
    <row r="29" spans="1:27" ht="19.149999999999999">
      <c r="A29" s="1">
        <v>3</v>
      </c>
      <c r="B29" s="9" t="s">
        <v>61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87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88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89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90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87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88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89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90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14</v>
      </c>
      <c r="C55" s="1"/>
      <c r="D55" s="5">
        <f>Table14[[#This Row],[Enrolment S.Y. 2025-2026 ]]*8</f>
        <v>0</v>
      </c>
      <c r="E55" s="5">
        <v>150</v>
      </c>
      <c r="F55" s="1">
        <v>2025</v>
      </c>
      <c r="G55" s="5"/>
      <c r="H55" s="5">
        <f t="shared" si="0"/>
        <v>0</v>
      </c>
      <c r="I55" s="5">
        <f t="shared" si="1"/>
        <v>150</v>
      </c>
      <c r="J55" s="5">
        <f>Table14[[#This Row],[Enrolment S.Y. 2025-2026 ]]*8</f>
        <v>0</v>
      </c>
      <c r="K55" s="5">
        <v>180</v>
      </c>
      <c r="L55" s="1">
        <v>2025</v>
      </c>
      <c r="M55" s="5" t="s">
        <v>86</v>
      </c>
      <c r="N55" s="5">
        <f t="shared" si="2"/>
        <v>0</v>
      </c>
      <c r="O55" s="5">
        <f t="shared" si="3"/>
        <v>180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5">
      <c r="A56" s="1">
        <v>6</v>
      </c>
      <c r="B56" s="9" t="s">
        <v>15</v>
      </c>
      <c r="C56" s="1"/>
      <c r="D56" s="5">
        <f>Table14[[#This Row],[Enrolment S.Y. 2025-2026 ]]*8</f>
        <v>0</v>
      </c>
      <c r="E56" s="5">
        <v>700</v>
      </c>
      <c r="F56" s="1">
        <v>2025</v>
      </c>
      <c r="G56" s="5"/>
      <c r="H56" s="5">
        <f t="shared" si="0"/>
        <v>0</v>
      </c>
      <c r="I56" s="5">
        <f t="shared" si="1"/>
        <v>700</v>
      </c>
      <c r="J56" s="5">
        <f>Table14[[#This Row],[Enrolment S.Y. 2025-2026 ]]*8</f>
        <v>0</v>
      </c>
      <c r="K56" s="5">
        <v>840</v>
      </c>
      <c r="L56" s="1">
        <v>2025</v>
      </c>
      <c r="M56" s="5" t="s">
        <v>86</v>
      </c>
      <c r="N56" s="5">
        <f t="shared" si="2"/>
        <v>0</v>
      </c>
      <c r="O56" s="5">
        <f t="shared" si="3"/>
        <v>840</v>
      </c>
      <c r="P56" s="5">
        <f>Table14[[#This Row],[Enrolment S.Y. 2025-2026 ]]*8</f>
        <v>0</v>
      </c>
      <c r="Q56" s="5">
        <v>300</v>
      </c>
      <c r="R56" s="1">
        <v>2025</v>
      </c>
      <c r="S56" s="5" t="s">
        <v>86</v>
      </c>
      <c r="T56" s="5">
        <f t="shared" si="4"/>
        <v>0</v>
      </c>
      <c r="U56" s="5">
        <f t="shared" si="5"/>
        <v>300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5">
      <c r="A57" s="1">
        <v>6</v>
      </c>
      <c r="B57" s="9" t="s">
        <v>12</v>
      </c>
      <c r="C57" s="1"/>
      <c r="D57" s="5">
        <f>Table14[[#This Row],[Enrolment S.Y. 2025-2026 ]]*8</f>
        <v>0</v>
      </c>
      <c r="E57" s="5">
        <v>550</v>
      </c>
      <c r="F57" s="1">
        <v>2025</v>
      </c>
      <c r="G57" s="5"/>
      <c r="H57" s="5">
        <f t="shared" si="0"/>
        <v>0</v>
      </c>
      <c r="I57" s="5">
        <f t="shared" si="1"/>
        <v>550</v>
      </c>
      <c r="J57" s="5">
        <f>Table14[[#This Row],[Enrolment S.Y. 2025-2026 ]]*8</f>
        <v>0</v>
      </c>
      <c r="K57" s="5">
        <v>840</v>
      </c>
      <c r="L57" s="1">
        <v>2025</v>
      </c>
      <c r="M57" s="5" t="s">
        <v>86</v>
      </c>
      <c r="N57" s="5">
        <f t="shared" si="2"/>
        <v>0</v>
      </c>
      <c r="O57" s="5">
        <f t="shared" si="3"/>
        <v>840</v>
      </c>
      <c r="P57" s="5">
        <f>Table14[[#This Row],[Enrolment S.Y. 2025-2026 ]]*8</f>
        <v>0</v>
      </c>
      <c r="Q57" s="42">
        <v>400</v>
      </c>
      <c r="R57" s="1">
        <v>2025</v>
      </c>
      <c r="S57" s="5" t="s">
        <v>86</v>
      </c>
      <c r="T57" s="5">
        <f t="shared" si="4"/>
        <v>0</v>
      </c>
      <c r="U57" s="5">
        <f t="shared" si="5"/>
        <v>400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5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38.25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>
        <v>300</v>
      </c>
      <c r="R59" s="1">
        <v>2025</v>
      </c>
      <c r="S59" s="5" t="s">
        <v>86</v>
      </c>
      <c r="T59" s="5">
        <f t="shared" si="4"/>
        <v>0</v>
      </c>
      <c r="U59" s="5">
        <f t="shared" si="5"/>
        <v>300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5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>
        <v>200</v>
      </c>
      <c r="R60" s="1">
        <v>2025</v>
      </c>
      <c r="S60" s="5" t="s">
        <v>86</v>
      </c>
      <c r="T60" s="5">
        <f t="shared" si="4"/>
        <v>0</v>
      </c>
      <c r="U60" s="5">
        <f t="shared" si="5"/>
        <v>200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5">
      <c r="A61" s="37">
        <v>6</v>
      </c>
      <c r="B61" s="9" t="s">
        <v>87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>
        <v>200</v>
      </c>
      <c r="R61" s="1">
        <v>2025</v>
      </c>
      <c r="S61" s="5" t="s">
        <v>86</v>
      </c>
      <c r="T61" s="5">
        <f>IF((P61-Q61)&lt;0,0,(P61-Q61))</f>
        <v>0</v>
      </c>
      <c r="U61" s="5">
        <f>IF((Q61-P61)&lt;0,0,(Q61-P61))</f>
        <v>200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5">
      <c r="A62" s="1">
        <v>6</v>
      </c>
      <c r="B62" s="9" t="s">
        <v>88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>
        <v>350</v>
      </c>
      <c r="R62" s="1">
        <v>2025</v>
      </c>
      <c r="S62" s="5" t="s">
        <v>86</v>
      </c>
      <c r="T62" s="5">
        <f t="shared" si="4"/>
        <v>0</v>
      </c>
      <c r="U62" s="5">
        <f t="shared" si="5"/>
        <v>350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5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5">
      <c r="A64" s="37">
        <v>6</v>
      </c>
      <c r="B64" s="9" t="s">
        <v>89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>
        <v>150</v>
      </c>
      <c r="R64" s="1">
        <v>2025</v>
      </c>
      <c r="S64" s="5" t="s">
        <v>86</v>
      </c>
      <c r="T64" s="5">
        <f>IF((P64-Q64)&lt;0,0,(P64-Q64))</f>
        <v>0</v>
      </c>
      <c r="U64" s="5">
        <f>IF((Q64-P64)&lt;0,0,(Q64-P64))</f>
        <v>150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5">
      <c r="A65" s="1">
        <v>6</v>
      </c>
      <c r="B65" s="9" t="s">
        <v>90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>
        <v>150</v>
      </c>
      <c r="R65" s="1">
        <v>2025</v>
      </c>
      <c r="S65" s="5" t="s">
        <v>86</v>
      </c>
      <c r="T65" s="5">
        <f t="shared" si="4"/>
        <v>0</v>
      </c>
      <c r="U65" s="5">
        <f t="shared" si="5"/>
        <v>150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20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87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88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21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89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90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20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22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87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88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21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89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90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20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22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87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88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21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89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90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20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22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87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88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21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89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90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23</v>
      </c>
      <c r="B115" s="9" t="s">
        <v>24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23</v>
      </c>
      <c r="B116" s="9" t="s">
        <v>25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23</v>
      </c>
      <c r="B117" s="9" t="s">
        <v>26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23</v>
      </c>
      <c r="B118" s="9" t="s">
        <v>27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23</v>
      </c>
      <c r="B119" s="9" t="s">
        <v>28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23</v>
      </c>
      <c r="B120" s="9" t="s">
        <v>29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23</v>
      </c>
      <c r="B121" s="9" t="s">
        <v>30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23</v>
      </c>
      <c r="B122" s="9" t="s">
        <v>31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J2:L2 D2:F10 D12:F19 D21:F29 D31:F41 D43:F53 D58:F65 D67:F77 D79:F89 D91:F101 D115:F122 P2:R10 N3:O10 V2:X10 T3:U10 N12:R19 T12:X15 H3:L10 Z3:AA10 Z12:AA19 H12:L15 N21:R29 T29:X29 Z21:AA29 H21:L29 T31:X41 Z31:AA41 H31:L41 T43:X53 Z43:AA53 H43:L53 T55:X65 Z55:AA65 H55:J55 T67:X77 Z67:AA77 H67:L77 T79:X89 Z79:AA89 H79:L89 T91:X101 Z91:AA101 H91:L101 T103:X113 Z103:AA113 H103:L113 N115:R122 T115:X122 Z115:AA122 H115:L122 D103:F113 N31:R41 N43:R53 N55:R55 N67:R77 N79:R89 N91:R101 N103:R113 D55:D57 H17:L19 H16:J16 H58:L65 H56:J57 N56:P65 T16:V19 T21:V28" name="LAS"/>
    <protectedRange sqref="G2:I2 M2:O2 S2:U2 Y2:AA2 G3:G10 M3:M10 S3:S10 Y3:Y10 Y12:Y15 G12:G19 M12:M15 S12:S19 Y29 G21:G29 M21:M29 S21:S29 Y31:Y41 G31:G41 M31:M41 S31:S41 Y43:Y53 G43:G53 M43:M53 S43:S53 Y55:Y65 G55:G65 S55 Y67:Y77 G67:G77 M67:M77 S67:S77 Y79:Y89 G79:G89 M79:M89 S79:S89 Y91:Y101 G91:G101 M91:M101 S91:S101 Y103:Y113 G103:G113 M103:M113 S103:S113 Y115:Y122 G115:G122 M115:M122 S115:S122 M17:M19 M58:M65" name="SOURCE"/>
    <protectedRange sqref="E55:F57" name="LAS_3"/>
    <protectedRange sqref="K16:L16 K56:L57" name="LAS_1"/>
    <protectedRange sqref="M16 M56:M57" name="SOURCE_1"/>
    <protectedRange sqref="K55:L55" name="LAS_2"/>
    <protectedRange sqref="M55" name="SOURCE_2"/>
    <protectedRange sqref="Q56:R65" name="LAS_5"/>
    <protectedRange sqref="S56:S65" name="SOURCE_4"/>
    <protectedRange sqref="W16:X19 W21:X25 W27:X28" name="LAS_4"/>
    <protectedRange sqref="Y16:Y19 Y21:Y25 Y27:Y28" name="SOURCE_3"/>
    <protectedRange sqref="W26:X26" name="LAS_6"/>
    <protectedRange sqref="Y26" name="SOURCE_5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15:M122 M21:M29 G21:G29 S55:S65 S21:S29 S31:S41 M31:M41 G31:G41 Y31:Y41 Y43:Y53 S43:S53 M43:M53 G43:G53 G55:G65 Y55:Y65 M55:M65 M12:M19 M67:M77 G67:G77 Y67:Y77 S67:S77 S79:S89 M79:M89 G79:G89 Y79:Y89 Y91:Y101 S91:S101 M91:M101 G91:G101 G103:G113 Y103:Y113 S103:S113 M103:M113 Y21:Y29" xr:uid="{CBD486C7-A5DB-48F1-B496-5027CC51E830}">
      <formula1>"CO,RO,SDO,LGU,SCHOOL"</formula1>
    </dataValidation>
    <dataValidation type="list" allowBlank="1" showInputMessage="1" showErrorMessage="1" sqref="X12:X19 X31:X41 X43:X53 X67:X77 X79:X89 X55:X65 X91:X101 X103:X113 R55:R65 X3:X10 L21:L29 L31:L41 L43:L53 L67:L77 L79:L89 L12:L19 L91:L101 L103:L113 F55:F65 L3:L10 R21:R29 R31:R41 R43:R53 R67:R77 R79:R89 L55:L65 R91:R101 R103:R113 R12:R19 R3:R10 F21:F29 F31:F41 F43:F53 F67:F77 F79:F89 F103:F113 F3:F10 F91:F101 X115:X122 F12:F19 F115:F122 R115:R122 L115:L122 X21:X29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Guest User</cp:lastModifiedBy>
  <cp:revision/>
  <dcterms:created xsi:type="dcterms:W3CDTF">2025-11-19T20:48:15Z</dcterms:created>
  <dcterms:modified xsi:type="dcterms:W3CDTF">2026-02-04T07:27:06Z</dcterms:modified>
  <cp:category/>
  <cp:contentStatus/>
</cp:coreProperties>
</file>