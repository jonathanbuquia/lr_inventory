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2" documentId="13_ncr:1_{BFB59F67-F0DC-4675-A682-EB0734A8026A}" xr6:coauthVersionLast="47" xr6:coauthVersionMax="47" xr10:uidLastSave="{0A04725D-CC86-4698-B66F-61240D241D3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O3" i="4"/>
  <c r="N3" i="4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<sst xmlns="http://schemas.openxmlformats.org/spreadsheetml/2006/main" count="388" uniqueCount="90">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</sst>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vertical="center" wrapText="1"/>
    </xf>
    <xf numFmtId="0" fontId="0" fillId="8" borderId="0" xfId="0" applyFont="1" applyFill="1"/>
    <xf numFmtId="0" fontId="4" fillId="7" borderId="9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0" fillId="0" borderId="0" xfId="0" applyFont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ySplit="1" topLeftCell="C60" activePane="bottomRight" state="frozen"/>
      <selection pane="bottomRight" activeCell="D84" sqref="D84"/>
      <selection pane="bottomLeft"/>
      <selection pane="topRight"/>
    </sheetView>
  </sheetViews>
  <sheetFormatPr defaultRowHeight="13.9"/>
  <cols>
    <col min="1" max="1" width="10.140625" bestFit="1" customWidth="1"/>
    <col min="2" max="2" width="46.71093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s="51" customFormat="1" ht="15">
      <c r="A2" s="35">
        <v>1</v>
      </c>
      <c r="B2" s="41" t="s">
        <v>8</v>
      </c>
      <c r="C2" s="35"/>
      <c r="D2" s="35"/>
      <c r="E2" s="35"/>
      <c r="F2" s="40"/>
      <c r="G2" s="49">
        <f>IF((C2-D2)&lt;0,0,C2-D2)</f>
        <v>0</v>
      </c>
      <c r="H2" s="50">
        <f>IF((D2-C2)&lt;0,0,D2-C2)</f>
        <v>0</v>
      </c>
    </row>
    <row r="3" spans="1:8" s="51" customFormat="1" ht="15">
      <c r="A3" s="35">
        <v>1</v>
      </c>
      <c r="B3" s="41" t="s">
        <v>9</v>
      </c>
      <c r="C3" s="35"/>
      <c r="D3" s="35"/>
      <c r="E3" s="35"/>
      <c r="F3" s="40"/>
      <c r="G3" s="49">
        <f>IF((C3-D3)&lt;0,0,C3-D3)</f>
        <v>0</v>
      </c>
      <c r="H3" s="50">
        <f>IF((D3-C3)&lt;0,0,D3-C3)</f>
        <v>0</v>
      </c>
    </row>
    <row r="4" spans="1:8" s="51" customFormat="1" ht="15">
      <c r="A4" s="35">
        <v>1</v>
      </c>
      <c r="B4" s="41" t="s">
        <v>10</v>
      </c>
      <c r="C4" s="35"/>
      <c r="D4" s="35"/>
      <c r="E4" s="35"/>
      <c r="F4" s="40"/>
      <c r="G4" s="49">
        <f>IF((C4-D4)&lt;0,0,C4-D4)</f>
        <v>0</v>
      </c>
      <c r="H4" s="50">
        <f>IF((D4-C4)&lt;0,0,D4-C4)</f>
        <v>0</v>
      </c>
    </row>
    <row r="5" spans="1:8" s="51" customFormat="1" ht="15">
      <c r="A5" s="35">
        <v>1</v>
      </c>
      <c r="B5" s="41" t="s">
        <v>11</v>
      </c>
      <c r="C5" s="35"/>
      <c r="D5" s="35"/>
      <c r="E5" s="35"/>
      <c r="F5" s="40"/>
      <c r="G5" s="49">
        <f t="shared" ref="G5:G6" si="0">IF((C5-D5)&lt;0,0,C5-D5)</f>
        <v>0</v>
      </c>
      <c r="H5" s="50">
        <f t="shared" ref="H5:H6" si="1">IF((D5-C5)&lt;0,0,D5-C5)</f>
        <v>0</v>
      </c>
    </row>
    <row r="6" spans="1:8" s="51" customFormat="1" ht="15">
      <c r="A6" s="35">
        <v>1</v>
      </c>
      <c r="B6" s="41" t="s">
        <v>12</v>
      </c>
      <c r="C6" s="35"/>
      <c r="D6" s="35"/>
      <c r="E6" s="35"/>
      <c r="F6" s="40"/>
      <c r="G6" s="49">
        <f t="shared" si="0"/>
        <v>0</v>
      </c>
      <c r="H6" s="50">
        <f t="shared" si="1"/>
        <v>0</v>
      </c>
    </row>
    <row r="7" spans="1:8" s="51" customFormat="1" ht="15">
      <c r="C7" s="4"/>
      <c r="D7" s="4"/>
      <c r="E7" s="4"/>
    </row>
    <row r="8" spans="1:8" s="51" customFormat="1" ht="15">
      <c r="A8" s="35">
        <v>2</v>
      </c>
      <c r="B8" s="41" t="s">
        <v>8</v>
      </c>
      <c r="C8" s="35"/>
      <c r="D8" s="35"/>
      <c r="E8" s="35"/>
      <c r="F8" s="40"/>
      <c r="G8" s="49">
        <f>IF((C8-D8)&lt;0,0,C8-D8)</f>
        <v>0</v>
      </c>
      <c r="H8" s="50">
        <f>IF((D8-C8)&lt;0,0,D8-C8)</f>
        <v>0</v>
      </c>
    </row>
    <row r="9" spans="1:8" s="51" customFormat="1" ht="15">
      <c r="A9" s="35">
        <v>2</v>
      </c>
      <c r="B9" s="41" t="s">
        <v>9</v>
      </c>
      <c r="C9" s="35"/>
      <c r="D9" s="35"/>
      <c r="E9" s="35"/>
      <c r="F9" s="40"/>
      <c r="G9" s="49">
        <f>IF((C9-D9)&lt;0,0,C9-D9)</f>
        <v>0</v>
      </c>
      <c r="H9" s="50">
        <f>IF((D9-C9)&lt;0,0,D9-C9)</f>
        <v>0</v>
      </c>
    </row>
    <row r="10" spans="1:8" s="51" customFormat="1" ht="15">
      <c r="A10" s="35">
        <v>2</v>
      </c>
      <c r="B10" s="41" t="s">
        <v>10</v>
      </c>
      <c r="C10" s="35"/>
      <c r="D10" s="35"/>
      <c r="E10" s="35"/>
      <c r="F10" s="40"/>
      <c r="G10" s="49">
        <f>IF((C10-D10)&lt;0,0,C10-D10)</f>
        <v>0</v>
      </c>
      <c r="H10" s="50">
        <f>IF((D10-C10)&lt;0,0,D10-C10)</f>
        <v>0</v>
      </c>
    </row>
    <row r="11" spans="1:8" s="51" customFormat="1" ht="15">
      <c r="A11" s="35">
        <v>2</v>
      </c>
      <c r="B11" s="41" t="s">
        <v>11</v>
      </c>
      <c r="C11" s="35"/>
      <c r="D11" s="35"/>
      <c r="E11" s="35"/>
      <c r="F11" s="40"/>
      <c r="G11" s="49">
        <f>IF((C11-D11)&lt;0,0,C11-D11)</f>
        <v>0</v>
      </c>
      <c r="H11" s="50">
        <f>IF((D11-C11)&lt;0,0,D11-C11)</f>
        <v>0</v>
      </c>
    </row>
    <row r="12" spans="1:8" s="51" customFormat="1" ht="15">
      <c r="A12" s="35">
        <v>2</v>
      </c>
      <c r="B12" s="41" t="s">
        <v>12</v>
      </c>
      <c r="C12" s="35"/>
      <c r="D12" s="35"/>
      <c r="E12" s="35"/>
      <c r="F12" s="40"/>
      <c r="G12" s="49">
        <f>IF((C12-D12)&lt;0,0,C12-D12)</f>
        <v>0</v>
      </c>
      <c r="H12" s="50">
        <f>IF((D12-C12)&lt;0,0,D12-C12)</f>
        <v>0</v>
      </c>
    </row>
    <row r="13" spans="1:8" s="51" customFormat="1" ht="15">
      <c r="C13" s="4"/>
      <c r="D13" s="4"/>
      <c r="E13" s="4"/>
    </row>
    <row r="14" spans="1:8" s="51" customFormat="1" ht="15">
      <c r="A14" s="35">
        <v>3</v>
      </c>
      <c r="B14" s="41" t="s">
        <v>8</v>
      </c>
      <c r="C14" s="35"/>
      <c r="D14" s="35"/>
      <c r="E14" s="35"/>
      <c r="F14" s="40"/>
      <c r="G14" s="49">
        <f t="shared" ref="G14:G19" si="2">IF((C14-D14)&lt;0,0,C14-D14)</f>
        <v>0</v>
      </c>
      <c r="H14" s="50">
        <f t="shared" ref="H14:H19" si="3">IF((D14-C14)&lt;0,0,D14-C14)</f>
        <v>0</v>
      </c>
    </row>
    <row r="15" spans="1:8" s="51" customFormat="1" ht="15">
      <c r="A15" s="35">
        <v>3</v>
      </c>
      <c r="B15" s="41" t="s">
        <v>9</v>
      </c>
      <c r="C15" s="35"/>
      <c r="D15" s="35"/>
      <c r="E15" s="35"/>
      <c r="F15" s="40"/>
      <c r="G15" s="49">
        <f t="shared" si="2"/>
        <v>0</v>
      </c>
      <c r="H15" s="50">
        <f t="shared" si="3"/>
        <v>0</v>
      </c>
    </row>
    <row r="16" spans="1:8" s="51" customFormat="1" ht="15">
      <c r="A16" s="35">
        <v>3</v>
      </c>
      <c r="B16" s="41" t="s">
        <v>10</v>
      </c>
      <c r="C16" s="35"/>
      <c r="D16" s="35"/>
      <c r="E16" s="35"/>
      <c r="F16" s="40"/>
      <c r="G16" s="49">
        <f t="shared" si="2"/>
        <v>0</v>
      </c>
      <c r="H16" s="50">
        <f t="shared" si="3"/>
        <v>0</v>
      </c>
    </row>
    <row r="17" spans="1:8" s="51" customFormat="1" ht="15">
      <c r="A17" s="35">
        <v>3</v>
      </c>
      <c r="B17" s="41" t="s">
        <v>13</v>
      </c>
      <c r="C17" s="35"/>
      <c r="D17" s="35"/>
      <c r="E17" s="35"/>
      <c r="F17" s="40"/>
      <c r="G17" s="49">
        <f t="shared" si="2"/>
        <v>0</v>
      </c>
      <c r="H17" s="50">
        <f t="shared" si="3"/>
        <v>0</v>
      </c>
    </row>
    <row r="18" spans="1:8" s="51" customFormat="1" ht="15">
      <c r="A18" s="35">
        <v>3</v>
      </c>
      <c r="B18" s="41" t="s">
        <v>11</v>
      </c>
      <c r="C18" s="35"/>
      <c r="D18" s="35"/>
      <c r="E18" s="35"/>
      <c r="F18" s="40"/>
      <c r="G18" s="49">
        <f t="shared" si="2"/>
        <v>0</v>
      </c>
      <c r="H18" s="50">
        <f t="shared" si="3"/>
        <v>0</v>
      </c>
    </row>
    <row r="19" spans="1:8" s="51" customFormat="1" ht="15">
      <c r="A19" s="35">
        <v>3</v>
      </c>
      <c r="B19" s="41" t="s">
        <v>12</v>
      </c>
      <c r="C19" s="35"/>
      <c r="D19" s="35"/>
      <c r="E19" s="35"/>
      <c r="F19" s="40"/>
      <c r="G19" s="49">
        <f t="shared" si="2"/>
        <v>0</v>
      </c>
      <c r="H19" s="50">
        <f t="shared" si="3"/>
        <v>0</v>
      </c>
    </row>
    <row r="20" spans="1:8" s="51" customFormat="1" ht="15">
      <c r="A20" s="43"/>
      <c r="B20" s="43"/>
      <c r="C20" s="6"/>
      <c r="D20" s="6"/>
      <c r="E20" s="6"/>
      <c r="F20" s="43"/>
      <c r="G20" s="43"/>
      <c r="H20" s="43"/>
    </row>
    <row r="21" spans="1:8" s="51" customFormat="1" ht="15">
      <c r="A21" s="35">
        <v>4</v>
      </c>
      <c r="B21" s="42" t="s">
        <v>14</v>
      </c>
      <c r="C21" s="35"/>
      <c r="D21" s="35"/>
      <c r="E21" s="35"/>
      <c r="F21" s="40"/>
      <c r="G21" s="49">
        <f t="shared" ref="G21:G29" si="4">IF((C21-D21)&lt;0,0,C21-D21)</f>
        <v>0</v>
      </c>
      <c r="H21" s="50">
        <f t="shared" ref="H21:H29" si="5">IF((D21-C21)&lt;0,0,D21-C21)</f>
        <v>0</v>
      </c>
    </row>
    <row r="22" spans="1:8" s="51" customFormat="1" ht="15">
      <c r="A22" s="35">
        <v>4</v>
      </c>
      <c r="B22" s="42" t="s">
        <v>15</v>
      </c>
      <c r="C22" s="35"/>
      <c r="D22" s="35"/>
      <c r="E22" s="35"/>
      <c r="F22" s="40"/>
      <c r="G22" s="49">
        <f t="shared" si="4"/>
        <v>0</v>
      </c>
      <c r="H22" s="50">
        <f t="shared" si="5"/>
        <v>0</v>
      </c>
    </row>
    <row r="23" spans="1:8" s="51" customFormat="1" ht="15">
      <c r="A23" s="35">
        <v>4</v>
      </c>
      <c r="B23" s="42" t="s">
        <v>12</v>
      </c>
      <c r="C23" s="35"/>
      <c r="D23" s="35"/>
      <c r="E23" s="35"/>
      <c r="F23" s="40"/>
      <c r="G23" s="49">
        <f t="shared" si="4"/>
        <v>0</v>
      </c>
      <c r="H23" s="50">
        <f t="shared" si="5"/>
        <v>0</v>
      </c>
    </row>
    <row r="24" spans="1:8" s="51" customFormat="1" ht="15">
      <c r="A24" s="35">
        <v>4</v>
      </c>
      <c r="B24" s="42" t="s">
        <v>10</v>
      </c>
      <c r="C24" s="35"/>
      <c r="D24" s="35"/>
      <c r="E24" s="35"/>
      <c r="F24" s="40"/>
      <c r="G24" s="49">
        <f t="shared" si="4"/>
        <v>0</v>
      </c>
      <c r="H24" s="50">
        <f t="shared" si="5"/>
        <v>0</v>
      </c>
    </row>
    <row r="25" spans="1:8" s="51" customFormat="1" ht="15">
      <c r="A25" s="35">
        <v>4</v>
      </c>
      <c r="B25" s="42" t="s">
        <v>16</v>
      </c>
      <c r="C25" s="35"/>
      <c r="D25" s="35"/>
      <c r="E25" s="35"/>
      <c r="F25" s="40"/>
      <c r="G25" s="49">
        <f t="shared" si="4"/>
        <v>0</v>
      </c>
      <c r="H25" s="50">
        <f t="shared" si="5"/>
        <v>0</v>
      </c>
    </row>
    <row r="26" spans="1:8" s="51" customFormat="1" ht="15">
      <c r="A26" s="35">
        <v>4</v>
      </c>
      <c r="B26" s="42" t="s">
        <v>13</v>
      </c>
      <c r="C26" s="35"/>
      <c r="D26" s="35"/>
      <c r="E26" s="35"/>
      <c r="F26" s="40"/>
      <c r="G26" s="49">
        <f t="shared" si="4"/>
        <v>0</v>
      </c>
      <c r="H26" s="50">
        <f t="shared" si="5"/>
        <v>0</v>
      </c>
    </row>
    <row r="27" spans="1:8" s="51" customFormat="1" ht="15">
      <c r="A27" s="35">
        <v>4</v>
      </c>
      <c r="B27" s="42" t="s">
        <v>17</v>
      </c>
      <c r="C27" s="35"/>
      <c r="D27" s="35"/>
      <c r="E27" s="35"/>
      <c r="F27" s="40"/>
      <c r="G27" s="49">
        <f t="shared" si="4"/>
        <v>0</v>
      </c>
      <c r="H27" s="50">
        <f t="shared" si="5"/>
        <v>0</v>
      </c>
    </row>
    <row r="28" spans="1:8" s="51" customFormat="1" ht="15">
      <c r="A28" s="35">
        <v>4</v>
      </c>
      <c r="B28" s="42" t="s">
        <v>18</v>
      </c>
      <c r="C28" s="35"/>
      <c r="D28" s="35"/>
      <c r="E28" s="35"/>
      <c r="F28" s="40"/>
      <c r="G28" s="49">
        <f t="shared" si="4"/>
        <v>0</v>
      </c>
      <c r="H28" s="50">
        <f t="shared" si="5"/>
        <v>0</v>
      </c>
    </row>
    <row r="29" spans="1:8" s="51" customFormat="1" ht="15">
      <c r="A29" s="35">
        <v>4</v>
      </c>
      <c r="B29" s="42" t="s">
        <v>19</v>
      </c>
      <c r="C29" s="35"/>
      <c r="D29" s="35"/>
      <c r="E29" s="35"/>
      <c r="F29" s="40"/>
      <c r="G29" s="49">
        <f t="shared" si="4"/>
        <v>0</v>
      </c>
      <c r="H29" s="50">
        <f t="shared" si="5"/>
        <v>0</v>
      </c>
    </row>
    <row r="30" spans="1:8" s="51" customFormat="1" ht="15">
      <c r="A30" s="43"/>
      <c r="B30" s="43"/>
      <c r="C30" s="6"/>
      <c r="D30" s="6"/>
      <c r="E30" s="6"/>
      <c r="F30" s="43"/>
      <c r="G30" s="43"/>
      <c r="H30" s="43"/>
    </row>
    <row r="31" spans="1:8" s="51" customFormat="1" ht="15">
      <c r="A31" s="35">
        <v>5</v>
      </c>
      <c r="B31" s="42" t="s">
        <v>14</v>
      </c>
      <c r="C31" s="35"/>
      <c r="D31" s="35"/>
      <c r="E31" s="35"/>
      <c r="F31" s="40"/>
      <c r="G31" s="49">
        <f t="shared" ref="G31:G39" si="6">IF((C31-D31)&lt;0,0,C31-D31)</f>
        <v>0</v>
      </c>
      <c r="H31" s="50">
        <f t="shared" ref="H31:H39" si="7">IF((D31-C31)&lt;0,0,D31-C31)</f>
        <v>0</v>
      </c>
    </row>
    <row r="32" spans="1:8" s="51" customFormat="1" ht="15">
      <c r="A32" s="35">
        <v>5</v>
      </c>
      <c r="B32" s="42" t="s">
        <v>15</v>
      </c>
      <c r="C32" s="35"/>
      <c r="D32" s="35"/>
      <c r="E32" s="35"/>
      <c r="F32" s="40"/>
      <c r="G32" s="49">
        <f t="shared" si="6"/>
        <v>0</v>
      </c>
      <c r="H32" s="50">
        <f t="shared" si="7"/>
        <v>0</v>
      </c>
    </row>
    <row r="33" spans="1:8" s="51" customFormat="1" ht="15">
      <c r="A33" s="35">
        <v>5</v>
      </c>
      <c r="B33" s="42" t="s">
        <v>12</v>
      </c>
      <c r="C33" s="35"/>
      <c r="D33" s="35"/>
      <c r="E33" s="35"/>
      <c r="F33" s="40"/>
      <c r="G33" s="49">
        <f t="shared" si="6"/>
        <v>0</v>
      </c>
      <c r="H33" s="50">
        <f t="shared" si="7"/>
        <v>0</v>
      </c>
    </row>
    <row r="34" spans="1:8" s="51" customFormat="1" ht="15">
      <c r="A34" s="35">
        <v>5</v>
      </c>
      <c r="B34" s="42" t="s">
        <v>10</v>
      </c>
      <c r="C34" s="35"/>
      <c r="D34" s="35"/>
      <c r="E34" s="35"/>
      <c r="F34" s="40"/>
      <c r="G34" s="49">
        <f t="shared" si="6"/>
        <v>0</v>
      </c>
      <c r="H34" s="50">
        <f t="shared" si="7"/>
        <v>0</v>
      </c>
    </row>
    <row r="35" spans="1:8" s="51" customFormat="1" ht="15">
      <c r="A35" s="35">
        <v>5</v>
      </c>
      <c r="B35" s="42" t="s">
        <v>16</v>
      </c>
      <c r="C35" s="35"/>
      <c r="D35" s="35"/>
      <c r="E35" s="35"/>
      <c r="F35" s="40"/>
      <c r="G35" s="49">
        <f t="shared" si="6"/>
        <v>0</v>
      </c>
      <c r="H35" s="50">
        <f t="shared" si="7"/>
        <v>0</v>
      </c>
    </row>
    <row r="36" spans="1:8" s="51" customFormat="1" ht="15">
      <c r="A36" s="35">
        <v>5</v>
      </c>
      <c r="B36" s="42" t="s">
        <v>13</v>
      </c>
      <c r="C36" s="35"/>
      <c r="D36" s="35"/>
      <c r="E36" s="35"/>
      <c r="F36" s="40"/>
      <c r="G36" s="49">
        <f t="shared" si="6"/>
        <v>0</v>
      </c>
      <c r="H36" s="50">
        <f t="shared" si="7"/>
        <v>0</v>
      </c>
    </row>
    <row r="37" spans="1:8" s="51" customFormat="1" ht="15">
      <c r="A37" s="35">
        <v>5</v>
      </c>
      <c r="B37" s="42" t="s">
        <v>17</v>
      </c>
      <c r="C37" s="35"/>
      <c r="D37" s="35"/>
      <c r="E37" s="35"/>
      <c r="F37" s="40"/>
      <c r="G37" s="49">
        <f t="shared" si="6"/>
        <v>0</v>
      </c>
      <c r="H37" s="50">
        <f t="shared" si="7"/>
        <v>0</v>
      </c>
    </row>
    <row r="38" spans="1:8" s="51" customFormat="1" ht="15">
      <c r="A38" s="35">
        <v>5</v>
      </c>
      <c r="B38" s="42" t="s">
        <v>18</v>
      </c>
      <c r="C38" s="35"/>
      <c r="D38" s="35"/>
      <c r="E38" s="35"/>
      <c r="F38" s="40"/>
      <c r="G38" s="49">
        <f t="shared" si="6"/>
        <v>0</v>
      </c>
      <c r="H38" s="50">
        <f t="shared" si="7"/>
        <v>0</v>
      </c>
    </row>
    <row r="39" spans="1:8" s="51" customFormat="1" ht="15">
      <c r="A39" s="35">
        <v>5</v>
      </c>
      <c r="B39" s="42" t="s">
        <v>19</v>
      </c>
      <c r="C39" s="35"/>
      <c r="D39" s="35"/>
      <c r="E39" s="35"/>
      <c r="F39" s="40"/>
      <c r="G39" s="49">
        <f t="shared" si="6"/>
        <v>0</v>
      </c>
      <c r="H39" s="50">
        <f t="shared" si="7"/>
        <v>0</v>
      </c>
    </row>
    <row r="40" spans="1:8" s="51" customFormat="1" ht="15">
      <c r="A40" s="43"/>
      <c r="B40" s="43"/>
      <c r="C40" s="6"/>
      <c r="D40" s="6"/>
      <c r="E40" s="6"/>
      <c r="F40" s="43"/>
      <c r="G40" s="43"/>
      <c r="H40" s="43"/>
    </row>
    <row r="41" spans="1:8" s="51" customFormat="1" ht="15">
      <c r="A41" s="35">
        <v>6</v>
      </c>
      <c r="B41" s="42" t="s">
        <v>14</v>
      </c>
      <c r="C41" s="35"/>
      <c r="D41" s="35"/>
      <c r="E41" s="35"/>
      <c r="F41" s="40"/>
      <c r="G41" s="49">
        <f t="shared" ref="G41:G49" si="8">IF((C41-D41)&lt;0,0,C41-D41)</f>
        <v>0</v>
      </c>
      <c r="H41" s="50">
        <f t="shared" ref="H41:H49" si="9">IF((D41-C41)&lt;0,0,D41-C41)</f>
        <v>0</v>
      </c>
    </row>
    <row r="42" spans="1:8" s="51" customFormat="1" ht="15">
      <c r="A42" s="35">
        <v>6</v>
      </c>
      <c r="B42" s="42" t="s">
        <v>15</v>
      </c>
      <c r="C42" s="35"/>
      <c r="D42" s="35"/>
      <c r="E42" s="35"/>
      <c r="F42" s="40"/>
      <c r="G42" s="49">
        <f t="shared" si="8"/>
        <v>0</v>
      </c>
      <c r="H42" s="50">
        <f t="shared" si="9"/>
        <v>0</v>
      </c>
    </row>
    <row r="43" spans="1:8" s="51" customFormat="1" ht="15">
      <c r="A43" s="35">
        <v>6</v>
      </c>
      <c r="B43" s="42" t="s">
        <v>12</v>
      </c>
      <c r="C43" s="35"/>
      <c r="D43" s="35"/>
      <c r="E43" s="35"/>
      <c r="F43" s="40"/>
      <c r="G43" s="49">
        <f t="shared" si="8"/>
        <v>0</v>
      </c>
      <c r="H43" s="50">
        <f t="shared" si="9"/>
        <v>0</v>
      </c>
    </row>
    <row r="44" spans="1:8" s="51" customFormat="1" ht="15">
      <c r="A44" s="35">
        <v>6</v>
      </c>
      <c r="B44" s="42" t="s">
        <v>10</v>
      </c>
      <c r="C44" s="35"/>
      <c r="D44" s="35"/>
      <c r="E44" s="35"/>
      <c r="F44" s="40"/>
      <c r="G44" s="49">
        <f t="shared" si="8"/>
        <v>0</v>
      </c>
      <c r="H44" s="50">
        <f t="shared" si="9"/>
        <v>0</v>
      </c>
    </row>
    <row r="45" spans="1:8" s="51" customFormat="1" ht="15">
      <c r="A45" s="35">
        <v>6</v>
      </c>
      <c r="B45" s="42" t="s">
        <v>16</v>
      </c>
      <c r="C45" s="35"/>
      <c r="D45" s="35"/>
      <c r="E45" s="35"/>
      <c r="F45" s="40"/>
      <c r="G45" s="49">
        <f t="shared" si="8"/>
        <v>0</v>
      </c>
      <c r="H45" s="50">
        <f t="shared" si="9"/>
        <v>0</v>
      </c>
    </row>
    <row r="46" spans="1:8" s="51" customFormat="1" ht="15">
      <c r="A46" s="35">
        <v>6</v>
      </c>
      <c r="B46" s="42" t="s">
        <v>13</v>
      </c>
      <c r="C46" s="35"/>
      <c r="D46" s="35"/>
      <c r="E46" s="35"/>
      <c r="F46" s="40"/>
      <c r="G46" s="49">
        <f t="shared" si="8"/>
        <v>0</v>
      </c>
      <c r="H46" s="50">
        <f t="shared" si="9"/>
        <v>0</v>
      </c>
    </row>
    <row r="47" spans="1:8" s="51" customFormat="1" ht="15">
      <c r="A47" s="35">
        <v>6</v>
      </c>
      <c r="B47" s="42" t="s">
        <v>17</v>
      </c>
      <c r="C47" s="35"/>
      <c r="D47" s="35"/>
      <c r="E47" s="35"/>
      <c r="F47" s="40"/>
      <c r="G47" s="49">
        <f t="shared" si="8"/>
        <v>0</v>
      </c>
      <c r="H47" s="50">
        <f t="shared" si="9"/>
        <v>0</v>
      </c>
    </row>
    <row r="48" spans="1:8" s="51" customFormat="1" ht="15">
      <c r="A48" s="35">
        <v>6</v>
      </c>
      <c r="B48" s="42" t="s">
        <v>18</v>
      </c>
      <c r="C48" s="35"/>
      <c r="D48" s="35"/>
      <c r="E48" s="35"/>
      <c r="F48" s="40"/>
      <c r="G48" s="49">
        <f t="shared" si="8"/>
        <v>0</v>
      </c>
      <c r="H48" s="50">
        <f t="shared" si="9"/>
        <v>0</v>
      </c>
    </row>
    <row r="49" spans="1:8" s="51" customFormat="1" ht="15">
      <c r="A49" s="35">
        <v>6</v>
      </c>
      <c r="B49" s="42" t="s">
        <v>19</v>
      </c>
      <c r="C49" s="35"/>
      <c r="D49" s="35"/>
      <c r="E49" s="35"/>
      <c r="F49" s="40"/>
      <c r="G49" s="49">
        <f t="shared" si="8"/>
        <v>0</v>
      </c>
      <c r="H49" s="50">
        <f t="shared" si="9"/>
        <v>0</v>
      </c>
    </row>
    <row r="50" spans="1:8" s="51" customFormat="1" ht="15">
      <c r="A50" s="43"/>
      <c r="B50" s="43"/>
      <c r="C50" s="6"/>
      <c r="D50" s="6"/>
      <c r="E50" s="6"/>
      <c r="F50" s="43"/>
      <c r="G50" s="43"/>
      <c r="H50" s="43"/>
    </row>
    <row r="51" spans="1:8" s="51" customFormat="1" ht="15">
      <c r="A51" s="45">
        <v>7</v>
      </c>
      <c r="B51" s="46" t="s">
        <v>14</v>
      </c>
      <c r="C51" s="45">
        <v>337</v>
      </c>
      <c r="D51" s="45"/>
      <c r="E51" s="45"/>
      <c r="F51" s="47"/>
      <c r="G51" s="49">
        <f t="shared" ref="G51:G59" si="10">IF((C51-D51)&lt;0,0,C51-D51)</f>
        <v>337</v>
      </c>
      <c r="H51" s="50">
        <f t="shared" ref="H51:H59" si="11">IF((D51-C51)&lt;0,0,D51-C51)</f>
        <v>0</v>
      </c>
    </row>
    <row r="52" spans="1:8" s="51" customFormat="1" ht="15">
      <c r="A52" s="45">
        <v>7</v>
      </c>
      <c r="B52" s="46" t="s">
        <v>15</v>
      </c>
      <c r="C52" s="45">
        <v>337</v>
      </c>
      <c r="D52" s="45"/>
      <c r="E52" s="45"/>
      <c r="F52" s="47"/>
      <c r="G52" s="49">
        <f t="shared" si="10"/>
        <v>337</v>
      </c>
      <c r="H52" s="50">
        <f t="shared" si="11"/>
        <v>0</v>
      </c>
    </row>
    <row r="53" spans="1:8" s="51" customFormat="1" ht="15">
      <c r="A53" s="45">
        <v>7</v>
      </c>
      <c r="B53" s="46" t="s">
        <v>12</v>
      </c>
      <c r="C53" s="45">
        <v>337</v>
      </c>
      <c r="D53" s="45">
        <v>762</v>
      </c>
      <c r="E53" s="45"/>
      <c r="F53" s="47"/>
      <c r="G53" s="49">
        <f t="shared" si="10"/>
        <v>0</v>
      </c>
      <c r="H53" s="50">
        <f t="shared" si="11"/>
        <v>425</v>
      </c>
    </row>
    <row r="54" spans="1:8" s="51" customFormat="1" ht="15">
      <c r="A54" s="45">
        <v>7</v>
      </c>
      <c r="B54" s="46" t="s">
        <v>20</v>
      </c>
      <c r="C54" s="45">
        <v>337</v>
      </c>
      <c r="D54" s="45"/>
      <c r="E54" s="45"/>
      <c r="F54" s="47"/>
      <c r="G54" s="49">
        <f t="shared" si="10"/>
        <v>337</v>
      </c>
      <c r="H54" s="50">
        <f t="shared" si="11"/>
        <v>0</v>
      </c>
    </row>
    <row r="55" spans="1:8" s="51" customFormat="1" ht="15">
      <c r="A55" s="45">
        <v>7</v>
      </c>
      <c r="B55" s="46" t="s">
        <v>16</v>
      </c>
      <c r="C55" s="45">
        <v>337</v>
      </c>
      <c r="D55" s="45">
        <v>762</v>
      </c>
      <c r="E55" s="45"/>
      <c r="F55" s="47"/>
      <c r="G55" s="49">
        <f t="shared" si="10"/>
        <v>0</v>
      </c>
      <c r="H55" s="50">
        <f t="shared" si="11"/>
        <v>425</v>
      </c>
    </row>
    <row r="56" spans="1:8" s="51" customFormat="1" ht="15">
      <c r="A56" s="45">
        <v>7</v>
      </c>
      <c r="B56" s="46" t="s">
        <v>13</v>
      </c>
      <c r="C56" s="45">
        <v>337</v>
      </c>
      <c r="D56" s="45">
        <v>762</v>
      </c>
      <c r="E56" s="45"/>
      <c r="F56" s="47"/>
      <c r="G56" s="49">
        <f t="shared" si="10"/>
        <v>0</v>
      </c>
      <c r="H56" s="50">
        <f t="shared" si="11"/>
        <v>425</v>
      </c>
    </row>
    <row r="57" spans="1:8" s="51" customFormat="1" ht="15">
      <c r="A57" s="45">
        <v>7</v>
      </c>
      <c r="B57" s="46" t="s">
        <v>17</v>
      </c>
      <c r="C57" s="45">
        <v>337</v>
      </c>
      <c r="D57" s="45">
        <v>762</v>
      </c>
      <c r="E57" s="45"/>
      <c r="F57" s="47"/>
      <c r="G57" s="49">
        <f t="shared" si="10"/>
        <v>0</v>
      </c>
      <c r="H57" s="50">
        <f t="shared" si="11"/>
        <v>425</v>
      </c>
    </row>
    <row r="58" spans="1:8" s="51" customFormat="1" ht="15">
      <c r="A58" s="45">
        <v>7</v>
      </c>
      <c r="B58" s="46" t="s">
        <v>21</v>
      </c>
      <c r="C58" s="45">
        <v>337</v>
      </c>
      <c r="D58" s="45">
        <v>762</v>
      </c>
      <c r="E58" s="45"/>
      <c r="F58" s="47"/>
      <c r="G58" s="49">
        <f t="shared" si="10"/>
        <v>0</v>
      </c>
      <c r="H58" s="50">
        <f t="shared" si="11"/>
        <v>425</v>
      </c>
    </row>
    <row r="59" spans="1:8" s="51" customFormat="1" ht="15">
      <c r="A59" s="45">
        <v>7</v>
      </c>
      <c r="B59" s="46" t="s">
        <v>19</v>
      </c>
      <c r="C59" s="45">
        <v>337</v>
      </c>
      <c r="D59" s="45"/>
      <c r="E59" s="45"/>
      <c r="F59" s="47"/>
      <c r="G59" s="49">
        <f t="shared" si="10"/>
        <v>337</v>
      </c>
      <c r="H59" s="50">
        <f t="shared" si="11"/>
        <v>0</v>
      </c>
    </row>
    <row r="60" spans="1:8" s="51" customFormat="1" ht="15">
      <c r="A60" s="43"/>
      <c r="B60" s="43"/>
      <c r="C60" s="6"/>
      <c r="D60" s="6"/>
      <c r="E60" s="6"/>
      <c r="F60" s="43"/>
      <c r="G60" s="43"/>
      <c r="H60" s="43"/>
    </row>
    <row r="61" spans="1:8" s="51" customFormat="1" ht="15">
      <c r="A61" s="45">
        <v>8</v>
      </c>
      <c r="B61" s="46" t="s">
        <v>14</v>
      </c>
      <c r="C61" s="45">
        <v>430</v>
      </c>
      <c r="D61" s="45"/>
      <c r="E61" s="45"/>
      <c r="F61" s="47"/>
      <c r="G61" s="49">
        <f t="shared" ref="G61:G69" si="12">IF((C61-D61)&lt;0,0,C61-D61)</f>
        <v>430</v>
      </c>
      <c r="H61" s="50">
        <f t="shared" ref="H61:H69" si="13">IF((D61-C61)&lt;0,0,D61-C61)</f>
        <v>0</v>
      </c>
    </row>
    <row r="62" spans="1:8" s="51" customFormat="1" ht="15">
      <c r="A62" s="45">
        <v>8</v>
      </c>
      <c r="B62" s="46" t="s">
        <v>15</v>
      </c>
      <c r="C62" s="45">
        <v>430</v>
      </c>
      <c r="D62" s="45"/>
      <c r="E62" s="45"/>
      <c r="F62" s="47"/>
      <c r="G62" s="49">
        <f t="shared" si="12"/>
        <v>430</v>
      </c>
      <c r="H62" s="50">
        <f t="shared" si="13"/>
        <v>0</v>
      </c>
    </row>
    <row r="63" spans="1:8" s="51" customFormat="1" ht="15">
      <c r="A63" s="45">
        <v>8</v>
      </c>
      <c r="B63" s="46" t="s">
        <v>12</v>
      </c>
      <c r="C63" s="45">
        <v>430</v>
      </c>
      <c r="D63" s="45">
        <v>718</v>
      </c>
      <c r="E63" s="45"/>
      <c r="F63" s="47"/>
      <c r="G63" s="49">
        <f t="shared" si="12"/>
        <v>0</v>
      </c>
      <c r="H63" s="50">
        <f t="shared" si="13"/>
        <v>288</v>
      </c>
    </row>
    <row r="64" spans="1:8" s="51" customFormat="1" ht="15">
      <c r="A64" s="45">
        <v>8</v>
      </c>
      <c r="B64" s="46" t="s">
        <v>20</v>
      </c>
      <c r="C64" s="45">
        <v>430</v>
      </c>
      <c r="D64" s="45">
        <v>718</v>
      </c>
      <c r="E64" s="45"/>
      <c r="F64" s="47"/>
      <c r="G64" s="49">
        <f t="shared" si="12"/>
        <v>0</v>
      </c>
      <c r="H64" s="50">
        <f t="shared" si="13"/>
        <v>288</v>
      </c>
    </row>
    <row r="65" spans="1:8" s="51" customFormat="1" ht="15">
      <c r="A65" s="45">
        <v>8</v>
      </c>
      <c r="B65" s="46" t="s">
        <v>22</v>
      </c>
      <c r="C65" s="45">
        <v>430</v>
      </c>
      <c r="D65" s="45"/>
      <c r="E65" s="45"/>
      <c r="F65" s="47"/>
      <c r="G65" s="49">
        <f t="shared" si="12"/>
        <v>430</v>
      </c>
      <c r="H65" s="50">
        <f t="shared" si="13"/>
        <v>0</v>
      </c>
    </row>
    <row r="66" spans="1:8" s="51" customFormat="1" ht="15">
      <c r="A66" s="45">
        <v>8</v>
      </c>
      <c r="B66" s="46" t="s">
        <v>13</v>
      </c>
      <c r="C66" s="45">
        <v>430</v>
      </c>
      <c r="D66" s="45">
        <v>123</v>
      </c>
      <c r="E66" s="45"/>
      <c r="F66" s="47"/>
      <c r="G66" s="49">
        <f t="shared" si="12"/>
        <v>307</v>
      </c>
      <c r="H66" s="50">
        <f t="shared" si="13"/>
        <v>0</v>
      </c>
    </row>
    <row r="67" spans="1:8" s="51" customFormat="1" ht="15">
      <c r="A67" s="45">
        <v>8</v>
      </c>
      <c r="B67" s="46" t="s">
        <v>17</v>
      </c>
      <c r="C67" s="45">
        <v>430</v>
      </c>
      <c r="D67" s="45"/>
      <c r="E67" s="45"/>
      <c r="F67" s="47"/>
      <c r="G67" s="49">
        <f t="shared" si="12"/>
        <v>430</v>
      </c>
      <c r="H67" s="50">
        <f t="shared" si="13"/>
        <v>0</v>
      </c>
    </row>
    <row r="68" spans="1:8" s="51" customFormat="1" ht="15">
      <c r="A68" s="45">
        <v>8</v>
      </c>
      <c r="B68" s="46" t="s">
        <v>21</v>
      </c>
      <c r="C68" s="45">
        <v>430</v>
      </c>
      <c r="D68" s="45"/>
      <c r="E68" s="45"/>
      <c r="F68" s="47"/>
      <c r="G68" s="49">
        <f t="shared" si="12"/>
        <v>430</v>
      </c>
      <c r="H68" s="50">
        <f t="shared" si="13"/>
        <v>0</v>
      </c>
    </row>
    <row r="69" spans="1:8" s="51" customFormat="1" ht="15">
      <c r="A69" s="45">
        <v>8</v>
      </c>
      <c r="B69" s="46" t="s">
        <v>19</v>
      </c>
      <c r="C69" s="45">
        <v>430</v>
      </c>
      <c r="D69" s="45"/>
      <c r="E69" s="45"/>
      <c r="F69" s="47"/>
      <c r="G69" s="49">
        <f t="shared" si="12"/>
        <v>430</v>
      </c>
      <c r="H69" s="50">
        <f t="shared" si="13"/>
        <v>0</v>
      </c>
    </row>
    <row r="70" spans="1:8" s="51" customFormat="1" ht="15">
      <c r="A70" s="43"/>
      <c r="B70" s="43"/>
      <c r="C70" s="6"/>
      <c r="D70" s="6"/>
      <c r="E70" s="6"/>
      <c r="F70" s="43"/>
      <c r="G70" s="43"/>
      <c r="H70" s="43"/>
    </row>
    <row r="71" spans="1:8" s="51" customFormat="1" ht="15">
      <c r="A71" s="45">
        <v>9</v>
      </c>
      <c r="B71" s="46" t="s">
        <v>14</v>
      </c>
      <c r="C71" s="45">
        <v>444</v>
      </c>
      <c r="D71" s="45">
        <v>430</v>
      </c>
      <c r="E71" s="45"/>
      <c r="F71" s="47"/>
      <c r="G71" s="49">
        <f t="shared" ref="G71:G79" si="14">IF((C71-D71)&lt;0,0,C71-D71)</f>
        <v>14</v>
      </c>
      <c r="H71" s="50">
        <f t="shared" ref="H71:H79" si="15">IF((D71-C71)&lt;0,0,D71-C71)</f>
        <v>0</v>
      </c>
    </row>
    <row r="72" spans="1:8" s="51" customFormat="1" ht="15">
      <c r="A72" s="45">
        <v>9</v>
      </c>
      <c r="B72" s="46" t="s">
        <v>15</v>
      </c>
      <c r="C72" s="45">
        <v>444</v>
      </c>
      <c r="D72" s="45">
        <v>1276</v>
      </c>
      <c r="E72" s="45"/>
      <c r="F72" s="47"/>
      <c r="G72" s="49">
        <f t="shared" si="14"/>
        <v>0</v>
      </c>
      <c r="H72" s="50">
        <f t="shared" si="15"/>
        <v>832</v>
      </c>
    </row>
    <row r="73" spans="1:8" s="51" customFormat="1" ht="15">
      <c r="A73" s="45">
        <v>9</v>
      </c>
      <c r="B73" s="46" t="s">
        <v>12</v>
      </c>
      <c r="C73" s="45">
        <v>444</v>
      </c>
      <c r="D73" s="45">
        <v>430</v>
      </c>
      <c r="E73" s="45"/>
      <c r="F73" s="47"/>
      <c r="G73" s="49">
        <f t="shared" si="14"/>
        <v>14</v>
      </c>
      <c r="H73" s="50">
        <f t="shared" si="15"/>
        <v>0</v>
      </c>
    </row>
    <row r="74" spans="1:8" s="51" customFormat="1" ht="15">
      <c r="A74" s="45">
        <v>9</v>
      </c>
      <c r="B74" s="46" t="s">
        <v>20</v>
      </c>
      <c r="C74" s="45">
        <v>444</v>
      </c>
      <c r="D74" s="45"/>
      <c r="E74" s="45"/>
      <c r="F74" s="47"/>
      <c r="G74" s="49">
        <f t="shared" si="14"/>
        <v>444</v>
      </c>
      <c r="H74" s="50">
        <f t="shared" si="15"/>
        <v>0</v>
      </c>
    </row>
    <row r="75" spans="1:8" s="51" customFormat="1" ht="15">
      <c r="A75" s="45">
        <v>9</v>
      </c>
      <c r="B75" s="46" t="s">
        <v>22</v>
      </c>
      <c r="C75" s="45">
        <v>444</v>
      </c>
      <c r="D75" s="45"/>
      <c r="E75" s="45"/>
      <c r="F75" s="47"/>
      <c r="G75" s="49">
        <f t="shared" si="14"/>
        <v>444</v>
      </c>
      <c r="H75" s="50">
        <f t="shared" si="15"/>
        <v>0</v>
      </c>
    </row>
    <row r="76" spans="1:8" s="51" customFormat="1" ht="15">
      <c r="A76" s="45">
        <v>9</v>
      </c>
      <c r="B76" s="46" t="s">
        <v>13</v>
      </c>
      <c r="C76" s="45">
        <v>444</v>
      </c>
      <c r="D76" s="45">
        <v>430</v>
      </c>
      <c r="E76" s="45"/>
      <c r="F76" s="47"/>
      <c r="G76" s="49">
        <f t="shared" si="14"/>
        <v>14</v>
      </c>
      <c r="H76" s="50">
        <f t="shared" si="15"/>
        <v>0</v>
      </c>
    </row>
    <row r="77" spans="1:8" s="51" customFormat="1" ht="15">
      <c r="A77" s="45">
        <v>9</v>
      </c>
      <c r="B77" s="46" t="s">
        <v>17</v>
      </c>
      <c r="C77" s="45">
        <v>444</v>
      </c>
      <c r="D77" s="45"/>
      <c r="E77" s="45"/>
      <c r="F77" s="47"/>
      <c r="G77" s="49">
        <f t="shared" si="14"/>
        <v>444</v>
      </c>
      <c r="H77" s="50">
        <f t="shared" si="15"/>
        <v>0</v>
      </c>
    </row>
    <row r="78" spans="1:8" s="51" customFormat="1" ht="15">
      <c r="A78" s="45">
        <v>9</v>
      </c>
      <c r="B78" s="46" t="s">
        <v>21</v>
      </c>
      <c r="C78" s="45">
        <v>444</v>
      </c>
      <c r="D78" s="45"/>
      <c r="E78" s="45"/>
      <c r="F78" s="47"/>
      <c r="G78" s="49">
        <f t="shared" si="14"/>
        <v>444</v>
      </c>
      <c r="H78" s="50">
        <f t="shared" si="15"/>
        <v>0</v>
      </c>
    </row>
    <row r="79" spans="1:8" s="51" customFormat="1" ht="15">
      <c r="A79" s="45">
        <v>9</v>
      </c>
      <c r="B79" s="46" t="s">
        <v>19</v>
      </c>
      <c r="C79" s="45">
        <v>444</v>
      </c>
      <c r="D79" s="45">
        <v>430</v>
      </c>
      <c r="E79" s="45"/>
      <c r="F79" s="47"/>
      <c r="G79" s="49">
        <f t="shared" si="14"/>
        <v>14</v>
      </c>
      <c r="H79" s="50">
        <f t="shared" si="15"/>
        <v>0</v>
      </c>
    </row>
    <row r="80" spans="1:8" s="51" customFormat="1" ht="15">
      <c r="A80" s="43"/>
      <c r="B80" s="6"/>
      <c r="C80" s="6"/>
      <c r="D80" s="6"/>
      <c r="E80" s="6"/>
      <c r="F80" s="43"/>
      <c r="G80" s="43"/>
      <c r="H80" s="43"/>
    </row>
    <row r="81" spans="1:8" s="51" customFormat="1" ht="15">
      <c r="A81" s="45">
        <v>10</v>
      </c>
      <c r="B81" s="46" t="s">
        <v>14</v>
      </c>
      <c r="C81" s="45">
        <v>617</v>
      </c>
      <c r="D81" s="45">
        <v>665</v>
      </c>
      <c r="E81" s="45"/>
      <c r="F81" s="47"/>
      <c r="G81" s="49">
        <f t="shared" ref="G81:G89" si="16">IF((C81-D81)&lt;0,0,C81-D81)</f>
        <v>0</v>
      </c>
      <c r="H81" s="50">
        <f t="shared" ref="H81:H89" si="17">IF((D81-C81)&lt;0,0,D81-C81)</f>
        <v>48</v>
      </c>
    </row>
    <row r="82" spans="1:8" s="51" customFormat="1" ht="15">
      <c r="A82" s="45">
        <v>10</v>
      </c>
      <c r="B82" s="46" t="s">
        <v>15</v>
      </c>
      <c r="C82" s="45">
        <v>617</v>
      </c>
      <c r="D82" s="45">
        <v>665</v>
      </c>
      <c r="E82" s="45"/>
      <c r="F82" s="47"/>
      <c r="G82" s="49">
        <f t="shared" si="16"/>
        <v>0</v>
      </c>
      <c r="H82" s="50">
        <f t="shared" si="17"/>
        <v>48</v>
      </c>
    </row>
    <row r="83" spans="1:8" s="51" customFormat="1" ht="15">
      <c r="A83" s="45">
        <v>10</v>
      </c>
      <c r="B83" s="46" t="s">
        <v>12</v>
      </c>
      <c r="C83" s="45">
        <v>617</v>
      </c>
      <c r="D83" s="45">
        <v>665</v>
      </c>
      <c r="E83" s="45"/>
      <c r="F83" s="47"/>
      <c r="G83" s="49">
        <f t="shared" si="16"/>
        <v>0</v>
      </c>
      <c r="H83" s="50">
        <f t="shared" si="17"/>
        <v>48</v>
      </c>
    </row>
    <row r="84" spans="1:8" s="51" customFormat="1" ht="15">
      <c r="A84" s="45">
        <v>10</v>
      </c>
      <c r="B84" s="46" t="s">
        <v>20</v>
      </c>
      <c r="C84" s="45">
        <v>617</v>
      </c>
      <c r="D84" s="45"/>
      <c r="E84" s="45"/>
      <c r="F84" s="47"/>
      <c r="G84" s="49">
        <f t="shared" si="16"/>
        <v>617</v>
      </c>
      <c r="H84" s="50">
        <f t="shared" si="17"/>
        <v>0</v>
      </c>
    </row>
    <row r="85" spans="1:8" s="51" customFormat="1" ht="15">
      <c r="A85" s="45">
        <v>10</v>
      </c>
      <c r="B85" s="46" t="s">
        <v>22</v>
      </c>
      <c r="C85" s="45">
        <v>617</v>
      </c>
      <c r="D85" s="45"/>
      <c r="E85" s="45"/>
      <c r="F85" s="47"/>
      <c r="G85" s="49">
        <f t="shared" si="16"/>
        <v>617</v>
      </c>
      <c r="H85" s="50">
        <f t="shared" si="17"/>
        <v>0</v>
      </c>
    </row>
    <row r="86" spans="1:8" s="51" customFormat="1" ht="15">
      <c r="A86" s="45">
        <v>10</v>
      </c>
      <c r="B86" s="46" t="s">
        <v>13</v>
      </c>
      <c r="C86" s="45">
        <v>617</v>
      </c>
      <c r="D86" s="45">
        <v>665</v>
      </c>
      <c r="E86" s="45"/>
      <c r="F86" s="47"/>
      <c r="G86" s="49">
        <f t="shared" si="16"/>
        <v>0</v>
      </c>
      <c r="H86" s="50">
        <f t="shared" si="17"/>
        <v>48</v>
      </c>
    </row>
    <row r="87" spans="1:8" s="51" customFormat="1" ht="15">
      <c r="A87" s="45">
        <v>10</v>
      </c>
      <c r="B87" s="46" t="s">
        <v>17</v>
      </c>
      <c r="C87" s="45">
        <v>617</v>
      </c>
      <c r="D87" s="45"/>
      <c r="E87" s="45"/>
      <c r="F87" s="47"/>
      <c r="G87" s="49">
        <f t="shared" si="16"/>
        <v>617</v>
      </c>
      <c r="H87" s="50">
        <f t="shared" si="17"/>
        <v>0</v>
      </c>
    </row>
    <row r="88" spans="1:8" s="51" customFormat="1" ht="15">
      <c r="A88" s="45">
        <v>10</v>
      </c>
      <c r="B88" s="46" t="s">
        <v>21</v>
      </c>
      <c r="C88" s="45">
        <v>617</v>
      </c>
      <c r="D88" s="45"/>
      <c r="E88" s="45"/>
      <c r="F88" s="47"/>
      <c r="G88" s="49">
        <f t="shared" si="16"/>
        <v>617</v>
      </c>
      <c r="H88" s="50">
        <f t="shared" si="17"/>
        <v>0</v>
      </c>
    </row>
    <row r="89" spans="1:8" s="51" customFormat="1" ht="15">
      <c r="A89" s="45">
        <v>10</v>
      </c>
      <c r="B89" s="46" t="s">
        <v>19</v>
      </c>
      <c r="C89" s="45">
        <v>617</v>
      </c>
      <c r="D89" s="45"/>
      <c r="E89" s="45"/>
      <c r="F89" s="47"/>
      <c r="G89" s="49">
        <f t="shared" si="16"/>
        <v>617</v>
      </c>
      <c r="H89" s="50">
        <f t="shared" si="17"/>
        <v>0</v>
      </c>
    </row>
    <row r="90" spans="1:8" s="51" customFormat="1" ht="15">
      <c r="A90" s="43"/>
      <c r="B90" s="43"/>
      <c r="C90" s="6"/>
      <c r="D90" s="6"/>
      <c r="E90" s="6"/>
      <c r="F90" s="43"/>
      <c r="G90" s="43"/>
      <c r="H90" s="43"/>
    </row>
    <row r="91" spans="1:8" s="51" customFormat="1" ht="15">
      <c r="A91" s="35" t="s">
        <v>23</v>
      </c>
      <c r="B91" s="42" t="s">
        <v>24</v>
      </c>
      <c r="C91" s="35">
        <v>101</v>
      </c>
      <c r="D91" s="35"/>
      <c r="E91" s="35"/>
      <c r="F91" s="40"/>
      <c r="G91" s="49">
        <f t="shared" ref="G91:G98" si="18">IF((C91-D91)&lt;0,0,C91-D91)</f>
        <v>101</v>
      </c>
      <c r="H91" s="50">
        <f t="shared" ref="H91:H98" si="19">IF((D91-C91)&lt;0,0,D91-C91)</f>
        <v>0</v>
      </c>
    </row>
    <row r="92" spans="1:8" s="51" customFormat="1" ht="15">
      <c r="A92" s="35" t="s">
        <v>23</v>
      </c>
      <c r="B92" s="42" t="s">
        <v>25</v>
      </c>
      <c r="C92" s="35">
        <v>101</v>
      </c>
      <c r="D92" s="35"/>
      <c r="E92" s="35"/>
      <c r="F92" s="40"/>
      <c r="G92" s="49">
        <f t="shared" si="18"/>
        <v>101</v>
      </c>
      <c r="H92" s="50">
        <f t="shared" si="19"/>
        <v>0</v>
      </c>
    </row>
    <row r="93" spans="1:8" s="51" customFormat="1" ht="15">
      <c r="A93" s="35" t="s">
        <v>23</v>
      </c>
      <c r="B93" s="42" t="s">
        <v>26</v>
      </c>
      <c r="C93" s="35">
        <v>101</v>
      </c>
      <c r="D93" s="35"/>
      <c r="E93" s="35"/>
      <c r="F93" s="40"/>
      <c r="G93" s="49">
        <f t="shared" si="18"/>
        <v>101</v>
      </c>
      <c r="H93" s="50">
        <f t="shared" si="19"/>
        <v>0</v>
      </c>
    </row>
    <row r="94" spans="1:8" s="51" customFormat="1" ht="15">
      <c r="A94" s="35" t="s">
        <v>23</v>
      </c>
      <c r="B94" s="42" t="s">
        <v>27</v>
      </c>
      <c r="C94" s="35">
        <v>101</v>
      </c>
      <c r="D94" s="35"/>
      <c r="E94" s="35"/>
      <c r="F94" s="40"/>
      <c r="G94" s="49">
        <f t="shared" si="18"/>
        <v>101</v>
      </c>
      <c r="H94" s="50">
        <f t="shared" si="19"/>
        <v>0</v>
      </c>
    </row>
    <row r="95" spans="1:8" s="51" customFormat="1" ht="15">
      <c r="A95" s="35" t="s">
        <v>23</v>
      </c>
      <c r="B95" s="42" t="s">
        <v>28</v>
      </c>
      <c r="C95" s="35">
        <v>101</v>
      </c>
      <c r="D95" s="35"/>
      <c r="E95" s="35"/>
      <c r="F95" s="40"/>
      <c r="G95" s="49">
        <f t="shared" si="18"/>
        <v>101</v>
      </c>
      <c r="H95" s="50">
        <f t="shared" si="19"/>
        <v>0</v>
      </c>
    </row>
    <row r="96" spans="1:8" s="51" customFormat="1" ht="15">
      <c r="A96" s="35" t="s">
        <v>23</v>
      </c>
      <c r="B96" s="42" t="s">
        <v>29</v>
      </c>
      <c r="C96" s="35">
        <v>101</v>
      </c>
      <c r="D96" s="35"/>
      <c r="E96" s="35"/>
      <c r="F96" s="40"/>
      <c r="G96" s="49">
        <f t="shared" si="18"/>
        <v>101</v>
      </c>
      <c r="H96" s="50">
        <f t="shared" si="19"/>
        <v>0</v>
      </c>
    </row>
    <row r="97" spans="1:8" s="51" customFormat="1" ht="15">
      <c r="A97" s="35" t="s">
        <v>23</v>
      </c>
      <c r="B97" s="42" t="s">
        <v>30</v>
      </c>
      <c r="C97" s="35">
        <v>101</v>
      </c>
      <c r="D97" s="35"/>
      <c r="E97" s="35"/>
      <c r="F97" s="40"/>
      <c r="G97" s="49">
        <f t="shared" si="18"/>
        <v>101</v>
      </c>
      <c r="H97" s="50">
        <f t="shared" si="19"/>
        <v>0</v>
      </c>
    </row>
    <row r="98" spans="1:8" s="51" customFormat="1" ht="15">
      <c r="A98" s="35" t="s">
        <v>23</v>
      </c>
      <c r="B98" s="42" t="s">
        <v>31</v>
      </c>
      <c r="C98" s="35">
        <v>101</v>
      </c>
      <c r="D98" s="35"/>
      <c r="E98" s="35"/>
      <c r="F98" s="40"/>
      <c r="G98" s="49">
        <f t="shared" si="18"/>
        <v>101</v>
      </c>
      <c r="H98" s="50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59" activePane="bottomRight" state="frozen"/>
      <selection pane="bottomRight" activeCell="E75" sqref="E75"/>
      <selection pane="bottomLeft"/>
      <selection pane="topRight"/>
    </sheetView>
  </sheetViews>
  <sheetFormatPr defaultRowHeight="13.9"/>
  <cols>
    <col min="1" max="1" width="9.42578125" customWidth="1"/>
    <col min="2" max="2" width="37.2851562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6" t="s">
        <v>32</v>
      </c>
      <c r="E1" s="36"/>
      <c r="F1" s="36"/>
      <c r="G1" s="36"/>
      <c r="H1" s="36"/>
      <c r="I1" s="36"/>
      <c r="J1" s="37" t="s">
        <v>33</v>
      </c>
      <c r="K1" s="37"/>
      <c r="L1" s="37"/>
      <c r="M1" s="37"/>
      <c r="N1" s="37"/>
      <c r="O1" s="37"/>
      <c r="P1" s="38" t="s">
        <v>34</v>
      </c>
      <c r="Q1" s="38"/>
      <c r="R1" s="38"/>
      <c r="S1" s="38"/>
      <c r="T1" s="38"/>
      <c r="U1" s="38"/>
      <c r="V1" s="39" t="s">
        <v>35</v>
      </c>
      <c r="W1" s="39"/>
      <c r="X1" s="39"/>
      <c r="Y1" s="39"/>
      <c r="Z1" s="39"/>
      <c r="AA1" s="39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36</v>
      </c>
      <c r="E2" s="18" t="s">
        <v>37</v>
      </c>
      <c r="F2" s="19" t="s">
        <v>38</v>
      </c>
      <c r="G2" s="22" t="s">
        <v>39</v>
      </c>
      <c r="H2" s="15" t="s">
        <v>40</v>
      </c>
      <c r="I2" s="22" t="s">
        <v>41</v>
      </c>
      <c r="J2" s="20" t="s">
        <v>42</v>
      </c>
      <c r="K2" s="20" t="s">
        <v>43</v>
      </c>
      <c r="L2" s="21" t="s">
        <v>44</v>
      </c>
      <c r="M2" s="52" t="s">
        <v>45</v>
      </c>
      <c r="N2" s="52" t="s">
        <v>46</v>
      </c>
      <c r="O2" s="20" t="s">
        <v>47</v>
      </c>
      <c r="P2" s="22" t="s">
        <v>48</v>
      </c>
      <c r="Q2" s="22" t="s">
        <v>49</v>
      </c>
      <c r="R2" s="23" t="s">
        <v>50</v>
      </c>
      <c r="S2" s="15" t="s">
        <v>51</v>
      </c>
      <c r="T2" s="15" t="s">
        <v>52</v>
      </c>
      <c r="U2" s="22" t="s">
        <v>53</v>
      </c>
      <c r="V2" s="24" t="s">
        <v>54</v>
      </c>
      <c r="W2" s="24" t="s">
        <v>55</v>
      </c>
      <c r="X2" s="25" t="s">
        <v>56</v>
      </c>
      <c r="Y2" s="53" t="s">
        <v>57</v>
      </c>
      <c r="Z2" s="53" t="s">
        <v>58</v>
      </c>
      <c r="AA2" s="24" t="s">
        <v>59</v>
      </c>
    </row>
    <row r="3" spans="1:27" ht="30.6" customHeight="1">
      <c r="A3" s="35" t="s">
        <v>60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3">
        <f t="shared" ref="N3" si="0">IF((J3-K3)&lt;0,0,(J3-K3))</f>
        <v>0</v>
      </c>
      <c r="O3" s="3">
        <f t="shared" ref="O3" si="1">IF((K3-J3)&lt;0,0,(K3-J3))</f>
        <v>0</v>
      </c>
      <c r="P3" s="3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3"/>
      <c r="T4" s="11"/>
      <c r="U4" s="11"/>
      <c r="V4" s="11"/>
      <c r="Z4" s="11"/>
      <c r="AA4" s="11"/>
    </row>
    <row r="5" spans="1:27" ht="19.149999999999999">
      <c r="A5" s="1">
        <v>1</v>
      </c>
      <c r="B5" s="2" t="s">
        <v>8</v>
      </c>
      <c r="C5" s="1"/>
      <c r="D5" s="3">
        <f>Table1[[#This Row],[Enrolment S.Y. 2025-2026 ]]*8</f>
        <v>0</v>
      </c>
      <c r="E5" s="3"/>
      <c r="F5" s="1"/>
      <c r="G5" s="3"/>
      <c r="H5" s="3">
        <f t="shared" ref="H5:H77" si="2">IF((D5-E5)&lt;0,0,(D5-E5))</f>
        <v>0</v>
      </c>
      <c r="I5" s="3">
        <f t="shared" ref="I5:I77" si="3">IF((E5-D5)&lt;0,0,(E5-D5))</f>
        <v>0</v>
      </c>
      <c r="J5" s="3">
        <f>Table1[[#This Row],[Enrolment S.Y. 2025-2026 ]]*8</f>
        <v>0</v>
      </c>
      <c r="K5" s="3"/>
      <c r="L5" s="1"/>
      <c r="M5" s="3"/>
      <c r="N5" s="3">
        <f t="shared" ref="N5" si="4">IF((J5-K5)&lt;0,0,(J5-K5))</f>
        <v>0</v>
      </c>
      <c r="O5" s="3">
        <f t="shared" ref="O5" si="5">IF((K5-J5)&lt;0,0,(K5-J5))</f>
        <v>0</v>
      </c>
      <c r="P5" s="3">
        <f>Table1[[#This Row],[Enrolment S.Y. 2025-2026 ]]*8</f>
        <v>0</v>
      </c>
      <c r="Q5" s="3"/>
      <c r="R5" s="1"/>
      <c r="S5" s="3"/>
      <c r="T5" s="3">
        <f t="shared" ref="T5" si="6">IF((P5-Q5)&lt;0,0,(P5-Q5))</f>
        <v>0</v>
      </c>
      <c r="U5" s="3">
        <f t="shared" ref="U5" si="7">IF((Q5-P5)&lt;0,0,(Q5-P5))</f>
        <v>0</v>
      </c>
      <c r="V5" s="3">
        <f>Table1[[#This Row],[Enrolment S.Y. 2025-2026 ]]*8</f>
        <v>0</v>
      </c>
      <c r="W5" s="3"/>
      <c r="X5" s="1"/>
      <c r="Y5" s="3"/>
      <c r="Z5" s="3">
        <f t="shared" ref="Z5" si="8">IF((V5-W5)&lt;0,0,(V5-W5))</f>
        <v>0</v>
      </c>
      <c r="AA5" s="3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3">
        <f>Table1[[#This Row],[Enrolment S.Y. 2025-2026 ]]*8</f>
        <v>0</v>
      </c>
      <c r="E6" s="3"/>
      <c r="F6" s="1"/>
      <c r="G6" s="3"/>
      <c r="H6" s="3">
        <f t="shared" si="2"/>
        <v>0</v>
      </c>
      <c r="I6" s="3">
        <f t="shared" si="3"/>
        <v>0</v>
      </c>
      <c r="J6" s="3">
        <f>Table1[[#This Row],[Enrolment S.Y. 2025-2026 ]]*8</f>
        <v>0</v>
      </c>
      <c r="K6" s="3"/>
      <c r="L6" s="1"/>
      <c r="M6" s="3"/>
      <c r="N6" s="3">
        <f t="shared" ref="N6:N69" si="10">IF((J6-K6)&lt;0,0,(J6-K6))</f>
        <v>0</v>
      </c>
      <c r="O6" s="3">
        <f t="shared" ref="O6:O69" si="11">IF((K6-J6)&lt;0,0,(K6-J6))</f>
        <v>0</v>
      </c>
      <c r="P6" s="3">
        <f>Table1[[#This Row],[Enrolment S.Y. 2025-2026 ]]*8</f>
        <v>0</v>
      </c>
      <c r="Q6" s="3"/>
      <c r="R6" s="1"/>
      <c r="S6" s="3"/>
      <c r="T6" s="3">
        <f t="shared" ref="T6:T69" si="12">IF((P6-Q6)&lt;0,0,(P6-Q6))</f>
        <v>0</v>
      </c>
      <c r="U6" s="3">
        <f t="shared" ref="U6:U69" si="13">IF((Q6-P6)&lt;0,0,(Q6-P6))</f>
        <v>0</v>
      </c>
      <c r="V6" s="3">
        <f>Table1[[#This Row],[Enrolment S.Y. 2025-2026 ]]*8</f>
        <v>0</v>
      </c>
      <c r="W6" s="3"/>
      <c r="X6" s="1"/>
      <c r="Y6" s="3"/>
      <c r="Z6" s="3">
        <f t="shared" ref="Z6:Z69" si="14">IF((V6-W6)&lt;0,0,(V6-W6))</f>
        <v>0</v>
      </c>
      <c r="AA6" s="3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3">
        <f>Table1[[#This Row],[Enrolment S.Y. 2025-2026 ]]*8</f>
        <v>0</v>
      </c>
      <c r="E7" s="3"/>
      <c r="F7" s="1"/>
      <c r="G7" s="3"/>
      <c r="H7" s="3">
        <f t="shared" si="2"/>
        <v>0</v>
      </c>
      <c r="I7" s="3">
        <f t="shared" si="3"/>
        <v>0</v>
      </c>
      <c r="J7" s="3">
        <f>Table1[[#This Row],[Enrolment S.Y. 2025-2026 ]]*8</f>
        <v>0</v>
      </c>
      <c r="K7" s="3"/>
      <c r="L7" s="1"/>
      <c r="M7" s="3"/>
      <c r="N7" s="3">
        <f t="shared" si="10"/>
        <v>0</v>
      </c>
      <c r="O7" s="3">
        <f t="shared" si="11"/>
        <v>0</v>
      </c>
      <c r="P7" s="3">
        <f>Table1[[#This Row],[Enrolment S.Y. 2025-2026 ]]*8</f>
        <v>0</v>
      </c>
      <c r="Q7" s="3"/>
      <c r="R7" s="1"/>
      <c r="S7" s="3"/>
      <c r="T7" s="3">
        <f t="shared" si="12"/>
        <v>0</v>
      </c>
      <c r="U7" s="3">
        <f t="shared" si="13"/>
        <v>0</v>
      </c>
      <c r="V7" s="3">
        <f>Table1[[#This Row],[Enrolment S.Y. 2025-2026 ]]*8</f>
        <v>0</v>
      </c>
      <c r="W7" s="3"/>
      <c r="X7" s="1"/>
      <c r="Y7" s="3"/>
      <c r="Z7" s="3">
        <f t="shared" si="14"/>
        <v>0</v>
      </c>
      <c r="AA7" s="3">
        <f t="shared" si="15"/>
        <v>0</v>
      </c>
    </row>
    <row r="8" spans="1:27" ht="19.149999999999999">
      <c r="A8" s="1">
        <v>1</v>
      </c>
      <c r="B8" s="2" t="s">
        <v>11</v>
      </c>
      <c r="C8" s="1"/>
      <c r="D8" s="3">
        <f>Table1[[#This Row],[Enrolment S.Y. 2025-2026 ]]*8</f>
        <v>0</v>
      </c>
      <c r="E8" s="3"/>
      <c r="F8" s="1"/>
      <c r="G8" s="3"/>
      <c r="H8" s="3">
        <f t="shared" si="2"/>
        <v>0</v>
      </c>
      <c r="I8" s="3">
        <f t="shared" si="3"/>
        <v>0</v>
      </c>
      <c r="J8" s="3">
        <f>Table1[[#This Row],[Enrolment S.Y. 2025-2026 ]]*8</f>
        <v>0</v>
      </c>
      <c r="K8" s="3"/>
      <c r="L8" s="1"/>
      <c r="M8" s="3"/>
      <c r="N8" s="3">
        <f t="shared" si="10"/>
        <v>0</v>
      </c>
      <c r="O8" s="3">
        <f t="shared" si="11"/>
        <v>0</v>
      </c>
      <c r="P8" s="3">
        <f>Table1[[#This Row],[Enrolment S.Y. 2025-2026 ]]*8</f>
        <v>0</v>
      </c>
      <c r="Q8" s="3"/>
      <c r="R8" s="1"/>
      <c r="S8" s="3"/>
      <c r="T8" s="3">
        <f t="shared" si="12"/>
        <v>0</v>
      </c>
      <c r="U8" s="3">
        <f t="shared" si="13"/>
        <v>0</v>
      </c>
      <c r="V8" s="3">
        <f>Table1[[#This Row],[Enrolment S.Y. 2025-2026 ]]*8</f>
        <v>0</v>
      </c>
      <c r="W8" s="3"/>
      <c r="X8" s="1"/>
      <c r="Y8" s="3"/>
      <c r="Z8" s="3">
        <f t="shared" si="14"/>
        <v>0</v>
      </c>
      <c r="AA8" s="3">
        <f t="shared" si="15"/>
        <v>0</v>
      </c>
    </row>
    <row r="9" spans="1:27" ht="19.149999999999999">
      <c r="A9" s="1">
        <v>1</v>
      </c>
      <c r="B9" s="2" t="s">
        <v>12</v>
      </c>
      <c r="C9" s="1"/>
      <c r="D9" s="3">
        <f>Table1[[#This Row],[Enrolment S.Y. 2025-2026 ]]*8</f>
        <v>0</v>
      </c>
      <c r="E9" s="3"/>
      <c r="F9" s="1"/>
      <c r="G9" s="3"/>
      <c r="H9" s="3">
        <f t="shared" si="2"/>
        <v>0</v>
      </c>
      <c r="I9" s="3">
        <f t="shared" si="3"/>
        <v>0</v>
      </c>
      <c r="J9" s="3">
        <f>Table1[[#This Row],[Enrolment S.Y. 2025-2026 ]]*8</f>
        <v>0</v>
      </c>
      <c r="K9" s="3"/>
      <c r="L9" s="1"/>
      <c r="M9" s="3"/>
      <c r="N9" s="3">
        <f t="shared" si="10"/>
        <v>0</v>
      </c>
      <c r="O9" s="3">
        <f t="shared" si="11"/>
        <v>0</v>
      </c>
      <c r="P9" s="3">
        <f>Table1[[#This Row],[Enrolment S.Y. 2025-2026 ]]*8</f>
        <v>0</v>
      </c>
      <c r="Q9" s="3"/>
      <c r="R9" s="1"/>
      <c r="S9" s="3"/>
      <c r="T9" s="3">
        <f t="shared" si="12"/>
        <v>0</v>
      </c>
      <c r="U9" s="3">
        <f t="shared" si="13"/>
        <v>0</v>
      </c>
      <c r="V9" s="3">
        <f>Table1[[#This Row],[Enrolment S.Y. 2025-2026 ]]*8</f>
        <v>0</v>
      </c>
      <c r="W9" s="3"/>
      <c r="X9" s="1"/>
      <c r="Y9" s="3"/>
      <c r="Z9" s="3">
        <f t="shared" si="14"/>
        <v>0</v>
      </c>
      <c r="AA9" s="3">
        <f t="shared" si="15"/>
        <v>0</v>
      </c>
    </row>
    <row r="10" spans="1:27" ht="19.149999999999999">
      <c r="A10" s="1">
        <v>1</v>
      </c>
      <c r="B10" s="7" t="s">
        <v>14</v>
      </c>
      <c r="C10" s="1"/>
      <c r="D10" s="3">
        <f>Table1[[#This Row],[Enrolment S.Y. 2025-2026 ]]*8</f>
        <v>0</v>
      </c>
      <c r="E10" s="3"/>
      <c r="F10" s="1"/>
      <c r="G10" s="3"/>
      <c r="H10" s="3">
        <f>IF((D10-E10)&lt;0,0,(D10-E10))</f>
        <v>0</v>
      </c>
      <c r="I10" s="3">
        <f>IF((E10-D10)&lt;0,0,(E10-D10))</f>
        <v>0</v>
      </c>
      <c r="J10" s="3">
        <f>Table1[[#This Row],[Enrolment S.Y. 2025-2026 ]]*8</f>
        <v>0</v>
      </c>
      <c r="K10" s="3"/>
      <c r="L10" s="1"/>
      <c r="M10" s="3"/>
      <c r="N10" s="3">
        <f t="shared" si="10"/>
        <v>0</v>
      </c>
      <c r="O10" s="3">
        <f t="shared" si="11"/>
        <v>0</v>
      </c>
      <c r="P10" s="3">
        <f>Table1[[#This Row],[Enrolment S.Y. 2025-2026 ]]*8</f>
        <v>0</v>
      </c>
      <c r="Q10" s="3"/>
      <c r="R10" s="1"/>
      <c r="S10" s="3"/>
      <c r="T10" s="3">
        <f t="shared" si="12"/>
        <v>0</v>
      </c>
      <c r="U10" s="3">
        <f t="shared" si="13"/>
        <v>0</v>
      </c>
      <c r="V10" s="3">
        <f>Table1[[#This Row],[Enrolment S.Y. 2025-2026 ]]*8</f>
        <v>0</v>
      </c>
      <c r="W10" s="3"/>
      <c r="X10" s="1"/>
      <c r="Y10" s="3"/>
      <c r="Z10" s="3">
        <f t="shared" si="14"/>
        <v>0</v>
      </c>
      <c r="AA10" s="3">
        <f t="shared" si="15"/>
        <v>0</v>
      </c>
    </row>
    <row r="11" spans="1:27" ht="19.149999999999999">
      <c r="A11" s="1">
        <v>1</v>
      </c>
      <c r="B11" s="7" t="s">
        <v>15</v>
      </c>
      <c r="C11" s="1"/>
      <c r="D11" s="3">
        <f>Table1[[#This Row],[Enrolment S.Y. 2025-2026 ]]*8</f>
        <v>0</v>
      </c>
      <c r="E11" s="3"/>
      <c r="F11" s="1"/>
      <c r="G11" s="3"/>
      <c r="H11" s="3">
        <f>IF((D11-E11)&lt;0,0,(D11-E11))</f>
        <v>0</v>
      </c>
      <c r="I11" s="3">
        <f>IF((E11-D11)&lt;0,0,(E11-D11))</f>
        <v>0</v>
      </c>
      <c r="J11" s="3">
        <f>Table1[[#This Row],[Enrolment S.Y. 2025-2026 ]]*8</f>
        <v>0</v>
      </c>
      <c r="K11" s="3"/>
      <c r="L11" s="1"/>
      <c r="M11" s="3"/>
      <c r="N11" s="3">
        <f t="shared" si="10"/>
        <v>0</v>
      </c>
      <c r="O11" s="3">
        <f t="shared" si="11"/>
        <v>0</v>
      </c>
      <c r="P11" s="3">
        <f>Table1[[#This Row],[Enrolment S.Y. 2025-2026 ]]*8</f>
        <v>0</v>
      </c>
      <c r="Q11" s="3"/>
      <c r="R11" s="1"/>
      <c r="S11" s="3"/>
      <c r="T11" s="3">
        <f t="shared" si="12"/>
        <v>0</v>
      </c>
      <c r="U11" s="3">
        <f t="shared" si="13"/>
        <v>0</v>
      </c>
      <c r="V11" s="3">
        <f>Table1[[#This Row],[Enrolment S.Y. 2025-2026 ]]*8</f>
        <v>0</v>
      </c>
      <c r="W11" s="3"/>
      <c r="X11" s="1"/>
      <c r="Y11" s="3"/>
      <c r="Z11" s="3">
        <f t="shared" si="14"/>
        <v>0</v>
      </c>
      <c r="AA11" s="3">
        <f t="shared" si="15"/>
        <v>0</v>
      </c>
    </row>
    <row r="12" spans="1:27" ht="19.149999999999999">
      <c r="A12" s="1">
        <v>1</v>
      </c>
      <c r="B12" s="7" t="s">
        <v>61</v>
      </c>
      <c r="C12" s="1"/>
      <c r="D12" s="3">
        <f>Table1[[#This Row],[Enrolment S.Y. 2025-2026 ]]*8</f>
        <v>0</v>
      </c>
      <c r="E12" s="3"/>
      <c r="F12" s="1"/>
      <c r="G12" s="3"/>
      <c r="H12" s="3">
        <f>IF((D12-E12)&lt;0,0,(D12-E12))</f>
        <v>0</v>
      </c>
      <c r="I12" s="3">
        <f>IF((E12-D12)&lt;0,0,(E12-D12))</f>
        <v>0</v>
      </c>
      <c r="J12" s="3">
        <f>Table1[[#This Row],[Enrolment S.Y. 2025-2026 ]]*8</f>
        <v>0</v>
      </c>
      <c r="K12" s="3"/>
      <c r="L12" s="1"/>
      <c r="M12" s="3"/>
      <c r="N12" s="3">
        <f t="shared" si="10"/>
        <v>0</v>
      </c>
      <c r="O12" s="3">
        <f t="shared" si="11"/>
        <v>0</v>
      </c>
      <c r="P12" s="3">
        <f>Table1[[#This Row],[Enrolment S.Y. 2025-2026 ]]*8</f>
        <v>0</v>
      </c>
      <c r="Q12" s="3"/>
      <c r="R12" s="1"/>
      <c r="S12" s="3"/>
      <c r="T12" s="3">
        <f t="shared" si="12"/>
        <v>0</v>
      </c>
      <c r="U12" s="3">
        <f t="shared" si="13"/>
        <v>0</v>
      </c>
      <c r="V12" s="3">
        <f>Table1[[#This Row],[Enrolment S.Y. 2025-2026 ]]*8</f>
        <v>0</v>
      </c>
      <c r="W12" s="3"/>
      <c r="X12" s="1"/>
      <c r="Y12" s="3"/>
      <c r="Z12" s="3">
        <f t="shared" si="14"/>
        <v>0</v>
      </c>
      <c r="AA12" s="3">
        <f t="shared" si="15"/>
        <v>0</v>
      </c>
    </row>
    <row r="13" spans="1:27" s="5" customFormat="1" ht="19.149999999999999">
      <c r="J13" s="11"/>
      <c r="N13" s="11"/>
      <c r="O13" s="11"/>
      <c r="P13" s="11"/>
      <c r="S13" s="3"/>
      <c r="T13" s="11"/>
      <c r="U13" s="11"/>
      <c r="V13" s="11"/>
      <c r="Y13" s="11"/>
      <c r="Z13" s="11"/>
      <c r="AA13" s="11"/>
    </row>
    <row r="14" spans="1:27" ht="19.149999999999999">
      <c r="A14" s="1">
        <v>2</v>
      </c>
      <c r="B14" s="2" t="s">
        <v>8</v>
      </c>
      <c r="C14" s="1"/>
      <c r="D14" s="3">
        <f>Table1[[#This Row],[Enrolment S.Y. 2025-2026 ]]*8</f>
        <v>0</v>
      </c>
      <c r="E14" s="3"/>
      <c r="F14" s="1"/>
      <c r="G14" s="3"/>
      <c r="H14" s="3">
        <f t="shared" si="2"/>
        <v>0</v>
      </c>
      <c r="I14" s="3">
        <f t="shared" si="3"/>
        <v>0</v>
      </c>
      <c r="J14" s="3">
        <f>Table1[[#This Row],[Enrolment S.Y. 2025-2026 ]]*8</f>
        <v>0</v>
      </c>
      <c r="K14" s="3"/>
      <c r="L14" s="1"/>
      <c r="M14" s="3"/>
      <c r="N14" s="3">
        <f t="shared" si="10"/>
        <v>0</v>
      </c>
      <c r="O14" s="3">
        <f t="shared" si="11"/>
        <v>0</v>
      </c>
      <c r="P14" s="3">
        <f>Table1[[#This Row],[Enrolment S.Y. 2025-2026 ]]*8</f>
        <v>0</v>
      </c>
      <c r="Q14" s="3"/>
      <c r="R14" s="1"/>
      <c r="S14" s="3"/>
      <c r="T14" s="3">
        <f t="shared" si="12"/>
        <v>0</v>
      </c>
      <c r="U14" s="3">
        <f t="shared" si="13"/>
        <v>0</v>
      </c>
      <c r="V14" s="3">
        <f>Table1[[#This Row],[Enrolment S.Y. 2025-2026 ]]*8</f>
        <v>0</v>
      </c>
      <c r="W14" s="3"/>
      <c r="X14" s="1"/>
      <c r="Y14" s="3"/>
      <c r="Z14" s="3">
        <f t="shared" si="14"/>
        <v>0</v>
      </c>
      <c r="AA14" s="3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3">
        <f>Table1[[#This Row],[Enrolment S.Y. 2025-2026 ]]*8</f>
        <v>0</v>
      </c>
      <c r="E15" s="3"/>
      <c r="F15" s="1"/>
      <c r="G15" s="3"/>
      <c r="H15" s="3">
        <f t="shared" si="2"/>
        <v>0</v>
      </c>
      <c r="I15" s="3">
        <f t="shared" si="3"/>
        <v>0</v>
      </c>
      <c r="J15" s="3">
        <f>Table1[[#This Row],[Enrolment S.Y. 2025-2026 ]]*8</f>
        <v>0</v>
      </c>
      <c r="K15" s="3"/>
      <c r="L15" s="1"/>
      <c r="M15" s="3"/>
      <c r="N15" s="3">
        <f t="shared" si="10"/>
        <v>0</v>
      </c>
      <c r="O15" s="3">
        <f t="shared" si="11"/>
        <v>0</v>
      </c>
      <c r="P15" s="3">
        <f>Table1[[#This Row],[Enrolment S.Y. 2025-2026 ]]*8</f>
        <v>0</v>
      </c>
      <c r="Q15" s="3"/>
      <c r="R15" s="1"/>
      <c r="S15" s="3"/>
      <c r="T15" s="3">
        <f t="shared" si="12"/>
        <v>0</v>
      </c>
      <c r="U15" s="3">
        <f t="shared" si="13"/>
        <v>0</v>
      </c>
      <c r="V15" s="3">
        <f>Table1[[#This Row],[Enrolment S.Y. 2025-2026 ]]*8</f>
        <v>0</v>
      </c>
      <c r="W15" s="3"/>
      <c r="X15" s="1"/>
      <c r="Y15" s="3"/>
      <c r="Z15" s="3">
        <f t="shared" si="14"/>
        <v>0</v>
      </c>
      <c r="AA15" s="3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3">
        <f>Table1[[#This Row],[Enrolment S.Y. 2025-2026 ]]*8</f>
        <v>0</v>
      </c>
      <c r="E16" s="3"/>
      <c r="F16" s="1"/>
      <c r="G16" s="3"/>
      <c r="H16" s="3">
        <f t="shared" si="2"/>
        <v>0</v>
      </c>
      <c r="I16" s="3">
        <f t="shared" si="3"/>
        <v>0</v>
      </c>
      <c r="J16" s="3">
        <f>Table1[[#This Row],[Enrolment S.Y. 2025-2026 ]]*8</f>
        <v>0</v>
      </c>
      <c r="K16" s="3"/>
      <c r="L16" s="1"/>
      <c r="M16" s="3"/>
      <c r="N16" s="3">
        <f t="shared" si="10"/>
        <v>0</v>
      </c>
      <c r="O16" s="3">
        <f t="shared" si="11"/>
        <v>0</v>
      </c>
      <c r="P16" s="3">
        <f>Table1[[#This Row],[Enrolment S.Y. 2025-2026 ]]*8</f>
        <v>0</v>
      </c>
      <c r="Q16" s="3"/>
      <c r="R16" s="1"/>
      <c r="S16" s="3"/>
      <c r="T16" s="3">
        <f t="shared" si="12"/>
        <v>0</v>
      </c>
      <c r="U16" s="3">
        <f t="shared" si="13"/>
        <v>0</v>
      </c>
      <c r="V16" s="3">
        <f>Table1[[#This Row],[Enrolment S.Y. 2025-2026 ]]*8</f>
        <v>0</v>
      </c>
      <c r="W16" s="3"/>
      <c r="X16" s="1"/>
      <c r="Y16" s="3"/>
      <c r="Z16" s="3">
        <f t="shared" si="14"/>
        <v>0</v>
      </c>
      <c r="AA16" s="3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3">
        <f>Table1[[#This Row],[Enrolment S.Y. 2025-2026 ]]*8</f>
        <v>0</v>
      </c>
      <c r="E17" s="3"/>
      <c r="F17" s="1"/>
      <c r="G17" s="3"/>
      <c r="H17" s="3">
        <f t="shared" si="2"/>
        <v>0</v>
      </c>
      <c r="I17" s="3">
        <f t="shared" si="3"/>
        <v>0</v>
      </c>
      <c r="J17" s="3">
        <f>Table1[[#This Row],[Enrolment S.Y. 2025-2026 ]]*8</f>
        <v>0</v>
      </c>
      <c r="K17" s="3"/>
      <c r="L17" s="1"/>
      <c r="M17" s="3"/>
      <c r="N17" s="3">
        <f t="shared" si="10"/>
        <v>0</v>
      </c>
      <c r="O17" s="3">
        <f t="shared" si="11"/>
        <v>0</v>
      </c>
      <c r="P17" s="3">
        <f>Table1[[#This Row],[Enrolment S.Y. 2025-2026 ]]*8</f>
        <v>0</v>
      </c>
      <c r="Q17" s="3"/>
      <c r="R17" s="1"/>
      <c r="S17" s="3"/>
      <c r="T17" s="3">
        <f t="shared" si="12"/>
        <v>0</v>
      </c>
      <c r="U17" s="3">
        <f t="shared" si="13"/>
        <v>0</v>
      </c>
      <c r="V17" s="3">
        <f>Table1[[#This Row],[Enrolment S.Y. 2025-2026 ]]*8</f>
        <v>0</v>
      </c>
      <c r="W17" s="3"/>
      <c r="X17" s="1"/>
      <c r="Y17" s="3"/>
      <c r="Z17" s="3">
        <f t="shared" si="14"/>
        <v>0</v>
      </c>
      <c r="AA17" s="3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3">
        <f>Table1[[#This Row],[Enrolment S.Y. 2025-2026 ]]*8</f>
        <v>0</v>
      </c>
      <c r="E18" s="3"/>
      <c r="F18" s="1"/>
      <c r="G18" s="3"/>
      <c r="H18" s="3">
        <f t="shared" si="2"/>
        <v>0</v>
      </c>
      <c r="I18" s="3">
        <f t="shared" si="3"/>
        <v>0</v>
      </c>
      <c r="J18" s="3">
        <f>Table1[[#This Row],[Enrolment S.Y. 2025-2026 ]]*8</f>
        <v>0</v>
      </c>
      <c r="K18" s="3"/>
      <c r="L18" s="1"/>
      <c r="M18" s="3"/>
      <c r="N18" s="3">
        <f t="shared" si="10"/>
        <v>0</v>
      </c>
      <c r="O18" s="3">
        <f t="shared" si="11"/>
        <v>0</v>
      </c>
      <c r="P18" s="3">
        <f>Table1[[#This Row],[Enrolment S.Y. 2025-2026 ]]*8</f>
        <v>0</v>
      </c>
      <c r="Q18" s="3"/>
      <c r="R18" s="1"/>
      <c r="S18" s="3"/>
      <c r="T18" s="3">
        <f t="shared" si="12"/>
        <v>0</v>
      </c>
      <c r="U18" s="3">
        <f t="shared" si="13"/>
        <v>0</v>
      </c>
      <c r="V18" s="3">
        <f>Table1[[#This Row],[Enrolment S.Y. 2025-2026 ]]*8</f>
        <v>0</v>
      </c>
      <c r="W18" s="3"/>
      <c r="X18" s="1"/>
      <c r="Y18" s="3"/>
      <c r="Z18" s="3">
        <f t="shared" si="14"/>
        <v>0</v>
      </c>
      <c r="AA18" s="3">
        <f t="shared" si="15"/>
        <v>0</v>
      </c>
    </row>
    <row r="19" spans="1:27" ht="19.5">
      <c r="A19" s="1">
        <v>2</v>
      </c>
      <c r="B19" s="7" t="s">
        <v>15</v>
      </c>
      <c r="C19" s="1"/>
      <c r="D19" s="3">
        <f>Table1[[#This Row],[Enrolment S.Y. 2025-2026 ]]*8</f>
        <v>0</v>
      </c>
      <c r="E19" s="40"/>
      <c r="F19" s="1"/>
      <c r="G19" s="3"/>
      <c r="H19" s="3">
        <f>IF((D19-E19)&lt;0,0,(D19-E19))</f>
        <v>0</v>
      </c>
      <c r="I19" s="3">
        <f>IF((E19-D19)&lt;0,0,(E19-D19))</f>
        <v>0</v>
      </c>
      <c r="J19" s="3">
        <f>Table1[[#This Row],[Enrolment S.Y. 2025-2026 ]]*8</f>
        <v>0</v>
      </c>
      <c r="K19" s="3"/>
      <c r="L19" s="1"/>
      <c r="M19" s="3"/>
      <c r="N19" s="3">
        <f t="shared" si="10"/>
        <v>0</v>
      </c>
      <c r="O19" s="3">
        <f t="shared" si="11"/>
        <v>0</v>
      </c>
      <c r="P19" s="3">
        <f>Table1[[#This Row],[Enrolment S.Y. 2025-2026 ]]*8</f>
        <v>0</v>
      </c>
      <c r="Q19" s="3"/>
      <c r="R19" s="1"/>
      <c r="S19" s="3"/>
      <c r="T19" s="3">
        <f t="shared" si="12"/>
        <v>0</v>
      </c>
      <c r="U19" s="3">
        <f t="shared" si="13"/>
        <v>0</v>
      </c>
      <c r="V19" s="3">
        <f>Table1[[#This Row],[Enrolment S.Y. 2025-2026 ]]*8</f>
        <v>0</v>
      </c>
      <c r="W19" s="3"/>
      <c r="X19" s="1"/>
      <c r="Y19" s="3"/>
      <c r="Z19" s="3">
        <f t="shared" si="14"/>
        <v>0</v>
      </c>
      <c r="AA19" s="3">
        <f t="shared" si="15"/>
        <v>0</v>
      </c>
    </row>
    <row r="20" spans="1:27" ht="19.149999999999999">
      <c r="A20" s="1">
        <v>2</v>
      </c>
      <c r="B20" s="7" t="s">
        <v>14</v>
      </c>
      <c r="C20" s="1"/>
      <c r="D20" s="3">
        <f>Table1[[#This Row],[Enrolment S.Y. 2025-2026 ]]*8</f>
        <v>0</v>
      </c>
      <c r="E20" s="3"/>
      <c r="F20" s="1"/>
      <c r="G20" s="3"/>
      <c r="H20" s="3">
        <f>IF((D20-E20)&lt;0,0,(D20-E20))</f>
        <v>0</v>
      </c>
      <c r="I20" s="3">
        <f>IF((E20-D20)&lt;0,0,(E20-D20))</f>
        <v>0</v>
      </c>
      <c r="J20" s="3">
        <f>Table1[[#This Row],[Enrolment S.Y. 2025-2026 ]]*8</f>
        <v>0</v>
      </c>
      <c r="K20" s="3"/>
      <c r="L20" s="1"/>
      <c r="M20" s="3"/>
      <c r="N20" s="3">
        <f t="shared" si="10"/>
        <v>0</v>
      </c>
      <c r="O20" s="3">
        <f t="shared" si="11"/>
        <v>0</v>
      </c>
      <c r="P20" s="3">
        <f>Table1[[#This Row],[Enrolment S.Y. 2025-2026 ]]*8</f>
        <v>0</v>
      </c>
      <c r="Q20" s="3"/>
      <c r="R20" s="1"/>
      <c r="S20" s="3"/>
      <c r="T20" s="3">
        <f t="shared" si="12"/>
        <v>0</v>
      </c>
      <c r="U20" s="3">
        <f t="shared" si="13"/>
        <v>0</v>
      </c>
      <c r="V20" s="3">
        <f>Table1[[#This Row],[Enrolment S.Y. 2025-2026 ]]*8</f>
        <v>0</v>
      </c>
      <c r="W20" s="3"/>
      <c r="X20" s="1"/>
      <c r="Y20" s="3"/>
      <c r="Z20" s="3">
        <f t="shared" si="14"/>
        <v>0</v>
      </c>
      <c r="AA20" s="3">
        <f t="shared" si="15"/>
        <v>0</v>
      </c>
    </row>
    <row r="21" spans="1:27" ht="19.149999999999999">
      <c r="A21" s="1">
        <v>2</v>
      </c>
      <c r="B21" s="7" t="s">
        <v>61</v>
      </c>
      <c r="C21" s="1"/>
      <c r="D21" s="3">
        <f>Table1[[#This Row],[Enrolment S.Y. 2025-2026 ]]*8</f>
        <v>0</v>
      </c>
      <c r="E21" s="3"/>
      <c r="F21" s="1"/>
      <c r="G21" s="3"/>
      <c r="H21" s="3">
        <f>IF((D21-E21)&lt;0,0,(D21-E21))</f>
        <v>0</v>
      </c>
      <c r="I21" s="3">
        <f>IF((E21-D21)&lt;0,0,(E21-D21))</f>
        <v>0</v>
      </c>
      <c r="J21" s="3">
        <f>Table1[[#This Row],[Enrolment S.Y. 2025-2026 ]]*8</f>
        <v>0</v>
      </c>
      <c r="K21" s="3"/>
      <c r="L21" s="1"/>
      <c r="M21" s="3"/>
      <c r="N21" s="3">
        <f t="shared" si="10"/>
        <v>0</v>
      </c>
      <c r="O21" s="3">
        <f t="shared" si="11"/>
        <v>0</v>
      </c>
      <c r="P21" s="3">
        <f>Table1[[#This Row],[Enrolment S.Y. 2025-2026 ]]*8</f>
        <v>0</v>
      </c>
      <c r="Q21" s="3"/>
      <c r="R21" s="1"/>
      <c r="S21" s="3"/>
      <c r="T21" s="3">
        <f t="shared" si="12"/>
        <v>0</v>
      </c>
      <c r="U21" s="3">
        <f t="shared" si="13"/>
        <v>0</v>
      </c>
      <c r="V21" s="3">
        <f>Table1[[#This Row],[Enrolment S.Y. 2025-2026 ]]*8</f>
        <v>0</v>
      </c>
      <c r="W21" s="3"/>
      <c r="X21" s="1"/>
      <c r="Y21" s="3"/>
      <c r="Z21" s="3">
        <f t="shared" si="14"/>
        <v>0</v>
      </c>
      <c r="AA21" s="3">
        <f t="shared" si="15"/>
        <v>0</v>
      </c>
    </row>
    <row r="22" spans="1:27" s="5" customFormat="1" ht="19.149999999999999">
      <c r="J22" s="11"/>
      <c r="M22" s="3"/>
      <c r="N22" s="11"/>
      <c r="O22" s="11"/>
      <c r="P22" s="11"/>
      <c r="S22" s="3"/>
      <c r="T22" s="11"/>
      <c r="U22" s="11"/>
      <c r="V22" s="11"/>
      <c r="Y22" s="3"/>
      <c r="Z22" s="11"/>
      <c r="AA22" s="11"/>
    </row>
    <row r="23" spans="1:27" ht="19.149999999999999">
      <c r="A23" s="1">
        <v>3</v>
      </c>
      <c r="B23" s="2" t="s">
        <v>8</v>
      </c>
      <c r="C23" s="1"/>
      <c r="D23" s="3">
        <f>Table1[[#This Row],[Enrolment S.Y. 2025-2026 ]]*8</f>
        <v>0</v>
      </c>
      <c r="E23" s="3"/>
      <c r="F23" s="1"/>
      <c r="G23" s="3"/>
      <c r="H23" s="3">
        <f t="shared" si="2"/>
        <v>0</v>
      </c>
      <c r="I23" s="3">
        <f t="shared" si="3"/>
        <v>0</v>
      </c>
      <c r="J23" s="3">
        <f>Table1[[#This Row],[Enrolment S.Y. 2025-2026 ]]*8</f>
        <v>0</v>
      </c>
      <c r="K23" s="3"/>
      <c r="L23" s="1"/>
      <c r="M23" s="3"/>
      <c r="N23" s="3">
        <f t="shared" si="10"/>
        <v>0</v>
      </c>
      <c r="O23" s="3">
        <f t="shared" si="11"/>
        <v>0</v>
      </c>
      <c r="P23" s="3">
        <f>Table1[[#This Row],[Enrolment S.Y. 2025-2026 ]]*8</f>
        <v>0</v>
      </c>
      <c r="Q23" s="3"/>
      <c r="R23" s="1"/>
      <c r="S23" s="3"/>
      <c r="T23" s="3">
        <f t="shared" si="12"/>
        <v>0</v>
      </c>
      <c r="U23" s="3">
        <f t="shared" si="13"/>
        <v>0</v>
      </c>
      <c r="V23" s="3">
        <f>Table1[[#This Row],[Enrolment S.Y. 2025-2026 ]]*8</f>
        <v>0</v>
      </c>
      <c r="W23" s="3"/>
      <c r="X23" s="1"/>
      <c r="Y23" s="3"/>
      <c r="Z23" s="3">
        <f t="shared" si="14"/>
        <v>0</v>
      </c>
      <c r="AA23" s="3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3">
        <f>Table1[[#This Row],[Enrolment S.Y. 2025-2026 ]]*8</f>
        <v>0</v>
      </c>
      <c r="E24" s="3"/>
      <c r="F24" s="1"/>
      <c r="G24" s="3"/>
      <c r="H24" s="3">
        <f t="shared" si="2"/>
        <v>0</v>
      </c>
      <c r="I24" s="3">
        <f t="shared" si="3"/>
        <v>0</v>
      </c>
      <c r="J24" s="3">
        <f>Table1[[#This Row],[Enrolment S.Y. 2025-2026 ]]*8</f>
        <v>0</v>
      </c>
      <c r="K24" s="3"/>
      <c r="L24" s="1"/>
      <c r="M24" s="3"/>
      <c r="N24" s="3">
        <f t="shared" si="10"/>
        <v>0</v>
      </c>
      <c r="O24" s="3">
        <f t="shared" si="11"/>
        <v>0</v>
      </c>
      <c r="P24" s="3">
        <f>Table1[[#This Row],[Enrolment S.Y. 2025-2026 ]]*8</f>
        <v>0</v>
      </c>
      <c r="Q24" s="3"/>
      <c r="R24" s="1"/>
      <c r="S24" s="3"/>
      <c r="T24" s="3">
        <f t="shared" si="12"/>
        <v>0</v>
      </c>
      <c r="U24" s="3">
        <f t="shared" si="13"/>
        <v>0</v>
      </c>
      <c r="V24" s="3">
        <f>Table1[[#This Row],[Enrolment S.Y. 2025-2026 ]]*8</f>
        <v>0</v>
      </c>
      <c r="W24" s="3"/>
      <c r="X24" s="1"/>
      <c r="Y24" s="3"/>
      <c r="Z24" s="3">
        <f t="shared" si="14"/>
        <v>0</v>
      </c>
      <c r="AA24" s="3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3">
        <f>Table1[[#This Row],[Enrolment S.Y. 2025-2026 ]]*8</f>
        <v>0</v>
      </c>
      <c r="E25" s="3"/>
      <c r="F25" s="1"/>
      <c r="G25" s="3"/>
      <c r="H25" s="3">
        <f t="shared" si="2"/>
        <v>0</v>
      </c>
      <c r="I25" s="3">
        <f t="shared" si="3"/>
        <v>0</v>
      </c>
      <c r="J25" s="3">
        <f>Table1[[#This Row],[Enrolment S.Y. 2025-2026 ]]*8</f>
        <v>0</v>
      </c>
      <c r="K25" s="3"/>
      <c r="L25" s="1"/>
      <c r="M25" s="3"/>
      <c r="N25" s="3">
        <f t="shared" si="10"/>
        <v>0</v>
      </c>
      <c r="O25" s="3">
        <f t="shared" si="11"/>
        <v>0</v>
      </c>
      <c r="P25" s="3">
        <f>Table1[[#This Row],[Enrolment S.Y. 2025-2026 ]]*8</f>
        <v>0</v>
      </c>
      <c r="Q25" s="3"/>
      <c r="R25" s="1"/>
      <c r="S25" s="3"/>
      <c r="T25" s="3">
        <f t="shared" si="12"/>
        <v>0</v>
      </c>
      <c r="U25" s="3">
        <f t="shared" si="13"/>
        <v>0</v>
      </c>
      <c r="V25" s="3">
        <f>Table1[[#This Row],[Enrolment S.Y. 2025-2026 ]]*8</f>
        <v>0</v>
      </c>
      <c r="W25" s="3"/>
      <c r="X25" s="1"/>
      <c r="Y25" s="3"/>
      <c r="Z25" s="3">
        <f t="shared" si="14"/>
        <v>0</v>
      </c>
      <c r="AA25" s="3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3">
        <f>Table1[[#This Row],[Enrolment S.Y. 2025-2026 ]]*8</f>
        <v>0</v>
      </c>
      <c r="E26" s="3"/>
      <c r="F26" s="1"/>
      <c r="G26" s="3"/>
      <c r="H26" s="3">
        <f t="shared" si="2"/>
        <v>0</v>
      </c>
      <c r="I26" s="3">
        <f t="shared" si="3"/>
        <v>0</v>
      </c>
      <c r="J26" s="3">
        <f>Table1[[#This Row],[Enrolment S.Y. 2025-2026 ]]*8</f>
        <v>0</v>
      </c>
      <c r="K26" s="3"/>
      <c r="L26" s="1"/>
      <c r="M26" s="3"/>
      <c r="N26" s="3">
        <f t="shared" si="10"/>
        <v>0</v>
      </c>
      <c r="O26" s="3">
        <f t="shared" si="11"/>
        <v>0</v>
      </c>
      <c r="P26" s="3">
        <f>Table1[[#This Row],[Enrolment S.Y. 2025-2026 ]]*8</f>
        <v>0</v>
      </c>
      <c r="Q26" s="3"/>
      <c r="R26" s="1"/>
      <c r="S26" s="3"/>
      <c r="T26" s="3">
        <f t="shared" si="12"/>
        <v>0</v>
      </c>
      <c r="U26" s="3">
        <f t="shared" si="13"/>
        <v>0</v>
      </c>
      <c r="V26" s="3">
        <f>Table1[[#This Row],[Enrolment S.Y. 2025-2026 ]]*8</f>
        <v>0</v>
      </c>
      <c r="W26" s="3"/>
      <c r="X26" s="1"/>
      <c r="Y26" s="3"/>
      <c r="Z26" s="3">
        <f t="shared" si="14"/>
        <v>0</v>
      </c>
      <c r="AA26" s="3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3">
        <f>Table1[[#This Row],[Enrolment S.Y. 2025-2026 ]]*8</f>
        <v>0</v>
      </c>
      <c r="E27" s="3"/>
      <c r="F27" s="1"/>
      <c r="G27" s="3"/>
      <c r="H27" s="3">
        <f t="shared" si="2"/>
        <v>0</v>
      </c>
      <c r="I27" s="3">
        <f t="shared" si="3"/>
        <v>0</v>
      </c>
      <c r="J27" s="3">
        <f>Table1[[#This Row],[Enrolment S.Y. 2025-2026 ]]*8</f>
        <v>0</v>
      </c>
      <c r="K27" s="3"/>
      <c r="L27" s="1"/>
      <c r="M27" s="3"/>
      <c r="N27" s="3">
        <f t="shared" si="10"/>
        <v>0</v>
      </c>
      <c r="O27" s="3">
        <f t="shared" si="11"/>
        <v>0</v>
      </c>
      <c r="P27" s="3">
        <f>Table1[[#This Row],[Enrolment S.Y. 2025-2026 ]]*8</f>
        <v>0</v>
      </c>
      <c r="Q27" s="3"/>
      <c r="R27" s="1"/>
      <c r="S27" s="3"/>
      <c r="T27" s="3">
        <f t="shared" si="12"/>
        <v>0</v>
      </c>
      <c r="U27" s="3">
        <f t="shared" si="13"/>
        <v>0</v>
      </c>
      <c r="V27" s="3">
        <f>Table1[[#This Row],[Enrolment S.Y. 2025-2026 ]]*8</f>
        <v>0</v>
      </c>
      <c r="W27" s="3"/>
      <c r="X27" s="1"/>
      <c r="Y27" s="3"/>
      <c r="Z27" s="3">
        <f t="shared" si="14"/>
        <v>0</v>
      </c>
      <c r="AA27" s="3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3">
        <f>Table1[[#This Row],[Enrolment S.Y. 2025-2026 ]]*8</f>
        <v>0</v>
      </c>
      <c r="E28" s="3"/>
      <c r="F28" s="1"/>
      <c r="G28" s="3"/>
      <c r="H28" s="3">
        <f t="shared" si="2"/>
        <v>0</v>
      </c>
      <c r="I28" s="3">
        <f t="shared" si="3"/>
        <v>0</v>
      </c>
      <c r="J28" s="3">
        <f>Table1[[#This Row],[Enrolment S.Y. 2025-2026 ]]*8</f>
        <v>0</v>
      </c>
      <c r="K28" s="3"/>
      <c r="L28" s="1"/>
      <c r="M28" s="3"/>
      <c r="N28" s="3">
        <f t="shared" si="10"/>
        <v>0</v>
      </c>
      <c r="O28" s="3">
        <f t="shared" si="11"/>
        <v>0</v>
      </c>
      <c r="P28" s="3">
        <f>Table1[[#This Row],[Enrolment S.Y. 2025-2026 ]]*8</f>
        <v>0</v>
      </c>
      <c r="Q28" s="3"/>
      <c r="R28" s="1"/>
      <c r="S28" s="3"/>
      <c r="T28" s="3">
        <f t="shared" si="12"/>
        <v>0</v>
      </c>
      <c r="U28" s="3">
        <f t="shared" si="13"/>
        <v>0</v>
      </c>
      <c r="V28" s="3">
        <f>Table1[[#This Row],[Enrolment S.Y. 2025-2026 ]]*8</f>
        <v>0</v>
      </c>
      <c r="W28" s="3"/>
      <c r="X28" s="1"/>
      <c r="Y28" s="3"/>
      <c r="Z28" s="3">
        <f t="shared" si="14"/>
        <v>0</v>
      </c>
      <c r="AA28" s="3">
        <f t="shared" si="15"/>
        <v>0</v>
      </c>
    </row>
    <row r="29" spans="1:27" ht="19.149999999999999">
      <c r="A29" s="1">
        <v>3</v>
      </c>
      <c r="B29" s="7" t="s">
        <v>14</v>
      </c>
      <c r="C29" s="1"/>
      <c r="D29" s="3">
        <f>Table1[[#This Row],[Enrolment S.Y. 2025-2026 ]]*8</f>
        <v>0</v>
      </c>
      <c r="E29" s="3"/>
      <c r="F29" s="1"/>
      <c r="G29" s="3"/>
      <c r="H29" s="3">
        <f>IF((D29-E29)&lt;0,0,(D29-E29))</f>
        <v>0</v>
      </c>
      <c r="I29" s="3">
        <f>IF((E29-D29)&lt;0,0,(E29-D29))</f>
        <v>0</v>
      </c>
      <c r="J29" s="3">
        <f>Table1[[#This Row],[Enrolment S.Y. 2025-2026 ]]*8</f>
        <v>0</v>
      </c>
      <c r="K29" s="3"/>
      <c r="L29" s="1"/>
      <c r="M29" s="3"/>
      <c r="N29" s="3">
        <f t="shared" si="10"/>
        <v>0</v>
      </c>
      <c r="O29" s="3">
        <f t="shared" si="11"/>
        <v>0</v>
      </c>
      <c r="P29" s="3">
        <f>Table1[[#This Row],[Enrolment S.Y. 2025-2026 ]]*8</f>
        <v>0</v>
      </c>
      <c r="Q29" s="3"/>
      <c r="R29" s="1"/>
      <c r="S29" s="3"/>
      <c r="T29" s="3">
        <f t="shared" si="12"/>
        <v>0</v>
      </c>
      <c r="U29" s="3">
        <f t="shared" si="13"/>
        <v>0</v>
      </c>
      <c r="V29" s="3">
        <f>Table1[[#This Row],[Enrolment S.Y. 2025-2026 ]]*8</f>
        <v>0</v>
      </c>
      <c r="W29" s="3"/>
      <c r="X29" s="1"/>
      <c r="Y29" s="3"/>
      <c r="Z29" s="3">
        <f t="shared" si="14"/>
        <v>0</v>
      </c>
      <c r="AA29" s="3">
        <f t="shared" si="15"/>
        <v>0</v>
      </c>
    </row>
    <row r="30" spans="1:27" ht="19.149999999999999">
      <c r="A30" s="1">
        <v>3</v>
      </c>
      <c r="B30" s="7" t="s">
        <v>15</v>
      </c>
      <c r="C30" s="1"/>
      <c r="D30" s="3">
        <f>Table1[[#This Row],[Enrolment S.Y. 2025-2026 ]]*8</f>
        <v>0</v>
      </c>
      <c r="E30" s="3"/>
      <c r="F30" s="1"/>
      <c r="G30" s="3"/>
      <c r="H30" s="3">
        <f>IF((D30-E30)&lt;0,0,(D30-E30))</f>
        <v>0</v>
      </c>
      <c r="I30" s="3">
        <f>IF((E30-D30)&lt;0,0,(E30-D30))</f>
        <v>0</v>
      </c>
      <c r="J30" s="3">
        <f>Table1[[#This Row],[Enrolment S.Y. 2025-2026 ]]*8</f>
        <v>0</v>
      </c>
      <c r="K30" s="3"/>
      <c r="L30" s="1"/>
      <c r="M30" s="3"/>
      <c r="N30" s="3">
        <f t="shared" si="10"/>
        <v>0</v>
      </c>
      <c r="O30" s="3">
        <f t="shared" si="11"/>
        <v>0</v>
      </c>
      <c r="P30" s="3">
        <f>Table1[[#This Row],[Enrolment S.Y. 2025-2026 ]]*8</f>
        <v>0</v>
      </c>
      <c r="Q30" s="3"/>
      <c r="R30" s="1"/>
      <c r="S30" s="3"/>
      <c r="T30" s="3">
        <f t="shared" si="12"/>
        <v>0</v>
      </c>
      <c r="U30" s="3">
        <f t="shared" si="13"/>
        <v>0</v>
      </c>
      <c r="V30" s="3">
        <f>Table1[[#This Row],[Enrolment S.Y. 2025-2026 ]]*8</f>
        <v>0</v>
      </c>
      <c r="W30" s="3"/>
      <c r="X30" s="1"/>
      <c r="Y30" s="3"/>
      <c r="Z30" s="3">
        <f t="shared" si="14"/>
        <v>0</v>
      </c>
      <c r="AA30" s="3">
        <f t="shared" si="15"/>
        <v>0</v>
      </c>
    </row>
    <row r="31" spans="1:27" ht="19.149999999999999">
      <c r="A31" s="1">
        <v>3</v>
      </c>
      <c r="B31" s="7" t="s">
        <v>61</v>
      </c>
      <c r="C31" s="1"/>
      <c r="D31" s="3">
        <f>Table1[[#This Row],[Enrolment S.Y. 2025-2026 ]]*8</f>
        <v>0</v>
      </c>
      <c r="E31" s="3"/>
      <c r="F31" s="1"/>
      <c r="G31" s="3"/>
      <c r="H31" s="3">
        <f>IF((D31-E31)&lt;0,0,(D31-E31))</f>
        <v>0</v>
      </c>
      <c r="I31" s="3">
        <f>IF((E31-D31)&lt;0,0,(E31-D31))</f>
        <v>0</v>
      </c>
      <c r="J31" s="3">
        <f>Table1[[#This Row],[Enrolment S.Y. 2025-2026 ]]*8</f>
        <v>0</v>
      </c>
      <c r="K31" s="3"/>
      <c r="L31" s="1"/>
      <c r="M31" s="3"/>
      <c r="N31" s="3">
        <f t="shared" si="10"/>
        <v>0</v>
      </c>
      <c r="O31" s="3">
        <f t="shared" si="11"/>
        <v>0</v>
      </c>
      <c r="P31" s="3">
        <f>Table1[[#This Row],[Enrolment S.Y. 2025-2026 ]]*8</f>
        <v>0</v>
      </c>
      <c r="Q31" s="3"/>
      <c r="R31" s="1"/>
      <c r="S31" s="3"/>
      <c r="T31" s="3">
        <f t="shared" si="12"/>
        <v>0</v>
      </c>
      <c r="U31" s="3">
        <f t="shared" si="13"/>
        <v>0</v>
      </c>
      <c r="V31" s="3">
        <f>Table1[[#This Row],[Enrolment S.Y. 2025-2026 ]]*8</f>
        <v>0</v>
      </c>
      <c r="W31" s="3"/>
      <c r="X31" s="1"/>
      <c r="Y31" s="3"/>
      <c r="Z31" s="3">
        <f t="shared" si="14"/>
        <v>0</v>
      </c>
      <c r="AA31" s="3">
        <f t="shared" si="15"/>
        <v>0</v>
      </c>
    </row>
    <row r="32" spans="1:27" s="5" customFormat="1" ht="19.149999999999999">
      <c r="J32" s="11"/>
      <c r="M32" s="3"/>
      <c r="N32" s="11"/>
      <c r="O32" s="11"/>
      <c r="P32" s="11"/>
      <c r="S32" s="3"/>
      <c r="T32" s="11"/>
      <c r="U32" s="11"/>
      <c r="V32" s="11"/>
      <c r="Y32" s="3"/>
      <c r="Z32" s="11"/>
      <c r="AA32" s="11"/>
    </row>
    <row r="33" spans="1:27" ht="19.149999999999999">
      <c r="A33" s="1">
        <v>4</v>
      </c>
      <c r="B33" s="7" t="s">
        <v>14</v>
      </c>
      <c r="C33" s="1"/>
      <c r="D33" s="3">
        <f>Table1[[#This Row],[Enrolment S.Y. 2025-2026 ]]*8</f>
        <v>0</v>
      </c>
      <c r="E33" s="3"/>
      <c r="F33" s="1"/>
      <c r="G33" s="3"/>
      <c r="H33" s="3">
        <f t="shared" si="2"/>
        <v>0</v>
      </c>
      <c r="I33" s="3">
        <f t="shared" si="3"/>
        <v>0</v>
      </c>
      <c r="J33" s="3">
        <f>Table1[[#This Row],[Enrolment S.Y. 2025-2026 ]]*8</f>
        <v>0</v>
      </c>
      <c r="K33" s="3"/>
      <c r="L33" s="1"/>
      <c r="M33" s="3"/>
      <c r="N33" s="3">
        <f t="shared" si="10"/>
        <v>0</v>
      </c>
      <c r="O33" s="3">
        <f t="shared" si="11"/>
        <v>0</v>
      </c>
      <c r="P33" s="3">
        <f>Table1[[#This Row],[Enrolment S.Y. 2025-2026 ]]*8</f>
        <v>0</v>
      </c>
      <c r="Q33" s="3"/>
      <c r="R33" s="1"/>
      <c r="S33" s="3"/>
      <c r="T33" s="3">
        <f t="shared" si="12"/>
        <v>0</v>
      </c>
      <c r="U33" s="3">
        <f t="shared" si="13"/>
        <v>0</v>
      </c>
      <c r="V33" s="3">
        <f>Table1[[#This Row],[Enrolment S.Y. 2025-2026 ]]*8</f>
        <v>0</v>
      </c>
      <c r="W33" s="3"/>
      <c r="X33" s="1"/>
      <c r="Y33" s="3"/>
      <c r="Z33" s="3">
        <f t="shared" si="14"/>
        <v>0</v>
      </c>
      <c r="AA33" s="3">
        <f t="shared" si="15"/>
        <v>0</v>
      </c>
    </row>
    <row r="34" spans="1:27" ht="19.149999999999999">
      <c r="A34" s="1">
        <v>4</v>
      </c>
      <c r="B34" s="7" t="s">
        <v>15</v>
      </c>
      <c r="C34" s="1"/>
      <c r="D34" s="3">
        <f>Table1[[#This Row],[Enrolment S.Y. 2025-2026 ]]*8</f>
        <v>0</v>
      </c>
      <c r="E34" s="3"/>
      <c r="F34" s="1"/>
      <c r="G34" s="3"/>
      <c r="H34" s="3">
        <f t="shared" si="2"/>
        <v>0</v>
      </c>
      <c r="I34" s="3">
        <f t="shared" si="3"/>
        <v>0</v>
      </c>
      <c r="J34" s="3">
        <f>Table1[[#This Row],[Enrolment S.Y. 2025-2026 ]]*8</f>
        <v>0</v>
      </c>
      <c r="K34" s="3"/>
      <c r="L34" s="1"/>
      <c r="M34" s="3"/>
      <c r="N34" s="3">
        <f t="shared" si="10"/>
        <v>0</v>
      </c>
      <c r="O34" s="3">
        <f t="shared" si="11"/>
        <v>0</v>
      </c>
      <c r="P34" s="3">
        <f>Table1[[#This Row],[Enrolment S.Y. 2025-2026 ]]*8</f>
        <v>0</v>
      </c>
      <c r="Q34" s="3"/>
      <c r="R34" s="1"/>
      <c r="S34" s="3"/>
      <c r="T34" s="3">
        <f t="shared" si="12"/>
        <v>0</v>
      </c>
      <c r="U34" s="3">
        <f t="shared" si="13"/>
        <v>0</v>
      </c>
      <c r="V34" s="3">
        <f>Table1[[#This Row],[Enrolment S.Y. 2025-2026 ]]*8</f>
        <v>0</v>
      </c>
      <c r="W34" s="3"/>
      <c r="X34" s="1"/>
      <c r="Y34" s="3"/>
      <c r="Z34" s="3">
        <f t="shared" si="14"/>
        <v>0</v>
      </c>
      <c r="AA34" s="3">
        <f t="shared" si="15"/>
        <v>0</v>
      </c>
    </row>
    <row r="35" spans="1:27" ht="19.149999999999999">
      <c r="A35" s="1">
        <v>4</v>
      </c>
      <c r="B35" s="7" t="s">
        <v>12</v>
      </c>
      <c r="C35" s="1"/>
      <c r="D35" s="3">
        <f>Table1[[#This Row],[Enrolment S.Y. 2025-2026 ]]*8</f>
        <v>0</v>
      </c>
      <c r="E35" s="3"/>
      <c r="F35" s="1"/>
      <c r="G35" s="3"/>
      <c r="H35" s="3">
        <f t="shared" si="2"/>
        <v>0</v>
      </c>
      <c r="I35" s="3">
        <f t="shared" si="3"/>
        <v>0</v>
      </c>
      <c r="J35" s="3">
        <f>Table1[[#This Row],[Enrolment S.Y. 2025-2026 ]]*8</f>
        <v>0</v>
      </c>
      <c r="K35" s="3"/>
      <c r="L35" s="1"/>
      <c r="M35" s="3"/>
      <c r="N35" s="3">
        <f t="shared" si="10"/>
        <v>0</v>
      </c>
      <c r="O35" s="3">
        <f t="shared" si="11"/>
        <v>0</v>
      </c>
      <c r="P35" s="3">
        <f>Table1[[#This Row],[Enrolment S.Y. 2025-2026 ]]*8</f>
        <v>0</v>
      </c>
      <c r="Q35" s="3"/>
      <c r="R35" s="1"/>
      <c r="S35" s="3"/>
      <c r="T35" s="3">
        <f t="shared" si="12"/>
        <v>0</v>
      </c>
      <c r="U35" s="3">
        <f t="shared" si="13"/>
        <v>0</v>
      </c>
      <c r="V35" s="3">
        <f>Table1[[#This Row],[Enrolment S.Y. 2025-2026 ]]*8</f>
        <v>0</v>
      </c>
      <c r="W35" s="3"/>
      <c r="X35" s="1"/>
      <c r="Y35" s="3"/>
      <c r="Z35" s="3">
        <f t="shared" si="14"/>
        <v>0</v>
      </c>
      <c r="AA35" s="3">
        <f t="shared" si="15"/>
        <v>0</v>
      </c>
    </row>
    <row r="36" spans="1:27" ht="19.149999999999999">
      <c r="A36" s="1">
        <v>4</v>
      </c>
      <c r="B36" s="7" t="s">
        <v>10</v>
      </c>
      <c r="C36" s="1"/>
      <c r="D36" s="3">
        <f>Table1[[#This Row],[Enrolment S.Y. 2025-2026 ]]*8</f>
        <v>0</v>
      </c>
      <c r="E36" s="3"/>
      <c r="F36" s="1"/>
      <c r="G36" s="3"/>
      <c r="H36" s="3">
        <f t="shared" si="2"/>
        <v>0</v>
      </c>
      <c r="I36" s="3">
        <f t="shared" si="3"/>
        <v>0</v>
      </c>
      <c r="J36" s="3">
        <f>Table1[[#This Row],[Enrolment S.Y. 2025-2026 ]]*8</f>
        <v>0</v>
      </c>
      <c r="K36" s="3"/>
      <c r="L36" s="1"/>
      <c r="M36" s="3"/>
      <c r="N36" s="3">
        <f t="shared" si="10"/>
        <v>0</v>
      </c>
      <c r="O36" s="3">
        <f t="shared" si="11"/>
        <v>0</v>
      </c>
      <c r="P36" s="3">
        <f>Table1[[#This Row],[Enrolment S.Y. 2025-2026 ]]*8</f>
        <v>0</v>
      </c>
      <c r="Q36" s="3"/>
      <c r="R36" s="1"/>
      <c r="S36" s="3"/>
      <c r="T36" s="3">
        <f t="shared" si="12"/>
        <v>0</v>
      </c>
      <c r="U36" s="3">
        <f t="shared" si="13"/>
        <v>0</v>
      </c>
      <c r="V36" s="3">
        <f>Table1[[#This Row],[Enrolment S.Y. 2025-2026 ]]*8</f>
        <v>0</v>
      </c>
      <c r="W36" s="3"/>
      <c r="X36" s="1"/>
      <c r="Y36" s="3"/>
      <c r="Z36" s="3">
        <f t="shared" si="14"/>
        <v>0</v>
      </c>
      <c r="AA36" s="3">
        <f t="shared" si="15"/>
        <v>0</v>
      </c>
    </row>
    <row r="37" spans="1:27" ht="19.149999999999999">
      <c r="A37" s="1">
        <v>4</v>
      </c>
      <c r="B37" s="7" t="s">
        <v>16</v>
      </c>
      <c r="C37" s="1"/>
      <c r="D37" s="3">
        <f>Table1[[#This Row],[Enrolment S.Y. 2025-2026 ]]*8</f>
        <v>0</v>
      </c>
      <c r="E37" s="3"/>
      <c r="F37" s="1"/>
      <c r="G37" s="3"/>
      <c r="H37" s="3">
        <f t="shared" si="2"/>
        <v>0</v>
      </c>
      <c r="I37" s="3">
        <f t="shared" si="3"/>
        <v>0</v>
      </c>
      <c r="J37" s="3">
        <f>Table1[[#This Row],[Enrolment S.Y. 2025-2026 ]]*8</f>
        <v>0</v>
      </c>
      <c r="K37" s="3"/>
      <c r="L37" s="1"/>
      <c r="M37" s="3"/>
      <c r="N37" s="3">
        <f t="shared" si="10"/>
        <v>0</v>
      </c>
      <c r="O37" s="3">
        <f t="shared" si="11"/>
        <v>0</v>
      </c>
      <c r="P37" s="3">
        <f>Table1[[#This Row],[Enrolment S.Y. 2025-2026 ]]*8</f>
        <v>0</v>
      </c>
      <c r="Q37" s="3"/>
      <c r="R37" s="1"/>
      <c r="S37" s="3"/>
      <c r="T37" s="3">
        <f t="shared" si="12"/>
        <v>0</v>
      </c>
      <c r="U37" s="3">
        <f t="shared" si="13"/>
        <v>0</v>
      </c>
      <c r="V37" s="3">
        <f>Table1[[#This Row],[Enrolment S.Y. 2025-2026 ]]*8</f>
        <v>0</v>
      </c>
      <c r="W37" s="3"/>
      <c r="X37" s="1"/>
      <c r="Y37" s="3"/>
      <c r="Z37" s="3">
        <f t="shared" si="14"/>
        <v>0</v>
      </c>
      <c r="AA37" s="3">
        <f t="shared" si="15"/>
        <v>0</v>
      </c>
    </row>
    <row r="38" spans="1:27" ht="19.149999999999999">
      <c r="A38" s="1">
        <v>4</v>
      </c>
      <c r="B38" s="7" t="s">
        <v>13</v>
      </c>
      <c r="C38" s="1"/>
      <c r="D38" s="3">
        <f>Table1[[#This Row],[Enrolment S.Y. 2025-2026 ]]*8</f>
        <v>0</v>
      </c>
      <c r="E38" s="3"/>
      <c r="F38" s="1"/>
      <c r="G38" s="3"/>
      <c r="H38" s="3">
        <f t="shared" si="2"/>
        <v>0</v>
      </c>
      <c r="I38" s="3">
        <f t="shared" si="3"/>
        <v>0</v>
      </c>
      <c r="J38" s="3">
        <f>Table1[[#This Row],[Enrolment S.Y. 2025-2026 ]]*8</f>
        <v>0</v>
      </c>
      <c r="K38" s="3"/>
      <c r="L38" s="1"/>
      <c r="M38" s="3"/>
      <c r="N38" s="3">
        <f t="shared" si="10"/>
        <v>0</v>
      </c>
      <c r="O38" s="3">
        <f t="shared" si="11"/>
        <v>0</v>
      </c>
      <c r="P38" s="3">
        <f>Table1[[#This Row],[Enrolment S.Y. 2025-2026 ]]*8</f>
        <v>0</v>
      </c>
      <c r="Q38" s="3"/>
      <c r="R38" s="1"/>
      <c r="S38" s="3"/>
      <c r="T38" s="3">
        <f t="shared" si="12"/>
        <v>0</v>
      </c>
      <c r="U38" s="3">
        <f t="shared" si="13"/>
        <v>0</v>
      </c>
      <c r="V38" s="3">
        <f>Table1[[#This Row],[Enrolment S.Y. 2025-2026 ]]*8</f>
        <v>0</v>
      </c>
      <c r="W38" s="3"/>
      <c r="X38" s="1"/>
      <c r="Y38" s="3"/>
      <c r="Z38" s="3">
        <f t="shared" si="14"/>
        <v>0</v>
      </c>
      <c r="AA38" s="3">
        <f t="shared" si="15"/>
        <v>0</v>
      </c>
    </row>
    <row r="39" spans="1:27" ht="19.149999999999999">
      <c r="A39" s="1">
        <v>4</v>
      </c>
      <c r="B39" s="7" t="s">
        <v>17</v>
      </c>
      <c r="C39" s="1"/>
      <c r="D39" s="3">
        <f>Table1[[#This Row],[Enrolment S.Y. 2025-2026 ]]*8</f>
        <v>0</v>
      </c>
      <c r="E39" s="3"/>
      <c r="F39" s="1"/>
      <c r="G39" s="3"/>
      <c r="H39" s="3">
        <f t="shared" si="2"/>
        <v>0</v>
      </c>
      <c r="I39" s="3">
        <f t="shared" si="3"/>
        <v>0</v>
      </c>
      <c r="J39" s="3">
        <f>Table1[[#This Row],[Enrolment S.Y. 2025-2026 ]]*8</f>
        <v>0</v>
      </c>
      <c r="K39" s="3"/>
      <c r="L39" s="1"/>
      <c r="M39" s="3"/>
      <c r="N39" s="3">
        <f t="shared" si="10"/>
        <v>0</v>
      </c>
      <c r="O39" s="3">
        <f t="shared" si="11"/>
        <v>0</v>
      </c>
      <c r="P39" s="3">
        <f>Table1[[#This Row],[Enrolment S.Y. 2025-2026 ]]*8</f>
        <v>0</v>
      </c>
      <c r="Q39" s="3"/>
      <c r="R39" s="1"/>
      <c r="S39" s="3"/>
      <c r="T39" s="3">
        <f t="shared" si="12"/>
        <v>0</v>
      </c>
      <c r="U39" s="3">
        <f t="shared" si="13"/>
        <v>0</v>
      </c>
      <c r="V39" s="3">
        <f>Table1[[#This Row],[Enrolment S.Y. 2025-2026 ]]*8</f>
        <v>0</v>
      </c>
      <c r="W39" s="3"/>
      <c r="X39" s="1"/>
      <c r="Y39" s="3"/>
      <c r="Z39" s="3">
        <f t="shared" si="14"/>
        <v>0</v>
      </c>
      <c r="AA39" s="3">
        <f t="shared" si="15"/>
        <v>0</v>
      </c>
    </row>
    <row r="40" spans="1:27" ht="19.149999999999999">
      <c r="A40" s="1">
        <v>4</v>
      </c>
      <c r="B40" s="7" t="s">
        <v>18</v>
      </c>
      <c r="C40" s="1"/>
      <c r="D40" s="3">
        <f>Table1[[#This Row],[Enrolment S.Y. 2025-2026 ]]*8</f>
        <v>0</v>
      </c>
      <c r="E40" s="3"/>
      <c r="F40" s="1"/>
      <c r="G40" s="3"/>
      <c r="H40" s="3">
        <f t="shared" si="2"/>
        <v>0</v>
      </c>
      <c r="I40" s="3">
        <f t="shared" si="3"/>
        <v>0</v>
      </c>
      <c r="J40" s="3">
        <f>Table1[[#This Row],[Enrolment S.Y. 2025-2026 ]]*8</f>
        <v>0</v>
      </c>
      <c r="K40" s="3"/>
      <c r="L40" s="1"/>
      <c r="M40" s="3"/>
      <c r="N40" s="3">
        <f t="shared" si="10"/>
        <v>0</v>
      </c>
      <c r="O40" s="3">
        <f t="shared" si="11"/>
        <v>0</v>
      </c>
      <c r="P40" s="3">
        <f>Table1[[#This Row],[Enrolment S.Y. 2025-2026 ]]*8</f>
        <v>0</v>
      </c>
      <c r="Q40" s="3"/>
      <c r="R40" s="1"/>
      <c r="S40" s="3"/>
      <c r="T40" s="3">
        <f t="shared" si="12"/>
        <v>0</v>
      </c>
      <c r="U40" s="3">
        <f t="shared" si="13"/>
        <v>0</v>
      </c>
      <c r="V40" s="3">
        <f>Table1[[#This Row],[Enrolment S.Y. 2025-2026 ]]*8</f>
        <v>0</v>
      </c>
      <c r="W40" s="3"/>
      <c r="X40" s="1"/>
      <c r="Y40" s="3"/>
      <c r="Z40" s="3">
        <f t="shared" si="14"/>
        <v>0</v>
      </c>
      <c r="AA40" s="3">
        <f t="shared" si="15"/>
        <v>0</v>
      </c>
    </row>
    <row r="41" spans="1:27" ht="19.149999999999999">
      <c r="A41" s="1">
        <v>4</v>
      </c>
      <c r="B41" s="7" t="s">
        <v>19</v>
      </c>
      <c r="C41" s="1"/>
      <c r="D41" s="3">
        <f>Table1[[#This Row],[Enrolment S.Y. 2025-2026 ]]*8</f>
        <v>0</v>
      </c>
      <c r="E41" s="3"/>
      <c r="F41" s="1"/>
      <c r="G41" s="3"/>
      <c r="H41" s="3">
        <f t="shared" si="2"/>
        <v>0</v>
      </c>
      <c r="I41" s="3">
        <f t="shared" si="3"/>
        <v>0</v>
      </c>
      <c r="J41" s="3">
        <f>Table1[[#This Row],[Enrolment S.Y. 2025-2026 ]]*8</f>
        <v>0</v>
      </c>
      <c r="K41" s="3"/>
      <c r="L41" s="1"/>
      <c r="M41" s="3"/>
      <c r="N41" s="3">
        <f t="shared" si="10"/>
        <v>0</v>
      </c>
      <c r="O41" s="3">
        <f t="shared" si="11"/>
        <v>0</v>
      </c>
      <c r="P41" s="3">
        <f>Table1[[#This Row],[Enrolment S.Y. 2025-2026 ]]*8</f>
        <v>0</v>
      </c>
      <c r="Q41" s="3"/>
      <c r="R41" s="1"/>
      <c r="S41" s="3"/>
      <c r="T41" s="3">
        <f t="shared" si="12"/>
        <v>0</v>
      </c>
      <c r="U41" s="3">
        <f t="shared" si="13"/>
        <v>0</v>
      </c>
      <c r="V41" s="3">
        <f>Table1[[#This Row],[Enrolment S.Y. 2025-2026 ]]*8</f>
        <v>0</v>
      </c>
      <c r="W41" s="3"/>
      <c r="X41" s="1"/>
      <c r="Y41" s="3"/>
      <c r="Z41" s="3">
        <f t="shared" si="14"/>
        <v>0</v>
      </c>
      <c r="AA41" s="3">
        <f t="shared" si="15"/>
        <v>0</v>
      </c>
    </row>
    <row r="42" spans="1:27" s="5" customFormat="1" ht="19.149999999999999">
      <c r="J42" s="11"/>
      <c r="M42" s="3"/>
      <c r="N42" s="11"/>
      <c r="O42" s="11"/>
      <c r="P42" s="11"/>
      <c r="S42" s="3"/>
      <c r="T42" s="11"/>
      <c r="U42" s="11"/>
      <c r="V42" s="11"/>
      <c r="Y42" s="3"/>
      <c r="Z42" s="11"/>
      <c r="AA42" s="11"/>
    </row>
    <row r="43" spans="1:27" ht="19.149999999999999">
      <c r="A43" s="1">
        <v>5</v>
      </c>
      <c r="B43" s="7" t="s">
        <v>14</v>
      </c>
      <c r="C43" s="1"/>
      <c r="D43" s="3">
        <f>Table1[[#This Row],[Enrolment S.Y. 2025-2026 ]]*8</f>
        <v>0</v>
      </c>
      <c r="E43" s="3"/>
      <c r="F43" s="1"/>
      <c r="G43" s="3"/>
      <c r="H43" s="3">
        <f t="shared" si="2"/>
        <v>0</v>
      </c>
      <c r="I43" s="3">
        <f t="shared" si="3"/>
        <v>0</v>
      </c>
      <c r="J43" s="3">
        <f>Table1[[#This Row],[Enrolment S.Y. 2025-2026 ]]*8</f>
        <v>0</v>
      </c>
      <c r="K43" s="3"/>
      <c r="L43" s="1"/>
      <c r="M43" s="3"/>
      <c r="N43" s="3">
        <f t="shared" si="10"/>
        <v>0</v>
      </c>
      <c r="O43" s="3">
        <f t="shared" si="11"/>
        <v>0</v>
      </c>
      <c r="P43" s="3">
        <f>Table1[[#This Row],[Enrolment S.Y. 2025-2026 ]]*8</f>
        <v>0</v>
      </c>
      <c r="Q43" s="3"/>
      <c r="R43" s="1"/>
      <c r="S43" s="3"/>
      <c r="T43" s="3">
        <f t="shared" si="12"/>
        <v>0</v>
      </c>
      <c r="U43" s="3">
        <f t="shared" si="13"/>
        <v>0</v>
      </c>
      <c r="V43" s="3">
        <f>Table1[[#This Row],[Enrolment S.Y. 2025-2026 ]]*8</f>
        <v>0</v>
      </c>
      <c r="W43" s="3"/>
      <c r="X43" s="1"/>
      <c r="Y43" s="3"/>
      <c r="Z43" s="3">
        <f t="shared" si="14"/>
        <v>0</v>
      </c>
      <c r="AA43" s="3">
        <f t="shared" si="15"/>
        <v>0</v>
      </c>
    </row>
    <row r="44" spans="1:27" ht="19.149999999999999">
      <c r="A44" s="1">
        <v>5</v>
      </c>
      <c r="B44" s="7" t="s">
        <v>15</v>
      </c>
      <c r="C44" s="1"/>
      <c r="D44" s="3">
        <f>Table1[[#This Row],[Enrolment S.Y. 2025-2026 ]]*8</f>
        <v>0</v>
      </c>
      <c r="E44" s="3"/>
      <c r="F44" s="1"/>
      <c r="G44" s="3"/>
      <c r="H44" s="3">
        <f t="shared" si="2"/>
        <v>0</v>
      </c>
      <c r="I44" s="3">
        <f t="shared" si="3"/>
        <v>0</v>
      </c>
      <c r="J44" s="3">
        <f>Table1[[#This Row],[Enrolment S.Y. 2025-2026 ]]*8</f>
        <v>0</v>
      </c>
      <c r="K44" s="3"/>
      <c r="L44" s="1"/>
      <c r="M44" s="3"/>
      <c r="N44" s="3">
        <f t="shared" si="10"/>
        <v>0</v>
      </c>
      <c r="O44" s="3">
        <f t="shared" si="11"/>
        <v>0</v>
      </c>
      <c r="P44" s="3">
        <f>Table1[[#This Row],[Enrolment S.Y. 2025-2026 ]]*8</f>
        <v>0</v>
      </c>
      <c r="Q44" s="3"/>
      <c r="R44" s="1"/>
      <c r="S44" s="3"/>
      <c r="T44" s="3">
        <f t="shared" si="12"/>
        <v>0</v>
      </c>
      <c r="U44" s="3">
        <f t="shared" si="13"/>
        <v>0</v>
      </c>
      <c r="V44" s="3">
        <f>Table1[[#This Row],[Enrolment S.Y. 2025-2026 ]]*8</f>
        <v>0</v>
      </c>
      <c r="W44" s="3"/>
      <c r="X44" s="1"/>
      <c r="Y44" s="3"/>
      <c r="Z44" s="3">
        <f t="shared" si="14"/>
        <v>0</v>
      </c>
      <c r="AA44" s="3">
        <f t="shared" si="15"/>
        <v>0</v>
      </c>
    </row>
    <row r="45" spans="1:27" ht="19.149999999999999">
      <c r="A45" s="1">
        <v>5</v>
      </c>
      <c r="B45" s="7" t="s">
        <v>12</v>
      </c>
      <c r="C45" s="1"/>
      <c r="D45" s="3">
        <f>Table1[[#This Row],[Enrolment S.Y. 2025-2026 ]]*8</f>
        <v>0</v>
      </c>
      <c r="E45" s="3"/>
      <c r="F45" s="1"/>
      <c r="G45" s="3"/>
      <c r="H45" s="3">
        <f t="shared" si="2"/>
        <v>0</v>
      </c>
      <c r="I45" s="3">
        <f t="shared" si="3"/>
        <v>0</v>
      </c>
      <c r="J45" s="3">
        <f>Table1[[#This Row],[Enrolment S.Y. 2025-2026 ]]*8</f>
        <v>0</v>
      </c>
      <c r="K45" s="3"/>
      <c r="L45" s="1"/>
      <c r="M45" s="3"/>
      <c r="N45" s="3">
        <f t="shared" si="10"/>
        <v>0</v>
      </c>
      <c r="O45" s="3">
        <f t="shared" si="11"/>
        <v>0</v>
      </c>
      <c r="P45" s="3">
        <f>Table1[[#This Row],[Enrolment S.Y. 2025-2026 ]]*8</f>
        <v>0</v>
      </c>
      <c r="Q45" s="3"/>
      <c r="R45" s="1"/>
      <c r="S45" s="3"/>
      <c r="T45" s="3">
        <f t="shared" si="12"/>
        <v>0</v>
      </c>
      <c r="U45" s="3">
        <f t="shared" si="13"/>
        <v>0</v>
      </c>
      <c r="V45" s="3">
        <f>Table1[[#This Row],[Enrolment S.Y. 2025-2026 ]]*8</f>
        <v>0</v>
      </c>
      <c r="W45" s="3"/>
      <c r="X45" s="1"/>
      <c r="Y45" s="3"/>
      <c r="Z45" s="3">
        <f t="shared" si="14"/>
        <v>0</v>
      </c>
      <c r="AA45" s="3">
        <f t="shared" si="15"/>
        <v>0</v>
      </c>
    </row>
    <row r="46" spans="1:27" ht="19.149999999999999">
      <c r="A46" s="1">
        <v>5</v>
      </c>
      <c r="B46" s="7" t="s">
        <v>10</v>
      </c>
      <c r="C46" s="1"/>
      <c r="D46" s="3">
        <f>Table1[[#This Row],[Enrolment S.Y. 2025-2026 ]]*8</f>
        <v>0</v>
      </c>
      <c r="E46" s="3"/>
      <c r="F46" s="1"/>
      <c r="G46" s="3"/>
      <c r="H46" s="3">
        <f t="shared" si="2"/>
        <v>0</v>
      </c>
      <c r="I46" s="3">
        <f t="shared" si="3"/>
        <v>0</v>
      </c>
      <c r="J46" s="3">
        <f>Table1[[#This Row],[Enrolment S.Y. 2025-2026 ]]*8</f>
        <v>0</v>
      </c>
      <c r="K46" s="3"/>
      <c r="L46" s="1"/>
      <c r="M46" s="3"/>
      <c r="N46" s="3">
        <f t="shared" si="10"/>
        <v>0</v>
      </c>
      <c r="O46" s="3">
        <f t="shared" si="11"/>
        <v>0</v>
      </c>
      <c r="P46" s="3">
        <f>Table1[[#This Row],[Enrolment S.Y. 2025-2026 ]]*8</f>
        <v>0</v>
      </c>
      <c r="Q46" s="3"/>
      <c r="R46" s="1"/>
      <c r="S46" s="3"/>
      <c r="T46" s="3">
        <f t="shared" si="12"/>
        <v>0</v>
      </c>
      <c r="U46" s="3">
        <f t="shared" si="13"/>
        <v>0</v>
      </c>
      <c r="V46" s="3">
        <f>Table1[[#This Row],[Enrolment S.Y. 2025-2026 ]]*8</f>
        <v>0</v>
      </c>
      <c r="W46" s="3"/>
      <c r="X46" s="1"/>
      <c r="Y46" s="3"/>
      <c r="Z46" s="3">
        <f t="shared" si="14"/>
        <v>0</v>
      </c>
      <c r="AA46" s="3">
        <f t="shared" si="15"/>
        <v>0</v>
      </c>
    </row>
    <row r="47" spans="1:27" ht="19.149999999999999">
      <c r="A47" s="1">
        <v>5</v>
      </c>
      <c r="B47" s="7" t="s">
        <v>16</v>
      </c>
      <c r="C47" s="1"/>
      <c r="D47" s="3">
        <f>Table1[[#This Row],[Enrolment S.Y. 2025-2026 ]]*8</f>
        <v>0</v>
      </c>
      <c r="E47" s="3"/>
      <c r="F47" s="1"/>
      <c r="G47" s="3"/>
      <c r="H47" s="3">
        <f t="shared" si="2"/>
        <v>0</v>
      </c>
      <c r="I47" s="3">
        <f t="shared" si="3"/>
        <v>0</v>
      </c>
      <c r="J47" s="3">
        <f>Table1[[#This Row],[Enrolment S.Y. 2025-2026 ]]*8</f>
        <v>0</v>
      </c>
      <c r="K47" s="3"/>
      <c r="L47" s="1"/>
      <c r="M47" s="3"/>
      <c r="N47" s="3">
        <f t="shared" si="10"/>
        <v>0</v>
      </c>
      <c r="O47" s="3">
        <f t="shared" si="11"/>
        <v>0</v>
      </c>
      <c r="P47" s="3">
        <f>Table1[[#This Row],[Enrolment S.Y. 2025-2026 ]]*8</f>
        <v>0</v>
      </c>
      <c r="Q47" s="3"/>
      <c r="R47" s="1"/>
      <c r="S47" s="3"/>
      <c r="T47" s="3">
        <f t="shared" si="12"/>
        <v>0</v>
      </c>
      <c r="U47" s="3">
        <f t="shared" si="13"/>
        <v>0</v>
      </c>
      <c r="V47" s="3">
        <f>Table1[[#This Row],[Enrolment S.Y. 2025-2026 ]]*8</f>
        <v>0</v>
      </c>
      <c r="W47" s="3"/>
      <c r="X47" s="1"/>
      <c r="Y47" s="3"/>
      <c r="Z47" s="3">
        <f t="shared" si="14"/>
        <v>0</v>
      </c>
      <c r="AA47" s="3">
        <f t="shared" si="15"/>
        <v>0</v>
      </c>
    </row>
    <row r="48" spans="1:27" ht="19.149999999999999">
      <c r="A48" s="1">
        <v>5</v>
      </c>
      <c r="B48" s="7" t="s">
        <v>13</v>
      </c>
      <c r="C48" s="1"/>
      <c r="D48" s="3">
        <f>Table1[[#This Row],[Enrolment S.Y. 2025-2026 ]]*8</f>
        <v>0</v>
      </c>
      <c r="E48" s="3"/>
      <c r="F48" s="1"/>
      <c r="G48" s="3"/>
      <c r="H48" s="3">
        <f t="shared" si="2"/>
        <v>0</v>
      </c>
      <c r="I48" s="3">
        <f t="shared" si="3"/>
        <v>0</v>
      </c>
      <c r="J48" s="3">
        <f>Table1[[#This Row],[Enrolment S.Y. 2025-2026 ]]*8</f>
        <v>0</v>
      </c>
      <c r="K48" s="3"/>
      <c r="L48" s="1"/>
      <c r="M48" s="3"/>
      <c r="N48" s="3">
        <f t="shared" si="10"/>
        <v>0</v>
      </c>
      <c r="O48" s="3">
        <f t="shared" si="11"/>
        <v>0</v>
      </c>
      <c r="P48" s="3">
        <f>Table1[[#This Row],[Enrolment S.Y. 2025-2026 ]]*8</f>
        <v>0</v>
      </c>
      <c r="Q48" s="3"/>
      <c r="R48" s="1"/>
      <c r="S48" s="3"/>
      <c r="T48" s="3">
        <f t="shared" si="12"/>
        <v>0</v>
      </c>
      <c r="U48" s="3">
        <f t="shared" si="13"/>
        <v>0</v>
      </c>
      <c r="V48" s="3">
        <f>Table1[[#This Row],[Enrolment S.Y. 2025-2026 ]]*8</f>
        <v>0</v>
      </c>
      <c r="W48" s="3"/>
      <c r="X48" s="1"/>
      <c r="Y48" s="3"/>
      <c r="Z48" s="3">
        <f t="shared" si="14"/>
        <v>0</v>
      </c>
      <c r="AA48" s="3">
        <f t="shared" si="15"/>
        <v>0</v>
      </c>
    </row>
    <row r="49" spans="1:27" ht="19.149999999999999">
      <c r="A49" s="1">
        <v>5</v>
      </c>
      <c r="B49" s="7" t="s">
        <v>17</v>
      </c>
      <c r="C49" s="1"/>
      <c r="D49" s="3">
        <f>Table1[[#This Row],[Enrolment S.Y. 2025-2026 ]]*8</f>
        <v>0</v>
      </c>
      <c r="E49" s="3"/>
      <c r="F49" s="1"/>
      <c r="G49" s="3"/>
      <c r="H49" s="3">
        <f t="shared" si="2"/>
        <v>0</v>
      </c>
      <c r="I49" s="3">
        <f t="shared" si="3"/>
        <v>0</v>
      </c>
      <c r="J49" s="3">
        <f>Table1[[#This Row],[Enrolment S.Y. 2025-2026 ]]*8</f>
        <v>0</v>
      </c>
      <c r="K49" s="3"/>
      <c r="L49" s="1"/>
      <c r="M49" s="3"/>
      <c r="N49" s="3">
        <f t="shared" si="10"/>
        <v>0</v>
      </c>
      <c r="O49" s="3">
        <f t="shared" si="11"/>
        <v>0</v>
      </c>
      <c r="P49" s="3">
        <f>Table1[[#This Row],[Enrolment S.Y. 2025-2026 ]]*8</f>
        <v>0</v>
      </c>
      <c r="Q49" s="3"/>
      <c r="R49" s="1"/>
      <c r="S49" s="3"/>
      <c r="T49" s="3">
        <f t="shared" si="12"/>
        <v>0</v>
      </c>
      <c r="U49" s="3">
        <f t="shared" si="13"/>
        <v>0</v>
      </c>
      <c r="V49" s="3">
        <f>Table1[[#This Row],[Enrolment S.Y. 2025-2026 ]]*8</f>
        <v>0</v>
      </c>
      <c r="W49" s="3"/>
      <c r="X49" s="1"/>
      <c r="Y49" s="3"/>
      <c r="Z49" s="3">
        <f t="shared" si="14"/>
        <v>0</v>
      </c>
      <c r="AA49" s="3">
        <f t="shared" si="15"/>
        <v>0</v>
      </c>
    </row>
    <row r="50" spans="1:27" ht="19.149999999999999">
      <c r="A50" s="1">
        <v>5</v>
      </c>
      <c r="B50" s="7" t="s">
        <v>18</v>
      </c>
      <c r="C50" s="1"/>
      <c r="D50" s="3">
        <f>Table1[[#This Row],[Enrolment S.Y. 2025-2026 ]]*8</f>
        <v>0</v>
      </c>
      <c r="E50" s="3"/>
      <c r="F50" s="1"/>
      <c r="G50" s="3"/>
      <c r="H50" s="3">
        <f t="shared" si="2"/>
        <v>0</v>
      </c>
      <c r="I50" s="3">
        <f t="shared" si="3"/>
        <v>0</v>
      </c>
      <c r="J50" s="3">
        <f>Table1[[#This Row],[Enrolment S.Y. 2025-2026 ]]*8</f>
        <v>0</v>
      </c>
      <c r="K50" s="3"/>
      <c r="L50" s="1"/>
      <c r="M50" s="3"/>
      <c r="N50" s="3">
        <f t="shared" si="10"/>
        <v>0</v>
      </c>
      <c r="O50" s="3">
        <f t="shared" si="11"/>
        <v>0</v>
      </c>
      <c r="P50" s="3">
        <f>Table1[[#This Row],[Enrolment S.Y. 2025-2026 ]]*8</f>
        <v>0</v>
      </c>
      <c r="Q50" s="3"/>
      <c r="R50" s="1"/>
      <c r="S50" s="3"/>
      <c r="T50" s="3">
        <f t="shared" si="12"/>
        <v>0</v>
      </c>
      <c r="U50" s="3">
        <f t="shared" si="13"/>
        <v>0</v>
      </c>
      <c r="V50" s="3">
        <f>Table1[[#This Row],[Enrolment S.Y. 2025-2026 ]]*8</f>
        <v>0</v>
      </c>
      <c r="W50" s="3"/>
      <c r="X50" s="1"/>
      <c r="Y50" s="3"/>
      <c r="Z50" s="3">
        <f t="shared" si="14"/>
        <v>0</v>
      </c>
      <c r="AA50" s="3">
        <f t="shared" si="15"/>
        <v>0</v>
      </c>
    </row>
    <row r="51" spans="1:27" ht="19.149999999999999">
      <c r="A51" s="1">
        <v>5</v>
      </c>
      <c r="B51" s="7" t="s">
        <v>19</v>
      </c>
      <c r="C51" s="1"/>
      <c r="D51" s="3">
        <f>Table1[[#This Row],[Enrolment S.Y. 2025-2026 ]]*8</f>
        <v>0</v>
      </c>
      <c r="E51" s="3"/>
      <c r="F51" s="1"/>
      <c r="G51" s="3"/>
      <c r="H51" s="3">
        <f t="shared" si="2"/>
        <v>0</v>
      </c>
      <c r="I51" s="3">
        <f t="shared" si="3"/>
        <v>0</v>
      </c>
      <c r="J51" s="3">
        <f>Table1[[#This Row],[Enrolment S.Y. 2025-2026 ]]*8</f>
        <v>0</v>
      </c>
      <c r="K51" s="3"/>
      <c r="L51" s="1"/>
      <c r="M51" s="3"/>
      <c r="N51" s="3">
        <f t="shared" si="10"/>
        <v>0</v>
      </c>
      <c r="O51" s="3">
        <f t="shared" si="11"/>
        <v>0</v>
      </c>
      <c r="P51" s="3">
        <f>Table1[[#This Row],[Enrolment S.Y. 2025-2026 ]]*8</f>
        <v>0</v>
      </c>
      <c r="Q51" s="3"/>
      <c r="R51" s="1"/>
      <c r="S51" s="3"/>
      <c r="T51" s="3">
        <f t="shared" si="12"/>
        <v>0</v>
      </c>
      <c r="U51" s="3">
        <f t="shared" si="13"/>
        <v>0</v>
      </c>
      <c r="V51" s="3">
        <f>Table1[[#This Row],[Enrolment S.Y. 2025-2026 ]]*8</f>
        <v>0</v>
      </c>
      <c r="W51" s="3"/>
      <c r="X51" s="1"/>
      <c r="Y51" s="3"/>
      <c r="Z51" s="3">
        <f t="shared" si="14"/>
        <v>0</v>
      </c>
      <c r="AA51" s="3">
        <f t="shared" si="15"/>
        <v>0</v>
      </c>
    </row>
    <row r="52" spans="1:27" s="5" customFormat="1" ht="19.149999999999999">
      <c r="J52" s="11"/>
      <c r="M52" s="3"/>
      <c r="N52" s="11"/>
      <c r="O52" s="11"/>
      <c r="P52" s="11"/>
      <c r="S52" s="3"/>
      <c r="T52" s="11"/>
      <c r="U52" s="11"/>
      <c r="V52" s="11"/>
      <c r="Y52" s="3"/>
      <c r="Z52" s="11"/>
      <c r="AA52" s="11"/>
    </row>
    <row r="53" spans="1:27" ht="19.149999999999999">
      <c r="A53" s="1">
        <v>6</v>
      </c>
      <c r="B53" s="7" t="s">
        <v>14</v>
      </c>
      <c r="C53" s="1"/>
      <c r="D53" s="3">
        <f>Table1[[#This Row],[Enrolment S.Y. 2025-2026 ]]*8</f>
        <v>0</v>
      </c>
      <c r="E53" s="3"/>
      <c r="F53" s="1"/>
      <c r="G53" s="3"/>
      <c r="H53" s="3">
        <f t="shared" si="2"/>
        <v>0</v>
      </c>
      <c r="I53" s="3">
        <f t="shared" si="3"/>
        <v>0</v>
      </c>
      <c r="J53" s="3">
        <f>Table1[[#This Row],[Enrolment S.Y. 2025-2026 ]]*8</f>
        <v>0</v>
      </c>
      <c r="K53" s="3"/>
      <c r="L53" s="1"/>
      <c r="M53" s="3"/>
      <c r="N53" s="3">
        <f t="shared" si="10"/>
        <v>0</v>
      </c>
      <c r="O53" s="3">
        <f t="shared" si="11"/>
        <v>0</v>
      </c>
      <c r="P53" s="3">
        <f>Table1[[#This Row],[Enrolment S.Y. 2025-2026 ]]*8</f>
        <v>0</v>
      </c>
      <c r="Q53" s="3"/>
      <c r="R53" s="1"/>
      <c r="S53" s="3"/>
      <c r="T53" s="3">
        <f t="shared" si="12"/>
        <v>0</v>
      </c>
      <c r="U53" s="3">
        <f t="shared" si="13"/>
        <v>0</v>
      </c>
      <c r="V53" s="3">
        <f>Table1[[#This Row],[Enrolment S.Y. 2025-2026 ]]*8</f>
        <v>0</v>
      </c>
      <c r="W53" s="3"/>
      <c r="X53" s="1"/>
      <c r="Y53" s="3"/>
      <c r="Z53" s="3">
        <f t="shared" si="14"/>
        <v>0</v>
      </c>
      <c r="AA53" s="3">
        <f t="shared" si="15"/>
        <v>0</v>
      </c>
    </row>
    <row r="54" spans="1:27" ht="19.149999999999999">
      <c r="A54" s="1">
        <v>6</v>
      </c>
      <c r="B54" s="7" t="s">
        <v>15</v>
      </c>
      <c r="C54" s="1"/>
      <c r="D54" s="3">
        <f>Table1[[#This Row],[Enrolment S.Y. 2025-2026 ]]*8</f>
        <v>0</v>
      </c>
      <c r="E54" s="3"/>
      <c r="F54" s="1"/>
      <c r="G54" s="3"/>
      <c r="H54" s="3">
        <f t="shared" si="2"/>
        <v>0</v>
      </c>
      <c r="I54" s="3">
        <f t="shared" si="3"/>
        <v>0</v>
      </c>
      <c r="J54" s="3">
        <f>Table1[[#This Row],[Enrolment S.Y. 2025-2026 ]]*8</f>
        <v>0</v>
      </c>
      <c r="K54" s="3"/>
      <c r="L54" s="1"/>
      <c r="M54" s="3"/>
      <c r="N54" s="3">
        <f t="shared" si="10"/>
        <v>0</v>
      </c>
      <c r="O54" s="3">
        <f t="shared" si="11"/>
        <v>0</v>
      </c>
      <c r="P54" s="3">
        <f>Table1[[#This Row],[Enrolment S.Y. 2025-2026 ]]*8</f>
        <v>0</v>
      </c>
      <c r="Q54" s="3"/>
      <c r="R54" s="1"/>
      <c r="S54" s="3"/>
      <c r="T54" s="3">
        <f t="shared" si="12"/>
        <v>0</v>
      </c>
      <c r="U54" s="3">
        <f t="shared" si="13"/>
        <v>0</v>
      </c>
      <c r="V54" s="3">
        <f>Table1[[#This Row],[Enrolment S.Y. 2025-2026 ]]*8</f>
        <v>0</v>
      </c>
      <c r="W54" s="3"/>
      <c r="X54" s="1"/>
      <c r="Y54" s="3"/>
      <c r="Z54" s="3">
        <f t="shared" si="14"/>
        <v>0</v>
      </c>
      <c r="AA54" s="3">
        <f t="shared" si="15"/>
        <v>0</v>
      </c>
    </row>
    <row r="55" spans="1:27" ht="19.149999999999999">
      <c r="A55" s="1">
        <v>6</v>
      </c>
      <c r="B55" s="7" t="s">
        <v>12</v>
      </c>
      <c r="C55" s="1"/>
      <c r="D55" s="3">
        <f>Table1[[#This Row],[Enrolment S.Y. 2025-2026 ]]*8</f>
        <v>0</v>
      </c>
      <c r="E55" s="3"/>
      <c r="F55" s="1"/>
      <c r="G55" s="3"/>
      <c r="H55" s="3">
        <f t="shared" si="2"/>
        <v>0</v>
      </c>
      <c r="I55" s="3">
        <f t="shared" si="3"/>
        <v>0</v>
      </c>
      <c r="J55" s="3">
        <f>Table1[[#This Row],[Enrolment S.Y. 2025-2026 ]]*8</f>
        <v>0</v>
      </c>
      <c r="K55" s="3"/>
      <c r="L55" s="1"/>
      <c r="M55" s="3"/>
      <c r="N55" s="3">
        <f t="shared" si="10"/>
        <v>0</v>
      </c>
      <c r="O55" s="3">
        <f t="shared" si="11"/>
        <v>0</v>
      </c>
      <c r="P55" s="3">
        <f>Table1[[#This Row],[Enrolment S.Y. 2025-2026 ]]*8</f>
        <v>0</v>
      </c>
      <c r="Q55" s="3"/>
      <c r="R55" s="1"/>
      <c r="S55" s="3"/>
      <c r="T55" s="3">
        <f t="shared" si="12"/>
        <v>0</v>
      </c>
      <c r="U55" s="3">
        <f t="shared" si="13"/>
        <v>0</v>
      </c>
      <c r="V55" s="3">
        <f>Table1[[#This Row],[Enrolment S.Y. 2025-2026 ]]*8</f>
        <v>0</v>
      </c>
      <c r="W55" s="3"/>
      <c r="X55" s="1"/>
      <c r="Y55" s="3"/>
      <c r="Z55" s="3">
        <f t="shared" si="14"/>
        <v>0</v>
      </c>
      <c r="AA55" s="3">
        <f t="shared" si="15"/>
        <v>0</v>
      </c>
    </row>
    <row r="56" spans="1:27" ht="19.149999999999999">
      <c r="A56" s="1">
        <v>6</v>
      </c>
      <c r="B56" s="7" t="s">
        <v>10</v>
      </c>
      <c r="C56" s="1"/>
      <c r="D56" s="3">
        <f>Table1[[#This Row],[Enrolment S.Y. 2025-2026 ]]*8</f>
        <v>0</v>
      </c>
      <c r="E56" s="3"/>
      <c r="F56" s="1"/>
      <c r="G56" s="3"/>
      <c r="H56" s="3">
        <f t="shared" si="2"/>
        <v>0</v>
      </c>
      <c r="I56" s="3">
        <f t="shared" si="3"/>
        <v>0</v>
      </c>
      <c r="J56" s="3">
        <f>Table1[[#This Row],[Enrolment S.Y. 2025-2026 ]]*8</f>
        <v>0</v>
      </c>
      <c r="K56" s="3"/>
      <c r="L56" s="1"/>
      <c r="M56" s="3"/>
      <c r="N56" s="3">
        <f t="shared" si="10"/>
        <v>0</v>
      </c>
      <c r="O56" s="3">
        <f t="shared" si="11"/>
        <v>0</v>
      </c>
      <c r="P56" s="3">
        <f>Table1[[#This Row],[Enrolment S.Y. 2025-2026 ]]*8</f>
        <v>0</v>
      </c>
      <c r="Q56" s="3"/>
      <c r="R56" s="1"/>
      <c r="S56" s="3"/>
      <c r="T56" s="3">
        <f t="shared" si="12"/>
        <v>0</v>
      </c>
      <c r="U56" s="3">
        <f t="shared" si="13"/>
        <v>0</v>
      </c>
      <c r="V56" s="3">
        <f>Table1[[#This Row],[Enrolment S.Y. 2025-2026 ]]*8</f>
        <v>0</v>
      </c>
      <c r="W56" s="3"/>
      <c r="X56" s="1"/>
      <c r="Y56" s="3"/>
      <c r="Z56" s="3">
        <f t="shared" si="14"/>
        <v>0</v>
      </c>
      <c r="AA56" s="3">
        <f t="shared" si="15"/>
        <v>0</v>
      </c>
    </row>
    <row r="57" spans="1:27" ht="19.149999999999999">
      <c r="A57" s="1">
        <v>6</v>
      </c>
      <c r="B57" s="7" t="s">
        <v>16</v>
      </c>
      <c r="C57" s="1"/>
      <c r="D57" s="3">
        <f>Table1[[#This Row],[Enrolment S.Y. 2025-2026 ]]*8</f>
        <v>0</v>
      </c>
      <c r="E57" s="3"/>
      <c r="F57" s="1"/>
      <c r="G57" s="3"/>
      <c r="H57" s="3">
        <f t="shared" si="2"/>
        <v>0</v>
      </c>
      <c r="I57" s="3">
        <f t="shared" si="3"/>
        <v>0</v>
      </c>
      <c r="J57" s="3">
        <f>Table1[[#This Row],[Enrolment S.Y. 2025-2026 ]]*8</f>
        <v>0</v>
      </c>
      <c r="K57" s="3"/>
      <c r="L57" s="1"/>
      <c r="M57" s="3"/>
      <c r="N57" s="3">
        <f t="shared" si="10"/>
        <v>0</v>
      </c>
      <c r="O57" s="3">
        <f t="shared" si="11"/>
        <v>0</v>
      </c>
      <c r="P57" s="3">
        <f>Table1[[#This Row],[Enrolment S.Y. 2025-2026 ]]*8</f>
        <v>0</v>
      </c>
      <c r="Q57" s="3"/>
      <c r="R57" s="1"/>
      <c r="S57" s="3"/>
      <c r="T57" s="3">
        <f t="shared" si="12"/>
        <v>0</v>
      </c>
      <c r="U57" s="3">
        <f t="shared" si="13"/>
        <v>0</v>
      </c>
      <c r="V57" s="3">
        <f>Table1[[#This Row],[Enrolment S.Y. 2025-2026 ]]*8</f>
        <v>0</v>
      </c>
      <c r="W57" s="3"/>
      <c r="X57" s="1"/>
      <c r="Y57" s="3"/>
      <c r="Z57" s="3">
        <f t="shared" si="14"/>
        <v>0</v>
      </c>
      <c r="AA57" s="3">
        <f t="shared" si="15"/>
        <v>0</v>
      </c>
    </row>
    <row r="58" spans="1:27" ht="19.149999999999999">
      <c r="A58" s="1">
        <v>6</v>
      </c>
      <c r="B58" s="7" t="s">
        <v>13</v>
      </c>
      <c r="C58" s="1"/>
      <c r="D58" s="3">
        <f>Table1[[#This Row],[Enrolment S.Y. 2025-2026 ]]*8</f>
        <v>0</v>
      </c>
      <c r="E58" s="3"/>
      <c r="F58" s="1"/>
      <c r="G58" s="3"/>
      <c r="H58" s="3">
        <f t="shared" si="2"/>
        <v>0</v>
      </c>
      <c r="I58" s="3">
        <f t="shared" si="3"/>
        <v>0</v>
      </c>
      <c r="J58" s="3">
        <f>Table1[[#This Row],[Enrolment S.Y. 2025-2026 ]]*8</f>
        <v>0</v>
      </c>
      <c r="K58" s="3"/>
      <c r="L58" s="1"/>
      <c r="M58" s="3"/>
      <c r="N58" s="3">
        <f t="shared" si="10"/>
        <v>0</v>
      </c>
      <c r="O58" s="3">
        <f t="shared" si="11"/>
        <v>0</v>
      </c>
      <c r="P58" s="3">
        <f>Table1[[#This Row],[Enrolment S.Y. 2025-2026 ]]*8</f>
        <v>0</v>
      </c>
      <c r="Q58" s="3"/>
      <c r="R58" s="1"/>
      <c r="S58" s="3"/>
      <c r="T58" s="3">
        <f t="shared" si="12"/>
        <v>0</v>
      </c>
      <c r="U58" s="3">
        <f t="shared" si="13"/>
        <v>0</v>
      </c>
      <c r="V58" s="3">
        <f>Table1[[#This Row],[Enrolment S.Y. 2025-2026 ]]*8</f>
        <v>0</v>
      </c>
      <c r="W58" s="3"/>
      <c r="X58" s="1"/>
      <c r="Y58" s="3"/>
      <c r="Z58" s="3">
        <f t="shared" si="14"/>
        <v>0</v>
      </c>
      <c r="AA58" s="3">
        <f t="shared" si="15"/>
        <v>0</v>
      </c>
    </row>
    <row r="59" spans="1:27" ht="19.149999999999999">
      <c r="A59" s="1">
        <v>6</v>
      </c>
      <c r="B59" s="7" t="s">
        <v>17</v>
      </c>
      <c r="C59" s="1"/>
      <c r="D59" s="3">
        <f>Table1[[#This Row],[Enrolment S.Y. 2025-2026 ]]*8</f>
        <v>0</v>
      </c>
      <c r="E59" s="3"/>
      <c r="F59" s="1"/>
      <c r="G59" s="3"/>
      <c r="H59" s="3">
        <f t="shared" si="2"/>
        <v>0</v>
      </c>
      <c r="I59" s="3">
        <f t="shared" si="3"/>
        <v>0</v>
      </c>
      <c r="J59" s="3">
        <f>Table1[[#This Row],[Enrolment S.Y. 2025-2026 ]]*8</f>
        <v>0</v>
      </c>
      <c r="K59" s="3"/>
      <c r="L59" s="1"/>
      <c r="M59" s="3"/>
      <c r="N59" s="3">
        <f t="shared" si="10"/>
        <v>0</v>
      </c>
      <c r="O59" s="3">
        <f t="shared" si="11"/>
        <v>0</v>
      </c>
      <c r="P59" s="3">
        <f>Table1[[#This Row],[Enrolment S.Y. 2025-2026 ]]*8</f>
        <v>0</v>
      </c>
      <c r="Q59" s="3"/>
      <c r="R59" s="1"/>
      <c r="S59" s="3"/>
      <c r="T59" s="3">
        <f t="shared" si="12"/>
        <v>0</v>
      </c>
      <c r="U59" s="3">
        <f t="shared" si="13"/>
        <v>0</v>
      </c>
      <c r="V59" s="3">
        <f>Table1[[#This Row],[Enrolment S.Y. 2025-2026 ]]*8</f>
        <v>0</v>
      </c>
      <c r="W59" s="3"/>
      <c r="X59" s="1"/>
      <c r="Y59" s="3"/>
      <c r="Z59" s="3">
        <f t="shared" si="14"/>
        <v>0</v>
      </c>
      <c r="AA59" s="3">
        <f t="shared" si="15"/>
        <v>0</v>
      </c>
    </row>
    <row r="60" spans="1:27" ht="19.149999999999999">
      <c r="A60" s="1">
        <v>6</v>
      </c>
      <c r="B60" s="7" t="s">
        <v>18</v>
      </c>
      <c r="C60" s="1"/>
      <c r="D60" s="3">
        <f>Table1[[#This Row],[Enrolment S.Y. 2025-2026 ]]*8</f>
        <v>0</v>
      </c>
      <c r="E60" s="3"/>
      <c r="F60" s="1"/>
      <c r="G60" s="3"/>
      <c r="H60" s="3">
        <f t="shared" si="2"/>
        <v>0</v>
      </c>
      <c r="I60" s="3">
        <f t="shared" si="3"/>
        <v>0</v>
      </c>
      <c r="J60" s="3">
        <f>Table1[[#This Row],[Enrolment S.Y. 2025-2026 ]]*8</f>
        <v>0</v>
      </c>
      <c r="K60" s="3"/>
      <c r="L60" s="1"/>
      <c r="M60" s="3"/>
      <c r="N60" s="3">
        <f t="shared" si="10"/>
        <v>0</v>
      </c>
      <c r="O60" s="3">
        <f t="shared" si="11"/>
        <v>0</v>
      </c>
      <c r="P60" s="3">
        <f>Table1[[#This Row],[Enrolment S.Y. 2025-2026 ]]*8</f>
        <v>0</v>
      </c>
      <c r="Q60" s="3"/>
      <c r="R60" s="1"/>
      <c r="S60" s="3"/>
      <c r="T60" s="3">
        <f t="shared" si="12"/>
        <v>0</v>
      </c>
      <c r="U60" s="3">
        <f t="shared" si="13"/>
        <v>0</v>
      </c>
      <c r="V60" s="3">
        <f>Table1[[#This Row],[Enrolment S.Y. 2025-2026 ]]*8</f>
        <v>0</v>
      </c>
      <c r="W60" s="3"/>
      <c r="X60" s="1"/>
      <c r="Y60" s="3"/>
      <c r="Z60" s="3">
        <f t="shared" si="14"/>
        <v>0</v>
      </c>
      <c r="AA60" s="3">
        <f t="shared" si="15"/>
        <v>0</v>
      </c>
    </row>
    <row r="61" spans="1:27" ht="19.149999999999999">
      <c r="A61" s="1">
        <v>6</v>
      </c>
      <c r="B61" s="7" t="s">
        <v>19</v>
      </c>
      <c r="C61" s="1"/>
      <c r="D61" s="3">
        <f>Table1[[#This Row],[Enrolment S.Y. 2025-2026 ]]*8</f>
        <v>0</v>
      </c>
      <c r="E61" s="3"/>
      <c r="F61" s="1"/>
      <c r="G61" s="3"/>
      <c r="H61" s="3">
        <f t="shared" si="2"/>
        <v>0</v>
      </c>
      <c r="I61" s="3">
        <f t="shared" si="3"/>
        <v>0</v>
      </c>
      <c r="J61" s="3">
        <f>Table1[[#This Row],[Enrolment S.Y. 2025-2026 ]]*8</f>
        <v>0</v>
      </c>
      <c r="K61" s="3"/>
      <c r="L61" s="1"/>
      <c r="M61" s="3"/>
      <c r="N61" s="3">
        <f t="shared" si="10"/>
        <v>0</v>
      </c>
      <c r="O61" s="3">
        <f t="shared" si="11"/>
        <v>0</v>
      </c>
      <c r="P61" s="3">
        <f>Table1[[#This Row],[Enrolment S.Y. 2025-2026 ]]*8</f>
        <v>0</v>
      </c>
      <c r="Q61" s="3"/>
      <c r="R61" s="1"/>
      <c r="S61" s="3"/>
      <c r="T61" s="3">
        <f t="shared" si="12"/>
        <v>0</v>
      </c>
      <c r="U61" s="3">
        <f t="shared" si="13"/>
        <v>0</v>
      </c>
      <c r="V61" s="3">
        <f>Table1[[#This Row],[Enrolment S.Y. 2025-2026 ]]*8</f>
        <v>0</v>
      </c>
      <c r="W61" s="3"/>
      <c r="X61" s="1"/>
      <c r="Y61" s="3"/>
      <c r="Z61" s="3">
        <f t="shared" si="14"/>
        <v>0</v>
      </c>
      <c r="AA61" s="3">
        <f t="shared" si="15"/>
        <v>0</v>
      </c>
    </row>
    <row r="62" spans="1:27" s="5" customFormat="1" ht="19.149999999999999">
      <c r="J62" s="11"/>
      <c r="M62" s="3"/>
      <c r="N62" s="11"/>
      <c r="O62" s="11"/>
      <c r="P62" s="11"/>
      <c r="S62" s="3"/>
      <c r="T62" s="11"/>
      <c r="U62" s="11"/>
      <c r="V62" s="11"/>
      <c r="Y62" s="3"/>
      <c r="Z62" s="11"/>
      <c r="AA62" s="11"/>
    </row>
    <row r="63" spans="1:27" ht="19.5">
      <c r="A63" s="8">
        <v>7</v>
      </c>
      <c r="B63" s="9" t="s">
        <v>14</v>
      </c>
      <c r="C63" s="8">
        <v>337</v>
      </c>
      <c r="D63" s="10">
        <f>Table1[[#This Row],[Enrolment S.Y. 2025-2026 ]]*8</f>
        <v>2696</v>
      </c>
      <c r="E63" s="10"/>
      <c r="F63" s="8"/>
      <c r="G63" s="10"/>
      <c r="H63" s="10">
        <f t="shared" si="2"/>
        <v>2696</v>
      </c>
      <c r="I63" s="10">
        <f t="shared" si="3"/>
        <v>0</v>
      </c>
      <c r="J63" s="10">
        <f>Table1[[#This Row],[Enrolment S.Y. 2025-2026 ]]*8</f>
        <v>2696</v>
      </c>
      <c r="K63" s="10"/>
      <c r="L63" s="8"/>
      <c r="M63" s="10"/>
      <c r="N63" s="10">
        <f t="shared" si="10"/>
        <v>2696</v>
      </c>
      <c r="O63" s="10">
        <f t="shared" si="11"/>
        <v>0</v>
      </c>
      <c r="P63" s="10">
        <f>Table1[[#This Row],[Enrolment S.Y. 2025-2026 ]]*8</f>
        <v>2696</v>
      </c>
      <c r="Q63" s="10"/>
      <c r="R63" s="8"/>
      <c r="S63" s="10"/>
      <c r="T63" s="10">
        <f t="shared" si="12"/>
        <v>2696</v>
      </c>
      <c r="U63" s="10">
        <f t="shared" si="13"/>
        <v>0</v>
      </c>
      <c r="V63" s="10">
        <f>Table1[[#This Row],[Enrolment S.Y. 2025-2026 ]]*8</f>
        <v>2696</v>
      </c>
      <c r="W63" s="10"/>
      <c r="X63" s="8"/>
      <c r="Y63" s="10"/>
      <c r="Z63" s="10">
        <f t="shared" si="14"/>
        <v>2696</v>
      </c>
      <c r="AA63" s="10">
        <f t="shared" si="15"/>
        <v>0</v>
      </c>
    </row>
    <row r="64" spans="1:27" ht="19.5">
      <c r="A64" s="8">
        <v>7</v>
      </c>
      <c r="B64" s="9" t="s">
        <v>15</v>
      </c>
      <c r="C64" s="8">
        <v>337</v>
      </c>
      <c r="D64" s="10">
        <f>Table1[[#This Row],[Enrolment S.Y. 2025-2026 ]]*8</f>
        <v>2696</v>
      </c>
      <c r="E64" s="10"/>
      <c r="F64" s="8"/>
      <c r="G64" s="10"/>
      <c r="H64" s="10">
        <f t="shared" si="2"/>
        <v>2696</v>
      </c>
      <c r="I64" s="10">
        <f t="shared" si="3"/>
        <v>0</v>
      </c>
      <c r="J64" s="10">
        <f>Table1[[#This Row],[Enrolment S.Y. 2025-2026 ]]*8</f>
        <v>2696</v>
      </c>
      <c r="K64" s="10"/>
      <c r="L64" s="8"/>
      <c r="M64" s="10"/>
      <c r="N64" s="10">
        <f t="shared" si="10"/>
        <v>2696</v>
      </c>
      <c r="O64" s="10">
        <f t="shared" si="11"/>
        <v>0</v>
      </c>
      <c r="P64" s="10">
        <f>Table1[[#This Row],[Enrolment S.Y. 2025-2026 ]]*8</f>
        <v>2696</v>
      </c>
      <c r="Q64" s="10"/>
      <c r="R64" s="8"/>
      <c r="S64" s="10"/>
      <c r="T64" s="10">
        <f t="shared" si="12"/>
        <v>2696</v>
      </c>
      <c r="U64" s="10">
        <f t="shared" si="13"/>
        <v>0</v>
      </c>
      <c r="V64" s="10">
        <f>Table1[[#This Row],[Enrolment S.Y. 2025-2026 ]]*8</f>
        <v>2696</v>
      </c>
      <c r="W64" s="10"/>
      <c r="X64" s="8"/>
      <c r="Y64" s="10"/>
      <c r="Z64" s="10">
        <f t="shared" si="14"/>
        <v>2696</v>
      </c>
      <c r="AA64" s="10">
        <f t="shared" si="15"/>
        <v>0</v>
      </c>
    </row>
    <row r="65" spans="1:27" ht="19.5">
      <c r="A65" s="8">
        <v>7</v>
      </c>
      <c r="B65" s="9" t="s">
        <v>12</v>
      </c>
      <c r="C65" s="8">
        <v>337</v>
      </c>
      <c r="D65" s="10">
        <f>Table1[[#This Row],[Enrolment S.Y. 2025-2026 ]]*8</f>
        <v>2696</v>
      </c>
      <c r="E65" s="10"/>
      <c r="F65" s="8"/>
      <c r="G65" s="10"/>
      <c r="H65" s="10">
        <f t="shared" si="2"/>
        <v>2696</v>
      </c>
      <c r="I65" s="10">
        <f t="shared" si="3"/>
        <v>0</v>
      </c>
      <c r="J65" s="10">
        <f>Table1[[#This Row],[Enrolment S.Y. 2025-2026 ]]*8</f>
        <v>2696</v>
      </c>
      <c r="K65" s="10"/>
      <c r="L65" s="8"/>
      <c r="M65" s="10"/>
      <c r="N65" s="10">
        <f t="shared" si="10"/>
        <v>2696</v>
      </c>
      <c r="O65" s="10">
        <f t="shared" si="11"/>
        <v>0</v>
      </c>
      <c r="P65" s="10">
        <f>Table1[[#This Row],[Enrolment S.Y. 2025-2026 ]]*8</f>
        <v>2696</v>
      </c>
      <c r="Q65" s="10"/>
      <c r="R65" s="8"/>
      <c r="S65" s="10"/>
      <c r="T65" s="10">
        <f t="shared" si="12"/>
        <v>2696</v>
      </c>
      <c r="U65" s="10">
        <f t="shared" si="13"/>
        <v>0</v>
      </c>
      <c r="V65" s="10">
        <f>Table1[[#This Row],[Enrolment S.Y. 2025-2026 ]]*8</f>
        <v>2696</v>
      </c>
      <c r="W65" s="10"/>
      <c r="X65" s="8"/>
      <c r="Y65" s="10"/>
      <c r="Z65" s="10">
        <f t="shared" si="14"/>
        <v>2696</v>
      </c>
      <c r="AA65" s="10">
        <f t="shared" si="15"/>
        <v>0</v>
      </c>
    </row>
    <row r="66" spans="1:27" ht="19.5">
      <c r="A66" s="8">
        <v>7</v>
      </c>
      <c r="B66" s="9" t="s">
        <v>20</v>
      </c>
      <c r="C66" s="8">
        <v>337</v>
      </c>
      <c r="D66" s="10">
        <f>Table1[[#This Row],[Enrolment S.Y. 2025-2026 ]]*8</f>
        <v>2696</v>
      </c>
      <c r="E66" s="10"/>
      <c r="F66" s="8"/>
      <c r="G66" s="10"/>
      <c r="H66" s="10">
        <f t="shared" si="2"/>
        <v>2696</v>
      </c>
      <c r="I66" s="10">
        <f t="shared" si="3"/>
        <v>0</v>
      </c>
      <c r="J66" s="10">
        <f>Table1[[#This Row],[Enrolment S.Y. 2025-2026 ]]*8</f>
        <v>2696</v>
      </c>
      <c r="K66" s="10"/>
      <c r="L66" s="8"/>
      <c r="M66" s="10"/>
      <c r="N66" s="10">
        <f t="shared" si="10"/>
        <v>2696</v>
      </c>
      <c r="O66" s="10">
        <f t="shared" si="11"/>
        <v>0</v>
      </c>
      <c r="P66" s="10">
        <f>Table1[[#This Row],[Enrolment S.Y. 2025-2026 ]]*8</f>
        <v>2696</v>
      </c>
      <c r="Q66" s="10"/>
      <c r="R66" s="8"/>
      <c r="S66" s="10"/>
      <c r="T66" s="10">
        <f t="shared" si="12"/>
        <v>2696</v>
      </c>
      <c r="U66" s="10">
        <f t="shared" si="13"/>
        <v>0</v>
      </c>
      <c r="V66" s="10">
        <f>Table1[[#This Row],[Enrolment S.Y. 2025-2026 ]]*8</f>
        <v>2696</v>
      </c>
      <c r="W66" s="10"/>
      <c r="X66" s="8"/>
      <c r="Y66" s="10"/>
      <c r="Z66" s="10">
        <f t="shared" si="14"/>
        <v>2696</v>
      </c>
      <c r="AA66" s="10">
        <f t="shared" si="15"/>
        <v>0</v>
      </c>
    </row>
    <row r="67" spans="1:27" ht="19.5">
      <c r="A67" s="8">
        <v>7</v>
      </c>
      <c r="B67" s="9" t="s">
        <v>16</v>
      </c>
      <c r="C67" s="8">
        <v>337</v>
      </c>
      <c r="D67" s="10">
        <f>Table1[[#This Row],[Enrolment S.Y. 2025-2026 ]]*8</f>
        <v>2696</v>
      </c>
      <c r="E67" s="10"/>
      <c r="F67" s="8"/>
      <c r="G67" s="10"/>
      <c r="H67" s="10">
        <f t="shared" si="2"/>
        <v>2696</v>
      </c>
      <c r="I67" s="10">
        <f t="shared" si="3"/>
        <v>0</v>
      </c>
      <c r="J67" s="10">
        <f>Table1[[#This Row],[Enrolment S.Y. 2025-2026 ]]*8</f>
        <v>2696</v>
      </c>
      <c r="K67" s="10"/>
      <c r="L67" s="8"/>
      <c r="M67" s="10"/>
      <c r="N67" s="10">
        <f t="shared" si="10"/>
        <v>2696</v>
      </c>
      <c r="O67" s="10">
        <f t="shared" si="11"/>
        <v>0</v>
      </c>
      <c r="P67" s="10">
        <f>Table1[[#This Row],[Enrolment S.Y. 2025-2026 ]]*8</f>
        <v>2696</v>
      </c>
      <c r="Q67" s="10"/>
      <c r="R67" s="8"/>
      <c r="S67" s="10"/>
      <c r="T67" s="10">
        <f t="shared" si="12"/>
        <v>2696</v>
      </c>
      <c r="U67" s="10">
        <f t="shared" si="13"/>
        <v>0</v>
      </c>
      <c r="V67" s="10">
        <f>Table1[[#This Row],[Enrolment S.Y. 2025-2026 ]]*8</f>
        <v>2696</v>
      </c>
      <c r="W67" s="10"/>
      <c r="X67" s="8"/>
      <c r="Y67" s="10"/>
      <c r="Z67" s="10">
        <f t="shared" si="14"/>
        <v>2696</v>
      </c>
      <c r="AA67" s="10">
        <f t="shared" si="15"/>
        <v>0</v>
      </c>
    </row>
    <row r="68" spans="1:27" ht="19.5">
      <c r="A68" s="8">
        <v>7</v>
      </c>
      <c r="B68" s="9" t="s">
        <v>13</v>
      </c>
      <c r="C68" s="8">
        <v>337</v>
      </c>
      <c r="D68" s="10">
        <f>Table1[[#This Row],[Enrolment S.Y. 2025-2026 ]]*8</f>
        <v>2696</v>
      </c>
      <c r="E68" s="10"/>
      <c r="F68" s="8"/>
      <c r="G68" s="10"/>
      <c r="H68" s="10">
        <f t="shared" si="2"/>
        <v>2696</v>
      </c>
      <c r="I68" s="10">
        <f t="shared" si="3"/>
        <v>0</v>
      </c>
      <c r="J68" s="10">
        <f>Table1[[#This Row],[Enrolment S.Y. 2025-2026 ]]*8</f>
        <v>2696</v>
      </c>
      <c r="K68" s="10"/>
      <c r="L68" s="8"/>
      <c r="M68" s="10"/>
      <c r="N68" s="10">
        <f t="shared" si="10"/>
        <v>2696</v>
      </c>
      <c r="O68" s="10">
        <f t="shared" si="11"/>
        <v>0</v>
      </c>
      <c r="P68" s="10">
        <f>Table1[[#This Row],[Enrolment S.Y. 2025-2026 ]]*8</f>
        <v>2696</v>
      </c>
      <c r="Q68" s="10"/>
      <c r="R68" s="8"/>
      <c r="S68" s="10"/>
      <c r="T68" s="10">
        <f t="shared" si="12"/>
        <v>2696</v>
      </c>
      <c r="U68" s="10">
        <f t="shared" si="13"/>
        <v>0</v>
      </c>
      <c r="V68" s="10">
        <f>Table1[[#This Row],[Enrolment S.Y. 2025-2026 ]]*8</f>
        <v>2696</v>
      </c>
      <c r="W68" s="10"/>
      <c r="X68" s="8"/>
      <c r="Y68" s="10"/>
      <c r="Z68" s="10">
        <f t="shared" si="14"/>
        <v>2696</v>
      </c>
      <c r="AA68" s="10">
        <f t="shared" si="15"/>
        <v>0</v>
      </c>
    </row>
    <row r="69" spans="1:27" ht="19.5">
      <c r="A69" s="8">
        <v>7</v>
      </c>
      <c r="B69" s="9" t="s">
        <v>17</v>
      </c>
      <c r="C69" s="8">
        <v>337</v>
      </c>
      <c r="D69" s="10">
        <f>Table1[[#This Row],[Enrolment S.Y. 2025-2026 ]]*8</f>
        <v>2696</v>
      </c>
      <c r="E69" s="10"/>
      <c r="F69" s="8"/>
      <c r="G69" s="10"/>
      <c r="H69" s="10">
        <f t="shared" si="2"/>
        <v>2696</v>
      </c>
      <c r="I69" s="10">
        <f t="shared" si="3"/>
        <v>0</v>
      </c>
      <c r="J69" s="10">
        <f>Table1[[#This Row],[Enrolment S.Y. 2025-2026 ]]*8</f>
        <v>2696</v>
      </c>
      <c r="K69" s="10"/>
      <c r="L69" s="8"/>
      <c r="M69" s="10"/>
      <c r="N69" s="10">
        <f t="shared" si="10"/>
        <v>2696</v>
      </c>
      <c r="O69" s="10">
        <f t="shared" si="11"/>
        <v>0</v>
      </c>
      <c r="P69" s="10">
        <f>Table1[[#This Row],[Enrolment S.Y. 2025-2026 ]]*8</f>
        <v>2696</v>
      </c>
      <c r="Q69" s="10"/>
      <c r="R69" s="8"/>
      <c r="S69" s="10"/>
      <c r="T69" s="10">
        <f t="shared" si="12"/>
        <v>2696</v>
      </c>
      <c r="U69" s="10">
        <f t="shared" si="13"/>
        <v>0</v>
      </c>
      <c r="V69" s="10">
        <f>Table1[[#This Row],[Enrolment S.Y. 2025-2026 ]]*8</f>
        <v>2696</v>
      </c>
      <c r="W69" s="10"/>
      <c r="X69" s="8"/>
      <c r="Y69" s="10"/>
      <c r="Z69" s="10">
        <f t="shared" si="14"/>
        <v>2696</v>
      </c>
      <c r="AA69" s="10">
        <f t="shared" si="15"/>
        <v>0</v>
      </c>
    </row>
    <row r="70" spans="1:27" ht="19.5">
      <c r="A70" s="8">
        <v>7</v>
      </c>
      <c r="B70" s="9" t="s">
        <v>21</v>
      </c>
      <c r="C70" s="8">
        <v>337</v>
      </c>
      <c r="D70" s="10">
        <f>Table1[[#This Row],[Enrolment S.Y. 2025-2026 ]]*8</f>
        <v>2696</v>
      </c>
      <c r="E70" s="10"/>
      <c r="F70" s="8"/>
      <c r="G70" s="10"/>
      <c r="H70" s="10">
        <f t="shared" si="2"/>
        <v>2696</v>
      </c>
      <c r="I70" s="10">
        <f t="shared" si="3"/>
        <v>0</v>
      </c>
      <c r="J70" s="10">
        <f>Table1[[#This Row],[Enrolment S.Y. 2025-2026 ]]*8</f>
        <v>2696</v>
      </c>
      <c r="K70" s="10"/>
      <c r="L70" s="8"/>
      <c r="M70" s="10"/>
      <c r="N70" s="10">
        <f t="shared" ref="N70:N126" si="16">IF((J70-K70)&lt;0,0,(J70-K70))</f>
        <v>2696</v>
      </c>
      <c r="O70" s="10">
        <f t="shared" ref="O70:O126" si="17">IF((K70-J70)&lt;0,0,(K70-J70))</f>
        <v>0</v>
      </c>
      <c r="P70" s="10">
        <f>Table1[[#This Row],[Enrolment S.Y. 2025-2026 ]]*8</f>
        <v>2696</v>
      </c>
      <c r="Q70" s="10"/>
      <c r="R70" s="8"/>
      <c r="S70" s="10"/>
      <c r="T70" s="10">
        <f t="shared" ref="T70:T127" si="18">IF((P70-Q70)&lt;0,0,(P70-Q70))</f>
        <v>2696</v>
      </c>
      <c r="U70" s="10">
        <f t="shared" ref="U70:U127" si="19">IF((Q70-P70)&lt;0,0,(Q70-P70))</f>
        <v>0</v>
      </c>
      <c r="V70" s="10">
        <f>Table1[[#This Row],[Enrolment S.Y. 2025-2026 ]]*8</f>
        <v>2696</v>
      </c>
      <c r="W70" s="10"/>
      <c r="X70" s="8"/>
      <c r="Y70" s="10"/>
      <c r="Z70" s="10">
        <f t="shared" ref="Z70:Z127" si="20">IF((V70-W70)&lt;0,0,(V70-W70))</f>
        <v>2696</v>
      </c>
      <c r="AA70" s="10">
        <f t="shared" ref="AA70:AA127" si="21">IF((W70-V70)&lt;0,0,(W70-V70))</f>
        <v>0</v>
      </c>
    </row>
    <row r="71" spans="1:27" ht="19.5">
      <c r="A71" s="8">
        <v>7</v>
      </c>
      <c r="B71" s="9" t="s">
        <v>19</v>
      </c>
      <c r="C71" s="8">
        <v>337</v>
      </c>
      <c r="D71" s="10">
        <f>Table1[[#This Row],[Enrolment S.Y. 2025-2026 ]]*8</f>
        <v>2696</v>
      </c>
      <c r="E71" s="10"/>
      <c r="F71" s="8"/>
      <c r="G71" s="10"/>
      <c r="H71" s="10">
        <f t="shared" si="2"/>
        <v>2696</v>
      </c>
      <c r="I71" s="10">
        <f t="shared" si="3"/>
        <v>0</v>
      </c>
      <c r="J71" s="10">
        <f>Table1[[#This Row],[Enrolment S.Y. 2025-2026 ]]*8</f>
        <v>2696</v>
      </c>
      <c r="K71" s="10"/>
      <c r="L71" s="8"/>
      <c r="M71" s="10"/>
      <c r="N71" s="10">
        <f t="shared" si="16"/>
        <v>2696</v>
      </c>
      <c r="O71" s="10">
        <f t="shared" si="17"/>
        <v>0</v>
      </c>
      <c r="P71" s="10">
        <f>Table1[[#This Row],[Enrolment S.Y. 2025-2026 ]]*8</f>
        <v>2696</v>
      </c>
      <c r="Q71" s="10"/>
      <c r="R71" s="8"/>
      <c r="S71" s="10"/>
      <c r="T71" s="10">
        <f t="shared" si="18"/>
        <v>2696</v>
      </c>
      <c r="U71" s="10">
        <f t="shared" si="19"/>
        <v>0</v>
      </c>
      <c r="V71" s="10">
        <f>Table1[[#This Row],[Enrolment S.Y. 2025-2026 ]]*8</f>
        <v>2696</v>
      </c>
      <c r="W71" s="10"/>
      <c r="X71" s="8"/>
      <c r="Y71" s="10"/>
      <c r="Z71" s="10">
        <f t="shared" si="20"/>
        <v>2696</v>
      </c>
      <c r="AA71" s="10">
        <f t="shared" si="21"/>
        <v>0</v>
      </c>
    </row>
    <row r="72" spans="1:27" s="5" customFormat="1" ht="19.149999999999999">
      <c r="J72" s="11"/>
      <c r="M72" s="3"/>
      <c r="N72" s="11"/>
      <c r="O72" s="11"/>
      <c r="P72" s="11"/>
      <c r="S72" s="3"/>
      <c r="T72" s="11"/>
      <c r="U72" s="11"/>
      <c r="V72" s="11"/>
      <c r="Y72" s="3"/>
      <c r="Z72" s="11"/>
      <c r="AA72" s="11"/>
    </row>
    <row r="73" spans="1:27" ht="19.5">
      <c r="A73" s="8">
        <v>8</v>
      </c>
      <c r="B73" s="9" t="s">
        <v>14</v>
      </c>
      <c r="C73" s="8">
        <v>430</v>
      </c>
      <c r="D73" s="10">
        <f>Table1[[#This Row],[Enrolment S.Y. 2025-2026 ]]*8</f>
        <v>3440</v>
      </c>
      <c r="E73" s="10"/>
      <c r="F73" s="8"/>
      <c r="G73" s="10"/>
      <c r="H73" s="10">
        <f t="shared" si="2"/>
        <v>3440</v>
      </c>
      <c r="I73" s="10">
        <f t="shared" si="3"/>
        <v>0</v>
      </c>
      <c r="J73" s="10">
        <f>Table1[[#This Row],[Enrolment S.Y. 2025-2026 ]]*8</f>
        <v>3440</v>
      </c>
      <c r="K73" s="10"/>
      <c r="L73" s="8"/>
      <c r="M73" s="10"/>
      <c r="N73" s="10">
        <f t="shared" si="16"/>
        <v>3440</v>
      </c>
      <c r="O73" s="10">
        <f t="shared" si="17"/>
        <v>0</v>
      </c>
      <c r="P73" s="10">
        <f>Table1[[#This Row],[Enrolment S.Y. 2025-2026 ]]*8</f>
        <v>3440</v>
      </c>
      <c r="Q73" s="10"/>
      <c r="R73" s="8"/>
      <c r="S73" s="10"/>
      <c r="T73" s="10">
        <f t="shared" si="18"/>
        <v>3440</v>
      </c>
      <c r="U73" s="10">
        <f t="shared" si="19"/>
        <v>0</v>
      </c>
      <c r="V73" s="10">
        <f>Table1[[#This Row],[Enrolment S.Y. 2025-2026 ]]*8</f>
        <v>3440</v>
      </c>
      <c r="W73" s="10"/>
      <c r="X73" s="8"/>
      <c r="Y73" s="10"/>
      <c r="Z73" s="10">
        <f t="shared" si="20"/>
        <v>3440</v>
      </c>
      <c r="AA73" s="10">
        <f t="shared" si="21"/>
        <v>0</v>
      </c>
    </row>
    <row r="74" spans="1:27" ht="19.5">
      <c r="A74" s="8">
        <v>8</v>
      </c>
      <c r="B74" s="9" t="s">
        <v>15</v>
      </c>
      <c r="C74" s="8">
        <v>430</v>
      </c>
      <c r="D74" s="10">
        <f>Table1[[#This Row],[Enrolment S.Y. 2025-2026 ]]*8</f>
        <v>3440</v>
      </c>
      <c r="E74" s="10"/>
      <c r="F74" s="8"/>
      <c r="G74" s="10"/>
      <c r="H74" s="10">
        <f t="shared" si="2"/>
        <v>3440</v>
      </c>
      <c r="I74" s="10">
        <f t="shared" si="3"/>
        <v>0</v>
      </c>
      <c r="J74" s="10">
        <f>Table1[[#This Row],[Enrolment S.Y. 2025-2026 ]]*8</f>
        <v>3440</v>
      </c>
      <c r="K74" s="10"/>
      <c r="L74" s="8"/>
      <c r="M74" s="10"/>
      <c r="N74" s="10">
        <f t="shared" si="16"/>
        <v>3440</v>
      </c>
      <c r="O74" s="10">
        <f t="shared" si="17"/>
        <v>0</v>
      </c>
      <c r="P74" s="10">
        <f>Table1[[#This Row],[Enrolment S.Y. 2025-2026 ]]*8</f>
        <v>3440</v>
      </c>
      <c r="Q74" s="10"/>
      <c r="R74" s="8"/>
      <c r="S74" s="10"/>
      <c r="T74" s="10">
        <f t="shared" si="18"/>
        <v>3440</v>
      </c>
      <c r="U74" s="10">
        <f t="shared" si="19"/>
        <v>0</v>
      </c>
      <c r="V74" s="10">
        <f>Table1[[#This Row],[Enrolment S.Y. 2025-2026 ]]*8</f>
        <v>3440</v>
      </c>
      <c r="W74" s="10"/>
      <c r="X74" s="8"/>
      <c r="Y74" s="10"/>
      <c r="Z74" s="10">
        <f t="shared" si="20"/>
        <v>3440</v>
      </c>
      <c r="AA74" s="10">
        <f t="shared" si="21"/>
        <v>0</v>
      </c>
    </row>
    <row r="75" spans="1:27" ht="19.5">
      <c r="A75" s="8">
        <v>8</v>
      </c>
      <c r="B75" s="9" t="s">
        <v>12</v>
      </c>
      <c r="C75" s="8">
        <v>430</v>
      </c>
      <c r="D75" s="10">
        <f>Table1[[#This Row],[Enrolment S.Y. 2025-2026 ]]*8</f>
        <v>3440</v>
      </c>
      <c r="E75" s="10"/>
      <c r="F75" s="8"/>
      <c r="G75" s="10"/>
      <c r="H75" s="10">
        <f t="shared" si="2"/>
        <v>3440</v>
      </c>
      <c r="I75" s="10">
        <f t="shared" si="3"/>
        <v>0</v>
      </c>
      <c r="J75" s="10">
        <f>Table1[[#This Row],[Enrolment S.Y. 2025-2026 ]]*8</f>
        <v>3440</v>
      </c>
      <c r="K75" s="10"/>
      <c r="L75" s="8"/>
      <c r="M75" s="10"/>
      <c r="N75" s="10">
        <f t="shared" si="16"/>
        <v>3440</v>
      </c>
      <c r="O75" s="10">
        <f t="shared" si="17"/>
        <v>0</v>
      </c>
      <c r="P75" s="10">
        <f>Table1[[#This Row],[Enrolment S.Y. 2025-2026 ]]*8</f>
        <v>3440</v>
      </c>
      <c r="Q75" s="10"/>
      <c r="R75" s="8"/>
      <c r="S75" s="10"/>
      <c r="T75" s="10">
        <f t="shared" si="18"/>
        <v>3440</v>
      </c>
      <c r="U75" s="10">
        <f t="shared" si="19"/>
        <v>0</v>
      </c>
      <c r="V75" s="10">
        <f>Table1[[#This Row],[Enrolment S.Y. 2025-2026 ]]*8</f>
        <v>3440</v>
      </c>
      <c r="W75" s="10"/>
      <c r="X75" s="8"/>
      <c r="Y75" s="10"/>
      <c r="Z75" s="10">
        <f t="shared" si="20"/>
        <v>3440</v>
      </c>
      <c r="AA75" s="10">
        <f t="shared" si="21"/>
        <v>0</v>
      </c>
    </row>
    <row r="76" spans="1:27" ht="19.5">
      <c r="A76" s="8">
        <v>8</v>
      </c>
      <c r="B76" s="9" t="s">
        <v>20</v>
      </c>
      <c r="C76" s="8">
        <v>430</v>
      </c>
      <c r="D76" s="10">
        <f>Table1[[#This Row],[Enrolment S.Y. 2025-2026 ]]*8</f>
        <v>3440</v>
      </c>
      <c r="E76" s="10"/>
      <c r="F76" s="8"/>
      <c r="G76" s="10"/>
      <c r="H76" s="10">
        <f t="shared" si="2"/>
        <v>3440</v>
      </c>
      <c r="I76" s="10">
        <f t="shared" si="3"/>
        <v>0</v>
      </c>
      <c r="J76" s="10">
        <f>Table1[[#This Row],[Enrolment S.Y. 2025-2026 ]]*8</f>
        <v>3440</v>
      </c>
      <c r="K76" s="10"/>
      <c r="L76" s="8"/>
      <c r="M76" s="10"/>
      <c r="N76" s="10">
        <f t="shared" si="16"/>
        <v>3440</v>
      </c>
      <c r="O76" s="10">
        <f t="shared" si="17"/>
        <v>0</v>
      </c>
      <c r="P76" s="10">
        <f>Table1[[#This Row],[Enrolment S.Y. 2025-2026 ]]*8</f>
        <v>3440</v>
      </c>
      <c r="Q76" s="10"/>
      <c r="R76" s="8"/>
      <c r="S76" s="10"/>
      <c r="T76" s="10">
        <f t="shared" si="18"/>
        <v>3440</v>
      </c>
      <c r="U76" s="10">
        <f t="shared" si="19"/>
        <v>0</v>
      </c>
      <c r="V76" s="10">
        <f>Table1[[#This Row],[Enrolment S.Y. 2025-2026 ]]*8</f>
        <v>3440</v>
      </c>
      <c r="W76" s="10"/>
      <c r="X76" s="8"/>
      <c r="Y76" s="10"/>
      <c r="Z76" s="10">
        <f t="shared" si="20"/>
        <v>3440</v>
      </c>
      <c r="AA76" s="10">
        <f t="shared" si="21"/>
        <v>0</v>
      </c>
    </row>
    <row r="77" spans="1:27" ht="19.5">
      <c r="A77" s="8">
        <v>8</v>
      </c>
      <c r="B77" s="9" t="s">
        <v>22</v>
      </c>
      <c r="C77" s="8">
        <v>430</v>
      </c>
      <c r="D77" s="10">
        <f>Table1[[#This Row],[Enrolment S.Y. 2025-2026 ]]*8</f>
        <v>3440</v>
      </c>
      <c r="E77" s="10"/>
      <c r="F77" s="8"/>
      <c r="G77" s="10"/>
      <c r="H77" s="10">
        <f t="shared" si="2"/>
        <v>3440</v>
      </c>
      <c r="I77" s="10">
        <f t="shared" si="3"/>
        <v>0</v>
      </c>
      <c r="J77" s="10">
        <f>Table1[[#This Row],[Enrolment S.Y. 2025-2026 ]]*8</f>
        <v>3440</v>
      </c>
      <c r="K77" s="10"/>
      <c r="L77" s="8"/>
      <c r="M77" s="10"/>
      <c r="N77" s="10">
        <f t="shared" si="16"/>
        <v>3440</v>
      </c>
      <c r="O77" s="10">
        <f t="shared" si="17"/>
        <v>0</v>
      </c>
      <c r="P77" s="10">
        <f>Table1[[#This Row],[Enrolment S.Y. 2025-2026 ]]*8</f>
        <v>3440</v>
      </c>
      <c r="Q77" s="10"/>
      <c r="R77" s="8"/>
      <c r="S77" s="10"/>
      <c r="T77" s="10">
        <f t="shared" si="18"/>
        <v>3440</v>
      </c>
      <c r="U77" s="10">
        <f t="shared" si="19"/>
        <v>0</v>
      </c>
      <c r="V77" s="10">
        <f>Table1[[#This Row],[Enrolment S.Y. 2025-2026 ]]*8</f>
        <v>3440</v>
      </c>
      <c r="W77" s="10"/>
      <c r="X77" s="8"/>
      <c r="Y77" s="10"/>
      <c r="Z77" s="10">
        <f t="shared" si="20"/>
        <v>3440</v>
      </c>
      <c r="AA77" s="10">
        <f t="shared" si="21"/>
        <v>0</v>
      </c>
    </row>
    <row r="78" spans="1:27" ht="19.5">
      <c r="A78" s="8">
        <v>8</v>
      </c>
      <c r="B78" s="9" t="s">
        <v>13</v>
      </c>
      <c r="C78" s="8">
        <v>430</v>
      </c>
      <c r="D78" s="10">
        <f>Table1[[#This Row],[Enrolment S.Y. 2025-2026 ]]*8</f>
        <v>3440</v>
      </c>
      <c r="E78" s="10"/>
      <c r="F78" s="8"/>
      <c r="G78" s="10"/>
      <c r="H78" s="10">
        <f t="shared" ref="H78:H127" si="22">IF((D78-E78)&lt;0,0,(D78-E78))</f>
        <v>3440</v>
      </c>
      <c r="I78" s="10">
        <f t="shared" ref="I78:I127" si="23">IF((E78-D78)&lt;0,0,(E78-D78))</f>
        <v>0</v>
      </c>
      <c r="J78" s="10">
        <f>Table1[[#This Row],[Enrolment S.Y. 2025-2026 ]]*8</f>
        <v>3440</v>
      </c>
      <c r="K78" s="10"/>
      <c r="L78" s="8"/>
      <c r="M78" s="10"/>
      <c r="N78" s="10">
        <f t="shared" si="16"/>
        <v>3440</v>
      </c>
      <c r="O78" s="10">
        <f t="shared" si="17"/>
        <v>0</v>
      </c>
      <c r="P78" s="10">
        <f>Table1[[#This Row],[Enrolment S.Y. 2025-2026 ]]*8</f>
        <v>3440</v>
      </c>
      <c r="Q78" s="10"/>
      <c r="R78" s="8"/>
      <c r="S78" s="10"/>
      <c r="T78" s="10">
        <f t="shared" si="18"/>
        <v>3440</v>
      </c>
      <c r="U78" s="10">
        <f t="shared" si="19"/>
        <v>0</v>
      </c>
      <c r="V78" s="10">
        <f>Table1[[#This Row],[Enrolment S.Y. 2025-2026 ]]*8</f>
        <v>3440</v>
      </c>
      <c r="W78" s="10"/>
      <c r="X78" s="8"/>
      <c r="Y78" s="10"/>
      <c r="Z78" s="10">
        <f t="shared" si="20"/>
        <v>3440</v>
      </c>
      <c r="AA78" s="10">
        <f t="shared" si="21"/>
        <v>0</v>
      </c>
    </row>
    <row r="79" spans="1:27" ht="19.5">
      <c r="A79" s="8">
        <v>8</v>
      </c>
      <c r="B79" s="9" t="s">
        <v>17</v>
      </c>
      <c r="C79" s="8">
        <v>430</v>
      </c>
      <c r="D79" s="10">
        <f>Table1[[#This Row],[Enrolment S.Y. 2025-2026 ]]*8</f>
        <v>3440</v>
      </c>
      <c r="E79" s="10"/>
      <c r="F79" s="8"/>
      <c r="G79" s="10"/>
      <c r="H79" s="10">
        <f t="shared" si="22"/>
        <v>3440</v>
      </c>
      <c r="I79" s="10">
        <f t="shared" si="23"/>
        <v>0</v>
      </c>
      <c r="J79" s="10">
        <f>Table1[[#This Row],[Enrolment S.Y. 2025-2026 ]]*8</f>
        <v>3440</v>
      </c>
      <c r="K79" s="10"/>
      <c r="L79" s="8"/>
      <c r="M79" s="10"/>
      <c r="N79" s="10">
        <f t="shared" si="16"/>
        <v>3440</v>
      </c>
      <c r="O79" s="10">
        <f t="shared" si="17"/>
        <v>0</v>
      </c>
      <c r="P79" s="10">
        <f>Table1[[#This Row],[Enrolment S.Y. 2025-2026 ]]*8</f>
        <v>3440</v>
      </c>
      <c r="Q79" s="10"/>
      <c r="R79" s="8"/>
      <c r="S79" s="10"/>
      <c r="T79" s="10">
        <f t="shared" si="18"/>
        <v>3440</v>
      </c>
      <c r="U79" s="10">
        <f t="shared" si="19"/>
        <v>0</v>
      </c>
      <c r="V79" s="10">
        <f>Table1[[#This Row],[Enrolment S.Y. 2025-2026 ]]*8</f>
        <v>3440</v>
      </c>
      <c r="W79" s="10"/>
      <c r="X79" s="8"/>
      <c r="Y79" s="10"/>
      <c r="Z79" s="10">
        <f t="shared" si="20"/>
        <v>3440</v>
      </c>
      <c r="AA79" s="10">
        <f t="shared" si="21"/>
        <v>0</v>
      </c>
    </row>
    <row r="80" spans="1:27" ht="19.5">
      <c r="A80" s="8">
        <v>8</v>
      </c>
      <c r="B80" s="9" t="s">
        <v>21</v>
      </c>
      <c r="C80" s="8">
        <v>430</v>
      </c>
      <c r="D80" s="10">
        <f>Table1[[#This Row],[Enrolment S.Y. 2025-2026 ]]*8</f>
        <v>3440</v>
      </c>
      <c r="E80" s="10"/>
      <c r="F80" s="8"/>
      <c r="G80" s="10"/>
      <c r="H80" s="10">
        <f t="shared" si="22"/>
        <v>3440</v>
      </c>
      <c r="I80" s="10">
        <f t="shared" si="23"/>
        <v>0</v>
      </c>
      <c r="J80" s="10">
        <f>Table1[[#This Row],[Enrolment S.Y. 2025-2026 ]]*8</f>
        <v>3440</v>
      </c>
      <c r="K80" s="10"/>
      <c r="L80" s="8"/>
      <c r="M80" s="10"/>
      <c r="N80" s="10">
        <f t="shared" si="16"/>
        <v>3440</v>
      </c>
      <c r="O80" s="10">
        <f t="shared" si="17"/>
        <v>0</v>
      </c>
      <c r="P80" s="10">
        <f>Table1[[#This Row],[Enrolment S.Y. 2025-2026 ]]*8</f>
        <v>3440</v>
      </c>
      <c r="Q80" s="10"/>
      <c r="R80" s="8"/>
      <c r="S80" s="10"/>
      <c r="T80" s="10">
        <f t="shared" si="18"/>
        <v>3440</v>
      </c>
      <c r="U80" s="10">
        <f t="shared" si="19"/>
        <v>0</v>
      </c>
      <c r="V80" s="10">
        <f>Table1[[#This Row],[Enrolment S.Y. 2025-2026 ]]*8</f>
        <v>3440</v>
      </c>
      <c r="W80" s="10"/>
      <c r="X80" s="8"/>
      <c r="Y80" s="10"/>
      <c r="Z80" s="10">
        <f t="shared" si="20"/>
        <v>3440</v>
      </c>
      <c r="AA80" s="10">
        <f t="shared" si="21"/>
        <v>0</v>
      </c>
    </row>
    <row r="81" spans="1:27" ht="19.5">
      <c r="A81" s="8">
        <v>8</v>
      </c>
      <c r="B81" s="9" t="s">
        <v>19</v>
      </c>
      <c r="C81" s="8">
        <v>430</v>
      </c>
      <c r="D81" s="10">
        <f>Table1[[#This Row],[Enrolment S.Y. 2025-2026 ]]*8</f>
        <v>3440</v>
      </c>
      <c r="E81" s="10"/>
      <c r="F81" s="8"/>
      <c r="G81" s="10"/>
      <c r="H81" s="10">
        <f t="shared" si="22"/>
        <v>3440</v>
      </c>
      <c r="I81" s="10">
        <f t="shared" si="23"/>
        <v>0</v>
      </c>
      <c r="J81" s="10">
        <f>Table1[[#This Row],[Enrolment S.Y. 2025-2026 ]]*8</f>
        <v>3440</v>
      </c>
      <c r="K81" s="10"/>
      <c r="L81" s="8"/>
      <c r="M81" s="10"/>
      <c r="N81" s="10">
        <f t="shared" si="16"/>
        <v>3440</v>
      </c>
      <c r="O81" s="10">
        <f t="shared" si="17"/>
        <v>0</v>
      </c>
      <c r="P81" s="10">
        <f>Table1[[#This Row],[Enrolment S.Y. 2025-2026 ]]*8</f>
        <v>3440</v>
      </c>
      <c r="Q81" s="10"/>
      <c r="R81" s="8"/>
      <c r="S81" s="10"/>
      <c r="T81" s="10">
        <f t="shared" si="18"/>
        <v>3440</v>
      </c>
      <c r="U81" s="10">
        <f t="shared" si="19"/>
        <v>0</v>
      </c>
      <c r="V81" s="10">
        <f>Table1[[#This Row],[Enrolment S.Y. 2025-2026 ]]*8</f>
        <v>3440</v>
      </c>
      <c r="W81" s="10"/>
      <c r="X81" s="8"/>
      <c r="Y81" s="10"/>
      <c r="Z81" s="10">
        <f t="shared" si="20"/>
        <v>3440</v>
      </c>
      <c r="AA81" s="10">
        <f t="shared" si="21"/>
        <v>0</v>
      </c>
    </row>
    <row r="82" spans="1:27" s="5" customFormat="1" ht="19.149999999999999">
      <c r="J82" s="11"/>
      <c r="M82" s="3"/>
      <c r="N82" s="11"/>
      <c r="O82" s="11"/>
      <c r="P82" s="11"/>
      <c r="S82" s="3"/>
      <c r="T82" s="11"/>
      <c r="U82" s="11"/>
      <c r="V82" s="11"/>
      <c r="Y82" s="3"/>
      <c r="Z82" s="11"/>
      <c r="AA82" s="11"/>
    </row>
    <row r="83" spans="1:27" ht="19.5">
      <c r="A83" s="8">
        <v>9</v>
      </c>
      <c r="B83" s="9" t="s">
        <v>14</v>
      </c>
      <c r="C83" s="8">
        <v>444</v>
      </c>
      <c r="D83" s="10">
        <f>Table1[[#This Row],[Enrolment S.Y. 2025-2026 ]]*8</f>
        <v>3552</v>
      </c>
      <c r="E83" s="10"/>
      <c r="F83" s="8"/>
      <c r="G83" s="10"/>
      <c r="H83" s="10">
        <f t="shared" si="22"/>
        <v>3552</v>
      </c>
      <c r="I83" s="10">
        <f t="shared" si="23"/>
        <v>0</v>
      </c>
      <c r="J83" s="10">
        <f>Table1[[#This Row],[Enrolment S.Y. 2025-2026 ]]*8</f>
        <v>3552</v>
      </c>
      <c r="K83" s="10"/>
      <c r="L83" s="8"/>
      <c r="M83" s="10"/>
      <c r="N83" s="10">
        <f t="shared" si="16"/>
        <v>3552</v>
      </c>
      <c r="O83" s="10">
        <f t="shared" si="17"/>
        <v>0</v>
      </c>
      <c r="P83" s="10">
        <f>Table1[[#This Row],[Enrolment S.Y. 2025-2026 ]]*8</f>
        <v>3552</v>
      </c>
      <c r="Q83" s="10"/>
      <c r="R83" s="8"/>
      <c r="S83" s="10"/>
      <c r="T83" s="10">
        <f t="shared" si="18"/>
        <v>3552</v>
      </c>
      <c r="U83" s="10">
        <f t="shared" si="19"/>
        <v>0</v>
      </c>
      <c r="V83" s="10">
        <f>Table1[[#This Row],[Enrolment S.Y. 2025-2026 ]]*8</f>
        <v>3552</v>
      </c>
      <c r="W83" s="10"/>
      <c r="X83" s="8"/>
      <c r="Y83" s="10"/>
      <c r="Z83" s="10">
        <f t="shared" si="20"/>
        <v>3552</v>
      </c>
      <c r="AA83" s="10">
        <f t="shared" si="21"/>
        <v>0</v>
      </c>
    </row>
    <row r="84" spans="1:27" ht="19.5">
      <c r="A84" s="8">
        <v>9</v>
      </c>
      <c r="B84" s="9" t="s">
        <v>15</v>
      </c>
      <c r="C84" s="8">
        <v>444</v>
      </c>
      <c r="D84" s="10">
        <f>Table1[[#This Row],[Enrolment S.Y. 2025-2026 ]]*8</f>
        <v>3552</v>
      </c>
      <c r="E84" s="10"/>
      <c r="F84" s="8"/>
      <c r="G84" s="10"/>
      <c r="H84" s="10">
        <f t="shared" si="22"/>
        <v>3552</v>
      </c>
      <c r="I84" s="10">
        <f t="shared" si="23"/>
        <v>0</v>
      </c>
      <c r="J84" s="10">
        <f>Table1[[#This Row],[Enrolment S.Y. 2025-2026 ]]*8</f>
        <v>3552</v>
      </c>
      <c r="K84" s="10"/>
      <c r="L84" s="8"/>
      <c r="M84" s="10"/>
      <c r="N84" s="10">
        <f t="shared" si="16"/>
        <v>3552</v>
      </c>
      <c r="O84" s="10">
        <f t="shared" si="17"/>
        <v>0</v>
      </c>
      <c r="P84" s="10">
        <f>Table1[[#This Row],[Enrolment S.Y. 2025-2026 ]]*8</f>
        <v>3552</v>
      </c>
      <c r="Q84" s="10"/>
      <c r="R84" s="8"/>
      <c r="S84" s="10"/>
      <c r="T84" s="10">
        <f t="shared" si="18"/>
        <v>3552</v>
      </c>
      <c r="U84" s="10">
        <f t="shared" si="19"/>
        <v>0</v>
      </c>
      <c r="V84" s="10">
        <f>Table1[[#This Row],[Enrolment S.Y. 2025-2026 ]]*8</f>
        <v>3552</v>
      </c>
      <c r="W84" s="10"/>
      <c r="X84" s="8"/>
      <c r="Y84" s="10"/>
      <c r="Z84" s="10">
        <f t="shared" si="20"/>
        <v>3552</v>
      </c>
      <c r="AA84" s="10">
        <f t="shared" si="21"/>
        <v>0</v>
      </c>
    </row>
    <row r="85" spans="1:27" ht="19.5">
      <c r="A85" s="8">
        <v>9</v>
      </c>
      <c r="B85" s="9" t="s">
        <v>12</v>
      </c>
      <c r="C85" s="8">
        <v>444</v>
      </c>
      <c r="D85" s="10">
        <f>Table1[[#This Row],[Enrolment S.Y. 2025-2026 ]]*8</f>
        <v>3552</v>
      </c>
      <c r="E85" s="10"/>
      <c r="F85" s="8"/>
      <c r="G85" s="10"/>
      <c r="H85" s="10">
        <f t="shared" si="22"/>
        <v>3552</v>
      </c>
      <c r="I85" s="10">
        <f t="shared" si="23"/>
        <v>0</v>
      </c>
      <c r="J85" s="10">
        <f>Table1[[#This Row],[Enrolment S.Y. 2025-2026 ]]*8</f>
        <v>3552</v>
      </c>
      <c r="K85" s="10"/>
      <c r="L85" s="8"/>
      <c r="M85" s="10"/>
      <c r="N85" s="10">
        <f t="shared" si="16"/>
        <v>3552</v>
      </c>
      <c r="O85" s="10">
        <f t="shared" si="17"/>
        <v>0</v>
      </c>
      <c r="P85" s="10">
        <f>Table1[[#This Row],[Enrolment S.Y. 2025-2026 ]]*8</f>
        <v>3552</v>
      </c>
      <c r="Q85" s="10"/>
      <c r="R85" s="8"/>
      <c r="S85" s="10"/>
      <c r="T85" s="10">
        <f t="shared" si="18"/>
        <v>3552</v>
      </c>
      <c r="U85" s="10">
        <f t="shared" si="19"/>
        <v>0</v>
      </c>
      <c r="V85" s="10">
        <f>Table1[[#This Row],[Enrolment S.Y. 2025-2026 ]]*8</f>
        <v>3552</v>
      </c>
      <c r="W85" s="10"/>
      <c r="X85" s="8"/>
      <c r="Y85" s="10"/>
      <c r="Z85" s="10">
        <f t="shared" si="20"/>
        <v>3552</v>
      </c>
      <c r="AA85" s="10">
        <f t="shared" si="21"/>
        <v>0</v>
      </c>
    </row>
    <row r="86" spans="1:27" ht="19.5">
      <c r="A86" s="8">
        <v>9</v>
      </c>
      <c r="B86" s="9" t="s">
        <v>20</v>
      </c>
      <c r="C86" s="8">
        <v>444</v>
      </c>
      <c r="D86" s="10">
        <f>Table1[[#This Row],[Enrolment S.Y. 2025-2026 ]]*8</f>
        <v>3552</v>
      </c>
      <c r="E86" s="10"/>
      <c r="F86" s="8"/>
      <c r="G86" s="10"/>
      <c r="H86" s="10">
        <f t="shared" si="22"/>
        <v>3552</v>
      </c>
      <c r="I86" s="10">
        <f t="shared" si="23"/>
        <v>0</v>
      </c>
      <c r="J86" s="10">
        <f>Table1[[#This Row],[Enrolment S.Y. 2025-2026 ]]*8</f>
        <v>3552</v>
      </c>
      <c r="K86" s="10"/>
      <c r="L86" s="8"/>
      <c r="M86" s="10"/>
      <c r="N86" s="10">
        <f t="shared" si="16"/>
        <v>3552</v>
      </c>
      <c r="O86" s="10">
        <f t="shared" si="17"/>
        <v>0</v>
      </c>
      <c r="P86" s="10">
        <f>Table1[[#This Row],[Enrolment S.Y. 2025-2026 ]]*8</f>
        <v>3552</v>
      </c>
      <c r="Q86" s="10"/>
      <c r="R86" s="8"/>
      <c r="S86" s="10"/>
      <c r="T86" s="10">
        <f t="shared" si="18"/>
        <v>3552</v>
      </c>
      <c r="U86" s="10">
        <f t="shared" si="19"/>
        <v>0</v>
      </c>
      <c r="V86" s="10">
        <f>Table1[[#This Row],[Enrolment S.Y. 2025-2026 ]]*8</f>
        <v>3552</v>
      </c>
      <c r="W86" s="10"/>
      <c r="X86" s="8"/>
      <c r="Y86" s="10"/>
      <c r="Z86" s="10">
        <f t="shared" si="20"/>
        <v>3552</v>
      </c>
      <c r="AA86" s="10">
        <f t="shared" si="21"/>
        <v>0</v>
      </c>
    </row>
    <row r="87" spans="1:27" ht="19.5">
      <c r="A87" s="8">
        <v>9</v>
      </c>
      <c r="B87" s="9" t="s">
        <v>22</v>
      </c>
      <c r="C87" s="8">
        <v>444</v>
      </c>
      <c r="D87" s="10">
        <f>Table1[[#This Row],[Enrolment S.Y. 2025-2026 ]]*8</f>
        <v>3552</v>
      </c>
      <c r="E87" s="10"/>
      <c r="F87" s="8"/>
      <c r="G87" s="10"/>
      <c r="H87" s="10">
        <f t="shared" si="22"/>
        <v>3552</v>
      </c>
      <c r="I87" s="10">
        <f t="shared" si="23"/>
        <v>0</v>
      </c>
      <c r="J87" s="10">
        <f>Table1[[#This Row],[Enrolment S.Y. 2025-2026 ]]*8</f>
        <v>3552</v>
      </c>
      <c r="K87" s="10"/>
      <c r="L87" s="8"/>
      <c r="M87" s="10"/>
      <c r="N87" s="10">
        <f t="shared" si="16"/>
        <v>3552</v>
      </c>
      <c r="O87" s="10">
        <f t="shared" si="17"/>
        <v>0</v>
      </c>
      <c r="P87" s="10">
        <f>Table1[[#This Row],[Enrolment S.Y. 2025-2026 ]]*8</f>
        <v>3552</v>
      </c>
      <c r="Q87" s="10"/>
      <c r="R87" s="8"/>
      <c r="S87" s="10"/>
      <c r="T87" s="10">
        <f t="shared" si="18"/>
        <v>3552</v>
      </c>
      <c r="U87" s="10">
        <f t="shared" si="19"/>
        <v>0</v>
      </c>
      <c r="V87" s="10">
        <f>Table1[[#This Row],[Enrolment S.Y. 2025-2026 ]]*8</f>
        <v>3552</v>
      </c>
      <c r="W87" s="10"/>
      <c r="X87" s="8"/>
      <c r="Y87" s="10"/>
      <c r="Z87" s="10">
        <f t="shared" si="20"/>
        <v>3552</v>
      </c>
      <c r="AA87" s="10">
        <f t="shared" si="21"/>
        <v>0</v>
      </c>
    </row>
    <row r="88" spans="1:27" ht="19.5">
      <c r="A88" s="8">
        <v>9</v>
      </c>
      <c r="B88" s="9" t="s">
        <v>13</v>
      </c>
      <c r="C88" s="8">
        <v>444</v>
      </c>
      <c r="D88" s="10">
        <f>Table1[[#This Row],[Enrolment S.Y. 2025-2026 ]]*8</f>
        <v>3552</v>
      </c>
      <c r="E88" s="10"/>
      <c r="F88" s="8"/>
      <c r="G88" s="10"/>
      <c r="H88" s="10">
        <f t="shared" si="22"/>
        <v>3552</v>
      </c>
      <c r="I88" s="10">
        <f t="shared" si="23"/>
        <v>0</v>
      </c>
      <c r="J88" s="10">
        <f>Table1[[#This Row],[Enrolment S.Y. 2025-2026 ]]*8</f>
        <v>3552</v>
      </c>
      <c r="K88" s="10"/>
      <c r="L88" s="8"/>
      <c r="M88" s="10"/>
      <c r="N88" s="10">
        <f t="shared" si="16"/>
        <v>3552</v>
      </c>
      <c r="O88" s="10">
        <f t="shared" si="17"/>
        <v>0</v>
      </c>
      <c r="P88" s="10">
        <f>Table1[[#This Row],[Enrolment S.Y. 2025-2026 ]]*8</f>
        <v>3552</v>
      </c>
      <c r="Q88" s="10"/>
      <c r="R88" s="8"/>
      <c r="S88" s="10"/>
      <c r="T88" s="10">
        <f t="shared" si="18"/>
        <v>3552</v>
      </c>
      <c r="U88" s="10">
        <f t="shared" si="19"/>
        <v>0</v>
      </c>
      <c r="V88" s="10">
        <f>Table1[[#This Row],[Enrolment S.Y. 2025-2026 ]]*8</f>
        <v>3552</v>
      </c>
      <c r="W88" s="10"/>
      <c r="X88" s="8"/>
      <c r="Y88" s="10"/>
      <c r="Z88" s="10">
        <f t="shared" si="20"/>
        <v>3552</v>
      </c>
      <c r="AA88" s="10">
        <f t="shared" si="21"/>
        <v>0</v>
      </c>
    </row>
    <row r="89" spans="1:27" ht="19.5">
      <c r="A89" s="8">
        <v>9</v>
      </c>
      <c r="B89" s="9" t="s">
        <v>17</v>
      </c>
      <c r="C89" s="8">
        <v>444</v>
      </c>
      <c r="D89" s="10">
        <f>Table1[[#This Row],[Enrolment S.Y. 2025-2026 ]]*8</f>
        <v>3552</v>
      </c>
      <c r="E89" s="10"/>
      <c r="F89" s="8"/>
      <c r="G89" s="10"/>
      <c r="H89" s="10">
        <f t="shared" si="22"/>
        <v>3552</v>
      </c>
      <c r="I89" s="10">
        <f t="shared" si="23"/>
        <v>0</v>
      </c>
      <c r="J89" s="10">
        <f>Table1[[#This Row],[Enrolment S.Y. 2025-2026 ]]*8</f>
        <v>3552</v>
      </c>
      <c r="K89" s="10"/>
      <c r="L89" s="8"/>
      <c r="M89" s="10"/>
      <c r="N89" s="10">
        <f t="shared" si="16"/>
        <v>3552</v>
      </c>
      <c r="O89" s="10">
        <f t="shared" si="17"/>
        <v>0</v>
      </c>
      <c r="P89" s="10">
        <f>Table1[[#This Row],[Enrolment S.Y. 2025-2026 ]]*8</f>
        <v>3552</v>
      </c>
      <c r="Q89" s="10"/>
      <c r="R89" s="8"/>
      <c r="S89" s="10"/>
      <c r="T89" s="10">
        <f t="shared" si="18"/>
        <v>3552</v>
      </c>
      <c r="U89" s="10">
        <f t="shared" si="19"/>
        <v>0</v>
      </c>
      <c r="V89" s="10">
        <f>Table1[[#This Row],[Enrolment S.Y. 2025-2026 ]]*8</f>
        <v>3552</v>
      </c>
      <c r="W89" s="10"/>
      <c r="X89" s="8"/>
      <c r="Y89" s="10"/>
      <c r="Z89" s="10">
        <f t="shared" si="20"/>
        <v>3552</v>
      </c>
      <c r="AA89" s="10">
        <f t="shared" si="21"/>
        <v>0</v>
      </c>
    </row>
    <row r="90" spans="1:27" ht="19.5">
      <c r="A90" s="8">
        <v>9</v>
      </c>
      <c r="B90" s="9" t="s">
        <v>21</v>
      </c>
      <c r="C90" s="8">
        <v>444</v>
      </c>
      <c r="D90" s="10">
        <f>Table1[[#This Row],[Enrolment S.Y. 2025-2026 ]]*8</f>
        <v>3552</v>
      </c>
      <c r="E90" s="10"/>
      <c r="F90" s="8"/>
      <c r="G90" s="10"/>
      <c r="H90" s="10">
        <f t="shared" si="22"/>
        <v>3552</v>
      </c>
      <c r="I90" s="10">
        <f t="shared" si="23"/>
        <v>0</v>
      </c>
      <c r="J90" s="10">
        <f>Table1[[#This Row],[Enrolment S.Y. 2025-2026 ]]*8</f>
        <v>3552</v>
      </c>
      <c r="K90" s="10"/>
      <c r="L90" s="8"/>
      <c r="M90" s="10"/>
      <c r="N90" s="10">
        <f t="shared" si="16"/>
        <v>3552</v>
      </c>
      <c r="O90" s="10">
        <f t="shared" si="17"/>
        <v>0</v>
      </c>
      <c r="P90" s="10">
        <f>Table1[[#This Row],[Enrolment S.Y. 2025-2026 ]]*8</f>
        <v>3552</v>
      </c>
      <c r="Q90" s="10"/>
      <c r="R90" s="8"/>
      <c r="S90" s="10"/>
      <c r="T90" s="10">
        <f t="shared" si="18"/>
        <v>3552</v>
      </c>
      <c r="U90" s="10">
        <f t="shared" si="19"/>
        <v>0</v>
      </c>
      <c r="V90" s="10">
        <f>Table1[[#This Row],[Enrolment S.Y. 2025-2026 ]]*8</f>
        <v>3552</v>
      </c>
      <c r="W90" s="10"/>
      <c r="X90" s="8"/>
      <c r="Y90" s="10"/>
      <c r="Z90" s="10">
        <f t="shared" si="20"/>
        <v>3552</v>
      </c>
      <c r="AA90" s="10">
        <f t="shared" si="21"/>
        <v>0</v>
      </c>
    </row>
    <row r="91" spans="1:27" ht="19.5">
      <c r="A91" s="8">
        <v>9</v>
      </c>
      <c r="B91" s="9" t="s">
        <v>19</v>
      </c>
      <c r="C91" s="8">
        <v>444</v>
      </c>
      <c r="D91" s="10">
        <f>Table1[[#This Row],[Enrolment S.Y. 2025-2026 ]]*8</f>
        <v>3552</v>
      </c>
      <c r="E91" s="10"/>
      <c r="F91" s="8"/>
      <c r="G91" s="10"/>
      <c r="H91" s="10">
        <f t="shared" si="22"/>
        <v>3552</v>
      </c>
      <c r="I91" s="10">
        <f t="shared" si="23"/>
        <v>0</v>
      </c>
      <c r="J91" s="10">
        <f>Table1[[#This Row],[Enrolment S.Y. 2025-2026 ]]*8</f>
        <v>3552</v>
      </c>
      <c r="K91" s="10"/>
      <c r="L91" s="8"/>
      <c r="M91" s="10"/>
      <c r="N91" s="10">
        <f t="shared" si="16"/>
        <v>3552</v>
      </c>
      <c r="O91" s="10">
        <f t="shared" si="17"/>
        <v>0</v>
      </c>
      <c r="P91" s="10">
        <f>Table1[[#This Row],[Enrolment S.Y. 2025-2026 ]]*8</f>
        <v>3552</v>
      </c>
      <c r="Q91" s="10"/>
      <c r="R91" s="8"/>
      <c r="S91" s="10"/>
      <c r="T91" s="10">
        <f t="shared" si="18"/>
        <v>3552</v>
      </c>
      <c r="U91" s="10">
        <f t="shared" si="19"/>
        <v>0</v>
      </c>
      <c r="V91" s="10">
        <f>Table1[[#This Row],[Enrolment S.Y. 2025-2026 ]]*8</f>
        <v>3552</v>
      </c>
      <c r="W91" s="10"/>
      <c r="X91" s="8"/>
      <c r="Y91" s="10"/>
      <c r="Z91" s="10">
        <f t="shared" si="20"/>
        <v>3552</v>
      </c>
      <c r="AA91" s="10">
        <f t="shared" si="21"/>
        <v>0</v>
      </c>
    </row>
    <row r="92" spans="1:27" s="5" customFormat="1" ht="19.149999999999999">
      <c r="J92" s="11"/>
      <c r="M92" s="3"/>
      <c r="N92" s="11"/>
      <c r="O92" s="11"/>
      <c r="P92" s="11"/>
      <c r="S92" s="3"/>
      <c r="T92" s="11"/>
      <c r="U92" s="11"/>
      <c r="V92" s="11"/>
      <c r="Y92" s="3"/>
      <c r="Z92" s="11"/>
      <c r="AA92" s="11"/>
    </row>
    <row r="93" spans="1:27" ht="19.5">
      <c r="A93" s="8">
        <v>10</v>
      </c>
      <c r="B93" s="9" t="s">
        <v>14</v>
      </c>
      <c r="C93" s="8">
        <v>617</v>
      </c>
      <c r="D93" s="10">
        <f>Table1[[#This Row],[Enrolment S.Y. 2025-2026 ]]*8</f>
        <v>4936</v>
      </c>
      <c r="E93" s="10"/>
      <c r="F93" s="8"/>
      <c r="G93" s="10"/>
      <c r="H93" s="10">
        <f>IF((D93-E93)&lt;0,0,(D93-E93))</f>
        <v>4936</v>
      </c>
      <c r="I93" s="10">
        <f>IF((E93-D93)&lt;0,0,(E93-D93))</f>
        <v>0</v>
      </c>
      <c r="J93" s="10">
        <f>Table1[[#This Row],[Enrolment S.Y. 2025-2026 ]]*8</f>
        <v>4936</v>
      </c>
      <c r="K93" s="10"/>
      <c r="L93" s="8"/>
      <c r="M93" s="10"/>
      <c r="N93" s="10">
        <f>IF((J93-K93)&lt;0,0,(J93-K93))</f>
        <v>4936</v>
      </c>
      <c r="O93" s="10">
        <f>IF((K93-J93)&lt;0,0,(K93-J93))</f>
        <v>0</v>
      </c>
      <c r="P93" s="10">
        <f>Table1[[#This Row],[Enrolment S.Y. 2025-2026 ]]*8</f>
        <v>4936</v>
      </c>
      <c r="Q93" s="10"/>
      <c r="R93" s="8"/>
      <c r="S93" s="10"/>
      <c r="T93" s="10">
        <f>IF((P93-Q93)&lt;0,0,(P93-Q93))</f>
        <v>4936</v>
      </c>
      <c r="U93" s="10">
        <f>IF((Q93-P93)&lt;0,0,(Q93-P93))</f>
        <v>0</v>
      </c>
      <c r="V93" s="10">
        <f>Table1[[#This Row],[Enrolment S.Y. 2025-2026 ]]*8</f>
        <v>4936</v>
      </c>
      <c r="W93" s="10"/>
      <c r="X93" s="8"/>
      <c r="Y93" s="10"/>
      <c r="Z93" s="10">
        <f>IF((V93-W93)&lt;0,0,(V93-W93))</f>
        <v>4936</v>
      </c>
      <c r="AA93" s="10">
        <f>IF((W93-V93)&lt;0,0,(W93-V93))</f>
        <v>0</v>
      </c>
    </row>
    <row r="94" spans="1:27" ht="19.5">
      <c r="A94" s="8">
        <v>10</v>
      </c>
      <c r="B94" s="9" t="s">
        <v>15</v>
      </c>
      <c r="C94" s="8">
        <v>617</v>
      </c>
      <c r="D94" s="10">
        <f>Table1[[#This Row],[Enrolment S.Y. 2025-2026 ]]*8</f>
        <v>4936</v>
      </c>
      <c r="E94" s="10"/>
      <c r="F94" s="8"/>
      <c r="G94" s="10"/>
      <c r="H94" s="10">
        <f>IF((D94-E94)&lt;0,0,(D94-E94))</f>
        <v>4936</v>
      </c>
      <c r="I94" s="10">
        <f>IF((E94-D94)&lt;0,0,(E94-D94))</f>
        <v>0</v>
      </c>
      <c r="J94" s="10">
        <f>Table1[[#This Row],[Enrolment S.Y. 2025-2026 ]]*8</f>
        <v>4936</v>
      </c>
      <c r="K94" s="10"/>
      <c r="L94" s="8"/>
      <c r="M94" s="10"/>
      <c r="N94" s="10">
        <f>IF((J94-K94)&lt;0,0,(J94-K94))</f>
        <v>4936</v>
      </c>
      <c r="O94" s="10">
        <f>IF((K94-J94)&lt;0,0,(K94-J94))</f>
        <v>0</v>
      </c>
      <c r="P94" s="10">
        <f>Table1[[#This Row],[Enrolment S.Y. 2025-2026 ]]*8</f>
        <v>4936</v>
      </c>
      <c r="Q94" s="10"/>
      <c r="R94" s="8"/>
      <c r="S94" s="10"/>
      <c r="T94" s="10">
        <f>IF((P94-Q94)&lt;0,0,(P94-Q94))</f>
        <v>4936</v>
      </c>
      <c r="U94" s="10">
        <f>IF((Q94-P94)&lt;0,0,(Q94-P94))</f>
        <v>0</v>
      </c>
      <c r="V94" s="10">
        <f>Table1[[#This Row],[Enrolment S.Y. 2025-2026 ]]*8</f>
        <v>4936</v>
      </c>
      <c r="W94" s="10"/>
      <c r="X94" s="8"/>
      <c r="Y94" s="10"/>
      <c r="Z94" s="10">
        <f>IF((V94-W94)&lt;0,0,(V94-W94))</f>
        <v>4936</v>
      </c>
      <c r="AA94" s="10">
        <f>IF((W94-V94)&lt;0,0,(W94-V94))</f>
        <v>0</v>
      </c>
    </row>
    <row r="95" spans="1:27" ht="19.5">
      <c r="A95" s="8">
        <v>10</v>
      </c>
      <c r="B95" s="9" t="s">
        <v>12</v>
      </c>
      <c r="C95" s="8">
        <v>617</v>
      </c>
      <c r="D95" s="10">
        <f>Table1[[#This Row],[Enrolment S.Y. 2025-2026 ]]*8</f>
        <v>4936</v>
      </c>
      <c r="E95" s="10"/>
      <c r="F95" s="8"/>
      <c r="G95" s="10"/>
      <c r="H95" s="10">
        <f>IF((D95-E95)&lt;0,0,(D95-E95))</f>
        <v>4936</v>
      </c>
      <c r="I95" s="10">
        <f>IF((E95-D95)&lt;0,0,(E95-D95))</f>
        <v>0</v>
      </c>
      <c r="J95" s="10">
        <f>Table1[[#This Row],[Enrolment S.Y. 2025-2026 ]]*8</f>
        <v>4936</v>
      </c>
      <c r="K95" s="10"/>
      <c r="L95" s="8"/>
      <c r="M95" s="10"/>
      <c r="N95" s="10">
        <f>IF((J95-K95)&lt;0,0,(J95-K95))</f>
        <v>4936</v>
      </c>
      <c r="O95" s="10">
        <f>IF((K95-J95)&lt;0,0,(K95-J95))</f>
        <v>0</v>
      </c>
      <c r="P95" s="10">
        <f>Table1[[#This Row],[Enrolment S.Y. 2025-2026 ]]*8</f>
        <v>4936</v>
      </c>
      <c r="Q95" s="10"/>
      <c r="R95" s="8"/>
      <c r="S95" s="10"/>
      <c r="T95" s="10">
        <f>IF((P95-Q95)&lt;0,0,(P95-Q95))</f>
        <v>4936</v>
      </c>
      <c r="U95" s="10">
        <f>IF((Q95-P95)&lt;0,0,(Q95-P95))</f>
        <v>0</v>
      </c>
      <c r="V95" s="10">
        <f>Table1[[#This Row],[Enrolment S.Y. 2025-2026 ]]*8</f>
        <v>4936</v>
      </c>
      <c r="W95" s="10"/>
      <c r="X95" s="8"/>
      <c r="Y95" s="10"/>
      <c r="Z95" s="10">
        <f>IF((V95-W95)&lt;0,0,(V95-W95))</f>
        <v>4936</v>
      </c>
      <c r="AA95" s="10">
        <f>IF((W95-V95)&lt;0,0,(W95-V95))</f>
        <v>0</v>
      </c>
    </row>
    <row r="96" spans="1:27" ht="19.5">
      <c r="A96" s="8">
        <v>10</v>
      </c>
      <c r="B96" s="9" t="s">
        <v>20</v>
      </c>
      <c r="C96" s="8">
        <v>617</v>
      </c>
      <c r="D96" s="10">
        <f>Table1[[#This Row],[Enrolment S.Y. 2025-2026 ]]*8</f>
        <v>4936</v>
      </c>
      <c r="E96" s="10"/>
      <c r="F96" s="8"/>
      <c r="G96" s="10"/>
      <c r="H96" s="10">
        <f>IF((D96-E96)&lt;0,0,(D96-E96))</f>
        <v>4936</v>
      </c>
      <c r="I96" s="10">
        <f>IF((E96-D96)&lt;0,0,(E96-D96))</f>
        <v>0</v>
      </c>
      <c r="J96" s="10">
        <f>Table1[[#This Row],[Enrolment S.Y. 2025-2026 ]]*8</f>
        <v>4936</v>
      </c>
      <c r="K96" s="10"/>
      <c r="L96" s="8"/>
      <c r="M96" s="10"/>
      <c r="N96" s="10">
        <f>IF((J96-K96)&lt;0,0,(J96-K96))</f>
        <v>4936</v>
      </c>
      <c r="O96" s="10">
        <f>IF((K96-J96)&lt;0,0,(K96-J96))</f>
        <v>0</v>
      </c>
      <c r="P96" s="10">
        <f>Table1[[#This Row],[Enrolment S.Y. 2025-2026 ]]*8</f>
        <v>4936</v>
      </c>
      <c r="Q96" s="10"/>
      <c r="R96" s="8"/>
      <c r="S96" s="10"/>
      <c r="T96" s="10">
        <f>IF((P96-Q96)&lt;0,0,(P96-Q96))</f>
        <v>4936</v>
      </c>
      <c r="U96" s="10">
        <f>IF((Q96-P96)&lt;0,0,(Q96-P96))</f>
        <v>0</v>
      </c>
      <c r="V96" s="10">
        <f>Table1[[#This Row],[Enrolment S.Y. 2025-2026 ]]*8</f>
        <v>4936</v>
      </c>
      <c r="W96" s="10"/>
      <c r="X96" s="8"/>
      <c r="Y96" s="10"/>
      <c r="Z96" s="10">
        <f>IF((V96-W96)&lt;0,0,(V96-W96))</f>
        <v>4936</v>
      </c>
      <c r="AA96" s="10">
        <f>IF((W96-V96)&lt;0,0,(W96-V96))</f>
        <v>0</v>
      </c>
    </row>
    <row r="97" spans="1:27" ht="19.5">
      <c r="A97" s="8">
        <v>10</v>
      </c>
      <c r="B97" s="9" t="s">
        <v>22</v>
      </c>
      <c r="C97" s="8">
        <v>617</v>
      </c>
      <c r="D97" s="10">
        <f>Table1[[#This Row],[Enrolment S.Y. 2025-2026 ]]*8</f>
        <v>4936</v>
      </c>
      <c r="E97" s="10"/>
      <c r="F97" s="8"/>
      <c r="G97" s="10"/>
      <c r="H97" s="10">
        <f>IF((D97-E97)&lt;0,0,(D97-E97))</f>
        <v>4936</v>
      </c>
      <c r="I97" s="10">
        <f>IF((E97-D97)&lt;0,0,(E97-D97))</f>
        <v>0</v>
      </c>
      <c r="J97" s="10">
        <f>Table1[[#This Row],[Enrolment S.Y. 2025-2026 ]]*8</f>
        <v>4936</v>
      </c>
      <c r="K97" s="10"/>
      <c r="L97" s="8"/>
      <c r="M97" s="10"/>
      <c r="N97" s="10">
        <f>IF((J97-K97)&lt;0,0,(J97-K97))</f>
        <v>4936</v>
      </c>
      <c r="O97" s="10">
        <f>IF((K97-J97)&lt;0,0,(K97-J97))</f>
        <v>0</v>
      </c>
      <c r="P97" s="10">
        <f>Table1[[#This Row],[Enrolment S.Y. 2025-2026 ]]*8</f>
        <v>4936</v>
      </c>
      <c r="Q97" s="10"/>
      <c r="R97" s="8"/>
      <c r="S97" s="10"/>
      <c r="T97" s="10">
        <f>IF((P97-Q97)&lt;0,0,(P97-Q97))</f>
        <v>4936</v>
      </c>
      <c r="U97" s="10">
        <f>IF((Q97-P97)&lt;0,0,(Q97-P97))</f>
        <v>0</v>
      </c>
      <c r="V97" s="10">
        <f>Table1[[#This Row],[Enrolment S.Y. 2025-2026 ]]*8</f>
        <v>4936</v>
      </c>
      <c r="W97" s="10"/>
      <c r="X97" s="8"/>
      <c r="Y97" s="10"/>
      <c r="Z97" s="10">
        <f>IF((V97-W97)&lt;0,0,(V97-W97))</f>
        <v>4936</v>
      </c>
      <c r="AA97" s="10">
        <f>IF((W97-V97)&lt;0,0,(W97-V97))</f>
        <v>0</v>
      </c>
    </row>
    <row r="98" spans="1:27" ht="19.5">
      <c r="A98" s="8">
        <v>10</v>
      </c>
      <c r="B98" s="9" t="s">
        <v>13</v>
      </c>
      <c r="C98" s="8">
        <v>617</v>
      </c>
      <c r="D98" s="10">
        <f>Table1[[#This Row],[Enrolment S.Y. 2025-2026 ]]*8</f>
        <v>4936</v>
      </c>
      <c r="E98" s="10"/>
      <c r="F98" s="8"/>
      <c r="G98" s="10"/>
      <c r="H98" s="10">
        <f>IF((D98-E98)&lt;0,0,(D98-E98))</f>
        <v>4936</v>
      </c>
      <c r="I98" s="10">
        <f>IF((E98-D98)&lt;0,0,(E98-D98))</f>
        <v>0</v>
      </c>
      <c r="J98" s="10">
        <f>Table1[[#This Row],[Enrolment S.Y. 2025-2026 ]]*8</f>
        <v>4936</v>
      </c>
      <c r="K98" s="10"/>
      <c r="L98" s="8"/>
      <c r="M98" s="10"/>
      <c r="N98" s="10">
        <f>IF((J98-K98)&lt;0,0,(J98-K98))</f>
        <v>4936</v>
      </c>
      <c r="O98" s="10">
        <f>IF((K98-J98)&lt;0,0,(K98-J98))</f>
        <v>0</v>
      </c>
      <c r="P98" s="10">
        <f>Table1[[#This Row],[Enrolment S.Y. 2025-2026 ]]*8</f>
        <v>4936</v>
      </c>
      <c r="Q98" s="10"/>
      <c r="R98" s="8"/>
      <c r="S98" s="10"/>
      <c r="T98" s="10">
        <f>IF((P98-Q98)&lt;0,0,(P98-Q98))</f>
        <v>4936</v>
      </c>
      <c r="U98" s="10">
        <f>IF((Q98-P98)&lt;0,0,(Q98-P98))</f>
        <v>0</v>
      </c>
      <c r="V98" s="10">
        <f>Table1[[#This Row],[Enrolment S.Y. 2025-2026 ]]*8</f>
        <v>4936</v>
      </c>
      <c r="W98" s="10"/>
      <c r="X98" s="8"/>
      <c r="Y98" s="10"/>
      <c r="Z98" s="10">
        <f>IF((V98-W98)&lt;0,0,(V98-W98))</f>
        <v>4936</v>
      </c>
      <c r="AA98" s="10">
        <f>IF((W98-V98)&lt;0,0,(W98-V98))</f>
        <v>0</v>
      </c>
    </row>
    <row r="99" spans="1:27" ht="19.5">
      <c r="A99" s="8">
        <v>10</v>
      </c>
      <c r="B99" s="9" t="s">
        <v>17</v>
      </c>
      <c r="C99" s="8">
        <v>617</v>
      </c>
      <c r="D99" s="10">
        <f>Table1[[#This Row],[Enrolment S.Y. 2025-2026 ]]*8</f>
        <v>4936</v>
      </c>
      <c r="E99" s="10"/>
      <c r="F99" s="8"/>
      <c r="G99" s="10"/>
      <c r="H99" s="10">
        <f>IF((D99-E99)&lt;0,0,(D99-E99))</f>
        <v>4936</v>
      </c>
      <c r="I99" s="10">
        <f>IF((E99-D99)&lt;0,0,(E99-D99))</f>
        <v>0</v>
      </c>
      <c r="J99" s="10">
        <f>Table1[[#This Row],[Enrolment S.Y. 2025-2026 ]]*8</f>
        <v>4936</v>
      </c>
      <c r="K99" s="10"/>
      <c r="L99" s="8"/>
      <c r="M99" s="10"/>
      <c r="N99" s="10">
        <f>IF((J99-K99)&lt;0,0,(J99-K99))</f>
        <v>4936</v>
      </c>
      <c r="O99" s="10">
        <f>IF((K99-J99)&lt;0,0,(K99-J99))</f>
        <v>0</v>
      </c>
      <c r="P99" s="10">
        <f>Table1[[#This Row],[Enrolment S.Y. 2025-2026 ]]*8</f>
        <v>4936</v>
      </c>
      <c r="Q99" s="10"/>
      <c r="R99" s="8"/>
      <c r="S99" s="10"/>
      <c r="T99" s="10">
        <f>IF((P99-Q99)&lt;0,0,(P99-Q99))</f>
        <v>4936</v>
      </c>
      <c r="U99" s="10">
        <f>IF((Q99-P99)&lt;0,0,(Q99-P99))</f>
        <v>0</v>
      </c>
      <c r="V99" s="10">
        <f>Table1[[#This Row],[Enrolment S.Y. 2025-2026 ]]*8</f>
        <v>4936</v>
      </c>
      <c r="W99" s="10"/>
      <c r="X99" s="8"/>
      <c r="Y99" s="10"/>
      <c r="Z99" s="10">
        <f>IF((V99-W99)&lt;0,0,(V99-W99))</f>
        <v>4936</v>
      </c>
      <c r="AA99" s="10">
        <f>IF((W99-V99)&lt;0,0,(W99-V99))</f>
        <v>0</v>
      </c>
    </row>
    <row r="100" spans="1:27" ht="19.5">
      <c r="A100" s="8">
        <v>10</v>
      </c>
      <c r="B100" s="9" t="s">
        <v>21</v>
      </c>
      <c r="C100" s="8">
        <v>617</v>
      </c>
      <c r="D100" s="10">
        <f>Table1[[#This Row],[Enrolment S.Y. 2025-2026 ]]*8</f>
        <v>4936</v>
      </c>
      <c r="E100" s="10"/>
      <c r="F100" s="8"/>
      <c r="G100" s="10"/>
      <c r="H100" s="10">
        <f>IF((D100-E100)&lt;0,0,(D100-E100))</f>
        <v>4936</v>
      </c>
      <c r="I100" s="10">
        <f>IF((E100-D100)&lt;0,0,(E100-D100))</f>
        <v>0</v>
      </c>
      <c r="J100" s="10">
        <f>Table1[[#This Row],[Enrolment S.Y. 2025-2026 ]]*8</f>
        <v>4936</v>
      </c>
      <c r="K100" s="10"/>
      <c r="L100" s="8"/>
      <c r="M100" s="10"/>
      <c r="N100" s="10">
        <f>IF((J100-K100)&lt;0,0,(J100-K100))</f>
        <v>4936</v>
      </c>
      <c r="O100" s="10">
        <f>IF((K100-J100)&lt;0,0,(K100-J100))</f>
        <v>0</v>
      </c>
      <c r="P100" s="10">
        <f>Table1[[#This Row],[Enrolment S.Y. 2025-2026 ]]*8</f>
        <v>4936</v>
      </c>
      <c r="Q100" s="10"/>
      <c r="R100" s="8"/>
      <c r="S100" s="10"/>
      <c r="T100" s="10">
        <f>IF((P100-Q100)&lt;0,0,(P100-Q100))</f>
        <v>4936</v>
      </c>
      <c r="U100" s="10">
        <f>IF((Q100-P100)&lt;0,0,(Q100-P100))</f>
        <v>0</v>
      </c>
      <c r="V100" s="10">
        <f>Table1[[#This Row],[Enrolment S.Y. 2025-2026 ]]*8</f>
        <v>4936</v>
      </c>
      <c r="W100" s="10"/>
      <c r="X100" s="8"/>
      <c r="Y100" s="10"/>
      <c r="Z100" s="10">
        <f>IF((V100-W100)&lt;0,0,(V100-W100))</f>
        <v>4936</v>
      </c>
      <c r="AA100" s="10">
        <f>IF((W100-V100)&lt;0,0,(W100-V100))</f>
        <v>0</v>
      </c>
    </row>
    <row r="101" spans="1:27" ht="19.5">
      <c r="A101" s="8">
        <v>10</v>
      </c>
      <c r="B101" s="9" t="s">
        <v>19</v>
      </c>
      <c r="C101" s="8">
        <v>617</v>
      </c>
      <c r="D101" s="10">
        <f>Table1[[#This Row],[Enrolment S.Y. 2025-2026 ]]*8</f>
        <v>4936</v>
      </c>
      <c r="E101" s="10"/>
      <c r="F101" s="8"/>
      <c r="G101" s="10"/>
      <c r="H101" s="10">
        <f>IF((D101-E101)&lt;0,0,(D101-E101))</f>
        <v>4936</v>
      </c>
      <c r="I101" s="10">
        <f>IF((E101-D101)&lt;0,0,(E101-D101))</f>
        <v>0</v>
      </c>
      <c r="J101" s="10">
        <f>Table1[[#This Row],[Enrolment S.Y. 2025-2026 ]]*8</f>
        <v>4936</v>
      </c>
      <c r="K101" s="10"/>
      <c r="L101" s="8"/>
      <c r="M101" s="10"/>
      <c r="N101" s="10">
        <f>IF((J101-K101)&lt;0,0,(J101-K101))</f>
        <v>4936</v>
      </c>
      <c r="O101" s="10">
        <f>IF((K101-J101)&lt;0,0,(K101-J101))</f>
        <v>0</v>
      </c>
      <c r="P101" s="10">
        <f>Table1[[#This Row],[Enrolment S.Y. 2025-2026 ]]*8</f>
        <v>4936</v>
      </c>
      <c r="Q101" s="10"/>
      <c r="R101" s="8"/>
      <c r="S101" s="10"/>
      <c r="T101" s="10">
        <f>IF((P101-Q101)&lt;0,0,(P101-Q101))</f>
        <v>4936</v>
      </c>
      <c r="U101" s="10">
        <f>IF((Q101-P101)&lt;0,0,(Q101-P101))</f>
        <v>0</v>
      </c>
      <c r="V101" s="10">
        <f>Table1[[#This Row],[Enrolment S.Y. 2025-2026 ]]*8</f>
        <v>4936</v>
      </c>
      <c r="W101" s="10"/>
      <c r="X101" s="8"/>
      <c r="Y101" s="10"/>
      <c r="Z101" s="10">
        <f>IF((V101-W101)&lt;0,0,(V101-W101))</f>
        <v>4936</v>
      </c>
      <c r="AA101" s="10">
        <f>IF((W101-V101)&lt;0,0,(W101-V101))</f>
        <v>0</v>
      </c>
    </row>
    <row r="102" spans="1:27" s="5" customFormat="1" ht="19.149999999999999">
      <c r="C102" s="5">
        <v>617</v>
      </c>
      <c r="J102" s="11"/>
      <c r="M102" s="3"/>
      <c r="N102" s="11"/>
      <c r="O102" s="11"/>
      <c r="P102" s="11"/>
      <c r="S102" s="3"/>
      <c r="T102" s="11"/>
      <c r="U102" s="11"/>
      <c r="V102" s="11"/>
      <c r="Y102" s="3"/>
      <c r="Z102" s="11"/>
      <c r="AA102" s="11"/>
    </row>
    <row r="103" spans="1:27" ht="19.5">
      <c r="A103" s="1" t="s">
        <v>23</v>
      </c>
      <c r="B103" s="7" t="s">
        <v>24</v>
      </c>
      <c r="C103" s="1">
        <v>101</v>
      </c>
      <c r="D103" s="3">
        <f>Table1[[#This Row],[Enrolment S.Y. 2025-2026 ]]*8</f>
        <v>808</v>
      </c>
      <c r="E103" s="3"/>
      <c r="F103" s="1"/>
      <c r="G103" s="3"/>
      <c r="H103" s="3">
        <f t="shared" si="22"/>
        <v>808</v>
      </c>
      <c r="I103" s="3">
        <f t="shared" si="23"/>
        <v>0</v>
      </c>
      <c r="J103" s="3">
        <f>Table1[[#This Row],[Enrolment S.Y. 2025-2026 ]]*8</f>
        <v>808</v>
      </c>
      <c r="K103" s="3"/>
      <c r="L103" s="1"/>
      <c r="M103" s="3"/>
      <c r="N103" s="3">
        <f t="shared" si="16"/>
        <v>808</v>
      </c>
      <c r="O103" s="3">
        <f t="shared" si="17"/>
        <v>0</v>
      </c>
      <c r="P103" s="3">
        <f>Table1[[#This Row],[Enrolment S.Y. 2025-2026 ]]*8</f>
        <v>808</v>
      </c>
      <c r="Q103" s="3"/>
      <c r="R103" s="1"/>
      <c r="S103" s="3"/>
      <c r="T103" s="3">
        <f t="shared" si="18"/>
        <v>808</v>
      </c>
      <c r="U103" s="3">
        <f t="shared" si="19"/>
        <v>0</v>
      </c>
      <c r="V103" s="3">
        <f>Table1[[#This Row],[Enrolment S.Y. 2025-2026 ]]*8</f>
        <v>808</v>
      </c>
      <c r="W103" s="3"/>
      <c r="X103" s="1"/>
      <c r="Y103" s="3"/>
      <c r="Z103" s="3">
        <f t="shared" si="20"/>
        <v>808</v>
      </c>
      <c r="AA103" s="3">
        <f t="shared" si="21"/>
        <v>0</v>
      </c>
    </row>
    <row r="104" spans="1:27" ht="19.5">
      <c r="A104" s="1" t="s">
        <v>23</v>
      </c>
      <c r="B104" s="7" t="s">
        <v>25</v>
      </c>
      <c r="C104" s="1">
        <v>101</v>
      </c>
      <c r="D104" s="3">
        <f>Table1[[#This Row],[Enrolment S.Y. 2025-2026 ]]*8</f>
        <v>808</v>
      </c>
      <c r="E104" s="3"/>
      <c r="F104" s="1"/>
      <c r="G104" s="3"/>
      <c r="H104" s="3">
        <f t="shared" si="22"/>
        <v>808</v>
      </c>
      <c r="I104" s="3">
        <f t="shared" si="23"/>
        <v>0</v>
      </c>
      <c r="J104" s="3">
        <f>Table1[[#This Row],[Enrolment S.Y. 2025-2026 ]]*8</f>
        <v>808</v>
      </c>
      <c r="K104" s="3"/>
      <c r="L104" s="1"/>
      <c r="M104" s="3"/>
      <c r="N104" s="3">
        <f t="shared" si="16"/>
        <v>808</v>
      </c>
      <c r="O104" s="3">
        <f t="shared" si="17"/>
        <v>0</v>
      </c>
      <c r="P104" s="3">
        <f>Table1[[#This Row],[Enrolment S.Y. 2025-2026 ]]*8</f>
        <v>808</v>
      </c>
      <c r="Q104" s="3"/>
      <c r="R104" s="1"/>
      <c r="S104" s="3"/>
      <c r="T104" s="3">
        <f t="shared" si="18"/>
        <v>808</v>
      </c>
      <c r="U104" s="3">
        <f t="shared" si="19"/>
        <v>0</v>
      </c>
      <c r="V104" s="3">
        <f>Table1[[#This Row],[Enrolment S.Y. 2025-2026 ]]*8</f>
        <v>808</v>
      </c>
      <c r="W104" s="3"/>
      <c r="X104" s="1"/>
      <c r="Y104" s="3"/>
      <c r="Z104" s="3">
        <f t="shared" si="20"/>
        <v>808</v>
      </c>
      <c r="AA104" s="3">
        <f t="shared" si="21"/>
        <v>0</v>
      </c>
    </row>
    <row r="105" spans="1:27" ht="19.5">
      <c r="A105" s="1" t="s">
        <v>23</v>
      </c>
      <c r="B105" s="7" t="s">
        <v>26</v>
      </c>
      <c r="C105" s="1">
        <v>101</v>
      </c>
      <c r="D105" s="3">
        <f>Table1[[#This Row],[Enrolment S.Y. 2025-2026 ]]*8</f>
        <v>808</v>
      </c>
      <c r="E105" s="3"/>
      <c r="F105" s="1"/>
      <c r="G105" s="3"/>
      <c r="H105" s="3">
        <f t="shared" si="22"/>
        <v>808</v>
      </c>
      <c r="I105" s="3">
        <f t="shared" si="23"/>
        <v>0</v>
      </c>
      <c r="J105" s="3">
        <f>Table1[[#This Row],[Enrolment S.Y. 2025-2026 ]]*8</f>
        <v>808</v>
      </c>
      <c r="K105" s="3"/>
      <c r="L105" s="1"/>
      <c r="M105" s="3"/>
      <c r="N105" s="3">
        <f t="shared" si="16"/>
        <v>808</v>
      </c>
      <c r="O105" s="3">
        <f t="shared" si="17"/>
        <v>0</v>
      </c>
      <c r="P105" s="3">
        <f>Table1[[#This Row],[Enrolment S.Y. 2025-2026 ]]*8</f>
        <v>808</v>
      </c>
      <c r="Q105" s="3"/>
      <c r="R105" s="1"/>
      <c r="S105" s="3"/>
      <c r="T105" s="3">
        <f t="shared" si="18"/>
        <v>808</v>
      </c>
      <c r="U105" s="3">
        <f t="shared" si="19"/>
        <v>0</v>
      </c>
      <c r="V105" s="3">
        <f>Table1[[#This Row],[Enrolment S.Y. 2025-2026 ]]*8</f>
        <v>808</v>
      </c>
      <c r="W105" s="3"/>
      <c r="X105" s="1"/>
      <c r="Y105" s="3"/>
      <c r="Z105" s="3">
        <f t="shared" si="20"/>
        <v>808</v>
      </c>
      <c r="AA105" s="3">
        <f t="shared" si="21"/>
        <v>0</v>
      </c>
    </row>
    <row r="106" spans="1:27" ht="19.5">
      <c r="A106" s="1" t="s">
        <v>23</v>
      </c>
      <c r="B106" s="7" t="s">
        <v>27</v>
      </c>
      <c r="C106" s="1">
        <v>101</v>
      </c>
      <c r="D106" s="3">
        <f>Table1[[#This Row],[Enrolment S.Y. 2025-2026 ]]*8</f>
        <v>808</v>
      </c>
      <c r="E106" s="3"/>
      <c r="F106" s="1"/>
      <c r="G106" s="3"/>
      <c r="H106" s="3">
        <f t="shared" si="22"/>
        <v>808</v>
      </c>
      <c r="I106" s="3">
        <f t="shared" si="23"/>
        <v>0</v>
      </c>
      <c r="J106" s="3">
        <f>Table1[[#This Row],[Enrolment S.Y. 2025-2026 ]]*8</f>
        <v>808</v>
      </c>
      <c r="K106" s="3"/>
      <c r="L106" s="1"/>
      <c r="M106" s="3"/>
      <c r="N106" s="3">
        <f t="shared" si="16"/>
        <v>808</v>
      </c>
      <c r="O106" s="3">
        <f t="shared" si="17"/>
        <v>0</v>
      </c>
      <c r="P106" s="3">
        <f>Table1[[#This Row],[Enrolment S.Y. 2025-2026 ]]*8</f>
        <v>808</v>
      </c>
      <c r="Q106" s="3"/>
      <c r="R106" s="1"/>
      <c r="S106" s="3"/>
      <c r="T106" s="3">
        <f t="shared" si="18"/>
        <v>808</v>
      </c>
      <c r="U106" s="3">
        <f t="shared" si="19"/>
        <v>0</v>
      </c>
      <c r="V106" s="3">
        <f>Table1[[#This Row],[Enrolment S.Y. 2025-2026 ]]*8</f>
        <v>808</v>
      </c>
      <c r="W106" s="3"/>
      <c r="X106" s="1"/>
      <c r="Y106" s="3"/>
      <c r="Z106" s="3">
        <f t="shared" si="20"/>
        <v>808</v>
      </c>
      <c r="AA106" s="3">
        <f t="shared" si="21"/>
        <v>0</v>
      </c>
    </row>
    <row r="107" spans="1:27" ht="38.25">
      <c r="A107" s="1" t="s">
        <v>23</v>
      </c>
      <c r="B107" s="7" t="s">
        <v>28</v>
      </c>
      <c r="C107" s="1">
        <v>101</v>
      </c>
      <c r="D107" s="3">
        <f>Table1[[#This Row],[Enrolment S.Y. 2025-2026 ]]*8</f>
        <v>808</v>
      </c>
      <c r="E107" s="3"/>
      <c r="F107" s="1"/>
      <c r="G107" s="3"/>
      <c r="H107" s="3">
        <f t="shared" si="22"/>
        <v>808</v>
      </c>
      <c r="I107" s="3">
        <f t="shared" si="23"/>
        <v>0</v>
      </c>
      <c r="J107" s="3">
        <f>Table1[[#This Row],[Enrolment S.Y. 2025-2026 ]]*8</f>
        <v>808</v>
      </c>
      <c r="K107" s="3"/>
      <c r="L107" s="1"/>
      <c r="M107" s="3"/>
      <c r="N107" s="3">
        <f t="shared" si="16"/>
        <v>808</v>
      </c>
      <c r="O107" s="3">
        <f t="shared" si="17"/>
        <v>0</v>
      </c>
      <c r="P107" s="3">
        <f>Table1[[#This Row],[Enrolment S.Y. 2025-2026 ]]*8</f>
        <v>808</v>
      </c>
      <c r="Q107" s="3"/>
      <c r="R107" s="1"/>
      <c r="S107" s="3"/>
      <c r="T107" s="3">
        <f t="shared" si="18"/>
        <v>808</v>
      </c>
      <c r="U107" s="3">
        <f t="shared" si="19"/>
        <v>0</v>
      </c>
      <c r="V107" s="3">
        <f>Table1[[#This Row],[Enrolment S.Y. 2025-2026 ]]*8</f>
        <v>808</v>
      </c>
      <c r="W107" s="3"/>
      <c r="X107" s="1"/>
      <c r="Y107" s="3"/>
      <c r="Z107" s="3">
        <f t="shared" si="20"/>
        <v>808</v>
      </c>
      <c r="AA107" s="3">
        <f t="shared" si="21"/>
        <v>0</v>
      </c>
    </row>
    <row r="108" spans="1:27" ht="19.5">
      <c r="A108" s="1" t="s">
        <v>23</v>
      </c>
      <c r="B108" s="7" t="s">
        <v>29</v>
      </c>
      <c r="C108" s="1">
        <v>101</v>
      </c>
      <c r="D108" s="3">
        <f>Table1[[#This Row],[Enrolment S.Y. 2025-2026 ]]*8</f>
        <v>808</v>
      </c>
      <c r="E108" s="3"/>
      <c r="F108" s="1"/>
      <c r="G108" s="3"/>
      <c r="H108" s="3">
        <f t="shared" si="22"/>
        <v>808</v>
      </c>
      <c r="I108" s="3">
        <f t="shared" si="23"/>
        <v>0</v>
      </c>
      <c r="J108" s="3">
        <f>Table1[[#This Row],[Enrolment S.Y. 2025-2026 ]]*8</f>
        <v>808</v>
      </c>
      <c r="K108" s="3"/>
      <c r="L108" s="1"/>
      <c r="M108" s="3"/>
      <c r="N108" s="3">
        <f t="shared" si="16"/>
        <v>808</v>
      </c>
      <c r="O108" s="3">
        <f t="shared" si="17"/>
        <v>0</v>
      </c>
      <c r="P108" s="3">
        <f>Table1[[#This Row],[Enrolment S.Y. 2025-2026 ]]*8</f>
        <v>808</v>
      </c>
      <c r="Q108" s="3"/>
      <c r="R108" s="1"/>
      <c r="S108" s="3"/>
      <c r="T108" s="3">
        <f t="shared" si="18"/>
        <v>808</v>
      </c>
      <c r="U108" s="3">
        <f t="shared" si="19"/>
        <v>0</v>
      </c>
      <c r="V108" s="3">
        <f>Table1[[#This Row],[Enrolment S.Y. 2025-2026 ]]*8</f>
        <v>808</v>
      </c>
      <c r="W108" s="3"/>
      <c r="X108" s="1"/>
      <c r="Y108" s="3"/>
      <c r="Z108" s="3">
        <f t="shared" si="20"/>
        <v>808</v>
      </c>
      <c r="AA108" s="3">
        <f t="shared" si="21"/>
        <v>0</v>
      </c>
    </row>
    <row r="109" spans="1:27" ht="38.25">
      <c r="A109" s="1" t="s">
        <v>23</v>
      </c>
      <c r="B109" s="7" t="s">
        <v>30</v>
      </c>
      <c r="C109" s="1">
        <v>101</v>
      </c>
      <c r="D109" s="3">
        <f>Table1[[#This Row],[Enrolment S.Y. 2025-2026 ]]*8</f>
        <v>808</v>
      </c>
      <c r="E109" s="3"/>
      <c r="F109" s="1"/>
      <c r="G109" s="3"/>
      <c r="H109" s="3">
        <f t="shared" si="22"/>
        <v>808</v>
      </c>
      <c r="I109" s="3">
        <f t="shared" si="23"/>
        <v>0</v>
      </c>
      <c r="J109" s="3">
        <f>Table1[[#This Row],[Enrolment S.Y. 2025-2026 ]]*8</f>
        <v>808</v>
      </c>
      <c r="K109" s="3"/>
      <c r="L109" s="1"/>
      <c r="M109" s="3"/>
      <c r="N109" s="3">
        <f t="shared" si="16"/>
        <v>808</v>
      </c>
      <c r="O109" s="3">
        <f t="shared" si="17"/>
        <v>0</v>
      </c>
      <c r="P109" s="3">
        <f>Table1[[#This Row],[Enrolment S.Y. 2025-2026 ]]*8</f>
        <v>808</v>
      </c>
      <c r="Q109" s="3"/>
      <c r="R109" s="1"/>
      <c r="S109" s="3"/>
      <c r="T109" s="3">
        <f t="shared" si="18"/>
        <v>808</v>
      </c>
      <c r="U109" s="3">
        <f t="shared" si="19"/>
        <v>0</v>
      </c>
      <c r="V109" s="3">
        <f>Table1[[#This Row],[Enrolment S.Y. 2025-2026 ]]*8</f>
        <v>808</v>
      </c>
      <c r="W109" s="3"/>
      <c r="X109" s="1"/>
      <c r="Y109" s="3"/>
      <c r="Z109" s="3">
        <f t="shared" si="20"/>
        <v>808</v>
      </c>
      <c r="AA109" s="3">
        <f t="shared" si="21"/>
        <v>0</v>
      </c>
    </row>
    <row r="110" spans="1:27" ht="19.5">
      <c r="A110" s="1" t="s">
        <v>23</v>
      </c>
      <c r="B110" s="7" t="s">
        <v>31</v>
      </c>
      <c r="C110" s="1">
        <v>101</v>
      </c>
      <c r="D110" s="3">
        <f>Table1[[#This Row],[Enrolment S.Y. 2025-2026 ]]*8</f>
        <v>808</v>
      </c>
      <c r="E110" s="3"/>
      <c r="F110" s="1"/>
      <c r="G110" s="3"/>
      <c r="H110" s="3">
        <f t="shared" si="22"/>
        <v>808</v>
      </c>
      <c r="I110" s="3">
        <f t="shared" si="23"/>
        <v>0</v>
      </c>
      <c r="J110" s="3">
        <f>Table1[[#This Row],[Enrolment S.Y. 2025-2026 ]]*8</f>
        <v>808</v>
      </c>
      <c r="K110" s="3"/>
      <c r="L110" s="1"/>
      <c r="M110" s="3"/>
      <c r="N110" s="3">
        <f t="shared" si="16"/>
        <v>808</v>
      </c>
      <c r="O110" s="3">
        <f t="shared" si="17"/>
        <v>0</v>
      </c>
      <c r="P110" s="3">
        <f>Table1[[#This Row],[Enrolment S.Y. 2025-2026 ]]*8</f>
        <v>808</v>
      </c>
      <c r="Q110" s="3"/>
      <c r="R110" s="1"/>
      <c r="S110" s="3"/>
      <c r="T110" s="3">
        <f t="shared" si="18"/>
        <v>808</v>
      </c>
      <c r="U110" s="3">
        <f t="shared" si="19"/>
        <v>0</v>
      </c>
      <c r="V110" s="3">
        <f>Table1[[#This Row],[Enrolment S.Y. 2025-2026 ]]*8</f>
        <v>808</v>
      </c>
      <c r="W110" s="3"/>
      <c r="X110" s="1"/>
      <c r="Y110" s="3"/>
      <c r="Z110" s="3">
        <f t="shared" si="20"/>
        <v>808</v>
      </c>
      <c r="AA110" s="3">
        <f t="shared" si="21"/>
        <v>0</v>
      </c>
    </row>
    <row r="111" spans="1:27" s="5" customFormat="1" ht="19.149999999999999">
      <c r="J111" s="11"/>
      <c r="N111" s="11"/>
      <c r="O111" s="11"/>
      <c r="P111" s="11"/>
      <c r="T111" s="11"/>
      <c r="U111" s="11"/>
      <c r="V111" s="11"/>
      <c r="Z111" s="11"/>
      <c r="AA111" s="11"/>
    </row>
    <row r="112" spans="1:27" ht="19.149999999999999">
      <c r="A112" s="1"/>
      <c r="B112" s="7"/>
      <c r="C112" s="1"/>
      <c r="D112" s="3"/>
      <c r="E112" s="3"/>
      <c r="F112" s="1"/>
      <c r="G112" s="3"/>
      <c r="H112" s="3">
        <f t="shared" si="22"/>
        <v>0</v>
      </c>
      <c r="I112" s="3">
        <f t="shared" si="23"/>
        <v>0</v>
      </c>
      <c r="J112" s="3">
        <f>Table1[[#This Row],[Enrolment S.Y. 2025-2026 ]]*8</f>
        <v>0</v>
      </c>
      <c r="K112" s="3"/>
      <c r="L112" s="1"/>
      <c r="M112" s="3"/>
      <c r="N112" s="3">
        <f t="shared" si="16"/>
        <v>0</v>
      </c>
      <c r="O112" s="3">
        <f t="shared" si="17"/>
        <v>0</v>
      </c>
      <c r="P112" s="3">
        <f>Table1[[#This Row],[Enrolment S.Y. 2025-2026 ]]*8</f>
        <v>0</v>
      </c>
      <c r="Q112" s="3"/>
      <c r="R112" s="1"/>
      <c r="S112" s="3"/>
      <c r="T112" s="3">
        <f t="shared" si="18"/>
        <v>0</v>
      </c>
      <c r="U112" s="3">
        <f t="shared" si="19"/>
        <v>0</v>
      </c>
      <c r="V112" s="3">
        <f>Table1[[#This Row],[Enrolment S.Y. 2025-2026 ]]*8</f>
        <v>0</v>
      </c>
      <c r="W112" s="3"/>
      <c r="X112" s="1"/>
      <c r="Y112" s="3"/>
      <c r="Z112" s="3">
        <f t="shared" si="20"/>
        <v>0</v>
      </c>
      <c r="AA112" s="3">
        <f t="shared" si="21"/>
        <v>0</v>
      </c>
    </row>
    <row r="113" spans="1:27" ht="19.149999999999999">
      <c r="A113" s="1"/>
      <c r="B113" s="7"/>
      <c r="C113" s="1"/>
      <c r="D113" s="3"/>
      <c r="E113" s="3"/>
      <c r="F113" s="1"/>
      <c r="G113" s="3"/>
      <c r="H113" s="3">
        <f t="shared" si="22"/>
        <v>0</v>
      </c>
      <c r="I113" s="3">
        <f t="shared" si="23"/>
        <v>0</v>
      </c>
      <c r="J113" s="3">
        <f>Table1[[#This Row],[Enrolment S.Y. 2025-2026 ]]*8</f>
        <v>0</v>
      </c>
      <c r="K113" s="3"/>
      <c r="L113" s="1"/>
      <c r="M113" s="3"/>
      <c r="N113" s="3">
        <f t="shared" si="16"/>
        <v>0</v>
      </c>
      <c r="O113" s="3">
        <f t="shared" si="17"/>
        <v>0</v>
      </c>
      <c r="P113" s="3">
        <f>Table1[[#This Row],[Enrolment S.Y. 2025-2026 ]]*8</f>
        <v>0</v>
      </c>
      <c r="Q113" s="3"/>
      <c r="R113" s="1"/>
      <c r="S113" s="3"/>
      <c r="T113" s="3">
        <f t="shared" si="18"/>
        <v>0</v>
      </c>
      <c r="U113" s="3">
        <f t="shared" si="19"/>
        <v>0</v>
      </c>
      <c r="V113" s="3">
        <f>Table1[[#This Row],[Enrolment S.Y. 2025-2026 ]]*8</f>
        <v>0</v>
      </c>
      <c r="W113" s="3"/>
      <c r="X113" s="1"/>
      <c r="Y113" s="3"/>
      <c r="Z113" s="3">
        <f t="shared" si="20"/>
        <v>0</v>
      </c>
      <c r="AA113" s="3">
        <f t="shared" si="21"/>
        <v>0</v>
      </c>
    </row>
    <row r="114" spans="1:27" ht="19.149999999999999">
      <c r="A114" s="1"/>
      <c r="B114" s="7"/>
      <c r="C114" s="1"/>
      <c r="D114" s="3"/>
      <c r="E114" s="3"/>
      <c r="F114" s="1"/>
      <c r="G114" s="3"/>
      <c r="H114" s="3">
        <f t="shared" si="22"/>
        <v>0</v>
      </c>
      <c r="I114" s="3">
        <f t="shared" si="23"/>
        <v>0</v>
      </c>
      <c r="J114" s="3">
        <f>Table1[[#This Row],[Enrolment S.Y. 2025-2026 ]]*8</f>
        <v>0</v>
      </c>
      <c r="K114" s="3"/>
      <c r="L114" s="1"/>
      <c r="M114" s="3"/>
      <c r="N114" s="3">
        <f t="shared" si="16"/>
        <v>0</v>
      </c>
      <c r="O114" s="3">
        <f t="shared" si="17"/>
        <v>0</v>
      </c>
      <c r="P114" s="3">
        <f>Table1[[#This Row],[Enrolment S.Y. 2025-2026 ]]*8</f>
        <v>0</v>
      </c>
      <c r="Q114" s="3"/>
      <c r="R114" s="1"/>
      <c r="S114" s="3"/>
      <c r="T114" s="3">
        <f t="shared" si="18"/>
        <v>0</v>
      </c>
      <c r="U114" s="3">
        <f t="shared" si="19"/>
        <v>0</v>
      </c>
      <c r="V114" s="3">
        <f>Table1[[#This Row],[Enrolment S.Y. 2025-2026 ]]*8</f>
        <v>0</v>
      </c>
      <c r="W114" s="3"/>
      <c r="X114" s="1"/>
      <c r="Y114" s="3"/>
      <c r="Z114" s="3">
        <f t="shared" si="20"/>
        <v>0</v>
      </c>
      <c r="AA114" s="3">
        <f t="shared" si="21"/>
        <v>0</v>
      </c>
    </row>
    <row r="115" spans="1:27" ht="19.149999999999999">
      <c r="A115" s="1"/>
      <c r="B115" s="7"/>
      <c r="C115" s="1"/>
      <c r="D115" s="3"/>
      <c r="E115" s="3"/>
      <c r="F115" s="1"/>
      <c r="G115" s="3"/>
      <c r="H115" s="3">
        <f t="shared" si="22"/>
        <v>0</v>
      </c>
      <c r="I115" s="3">
        <f t="shared" si="23"/>
        <v>0</v>
      </c>
      <c r="J115" s="3">
        <f>Table1[[#This Row],[Enrolment S.Y. 2025-2026 ]]*8</f>
        <v>0</v>
      </c>
      <c r="K115" s="3"/>
      <c r="L115" s="1"/>
      <c r="M115" s="3"/>
      <c r="N115" s="3">
        <f t="shared" si="16"/>
        <v>0</v>
      </c>
      <c r="O115" s="3">
        <f t="shared" si="17"/>
        <v>0</v>
      </c>
      <c r="P115" s="3">
        <f>Table1[[#This Row],[Enrolment S.Y. 2025-2026 ]]*8</f>
        <v>0</v>
      </c>
      <c r="Q115" s="3"/>
      <c r="R115" s="1"/>
      <c r="S115" s="3"/>
      <c r="T115" s="3">
        <f t="shared" si="18"/>
        <v>0</v>
      </c>
      <c r="U115" s="3">
        <f t="shared" si="19"/>
        <v>0</v>
      </c>
      <c r="V115" s="3">
        <f>Table1[[#This Row],[Enrolment S.Y. 2025-2026 ]]*8</f>
        <v>0</v>
      </c>
      <c r="W115" s="3"/>
      <c r="X115" s="1"/>
      <c r="Y115" s="3"/>
      <c r="Z115" s="3">
        <f t="shared" si="20"/>
        <v>0</v>
      </c>
      <c r="AA115" s="3">
        <f t="shared" si="21"/>
        <v>0</v>
      </c>
    </row>
    <row r="116" spans="1:27" ht="19.149999999999999">
      <c r="A116" s="1"/>
      <c r="B116" s="7"/>
      <c r="C116" s="1"/>
      <c r="D116" s="3"/>
      <c r="E116" s="3"/>
      <c r="F116" s="1"/>
      <c r="G116" s="3"/>
      <c r="H116" s="3">
        <f t="shared" si="22"/>
        <v>0</v>
      </c>
      <c r="I116" s="3">
        <f t="shared" si="23"/>
        <v>0</v>
      </c>
      <c r="J116" s="3">
        <f>Table1[[#This Row],[Enrolment S.Y. 2025-2026 ]]*8</f>
        <v>0</v>
      </c>
      <c r="K116" s="3"/>
      <c r="L116" s="1"/>
      <c r="M116" s="3"/>
      <c r="N116" s="3">
        <f t="shared" si="16"/>
        <v>0</v>
      </c>
      <c r="O116" s="3">
        <f t="shared" si="17"/>
        <v>0</v>
      </c>
      <c r="P116" s="3">
        <f>Table1[[#This Row],[Enrolment S.Y. 2025-2026 ]]*8</f>
        <v>0</v>
      </c>
      <c r="Q116" s="3"/>
      <c r="R116" s="1"/>
      <c r="S116" s="3"/>
      <c r="T116" s="3">
        <f t="shared" si="18"/>
        <v>0</v>
      </c>
      <c r="U116" s="3">
        <f t="shared" si="19"/>
        <v>0</v>
      </c>
      <c r="V116" s="3">
        <f>Table1[[#This Row],[Enrolment S.Y. 2025-2026 ]]*8</f>
        <v>0</v>
      </c>
      <c r="W116" s="3"/>
      <c r="X116" s="1"/>
      <c r="Y116" s="3"/>
      <c r="Z116" s="3">
        <f t="shared" si="20"/>
        <v>0</v>
      </c>
      <c r="AA116" s="3">
        <f t="shared" si="21"/>
        <v>0</v>
      </c>
    </row>
    <row r="117" spans="1:27" ht="19.149999999999999">
      <c r="A117" s="1"/>
      <c r="B117" s="7"/>
      <c r="C117" s="1"/>
      <c r="D117" s="3"/>
      <c r="E117" s="3"/>
      <c r="F117" s="1"/>
      <c r="G117" s="3"/>
      <c r="H117" s="3">
        <f t="shared" si="22"/>
        <v>0</v>
      </c>
      <c r="I117" s="3">
        <f t="shared" si="23"/>
        <v>0</v>
      </c>
      <c r="J117" s="3">
        <f>Table1[[#This Row],[Enrolment S.Y. 2025-2026 ]]*8</f>
        <v>0</v>
      </c>
      <c r="K117" s="3"/>
      <c r="L117" s="1"/>
      <c r="M117" s="3"/>
      <c r="N117" s="3">
        <f t="shared" si="16"/>
        <v>0</v>
      </c>
      <c r="O117" s="3">
        <f t="shared" si="17"/>
        <v>0</v>
      </c>
      <c r="P117" s="3">
        <f>Table1[[#This Row],[Enrolment S.Y. 2025-2026 ]]*8</f>
        <v>0</v>
      </c>
      <c r="Q117" s="3"/>
      <c r="R117" s="1"/>
      <c r="S117" s="3"/>
      <c r="T117" s="3">
        <f t="shared" si="18"/>
        <v>0</v>
      </c>
      <c r="U117" s="3">
        <f t="shared" si="19"/>
        <v>0</v>
      </c>
      <c r="V117" s="3">
        <f>Table1[[#This Row],[Enrolment S.Y. 2025-2026 ]]*8</f>
        <v>0</v>
      </c>
      <c r="W117" s="3"/>
      <c r="X117" s="1"/>
      <c r="Y117" s="3"/>
      <c r="Z117" s="3">
        <f t="shared" si="20"/>
        <v>0</v>
      </c>
      <c r="AA117" s="3">
        <f t="shared" si="21"/>
        <v>0</v>
      </c>
    </row>
    <row r="118" spans="1:27" ht="19.149999999999999">
      <c r="A118" s="1"/>
      <c r="B118" s="7"/>
      <c r="C118" s="1"/>
      <c r="D118" s="3"/>
      <c r="E118" s="3"/>
      <c r="F118" s="1"/>
      <c r="G118" s="3"/>
      <c r="H118" s="3">
        <f t="shared" si="22"/>
        <v>0</v>
      </c>
      <c r="I118" s="3">
        <f t="shared" si="23"/>
        <v>0</v>
      </c>
      <c r="J118" s="3">
        <f>Table1[[#This Row],[Enrolment S.Y. 2025-2026 ]]*8</f>
        <v>0</v>
      </c>
      <c r="K118" s="3"/>
      <c r="L118" s="1"/>
      <c r="M118" s="3"/>
      <c r="N118" s="3">
        <f t="shared" si="16"/>
        <v>0</v>
      </c>
      <c r="O118" s="3">
        <f t="shared" si="17"/>
        <v>0</v>
      </c>
      <c r="P118" s="3">
        <f>Table1[[#This Row],[Enrolment S.Y. 2025-2026 ]]*8</f>
        <v>0</v>
      </c>
      <c r="Q118" s="3"/>
      <c r="R118" s="1"/>
      <c r="S118" s="3"/>
      <c r="T118" s="3">
        <f t="shared" si="18"/>
        <v>0</v>
      </c>
      <c r="U118" s="3">
        <f t="shared" si="19"/>
        <v>0</v>
      </c>
      <c r="V118" s="3">
        <f>Table1[[#This Row],[Enrolment S.Y. 2025-2026 ]]*8</f>
        <v>0</v>
      </c>
      <c r="W118" s="3"/>
      <c r="X118" s="1"/>
      <c r="Y118" s="3"/>
      <c r="Z118" s="3">
        <f t="shared" si="20"/>
        <v>0</v>
      </c>
      <c r="AA118" s="3">
        <f t="shared" si="21"/>
        <v>0</v>
      </c>
    </row>
    <row r="119" spans="1:27" ht="19.149999999999999">
      <c r="A119" s="1"/>
      <c r="B119" s="7"/>
      <c r="C119" s="1"/>
      <c r="D119" s="3"/>
      <c r="E119" s="3"/>
      <c r="F119" s="1"/>
      <c r="G119" s="3"/>
      <c r="H119" s="3">
        <f t="shared" si="22"/>
        <v>0</v>
      </c>
      <c r="I119" s="3">
        <f t="shared" si="23"/>
        <v>0</v>
      </c>
      <c r="J119" s="3">
        <f>Table1[[#This Row],[Enrolment S.Y. 2025-2026 ]]*8</f>
        <v>0</v>
      </c>
      <c r="K119" s="3"/>
      <c r="L119" s="1"/>
      <c r="M119" s="3"/>
      <c r="N119" s="3">
        <f t="shared" si="16"/>
        <v>0</v>
      </c>
      <c r="O119" s="3">
        <f t="shared" si="17"/>
        <v>0</v>
      </c>
      <c r="P119" s="3">
        <f>Table1[[#This Row],[Enrolment S.Y. 2025-2026 ]]*8</f>
        <v>0</v>
      </c>
      <c r="Q119" s="3"/>
      <c r="R119" s="1"/>
      <c r="S119" s="3"/>
      <c r="T119" s="3">
        <f t="shared" si="18"/>
        <v>0</v>
      </c>
      <c r="U119" s="3">
        <f t="shared" si="19"/>
        <v>0</v>
      </c>
      <c r="V119" s="3">
        <f>Table1[[#This Row],[Enrolment S.Y. 2025-2026 ]]*8</f>
        <v>0</v>
      </c>
      <c r="W119" s="3"/>
      <c r="X119" s="1"/>
      <c r="Y119" s="3"/>
      <c r="Z119" s="3">
        <f t="shared" si="20"/>
        <v>0</v>
      </c>
      <c r="AA119" s="3">
        <f t="shared" si="21"/>
        <v>0</v>
      </c>
    </row>
    <row r="120" spans="1:27" ht="19.149999999999999">
      <c r="A120" s="1"/>
      <c r="B120" s="7"/>
      <c r="C120" s="1"/>
      <c r="D120" s="3"/>
      <c r="E120" s="3"/>
      <c r="F120" s="1"/>
      <c r="G120" s="3"/>
      <c r="H120" s="3">
        <f t="shared" si="22"/>
        <v>0</v>
      </c>
      <c r="I120" s="3">
        <f t="shared" si="23"/>
        <v>0</v>
      </c>
      <c r="J120" s="3">
        <f>Table1[[#This Row],[Enrolment S.Y. 2025-2026 ]]*8</f>
        <v>0</v>
      </c>
      <c r="K120" s="3"/>
      <c r="L120" s="1"/>
      <c r="M120" s="3"/>
      <c r="N120" s="3">
        <f t="shared" si="16"/>
        <v>0</v>
      </c>
      <c r="O120" s="3">
        <f t="shared" si="17"/>
        <v>0</v>
      </c>
      <c r="P120" s="3">
        <f>Table1[[#This Row],[Enrolment S.Y. 2025-2026 ]]*8</f>
        <v>0</v>
      </c>
      <c r="Q120" s="3"/>
      <c r="R120" s="1"/>
      <c r="S120" s="3"/>
      <c r="T120" s="3">
        <f t="shared" si="18"/>
        <v>0</v>
      </c>
      <c r="U120" s="3">
        <f t="shared" si="19"/>
        <v>0</v>
      </c>
      <c r="V120" s="3">
        <f>Table1[[#This Row],[Enrolment S.Y. 2025-2026 ]]*8</f>
        <v>0</v>
      </c>
      <c r="W120" s="3"/>
      <c r="X120" s="1"/>
      <c r="Y120" s="3"/>
      <c r="Z120" s="3">
        <f t="shared" si="20"/>
        <v>0</v>
      </c>
      <c r="AA120" s="3">
        <f t="shared" si="21"/>
        <v>0</v>
      </c>
    </row>
    <row r="121" spans="1:27" ht="19.149999999999999">
      <c r="A121" s="1"/>
      <c r="B121" s="7"/>
      <c r="C121" s="1"/>
      <c r="D121" s="3"/>
      <c r="E121" s="3"/>
      <c r="F121" s="1"/>
      <c r="G121" s="3"/>
      <c r="H121" s="3">
        <f t="shared" si="22"/>
        <v>0</v>
      </c>
      <c r="I121" s="3">
        <f t="shared" si="23"/>
        <v>0</v>
      </c>
      <c r="J121" s="3">
        <f>Table1[[#This Row],[Enrolment S.Y. 2025-2026 ]]*8</f>
        <v>0</v>
      </c>
      <c r="K121" s="3"/>
      <c r="L121" s="1"/>
      <c r="M121" s="3"/>
      <c r="N121" s="3">
        <f t="shared" si="16"/>
        <v>0</v>
      </c>
      <c r="O121" s="3">
        <f t="shared" si="17"/>
        <v>0</v>
      </c>
      <c r="P121" s="3">
        <f>Table1[[#This Row],[Enrolment S.Y. 2025-2026 ]]*8</f>
        <v>0</v>
      </c>
      <c r="Q121" s="3"/>
      <c r="R121" s="1"/>
      <c r="S121" s="3"/>
      <c r="T121" s="3">
        <f t="shared" si="18"/>
        <v>0</v>
      </c>
      <c r="U121" s="3">
        <f t="shared" si="19"/>
        <v>0</v>
      </c>
      <c r="V121" s="3">
        <f>Table1[[#This Row],[Enrolment S.Y. 2025-2026 ]]*8</f>
        <v>0</v>
      </c>
      <c r="W121" s="3"/>
      <c r="X121" s="1"/>
      <c r="Y121" s="3"/>
      <c r="Z121" s="3">
        <f t="shared" si="20"/>
        <v>0</v>
      </c>
      <c r="AA121" s="3">
        <f t="shared" si="21"/>
        <v>0</v>
      </c>
    </row>
    <row r="122" spans="1:27" ht="19.149999999999999">
      <c r="A122" s="1"/>
      <c r="B122" s="7"/>
      <c r="C122" s="1"/>
      <c r="D122" s="3"/>
      <c r="E122" s="3"/>
      <c r="F122" s="1"/>
      <c r="G122" s="3"/>
      <c r="H122" s="3">
        <f t="shared" si="22"/>
        <v>0</v>
      </c>
      <c r="I122" s="3">
        <f t="shared" si="23"/>
        <v>0</v>
      </c>
      <c r="J122" s="3">
        <f>Table1[[#This Row],[Enrolment S.Y. 2025-2026 ]]*8</f>
        <v>0</v>
      </c>
      <c r="K122" s="3"/>
      <c r="L122" s="1"/>
      <c r="M122" s="3"/>
      <c r="N122" s="3">
        <f t="shared" si="16"/>
        <v>0</v>
      </c>
      <c r="O122" s="3">
        <f t="shared" si="17"/>
        <v>0</v>
      </c>
      <c r="P122" s="3">
        <f>Table1[[#This Row],[Enrolment S.Y. 2025-2026 ]]*8</f>
        <v>0</v>
      </c>
      <c r="Q122" s="3"/>
      <c r="R122" s="1"/>
      <c r="S122" s="3"/>
      <c r="T122" s="3">
        <f t="shared" si="18"/>
        <v>0</v>
      </c>
      <c r="U122" s="3">
        <f t="shared" si="19"/>
        <v>0</v>
      </c>
      <c r="V122" s="3">
        <f>Table1[[#This Row],[Enrolment S.Y. 2025-2026 ]]*8</f>
        <v>0</v>
      </c>
      <c r="W122" s="3"/>
      <c r="X122" s="1"/>
      <c r="Y122" s="3"/>
      <c r="Z122" s="3">
        <f t="shared" si="20"/>
        <v>0</v>
      </c>
      <c r="AA122" s="3">
        <f t="shared" si="21"/>
        <v>0</v>
      </c>
    </row>
    <row r="123" spans="1:27" ht="19.149999999999999">
      <c r="A123" s="1"/>
      <c r="B123" s="7"/>
      <c r="C123" s="1"/>
      <c r="D123" s="3"/>
      <c r="E123" s="3"/>
      <c r="F123" s="1"/>
      <c r="G123" s="3"/>
      <c r="H123" s="3">
        <f t="shared" si="22"/>
        <v>0</v>
      </c>
      <c r="I123" s="3">
        <f t="shared" si="23"/>
        <v>0</v>
      </c>
      <c r="J123" s="3">
        <f>Table1[[#This Row],[Enrolment S.Y. 2025-2026 ]]*8</f>
        <v>0</v>
      </c>
      <c r="K123" s="3"/>
      <c r="L123" s="1"/>
      <c r="M123" s="3"/>
      <c r="N123" s="3">
        <f t="shared" si="16"/>
        <v>0</v>
      </c>
      <c r="O123" s="3">
        <f t="shared" si="17"/>
        <v>0</v>
      </c>
      <c r="P123" s="3">
        <f>Table1[[#This Row],[Enrolment S.Y. 2025-2026 ]]*8</f>
        <v>0</v>
      </c>
      <c r="Q123" s="3"/>
      <c r="R123" s="1"/>
      <c r="S123" s="3"/>
      <c r="T123" s="3">
        <f t="shared" si="18"/>
        <v>0</v>
      </c>
      <c r="U123" s="3">
        <f t="shared" si="19"/>
        <v>0</v>
      </c>
      <c r="V123" s="3">
        <f>Table1[[#This Row],[Enrolment S.Y. 2025-2026 ]]*8</f>
        <v>0</v>
      </c>
      <c r="W123" s="3"/>
      <c r="X123" s="1"/>
      <c r="Y123" s="3"/>
      <c r="Z123" s="3">
        <f t="shared" si="20"/>
        <v>0</v>
      </c>
      <c r="AA123" s="3">
        <f t="shared" si="21"/>
        <v>0</v>
      </c>
    </row>
    <row r="124" spans="1:27" ht="19.149999999999999">
      <c r="A124" s="1"/>
      <c r="B124" s="7"/>
      <c r="C124" s="1"/>
      <c r="D124" s="3"/>
      <c r="E124" s="3"/>
      <c r="F124" s="1"/>
      <c r="G124" s="3"/>
      <c r="H124" s="3">
        <f t="shared" si="22"/>
        <v>0</v>
      </c>
      <c r="I124" s="3">
        <f t="shared" si="23"/>
        <v>0</v>
      </c>
      <c r="J124" s="3">
        <f>Table1[[#This Row],[Enrolment S.Y. 2025-2026 ]]*8</f>
        <v>0</v>
      </c>
      <c r="K124" s="3"/>
      <c r="L124" s="1"/>
      <c r="M124" s="3"/>
      <c r="N124" s="3">
        <f t="shared" si="16"/>
        <v>0</v>
      </c>
      <c r="O124" s="3">
        <f t="shared" si="17"/>
        <v>0</v>
      </c>
      <c r="P124" s="3">
        <f>Table1[[#This Row],[Enrolment S.Y. 2025-2026 ]]*8</f>
        <v>0</v>
      </c>
      <c r="Q124" s="3"/>
      <c r="R124" s="1"/>
      <c r="S124" s="3"/>
      <c r="T124" s="3">
        <f t="shared" si="18"/>
        <v>0</v>
      </c>
      <c r="U124" s="3">
        <f t="shared" si="19"/>
        <v>0</v>
      </c>
      <c r="V124" s="3">
        <f>Table1[[#This Row],[Enrolment S.Y. 2025-2026 ]]*8</f>
        <v>0</v>
      </c>
      <c r="W124" s="3"/>
      <c r="X124" s="1"/>
      <c r="Y124" s="3"/>
      <c r="Z124" s="3">
        <f t="shared" si="20"/>
        <v>0</v>
      </c>
      <c r="AA124" s="3">
        <f t="shared" si="21"/>
        <v>0</v>
      </c>
    </row>
    <row r="125" spans="1:27" ht="19.149999999999999">
      <c r="A125" s="1"/>
      <c r="B125" s="7"/>
      <c r="C125" s="1"/>
      <c r="D125" s="3"/>
      <c r="E125" s="3"/>
      <c r="F125" s="1"/>
      <c r="G125" s="3"/>
      <c r="H125" s="3">
        <f t="shared" si="22"/>
        <v>0</v>
      </c>
      <c r="I125" s="3">
        <f t="shared" si="23"/>
        <v>0</v>
      </c>
      <c r="J125" s="3">
        <f>Table1[[#This Row],[Enrolment S.Y. 2025-2026 ]]*8</f>
        <v>0</v>
      </c>
      <c r="K125" s="3"/>
      <c r="L125" s="1"/>
      <c r="M125" s="3"/>
      <c r="N125" s="3">
        <f t="shared" si="16"/>
        <v>0</v>
      </c>
      <c r="O125" s="3">
        <f t="shared" si="17"/>
        <v>0</v>
      </c>
      <c r="P125" s="3">
        <f>Table1[[#This Row],[Enrolment S.Y. 2025-2026 ]]*8</f>
        <v>0</v>
      </c>
      <c r="Q125" s="3"/>
      <c r="R125" s="1"/>
      <c r="S125" s="3"/>
      <c r="T125" s="3">
        <f t="shared" si="18"/>
        <v>0</v>
      </c>
      <c r="U125" s="3">
        <f t="shared" si="19"/>
        <v>0</v>
      </c>
      <c r="V125" s="3">
        <f>Table1[[#This Row],[Enrolment S.Y. 2025-2026 ]]*8</f>
        <v>0</v>
      </c>
      <c r="W125" s="3"/>
      <c r="X125" s="1"/>
      <c r="Y125" s="3"/>
      <c r="Z125" s="3">
        <f t="shared" si="20"/>
        <v>0</v>
      </c>
      <c r="AA125" s="3">
        <f t="shared" si="21"/>
        <v>0</v>
      </c>
    </row>
    <row r="126" spans="1:27" ht="19.149999999999999">
      <c r="A126" s="1"/>
      <c r="B126" s="7"/>
      <c r="C126" s="1"/>
      <c r="D126" s="3"/>
      <c r="E126" s="3"/>
      <c r="F126" s="1"/>
      <c r="G126" s="3"/>
      <c r="H126" s="3">
        <f t="shared" si="22"/>
        <v>0</v>
      </c>
      <c r="I126" s="3">
        <f t="shared" si="23"/>
        <v>0</v>
      </c>
      <c r="J126" s="3">
        <f>Table1[[#This Row],[Enrolment S.Y. 2025-2026 ]]*8</f>
        <v>0</v>
      </c>
      <c r="K126" s="3"/>
      <c r="L126" s="1"/>
      <c r="M126" s="3"/>
      <c r="N126" s="3">
        <f t="shared" si="16"/>
        <v>0</v>
      </c>
      <c r="O126" s="3">
        <f t="shared" si="17"/>
        <v>0</v>
      </c>
      <c r="P126" s="3">
        <f>Table1[[#This Row],[Enrolment S.Y. 2025-2026 ]]*8</f>
        <v>0</v>
      </c>
      <c r="Q126" s="3"/>
      <c r="R126" s="1"/>
      <c r="S126" s="3"/>
      <c r="T126" s="3">
        <f t="shared" si="18"/>
        <v>0</v>
      </c>
      <c r="U126" s="3">
        <f t="shared" si="19"/>
        <v>0</v>
      </c>
      <c r="V126" s="3">
        <f>Table1[[#This Row],[Enrolment S.Y. 2025-2026 ]]*8</f>
        <v>0</v>
      </c>
      <c r="W126" s="3"/>
      <c r="X126" s="1"/>
      <c r="Y126" s="3"/>
      <c r="Z126" s="3">
        <f t="shared" si="20"/>
        <v>0</v>
      </c>
      <c r="AA126" s="3">
        <f t="shared" si="21"/>
        <v>0</v>
      </c>
    </row>
    <row r="127" spans="1:27" ht="19.149999999999999">
      <c r="A127" s="27"/>
      <c r="B127" s="28"/>
      <c r="C127" s="27"/>
      <c r="D127" s="3"/>
      <c r="E127" s="29"/>
      <c r="F127" s="27"/>
      <c r="G127" s="29"/>
      <c r="H127" s="3">
        <f t="shared" si="22"/>
        <v>0</v>
      </c>
      <c r="I127" s="3">
        <f t="shared" si="23"/>
        <v>0</v>
      </c>
      <c r="J127" s="3">
        <f>Table1[[#This Row],[Enrolment S.Y. 2025-2026 ]]*8</f>
        <v>0</v>
      </c>
      <c r="K127" s="29"/>
      <c r="L127" s="27"/>
      <c r="M127" s="29"/>
      <c r="N127" s="3">
        <f t="shared" ref="N127" si="24">IF((J127-K127)&lt;0,0,(J127-K127))</f>
        <v>0</v>
      </c>
      <c r="O127" s="3">
        <f t="shared" ref="O127" si="25">IF((K127-J127)&lt;0,0,(K127-J127))</f>
        <v>0</v>
      </c>
      <c r="P127" s="3"/>
      <c r="Q127" s="29"/>
      <c r="R127" s="27"/>
      <c r="S127" s="29"/>
      <c r="T127" s="3">
        <f t="shared" si="18"/>
        <v>0</v>
      </c>
      <c r="U127" s="3">
        <f t="shared" si="19"/>
        <v>0</v>
      </c>
      <c r="V127" s="3">
        <f>Table1[[#This Row],[Enrolment S.Y. 2025-2026 ]]*8</f>
        <v>0</v>
      </c>
      <c r="W127" s="29"/>
      <c r="X127" s="27"/>
      <c r="Y127" s="29"/>
      <c r="Z127" s="3">
        <f t="shared" si="20"/>
        <v>0</v>
      </c>
      <c r="AA127" s="3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C82" activePane="bottomRight" state="frozen"/>
      <selection pane="bottomRight" activeCell="F89" sqref="F8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6" t="s">
        <v>32</v>
      </c>
      <c r="E1" s="36"/>
      <c r="F1" s="36"/>
      <c r="G1" s="36"/>
      <c r="H1" s="36"/>
      <c r="I1" s="36"/>
      <c r="J1" s="37" t="s">
        <v>33</v>
      </c>
      <c r="K1" s="37"/>
      <c r="L1" s="37"/>
      <c r="M1" s="37"/>
      <c r="N1" s="37"/>
      <c r="O1" s="37"/>
      <c r="P1" s="38" t="s">
        <v>34</v>
      </c>
      <c r="Q1" s="38"/>
      <c r="R1" s="38"/>
      <c r="S1" s="38"/>
      <c r="T1" s="38"/>
      <c r="U1" s="38"/>
      <c r="V1" s="39" t="s">
        <v>35</v>
      </c>
      <c r="W1" s="39"/>
      <c r="X1" s="39"/>
      <c r="Y1" s="39"/>
      <c r="Z1" s="39"/>
      <c r="AA1" s="39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62</v>
      </c>
      <c r="E2" s="18" t="s">
        <v>63</v>
      </c>
      <c r="F2" s="19" t="s">
        <v>64</v>
      </c>
      <c r="G2" s="22" t="s">
        <v>65</v>
      </c>
      <c r="H2" s="15" t="s">
        <v>66</v>
      </c>
      <c r="I2" s="22" t="s">
        <v>67</v>
      </c>
      <c r="J2" s="20" t="s">
        <v>68</v>
      </c>
      <c r="K2" s="20" t="s">
        <v>69</v>
      </c>
      <c r="L2" s="21" t="s">
        <v>70</v>
      </c>
      <c r="M2" s="52" t="s">
        <v>71</v>
      </c>
      <c r="N2" s="52" t="s">
        <v>72</v>
      </c>
      <c r="O2" s="20" t="s">
        <v>73</v>
      </c>
      <c r="P2" s="22" t="s">
        <v>74</v>
      </c>
      <c r="Q2" s="22" t="s">
        <v>75</v>
      </c>
      <c r="R2" s="23" t="s">
        <v>76</v>
      </c>
      <c r="S2" s="15" t="s">
        <v>77</v>
      </c>
      <c r="T2" s="15" t="s">
        <v>78</v>
      </c>
      <c r="U2" s="22" t="s">
        <v>79</v>
      </c>
      <c r="V2" s="24" t="s">
        <v>80</v>
      </c>
      <c r="W2" s="24" t="s">
        <v>81</v>
      </c>
      <c r="X2" s="25" t="s">
        <v>82</v>
      </c>
      <c r="Y2" s="53" t="s">
        <v>83</v>
      </c>
      <c r="Z2" s="53" t="s">
        <v>84</v>
      </c>
      <c r="AA2" s="24" t="s">
        <v>85</v>
      </c>
    </row>
    <row r="3" spans="1:27" ht="15">
      <c r="A3" s="35">
        <v>1</v>
      </c>
      <c r="B3" s="41" t="s">
        <v>8</v>
      </c>
      <c r="C3" s="35"/>
      <c r="D3" s="40">
        <f>Table14[[#This Row],[Enrolment S.Y. 2025-2026 ]]*8</f>
        <v>0</v>
      </c>
      <c r="E3" s="40"/>
      <c r="F3" s="35"/>
      <c r="G3" s="40"/>
      <c r="H3" s="40">
        <f t="shared" ref="H3:H83" si="0">IF((D3-E3)&lt;0,0,(D3-E3))</f>
        <v>0</v>
      </c>
      <c r="I3" s="40">
        <f t="shared" ref="I3:I83" si="1">IF((E3-D3)&lt;0,0,(E3-D3))</f>
        <v>0</v>
      </c>
      <c r="J3" s="40">
        <f>Table14[[#This Row],[Enrolment S.Y. 2025-2026 ]]*8</f>
        <v>0</v>
      </c>
      <c r="K3" s="40"/>
      <c r="L3" s="35"/>
      <c r="M3" s="40"/>
      <c r="N3" s="40">
        <f t="shared" ref="N3:N72" si="2">IF((J3-K3)&lt;0,0,(J3-K3))</f>
        <v>0</v>
      </c>
      <c r="O3" s="40">
        <f t="shared" ref="O3:O72" si="3">IF((K3-J3)&lt;0,0,(K3-J3))</f>
        <v>0</v>
      </c>
      <c r="P3" s="40">
        <f>Table14[[#This Row],[Enrolment S.Y. 2025-2026 ]]*8</f>
        <v>0</v>
      </c>
      <c r="Q3" s="40"/>
      <c r="R3" s="35"/>
      <c r="S3" s="40"/>
      <c r="T3" s="40">
        <f t="shared" ref="T3:T72" si="4">IF((P3-Q3)&lt;0,0,(P3-Q3))</f>
        <v>0</v>
      </c>
      <c r="U3" s="40">
        <f t="shared" ref="U3:U72" si="5">IF((Q3-P3)&lt;0,0,(Q3-P3))</f>
        <v>0</v>
      </c>
      <c r="V3" s="40">
        <f>Table14[[#This Row],[Enrolment S.Y. 2025-2026 ]]*8</f>
        <v>0</v>
      </c>
      <c r="W3" s="40"/>
      <c r="X3" s="35"/>
      <c r="Y3" s="40"/>
      <c r="Z3" s="40">
        <f t="shared" ref="Z3:Z72" si="6">IF((V3-W3)&lt;0,0,(V3-W3))</f>
        <v>0</v>
      </c>
      <c r="AA3" s="40">
        <f t="shared" ref="AA3:AA72" si="7">IF((W3-V3)&lt;0,0,(W3-V3))</f>
        <v>0</v>
      </c>
    </row>
    <row r="4" spans="1:27" ht="15">
      <c r="A4" s="35">
        <v>1</v>
      </c>
      <c r="B4" s="41" t="s">
        <v>9</v>
      </c>
      <c r="C4" s="35"/>
      <c r="D4" s="40">
        <f>Table14[[#This Row],[Enrolment S.Y. 2025-2026 ]]*8</f>
        <v>0</v>
      </c>
      <c r="E4" s="40"/>
      <c r="F4" s="35"/>
      <c r="G4" s="40"/>
      <c r="H4" s="40">
        <f t="shared" si="0"/>
        <v>0</v>
      </c>
      <c r="I4" s="40">
        <f t="shared" si="1"/>
        <v>0</v>
      </c>
      <c r="J4" s="40">
        <f>Table14[[#This Row],[Enrolment S.Y. 2025-2026 ]]*8</f>
        <v>0</v>
      </c>
      <c r="K4" s="40"/>
      <c r="L4" s="35"/>
      <c r="M4" s="40"/>
      <c r="N4" s="40">
        <f t="shared" si="2"/>
        <v>0</v>
      </c>
      <c r="O4" s="40">
        <f t="shared" si="3"/>
        <v>0</v>
      </c>
      <c r="P4" s="40">
        <f>Table14[[#This Row],[Enrolment S.Y. 2025-2026 ]]*8</f>
        <v>0</v>
      </c>
      <c r="Q4" s="40"/>
      <c r="R4" s="35"/>
      <c r="S4" s="40"/>
      <c r="T4" s="40">
        <f t="shared" si="4"/>
        <v>0</v>
      </c>
      <c r="U4" s="40">
        <f t="shared" si="5"/>
        <v>0</v>
      </c>
      <c r="V4" s="40">
        <f>Table14[[#This Row],[Enrolment S.Y. 2025-2026 ]]*8</f>
        <v>0</v>
      </c>
      <c r="W4" s="40"/>
      <c r="X4" s="35"/>
      <c r="Y4" s="40"/>
      <c r="Z4" s="40">
        <f t="shared" si="6"/>
        <v>0</v>
      </c>
      <c r="AA4" s="40">
        <f t="shared" si="7"/>
        <v>0</v>
      </c>
    </row>
    <row r="5" spans="1:27" ht="15">
      <c r="A5" s="35">
        <v>1</v>
      </c>
      <c r="B5" s="41" t="s">
        <v>10</v>
      </c>
      <c r="C5" s="35"/>
      <c r="D5" s="40">
        <f>Table14[[#This Row],[Enrolment S.Y. 2025-2026 ]]*8</f>
        <v>0</v>
      </c>
      <c r="E5" s="40"/>
      <c r="F5" s="35"/>
      <c r="G5" s="40"/>
      <c r="H5" s="40">
        <f t="shared" si="0"/>
        <v>0</v>
      </c>
      <c r="I5" s="40">
        <f t="shared" si="1"/>
        <v>0</v>
      </c>
      <c r="J5" s="40">
        <f>Table14[[#This Row],[Enrolment S.Y. 2025-2026 ]]*8</f>
        <v>0</v>
      </c>
      <c r="K5" s="40"/>
      <c r="L5" s="35"/>
      <c r="M5" s="40"/>
      <c r="N5" s="40">
        <f t="shared" si="2"/>
        <v>0</v>
      </c>
      <c r="O5" s="40">
        <f t="shared" si="3"/>
        <v>0</v>
      </c>
      <c r="P5" s="40">
        <f>Table14[[#This Row],[Enrolment S.Y. 2025-2026 ]]*8</f>
        <v>0</v>
      </c>
      <c r="Q5" s="40"/>
      <c r="R5" s="35"/>
      <c r="S5" s="40"/>
      <c r="T5" s="40">
        <f t="shared" si="4"/>
        <v>0</v>
      </c>
      <c r="U5" s="40">
        <f t="shared" si="5"/>
        <v>0</v>
      </c>
      <c r="V5" s="40">
        <f>Table14[[#This Row],[Enrolment S.Y. 2025-2026 ]]*8</f>
        <v>0</v>
      </c>
      <c r="W5" s="40"/>
      <c r="X5" s="35"/>
      <c r="Y5" s="40"/>
      <c r="Z5" s="40">
        <f t="shared" si="6"/>
        <v>0</v>
      </c>
      <c r="AA5" s="40">
        <f t="shared" si="7"/>
        <v>0</v>
      </c>
    </row>
    <row r="6" spans="1:27" ht="15">
      <c r="A6" s="35">
        <v>1</v>
      </c>
      <c r="B6" s="41" t="s">
        <v>11</v>
      </c>
      <c r="C6" s="35"/>
      <c r="D6" s="40">
        <f>Table14[[#This Row],[Enrolment S.Y. 2025-2026 ]]*8</f>
        <v>0</v>
      </c>
      <c r="E6" s="40"/>
      <c r="F6" s="35"/>
      <c r="G6" s="40"/>
      <c r="H6" s="40">
        <f t="shared" si="0"/>
        <v>0</v>
      </c>
      <c r="I6" s="40">
        <f t="shared" si="1"/>
        <v>0</v>
      </c>
      <c r="J6" s="40">
        <f>Table14[[#This Row],[Enrolment S.Y. 2025-2026 ]]*8</f>
        <v>0</v>
      </c>
      <c r="K6" s="40"/>
      <c r="L6" s="35"/>
      <c r="M6" s="40"/>
      <c r="N6" s="40">
        <f t="shared" si="2"/>
        <v>0</v>
      </c>
      <c r="O6" s="40">
        <f t="shared" si="3"/>
        <v>0</v>
      </c>
      <c r="P6" s="40">
        <f>Table14[[#This Row],[Enrolment S.Y. 2025-2026 ]]*8</f>
        <v>0</v>
      </c>
      <c r="Q6" s="40"/>
      <c r="R6" s="35"/>
      <c r="S6" s="40"/>
      <c r="T6" s="40">
        <f t="shared" si="4"/>
        <v>0</v>
      </c>
      <c r="U6" s="40">
        <f t="shared" si="5"/>
        <v>0</v>
      </c>
      <c r="V6" s="40">
        <f>Table14[[#This Row],[Enrolment S.Y. 2025-2026 ]]*8</f>
        <v>0</v>
      </c>
      <c r="W6" s="40"/>
      <c r="X6" s="35"/>
      <c r="Y6" s="40"/>
      <c r="Z6" s="40">
        <f t="shared" si="6"/>
        <v>0</v>
      </c>
      <c r="AA6" s="40">
        <f t="shared" si="7"/>
        <v>0</v>
      </c>
    </row>
    <row r="7" spans="1:27" ht="15">
      <c r="A7" s="35">
        <v>1</v>
      </c>
      <c r="B7" s="41" t="s">
        <v>12</v>
      </c>
      <c r="C7" s="35"/>
      <c r="D7" s="40">
        <f>Table14[[#This Row],[Enrolment S.Y. 2025-2026 ]]*8</f>
        <v>0</v>
      </c>
      <c r="E7" s="40"/>
      <c r="F7" s="35"/>
      <c r="G7" s="40"/>
      <c r="H7" s="40">
        <f t="shared" si="0"/>
        <v>0</v>
      </c>
      <c r="I7" s="40">
        <f t="shared" si="1"/>
        <v>0</v>
      </c>
      <c r="J7" s="40">
        <f>Table14[[#This Row],[Enrolment S.Y. 2025-2026 ]]*8</f>
        <v>0</v>
      </c>
      <c r="K7" s="40"/>
      <c r="L7" s="35"/>
      <c r="M7" s="40"/>
      <c r="N7" s="40">
        <f t="shared" si="2"/>
        <v>0</v>
      </c>
      <c r="O7" s="40">
        <f t="shared" si="3"/>
        <v>0</v>
      </c>
      <c r="P7" s="40">
        <f>Table14[[#This Row],[Enrolment S.Y. 2025-2026 ]]*8</f>
        <v>0</v>
      </c>
      <c r="Q7" s="40"/>
      <c r="R7" s="35"/>
      <c r="S7" s="40"/>
      <c r="T7" s="40">
        <f t="shared" si="4"/>
        <v>0</v>
      </c>
      <c r="U7" s="40">
        <f t="shared" si="5"/>
        <v>0</v>
      </c>
      <c r="V7" s="40">
        <f>Table14[[#This Row],[Enrolment S.Y. 2025-2026 ]]*8</f>
        <v>0</v>
      </c>
      <c r="W7" s="40"/>
      <c r="X7" s="35"/>
      <c r="Y7" s="40"/>
      <c r="Z7" s="40">
        <f t="shared" si="6"/>
        <v>0</v>
      </c>
      <c r="AA7" s="40">
        <f t="shared" si="7"/>
        <v>0</v>
      </c>
    </row>
    <row r="8" spans="1:27" ht="15">
      <c r="A8" s="35">
        <v>1</v>
      </c>
      <c r="B8" s="42" t="s">
        <v>14</v>
      </c>
      <c r="C8" s="35"/>
      <c r="D8" s="40">
        <f>Table14[[#This Row],[Enrolment S.Y. 2025-2026 ]]*8</f>
        <v>0</v>
      </c>
      <c r="E8" s="40"/>
      <c r="F8" s="35"/>
      <c r="G8" s="40"/>
      <c r="H8" s="40">
        <f>IF((D8-E8)&lt;0,0,(D8-E8))</f>
        <v>0</v>
      </c>
      <c r="I8" s="40">
        <f>IF((E8-D8)&lt;0,0,(E8-D8))</f>
        <v>0</v>
      </c>
      <c r="J8" s="40">
        <f>Table14[[#This Row],[Enrolment S.Y. 2025-2026 ]]*8</f>
        <v>0</v>
      </c>
      <c r="K8" s="40"/>
      <c r="L8" s="35"/>
      <c r="M8" s="40"/>
      <c r="N8" s="40">
        <f t="shared" si="2"/>
        <v>0</v>
      </c>
      <c r="O8" s="40">
        <f t="shared" si="3"/>
        <v>0</v>
      </c>
      <c r="P8" s="40">
        <f>Table14[[#This Row],[Enrolment S.Y. 2025-2026 ]]*8</f>
        <v>0</v>
      </c>
      <c r="Q8" s="40"/>
      <c r="R8" s="35"/>
      <c r="S8" s="40"/>
      <c r="T8" s="40">
        <f t="shared" si="4"/>
        <v>0</v>
      </c>
      <c r="U8" s="40">
        <f t="shared" si="5"/>
        <v>0</v>
      </c>
      <c r="V8" s="40">
        <f>Table14[[#This Row],[Enrolment S.Y. 2025-2026 ]]*8</f>
        <v>0</v>
      </c>
      <c r="W8" s="40"/>
      <c r="X8" s="35"/>
      <c r="Y8" s="40"/>
      <c r="Z8" s="40">
        <f t="shared" si="6"/>
        <v>0</v>
      </c>
      <c r="AA8" s="40">
        <f t="shared" si="7"/>
        <v>0</v>
      </c>
    </row>
    <row r="9" spans="1:27" ht="15">
      <c r="A9" s="35">
        <v>1</v>
      </c>
      <c r="B9" s="42" t="s">
        <v>15</v>
      </c>
      <c r="C9" s="35"/>
      <c r="D9" s="40">
        <f>Table14[[#This Row],[Enrolment S.Y. 2025-2026 ]]*8</f>
        <v>0</v>
      </c>
      <c r="E9" s="40"/>
      <c r="F9" s="35"/>
      <c r="G9" s="40"/>
      <c r="H9" s="40">
        <f>IF((D9-E9)&lt;0,0,(D9-E9))</f>
        <v>0</v>
      </c>
      <c r="I9" s="40">
        <f>IF((E9-D9)&lt;0,0,(E9-D9))</f>
        <v>0</v>
      </c>
      <c r="J9" s="40">
        <f>Table14[[#This Row],[Enrolment S.Y. 2025-2026 ]]*8</f>
        <v>0</v>
      </c>
      <c r="K9" s="40"/>
      <c r="L9" s="35"/>
      <c r="M9" s="40"/>
      <c r="N9" s="40">
        <f t="shared" si="2"/>
        <v>0</v>
      </c>
      <c r="O9" s="40">
        <f t="shared" si="3"/>
        <v>0</v>
      </c>
      <c r="P9" s="40">
        <f>Table14[[#This Row],[Enrolment S.Y. 2025-2026 ]]*8</f>
        <v>0</v>
      </c>
      <c r="Q9" s="40"/>
      <c r="R9" s="35"/>
      <c r="S9" s="40"/>
      <c r="T9" s="40">
        <f t="shared" si="4"/>
        <v>0</v>
      </c>
      <c r="U9" s="40">
        <f t="shared" si="5"/>
        <v>0</v>
      </c>
      <c r="V9" s="40">
        <f>Table14[[#This Row],[Enrolment S.Y. 2025-2026 ]]*8</f>
        <v>0</v>
      </c>
      <c r="W9" s="40"/>
      <c r="X9" s="35"/>
      <c r="Y9" s="40"/>
      <c r="Z9" s="40">
        <f t="shared" si="6"/>
        <v>0</v>
      </c>
      <c r="AA9" s="40">
        <f t="shared" si="7"/>
        <v>0</v>
      </c>
    </row>
    <row r="10" spans="1:27" ht="15">
      <c r="A10" s="35">
        <v>1</v>
      </c>
      <c r="B10" s="42" t="s">
        <v>61</v>
      </c>
      <c r="C10" s="35"/>
      <c r="D10" s="40">
        <f>Table14[[#This Row],[Enrolment S.Y. 2025-2026 ]]*8</f>
        <v>0</v>
      </c>
      <c r="E10" s="40"/>
      <c r="F10" s="35"/>
      <c r="G10" s="40"/>
      <c r="H10" s="40">
        <f>IF((D10-E10)&lt;0,0,(D10-E10))</f>
        <v>0</v>
      </c>
      <c r="I10" s="40">
        <f>IF((E10-D10)&lt;0,0,(E10-D10))</f>
        <v>0</v>
      </c>
      <c r="J10" s="40">
        <f>Table14[[#This Row],[Enrolment S.Y. 2025-2026 ]]*8</f>
        <v>0</v>
      </c>
      <c r="K10" s="40"/>
      <c r="L10" s="35"/>
      <c r="M10" s="40"/>
      <c r="N10" s="40">
        <f t="shared" si="2"/>
        <v>0</v>
      </c>
      <c r="O10" s="40">
        <f t="shared" si="3"/>
        <v>0</v>
      </c>
      <c r="P10" s="40">
        <f>Table14[[#This Row],[Enrolment S.Y. 2025-2026 ]]*8</f>
        <v>0</v>
      </c>
      <c r="Q10" s="40"/>
      <c r="R10" s="35"/>
      <c r="S10" s="40"/>
      <c r="T10" s="40">
        <f t="shared" si="4"/>
        <v>0</v>
      </c>
      <c r="U10" s="40">
        <f t="shared" si="5"/>
        <v>0</v>
      </c>
      <c r="V10" s="40">
        <f>Table14[[#This Row],[Enrolment S.Y. 2025-2026 ]]*8</f>
        <v>0</v>
      </c>
      <c r="W10" s="40"/>
      <c r="X10" s="35"/>
      <c r="Y10" s="40"/>
      <c r="Z10" s="40">
        <f t="shared" si="6"/>
        <v>0</v>
      </c>
      <c r="AA10" s="40">
        <f t="shared" si="7"/>
        <v>0</v>
      </c>
    </row>
    <row r="11" spans="1:27" s="5" customForma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ht="15">
      <c r="A12" s="35">
        <v>2</v>
      </c>
      <c r="B12" s="41" t="s">
        <v>8</v>
      </c>
      <c r="C12" s="35"/>
      <c r="D12" s="40">
        <f>Table14[[#This Row],[Enrolment S.Y. 2025-2026 ]]*8</f>
        <v>0</v>
      </c>
      <c r="E12" s="40"/>
      <c r="F12" s="35"/>
      <c r="G12" s="40"/>
      <c r="H12" s="40">
        <f t="shared" si="0"/>
        <v>0</v>
      </c>
      <c r="I12" s="40">
        <f t="shared" si="1"/>
        <v>0</v>
      </c>
      <c r="J12" s="40">
        <f>Table14[[#This Row],[Enrolment S.Y. 2025-2026 ]]*8</f>
        <v>0</v>
      </c>
      <c r="K12" s="40"/>
      <c r="L12" s="35"/>
      <c r="M12" s="40"/>
      <c r="N12" s="40">
        <f t="shared" si="2"/>
        <v>0</v>
      </c>
      <c r="O12" s="40">
        <f t="shared" si="3"/>
        <v>0</v>
      </c>
      <c r="P12" s="40">
        <f>Table14[[#This Row],[Enrolment S.Y. 2025-2026 ]]*8</f>
        <v>0</v>
      </c>
      <c r="Q12" s="40"/>
      <c r="R12" s="35"/>
      <c r="S12" s="40"/>
      <c r="T12" s="40">
        <f t="shared" si="4"/>
        <v>0</v>
      </c>
      <c r="U12" s="40">
        <f t="shared" si="5"/>
        <v>0</v>
      </c>
      <c r="V12" s="40">
        <f>Table14[[#This Row],[Enrolment S.Y. 2025-2026 ]]*8</f>
        <v>0</v>
      </c>
      <c r="W12" s="40"/>
      <c r="X12" s="35"/>
      <c r="Y12" s="40"/>
      <c r="Z12" s="40">
        <f t="shared" si="6"/>
        <v>0</v>
      </c>
      <c r="AA12" s="40">
        <f t="shared" si="7"/>
        <v>0</v>
      </c>
    </row>
    <row r="13" spans="1:27" ht="15">
      <c r="A13" s="35">
        <v>2</v>
      </c>
      <c r="B13" s="41" t="s">
        <v>9</v>
      </c>
      <c r="C13" s="35"/>
      <c r="D13" s="40">
        <f>Table14[[#This Row],[Enrolment S.Y. 2025-2026 ]]*8</f>
        <v>0</v>
      </c>
      <c r="E13" s="40"/>
      <c r="F13" s="35"/>
      <c r="G13" s="40"/>
      <c r="H13" s="40">
        <f t="shared" si="0"/>
        <v>0</v>
      </c>
      <c r="I13" s="40">
        <f t="shared" si="1"/>
        <v>0</v>
      </c>
      <c r="J13" s="40">
        <f>Table14[[#This Row],[Enrolment S.Y. 2025-2026 ]]*8</f>
        <v>0</v>
      </c>
      <c r="K13" s="40"/>
      <c r="L13" s="35"/>
      <c r="M13" s="40"/>
      <c r="N13" s="40">
        <f t="shared" si="2"/>
        <v>0</v>
      </c>
      <c r="O13" s="40">
        <f t="shared" si="3"/>
        <v>0</v>
      </c>
      <c r="P13" s="40">
        <f>Table14[[#This Row],[Enrolment S.Y. 2025-2026 ]]*8</f>
        <v>0</v>
      </c>
      <c r="Q13" s="40"/>
      <c r="R13" s="35"/>
      <c r="S13" s="40"/>
      <c r="T13" s="40">
        <f t="shared" si="4"/>
        <v>0</v>
      </c>
      <c r="U13" s="40">
        <f t="shared" si="5"/>
        <v>0</v>
      </c>
      <c r="V13" s="40">
        <f>Table14[[#This Row],[Enrolment S.Y. 2025-2026 ]]*8</f>
        <v>0</v>
      </c>
      <c r="W13" s="40"/>
      <c r="X13" s="35"/>
      <c r="Y13" s="40"/>
      <c r="Z13" s="40">
        <f t="shared" si="6"/>
        <v>0</v>
      </c>
      <c r="AA13" s="40">
        <f t="shared" si="7"/>
        <v>0</v>
      </c>
    </row>
    <row r="14" spans="1:27" ht="15">
      <c r="A14" s="35">
        <v>2</v>
      </c>
      <c r="B14" s="41" t="s">
        <v>10</v>
      </c>
      <c r="C14" s="35"/>
      <c r="D14" s="40">
        <f>Table14[[#This Row],[Enrolment S.Y. 2025-2026 ]]*8</f>
        <v>0</v>
      </c>
      <c r="E14" s="40"/>
      <c r="F14" s="35"/>
      <c r="G14" s="40"/>
      <c r="H14" s="40">
        <f t="shared" si="0"/>
        <v>0</v>
      </c>
      <c r="I14" s="40">
        <f t="shared" si="1"/>
        <v>0</v>
      </c>
      <c r="J14" s="40">
        <f>Table14[[#This Row],[Enrolment S.Y. 2025-2026 ]]*8</f>
        <v>0</v>
      </c>
      <c r="K14" s="40"/>
      <c r="L14" s="35"/>
      <c r="M14" s="40"/>
      <c r="N14" s="40">
        <f t="shared" si="2"/>
        <v>0</v>
      </c>
      <c r="O14" s="40">
        <f t="shared" si="3"/>
        <v>0</v>
      </c>
      <c r="P14" s="40">
        <f>Table14[[#This Row],[Enrolment S.Y. 2025-2026 ]]*8</f>
        <v>0</v>
      </c>
      <c r="Q14" s="40"/>
      <c r="R14" s="35"/>
      <c r="S14" s="40"/>
      <c r="T14" s="40">
        <f t="shared" si="4"/>
        <v>0</v>
      </c>
      <c r="U14" s="40">
        <f t="shared" si="5"/>
        <v>0</v>
      </c>
      <c r="V14" s="40">
        <f>Table14[[#This Row],[Enrolment S.Y. 2025-2026 ]]*8</f>
        <v>0</v>
      </c>
      <c r="W14" s="40"/>
      <c r="X14" s="35"/>
      <c r="Y14" s="40"/>
      <c r="Z14" s="40">
        <f t="shared" si="6"/>
        <v>0</v>
      </c>
      <c r="AA14" s="40">
        <f t="shared" si="7"/>
        <v>0</v>
      </c>
    </row>
    <row r="15" spans="1:27" ht="15">
      <c r="A15" s="35">
        <v>2</v>
      </c>
      <c r="B15" s="41" t="s">
        <v>11</v>
      </c>
      <c r="C15" s="35"/>
      <c r="D15" s="40">
        <f>Table14[[#This Row],[Enrolment S.Y. 2025-2026 ]]*8</f>
        <v>0</v>
      </c>
      <c r="E15" s="40"/>
      <c r="F15" s="35"/>
      <c r="G15" s="40"/>
      <c r="H15" s="40">
        <f t="shared" si="0"/>
        <v>0</v>
      </c>
      <c r="I15" s="40">
        <f t="shared" si="1"/>
        <v>0</v>
      </c>
      <c r="J15" s="40">
        <f>Table14[[#This Row],[Enrolment S.Y. 2025-2026 ]]*8</f>
        <v>0</v>
      </c>
      <c r="K15" s="40"/>
      <c r="L15" s="35"/>
      <c r="M15" s="40"/>
      <c r="N15" s="40">
        <f t="shared" si="2"/>
        <v>0</v>
      </c>
      <c r="O15" s="40">
        <f t="shared" si="3"/>
        <v>0</v>
      </c>
      <c r="P15" s="40">
        <f>Table14[[#This Row],[Enrolment S.Y. 2025-2026 ]]*8</f>
        <v>0</v>
      </c>
      <c r="Q15" s="40"/>
      <c r="R15" s="35"/>
      <c r="S15" s="40"/>
      <c r="T15" s="40">
        <f t="shared" si="4"/>
        <v>0</v>
      </c>
      <c r="U15" s="40">
        <f t="shared" si="5"/>
        <v>0</v>
      </c>
      <c r="V15" s="40">
        <f>Table14[[#This Row],[Enrolment S.Y. 2025-2026 ]]*8</f>
        <v>0</v>
      </c>
      <c r="W15" s="40"/>
      <c r="X15" s="35"/>
      <c r="Y15" s="40"/>
      <c r="Z15" s="40">
        <f t="shared" si="6"/>
        <v>0</v>
      </c>
      <c r="AA15" s="40">
        <f t="shared" si="7"/>
        <v>0</v>
      </c>
    </row>
    <row r="16" spans="1:27" ht="15">
      <c r="A16" s="35">
        <v>2</v>
      </c>
      <c r="B16" s="41" t="s">
        <v>12</v>
      </c>
      <c r="C16" s="35"/>
      <c r="D16" s="40">
        <f>Table14[[#This Row],[Enrolment S.Y. 2025-2026 ]]*8</f>
        <v>0</v>
      </c>
      <c r="E16" s="40"/>
      <c r="F16" s="35"/>
      <c r="G16" s="40"/>
      <c r="H16" s="40">
        <f t="shared" si="0"/>
        <v>0</v>
      </c>
      <c r="I16" s="40">
        <f t="shared" si="1"/>
        <v>0</v>
      </c>
      <c r="J16" s="40">
        <f>Table14[[#This Row],[Enrolment S.Y. 2025-2026 ]]*8</f>
        <v>0</v>
      </c>
      <c r="K16" s="40"/>
      <c r="L16" s="35"/>
      <c r="M16" s="40"/>
      <c r="N16" s="40">
        <f t="shared" si="2"/>
        <v>0</v>
      </c>
      <c r="O16" s="40">
        <f t="shared" si="3"/>
        <v>0</v>
      </c>
      <c r="P16" s="40">
        <f>Table14[[#This Row],[Enrolment S.Y. 2025-2026 ]]*8</f>
        <v>0</v>
      </c>
      <c r="Q16" s="40"/>
      <c r="R16" s="35"/>
      <c r="S16" s="40"/>
      <c r="T16" s="40">
        <f t="shared" si="4"/>
        <v>0</v>
      </c>
      <c r="U16" s="40">
        <f t="shared" si="5"/>
        <v>0</v>
      </c>
      <c r="V16" s="40">
        <f>Table14[[#This Row],[Enrolment S.Y. 2025-2026 ]]*8</f>
        <v>0</v>
      </c>
      <c r="W16" s="40"/>
      <c r="X16" s="35"/>
      <c r="Y16" s="40"/>
      <c r="Z16" s="40">
        <f t="shared" si="6"/>
        <v>0</v>
      </c>
      <c r="AA16" s="40">
        <f t="shared" si="7"/>
        <v>0</v>
      </c>
    </row>
    <row r="17" spans="1:27" ht="15">
      <c r="A17" s="35">
        <v>2</v>
      </c>
      <c r="B17" s="42" t="s">
        <v>15</v>
      </c>
      <c r="C17" s="35"/>
      <c r="D17" s="40">
        <f>Table14[[#This Row],[Enrolment S.Y. 2025-2026 ]]*8</f>
        <v>0</v>
      </c>
      <c r="E17" s="40"/>
      <c r="F17" s="35"/>
      <c r="G17" s="40"/>
      <c r="H17" s="40">
        <f>IF((D17-E17)&lt;0,0,(D17-E17))</f>
        <v>0</v>
      </c>
      <c r="I17" s="40">
        <f>IF((E17-D17)&lt;0,0,(E17-D17))</f>
        <v>0</v>
      </c>
      <c r="J17" s="40">
        <f>Table14[[#This Row],[Enrolment S.Y. 2025-2026 ]]*8</f>
        <v>0</v>
      </c>
      <c r="K17" s="40"/>
      <c r="L17" s="35"/>
      <c r="M17" s="40"/>
      <c r="N17" s="40">
        <f t="shared" si="2"/>
        <v>0</v>
      </c>
      <c r="O17" s="40">
        <f t="shared" si="3"/>
        <v>0</v>
      </c>
      <c r="P17" s="40">
        <f>Table14[[#This Row],[Enrolment S.Y. 2025-2026 ]]*8</f>
        <v>0</v>
      </c>
      <c r="Q17" s="40"/>
      <c r="R17" s="35"/>
      <c r="S17" s="40"/>
      <c r="T17" s="40">
        <f t="shared" si="4"/>
        <v>0</v>
      </c>
      <c r="U17" s="40">
        <f t="shared" si="5"/>
        <v>0</v>
      </c>
      <c r="V17" s="40">
        <f>Table14[[#This Row],[Enrolment S.Y. 2025-2026 ]]*8</f>
        <v>0</v>
      </c>
      <c r="W17" s="40"/>
      <c r="X17" s="35"/>
      <c r="Y17" s="40"/>
      <c r="Z17" s="40">
        <f t="shared" si="6"/>
        <v>0</v>
      </c>
      <c r="AA17" s="40">
        <f t="shared" si="7"/>
        <v>0</v>
      </c>
    </row>
    <row r="18" spans="1:27" ht="15">
      <c r="A18" s="35">
        <v>2</v>
      </c>
      <c r="B18" s="42" t="s">
        <v>14</v>
      </c>
      <c r="C18" s="35"/>
      <c r="D18" s="40">
        <f>Table14[[#This Row],[Enrolment S.Y. 2025-2026 ]]*8</f>
        <v>0</v>
      </c>
      <c r="E18" s="40"/>
      <c r="F18" s="35"/>
      <c r="G18" s="40"/>
      <c r="H18" s="40">
        <f>IF((D18-E18)&lt;0,0,(D18-E18))</f>
        <v>0</v>
      </c>
      <c r="I18" s="40">
        <f>IF((E18-D18)&lt;0,0,(E18-D18))</f>
        <v>0</v>
      </c>
      <c r="J18" s="40">
        <f>Table14[[#This Row],[Enrolment S.Y. 2025-2026 ]]*8</f>
        <v>0</v>
      </c>
      <c r="K18" s="40"/>
      <c r="L18" s="35"/>
      <c r="M18" s="40"/>
      <c r="N18" s="40">
        <f t="shared" si="2"/>
        <v>0</v>
      </c>
      <c r="O18" s="40">
        <f t="shared" si="3"/>
        <v>0</v>
      </c>
      <c r="P18" s="40">
        <f>Table14[[#This Row],[Enrolment S.Y. 2025-2026 ]]*8</f>
        <v>0</v>
      </c>
      <c r="Q18" s="40"/>
      <c r="R18" s="35"/>
      <c r="S18" s="40"/>
      <c r="T18" s="40">
        <f t="shared" si="4"/>
        <v>0</v>
      </c>
      <c r="U18" s="40">
        <f t="shared" si="5"/>
        <v>0</v>
      </c>
      <c r="V18" s="40">
        <f>Table14[[#This Row],[Enrolment S.Y. 2025-2026 ]]*8</f>
        <v>0</v>
      </c>
      <c r="W18" s="40"/>
      <c r="X18" s="35"/>
      <c r="Y18" s="40"/>
      <c r="Z18" s="40">
        <f t="shared" si="6"/>
        <v>0</v>
      </c>
      <c r="AA18" s="40">
        <f t="shared" si="7"/>
        <v>0</v>
      </c>
    </row>
    <row r="19" spans="1:27" ht="15">
      <c r="A19" s="35">
        <v>2</v>
      </c>
      <c r="B19" s="42" t="s">
        <v>61</v>
      </c>
      <c r="C19" s="35"/>
      <c r="D19" s="40">
        <f>Table14[[#This Row],[Enrolment S.Y. 2025-2026 ]]*8</f>
        <v>0</v>
      </c>
      <c r="E19" s="40"/>
      <c r="F19" s="35"/>
      <c r="G19" s="40"/>
      <c r="H19" s="40">
        <f>IF((D19-E19)&lt;0,0,(D19-E19))</f>
        <v>0</v>
      </c>
      <c r="I19" s="40">
        <f>IF((E19-D19)&lt;0,0,(E19-D19))</f>
        <v>0</v>
      </c>
      <c r="J19" s="40">
        <f>Table14[[#This Row],[Enrolment S.Y. 2025-2026 ]]*8</f>
        <v>0</v>
      </c>
      <c r="K19" s="40"/>
      <c r="L19" s="35"/>
      <c r="M19" s="40"/>
      <c r="N19" s="40">
        <f t="shared" si="2"/>
        <v>0</v>
      </c>
      <c r="O19" s="40">
        <f t="shared" si="3"/>
        <v>0</v>
      </c>
      <c r="P19" s="40">
        <f>Table14[[#This Row],[Enrolment S.Y. 2025-2026 ]]*8</f>
        <v>0</v>
      </c>
      <c r="Q19" s="40"/>
      <c r="R19" s="35"/>
      <c r="S19" s="40"/>
      <c r="T19" s="40">
        <f t="shared" si="4"/>
        <v>0</v>
      </c>
      <c r="U19" s="40">
        <f t="shared" si="5"/>
        <v>0</v>
      </c>
      <c r="V19" s="40">
        <f>Table14[[#This Row],[Enrolment S.Y. 2025-2026 ]]*8</f>
        <v>0</v>
      </c>
      <c r="W19" s="40"/>
      <c r="X19" s="35"/>
      <c r="Y19" s="40"/>
      <c r="Z19" s="40">
        <f t="shared" si="6"/>
        <v>0</v>
      </c>
      <c r="AA19" s="40">
        <f t="shared" si="7"/>
        <v>0</v>
      </c>
    </row>
    <row r="20" spans="1:27" s="5" customForma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ht="15">
      <c r="A21" s="35">
        <v>3</v>
      </c>
      <c r="B21" s="41" t="s">
        <v>8</v>
      </c>
      <c r="C21" s="35"/>
      <c r="D21" s="40">
        <f>Table14[[#This Row],[Enrolment S.Y. 2025-2026 ]]*8</f>
        <v>0</v>
      </c>
      <c r="E21" s="40"/>
      <c r="F21" s="35"/>
      <c r="G21" s="40"/>
      <c r="H21" s="40">
        <f t="shared" si="0"/>
        <v>0</v>
      </c>
      <c r="I21" s="40">
        <f t="shared" si="1"/>
        <v>0</v>
      </c>
      <c r="J21" s="40">
        <f>Table14[[#This Row],[Enrolment S.Y. 2025-2026 ]]*8</f>
        <v>0</v>
      </c>
      <c r="K21" s="40"/>
      <c r="L21" s="35"/>
      <c r="M21" s="40"/>
      <c r="N21" s="40">
        <f t="shared" si="2"/>
        <v>0</v>
      </c>
      <c r="O21" s="40">
        <f t="shared" si="3"/>
        <v>0</v>
      </c>
      <c r="P21" s="40">
        <f>Table14[[#This Row],[Enrolment S.Y. 2025-2026 ]]*8</f>
        <v>0</v>
      </c>
      <c r="Q21" s="40"/>
      <c r="R21" s="35"/>
      <c r="S21" s="40"/>
      <c r="T21" s="40">
        <f t="shared" si="4"/>
        <v>0</v>
      </c>
      <c r="U21" s="40">
        <f t="shared" si="5"/>
        <v>0</v>
      </c>
      <c r="V21" s="40">
        <f>Table14[[#This Row],[Enrolment S.Y. 2025-2026 ]]*8</f>
        <v>0</v>
      </c>
      <c r="W21" s="40"/>
      <c r="X21" s="35"/>
      <c r="Y21" s="40"/>
      <c r="Z21" s="40">
        <f t="shared" si="6"/>
        <v>0</v>
      </c>
      <c r="AA21" s="40">
        <f t="shared" si="7"/>
        <v>0</v>
      </c>
    </row>
    <row r="22" spans="1:27" ht="15">
      <c r="A22" s="35">
        <v>3</v>
      </c>
      <c r="B22" s="41" t="s">
        <v>9</v>
      </c>
      <c r="C22" s="35"/>
      <c r="D22" s="40">
        <f>Table14[[#This Row],[Enrolment S.Y. 2025-2026 ]]*8</f>
        <v>0</v>
      </c>
      <c r="E22" s="40"/>
      <c r="F22" s="35"/>
      <c r="G22" s="40"/>
      <c r="H22" s="40">
        <f t="shared" si="0"/>
        <v>0</v>
      </c>
      <c r="I22" s="40">
        <f t="shared" si="1"/>
        <v>0</v>
      </c>
      <c r="J22" s="40">
        <f>Table14[[#This Row],[Enrolment S.Y. 2025-2026 ]]*8</f>
        <v>0</v>
      </c>
      <c r="K22" s="40"/>
      <c r="L22" s="35"/>
      <c r="M22" s="40"/>
      <c r="N22" s="40">
        <f t="shared" si="2"/>
        <v>0</v>
      </c>
      <c r="O22" s="40">
        <f t="shared" si="3"/>
        <v>0</v>
      </c>
      <c r="P22" s="40">
        <f>Table14[[#This Row],[Enrolment S.Y. 2025-2026 ]]*8</f>
        <v>0</v>
      </c>
      <c r="Q22" s="40"/>
      <c r="R22" s="35"/>
      <c r="S22" s="40"/>
      <c r="T22" s="40">
        <f t="shared" si="4"/>
        <v>0</v>
      </c>
      <c r="U22" s="40">
        <f t="shared" si="5"/>
        <v>0</v>
      </c>
      <c r="V22" s="40">
        <f>Table14[[#This Row],[Enrolment S.Y. 2025-2026 ]]*8</f>
        <v>0</v>
      </c>
      <c r="W22" s="40"/>
      <c r="X22" s="35"/>
      <c r="Y22" s="40"/>
      <c r="Z22" s="40">
        <f t="shared" si="6"/>
        <v>0</v>
      </c>
      <c r="AA22" s="40">
        <f t="shared" si="7"/>
        <v>0</v>
      </c>
    </row>
    <row r="23" spans="1:27" ht="15">
      <c r="A23" s="35">
        <v>3</v>
      </c>
      <c r="B23" s="41" t="s">
        <v>10</v>
      </c>
      <c r="C23" s="35"/>
      <c r="D23" s="40">
        <f>Table14[[#This Row],[Enrolment S.Y. 2025-2026 ]]*8</f>
        <v>0</v>
      </c>
      <c r="E23" s="40"/>
      <c r="F23" s="35"/>
      <c r="G23" s="40"/>
      <c r="H23" s="40">
        <f t="shared" si="0"/>
        <v>0</v>
      </c>
      <c r="I23" s="40">
        <f t="shared" si="1"/>
        <v>0</v>
      </c>
      <c r="J23" s="40">
        <f>Table14[[#This Row],[Enrolment S.Y. 2025-2026 ]]*8</f>
        <v>0</v>
      </c>
      <c r="K23" s="40"/>
      <c r="L23" s="35"/>
      <c r="M23" s="40"/>
      <c r="N23" s="40">
        <f t="shared" si="2"/>
        <v>0</v>
      </c>
      <c r="O23" s="40">
        <f t="shared" si="3"/>
        <v>0</v>
      </c>
      <c r="P23" s="40">
        <f>Table14[[#This Row],[Enrolment S.Y. 2025-2026 ]]*8</f>
        <v>0</v>
      </c>
      <c r="Q23" s="40"/>
      <c r="R23" s="35"/>
      <c r="S23" s="40"/>
      <c r="T23" s="40">
        <f t="shared" si="4"/>
        <v>0</v>
      </c>
      <c r="U23" s="40">
        <f t="shared" si="5"/>
        <v>0</v>
      </c>
      <c r="V23" s="40">
        <f>Table14[[#This Row],[Enrolment S.Y. 2025-2026 ]]*8</f>
        <v>0</v>
      </c>
      <c r="W23" s="40"/>
      <c r="X23" s="35"/>
      <c r="Y23" s="40"/>
      <c r="Z23" s="40">
        <f t="shared" si="6"/>
        <v>0</v>
      </c>
      <c r="AA23" s="40">
        <f t="shared" si="7"/>
        <v>0</v>
      </c>
    </row>
    <row r="24" spans="1:27" ht="15">
      <c r="A24" s="35">
        <v>3</v>
      </c>
      <c r="B24" s="41" t="s">
        <v>13</v>
      </c>
      <c r="C24" s="35"/>
      <c r="D24" s="40">
        <f>Table14[[#This Row],[Enrolment S.Y. 2025-2026 ]]*8</f>
        <v>0</v>
      </c>
      <c r="E24" s="40"/>
      <c r="F24" s="35"/>
      <c r="G24" s="40"/>
      <c r="H24" s="40">
        <f t="shared" si="0"/>
        <v>0</v>
      </c>
      <c r="I24" s="40">
        <f t="shared" si="1"/>
        <v>0</v>
      </c>
      <c r="J24" s="40">
        <f>Table14[[#This Row],[Enrolment S.Y. 2025-2026 ]]*8</f>
        <v>0</v>
      </c>
      <c r="K24" s="40"/>
      <c r="L24" s="35"/>
      <c r="M24" s="40"/>
      <c r="N24" s="40">
        <f t="shared" si="2"/>
        <v>0</v>
      </c>
      <c r="O24" s="40">
        <f t="shared" si="3"/>
        <v>0</v>
      </c>
      <c r="P24" s="40">
        <f>Table14[[#This Row],[Enrolment S.Y. 2025-2026 ]]*8</f>
        <v>0</v>
      </c>
      <c r="Q24" s="40"/>
      <c r="R24" s="35"/>
      <c r="S24" s="40"/>
      <c r="T24" s="40">
        <f t="shared" si="4"/>
        <v>0</v>
      </c>
      <c r="U24" s="40">
        <f t="shared" si="5"/>
        <v>0</v>
      </c>
      <c r="V24" s="40">
        <f>Table14[[#This Row],[Enrolment S.Y. 2025-2026 ]]*8</f>
        <v>0</v>
      </c>
      <c r="W24" s="40"/>
      <c r="X24" s="35"/>
      <c r="Y24" s="40"/>
      <c r="Z24" s="40">
        <f t="shared" si="6"/>
        <v>0</v>
      </c>
      <c r="AA24" s="40">
        <f t="shared" si="7"/>
        <v>0</v>
      </c>
    </row>
    <row r="25" spans="1:27" ht="15">
      <c r="A25" s="35">
        <v>3</v>
      </c>
      <c r="B25" s="41" t="s">
        <v>11</v>
      </c>
      <c r="C25" s="35"/>
      <c r="D25" s="40">
        <f>Table14[[#This Row],[Enrolment S.Y. 2025-2026 ]]*8</f>
        <v>0</v>
      </c>
      <c r="E25" s="40"/>
      <c r="F25" s="35"/>
      <c r="G25" s="40"/>
      <c r="H25" s="40">
        <f t="shared" si="0"/>
        <v>0</v>
      </c>
      <c r="I25" s="40">
        <f t="shared" si="1"/>
        <v>0</v>
      </c>
      <c r="J25" s="40">
        <f>Table14[[#This Row],[Enrolment S.Y. 2025-2026 ]]*8</f>
        <v>0</v>
      </c>
      <c r="K25" s="40"/>
      <c r="L25" s="35"/>
      <c r="M25" s="40"/>
      <c r="N25" s="40">
        <f t="shared" si="2"/>
        <v>0</v>
      </c>
      <c r="O25" s="40">
        <f t="shared" si="3"/>
        <v>0</v>
      </c>
      <c r="P25" s="40">
        <f>Table14[[#This Row],[Enrolment S.Y. 2025-2026 ]]*8</f>
        <v>0</v>
      </c>
      <c r="Q25" s="40"/>
      <c r="R25" s="35"/>
      <c r="S25" s="40"/>
      <c r="T25" s="40">
        <f t="shared" si="4"/>
        <v>0</v>
      </c>
      <c r="U25" s="40">
        <f t="shared" si="5"/>
        <v>0</v>
      </c>
      <c r="V25" s="40">
        <f>Table14[[#This Row],[Enrolment S.Y. 2025-2026 ]]*8</f>
        <v>0</v>
      </c>
      <c r="W25" s="40"/>
      <c r="X25" s="35"/>
      <c r="Y25" s="40"/>
      <c r="Z25" s="40">
        <f t="shared" si="6"/>
        <v>0</v>
      </c>
      <c r="AA25" s="40">
        <f t="shared" si="7"/>
        <v>0</v>
      </c>
    </row>
    <row r="26" spans="1:27" ht="15">
      <c r="A26" s="35">
        <v>3</v>
      </c>
      <c r="B26" s="41" t="s">
        <v>12</v>
      </c>
      <c r="C26" s="35"/>
      <c r="D26" s="40">
        <f>Table14[[#This Row],[Enrolment S.Y. 2025-2026 ]]*8</f>
        <v>0</v>
      </c>
      <c r="E26" s="40"/>
      <c r="F26" s="35"/>
      <c r="G26" s="40"/>
      <c r="H26" s="40">
        <f t="shared" si="0"/>
        <v>0</v>
      </c>
      <c r="I26" s="40">
        <f t="shared" si="1"/>
        <v>0</v>
      </c>
      <c r="J26" s="40">
        <f>Table14[[#This Row],[Enrolment S.Y. 2025-2026 ]]*8</f>
        <v>0</v>
      </c>
      <c r="K26" s="40"/>
      <c r="L26" s="35"/>
      <c r="M26" s="40"/>
      <c r="N26" s="40">
        <f t="shared" si="2"/>
        <v>0</v>
      </c>
      <c r="O26" s="40">
        <f t="shared" si="3"/>
        <v>0</v>
      </c>
      <c r="P26" s="40">
        <f>Table14[[#This Row],[Enrolment S.Y. 2025-2026 ]]*8</f>
        <v>0</v>
      </c>
      <c r="Q26" s="40"/>
      <c r="R26" s="35"/>
      <c r="S26" s="40"/>
      <c r="T26" s="40">
        <f t="shared" si="4"/>
        <v>0</v>
      </c>
      <c r="U26" s="40">
        <f t="shared" si="5"/>
        <v>0</v>
      </c>
      <c r="V26" s="40">
        <f>Table14[[#This Row],[Enrolment S.Y. 2025-2026 ]]*8</f>
        <v>0</v>
      </c>
      <c r="W26" s="40"/>
      <c r="X26" s="35"/>
      <c r="Y26" s="40"/>
      <c r="Z26" s="40">
        <f t="shared" si="6"/>
        <v>0</v>
      </c>
      <c r="AA26" s="40">
        <f t="shared" si="7"/>
        <v>0</v>
      </c>
    </row>
    <row r="27" spans="1:27" ht="15">
      <c r="A27" s="35">
        <v>3</v>
      </c>
      <c r="B27" s="42" t="s">
        <v>14</v>
      </c>
      <c r="C27" s="35"/>
      <c r="D27" s="40">
        <f>Table14[[#This Row],[Enrolment S.Y. 2025-2026 ]]*8</f>
        <v>0</v>
      </c>
      <c r="E27" s="40"/>
      <c r="F27" s="35"/>
      <c r="G27" s="40"/>
      <c r="H27" s="40">
        <f>IF((D27-E27)&lt;0,0,(D27-E27))</f>
        <v>0</v>
      </c>
      <c r="I27" s="40">
        <f>IF((E27-D27)&lt;0,0,(E27-D27))</f>
        <v>0</v>
      </c>
      <c r="J27" s="40">
        <f>Table14[[#This Row],[Enrolment S.Y. 2025-2026 ]]*8</f>
        <v>0</v>
      </c>
      <c r="K27" s="40"/>
      <c r="L27" s="35"/>
      <c r="M27" s="40"/>
      <c r="N27" s="40">
        <f t="shared" si="2"/>
        <v>0</v>
      </c>
      <c r="O27" s="40">
        <f t="shared" si="3"/>
        <v>0</v>
      </c>
      <c r="P27" s="40">
        <f>Table14[[#This Row],[Enrolment S.Y. 2025-2026 ]]*8</f>
        <v>0</v>
      </c>
      <c r="Q27" s="40"/>
      <c r="R27" s="35"/>
      <c r="S27" s="40"/>
      <c r="T27" s="40">
        <f t="shared" si="4"/>
        <v>0</v>
      </c>
      <c r="U27" s="40">
        <f t="shared" si="5"/>
        <v>0</v>
      </c>
      <c r="V27" s="40">
        <f>Table14[[#This Row],[Enrolment S.Y. 2025-2026 ]]*8</f>
        <v>0</v>
      </c>
      <c r="W27" s="40"/>
      <c r="X27" s="35"/>
      <c r="Y27" s="40"/>
      <c r="Z27" s="40">
        <f t="shared" si="6"/>
        <v>0</v>
      </c>
      <c r="AA27" s="40">
        <f t="shared" si="7"/>
        <v>0</v>
      </c>
    </row>
    <row r="28" spans="1:27" ht="15">
      <c r="A28" s="35">
        <v>3</v>
      </c>
      <c r="B28" s="42" t="s">
        <v>15</v>
      </c>
      <c r="C28" s="35"/>
      <c r="D28" s="40">
        <f>Table14[[#This Row],[Enrolment S.Y. 2025-2026 ]]*8</f>
        <v>0</v>
      </c>
      <c r="E28" s="40"/>
      <c r="F28" s="35"/>
      <c r="G28" s="40"/>
      <c r="H28" s="40">
        <f>IF((D28-E28)&lt;0,0,(D28-E28))</f>
        <v>0</v>
      </c>
      <c r="I28" s="40">
        <f>IF((E28-D28)&lt;0,0,(E28-D28))</f>
        <v>0</v>
      </c>
      <c r="J28" s="40">
        <f>Table14[[#This Row],[Enrolment S.Y. 2025-2026 ]]*8</f>
        <v>0</v>
      </c>
      <c r="K28" s="40"/>
      <c r="L28" s="35"/>
      <c r="M28" s="40"/>
      <c r="N28" s="40">
        <f t="shared" si="2"/>
        <v>0</v>
      </c>
      <c r="O28" s="40">
        <f t="shared" si="3"/>
        <v>0</v>
      </c>
      <c r="P28" s="40">
        <f>Table14[[#This Row],[Enrolment S.Y. 2025-2026 ]]*8</f>
        <v>0</v>
      </c>
      <c r="Q28" s="40"/>
      <c r="R28" s="35"/>
      <c r="S28" s="40"/>
      <c r="T28" s="40">
        <f t="shared" si="4"/>
        <v>0</v>
      </c>
      <c r="U28" s="40">
        <f t="shared" si="5"/>
        <v>0</v>
      </c>
      <c r="V28" s="40">
        <f>Table14[[#This Row],[Enrolment S.Y. 2025-2026 ]]*8</f>
        <v>0</v>
      </c>
      <c r="W28" s="40"/>
      <c r="X28" s="35"/>
      <c r="Y28" s="40"/>
      <c r="Z28" s="40">
        <f t="shared" si="6"/>
        <v>0</v>
      </c>
      <c r="AA28" s="40">
        <f t="shared" si="7"/>
        <v>0</v>
      </c>
    </row>
    <row r="29" spans="1:27" ht="15">
      <c r="A29" s="35">
        <v>3</v>
      </c>
      <c r="B29" s="42" t="s">
        <v>61</v>
      </c>
      <c r="C29" s="35"/>
      <c r="D29" s="40">
        <f>Table14[[#This Row],[Enrolment S.Y. 2025-2026 ]]*8</f>
        <v>0</v>
      </c>
      <c r="E29" s="40"/>
      <c r="F29" s="35"/>
      <c r="G29" s="40"/>
      <c r="H29" s="40">
        <f>IF((D29-E29)&lt;0,0,(D29-E29))</f>
        <v>0</v>
      </c>
      <c r="I29" s="40">
        <f>IF((E29-D29)&lt;0,0,(E29-D29))</f>
        <v>0</v>
      </c>
      <c r="J29" s="40">
        <f>Table14[[#This Row],[Enrolment S.Y. 2025-2026 ]]*8</f>
        <v>0</v>
      </c>
      <c r="K29" s="40"/>
      <c r="L29" s="35"/>
      <c r="M29" s="40"/>
      <c r="N29" s="40">
        <f t="shared" si="2"/>
        <v>0</v>
      </c>
      <c r="O29" s="40">
        <f t="shared" si="3"/>
        <v>0</v>
      </c>
      <c r="P29" s="40">
        <f>Table14[[#This Row],[Enrolment S.Y. 2025-2026 ]]*8</f>
        <v>0</v>
      </c>
      <c r="Q29" s="40"/>
      <c r="R29" s="35"/>
      <c r="S29" s="40"/>
      <c r="T29" s="40">
        <f t="shared" si="4"/>
        <v>0</v>
      </c>
      <c r="U29" s="40">
        <f t="shared" si="5"/>
        <v>0</v>
      </c>
      <c r="V29" s="40">
        <f>Table14[[#This Row],[Enrolment S.Y. 2025-2026 ]]*8</f>
        <v>0</v>
      </c>
      <c r="W29" s="40"/>
      <c r="X29" s="35"/>
      <c r="Y29" s="40"/>
      <c r="Z29" s="40">
        <f t="shared" si="6"/>
        <v>0</v>
      </c>
      <c r="AA29" s="40">
        <f t="shared" si="7"/>
        <v>0</v>
      </c>
    </row>
    <row r="30" spans="1:27" s="5" customForma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 ht="15">
      <c r="A31" s="35">
        <v>4</v>
      </c>
      <c r="B31" s="42" t="s">
        <v>14</v>
      </c>
      <c r="C31" s="35"/>
      <c r="D31" s="40">
        <f>Table14[[#This Row],[Enrolment S.Y. 2025-2026 ]]*8</f>
        <v>0</v>
      </c>
      <c r="E31" s="40"/>
      <c r="F31" s="35"/>
      <c r="G31" s="40"/>
      <c r="H31" s="40">
        <f t="shared" si="0"/>
        <v>0</v>
      </c>
      <c r="I31" s="40">
        <f t="shared" si="1"/>
        <v>0</v>
      </c>
      <c r="J31" s="40">
        <f>Table14[[#This Row],[Enrolment S.Y. 2025-2026 ]]*8</f>
        <v>0</v>
      </c>
      <c r="K31" s="40"/>
      <c r="L31" s="35"/>
      <c r="M31" s="40"/>
      <c r="N31" s="40">
        <f t="shared" si="2"/>
        <v>0</v>
      </c>
      <c r="O31" s="40">
        <f t="shared" si="3"/>
        <v>0</v>
      </c>
      <c r="P31" s="40">
        <f>Table14[[#This Row],[Enrolment S.Y. 2025-2026 ]]*8</f>
        <v>0</v>
      </c>
      <c r="Q31" s="40"/>
      <c r="R31" s="35"/>
      <c r="S31" s="40"/>
      <c r="T31" s="40">
        <f t="shared" si="4"/>
        <v>0</v>
      </c>
      <c r="U31" s="40">
        <f t="shared" si="5"/>
        <v>0</v>
      </c>
      <c r="V31" s="40">
        <f>Table14[[#This Row],[Enrolment S.Y. 2025-2026 ]]*8</f>
        <v>0</v>
      </c>
      <c r="W31" s="40"/>
      <c r="X31" s="35"/>
      <c r="Y31" s="40"/>
      <c r="Z31" s="40">
        <f t="shared" si="6"/>
        <v>0</v>
      </c>
      <c r="AA31" s="40">
        <f t="shared" si="7"/>
        <v>0</v>
      </c>
    </row>
    <row r="32" spans="1:27" ht="15">
      <c r="A32" s="35">
        <v>4</v>
      </c>
      <c r="B32" s="42" t="s">
        <v>15</v>
      </c>
      <c r="C32" s="35"/>
      <c r="D32" s="40">
        <f>Table14[[#This Row],[Enrolment S.Y. 2025-2026 ]]*8</f>
        <v>0</v>
      </c>
      <c r="E32" s="40"/>
      <c r="F32" s="35"/>
      <c r="G32" s="40"/>
      <c r="H32" s="40">
        <f t="shared" si="0"/>
        <v>0</v>
      </c>
      <c r="I32" s="40">
        <f t="shared" si="1"/>
        <v>0</v>
      </c>
      <c r="J32" s="40">
        <f>Table14[[#This Row],[Enrolment S.Y. 2025-2026 ]]*8</f>
        <v>0</v>
      </c>
      <c r="K32" s="40"/>
      <c r="L32" s="35"/>
      <c r="M32" s="40"/>
      <c r="N32" s="40">
        <f t="shared" si="2"/>
        <v>0</v>
      </c>
      <c r="O32" s="40">
        <f t="shared" si="3"/>
        <v>0</v>
      </c>
      <c r="P32" s="40">
        <f>Table14[[#This Row],[Enrolment S.Y. 2025-2026 ]]*8</f>
        <v>0</v>
      </c>
      <c r="Q32" s="40"/>
      <c r="R32" s="35"/>
      <c r="S32" s="40"/>
      <c r="T32" s="40">
        <f t="shared" si="4"/>
        <v>0</v>
      </c>
      <c r="U32" s="40">
        <f t="shared" si="5"/>
        <v>0</v>
      </c>
      <c r="V32" s="40">
        <f>Table14[[#This Row],[Enrolment S.Y. 2025-2026 ]]*8</f>
        <v>0</v>
      </c>
      <c r="W32" s="40"/>
      <c r="X32" s="35"/>
      <c r="Y32" s="40"/>
      <c r="Z32" s="40">
        <f t="shared" si="6"/>
        <v>0</v>
      </c>
      <c r="AA32" s="40">
        <f t="shared" si="7"/>
        <v>0</v>
      </c>
    </row>
    <row r="33" spans="1:27" ht="15">
      <c r="A33" s="35">
        <v>4</v>
      </c>
      <c r="B33" s="42" t="s">
        <v>12</v>
      </c>
      <c r="C33" s="35"/>
      <c r="D33" s="40">
        <f>Table14[[#This Row],[Enrolment S.Y. 2025-2026 ]]*8</f>
        <v>0</v>
      </c>
      <c r="E33" s="40"/>
      <c r="F33" s="35"/>
      <c r="G33" s="40"/>
      <c r="H33" s="40">
        <f t="shared" si="0"/>
        <v>0</v>
      </c>
      <c r="I33" s="40">
        <f t="shared" si="1"/>
        <v>0</v>
      </c>
      <c r="J33" s="40">
        <f>Table14[[#This Row],[Enrolment S.Y. 2025-2026 ]]*8</f>
        <v>0</v>
      </c>
      <c r="K33" s="40"/>
      <c r="L33" s="35"/>
      <c r="M33" s="40"/>
      <c r="N33" s="40">
        <f t="shared" si="2"/>
        <v>0</v>
      </c>
      <c r="O33" s="40">
        <f t="shared" si="3"/>
        <v>0</v>
      </c>
      <c r="P33" s="40">
        <f>Table14[[#This Row],[Enrolment S.Y. 2025-2026 ]]*8</f>
        <v>0</v>
      </c>
      <c r="Q33" s="40"/>
      <c r="R33" s="35"/>
      <c r="S33" s="40"/>
      <c r="T33" s="40">
        <f t="shared" si="4"/>
        <v>0</v>
      </c>
      <c r="U33" s="40">
        <f t="shared" si="5"/>
        <v>0</v>
      </c>
      <c r="V33" s="40">
        <f>Table14[[#This Row],[Enrolment S.Y. 2025-2026 ]]*8</f>
        <v>0</v>
      </c>
      <c r="W33" s="40"/>
      <c r="X33" s="35"/>
      <c r="Y33" s="40"/>
      <c r="Z33" s="40">
        <f t="shared" si="6"/>
        <v>0</v>
      </c>
      <c r="AA33" s="40">
        <f t="shared" si="7"/>
        <v>0</v>
      </c>
    </row>
    <row r="34" spans="1:27" ht="15">
      <c r="A34" s="35">
        <v>4</v>
      </c>
      <c r="B34" s="42" t="s">
        <v>10</v>
      </c>
      <c r="C34" s="35"/>
      <c r="D34" s="40">
        <f>Table14[[#This Row],[Enrolment S.Y. 2025-2026 ]]*8</f>
        <v>0</v>
      </c>
      <c r="E34" s="40"/>
      <c r="F34" s="35"/>
      <c r="G34" s="40"/>
      <c r="H34" s="40">
        <f t="shared" si="0"/>
        <v>0</v>
      </c>
      <c r="I34" s="40">
        <f t="shared" si="1"/>
        <v>0</v>
      </c>
      <c r="J34" s="40">
        <f>Table14[[#This Row],[Enrolment S.Y. 2025-2026 ]]*8</f>
        <v>0</v>
      </c>
      <c r="K34" s="40"/>
      <c r="L34" s="35"/>
      <c r="M34" s="40"/>
      <c r="N34" s="40">
        <f t="shared" si="2"/>
        <v>0</v>
      </c>
      <c r="O34" s="40">
        <f t="shared" si="3"/>
        <v>0</v>
      </c>
      <c r="P34" s="40">
        <f>Table14[[#This Row],[Enrolment S.Y. 2025-2026 ]]*8</f>
        <v>0</v>
      </c>
      <c r="Q34" s="40"/>
      <c r="R34" s="35"/>
      <c r="S34" s="40"/>
      <c r="T34" s="40">
        <f t="shared" si="4"/>
        <v>0</v>
      </c>
      <c r="U34" s="40">
        <f t="shared" si="5"/>
        <v>0</v>
      </c>
      <c r="V34" s="40">
        <f>Table14[[#This Row],[Enrolment S.Y. 2025-2026 ]]*8</f>
        <v>0</v>
      </c>
      <c r="W34" s="40"/>
      <c r="X34" s="35"/>
      <c r="Y34" s="40"/>
      <c r="Z34" s="40">
        <f t="shared" si="6"/>
        <v>0</v>
      </c>
      <c r="AA34" s="40">
        <f t="shared" si="7"/>
        <v>0</v>
      </c>
    </row>
    <row r="35" spans="1:27" ht="15">
      <c r="A35" s="35">
        <v>4</v>
      </c>
      <c r="B35" s="42" t="s">
        <v>16</v>
      </c>
      <c r="C35" s="35"/>
      <c r="D35" s="40">
        <f>Table14[[#This Row],[Enrolment S.Y. 2025-2026 ]]*8</f>
        <v>0</v>
      </c>
      <c r="E35" s="40"/>
      <c r="F35" s="35"/>
      <c r="G35" s="40"/>
      <c r="H35" s="40">
        <f t="shared" si="0"/>
        <v>0</v>
      </c>
      <c r="I35" s="40">
        <f t="shared" si="1"/>
        <v>0</v>
      </c>
      <c r="J35" s="40">
        <f>Table14[[#This Row],[Enrolment S.Y. 2025-2026 ]]*8</f>
        <v>0</v>
      </c>
      <c r="K35" s="40"/>
      <c r="L35" s="35"/>
      <c r="M35" s="40"/>
      <c r="N35" s="40">
        <f t="shared" si="2"/>
        <v>0</v>
      </c>
      <c r="O35" s="40">
        <f t="shared" si="3"/>
        <v>0</v>
      </c>
      <c r="P35" s="40">
        <f>Table14[[#This Row],[Enrolment S.Y. 2025-2026 ]]*8</f>
        <v>0</v>
      </c>
      <c r="Q35" s="40"/>
      <c r="R35" s="35"/>
      <c r="S35" s="40"/>
      <c r="T35" s="40">
        <f t="shared" si="4"/>
        <v>0</v>
      </c>
      <c r="U35" s="40">
        <f t="shared" si="5"/>
        <v>0</v>
      </c>
      <c r="V35" s="40">
        <f>Table14[[#This Row],[Enrolment S.Y. 2025-2026 ]]*8</f>
        <v>0</v>
      </c>
      <c r="W35" s="40"/>
      <c r="X35" s="35"/>
      <c r="Y35" s="40"/>
      <c r="Z35" s="40">
        <f t="shared" si="6"/>
        <v>0</v>
      </c>
      <c r="AA35" s="40">
        <f t="shared" si="7"/>
        <v>0</v>
      </c>
    </row>
    <row r="36" spans="1:27" ht="15">
      <c r="A36" s="35">
        <v>4</v>
      </c>
      <c r="B36" s="42" t="s">
        <v>13</v>
      </c>
      <c r="C36" s="35"/>
      <c r="D36" s="40">
        <f>Table14[[#This Row],[Enrolment S.Y. 2025-2026 ]]*8</f>
        <v>0</v>
      </c>
      <c r="E36" s="40"/>
      <c r="F36" s="35"/>
      <c r="G36" s="40"/>
      <c r="H36" s="40">
        <f t="shared" si="0"/>
        <v>0</v>
      </c>
      <c r="I36" s="40">
        <f t="shared" si="1"/>
        <v>0</v>
      </c>
      <c r="J36" s="40">
        <f>Table14[[#This Row],[Enrolment S.Y. 2025-2026 ]]*8</f>
        <v>0</v>
      </c>
      <c r="K36" s="40"/>
      <c r="L36" s="35"/>
      <c r="M36" s="40"/>
      <c r="N36" s="40">
        <f t="shared" ref="N36:N41" si="8">IF((J36-K36)&lt;0,0,(J36-K36))</f>
        <v>0</v>
      </c>
      <c r="O36" s="40">
        <f t="shared" ref="O36:O41" si="9">IF((K36-J36)&lt;0,0,(K36-J36))</f>
        <v>0</v>
      </c>
      <c r="P36" s="40">
        <f>Table14[[#This Row],[Enrolment S.Y. 2025-2026 ]]*8</f>
        <v>0</v>
      </c>
      <c r="Q36" s="40"/>
      <c r="R36" s="35"/>
      <c r="S36" s="40"/>
      <c r="T36" s="40">
        <f t="shared" si="4"/>
        <v>0</v>
      </c>
      <c r="U36" s="40">
        <f t="shared" si="5"/>
        <v>0</v>
      </c>
      <c r="V36" s="40">
        <f>Table14[[#This Row],[Enrolment S.Y. 2025-2026 ]]*8</f>
        <v>0</v>
      </c>
      <c r="W36" s="40"/>
      <c r="X36" s="35"/>
      <c r="Y36" s="40"/>
      <c r="Z36" s="40">
        <f t="shared" si="6"/>
        <v>0</v>
      </c>
      <c r="AA36" s="40">
        <f t="shared" si="7"/>
        <v>0</v>
      </c>
    </row>
    <row r="37" spans="1:27" ht="15">
      <c r="A37" s="44">
        <v>4</v>
      </c>
      <c r="B37" s="42" t="s">
        <v>86</v>
      </c>
      <c r="C37" s="40"/>
      <c r="D37" s="40">
        <f>Table14[[#This Row],[Enrolment S.Y. 2025-2026 ]]*8</f>
        <v>0</v>
      </c>
      <c r="E37" s="40"/>
      <c r="F37" s="35"/>
      <c r="G37" s="40"/>
      <c r="H37" s="40">
        <f>IF((D37-E37)&lt;0,0,(D37-E37))</f>
        <v>0</v>
      </c>
      <c r="I37" s="40">
        <f>IF((E37-D37)&lt;0,0,(E37-D37))</f>
        <v>0</v>
      </c>
      <c r="J37" s="40">
        <f>Table14[[#This Row],[Enrolment S.Y. 2025-2026 ]]*8</f>
        <v>0</v>
      </c>
      <c r="K37" s="40"/>
      <c r="L37" s="35"/>
      <c r="M37" s="40"/>
      <c r="N37" s="40">
        <f t="shared" si="8"/>
        <v>0</v>
      </c>
      <c r="O37" s="40">
        <f t="shared" si="9"/>
        <v>0</v>
      </c>
      <c r="P37" s="40">
        <f>Table14[[#This Row],[Enrolment S.Y. 2025-2026 ]]*8</f>
        <v>0</v>
      </c>
      <c r="Q37" s="40"/>
      <c r="R37" s="35"/>
      <c r="S37" s="40"/>
      <c r="T37" s="40">
        <f>IF((P37-Q37)&lt;0,0,(P37-Q37))</f>
        <v>0</v>
      </c>
      <c r="U37" s="40">
        <f>IF((Q37-P37)&lt;0,0,(Q37-P37))</f>
        <v>0</v>
      </c>
      <c r="V37" s="40">
        <f>Table14[[#This Row],[Enrolment S.Y. 2025-2026 ]]*8</f>
        <v>0</v>
      </c>
      <c r="W37" s="40"/>
      <c r="X37" s="35"/>
      <c r="Y37" s="40"/>
      <c r="Z37" s="40">
        <f>IF((V37-W37)&lt;0,0,(V37-W37))</f>
        <v>0</v>
      </c>
      <c r="AA37" s="40">
        <f>IF((W37-V37)&lt;0,0,(W37-V37))</f>
        <v>0</v>
      </c>
    </row>
    <row r="38" spans="1:27" ht="15">
      <c r="A38" s="35">
        <v>4</v>
      </c>
      <c r="B38" s="42" t="s">
        <v>87</v>
      </c>
      <c r="C38" s="35"/>
      <c r="D38" s="40">
        <f>Table14[[#This Row],[Enrolment S.Y. 2025-2026 ]]*8</f>
        <v>0</v>
      </c>
      <c r="E38" s="40"/>
      <c r="F38" s="35"/>
      <c r="G38" s="40"/>
      <c r="H38" s="40">
        <f t="shared" si="0"/>
        <v>0</v>
      </c>
      <c r="I38" s="40">
        <f t="shared" si="1"/>
        <v>0</v>
      </c>
      <c r="J38" s="40">
        <f>Table14[[#This Row],[Enrolment S.Y. 2025-2026 ]]*8</f>
        <v>0</v>
      </c>
      <c r="K38" s="40"/>
      <c r="L38" s="35"/>
      <c r="M38" s="40"/>
      <c r="N38" s="40">
        <f t="shared" si="8"/>
        <v>0</v>
      </c>
      <c r="O38" s="40">
        <f t="shared" si="9"/>
        <v>0</v>
      </c>
      <c r="P38" s="40">
        <f>Table14[[#This Row],[Enrolment S.Y. 2025-2026 ]]*8</f>
        <v>0</v>
      </c>
      <c r="Q38" s="40"/>
      <c r="R38" s="35"/>
      <c r="S38" s="40"/>
      <c r="T38" s="40">
        <f t="shared" si="4"/>
        <v>0</v>
      </c>
      <c r="U38" s="40">
        <f t="shared" si="5"/>
        <v>0</v>
      </c>
      <c r="V38" s="40">
        <f>Table14[[#This Row],[Enrolment S.Y. 2025-2026 ]]*8</f>
        <v>0</v>
      </c>
      <c r="W38" s="40"/>
      <c r="X38" s="35"/>
      <c r="Y38" s="40"/>
      <c r="Z38" s="40">
        <f t="shared" si="6"/>
        <v>0</v>
      </c>
      <c r="AA38" s="40">
        <f t="shared" si="7"/>
        <v>0</v>
      </c>
    </row>
    <row r="39" spans="1:27" ht="15">
      <c r="A39" s="35">
        <v>4</v>
      </c>
      <c r="B39" s="42" t="s">
        <v>18</v>
      </c>
      <c r="C39" s="35"/>
      <c r="D39" s="40">
        <f>Table14[[#This Row],[Enrolment S.Y. 2025-2026 ]]*8</f>
        <v>0</v>
      </c>
      <c r="E39" s="40"/>
      <c r="F39" s="35"/>
      <c r="G39" s="40"/>
      <c r="H39" s="40">
        <f t="shared" si="0"/>
        <v>0</v>
      </c>
      <c r="I39" s="40">
        <f t="shared" si="1"/>
        <v>0</v>
      </c>
      <c r="J39" s="40">
        <f>Table14[[#This Row],[Enrolment S.Y. 2025-2026 ]]*8</f>
        <v>0</v>
      </c>
      <c r="K39" s="40"/>
      <c r="L39" s="35"/>
      <c r="M39" s="40"/>
      <c r="N39" s="40">
        <f t="shared" si="8"/>
        <v>0</v>
      </c>
      <c r="O39" s="40">
        <f t="shared" si="9"/>
        <v>0</v>
      </c>
      <c r="P39" s="40">
        <f>Table14[[#This Row],[Enrolment S.Y. 2025-2026 ]]*8</f>
        <v>0</v>
      </c>
      <c r="Q39" s="40"/>
      <c r="R39" s="35"/>
      <c r="S39" s="40"/>
      <c r="T39" s="40">
        <f t="shared" si="4"/>
        <v>0</v>
      </c>
      <c r="U39" s="40">
        <f t="shared" si="5"/>
        <v>0</v>
      </c>
      <c r="V39" s="40">
        <f>Table14[[#This Row],[Enrolment S.Y. 2025-2026 ]]*8</f>
        <v>0</v>
      </c>
      <c r="W39" s="40"/>
      <c r="X39" s="35"/>
      <c r="Y39" s="40"/>
      <c r="Z39" s="40">
        <f t="shared" si="6"/>
        <v>0</v>
      </c>
      <c r="AA39" s="40">
        <f t="shared" si="7"/>
        <v>0</v>
      </c>
    </row>
    <row r="40" spans="1:27" ht="15">
      <c r="A40" s="44">
        <v>4</v>
      </c>
      <c r="B40" s="42" t="s">
        <v>88</v>
      </c>
      <c r="C40" s="40"/>
      <c r="D40" s="40">
        <f>Table14[[#This Row],[Enrolment S.Y. 2025-2026 ]]*8</f>
        <v>0</v>
      </c>
      <c r="E40" s="40"/>
      <c r="F40" s="35"/>
      <c r="G40" s="40"/>
      <c r="H40" s="40">
        <f>IF((D40-E40)&lt;0,0,(D40-E40))</f>
        <v>0</v>
      </c>
      <c r="I40" s="40">
        <f>IF((E40-D40)&lt;0,0,(E40-D40))</f>
        <v>0</v>
      </c>
      <c r="J40" s="40">
        <f>Table14[[#This Row],[Enrolment S.Y. 2025-2026 ]]*8</f>
        <v>0</v>
      </c>
      <c r="K40" s="40"/>
      <c r="L40" s="35"/>
      <c r="M40" s="40"/>
      <c r="N40" s="40">
        <f t="shared" si="8"/>
        <v>0</v>
      </c>
      <c r="O40" s="40">
        <f t="shared" si="9"/>
        <v>0</v>
      </c>
      <c r="P40" s="40">
        <f>Table14[[#This Row],[Enrolment S.Y. 2025-2026 ]]*8</f>
        <v>0</v>
      </c>
      <c r="Q40" s="40"/>
      <c r="R40" s="35"/>
      <c r="S40" s="40"/>
      <c r="T40" s="40">
        <f>IF((P40-Q40)&lt;0,0,(P40-Q40))</f>
        <v>0</v>
      </c>
      <c r="U40" s="40">
        <f>IF((Q40-P40)&lt;0,0,(Q40-P40))</f>
        <v>0</v>
      </c>
      <c r="V40" s="40">
        <f>Table14[[#This Row],[Enrolment S.Y. 2025-2026 ]]*8</f>
        <v>0</v>
      </c>
      <c r="W40" s="40"/>
      <c r="X40" s="35"/>
      <c r="Y40" s="40"/>
      <c r="Z40" s="40">
        <f>IF((V40-W40)&lt;0,0,(V40-W40))</f>
        <v>0</v>
      </c>
      <c r="AA40" s="40">
        <f>IF((W40-V40)&lt;0,0,(W40-V40))</f>
        <v>0</v>
      </c>
    </row>
    <row r="41" spans="1:27" ht="15">
      <c r="A41" s="35">
        <v>4</v>
      </c>
      <c r="B41" s="42" t="s">
        <v>89</v>
      </c>
      <c r="C41" s="35"/>
      <c r="D41" s="40">
        <f>Table14[[#This Row],[Enrolment S.Y. 2025-2026 ]]*8</f>
        <v>0</v>
      </c>
      <c r="E41" s="40"/>
      <c r="F41" s="35"/>
      <c r="G41" s="40"/>
      <c r="H41" s="40">
        <f t="shared" si="0"/>
        <v>0</v>
      </c>
      <c r="I41" s="40">
        <f t="shared" si="1"/>
        <v>0</v>
      </c>
      <c r="J41" s="40">
        <f>Table14[[#This Row],[Enrolment S.Y. 2025-2026 ]]*8</f>
        <v>0</v>
      </c>
      <c r="K41" s="40"/>
      <c r="L41" s="35"/>
      <c r="M41" s="40"/>
      <c r="N41" s="40">
        <f t="shared" si="8"/>
        <v>0</v>
      </c>
      <c r="O41" s="40">
        <f t="shared" si="9"/>
        <v>0</v>
      </c>
      <c r="P41" s="40">
        <f>Table14[[#This Row],[Enrolment S.Y. 2025-2026 ]]*8</f>
        <v>0</v>
      </c>
      <c r="Q41" s="40"/>
      <c r="R41" s="35"/>
      <c r="S41" s="40"/>
      <c r="T41" s="40">
        <f t="shared" si="4"/>
        <v>0</v>
      </c>
      <c r="U41" s="40">
        <f t="shared" si="5"/>
        <v>0</v>
      </c>
      <c r="V41" s="40">
        <f>Table14[[#This Row],[Enrolment S.Y. 2025-2026 ]]*8</f>
        <v>0</v>
      </c>
      <c r="W41" s="40"/>
      <c r="X41" s="35"/>
      <c r="Y41" s="40"/>
      <c r="Z41" s="40">
        <f t="shared" si="6"/>
        <v>0</v>
      </c>
      <c r="AA41" s="40">
        <f t="shared" si="7"/>
        <v>0</v>
      </c>
    </row>
    <row r="42" spans="1:27" s="5" customForma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 ht="15">
      <c r="A43" s="35">
        <v>5</v>
      </c>
      <c r="B43" s="42" t="s">
        <v>14</v>
      </c>
      <c r="C43" s="35"/>
      <c r="D43" s="40">
        <f>Table14[[#This Row],[Enrolment S.Y. 2025-2026 ]]*8</f>
        <v>0</v>
      </c>
      <c r="E43" s="40"/>
      <c r="F43" s="35"/>
      <c r="G43" s="40"/>
      <c r="H43" s="40">
        <f t="shared" si="0"/>
        <v>0</v>
      </c>
      <c r="I43" s="40">
        <f t="shared" si="1"/>
        <v>0</v>
      </c>
      <c r="J43" s="40">
        <f>Table14[[#This Row],[Enrolment S.Y. 2025-2026 ]]*8</f>
        <v>0</v>
      </c>
      <c r="K43" s="40"/>
      <c r="L43" s="35"/>
      <c r="M43" s="40"/>
      <c r="N43" s="40">
        <f t="shared" si="2"/>
        <v>0</v>
      </c>
      <c r="O43" s="40">
        <f t="shared" si="3"/>
        <v>0</v>
      </c>
      <c r="P43" s="40">
        <f>Table14[[#This Row],[Enrolment S.Y. 2025-2026 ]]*8</f>
        <v>0</v>
      </c>
      <c r="Q43" s="40"/>
      <c r="R43" s="35"/>
      <c r="S43" s="40"/>
      <c r="T43" s="40">
        <f t="shared" si="4"/>
        <v>0</v>
      </c>
      <c r="U43" s="40">
        <f t="shared" si="5"/>
        <v>0</v>
      </c>
      <c r="V43" s="40">
        <f>Table14[[#This Row],[Enrolment S.Y. 2025-2026 ]]*8</f>
        <v>0</v>
      </c>
      <c r="W43" s="40"/>
      <c r="X43" s="35"/>
      <c r="Y43" s="40"/>
      <c r="Z43" s="40">
        <f t="shared" si="6"/>
        <v>0</v>
      </c>
      <c r="AA43" s="40">
        <f t="shared" si="7"/>
        <v>0</v>
      </c>
    </row>
    <row r="44" spans="1:27" ht="15">
      <c r="A44" s="35">
        <v>5</v>
      </c>
      <c r="B44" s="42" t="s">
        <v>15</v>
      </c>
      <c r="C44" s="35"/>
      <c r="D44" s="40">
        <f>Table14[[#This Row],[Enrolment S.Y. 2025-2026 ]]*8</f>
        <v>0</v>
      </c>
      <c r="E44" s="40"/>
      <c r="F44" s="35"/>
      <c r="G44" s="40"/>
      <c r="H44" s="40">
        <f t="shared" si="0"/>
        <v>0</v>
      </c>
      <c r="I44" s="40">
        <f t="shared" si="1"/>
        <v>0</v>
      </c>
      <c r="J44" s="40">
        <f>Table14[[#This Row],[Enrolment S.Y. 2025-2026 ]]*8</f>
        <v>0</v>
      </c>
      <c r="K44" s="40"/>
      <c r="L44" s="35"/>
      <c r="M44" s="40"/>
      <c r="N44" s="40">
        <f t="shared" si="2"/>
        <v>0</v>
      </c>
      <c r="O44" s="40">
        <f t="shared" si="3"/>
        <v>0</v>
      </c>
      <c r="P44" s="40">
        <f>Table14[[#This Row],[Enrolment S.Y. 2025-2026 ]]*8</f>
        <v>0</v>
      </c>
      <c r="Q44" s="40"/>
      <c r="R44" s="35"/>
      <c r="S44" s="40"/>
      <c r="T44" s="40">
        <f t="shared" si="4"/>
        <v>0</v>
      </c>
      <c r="U44" s="40">
        <f t="shared" si="5"/>
        <v>0</v>
      </c>
      <c r="V44" s="40">
        <f>Table14[[#This Row],[Enrolment S.Y. 2025-2026 ]]*8</f>
        <v>0</v>
      </c>
      <c r="W44" s="40"/>
      <c r="X44" s="35"/>
      <c r="Y44" s="40"/>
      <c r="Z44" s="40">
        <f t="shared" si="6"/>
        <v>0</v>
      </c>
      <c r="AA44" s="40">
        <f t="shared" si="7"/>
        <v>0</v>
      </c>
    </row>
    <row r="45" spans="1:27" ht="15">
      <c r="A45" s="35">
        <v>5</v>
      </c>
      <c r="B45" s="42" t="s">
        <v>12</v>
      </c>
      <c r="C45" s="35"/>
      <c r="D45" s="40">
        <f>Table14[[#This Row],[Enrolment S.Y. 2025-2026 ]]*8</f>
        <v>0</v>
      </c>
      <c r="E45" s="40"/>
      <c r="F45" s="35"/>
      <c r="G45" s="40"/>
      <c r="H45" s="40">
        <f t="shared" si="0"/>
        <v>0</v>
      </c>
      <c r="I45" s="40">
        <f t="shared" si="1"/>
        <v>0</v>
      </c>
      <c r="J45" s="40">
        <f>Table14[[#This Row],[Enrolment S.Y. 2025-2026 ]]*8</f>
        <v>0</v>
      </c>
      <c r="K45" s="40"/>
      <c r="L45" s="35"/>
      <c r="M45" s="40"/>
      <c r="N45" s="40">
        <f t="shared" si="2"/>
        <v>0</v>
      </c>
      <c r="O45" s="40">
        <f t="shared" si="3"/>
        <v>0</v>
      </c>
      <c r="P45" s="40">
        <f>Table14[[#This Row],[Enrolment S.Y. 2025-2026 ]]*8</f>
        <v>0</v>
      </c>
      <c r="Q45" s="40"/>
      <c r="R45" s="35"/>
      <c r="S45" s="40"/>
      <c r="T45" s="40">
        <f t="shared" si="4"/>
        <v>0</v>
      </c>
      <c r="U45" s="40">
        <f t="shared" si="5"/>
        <v>0</v>
      </c>
      <c r="V45" s="40">
        <f>Table14[[#This Row],[Enrolment S.Y. 2025-2026 ]]*8</f>
        <v>0</v>
      </c>
      <c r="W45" s="40"/>
      <c r="X45" s="35"/>
      <c r="Y45" s="40"/>
      <c r="Z45" s="40">
        <f t="shared" si="6"/>
        <v>0</v>
      </c>
      <c r="AA45" s="40">
        <f t="shared" si="7"/>
        <v>0</v>
      </c>
    </row>
    <row r="46" spans="1:27" ht="15">
      <c r="A46" s="35">
        <v>5</v>
      </c>
      <c r="B46" s="42" t="s">
        <v>10</v>
      </c>
      <c r="C46" s="35"/>
      <c r="D46" s="40">
        <f>Table14[[#This Row],[Enrolment S.Y. 2025-2026 ]]*8</f>
        <v>0</v>
      </c>
      <c r="E46" s="40"/>
      <c r="F46" s="35"/>
      <c r="G46" s="40"/>
      <c r="H46" s="40">
        <f t="shared" si="0"/>
        <v>0</v>
      </c>
      <c r="I46" s="40">
        <f t="shared" si="1"/>
        <v>0</v>
      </c>
      <c r="J46" s="40">
        <f>Table14[[#This Row],[Enrolment S.Y. 2025-2026 ]]*8</f>
        <v>0</v>
      </c>
      <c r="K46" s="40"/>
      <c r="L46" s="35"/>
      <c r="M46" s="40"/>
      <c r="N46" s="40">
        <f t="shared" si="2"/>
        <v>0</v>
      </c>
      <c r="O46" s="40">
        <f t="shared" si="3"/>
        <v>0</v>
      </c>
      <c r="P46" s="40">
        <f>Table14[[#This Row],[Enrolment S.Y. 2025-2026 ]]*8</f>
        <v>0</v>
      </c>
      <c r="Q46" s="40"/>
      <c r="R46" s="35"/>
      <c r="S46" s="40"/>
      <c r="T46" s="40">
        <f t="shared" si="4"/>
        <v>0</v>
      </c>
      <c r="U46" s="40">
        <f t="shared" si="5"/>
        <v>0</v>
      </c>
      <c r="V46" s="40">
        <f>Table14[[#This Row],[Enrolment S.Y. 2025-2026 ]]*8</f>
        <v>0</v>
      </c>
      <c r="W46" s="40"/>
      <c r="X46" s="35"/>
      <c r="Y46" s="40"/>
      <c r="Z46" s="40">
        <f t="shared" si="6"/>
        <v>0</v>
      </c>
      <c r="AA46" s="40">
        <f t="shared" si="7"/>
        <v>0</v>
      </c>
    </row>
    <row r="47" spans="1:27" ht="15">
      <c r="A47" s="35">
        <v>5</v>
      </c>
      <c r="B47" s="42" t="s">
        <v>16</v>
      </c>
      <c r="C47" s="35"/>
      <c r="D47" s="40">
        <f>Table14[[#This Row],[Enrolment S.Y. 2025-2026 ]]*8</f>
        <v>0</v>
      </c>
      <c r="E47" s="40"/>
      <c r="F47" s="35"/>
      <c r="G47" s="40"/>
      <c r="H47" s="40">
        <f t="shared" si="0"/>
        <v>0</v>
      </c>
      <c r="I47" s="40">
        <f t="shared" si="1"/>
        <v>0</v>
      </c>
      <c r="J47" s="40">
        <f>Table14[[#This Row],[Enrolment S.Y. 2025-2026 ]]*8</f>
        <v>0</v>
      </c>
      <c r="K47" s="40"/>
      <c r="L47" s="35"/>
      <c r="M47" s="40"/>
      <c r="N47" s="40">
        <f t="shared" si="2"/>
        <v>0</v>
      </c>
      <c r="O47" s="40">
        <f t="shared" si="3"/>
        <v>0</v>
      </c>
      <c r="P47" s="40">
        <f>Table14[[#This Row],[Enrolment S.Y. 2025-2026 ]]*8</f>
        <v>0</v>
      </c>
      <c r="Q47" s="40"/>
      <c r="R47" s="35"/>
      <c r="S47" s="40"/>
      <c r="T47" s="40">
        <f t="shared" si="4"/>
        <v>0</v>
      </c>
      <c r="U47" s="40">
        <f t="shared" si="5"/>
        <v>0</v>
      </c>
      <c r="V47" s="40">
        <f>Table14[[#This Row],[Enrolment S.Y. 2025-2026 ]]*8</f>
        <v>0</v>
      </c>
      <c r="W47" s="40"/>
      <c r="X47" s="35"/>
      <c r="Y47" s="40"/>
      <c r="Z47" s="40">
        <f t="shared" si="6"/>
        <v>0</v>
      </c>
      <c r="AA47" s="40">
        <f t="shared" si="7"/>
        <v>0</v>
      </c>
    </row>
    <row r="48" spans="1:27" ht="15">
      <c r="A48" s="35">
        <v>5</v>
      </c>
      <c r="B48" s="42" t="s">
        <v>13</v>
      </c>
      <c r="C48" s="35"/>
      <c r="D48" s="40">
        <f>Table14[[#This Row],[Enrolment S.Y. 2025-2026 ]]*8</f>
        <v>0</v>
      </c>
      <c r="E48" s="40"/>
      <c r="F48" s="35"/>
      <c r="G48" s="40"/>
      <c r="H48" s="40">
        <f t="shared" si="0"/>
        <v>0</v>
      </c>
      <c r="I48" s="40">
        <f t="shared" si="1"/>
        <v>0</v>
      </c>
      <c r="J48" s="40">
        <f>Table14[[#This Row],[Enrolment S.Y. 2025-2026 ]]*8</f>
        <v>0</v>
      </c>
      <c r="K48" s="40"/>
      <c r="L48" s="35"/>
      <c r="M48" s="40"/>
      <c r="N48" s="40">
        <f t="shared" ref="N48:N53" si="10">IF((J48-K48)&lt;0,0,(J48-K48))</f>
        <v>0</v>
      </c>
      <c r="O48" s="40">
        <f t="shared" ref="O48:O53" si="11">IF((K48-J48)&lt;0,0,(K48-J48))</f>
        <v>0</v>
      </c>
      <c r="P48" s="40">
        <f>Table14[[#This Row],[Enrolment S.Y. 2025-2026 ]]*8</f>
        <v>0</v>
      </c>
      <c r="Q48" s="40"/>
      <c r="R48" s="35"/>
      <c r="S48" s="40"/>
      <c r="T48" s="40">
        <f t="shared" si="4"/>
        <v>0</v>
      </c>
      <c r="U48" s="40">
        <f t="shared" si="5"/>
        <v>0</v>
      </c>
      <c r="V48" s="40">
        <f>Table14[[#This Row],[Enrolment S.Y. 2025-2026 ]]*8</f>
        <v>0</v>
      </c>
      <c r="W48" s="40"/>
      <c r="X48" s="35"/>
      <c r="Y48" s="40"/>
      <c r="Z48" s="40">
        <f t="shared" si="6"/>
        <v>0</v>
      </c>
      <c r="AA48" s="40">
        <f t="shared" si="7"/>
        <v>0</v>
      </c>
    </row>
    <row r="49" spans="1:27" ht="15">
      <c r="A49" s="44">
        <v>5</v>
      </c>
      <c r="B49" s="42" t="s">
        <v>86</v>
      </c>
      <c r="C49" s="40"/>
      <c r="D49" s="40">
        <f>Table14[[#This Row],[Enrolment S.Y. 2025-2026 ]]*8</f>
        <v>0</v>
      </c>
      <c r="E49" s="40"/>
      <c r="F49" s="35"/>
      <c r="G49" s="40"/>
      <c r="H49" s="40">
        <f>IF((D49-E49)&lt;0,0,(D49-E49))</f>
        <v>0</v>
      </c>
      <c r="I49" s="40">
        <f>IF((E49-D49)&lt;0,0,(E49-D49))</f>
        <v>0</v>
      </c>
      <c r="J49" s="40">
        <f>Table14[[#This Row],[Enrolment S.Y. 2025-2026 ]]*8</f>
        <v>0</v>
      </c>
      <c r="K49" s="40"/>
      <c r="L49" s="35"/>
      <c r="M49" s="40"/>
      <c r="N49" s="40">
        <f t="shared" si="10"/>
        <v>0</v>
      </c>
      <c r="O49" s="40">
        <f t="shared" si="11"/>
        <v>0</v>
      </c>
      <c r="P49" s="40">
        <f>Table14[[#This Row],[Enrolment S.Y. 2025-2026 ]]*8</f>
        <v>0</v>
      </c>
      <c r="Q49" s="40"/>
      <c r="R49" s="35"/>
      <c r="S49" s="40"/>
      <c r="T49" s="40">
        <f>IF((P49-Q49)&lt;0,0,(P49-Q49))</f>
        <v>0</v>
      </c>
      <c r="U49" s="40">
        <f>IF((Q49-P49)&lt;0,0,(Q49-P49))</f>
        <v>0</v>
      </c>
      <c r="V49" s="40">
        <f>Table14[[#This Row],[Enrolment S.Y. 2025-2026 ]]*8</f>
        <v>0</v>
      </c>
      <c r="W49" s="40"/>
      <c r="X49" s="35"/>
      <c r="Y49" s="40"/>
      <c r="Z49" s="40">
        <f>IF((V49-W49)&lt;0,0,(V49-W49))</f>
        <v>0</v>
      </c>
      <c r="AA49" s="40">
        <f>IF((W49-V49)&lt;0,0,(W49-V49))</f>
        <v>0</v>
      </c>
    </row>
    <row r="50" spans="1:27" ht="15">
      <c r="A50" s="35">
        <v>5</v>
      </c>
      <c r="B50" s="42" t="s">
        <v>87</v>
      </c>
      <c r="C50" s="35"/>
      <c r="D50" s="40">
        <f>Table14[[#This Row],[Enrolment S.Y. 2025-2026 ]]*8</f>
        <v>0</v>
      </c>
      <c r="E50" s="40"/>
      <c r="F50" s="35"/>
      <c r="G50" s="40"/>
      <c r="H50" s="40">
        <f t="shared" si="0"/>
        <v>0</v>
      </c>
      <c r="I50" s="40">
        <f t="shared" si="1"/>
        <v>0</v>
      </c>
      <c r="J50" s="40">
        <f>Table14[[#This Row],[Enrolment S.Y. 2025-2026 ]]*8</f>
        <v>0</v>
      </c>
      <c r="K50" s="40"/>
      <c r="L50" s="35"/>
      <c r="M50" s="40"/>
      <c r="N50" s="40">
        <f t="shared" si="10"/>
        <v>0</v>
      </c>
      <c r="O50" s="40">
        <f t="shared" si="11"/>
        <v>0</v>
      </c>
      <c r="P50" s="40">
        <f>Table14[[#This Row],[Enrolment S.Y. 2025-2026 ]]*8</f>
        <v>0</v>
      </c>
      <c r="Q50" s="40"/>
      <c r="R50" s="35"/>
      <c r="S50" s="40"/>
      <c r="T50" s="40">
        <f t="shared" si="4"/>
        <v>0</v>
      </c>
      <c r="U50" s="40">
        <f t="shared" si="5"/>
        <v>0</v>
      </c>
      <c r="V50" s="40">
        <f>Table14[[#This Row],[Enrolment S.Y. 2025-2026 ]]*8</f>
        <v>0</v>
      </c>
      <c r="W50" s="40"/>
      <c r="X50" s="35"/>
      <c r="Y50" s="40"/>
      <c r="Z50" s="40">
        <f t="shared" si="6"/>
        <v>0</v>
      </c>
      <c r="AA50" s="40">
        <f t="shared" si="7"/>
        <v>0</v>
      </c>
    </row>
    <row r="51" spans="1:27" ht="15">
      <c r="A51" s="35">
        <v>5</v>
      </c>
      <c r="B51" s="42" t="s">
        <v>18</v>
      </c>
      <c r="C51" s="35"/>
      <c r="D51" s="40">
        <f>Table14[[#This Row],[Enrolment S.Y. 2025-2026 ]]*8</f>
        <v>0</v>
      </c>
      <c r="E51" s="40"/>
      <c r="F51" s="35"/>
      <c r="G51" s="40"/>
      <c r="H51" s="40">
        <f t="shared" si="0"/>
        <v>0</v>
      </c>
      <c r="I51" s="40">
        <f t="shared" si="1"/>
        <v>0</v>
      </c>
      <c r="J51" s="40">
        <f>Table14[[#This Row],[Enrolment S.Y. 2025-2026 ]]*8</f>
        <v>0</v>
      </c>
      <c r="K51" s="40"/>
      <c r="L51" s="35"/>
      <c r="M51" s="40"/>
      <c r="N51" s="40">
        <f t="shared" si="10"/>
        <v>0</v>
      </c>
      <c r="O51" s="40">
        <f t="shared" si="11"/>
        <v>0</v>
      </c>
      <c r="P51" s="40">
        <f>Table14[[#This Row],[Enrolment S.Y. 2025-2026 ]]*8</f>
        <v>0</v>
      </c>
      <c r="Q51" s="40"/>
      <c r="R51" s="35"/>
      <c r="S51" s="40"/>
      <c r="T51" s="40">
        <f t="shared" si="4"/>
        <v>0</v>
      </c>
      <c r="U51" s="40">
        <f t="shared" si="5"/>
        <v>0</v>
      </c>
      <c r="V51" s="40">
        <f>Table14[[#This Row],[Enrolment S.Y. 2025-2026 ]]*8</f>
        <v>0</v>
      </c>
      <c r="W51" s="40"/>
      <c r="X51" s="35"/>
      <c r="Y51" s="40"/>
      <c r="Z51" s="40">
        <f t="shared" si="6"/>
        <v>0</v>
      </c>
      <c r="AA51" s="40">
        <f t="shared" si="7"/>
        <v>0</v>
      </c>
    </row>
    <row r="52" spans="1:27" ht="15">
      <c r="A52" s="44">
        <v>5</v>
      </c>
      <c r="B52" s="42" t="s">
        <v>88</v>
      </c>
      <c r="C52" s="40"/>
      <c r="D52" s="40">
        <f>Table14[[#This Row],[Enrolment S.Y. 2025-2026 ]]*8</f>
        <v>0</v>
      </c>
      <c r="E52" s="40"/>
      <c r="F52" s="35"/>
      <c r="G52" s="40"/>
      <c r="H52" s="40">
        <f>IF((D52-E52)&lt;0,0,(D52-E52))</f>
        <v>0</v>
      </c>
      <c r="I52" s="40">
        <f>IF((E52-D52)&lt;0,0,(E52-D52))</f>
        <v>0</v>
      </c>
      <c r="J52" s="40">
        <f>Table14[[#This Row],[Enrolment S.Y. 2025-2026 ]]*8</f>
        <v>0</v>
      </c>
      <c r="K52" s="40"/>
      <c r="L52" s="35"/>
      <c r="M52" s="40"/>
      <c r="N52" s="40">
        <f t="shared" si="10"/>
        <v>0</v>
      </c>
      <c r="O52" s="40">
        <f t="shared" si="11"/>
        <v>0</v>
      </c>
      <c r="P52" s="40">
        <f>Table14[[#This Row],[Enrolment S.Y. 2025-2026 ]]*8</f>
        <v>0</v>
      </c>
      <c r="Q52" s="40"/>
      <c r="R52" s="35"/>
      <c r="S52" s="40"/>
      <c r="T52" s="40">
        <f>IF((P52-Q52)&lt;0,0,(P52-Q52))</f>
        <v>0</v>
      </c>
      <c r="U52" s="40">
        <f>IF((Q52-P52)&lt;0,0,(Q52-P52))</f>
        <v>0</v>
      </c>
      <c r="V52" s="40">
        <f>Table14[[#This Row],[Enrolment S.Y. 2025-2026 ]]*8</f>
        <v>0</v>
      </c>
      <c r="W52" s="40"/>
      <c r="X52" s="35"/>
      <c r="Y52" s="40"/>
      <c r="Z52" s="40">
        <f>IF((V52-W52)&lt;0,0,(V52-W52))</f>
        <v>0</v>
      </c>
      <c r="AA52" s="40">
        <f>IF((W52-V52)&lt;0,0,(W52-V52))</f>
        <v>0</v>
      </c>
    </row>
    <row r="53" spans="1:27" ht="15">
      <c r="A53" s="35">
        <v>5</v>
      </c>
      <c r="B53" s="42" t="s">
        <v>89</v>
      </c>
      <c r="C53" s="35"/>
      <c r="D53" s="40">
        <f>Table14[[#This Row],[Enrolment S.Y. 2025-2026 ]]*8</f>
        <v>0</v>
      </c>
      <c r="E53" s="40"/>
      <c r="F53" s="35"/>
      <c r="G53" s="40"/>
      <c r="H53" s="40">
        <f t="shared" si="0"/>
        <v>0</v>
      </c>
      <c r="I53" s="40">
        <f t="shared" si="1"/>
        <v>0</v>
      </c>
      <c r="J53" s="40">
        <f>Table14[[#This Row],[Enrolment S.Y. 2025-2026 ]]*8</f>
        <v>0</v>
      </c>
      <c r="K53" s="40"/>
      <c r="L53" s="35"/>
      <c r="M53" s="40"/>
      <c r="N53" s="40">
        <f t="shared" si="10"/>
        <v>0</v>
      </c>
      <c r="O53" s="40">
        <f t="shared" si="11"/>
        <v>0</v>
      </c>
      <c r="P53" s="40">
        <f>Table14[[#This Row],[Enrolment S.Y. 2025-2026 ]]*8</f>
        <v>0</v>
      </c>
      <c r="Q53" s="40"/>
      <c r="R53" s="35"/>
      <c r="S53" s="40"/>
      <c r="T53" s="40">
        <f t="shared" si="4"/>
        <v>0</v>
      </c>
      <c r="U53" s="40">
        <f t="shared" si="5"/>
        <v>0</v>
      </c>
      <c r="V53" s="40">
        <f>Table14[[#This Row],[Enrolment S.Y. 2025-2026 ]]*8</f>
        <v>0</v>
      </c>
      <c r="W53" s="40"/>
      <c r="X53" s="35"/>
      <c r="Y53" s="40"/>
      <c r="Z53" s="40">
        <f t="shared" si="6"/>
        <v>0</v>
      </c>
      <c r="AA53" s="40">
        <f t="shared" si="7"/>
        <v>0</v>
      </c>
    </row>
    <row r="54" spans="1:27" s="5" customForma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 ht="15">
      <c r="A55" s="35">
        <v>6</v>
      </c>
      <c r="B55" s="42" t="s">
        <v>14</v>
      </c>
      <c r="C55" s="35"/>
      <c r="D55" s="40">
        <f>Table14[[#This Row],[Enrolment S.Y. 2025-2026 ]]*8</f>
        <v>0</v>
      </c>
      <c r="E55" s="40"/>
      <c r="F55" s="35"/>
      <c r="G55" s="40"/>
      <c r="H55" s="40">
        <f t="shared" si="0"/>
        <v>0</v>
      </c>
      <c r="I55" s="40">
        <f t="shared" si="1"/>
        <v>0</v>
      </c>
      <c r="J55" s="40">
        <f>Table14[[#This Row],[Enrolment S.Y. 2025-2026 ]]*8</f>
        <v>0</v>
      </c>
      <c r="K55" s="40"/>
      <c r="L55" s="35"/>
      <c r="M55" s="40"/>
      <c r="N55" s="40">
        <f t="shared" si="2"/>
        <v>0</v>
      </c>
      <c r="O55" s="40">
        <f t="shared" si="3"/>
        <v>0</v>
      </c>
      <c r="P55" s="40">
        <f>Table14[[#This Row],[Enrolment S.Y. 2025-2026 ]]*8</f>
        <v>0</v>
      </c>
      <c r="Q55" s="40"/>
      <c r="R55" s="35"/>
      <c r="S55" s="40"/>
      <c r="T55" s="40">
        <f t="shared" si="4"/>
        <v>0</v>
      </c>
      <c r="U55" s="40">
        <f t="shared" si="5"/>
        <v>0</v>
      </c>
      <c r="V55" s="40">
        <f>Table14[[#This Row],[Enrolment S.Y. 2025-2026 ]]*8</f>
        <v>0</v>
      </c>
      <c r="W55" s="40"/>
      <c r="X55" s="35"/>
      <c r="Y55" s="40"/>
      <c r="Z55" s="40">
        <f t="shared" si="6"/>
        <v>0</v>
      </c>
      <c r="AA55" s="40">
        <f t="shared" si="7"/>
        <v>0</v>
      </c>
    </row>
    <row r="56" spans="1:27" ht="15">
      <c r="A56" s="35">
        <v>6</v>
      </c>
      <c r="B56" s="42" t="s">
        <v>15</v>
      </c>
      <c r="C56" s="35"/>
      <c r="D56" s="40">
        <f>Table14[[#This Row],[Enrolment S.Y. 2025-2026 ]]*8</f>
        <v>0</v>
      </c>
      <c r="E56" s="40"/>
      <c r="F56" s="35"/>
      <c r="G56" s="40"/>
      <c r="H56" s="40">
        <f t="shared" si="0"/>
        <v>0</v>
      </c>
      <c r="I56" s="40">
        <f t="shared" si="1"/>
        <v>0</v>
      </c>
      <c r="J56" s="40">
        <f>Table14[[#This Row],[Enrolment S.Y. 2025-2026 ]]*8</f>
        <v>0</v>
      </c>
      <c r="K56" s="40"/>
      <c r="L56" s="35"/>
      <c r="M56" s="40"/>
      <c r="N56" s="40">
        <f t="shared" si="2"/>
        <v>0</v>
      </c>
      <c r="O56" s="40">
        <f t="shared" si="3"/>
        <v>0</v>
      </c>
      <c r="P56" s="40">
        <f>Table14[[#This Row],[Enrolment S.Y. 2025-2026 ]]*8</f>
        <v>0</v>
      </c>
      <c r="Q56" s="40"/>
      <c r="R56" s="35"/>
      <c r="S56" s="40"/>
      <c r="T56" s="40">
        <f t="shared" si="4"/>
        <v>0</v>
      </c>
      <c r="U56" s="40">
        <f t="shared" si="5"/>
        <v>0</v>
      </c>
      <c r="V56" s="40">
        <f>Table14[[#This Row],[Enrolment S.Y. 2025-2026 ]]*8</f>
        <v>0</v>
      </c>
      <c r="W56" s="40"/>
      <c r="X56" s="35"/>
      <c r="Y56" s="40"/>
      <c r="Z56" s="40">
        <f t="shared" si="6"/>
        <v>0</v>
      </c>
      <c r="AA56" s="40">
        <f t="shared" si="7"/>
        <v>0</v>
      </c>
    </row>
    <row r="57" spans="1:27" ht="15">
      <c r="A57" s="35">
        <v>6</v>
      </c>
      <c r="B57" s="42" t="s">
        <v>12</v>
      </c>
      <c r="C57" s="35"/>
      <c r="D57" s="40">
        <f>Table14[[#This Row],[Enrolment S.Y. 2025-2026 ]]*8</f>
        <v>0</v>
      </c>
      <c r="E57" s="40"/>
      <c r="F57" s="35"/>
      <c r="G57" s="40"/>
      <c r="H57" s="40">
        <f t="shared" si="0"/>
        <v>0</v>
      </c>
      <c r="I57" s="40">
        <f t="shared" si="1"/>
        <v>0</v>
      </c>
      <c r="J57" s="40">
        <f>Table14[[#This Row],[Enrolment S.Y. 2025-2026 ]]*8</f>
        <v>0</v>
      </c>
      <c r="K57" s="40"/>
      <c r="L57" s="35"/>
      <c r="M57" s="40"/>
      <c r="N57" s="40">
        <f t="shared" si="2"/>
        <v>0</v>
      </c>
      <c r="O57" s="40">
        <f t="shared" si="3"/>
        <v>0</v>
      </c>
      <c r="P57" s="40">
        <f>Table14[[#This Row],[Enrolment S.Y. 2025-2026 ]]*8</f>
        <v>0</v>
      </c>
      <c r="Q57" s="40"/>
      <c r="R57" s="35"/>
      <c r="S57" s="40"/>
      <c r="T57" s="40">
        <f t="shared" si="4"/>
        <v>0</v>
      </c>
      <c r="U57" s="40">
        <f t="shared" si="5"/>
        <v>0</v>
      </c>
      <c r="V57" s="40">
        <f>Table14[[#This Row],[Enrolment S.Y. 2025-2026 ]]*8</f>
        <v>0</v>
      </c>
      <c r="W57" s="40"/>
      <c r="X57" s="35"/>
      <c r="Y57" s="40"/>
      <c r="Z57" s="40">
        <f t="shared" si="6"/>
        <v>0</v>
      </c>
      <c r="AA57" s="40">
        <f t="shared" si="7"/>
        <v>0</v>
      </c>
    </row>
    <row r="58" spans="1:27" ht="15">
      <c r="A58" s="35">
        <v>6</v>
      </c>
      <c r="B58" s="42" t="s">
        <v>10</v>
      </c>
      <c r="C58" s="35"/>
      <c r="D58" s="40">
        <f>Table14[[#This Row],[Enrolment S.Y. 2025-2026 ]]*8</f>
        <v>0</v>
      </c>
      <c r="E58" s="40"/>
      <c r="F58" s="35"/>
      <c r="G58" s="40"/>
      <c r="H58" s="40">
        <f t="shared" si="0"/>
        <v>0</v>
      </c>
      <c r="I58" s="40">
        <f t="shared" si="1"/>
        <v>0</v>
      </c>
      <c r="J58" s="40">
        <f>Table14[[#This Row],[Enrolment S.Y. 2025-2026 ]]*8</f>
        <v>0</v>
      </c>
      <c r="K58" s="40"/>
      <c r="L58" s="35"/>
      <c r="M58" s="40"/>
      <c r="N58" s="40">
        <f t="shared" si="2"/>
        <v>0</v>
      </c>
      <c r="O58" s="40">
        <f t="shared" si="3"/>
        <v>0</v>
      </c>
      <c r="P58" s="40">
        <f>Table14[[#This Row],[Enrolment S.Y. 2025-2026 ]]*8</f>
        <v>0</v>
      </c>
      <c r="Q58" s="40"/>
      <c r="R58" s="35"/>
      <c r="S58" s="40"/>
      <c r="T58" s="40">
        <f t="shared" si="4"/>
        <v>0</v>
      </c>
      <c r="U58" s="40">
        <f t="shared" si="5"/>
        <v>0</v>
      </c>
      <c r="V58" s="40">
        <f>Table14[[#This Row],[Enrolment S.Y. 2025-2026 ]]*8</f>
        <v>0</v>
      </c>
      <c r="W58" s="40"/>
      <c r="X58" s="35"/>
      <c r="Y58" s="40"/>
      <c r="Z58" s="40">
        <f t="shared" si="6"/>
        <v>0</v>
      </c>
      <c r="AA58" s="40">
        <f t="shared" si="7"/>
        <v>0</v>
      </c>
    </row>
    <row r="59" spans="1:27" ht="15">
      <c r="A59" s="35">
        <v>6</v>
      </c>
      <c r="B59" s="42" t="s">
        <v>16</v>
      </c>
      <c r="C59" s="35"/>
      <c r="D59" s="40">
        <f>Table14[[#This Row],[Enrolment S.Y. 2025-2026 ]]*8</f>
        <v>0</v>
      </c>
      <c r="E59" s="40"/>
      <c r="F59" s="35"/>
      <c r="G59" s="40"/>
      <c r="H59" s="40">
        <f t="shared" si="0"/>
        <v>0</v>
      </c>
      <c r="I59" s="40">
        <f t="shared" si="1"/>
        <v>0</v>
      </c>
      <c r="J59" s="40">
        <f>Table14[[#This Row],[Enrolment S.Y. 2025-2026 ]]*8</f>
        <v>0</v>
      </c>
      <c r="K59" s="40"/>
      <c r="L59" s="35"/>
      <c r="M59" s="40"/>
      <c r="N59" s="40">
        <f t="shared" si="2"/>
        <v>0</v>
      </c>
      <c r="O59" s="40">
        <f t="shared" si="3"/>
        <v>0</v>
      </c>
      <c r="P59" s="40">
        <f>Table14[[#This Row],[Enrolment S.Y. 2025-2026 ]]*8</f>
        <v>0</v>
      </c>
      <c r="Q59" s="40"/>
      <c r="R59" s="35"/>
      <c r="S59" s="40"/>
      <c r="T59" s="40">
        <f t="shared" si="4"/>
        <v>0</v>
      </c>
      <c r="U59" s="40">
        <f t="shared" si="5"/>
        <v>0</v>
      </c>
      <c r="V59" s="40">
        <f>Table14[[#This Row],[Enrolment S.Y. 2025-2026 ]]*8</f>
        <v>0</v>
      </c>
      <c r="W59" s="40"/>
      <c r="X59" s="35"/>
      <c r="Y59" s="40"/>
      <c r="Z59" s="40">
        <f t="shared" si="6"/>
        <v>0</v>
      </c>
      <c r="AA59" s="40">
        <f t="shared" si="7"/>
        <v>0</v>
      </c>
    </row>
    <row r="60" spans="1:27" ht="15">
      <c r="A60" s="35">
        <v>6</v>
      </c>
      <c r="B60" s="42" t="s">
        <v>13</v>
      </c>
      <c r="C60" s="35"/>
      <c r="D60" s="40">
        <f>Table14[[#This Row],[Enrolment S.Y. 2025-2026 ]]*8</f>
        <v>0</v>
      </c>
      <c r="E60" s="40"/>
      <c r="F60" s="35"/>
      <c r="G60" s="40"/>
      <c r="H60" s="40">
        <f t="shared" si="0"/>
        <v>0</v>
      </c>
      <c r="I60" s="40">
        <f t="shared" si="1"/>
        <v>0</v>
      </c>
      <c r="J60" s="40">
        <f>Table14[[#This Row],[Enrolment S.Y. 2025-2026 ]]*8</f>
        <v>0</v>
      </c>
      <c r="K60" s="40"/>
      <c r="L60" s="35"/>
      <c r="M60" s="40"/>
      <c r="N60" s="40">
        <f t="shared" si="2"/>
        <v>0</v>
      </c>
      <c r="O60" s="40">
        <f t="shared" si="3"/>
        <v>0</v>
      </c>
      <c r="P60" s="40">
        <f>Table14[[#This Row],[Enrolment S.Y. 2025-2026 ]]*8</f>
        <v>0</v>
      </c>
      <c r="Q60" s="40"/>
      <c r="R60" s="35"/>
      <c r="S60" s="40"/>
      <c r="T60" s="40">
        <f t="shared" si="4"/>
        <v>0</v>
      </c>
      <c r="U60" s="40">
        <f t="shared" si="5"/>
        <v>0</v>
      </c>
      <c r="V60" s="40">
        <f>Table14[[#This Row],[Enrolment S.Y. 2025-2026 ]]*8</f>
        <v>0</v>
      </c>
      <c r="W60" s="40"/>
      <c r="X60" s="35"/>
      <c r="Y60" s="40"/>
      <c r="Z60" s="40">
        <f t="shared" si="6"/>
        <v>0</v>
      </c>
      <c r="AA60" s="40">
        <f t="shared" si="7"/>
        <v>0</v>
      </c>
    </row>
    <row r="61" spans="1:27" ht="15">
      <c r="A61" s="44">
        <v>6</v>
      </c>
      <c r="B61" s="42" t="s">
        <v>86</v>
      </c>
      <c r="C61" s="40"/>
      <c r="D61" s="40">
        <f>Table14[[#This Row],[Enrolment S.Y. 2025-2026 ]]*8</f>
        <v>0</v>
      </c>
      <c r="E61" s="40"/>
      <c r="F61" s="35"/>
      <c r="G61" s="40"/>
      <c r="H61" s="40">
        <f>IF((D61-E61)&lt;0,0,(D61-E61))</f>
        <v>0</v>
      </c>
      <c r="I61" s="40">
        <f>IF((E61-D61)&lt;0,0,(E61-D61))</f>
        <v>0</v>
      </c>
      <c r="J61" s="40">
        <f>Table14[[#This Row],[Enrolment S.Y. 2025-2026 ]]*8</f>
        <v>0</v>
      </c>
      <c r="K61" s="40"/>
      <c r="L61" s="35"/>
      <c r="M61" s="40"/>
      <c r="N61" s="40">
        <f t="shared" ref="N61:N65" si="12">IF((J61-K61)&lt;0,0,(J61-K61))</f>
        <v>0</v>
      </c>
      <c r="O61" s="40">
        <f t="shared" ref="O61:O65" si="13">IF((K61-J61)&lt;0,0,(K61-J61))</f>
        <v>0</v>
      </c>
      <c r="P61" s="40">
        <f>Table14[[#This Row],[Enrolment S.Y. 2025-2026 ]]*8</f>
        <v>0</v>
      </c>
      <c r="Q61" s="40"/>
      <c r="R61" s="35"/>
      <c r="S61" s="40"/>
      <c r="T61" s="40">
        <f>IF((P61-Q61)&lt;0,0,(P61-Q61))</f>
        <v>0</v>
      </c>
      <c r="U61" s="40">
        <f>IF((Q61-P61)&lt;0,0,(Q61-P61))</f>
        <v>0</v>
      </c>
      <c r="V61" s="40">
        <f>Table14[[#This Row],[Enrolment S.Y. 2025-2026 ]]*8</f>
        <v>0</v>
      </c>
      <c r="W61" s="40"/>
      <c r="X61" s="35"/>
      <c r="Y61" s="40"/>
      <c r="Z61" s="40">
        <f>IF((V61-W61)&lt;0,0,(V61-W61))</f>
        <v>0</v>
      </c>
      <c r="AA61" s="40">
        <f>IF((W61-V61)&lt;0,0,(W61-V61))</f>
        <v>0</v>
      </c>
    </row>
    <row r="62" spans="1:27" ht="15">
      <c r="A62" s="35">
        <v>6</v>
      </c>
      <c r="B62" s="42" t="s">
        <v>87</v>
      </c>
      <c r="C62" s="35"/>
      <c r="D62" s="40">
        <f>Table14[[#This Row],[Enrolment S.Y. 2025-2026 ]]*8</f>
        <v>0</v>
      </c>
      <c r="E62" s="40"/>
      <c r="F62" s="35"/>
      <c r="G62" s="40"/>
      <c r="H62" s="40">
        <f t="shared" si="0"/>
        <v>0</v>
      </c>
      <c r="I62" s="40">
        <f t="shared" si="1"/>
        <v>0</v>
      </c>
      <c r="J62" s="40">
        <f>Table14[[#This Row],[Enrolment S.Y. 2025-2026 ]]*8</f>
        <v>0</v>
      </c>
      <c r="K62" s="40"/>
      <c r="L62" s="35"/>
      <c r="M62" s="40"/>
      <c r="N62" s="40">
        <f t="shared" si="12"/>
        <v>0</v>
      </c>
      <c r="O62" s="40">
        <f t="shared" si="13"/>
        <v>0</v>
      </c>
      <c r="P62" s="40">
        <f>Table14[[#This Row],[Enrolment S.Y. 2025-2026 ]]*8</f>
        <v>0</v>
      </c>
      <c r="Q62" s="40"/>
      <c r="R62" s="35"/>
      <c r="S62" s="40"/>
      <c r="T62" s="40">
        <f t="shared" si="4"/>
        <v>0</v>
      </c>
      <c r="U62" s="40">
        <f t="shared" si="5"/>
        <v>0</v>
      </c>
      <c r="V62" s="40">
        <f>Table14[[#This Row],[Enrolment S.Y. 2025-2026 ]]*8</f>
        <v>0</v>
      </c>
      <c r="W62" s="40"/>
      <c r="X62" s="35"/>
      <c r="Y62" s="40"/>
      <c r="Z62" s="40">
        <f t="shared" si="6"/>
        <v>0</v>
      </c>
      <c r="AA62" s="40">
        <f t="shared" si="7"/>
        <v>0</v>
      </c>
    </row>
    <row r="63" spans="1:27" ht="15">
      <c r="A63" s="35">
        <v>6</v>
      </c>
      <c r="B63" s="42" t="s">
        <v>18</v>
      </c>
      <c r="C63" s="35"/>
      <c r="D63" s="40">
        <f>Table14[[#This Row],[Enrolment S.Y. 2025-2026 ]]*8</f>
        <v>0</v>
      </c>
      <c r="E63" s="40"/>
      <c r="F63" s="35"/>
      <c r="G63" s="40"/>
      <c r="H63" s="40">
        <f t="shared" si="0"/>
        <v>0</v>
      </c>
      <c r="I63" s="40">
        <f t="shared" si="1"/>
        <v>0</v>
      </c>
      <c r="J63" s="40">
        <f>Table14[[#This Row],[Enrolment S.Y. 2025-2026 ]]*8</f>
        <v>0</v>
      </c>
      <c r="K63" s="40"/>
      <c r="L63" s="35"/>
      <c r="M63" s="40"/>
      <c r="N63" s="40">
        <f t="shared" si="12"/>
        <v>0</v>
      </c>
      <c r="O63" s="40">
        <f t="shared" si="13"/>
        <v>0</v>
      </c>
      <c r="P63" s="40">
        <f>Table14[[#This Row],[Enrolment S.Y. 2025-2026 ]]*8</f>
        <v>0</v>
      </c>
      <c r="Q63" s="40"/>
      <c r="R63" s="35"/>
      <c r="S63" s="40"/>
      <c r="T63" s="40">
        <f t="shared" si="4"/>
        <v>0</v>
      </c>
      <c r="U63" s="40">
        <f t="shared" si="5"/>
        <v>0</v>
      </c>
      <c r="V63" s="40">
        <f>Table14[[#This Row],[Enrolment S.Y. 2025-2026 ]]*8</f>
        <v>0</v>
      </c>
      <c r="W63" s="40"/>
      <c r="X63" s="35"/>
      <c r="Y63" s="40"/>
      <c r="Z63" s="40">
        <f t="shared" si="6"/>
        <v>0</v>
      </c>
      <c r="AA63" s="40">
        <f t="shared" si="7"/>
        <v>0</v>
      </c>
    </row>
    <row r="64" spans="1:27" ht="15">
      <c r="A64" s="44">
        <v>6</v>
      </c>
      <c r="B64" s="42" t="s">
        <v>88</v>
      </c>
      <c r="C64" s="40"/>
      <c r="D64" s="40">
        <f>Table14[[#This Row],[Enrolment S.Y. 2025-2026 ]]*8</f>
        <v>0</v>
      </c>
      <c r="E64" s="40"/>
      <c r="F64" s="35"/>
      <c r="G64" s="40"/>
      <c r="H64" s="40">
        <f>IF((D64-E64)&lt;0,0,(D64-E64))</f>
        <v>0</v>
      </c>
      <c r="I64" s="40">
        <f>IF((E64-D64)&lt;0,0,(E64-D64))</f>
        <v>0</v>
      </c>
      <c r="J64" s="40">
        <f>Table14[[#This Row],[Enrolment S.Y. 2025-2026 ]]*8</f>
        <v>0</v>
      </c>
      <c r="K64" s="40"/>
      <c r="L64" s="35"/>
      <c r="M64" s="40"/>
      <c r="N64" s="40">
        <f t="shared" si="12"/>
        <v>0</v>
      </c>
      <c r="O64" s="40">
        <f t="shared" si="13"/>
        <v>0</v>
      </c>
      <c r="P64" s="40">
        <f>Table14[[#This Row],[Enrolment S.Y. 2025-2026 ]]*8</f>
        <v>0</v>
      </c>
      <c r="Q64" s="40"/>
      <c r="R64" s="35"/>
      <c r="S64" s="40"/>
      <c r="T64" s="40">
        <f>IF((P64-Q64)&lt;0,0,(P64-Q64))</f>
        <v>0</v>
      </c>
      <c r="U64" s="40">
        <f>IF((Q64-P64)&lt;0,0,(Q64-P64))</f>
        <v>0</v>
      </c>
      <c r="V64" s="40">
        <f>Table14[[#This Row],[Enrolment S.Y. 2025-2026 ]]*8</f>
        <v>0</v>
      </c>
      <c r="W64" s="40"/>
      <c r="X64" s="35"/>
      <c r="Y64" s="40"/>
      <c r="Z64" s="40">
        <f>IF((V64-W64)&lt;0,0,(V64-W64))</f>
        <v>0</v>
      </c>
      <c r="AA64" s="40">
        <f>IF((W64-V64)&lt;0,0,(W64-V64))</f>
        <v>0</v>
      </c>
    </row>
    <row r="65" spans="1:27" ht="15">
      <c r="A65" s="35">
        <v>6</v>
      </c>
      <c r="B65" s="42" t="s">
        <v>89</v>
      </c>
      <c r="C65" s="35"/>
      <c r="D65" s="40">
        <f>Table14[[#This Row],[Enrolment S.Y. 2025-2026 ]]*8</f>
        <v>0</v>
      </c>
      <c r="E65" s="40"/>
      <c r="F65" s="35"/>
      <c r="G65" s="40"/>
      <c r="H65" s="40">
        <f t="shared" si="0"/>
        <v>0</v>
      </c>
      <c r="I65" s="40">
        <f t="shared" si="1"/>
        <v>0</v>
      </c>
      <c r="J65" s="40">
        <f>Table14[[#This Row],[Enrolment S.Y. 2025-2026 ]]*8</f>
        <v>0</v>
      </c>
      <c r="K65" s="40"/>
      <c r="L65" s="35"/>
      <c r="M65" s="40"/>
      <c r="N65" s="40">
        <f t="shared" si="12"/>
        <v>0</v>
      </c>
      <c r="O65" s="40">
        <f t="shared" si="13"/>
        <v>0</v>
      </c>
      <c r="P65" s="40">
        <f>Table14[[#This Row],[Enrolment S.Y. 2025-2026 ]]*8</f>
        <v>0</v>
      </c>
      <c r="Q65" s="40"/>
      <c r="R65" s="35"/>
      <c r="S65" s="40"/>
      <c r="T65" s="40">
        <f t="shared" si="4"/>
        <v>0</v>
      </c>
      <c r="U65" s="40">
        <f t="shared" si="5"/>
        <v>0</v>
      </c>
      <c r="V65" s="40">
        <f>Table14[[#This Row],[Enrolment S.Y. 2025-2026 ]]*8</f>
        <v>0</v>
      </c>
      <c r="W65" s="40"/>
      <c r="X65" s="35"/>
      <c r="Y65" s="40"/>
      <c r="Z65" s="40">
        <f t="shared" si="6"/>
        <v>0</v>
      </c>
      <c r="AA65" s="40">
        <f t="shared" si="7"/>
        <v>0</v>
      </c>
    </row>
    <row r="66" spans="1:27" s="5" customForma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 ht="15">
      <c r="A67" s="45">
        <v>7</v>
      </c>
      <c r="B67" s="46" t="s">
        <v>14</v>
      </c>
      <c r="C67" s="45">
        <v>337</v>
      </c>
      <c r="D67" s="47">
        <f>Table14[[#This Row],[Enrolment S.Y. 2025-2026 ]]*8</f>
        <v>2696</v>
      </c>
      <c r="E67" s="47"/>
      <c r="F67" s="45"/>
      <c r="G67" s="47"/>
      <c r="H67" s="47">
        <f t="shared" si="0"/>
        <v>2696</v>
      </c>
      <c r="I67" s="47">
        <f t="shared" si="1"/>
        <v>0</v>
      </c>
      <c r="J67" s="47">
        <f>Table14[[#This Row],[Enrolment S.Y. 2025-2026 ]]*8</f>
        <v>2696</v>
      </c>
      <c r="K67" s="47"/>
      <c r="L67" s="45"/>
      <c r="M67" s="47"/>
      <c r="N67" s="47">
        <f t="shared" si="2"/>
        <v>2696</v>
      </c>
      <c r="O67" s="47">
        <f t="shared" si="3"/>
        <v>0</v>
      </c>
      <c r="P67" s="47">
        <f>Table14[[#This Row],[Enrolment S.Y. 2025-2026 ]]*8</f>
        <v>2696</v>
      </c>
      <c r="Q67" s="47"/>
      <c r="R67" s="45"/>
      <c r="S67" s="47"/>
      <c r="T67" s="47">
        <f t="shared" si="4"/>
        <v>2696</v>
      </c>
      <c r="U67" s="47">
        <f t="shared" si="5"/>
        <v>0</v>
      </c>
      <c r="V67" s="47">
        <f>Table14[[#This Row],[Enrolment S.Y. 2025-2026 ]]*8</f>
        <v>2696</v>
      </c>
      <c r="W67" s="47"/>
      <c r="X67" s="45"/>
      <c r="Y67" s="47"/>
      <c r="Z67" s="47">
        <f t="shared" si="6"/>
        <v>2696</v>
      </c>
      <c r="AA67" s="47">
        <f t="shared" si="7"/>
        <v>0</v>
      </c>
    </row>
    <row r="68" spans="1:27" ht="15">
      <c r="A68" s="45">
        <v>7</v>
      </c>
      <c r="B68" s="46" t="s">
        <v>15</v>
      </c>
      <c r="C68" s="45">
        <v>337</v>
      </c>
      <c r="D68" s="47">
        <f>Table14[[#This Row],[Enrolment S.Y. 2025-2026 ]]*8</f>
        <v>2696</v>
      </c>
      <c r="E68" s="47">
        <v>246</v>
      </c>
      <c r="F68" s="45"/>
      <c r="G68" s="47"/>
      <c r="H68" s="47">
        <f t="shared" si="0"/>
        <v>2450</v>
      </c>
      <c r="I68" s="47">
        <f t="shared" si="1"/>
        <v>0</v>
      </c>
      <c r="J68" s="47">
        <f>Table14[[#This Row],[Enrolment S.Y. 2025-2026 ]]*8</f>
        <v>2696</v>
      </c>
      <c r="K68" s="47"/>
      <c r="L68" s="45"/>
      <c r="M68" s="47"/>
      <c r="N68" s="47">
        <f t="shared" si="2"/>
        <v>2696</v>
      </c>
      <c r="O68" s="47">
        <f t="shared" si="3"/>
        <v>0</v>
      </c>
      <c r="P68" s="47">
        <f>Table14[[#This Row],[Enrolment S.Y. 2025-2026 ]]*8</f>
        <v>2696</v>
      </c>
      <c r="Q68" s="47"/>
      <c r="R68" s="45"/>
      <c r="S68" s="47"/>
      <c r="T68" s="47">
        <f t="shared" si="4"/>
        <v>2696</v>
      </c>
      <c r="U68" s="47">
        <f t="shared" si="5"/>
        <v>0</v>
      </c>
      <c r="V68" s="47">
        <f>Table14[[#This Row],[Enrolment S.Y. 2025-2026 ]]*8</f>
        <v>2696</v>
      </c>
      <c r="W68" s="47"/>
      <c r="X68" s="45"/>
      <c r="Y68" s="47"/>
      <c r="Z68" s="47">
        <f t="shared" si="6"/>
        <v>2696</v>
      </c>
      <c r="AA68" s="47">
        <f t="shared" si="7"/>
        <v>0</v>
      </c>
    </row>
    <row r="69" spans="1:27" ht="15">
      <c r="A69" s="45">
        <v>7</v>
      </c>
      <c r="B69" s="46" t="s">
        <v>12</v>
      </c>
      <c r="C69" s="45">
        <v>337</v>
      </c>
      <c r="D69" s="47">
        <f>Table14[[#This Row],[Enrolment S.Y. 2025-2026 ]]*8</f>
        <v>2696</v>
      </c>
      <c r="E69" s="47"/>
      <c r="F69" s="45"/>
      <c r="G69" s="47"/>
      <c r="H69" s="47">
        <f t="shared" si="0"/>
        <v>2696</v>
      </c>
      <c r="I69" s="47">
        <f t="shared" si="1"/>
        <v>0</v>
      </c>
      <c r="J69" s="47">
        <f>Table14[[#This Row],[Enrolment S.Y. 2025-2026 ]]*8</f>
        <v>2696</v>
      </c>
      <c r="K69" s="47"/>
      <c r="L69" s="45"/>
      <c r="M69" s="47"/>
      <c r="N69" s="47">
        <f t="shared" si="2"/>
        <v>2696</v>
      </c>
      <c r="O69" s="47">
        <f t="shared" si="3"/>
        <v>0</v>
      </c>
      <c r="P69" s="47">
        <f>Table14[[#This Row],[Enrolment S.Y. 2025-2026 ]]*8</f>
        <v>2696</v>
      </c>
      <c r="Q69" s="47"/>
      <c r="R69" s="45"/>
      <c r="S69" s="47"/>
      <c r="T69" s="47">
        <f t="shared" si="4"/>
        <v>2696</v>
      </c>
      <c r="U69" s="47">
        <f t="shared" si="5"/>
        <v>0</v>
      </c>
      <c r="V69" s="47">
        <f>Table14[[#This Row],[Enrolment S.Y. 2025-2026 ]]*8</f>
        <v>2696</v>
      </c>
      <c r="W69" s="47"/>
      <c r="X69" s="45"/>
      <c r="Y69" s="47"/>
      <c r="Z69" s="47">
        <f t="shared" si="6"/>
        <v>2696</v>
      </c>
      <c r="AA69" s="47">
        <f t="shared" si="7"/>
        <v>0</v>
      </c>
    </row>
    <row r="70" spans="1:27" ht="15">
      <c r="A70" s="45">
        <v>7</v>
      </c>
      <c r="B70" s="46" t="s">
        <v>20</v>
      </c>
      <c r="C70" s="45">
        <v>337</v>
      </c>
      <c r="D70" s="47">
        <f>Table14[[#This Row],[Enrolment S.Y. 2025-2026 ]]*8</f>
        <v>2696</v>
      </c>
      <c r="E70" s="47"/>
      <c r="F70" s="45"/>
      <c r="G70" s="47"/>
      <c r="H70" s="47">
        <f t="shared" si="0"/>
        <v>2696</v>
      </c>
      <c r="I70" s="47">
        <f t="shared" si="1"/>
        <v>0</v>
      </c>
      <c r="J70" s="47">
        <f>Table14[[#This Row],[Enrolment S.Y. 2025-2026 ]]*8</f>
        <v>2696</v>
      </c>
      <c r="K70" s="47"/>
      <c r="L70" s="45"/>
      <c r="M70" s="47"/>
      <c r="N70" s="47">
        <f t="shared" si="2"/>
        <v>2696</v>
      </c>
      <c r="O70" s="47">
        <f t="shared" si="3"/>
        <v>0</v>
      </c>
      <c r="P70" s="47">
        <f>Table14[[#This Row],[Enrolment S.Y. 2025-2026 ]]*8</f>
        <v>2696</v>
      </c>
      <c r="Q70" s="47"/>
      <c r="R70" s="45"/>
      <c r="S70" s="47"/>
      <c r="T70" s="47">
        <f t="shared" si="4"/>
        <v>2696</v>
      </c>
      <c r="U70" s="47">
        <f t="shared" si="5"/>
        <v>0</v>
      </c>
      <c r="V70" s="47">
        <f>Table14[[#This Row],[Enrolment S.Y. 2025-2026 ]]*8</f>
        <v>2696</v>
      </c>
      <c r="W70" s="47"/>
      <c r="X70" s="45"/>
      <c r="Y70" s="47"/>
      <c r="Z70" s="47">
        <f t="shared" si="6"/>
        <v>2696</v>
      </c>
      <c r="AA70" s="47">
        <f t="shared" si="7"/>
        <v>0</v>
      </c>
    </row>
    <row r="71" spans="1:27" ht="15">
      <c r="A71" s="45">
        <v>7</v>
      </c>
      <c r="B71" s="46" t="s">
        <v>16</v>
      </c>
      <c r="C71" s="45">
        <v>337</v>
      </c>
      <c r="D71" s="47">
        <f>Table14[[#This Row],[Enrolment S.Y. 2025-2026 ]]*8</f>
        <v>2696</v>
      </c>
      <c r="E71" s="47"/>
      <c r="F71" s="45"/>
      <c r="G71" s="47"/>
      <c r="H71" s="47">
        <f t="shared" si="0"/>
        <v>2696</v>
      </c>
      <c r="I71" s="47">
        <f t="shared" si="1"/>
        <v>0</v>
      </c>
      <c r="J71" s="47">
        <f>Table14[[#This Row],[Enrolment S.Y. 2025-2026 ]]*8</f>
        <v>2696</v>
      </c>
      <c r="K71" s="47"/>
      <c r="L71" s="45"/>
      <c r="M71" s="47"/>
      <c r="N71" s="47">
        <f t="shared" ref="N71:N77" si="14">IF((J71-K71)&lt;0,0,(J71-K71))</f>
        <v>2696</v>
      </c>
      <c r="O71" s="47">
        <f t="shared" ref="O71:O77" si="15">IF((K71-J71)&lt;0,0,(K71-J71))</f>
        <v>0</v>
      </c>
      <c r="P71" s="47">
        <f>Table14[[#This Row],[Enrolment S.Y. 2025-2026 ]]*8</f>
        <v>2696</v>
      </c>
      <c r="Q71" s="47"/>
      <c r="R71" s="45"/>
      <c r="S71" s="47"/>
      <c r="T71" s="47">
        <f t="shared" si="4"/>
        <v>2696</v>
      </c>
      <c r="U71" s="47">
        <f t="shared" si="5"/>
        <v>0</v>
      </c>
      <c r="V71" s="47">
        <f>Table14[[#This Row],[Enrolment S.Y. 2025-2026 ]]*8</f>
        <v>2696</v>
      </c>
      <c r="W71" s="47"/>
      <c r="X71" s="45"/>
      <c r="Y71" s="47"/>
      <c r="Z71" s="47">
        <f t="shared" si="6"/>
        <v>2696</v>
      </c>
      <c r="AA71" s="47">
        <f t="shared" si="7"/>
        <v>0</v>
      </c>
    </row>
    <row r="72" spans="1:27" ht="15">
      <c r="A72" s="45">
        <v>7</v>
      </c>
      <c r="B72" s="46" t="s">
        <v>13</v>
      </c>
      <c r="C72" s="45">
        <v>337</v>
      </c>
      <c r="D72" s="47">
        <f>Table14[[#This Row],[Enrolment S.Y. 2025-2026 ]]*8</f>
        <v>2696</v>
      </c>
      <c r="E72" s="47"/>
      <c r="F72" s="45"/>
      <c r="G72" s="47"/>
      <c r="H72" s="47">
        <f t="shared" si="0"/>
        <v>2696</v>
      </c>
      <c r="I72" s="47">
        <f t="shared" si="1"/>
        <v>0</v>
      </c>
      <c r="J72" s="47">
        <f>Table14[[#This Row],[Enrolment S.Y. 2025-2026 ]]*8</f>
        <v>2696</v>
      </c>
      <c r="K72" s="47"/>
      <c r="L72" s="45"/>
      <c r="M72" s="47"/>
      <c r="N72" s="47">
        <f t="shared" si="14"/>
        <v>2696</v>
      </c>
      <c r="O72" s="47">
        <f t="shared" si="15"/>
        <v>0</v>
      </c>
      <c r="P72" s="47">
        <f>Table14[[#This Row],[Enrolment S.Y. 2025-2026 ]]*8</f>
        <v>2696</v>
      </c>
      <c r="Q72" s="47"/>
      <c r="R72" s="45"/>
      <c r="S72" s="47"/>
      <c r="T72" s="47">
        <f t="shared" si="4"/>
        <v>2696</v>
      </c>
      <c r="U72" s="47">
        <f t="shared" si="5"/>
        <v>0</v>
      </c>
      <c r="V72" s="47">
        <f>Table14[[#This Row],[Enrolment S.Y. 2025-2026 ]]*8</f>
        <v>2696</v>
      </c>
      <c r="W72" s="47"/>
      <c r="X72" s="45"/>
      <c r="Y72" s="47"/>
      <c r="Z72" s="47">
        <f t="shared" si="6"/>
        <v>2696</v>
      </c>
      <c r="AA72" s="47">
        <f t="shared" si="7"/>
        <v>0</v>
      </c>
    </row>
    <row r="73" spans="1:27" ht="15">
      <c r="A73" s="48">
        <v>7</v>
      </c>
      <c r="B73" s="46" t="s">
        <v>86</v>
      </c>
      <c r="C73" s="47">
        <v>337</v>
      </c>
      <c r="D73" s="47">
        <f>Table14[[#This Row],[Enrolment S.Y. 2025-2026 ]]*8</f>
        <v>2696</v>
      </c>
      <c r="E73" s="47"/>
      <c r="F73" s="45"/>
      <c r="G73" s="47"/>
      <c r="H73" s="47">
        <f>IF((D73-E73)&lt;0,0,(D73-E73))</f>
        <v>2696</v>
      </c>
      <c r="I73" s="47">
        <f>IF((E73-D73)&lt;0,0,(E73-D73))</f>
        <v>0</v>
      </c>
      <c r="J73" s="47">
        <f>Table14[[#This Row],[Enrolment S.Y. 2025-2026 ]]*8</f>
        <v>2696</v>
      </c>
      <c r="K73" s="47"/>
      <c r="L73" s="45"/>
      <c r="M73" s="47"/>
      <c r="N73" s="47">
        <f t="shared" si="14"/>
        <v>2696</v>
      </c>
      <c r="O73" s="47">
        <f t="shared" si="15"/>
        <v>0</v>
      </c>
      <c r="P73" s="47">
        <f>Table14[[#This Row],[Enrolment S.Y. 2025-2026 ]]*8</f>
        <v>2696</v>
      </c>
      <c r="Q73" s="47"/>
      <c r="R73" s="45"/>
      <c r="S73" s="47"/>
      <c r="T73" s="47">
        <f>IF((P73-Q73)&lt;0,0,(P73-Q73))</f>
        <v>2696</v>
      </c>
      <c r="U73" s="47">
        <f>IF((Q73-P73)&lt;0,0,(Q73-P73))</f>
        <v>0</v>
      </c>
      <c r="V73" s="47">
        <f>Table14[[#This Row],[Enrolment S.Y. 2025-2026 ]]*8</f>
        <v>2696</v>
      </c>
      <c r="W73" s="47"/>
      <c r="X73" s="45"/>
      <c r="Y73" s="47"/>
      <c r="Z73" s="47">
        <f>IF((V73-W73)&lt;0,0,(V73-W73))</f>
        <v>2696</v>
      </c>
      <c r="AA73" s="47">
        <f>IF((W73-V73)&lt;0,0,(W73-V73))</f>
        <v>0</v>
      </c>
    </row>
    <row r="74" spans="1:27" ht="15">
      <c r="A74" s="45">
        <v>7</v>
      </c>
      <c r="B74" s="46" t="s">
        <v>87</v>
      </c>
      <c r="C74" s="45">
        <v>337</v>
      </c>
      <c r="D74" s="47">
        <f>Table14[[#This Row],[Enrolment S.Y. 2025-2026 ]]*8</f>
        <v>2696</v>
      </c>
      <c r="E74" s="47"/>
      <c r="F74" s="45"/>
      <c r="G74" s="47"/>
      <c r="H74" s="47">
        <f t="shared" si="0"/>
        <v>2696</v>
      </c>
      <c r="I74" s="47">
        <f t="shared" si="1"/>
        <v>0</v>
      </c>
      <c r="J74" s="47">
        <f>Table14[[#This Row],[Enrolment S.Y. 2025-2026 ]]*8</f>
        <v>2696</v>
      </c>
      <c r="K74" s="47"/>
      <c r="L74" s="45"/>
      <c r="M74" s="47"/>
      <c r="N74" s="47">
        <f t="shared" si="14"/>
        <v>2696</v>
      </c>
      <c r="O74" s="47">
        <f t="shared" si="15"/>
        <v>0</v>
      </c>
      <c r="P74" s="47">
        <f>Table14[[#This Row],[Enrolment S.Y. 2025-2026 ]]*8</f>
        <v>2696</v>
      </c>
      <c r="Q74" s="47"/>
      <c r="R74" s="45"/>
      <c r="S74" s="47"/>
      <c r="T74" s="47">
        <f t="shared" ref="T74:T122" si="16">IF((P74-Q74)&lt;0,0,(P74-Q74))</f>
        <v>2696</v>
      </c>
      <c r="U74" s="47">
        <f t="shared" ref="U74:U122" si="17">IF((Q74-P74)&lt;0,0,(Q74-P74))</f>
        <v>0</v>
      </c>
      <c r="V74" s="47">
        <f>Table14[[#This Row],[Enrolment S.Y. 2025-2026 ]]*8</f>
        <v>2696</v>
      </c>
      <c r="W74" s="47"/>
      <c r="X74" s="45"/>
      <c r="Y74" s="47"/>
      <c r="Z74" s="47">
        <f t="shared" ref="Z74:Z122" si="18">IF((V74-W74)&lt;0,0,(V74-W74))</f>
        <v>2696</v>
      </c>
      <c r="AA74" s="47">
        <f t="shared" ref="AA74:AA122" si="19">IF((W74-V74)&lt;0,0,(W74-V74))</f>
        <v>0</v>
      </c>
    </row>
    <row r="75" spans="1:27" ht="15">
      <c r="A75" s="45">
        <v>7</v>
      </c>
      <c r="B75" s="46" t="s">
        <v>21</v>
      </c>
      <c r="C75" s="45">
        <v>337</v>
      </c>
      <c r="D75" s="47">
        <f>Table14[[#This Row],[Enrolment S.Y. 2025-2026 ]]*8</f>
        <v>2696</v>
      </c>
      <c r="E75" s="47"/>
      <c r="F75" s="45"/>
      <c r="G75" s="47"/>
      <c r="H75" s="47">
        <f t="shared" si="0"/>
        <v>2696</v>
      </c>
      <c r="I75" s="47">
        <f t="shared" si="1"/>
        <v>0</v>
      </c>
      <c r="J75" s="47">
        <f>Table14[[#This Row],[Enrolment S.Y. 2025-2026 ]]*8</f>
        <v>2696</v>
      </c>
      <c r="K75" s="47"/>
      <c r="L75" s="45"/>
      <c r="M75" s="47"/>
      <c r="N75" s="47">
        <f t="shared" si="14"/>
        <v>2696</v>
      </c>
      <c r="O75" s="47">
        <f t="shared" si="15"/>
        <v>0</v>
      </c>
      <c r="P75" s="47">
        <f>Table14[[#This Row],[Enrolment S.Y. 2025-2026 ]]*8</f>
        <v>2696</v>
      </c>
      <c r="Q75" s="47"/>
      <c r="R75" s="45"/>
      <c r="S75" s="47"/>
      <c r="T75" s="47">
        <f t="shared" si="16"/>
        <v>2696</v>
      </c>
      <c r="U75" s="47">
        <f t="shared" si="17"/>
        <v>0</v>
      </c>
      <c r="V75" s="47">
        <f>Table14[[#This Row],[Enrolment S.Y. 2025-2026 ]]*8</f>
        <v>2696</v>
      </c>
      <c r="W75" s="47"/>
      <c r="X75" s="45"/>
      <c r="Y75" s="47"/>
      <c r="Z75" s="47">
        <f t="shared" si="18"/>
        <v>2696</v>
      </c>
      <c r="AA75" s="47">
        <f t="shared" si="19"/>
        <v>0</v>
      </c>
    </row>
    <row r="76" spans="1:27" ht="15">
      <c r="A76" s="48">
        <v>7</v>
      </c>
      <c r="B76" s="46" t="s">
        <v>88</v>
      </c>
      <c r="C76" s="47">
        <v>337</v>
      </c>
      <c r="D76" s="47">
        <f>Table14[[#This Row],[Enrolment S.Y. 2025-2026 ]]*8</f>
        <v>2696</v>
      </c>
      <c r="E76" s="47"/>
      <c r="F76" s="45"/>
      <c r="G76" s="47"/>
      <c r="H76" s="47">
        <f>IF((D76-E76)&lt;0,0,(D76-E76))</f>
        <v>2696</v>
      </c>
      <c r="I76" s="47">
        <f>IF((E76-D76)&lt;0,0,(E76-D76))</f>
        <v>0</v>
      </c>
      <c r="J76" s="47">
        <f>Table14[[#This Row],[Enrolment S.Y. 2025-2026 ]]*8</f>
        <v>2696</v>
      </c>
      <c r="K76" s="47"/>
      <c r="L76" s="45"/>
      <c r="M76" s="47"/>
      <c r="N76" s="47">
        <f t="shared" si="14"/>
        <v>2696</v>
      </c>
      <c r="O76" s="47">
        <f t="shared" si="15"/>
        <v>0</v>
      </c>
      <c r="P76" s="47">
        <f>Table14[[#This Row],[Enrolment S.Y. 2025-2026 ]]*8</f>
        <v>2696</v>
      </c>
      <c r="Q76" s="47"/>
      <c r="R76" s="45"/>
      <c r="S76" s="47"/>
      <c r="T76" s="47">
        <f>IF((P76-Q76)&lt;0,0,(P76-Q76))</f>
        <v>2696</v>
      </c>
      <c r="U76" s="47">
        <f>IF((Q76-P76)&lt;0,0,(Q76-P76))</f>
        <v>0</v>
      </c>
      <c r="V76" s="47">
        <f>Table14[[#This Row],[Enrolment S.Y. 2025-2026 ]]*8</f>
        <v>2696</v>
      </c>
      <c r="W76" s="47"/>
      <c r="X76" s="45"/>
      <c r="Y76" s="47"/>
      <c r="Z76" s="47">
        <f>IF((V76-W76)&lt;0,0,(V76-W76))</f>
        <v>2696</v>
      </c>
      <c r="AA76" s="47">
        <f>IF((W76-V76)&lt;0,0,(W76-V76))</f>
        <v>0</v>
      </c>
    </row>
    <row r="77" spans="1:27" ht="15">
      <c r="A77" s="45">
        <v>7</v>
      </c>
      <c r="B77" s="46" t="s">
        <v>89</v>
      </c>
      <c r="C77" s="45">
        <v>337</v>
      </c>
      <c r="D77" s="47">
        <f>Table14[[#This Row],[Enrolment S.Y. 2025-2026 ]]*8</f>
        <v>2696</v>
      </c>
      <c r="E77" s="47"/>
      <c r="F77" s="45"/>
      <c r="G77" s="47"/>
      <c r="H77" s="47">
        <f t="shared" si="0"/>
        <v>2696</v>
      </c>
      <c r="I77" s="47">
        <f t="shared" si="1"/>
        <v>0</v>
      </c>
      <c r="J77" s="47">
        <f>Table14[[#This Row],[Enrolment S.Y. 2025-2026 ]]*8</f>
        <v>2696</v>
      </c>
      <c r="K77" s="47"/>
      <c r="L77" s="45"/>
      <c r="M77" s="47"/>
      <c r="N77" s="47">
        <f t="shared" si="14"/>
        <v>2696</v>
      </c>
      <c r="O77" s="47">
        <f t="shared" si="15"/>
        <v>0</v>
      </c>
      <c r="P77" s="47">
        <f>Table14[[#This Row],[Enrolment S.Y. 2025-2026 ]]*8</f>
        <v>2696</v>
      </c>
      <c r="Q77" s="47"/>
      <c r="R77" s="45"/>
      <c r="S77" s="47"/>
      <c r="T77" s="47">
        <f t="shared" si="16"/>
        <v>2696</v>
      </c>
      <c r="U77" s="47">
        <f t="shared" si="17"/>
        <v>0</v>
      </c>
      <c r="V77" s="47">
        <f>Table14[[#This Row],[Enrolment S.Y. 2025-2026 ]]*8</f>
        <v>2696</v>
      </c>
      <c r="W77" s="47"/>
      <c r="X77" s="45"/>
      <c r="Y77" s="47"/>
      <c r="Z77" s="47">
        <f t="shared" si="18"/>
        <v>2696</v>
      </c>
      <c r="AA77" s="47">
        <f t="shared" si="19"/>
        <v>0</v>
      </c>
    </row>
    <row r="78" spans="1:27" s="5" customForma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 ht="15">
      <c r="A79" s="45">
        <v>8</v>
      </c>
      <c r="B79" s="46" t="s">
        <v>14</v>
      </c>
      <c r="C79" s="45">
        <v>430</v>
      </c>
      <c r="D79" s="47">
        <f>Table14[[#This Row],[Enrolment S.Y. 2025-2026 ]]*8</f>
        <v>3440</v>
      </c>
      <c r="E79" s="47"/>
      <c r="F79" s="45"/>
      <c r="G79" s="47"/>
      <c r="H79" s="47">
        <f t="shared" si="0"/>
        <v>3440</v>
      </c>
      <c r="I79" s="47">
        <f t="shared" si="1"/>
        <v>0</v>
      </c>
      <c r="J79" s="47">
        <f>Table14[[#This Row],[Enrolment S.Y. 2025-2026 ]]*8</f>
        <v>3440</v>
      </c>
      <c r="K79" s="47"/>
      <c r="L79" s="45"/>
      <c r="M79" s="47"/>
      <c r="N79" s="47">
        <f t="shared" ref="N74:N122" si="20">IF((J79-K79)&lt;0,0,(J79-K79))</f>
        <v>3440</v>
      </c>
      <c r="O79" s="47">
        <f t="shared" ref="O74:O122" si="21">IF((K79-J79)&lt;0,0,(K79-J79))</f>
        <v>0</v>
      </c>
      <c r="P79" s="47">
        <f>Table14[[#This Row],[Enrolment S.Y. 2025-2026 ]]*8</f>
        <v>3440</v>
      </c>
      <c r="Q79" s="47"/>
      <c r="R79" s="45"/>
      <c r="S79" s="47"/>
      <c r="T79" s="47">
        <f t="shared" si="16"/>
        <v>3440</v>
      </c>
      <c r="U79" s="47">
        <f t="shared" si="17"/>
        <v>0</v>
      </c>
      <c r="V79" s="47">
        <f>Table14[[#This Row],[Enrolment S.Y. 2025-2026 ]]*8</f>
        <v>3440</v>
      </c>
      <c r="W79" s="47"/>
      <c r="X79" s="45"/>
      <c r="Y79" s="47"/>
      <c r="Z79" s="47">
        <f t="shared" si="18"/>
        <v>3440</v>
      </c>
      <c r="AA79" s="47">
        <f t="shared" si="19"/>
        <v>0</v>
      </c>
    </row>
    <row r="80" spans="1:27" ht="15">
      <c r="A80" s="45">
        <v>8</v>
      </c>
      <c r="B80" s="46" t="s">
        <v>15</v>
      </c>
      <c r="C80" s="45">
        <v>430</v>
      </c>
      <c r="D80" s="47">
        <f>Table14[[#This Row],[Enrolment S.Y. 2025-2026 ]]*8</f>
        <v>3440</v>
      </c>
      <c r="E80" s="47"/>
      <c r="F80" s="45"/>
      <c r="G80" s="47"/>
      <c r="H80" s="47">
        <f t="shared" si="0"/>
        <v>3440</v>
      </c>
      <c r="I80" s="47">
        <f t="shared" si="1"/>
        <v>0</v>
      </c>
      <c r="J80" s="47">
        <f>Table14[[#This Row],[Enrolment S.Y. 2025-2026 ]]*8</f>
        <v>3440</v>
      </c>
      <c r="K80" s="47"/>
      <c r="L80" s="45"/>
      <c r="M80" s="47"/>
      <c r="N80" s="47">
        <f t="shared" si="20"/>
        <v>3440</v>
      </c>
      <c r="O80" s="47">
        <f t="shared" si="21"/>
        <v>0</v>
      </c>
      <c r="P80" s="47">
        <f>Table14[[#This Row],[Enrolment S.Y. 2025-2026 ]]*8</f>
        <v>3440</v>
      </c>
      <c r="Q80" s="47"/>
      <c r="R80" s="45"/>
      <c r="S80" s="47"/>
      <c r="T80" s="47">
        <f t="shared" si="16"/>
        <v>3440</v>
      </c>
      <c r="U80" s="47">
        <f t="shared" si="17"/>
        <v>0</v>
      </c>
      <c r="V80" s="47">
        <f>Table14[[#This Row],[Enrolment S.Y. 2025-2026 ]]*8</f>
        <v>3440</v>
      </c>
      <c r="W80" s="47"/>
      <c r="X80" s="45"/>
      <c r="Y80" s="47"/>
      <c r="Z80" s="47">
        <f t="shared" si="18"/>
        <v>3440</v>
      </c>
      <c r="AA80" s="47">
        <f t="shared" si="19"/>
        <v>0</v>
      </c>
    </row>
    <row r="81" spans="1:27" ht="15">
      <c r="A81" s="45">
        <v>8</v>
      </c>
      <c r="B81" s="46" t="s">
        <v>12</v>
      </c>
      <c r="C81" s="45">
        <v>430</v>
      </c>
      <c r="D81" s="47">
        <f>Table14[[#This Row],[Enrolment S.Y. 2025-2026 ]]*8</f>
        <v>3440</v>
      </c>
      <c r="E81" s="47"/>
      <c r="F81" s="45"/>
      <c r="G81" s="47"/>
      <c r="H81" s="47">
        <f t="shared" si="0"/>
        <v>3440</v>
      </c>
      <c r="I81" s="47">
        <f t="shared" si="1"/>
        <v>0</v>
      </c>
      <c r="J81" s="47">
        <f>Table14[[#This Row],[Enrolment S.Y. 2025-2026 ]]*8</f>
        <v>3440</v>
      </c>
      <c r="K81" s="47"/>
      <c r="L81" s="45"/>
      <c r="M81" s="47"/>
      <c r="N81" s="47">
        <f t="shared" si="20"/>
        <v>3440</v>
      </c>
      <c r="O81" s="47">
        <f t="shared" si="21"/>
        <v>0</v>
      </c>
      <c r="P81" s="47">
        <f>Table14[[#This Row],[Enrolment S.Y. 2025-2026 ]]*8</f>
        <v>3440</v>
      </c>
      <c r="Q81" s="47"/>
      <c r="R81" s="45"/>
      <c r="S81" s="47"/>
      <c r="T81" s="47">
        <f t="shared" si="16"/>
        <v>3440</v>
      </c>
      <c r="U81" s="47">
        <f t="shared" si="17"/>
        <v>0</v>
      </c>
      <c r="V81" s="47">
        <f>Table14[[#This Row],[Enrolment S.Y. 2025-2026 ]]*8</f>
        <v>3440</v>
      </c>
      <c r="W81" s="47"/>
      <c r="X81" s="45"/>
      <c r="Y81" s="47"/>
      <c r="Z81" s="47">
        <f t="shared" si="18"/>
        <v>3440</v>
      </c>
      <c r="AA81" s="47">
        <f t="shared" si="19"/>
        <v>0</v>
      </c>
    </row>
    <row r="82" spans="1:27" ht="15">
      <c r="A82" s="45">
        <v>8</v>
      </c>
      <c r="B82" s="46" t="s">
        <v>20</v>
      </c>
      <c r="C82" s="45">
        <v>430</v>
      </c>
      <c r="D82" s="47">
        <f>Table14[[#This Row],[Enrolment S.Y. 2025-2026 ]]*8</f>
        <v>3440</v>
      </c>
      <c r="E82" s="47"/>
      <c r="F82" s="45"/>
      <c r="G82" s="47"/>
      <c r="H82" s="47">
        <f t="shared" si="0"/>
        <v>3440</v>
      </c>
      <c r="I82" s="47">
        <f t="shared" si="1"/>
        <v>0</v>
      </c>
      <c r="J82" s="47">
        <f>Table14[[#This Row],[Enrolment S.Y. 2025-2026 ]]*8</f>
        <v>3440</v>
      </c>
      <c r="K82" s="47"/>
      <c r="L82" s="45"/>
      <c r="M82" s="47"/>
      <c r="N82" s="47">
        <f t="shared" si="20"/>
        <v>3440</v>
      </c>
      <c r="O82" s="47">
        <f t="shared" si="21"/>
        <v>0</v>
      </c>
      <c r="P82" s="47">
        <f>Table14[[#This Row],[Enrolment S.Y. 2025-2026 ]]*8</f>
        <v>3440</v>
      </c>
      <c r="Q82" s="47"/>
      <c r="R82" s="45"/>
      <c r="S82" s="47"/>
      <c r="T82" s="47">
        <f t="shared" si="16"/>
        <v>3440</v>
      </c>
      <c r="U82" s="47">
        <f t="shared" si="17"/>
        <v>0</v>
      </c>
      <c r="V82" s="47">
        <f>Table14[[#This Row],[Enrolment S.Y. 2025-2026 ]]*8</f>
        <v>3440</v>
      </c>
      <c r="W82" s="47"/>
      <c r="X82" s="45"/>
      <c r="Y82" s="47"/>
      <c r="Z82" s="47">
        <f t="shared" si="18"/>
        <v>3440</v>
      </c>
      <c r="AA82" s="47">
        <f t="shared" si="19"/>
        <v>0</v>
      </c>
    </row>
    <row r="83" spans="1:27" ht="15">
      <c r="A83" s="45">
        <v>8</v>
      </c>
      <c r="B83" s="46" t="s">
        <v>22</v>
      </c>
      <c r="C83" s="45">
        <v>430</v>
      </c>
      <c r="D83" s="47">
        <f>Table14[[#This Row],[Enrolment S.Y. 2025-2026 ]]*8</f>
        <v>3440</v>
      </c>
      <c r="E83" s="47"/>
      <c r="F83" s="45"/>
      <c r="G83" s="47"/>
      <c r="H83" s="47">
        <f t="shared" si="0"/>
        <v>3440</v>
      </c>
      <c r="I83" s="47">
        <f t="shared" si="1"/>
        <v>0</v>
      </c>
      <c r="J83" s="47">
        <f>Table14[[#This Row],[Enrolment S.Y. 2025-2026 ]]*8</f>
        <v>3440</v>
      </c>
      <c r="K83" s="47"/>
      <c r="L83" s="45"/>
      <c r="M83" s="47"/>
      <c r="N83" s="47">
        <f t="shared" si="20"/>
        <v>3440</v>
      </c>
      <c r="O83" s="47">
        <f t="shared" si="21"/>
        <v>0</v>
      </c>
      <c r="P83" s="47">
        <f>Table14[[#This Row],[Enrolment S.Y. 2025-2026 ]]*8</f>
        <v>3440</v>
      </c>
      <c r="Q83" s="47"/>
      <c r="R83" s="45"/>
      <c r="S83" s="47"/>
      <c r="T83" s="47">
        <f t="shared" si="16"/>
        <v>3440</v>
      </c>
      <c r="U83" s="47">
        <f t="shared" si="17"/>
        <v>0</v>
      </c>
      <c r="V83" s="47">
        <f>Table14[[#This Row],[Enrolment S.Y. 2025-2026 ]]*8</f>
        <v>3440</v>
      </c>
      <c r="W83" s="47"/>
      <c r="X83" s="45"/>
      <c r="Y83" s="47"/>
      <c r="Z83" s="47">
        <f t="shared" si="18"/>
        <v>3440</v>
      </c>
      <c r="AA83" s="47">
        <f t="shared" si="19"/>
        <v>0</v>
      </c>
    </row>
    <row r="84" spans="1:27" ht="15">
      <c r="A84" s="45">
        <v>8</v>
      </c>
      <c r="B84" s="46" t="s">
        <v>13</v>
      </c>
      <c r="C84" s="45">
        <v>430</v>
      </c>
      <c r="D84" s="47">
        <f>Table14[[#This Row],[Enrolment S.Y. 2025-2026 ]]*8</f>
        <v>3440</v>
      </c>
      <c r="E84" s="47"/>
      <c r="F84" s="45"/>
      <c r="G84" s="47"/>
      <c r="H84" s="47">
        <f t="shared" ref="H84:H122" si="22">IF((D84-E84)&lt;0,0,(D84-E84))</f>
        <v>3440</v>
      </c>
      <c r="I84" s="47">
        <f t="shared" ref="I84:I122" si="23">IF((E84-D84)&lt;0,0,(E84-D84))</f>
        <v>0</v>
      </c>
      <c r="J84" s="47">
        <f>Table14[[#This Row],[Enrolment S.Y. 2025-2026 ]]*8</f>
        <v>3440</v>
      </c>
      <c r="K84" s="47"/>
      <c r="L84" s="45"/>
      <c r="M84" s="47"/>
      <c r="N84" s="47">
        <f t="shared" ref="N84:N89" si="24">IF((J84-K84)&lt;0,0,(J84-K84))</f>
        <v>3440</v>
      </c>
      <c r="O84" s="47">
        <f t="shared" ref="O84:O89" si="25">IF((K84-J84)&lt;0,0,(K84-J84))</f>
        <v>0</v>
      </c>
      <c r="P84" s="47">
        <f>Table14[[#This Row],[Enrolment S.Y. 2025-2026 ]]*8</f>
        <v>3440</v>
      </c>
      <c r="Q84" s="47"/>
      <c r="R84" s="45"/>
      <c r="S84" s="47"/>
      <c r="T84" s="47">
        <f t="shared" si="16"/>
        <v>3440</v>
      </c>
      <c r="U84" s="47">
        <f t="shared" si="17"/>
        <v>0</v>
      </c>
      <c r="V84" s="47">
        <f>Table14[[#This Row],[Enrolment S.Y. 2025-2026 ]]*8</f>
        <v>3440</v>
      </c>
      <c r="W84" s="47"/>
      <c r="X84" s="45"/>
      <c r="Y84" s="47"/>
      <c r="Z84" s="47">
        <f t="shared" si="18"/>
        <v>3440</v>
      </c>
      <c r="AA84" s="47">
        <f t="shared" si="19"/>
        <v>0</v>
      </c>
    </row>
    <row r="85" spans="1:27" ht="15">
      <c r="A85" s="48">
        <v>8</v>
      </c>
      <c r="B85" s="46" t="s">
        <v>86</v>
      </c>
      <c r="C85" s="47">
        <v>430</v>
      </c>
      <c r="D85" s="47">
        <f>Table14[[#This Row],[Enrolment S.Y. 2025-2026 ]]*8</f>
        <v>3440</v>
      </c>
      <c r="E85" s="47"/>
      <c r="F85" s="45"/>
      <c r="G85" s="47"/>
      <c r="H85" s="47">
        <f>IF((D85-E85)&lt;0,0,(D85-E85))</f>
        <v>3440</v>
      </c>
      <c r="I85" s="47">
        <f>IF((E85-D85)&lt;0,0,(E85-D85))</f>
        <v>0</v>
      </c>
      <c r="J85" s="47">
        <f>Table14[[#This Row],[Enrolment S.Y. 2025-2026 ]]*8</f>
        <v>3440</v>
      </c>
      <c r="K85" s="47"/>
      <c r="L85" s="45"/>
      <c r="M85" s="47"/>
      <c r="N85" s="47">
        <f t="shared" si="24"/>
        <v>3440</v>
      </c>
      <c r="O85" s="47">
        <f t="shared" si="25"/>
        <v>0</v>
      </c>
      <c r="P85" s="47">
        <f>Table14[[#This Row],[Enrolment S.Y. 2025-2026 ]]*8</f>
        <v>3440</v>
      </c>
      <c r="Q85" s="47"/>
      <c r="R85" s="45"/>
      <c r="S85" s="47"/>
      <c r="T85" s="47">
        <f>IF((P85-Q85)&lt;0,0,(P85-Q85))</f>
        <v>3440</v>
      </c>
      <c r="U85" s="47">
        <f>IF((Q85-P85)&lt;0,0,(Q85-P85))</f>
        <v>0</v>
      </c>
      <c r="V85" s="47">
        <f>Table14[[#This Row],[Enrolment S.Y. 2025-2026 ]]*8</f>
        <v>3440</v>
      </c>
      <c r="W85" s="47"/>
      <c r="X85" s="45"/>
      <c r="Y85" s="47"/>
      <c r="Z85" s="47">
        <f>IF((V85-W85)&lt;0,0,(V85-W85))</f>
        <v>3440</v>
      </c>
      <c r="AA85" s="47">
        <f>IF((W85-V85)&lt;0,0,(W85-V85))</f>
        <v>0</v>
      </c>
    </row>
    <row r="86" spans="1:27" ht="15">
      <c r="A86" s="45">
        <v>8</v>
      </c>
      <c r="B86" s="46" t="s">
        <v>87</v>
      </c>
      <c r="C86" s="45">
        <v>430</v>
      </c>
      <c r="D86" s="47">
        <f>Table14[[#This Row],[Enrolment S.Y. 2025-2026 ]]*8</f>
        <v>3440</v>
      </c>
      <c r="E86" s="47"/>
      <c r="F86" s="45"/>
      <c r="G86" s="47"/>
      <c r="H86" s="47">
        <f t="shared" si="22"/>
        <v>3440</v>
      </c>
      <c r="I86" s="47">
        <f t="shared" si="23"/>
        <v>0</v>
      </c>
      <c r="J86" s="47">
        <f>Table14[[#This Row],[Enrolment S.Y. 2025-2026 ]]*8</f>
        <v>3440</v>
      </c>
      <c r="K86" s="47"/>
      <c r="L86" s="45"/>
      <c r="M86" s="47"/>
      <c r="N86" s="47">
        <f t="shared" si="24"/>
        <v>3440</v>
      </c>
      <c r="O86" s="47">
        <f t="shared" si="25"/>
        <v>0</v>
      </c>
      <c r="P86" s="47">
        <f>Table14[[#This Row],[Enrolment S.Y. 2025-2026 ]]*8</f>
        <v>3440</v>
      </c>
      <c r="Q86" s="47"/>
      <c r="R86" s="45"/>
      <c r="S86" s="47"/>
      <c r="T86" s="47">
        <f t="shared" si="16"/>
        <v>3440</v>
      </c>
      <c r="U86" s="47">
        <f t="shared" si="17"/>
        <v>0</v>
      </c>
      <c r="V86" s="47">
        <f>Table14[[#This Row],[Enrolment S.Y. 2025-2026 ]]*8</f>
        <v>3440</v>
      </c>
      <c r="W86" s="47"/>
      <c r="X86" s="45"/>
      <c r="Y86" s="47"/>
      <c r="Z86" s="47">
        <f t="shared" si="18"/>
        <v>3440</v>
      </c>
      <c r="AA86" s="47">
        <f t="shared" si="19"/>
        <v>0</v>
      </c>
    </row>
    <row r="87" spans="1:27" ht="15">
      <c r="A87" s="45">
        <v>8</v>
      </c>
      <c r="B87" s="46" t="s">
        <v>21</v>
      </c>
      <c r="C87" s="45">
        <v>430</v>
      </c>
      <c r="D87" s="47">
        <f>Table14[[#This Row],[Enrolment S.Y. 2025-2026 ]]*8</f>
        <v>3440</v>
      </c>
      <c r="E87" s="47"/>
      <c r="F87" s="45"/>
      <c r="G87" s="47"/>
      <c r="H87" s="47">
        <f t="shared" si="22"/>
        <v>3440</v>
      </c>
      <c r="I87" s="47">
        <f t="shared" si="23"/>
        <v>0</v>
      </c>
      <c r="J87" s="47">
        <f>Table14[[#This Row],[Enrolment S.Y. 2025-2026 ]]*8</f>
        <v>3440</v>
      </c>
      <c r="K87" s="47"/>
      <c r="L87" s="45"/>
      <c r="M87" s="47"/>
      <c r="N87" s="47">
        <f t="shared" si="24"/>
        <v>3440</v>
      </c>
      <c r="O87" s="47">
        <f t="shared" si="25"/>
        <v>0</v>
      </c>
      <c r="P87" s="47">
        <f>Table14[[#This Row],[Enrolment S.Y. 2025-2026 ]]*8</f>
        <v>3440</v>
      </c>
      <c r="Q87" s="47"/>
      <c r="R87" s="45"/>
      <c r="S87" s="47"/>
      <c r="T87" s="47">
        <f t="shared" si="16"/>
        <v>3440</v>
      </c>
      <c r="U87" s="47">
        <f t="shared" si="17"/>
        <v>0</v>
      </c>
      <c r="V87" s="47">
        <f>Table14[[#This Row],[Enrolment S.Y. 2025-2026 ]]*8</f>
        <v>3440</v>
      </c>
      <c r="W87" s="47"/>
      <c r="X87" s="45"/>
      <c r="Y87" s="47"/>
      <c r="Z87" s="47">
        <f t="shared" si="18"/>
        <v>3440</v>
      </c>
      <c r="AA87" s="47">
        <f t="shared" si="19"/>
        <v>0</v>
      </c>
    </row>
    <row r="88" spans="1:27" ht="15">
      <c r="A88" s="48">
        <v>8</v>
      </c>
      <c r="B88" s="46" t="s">
        <v>88</v>
      </c>
      <c r="C88" s="47">
        <v>430</v>
      </c>
      <c r="D88" s="47">
        <f>Table14[[#This Row],[Enrolment S.Y. 2025-2026 ]]*8</f>
        <v>3440</v>
      </c>
      <c r="E88" s="47"/>
      <c r="F88" s="45"/>
      <c r="G88" s="47"/>
      <c r="H88" s="47">
        <f>IF((D88-E88)&lt;0,0,(D88-E88))</f>
        <v>3440</v>
      </c>
      <c r="I88" s="47">
        <f>IF((E88-D88)&lt;0,0,(E88-D88))</f>
        <v>0</v>
      </c>
      <c r="J88" s="47">
        <f>Table14[[#This Row],[Enrolment S.Y. 2025-2026 ]]*8</f>
        <v>3440</v>
      </c>
      <c r="K88" s="47"/>
      <c r="L88" s="45"/>
      <c r="M88" s="47"/>
      <c r="N88" s="47">
        <f t="shared" si="24"/>
        <v>3440</v>
      </c>
      <c r="O88" s="47">
        <f t="shared" si="25"/>
        <v>0</v>
      </c>
      <c r="P88" s="47">
        <f>Table14[[#This Row],[Enrolment S.Y. 2025-2026 ]]*8</f>
        <v>3440</v>
      </c>
      <c r="Q88" s="47"/>
      <c r="R88" s="45"/>
      <c r="S88" s="47"/>
      <c r="T88" s="47">
        <f>IF((P88-Q88)&lt;0,0,(P88-Q88))</f>
        <v>3440</v>
      </c>
      <c r="U88" s="47">
        <f>IF((Q88-P88)&lt;0,0,(Q88-P88))</f>
        <v>0</v>
      </c>
      <c r="V88" s="47">
        <f>Table14[[#This Row],[Enrolment S.Y. 2025-2026 ]]*8</f>
        <v>3440</v>
      </c>
      <c r="W88" s="47"/>
      <c r="X88" s="45"/>
      <c r="Y88" s="47"/>
      <c r="Z88" s="47">
        <f>IF((V88-W88)&lt;0,0,(V88-W88))</f>
        <v>3440</v>
      </c>
      <c r="AA88" s="47">
        <f>IF((W88-V88)&lt;0,0,(W88-V88))</f>
        <v>0</v>
      </c>
    </row>
    <row r="89" spans="1:27" ht="15">
      <c r="A89" s="45">
        <v>8</v>
      </c>
      <c r="B89" s="46" t="s">
        <v>89</v>
      </c>
      <c r="C89" s="45">
        <v>430</v>
      </c>
      <c r="D89" s="47">
        <f>Table14[[#This Row],[Enrolment S.Y. 2025-2026 ]]*8</f>
        <v>3440</v>
      </c>
      <c r="E89" s="47"/>
      <c r="F89" s="45"/>
      <c r="G89" s="47"/>
      <c r="H89" s="47">
        <f t="shared" si="22"/>
        <v>3440</v>
      </c>
      <c r="I89" s="47">
        <f t="shared" si="23"/>
        <v>0</v>
      </c>
      <c r="J89" s="47">
        <f>Table14[[#This Row],[Enrolment S.Y. 2025-2026 ]]*8</f>
        <v>3440</v>
      </c>
      <c r="K89" s="47"/>
      <c r="L89" s="45"/>
      <c r="M89" s="47"/>
      <c r="N89" s="47">
        <f t="shared" si="24"/>
        <v>3440</v>
      </c>
      <c r="O89" s="47">
        <f t="shared" si="25"/>
        <v>0</v>
      </c>
      <c r="P89" s="47">
        <f>Table14[[#This Row],[Enrolment S.Y. 2025-2026 ]]*8</f>
        <v>3440</v>
      </c>
      <c r="Q89" s="47"/>
      <c r="R89" s="45"/>
      <c r="S89" s="47"/>
      <c r="T89" s="47">
        <f t="shared" si="16"/>
        <v>3440</v>
      </c>
      <c r="U89" s="47">
        <f t="shared" si="17"/>
        <v>0</v>
      </c>
      <c r="V89" s="47">
        <f>Table14[[#This Row],[Enrolment S.Y. 2025-2026 ]]*8</f>
        <v>3440</v>
      </c>
      <c r="W89" s="47"/>
      <c r="X89" s="45"/>
      <c r="Y89" s="47"/>
      <c r="Z89" s="47">
        <f t="shared" si="18"/>
        <v>3440</v>
      </c>
      <c r="AA89" s="47">
        <f t="shared" si="19"/>
        <v>0</v>
      </c>
    </row>
    <row r="90" spans="1:27" s="5" customForma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spans="1:27" ht="15">
      <c r="A91" s="45">
        <v>9</v>
      </c>
      <c r="B91" s="46" t="s">
        <v>14</v>
      </c>
      <c r="C91" s="45">
        <v>444</v>
      </c>
      <c r="D91" s="47">
        <f>Table14[[#This Row],[Enrolment S.Y. 2025-2026 ]]*8</f>
        <v>3552</v>
      </c>
      <c r="E91" s="47"/>
      <c r="F91" s="45"/>
      <c r="G91" s="47"/>
      <c r="H91" s="47">
        <f t="shared" si="22"/>
        <v>3552</v>
      </c>
      <c r="I91" s="47">
        <f t="shared" si="23"/>
        <v>0</v>
      </c>
      <c r="J91" s="47">
        <f>Table14[[#This Row],[Enrolment S.Y. 2025-2026 ]]*8</f>
        <v>3552</v>
      </c>
      <c r="K91" s="47"/>
      <c r="L91" s="45"/>
      <c r="M91" s="47"/>
      <c r="N91" s="47">
        <f t="shared" si="20"/>
        <v>3552</v>
      </c>
      <c r="O91" s="47">
        <f t="shared" si="21"/>
        <v>0</v>
      </c>
      <c r="P91" s="47">
        <f>Table14[[#This Row],[Enrolment S.Y. 2025-2026 ]]*8</f>
        <v>3552</v>
      </c>
      <c r="Q91" s="47"/>
      <c r="R91" s="45"/>
      <c r="S91" s="47"/>
      <c r="T91" s="47">
        <f t="shared" si="16"/>
        <v>3552</v>
      </c>
      <c r="U91" s="47">
        <f t="shared" si="17"/>
        <v>0</v>
      </c>
      <c r="V91" s="47">
        <f>Table14[[#This Row],[Enrolment S.Y. 2025-2026 ]]*8</f>
        <v>3552</v>
      </c>
      <c r="W91" s="47">
        <v>1148</v>
      </c>
      <c r="X91" s="45"/>
      <c r="Y91" s="47"/>
      <c r="Z91" s="47">
        <f t="shared" si="18"/>
        <v>2404</v>
      </c>
      <c r="AA91" s="47">
        <f t="shared" si="19"/>
        <v>0</v>
      </c>
    </row>
    <row r="92" spans="1:27" ht="15">
      <c r="A92" s="45">
        <v>9</v>
      </c>
      <c r="B92" s="46" t="s">
        <v>15</v>
      </c>
      <c r="C92" s="45">
        <v>444</v>
      </c>
      <c r="D92" s="47">
        <f>Table14[[#This Row],[Enrolment S.Y. 2025-2026 ]]*8</f>
        <v>3552</v>
      </c>
      <c r="E92" s="47">
        <v>1752</v>
      </c>
      <c r="F92" s="45"/>
      <c r="G92" s="47"/>
      <c r="H92" s="47">
        <f t="shared" si="22"/>
        <v>1800</v>
      </c>
      <c r="I92" s="47">
        <f t="shared" si="23"/>
        <v>0</v>
      </c>
      <c r="J92" s="47">
        <f>Table14[[#This Row],[Enrolment S.Y. 2025-2026 ]]*8</f>
        <v>3552</v>
      </c>
      <c r="K92" s="47"/>
      <c r="L92" s="45"/>
      <c r="M92" s="47"/>
      <c r="N92" s="47">
        <f t="shared" si="20"/>
        <v>3552</v>
      </c>
      <c r="O92" s="47">
        <f t="shared" si="21"/>
        <v>0</v>
      </c>
      <c r="P92" s="47">
        <f>Table14[[#This Row],[Enrolment S.Y. 2025-2026 ]]*8</f>
        <v>3552</v>
      </c>
      <c r="Q92" s="47">
        <v>410</v>
      </c>
      <c r="R92" s="45"/>
      <c r="S92" s="47"/>
      <c r="T92" s="47">
        <f t="shared" si="16"/>
        <v>3142</v>
      </c>
      <c r="U92" s="47">
        <f t="shared" si="17"/>
        <v>0</v>
      </c>
      <c r="V92" s="47">
        <f>Table14[[#This Row],[Enrolment S.Y. 2025-2026 ]]*8</f>
        <v>3552</v>
      </c>
      <c r="W92" s="47">
        <v>833</v>
      </c>
      <c r="X92" s="45"/>
      <c r="Y92" s="47"/>
      <c r="Z92" s="47">
        <f t="shared" si="18"/>
        <v>2719</v>
      </c>
      <c r="AA92" s="47">
        <f t="shared" si="19"/>
        <v>0</v>
      </c>
    </row>
    <row r="93" spans="1:27" ht="15">
      <c r="A93" s="45">
        <v>9</v>
      </c>
      <c r="B93" s="46" t="s">
        <v>12</v>
      </c>
      <c r="C93" s="45">
        <v>444</v>
      </c>
      <c r="D93" s="47">
        <f>Table14[[#This Row],[Enrolment S.Y. 2025-2026 ]]*8</f>
        <v>3552</v>
      </c>
      <c r="E93" s="47">
        <v>6716</v>
      </c>
      <c r="F93" s="45"/>
      <c r="G93" s="47"/>
      <c r="H93" s="47">
        <f t="shared" si="22"/>
        <v>0</v>
      </c>
      <c r="I93" s="47">
        <f t="shared" si="23"/>
        <v>3164</v>
      </c>
      <c r="J93" s="47">
        <f>Table14[[#This Row],[Enrolment S.Y. 2025-2026 ]]*8</f>
        <v>3552</v>
      </c>
      <c r="K93" s="47"/>
      <c r="L93" s="45"/>
      <c r="M93" s="47"/>
      <c r="N93" s="47">
        <f t="shared" si="20"/>
        <v>3552</v>
      </c>
      <c r="O93" s="47">
        <f t="shared" si="21"/>
        <v>0</v>
      </c>
      <c r="P93" s="47">
        <f>Table14[[#This Row],[Enrolment S.Y. 2025-2026 ]]*8</f>
        <v>3552</v>
      </c>
      <c r="Q93" s="47">
        <v>1312</v>
      </c>
      <c r="R93" s="45"/>
      <c r="S93" s="47"/>
      <c r="T93" s="47">
        <f t="shared" si="16"/>
        <v>2240</v>
      </c>
      <c r="U93" s="47">
        <f t="shared" si="17"/>
        <v>0</v>
      </c>
      <c r="V93" s="47">
        <f>Table14[[#This Row],[Enrolment S.Y. 2025-2026 ]]*8</f>
        <v>3552</v>
      </c>
      <c r="W93" s="47">
        <v>738</v>
      </c>
      <c r="X93" s="45"/>
      <c r="Y93" s="47"/>
      <c r="Z93" s="47">
        <f t="shared" si="18"/>
        <v>2814</v>
      </c>
      <c r="AA93" s="47">
        <f t="shared" si="19"/>
        <v>0</v>
      </c>
    </row>
    <row r="94" spans="1:27" ht="15">
      <c r="A94" s="45">
        <v>9</v>
      </c>
      <c r="B94" s="46" t="s">
        <v>20</v>
      </c>
      <c r="C94" s="45">
        <v>444</v>
      </c>
      <c r="D94" s="47">
        <f>Table14[[#This Row],[Enrolment S.Y. 2025-2026 ]]*8</f>
        <v>3552</v>
      </c>
      <c r="E94" s="47"/>
      <c r="F94" s="45"/>
      <c r="G94" s="47"/>
      <c r="H94" s="47">
        <f t="shared" si="22"/>
        <v>3552</v>
      </c>
      <c r="I94" s="47">
        <f t="shared" si="23"/>
        <v>0</v>
      </c>
      <c r="J94" s="47">
        <f>Table14[[#This Row],[Enrolment S.Y. 2025-2026 ]]*8</f>
        <v>3552</v>
      </c>
      <c r="K94" s="47"/>
      <c r="L94" s="45"/>
      <c r="M94" s="47"/>
      <c r="N94" s="47">
        <f t="shared" si="20"/>
        <v>3552</v>
      </c>
      <c r="O94" s="47">
        <f t="shared" si="21"/>
        <v>0</v>
      </c>
      <c r="P94" s="47">
        <f>Table14[[#This Row],[Enrolment S.Y. 2025-2026 ]]*8</f>
        <v>3552</v>
      </c>
      <c r="Q94" s="47">
        <v>410</v>
      </c>
      <c r="R94" s="45"/>
      <c r="S94" s="47"/>
      <c r="T94" s="47">
        <f t="shared" si="16"/>
        <v>3142</v>
      </c>
      <c r="U94" s="47">
        <f t="shared" si="17"/>
        <v>0</v>
      </c>
      <c r="V94" s="47">
        <f>Table14[[#This Row],[Enrolment S.Y. 2025-2026 ]]*8</f>
        <v>3552</v>
      </c>
      <c r="W94" s="47">
        <v>656</v>
      </c>
      <c r="X94" s="45"/>
      <c r="Y94" s="47"/>
      <c r="Z94" s="47">
        <f t="shared" si="18"/>
        <v>2896</v>
      </c>
      <c r="AA94" s="47">
        <f t="shared" si="19"/>
        <v>0</v>
      </c>
    </row>
    <row r="95" spans="1:27" ht="15">
      <c r="A95" s="45">
        <v>9</v>
      </c>
      <c r="B95" s="46" t="s">
        <v>22</v>
      </c>
      <c r="C95" s="45">
        <v>444</v>
      </c>
      <c r="D95" s="47">
        <f>Table14[[#This Row],[Enrolment S.Y. 2025-2026 ]]*8</f>
        <v>3552</v>
      </c>
      <c r="E95" s="47"/>
      <c r="F95" s="45"/>
      <c r="G95" s="47"/>
      <c r="H95" s="47">
        <f t="shared" si="22"/>
        <v>3552</v>
      </c>
      <c r="I95" s="47">
        <f t="shared" si="23"/>
        <v>0</v>
      </c>
      <c r="J95" s="47">
        <f>Table14[[#This Row],[Enrolment S.Y. 2025-2026 ]]*8</f>
        <v>3552</v>
      </c>
      <c r="K95" s="47"/>
      <c r="L95" s="45"/>
      <c r="M95" s="47"/>
      <c r="N95" s="47">
        <f t="shared" si="20"/>
        <v>3552</v>
      </c>
      <c r="O95" s="47">
        <f t="shared" si="21"/>
        <v>0</v>
      </c>
      <c r="P95" s="47">
        <f>Table14[[#This Row],[Enrolment S.Y. 2025-2026 ]]*8</f>
        <v>3552</v>
      </c>
      <c r="Q95" s="47">
        <v>492</v>
      </c>
      <c r="R95" s="45"/>
      <c r="S95" s="47"/>
      <c r="T95" s="47">
        <f t="shared" si="16"/>
        <v>3060</v>
      </c>
      <c r="U95" s="47">
        <f t="shared" si="17"/>
        <v>0</v>
      </c>
      <c r="V95" s="47">
        <f>Table14[[#This Row],[Enrolment S.Y. 2025-2026 ]]*8</f>
        <v>3552</v>
      </c>
      <c r="W95" s="47">
        <v>328</v>
      </c>
      <c r="X95" s="45"/>
      <c r="Y95" s="47"/>
      <c r="Z95" s="47">
        <f t="shared" si="18"/>
        <v>3224</v>
      </c>
      <c r="AA95" s="47">
        <f t="shared" si="19"/>
        <v>0</v>
      </c>
    </row>
    <row r="96" spans="1:27" ht="15">
      <c r="A96" s="45">
        <v>9</v>
      </c>
      <c r="B96" s="46" t="s">
        <v>13</v>
      </c>
      <c r="C96" s="45">
        <v>444</v>
      </c>
      <c r="D96" s="47">
        <f>Table14[[#This Row],[Enrolment S.Y. 2025-2026 ]]*8</f>
        <v>3552</v>
      </c>
      <c r="E96" s="47"/>
      <c r="F96" s="45"/>
      <c r="G96" s="47"/>
      <c r="H96" s="47">
        <f t="shared" si="22"/>
        <v>3552</v>
      </c>
      <c r="I96" s="47">
        <f t="shared" si="23"/>
        <v>0</v>
      </c>
      <c r="J96" s="47">
        <f>Table14[[#This Row],[Enrolment S.Y. 2025-2026 ]]*8</f>
        <v>3552</v>
      </c>
      <c r="K96" s="47"/>
      <c r="L96" s="45"/>
      <c r="M96" s="47"/>
      <c r="N96" s="47">
        <f t="shared" si="20"/>
        <v>3552</v>
      </c>
      <c r="O96" s="47">
        <f t="shared" si="21"/>
        <v>0</v>
      </c>
      <c r="P96" s="47">
        <f>Table14[[#This Row],[Enrolment S.Y. 2025-2026 ]]*8</f>
        <v>3552</v>
      </c>
      <c r="Q96" s="47">
        <v>492</v>
      </c>
      <c r="R96" s="45"/>
      <c r="S96" s="47"/>
      <c r="T96" s="47">
        <f t="shared" si="16"/>
        <v>3060</v>
      </c>
      <c r="U96" s="47">
        <f t="shared" si="17"/>
        <v>0</v>
      </c>
      <c r="V96" s="47">
        <f>Table14[[#This Row],[Enrolment S.Y. 2025-2026 ]]*8</f>
        <v>3552</v>
      </c>
      <c r="W96" s="47">
        <v>820</v>
      </c>
      <c r="X96" s="45"/>
      <c r="Y96" s="47"/>
      <c r="Z96" s="47">
        <f t="shared" si="18"/>
        <v>2732</v>
      </c>
      <c r="AA96" s="47">
        <f t="shared" si="19"/>
        <v>0</v>
      </c>
    </row>
    <row r="97" spans="1:27" ht="15">
      <c r="A97" s="48">
        <v>9</v>
      </c>
      <c r="B97" s="46" t="s">
        <v>86</v>
      </c>
      <c r="C97" s="45">
        <v>444</v>
      </c>
      <c r="D97" s="47">
        <f>Table14[[#This Row],[Enrolment S.Y. 2025-2026 ]]*8</f>
        <v>3552</v>
      </c>
      <c r="E97" s="47"/>
      <c r="F97" s="45"/>
      <c r="G97" s="47"/>
      <c r="H97" s="47">
        <f>IF((D97-E97)&lt;0,0,(D97-E97))</f>
        <v>3552</v>
      </c>
      <c r="I97" s="47">
        <f>IF((E97-D97)&lt;0,0,(E97-D97))</f>
        <v>0</v>
      </c>
      <c r="J97" s="47">
        <f>Table14[[#This Row],[Enrolment S.Y. 2025-2026 ]]*8</f>
        <v>3552</v>
      </c>
      <c r="K97" s="47"/>
      <c r="L97" s="45"/>
      <c r="M97" s="47"/>
      <c r="N97" s="47">
        <f t="shared" ref="N97:N101" si="26">IF((J97-K97)&lt;0,0,(J97-K97))</f>
        <v>3552</v>
      </c>
      <c r="O97" s="47">
        <f t="shared" ref="O97:O101" si="27">IF((K97-J97)&lt;0,0,(K97-J97))</f>
        <v>0</v>
      </c>
      <c r="P97" s="47">
        <f>Table14[[#This Row],[Enrolment S.Y. 2025-2026 ]]*8</f>
        <v>3552</v>
      </c>
      <c r="Q97" s="47"/>
      <c r="R97" s="45"/>
      <c r="S97" s="47"/>
      <c r="T97" s="47">
        <f>IF((P97-Q97)&lt;0,0,(P97-Q97))</f>
        <v>3552</v>
      </c>
      <c r="U97" s="47">
        <f>IF((Q97-P97)&lt;0,0,(Q97-P97))</f>
        <v>0</v>
      </c>
      <c r="V97" s="47">
        <f>Table14[[#This Row],[Enrolment S.Y. 2025-2026 ]]*8</f>
        <v>3552</v>
      </c>
      <c r="W97" s="47">
        <v>656</v>
      </c>
      <c r="X97" s="45"/>
      <c r="Y97" s="47"/>
      <c r="Z97" s="47">
        <f>IF((V97-W97)&lt;0,0,(V97-W97))</f>
        <v>2896</v>
      </c>
      <c r="AA97" s="47">
        <f>IF((W97-V97)&lt;0,0,(W97-V97))</f>
        <v>0</v>
      </c>
    </row>
    <row r="98" spans="1:27" ht="15">
      <c r="A98" s="45">
        <v>9</v>
      </c>
      <c r="B98" s="46" t="s">
        <v>87</v>
      </c>
      <c r="C98" s="45">
        <v>444</v>
      </c>
      <c r="D98" s="47">
        <f>Table14[[#This Row],[Enrolment S.Y. 2025-2026 ]]*8</f>
        <v>3552</v>
      </c>
      <c r="E98" s="47"/>
      <c r="F98" s="45"/>
      <c r="G98" s="47"/>
      <c r="H98" s="47">
        <f t="shared" si="22"/>
        <v>3552</v>
      </c>
      <c r="I98" s="47">
        <f t="shared" si="23"/>
        <v>0</v>
      </c>
      <c r="J98" s="47">
        <f>Table14[[#This Row],[Enrolment S.Y. 2025-2026 ]]*8</f>
        <v>3552</v>
      </c>
      <c r="K98" s="47"/>
      <c r="L98" s="45"/>
      <c r="M98" s="47"/>
      <c r="N98" s="47">
        <f t="shared" si="26"/>
        <v>3552</v>
      </c>
      <c r="O98" s="47">
        <f t="shared" si="27"/>
        <v>0</v>
      </c>
      <c r="P98" s="47">
        <f>Table14[[#This Row],[Enrolment S.Y. 2025-2026 ]]*8</f>
        <v>3552</v>
      </c>
      <c r="Q98" s="47"/>
      <c r="R98" s="45"/>
      <c r="S98" s="47"/>
      <c r="T98" s="47">
        <f t="shared" si="16"/>
        <v>3552</v>
      </c>
      <c r="U98" s="47">
        <f t="shared" si="17"/>
        <v>0</v>
      </c>
      <c r="V98" s="47">
        <f>Table14[[#This Row],[Enrolment S.Y. 2025-2026 ]]*8</f>
        <v>3552</v>
      </c>
      <c r="W98" s="47">
        <v>937</v>
      </c>
      <c r="X98" s="45"/>
      <c r="Y98" s="47"/>
      <c r="Z98" s="47">
        <f t="shared" si="18"/>
        <v>2615</v>
      </c>
      <c r="AA98" s="47">
        <f t="shared" si="19"/>
        <v>0</v>
      </c>
    </row>
    <row r="99" spans="1:27" ht="15">
      <c r="A99" s="45">
        <v>9</v>
      </c>
      <c r="B99" s="46" t="s">
        <v>21</v>
      </c>
      <c r="C99" s="45">
        <v>444</v>
      </c>
      <c r="D99" s="47">
        <f>Table14[[#This Row],[Enrolment S.Y. 2025-2026 ]]*8</f>
        <v>3552</v>
      </c>
      <c r="E99" s="47"/>
      <c r="F99" s="45"/>
      <c r="G99" s="47"/>
      <c r="H99" s="47">
        <f t="shared" si="22"/>
        <v>3552</v>
      </c>
      <c r="I99" s="47">
        <f t="shared" si="23"/>
        <v>0</v>
      </c>
      <c r="J99" s="47">
        <f>Table14[[#This Row],[Enrolment S.Y. 2025-2026 ]]*8</f>
        <v>3552</v>
      </c>
      <c r="K99" s="47"/>
      <c r="L99" s="45"/>
      <c r="M99" s="47"/>
      <c r="N99" s="47">
        <f t="shared" si="26"/>
        <v>3552</v>
      </c>
      <c r="O99" s="47">
        <f t="shared" si="27"/>
        <v>0</v>
      </c>
      <c r="P99" s="47">
        <f>Table14[[#This Row],[Enrolment S.Y. 2025-2026 ]]*8</f>
        <v>3552</v>
      </c>
      <c r="Q99" s="47"/>
      <c r="R99" s="45"/>
      <c r="S99" s="47"/>
      <c r="T99" s="47">
        <f t="shared" si="16"/>
        <v>3552</v>
      </c>
      <c r="U99" s="47">
        <f t="shared" si="17"/>
        <v>0</v>
      </c>
      <c r="V99" s="47">
        <f>Table14[[#This Row],[Enrolment S.Y. 2025-2026 ]]*8</f>
        <v>3552</v>
      </c>
      <c r="W99" s="47"/>
      <c r="X99" s="45"/>
      <c r="Y99" s="47"/>
      <c r="Z99" s="47">
        <f t="shared" si="18"/>
        <v>3552</v>
      </c>
      <c r="AA99" s="47">
        <f t="shared" si="19"/>
        <v>0</v>
      </c>
    </row>
    <row r="100" spans="1:27" ht="15">
      <c r="A100" s="48">
        <v>9</v>
      </c>
      <c r="B100" s="46" t="s">
        <v>88</v>
      </c>
      <c r="C100" s="45">
        <v>444</v>
      </c>
      <c r="D100" s="47">
        <f>Table14[[#This Row],[Enrolment S.Y. 2025-2026 ]]*8</f>
        <v>3552</v>
      </c>
      <c r="E100" s="47"/>
      <c r="F100" s="45"/>
      <c r="G100" s="47"/>
      <c r="H100" s="47">
        <f>IF((D100-E100)&lt;0,0,(D100-E100))</f>
        <v>3552</v>
      </c>
      <c r="I100" s="47">
        <f>IF((E100-D100)&lt;0,0,(E100-D100))</f>
        <v>0</v>
      </c>
      <c r="J100" s="47">
        <f>Table14[[#This Row],[Enrolment S.Y. 2025-2026 ]]*8</f>
        <v>3552</v>
      </c>
      <c r="K100" s="47"/>
      <c r="L100" s="45"/>
      <c r="M100" s="47"/>
      <c r="N100" s="47">
        <f t="shared" si="26"/>
        <v>3552</v>
      </c>
      <c r="O100" s="47">
        <f t="shared" si="27"/>
        <v>0</v>
      </c>
      <c r="P100" s="47">
        <f>Table14[[#This Row],[Enrolment S.Y. 2025-2026 ]]*8</f>
        <v>3552</v>
      </c>
      <c r="Q100" s="47">
        <v>574</v>
      </c>
      <c r="R100" s="45"/>
      <c r="S100" s="47"/>
      <c r="T100" s="47">
        <f>IF((P100-Q100)&lt;0,0,(P100-Q100))</f>
        <v>2978</v>
      </c>
      <c r="U100" s="47">
        <f>IF((Q100-P100)&lt;0,0,(Q100-P100))</f>
        <v>0</v>
      </c>
      <c r="V100" s="47">
        <f>Table14[[#This Row],[Enrolment S.Y. 2025-2026 ]]*8</f>
        <v>3552</v>
      </c>
      <c r="W100" s="47">
        <v>974</v>
      </c>
      <c r="X100" s="45"/>
      <c r="Y100" s="47"/>
      <c r="Z100" s="47">
        <f>IF((V100-W100)&lt;0,0,(V100-W100))</f>
        <v>2578</v>
      </c>
      <c r="AA100" s="47">
        <f>IF((W100-V100)&lt;0,0,(W100-V100))</f>
        <v>0</v>
      </c>
    </row>
    <row r="101" spans="1:27" ht="15">
      <c r="A101" s="45">
        <v>9</v>
      </c>
      <c r="B101" s="46" t="s">
        <v>89</v>
      </c>
      <c r="C101" s="45">
        <v>444</v>
      </c>
      <c r="D101" s="47">
        <f>Table14[[#This Row],[Enrolment S.Y. 2025-2026 ]]*8</f>
        <v>3552</v>
      </c>
      <c r="E101" s="47"/>
      <c r="F101" s="45"/>
      <c r="G101" s="47"/>
      <c r="H101" s="47">
        <f t="shared" si="22"/>
        <v>3552</v>
      </c>
      <c r="I101" s="47">
        <f t="shared" si="23"/>
        <v>0</v>
      </c>
      <c r="J101" s="47">
        <f>Table14[[#This Row],[Enrolment S.Y. 2025-2026 ]]*8</f>
        <v>3552</v>
      </c>
      <c r="K101" s="47"/>
      <c r="L101" s="45"/>
      <c r="M101" s="47"/>
      <c r="N101" s="47">
        <f t="shared" si="26"/>
        <v>3552</v>
      </c>
      <c r="O101" s="47">
        <f t="shared" si="27"/>
        <v>0</v>
      </c>
      <c r="P101" s="47">
        <f>Table14[[#This Row],[Enrolment S.Y. 2025-2026 ]]*8</f>
        <v>3552</v>
      </c>
      <c r="Q101" s="47">
        <v>246</v>
      </c>
      <c r="R101" s="45"/>
      <c r="S101" s="47"/>
      <c r="T101" s="47">
        <f t="shared" si="16"/>
        <v>3306</v>
      </c>
      <c r="U101" s="47">
        <f t="shared" si="17"/>
        <v>0</v>
      </c>
      <c r="V101" s="47">
        <f>Table14[[#This Row],[Enrolment S.Y. 2025-2026 ]]*8</f>
        <v>3552</v>
      </c>
      <c r="W101" s="47">
        <v>410</v>
      </c>
      <c r="X101" s="45"/>
      <c r="Y101" s="47"/>
      <c r="Z101" s="47">
        <f t="shared" si="18"/>
        <v>3142</v>
      </c>
      <c r="AA101" s="47">
        <f t="shared" si="19"/>
        <v>0</v>
      </c>
    </row>
    <row r="102" spans="1:27" s="5" customForma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spans="1:27" ht="15">
      <c r="A103" s="45">
        <v>10</v>
      </c>
      <c r="B103" s="46" t="s">
        <v>14</v>
      </c>
      <c r="C103" s="45">
        <v>617</v>
      </c>
      <c r="D103" s="47">
        <f>Table14[[#This Row],[Enrolment S.Y. 2025-2026 ]]*8</f>
        <v>4936</v>
      </c>
      <c r="E103" s="47">
        <v>4135</v>
      </c>
      <c r="F103" s="45"/>
      <c r="G103" s="47"/>
      <c r="H103" s="47">
        <f t="shared" si="22"/>
        <v>801</v>
      </c>
      <c r="I103" s="47">
        <f t="shared" si="23"/>
        <v>0</v>
      </c>
      <c r="J103" s="47">
        <f>Table14[[#This Row],[Enrolment S.Y. 2025-2026 ]]*8</f>
        <v>4936</v>
      </c>
      <c r="K103" s="47"/>
      <c r="L103" s="45"/>
      <c r="M103" s="47"/>
      <c r="N103" s="47">
        <f t="shared" si="20"/>
        <v>4936</v>
      </c>
      <c r="O103" s="47">
        <f t="shared" si="21"/>
        <v>0</v>
      </c>
      <c r="P103" s="47">
        <f>Table14[[#This Row],[Enrolment S.Y. 2025-2026 ]]*8</f>
        <v>4936</v>
      </c>
      <c r="Q103" s="47">
        <v>523</v>
      </c>
      <c r="R103" s="45"/>
      <c r="S103" s="47"/>
      <c r="T103" s="47">
        <f t="shared" si="16"/>
        <v>4413</v>
      </c>
      <c r="U103" s="47">
        <f t="shared" si="17"/>
        <v>0</v>
      </c>
      <c r="V103" s="47">
        <f>Table14[[#This Row],[Enrolment S.Y. 2025-2026 ]]*8</f>
        <v>4936</v>
      </c>
      <c r="W103" s="47">
        <v>315</v>
      </c>
      <c r="X103" s="45"/>
      <c r="Y103" s="47"/>
      <c r="Z103" s="47">
        <f t="shared" si="18"/>
        <v>4621</v>
      </c>
      <c r="AA103" s="47">
        <f t="shared" si="19"/>
        <v>0</v>
      </c>
    </row>
    <row r="104" spans="1:27" ht="15">
      <c r="A104" s="45">
        <v>10</v>
      </c>
      <c r="B104" s="46" t="s">
        <v>15</v>
      </c>
      <c r="C104" s="45">
        <v>617</v>
      </c>
      <c r="D104" s="47">
        <f>Table14[[#This Row],[Enrolment S.Y. 2025-2026 ]]*8</f>
        <v>4936</v>
      </c>
      <c r="E104" s="47">
        <v>3617</v>
      </c>
      <c r="F104" s="45"/>
      <c r="G104" s="47"/>
      <c r="H104" s="47">
        <f t="shared" si="22"/>
        <v>1319</v>
      </c>
      <c r="I104" s="47">
        <f t="shared" si="23"/>
        <v>0</v>
      </c>
      <c r="J104" s="47">
        <f>Table14[[#This Row],[Enrolment S.Y. 2025-2026 ]]*8</f>
        <v>4936</v>
      </c>
      <c r="K104" s="47"/>
      <c r="L104" s="45"/>
      <c r="M104" s="47"/>
      <c r="N104" s="47">
        <f t="shared" si="20"/>
        <v>4936</v>
      </c>
      <c r="O104" s="47">
        <f t="shared" si="21"/>
        <v>0</v>
      </c>
      <c r="P104" s="47">
        <f>Table14[[#This Row],[Enrolment S.Y. 2025-2026 ]]*8</f>
        <v>4936</v>
      </c>
      <c r="Q104" s="47">
        <v>630</v>
      </c>
      <c r="R104" s="45"/>
      <c r="S104" s="47"/>
      <c r="T104" s="47">
        <f t="shared" si="16"/>
        <v>4306</v>
      </c>
      <c r="U104" s="47">
        <f t="shared" si="17"/>
        <v>0</v>
      </c>
      <c r="V104" s="47">
        <f>Table14[[#This Row],[Enrolment S.Y. 2025-2026 ]]*8</f>
        <v>4936</v>
      </c>
      <c r="W104" s="47">
        <v>735</v>
      </c>
      <c r="X104" s="45"/>
      <c r="Y104" s="47"/>
      <c r="Z104" s="47">
        <f t="shared" si="18"/>
        <v>4201</v>
      </c>
      <c r="AA104" s="47">
        <f t="shared" si="19"/>
        <v>0</v>
      </c>
    </row>
    <row r="105" spans="1:27" ht="15">
      <c r="A105" s="45">
        <v>10</v>
      </c>
      <c r="B105" s="46" t="s">
        <v>12</v>
      </c>
      <c r="C105" s="45">
        <v>617</v>
      </c>
      <c r="D105" s="47">
        <f>Table14[[#This Row],[Enrolment S.Y. 2025-2026 ]]*8</f>
        <v>4936</v>
      </c>
      <c r="E105" s="47">
        <v>5166</v>
      </c>
      <c r="F105" s="45"/>
      <c r="G105" s="47"/>
      <c r="H105" s="47">
        <f t="shared" si="22"/>
        <v>0</v>
      </c>
      <c r="I105" s="47">
        <f t="shared" si="23"/>
        <v>230</v>
      </c>
      <c r="J105" s="47">
        <f>Table14[[#This Row],[Enrolment S.Y. 2025-2026 ]]*8</f>
        <v>4936</v>
      </c>
      <c r="K105" s="47"/>
      <c r="L105" s="45"/>
      <c r="M105" s="47"/>
      <c r="N105" s="47">
        <f t="shared" si="20"/>
        <v>4936</v>
      </c>
      <c r="O105" s="47">
        <f t="shared" si="21"/>
        <v>0</v>
      </c>
      <c r="P105" s="47">
        <f>Table14[[#This Row],[Enrolment S.Y. 2025-2026 ]]*8</f>
        <v>4936</v>
      </c>
      <c r="Q105" s="47">
        <v>735</v>
      </c>
      <c r="R105" s="45"/>
      <c r="S105" s="47"/>
      <c r="T105" s="47">
        <f t="shared" si="16"/>
        <v>4201</v>
      </c>
      <c r="U105" s="47">
        <f t="shared" si="17"/>
        <v>0</v>
      </c>
      <c r="V105" s="47">
        <f>Table14[[#This Row],[Enrolment S.Y. 2025-2026 ]]*8</f>
        <v>4936</v>
      </c>
      <c r="W105" s="47">
        <v>420</v>
      </c>
      <c r="X105" s="45"/>
      <c r="Y105" s="47"/>
      <c r="Z105" s="47">
        <f t="shared" si="18"/>
        <v>4516</v>
      </c>
      <c r="AA105" s="47">
        <f t="shared" si="19"/>
        <v>0</v>
      </c>
    </row>
    <row r="106" spans="1:27" ht="15">
      <c r="A106" s="45">
        <v>10</v>
      </c>
      <c r="B106" s="46" t="s">
        <v>20</v>
      </c>
      <c r="C106" s="45">
        <v>617</v>
      </c>
      <c r="D106" s="47">
        <f>Table14[[#This Row],[Enrolment S.Y. 2025-2026 ]]*8</f>
        <v>4936</v>
      </c>
      <c r="E106" s="47"/>
      <c r="F106" s="45"/>
      <c r="G106" s="47"/>
      <c r="H106" s="47">
        <f t="shared" si="22"/>
        <v>4936</v>
      </c>
      <c r="I106" s="47">
        <f t="shared" si="23"/>
        <v>0</v>
      </c>
      <c r="J106" s="47">
        <f>Table14[[#This Row],[Enrolment S.Y. 2025-2026 ]]*8</f>
        <v>4936</v>
      </c>
      <c r="K106" s="47"/>
      <c r="L106" s="45"/>
      <c r="M106" s="47"/>
      <c r="N106" s="47">
        <f t="shared" si="20"/>
        <v>4936</v>
      </c>
      <c r="O106" s="47">
        <f t="shared" si="21"/>
        <v>0</v>
      </c>
      <c r="P106" s="47">
        <f>Table14[[#This Row],[Enrolment S.Y. 2025-2026 ]]*8</f>
        <v>4936</v>
      </c>
      <c r="Q106" s="47">
        <v>735</v>
      </c>
      <c r="R106" s="45"/>
      <c r="S106" s="47"/>
      <c r="T106" s="47">
        <f t="shared" si="16"/>
        <v>4201</v>
      </c>
      <c r="U106" s="47">
        <f t="shared" si="17"/>
        <v>0</v>
      </c>
      <c r="V106" s="47">
        <f>Table14[[#This Row],[Enrolment S.Y. 2025-2026 ]]*8</f>
        <v>4936</v>
      </c>
      <c r="W106" s="47">
        <v>420</v>
      </c>
      <c r="X106" s="45"/>
      <c r="Y106" s="47"/>
      <c r="Z106" s="47">
        <f t="shared" si="18"/>
        <v>4516</v>
      </c>
      <c r="AA106" s="47">
        <f t="shared" si="19"/>
        <v>0</v>
      </c>
    </row>
    <row r="107" spans="1:27" ht="15">
      <c r="A107" s="45">
        <v>10</v>
      </c>
      <c r="B107" s="46" t="s">
        <v>22</v>
      </c>
      <c r="C107" s="45">
        <v>617</v>
      </c>
      <c r="D107" s="47">
        <f>Table14[[#This Row],[Enrolment S.Y. 2025-2026 ]]*8</f>
        <v>4936</v>
      </c>
      <c r="E107" s="47"/>
      <c r="F107" s="45"/>
      <c r="G107" s="47"/>
      <c r="H107" s="47">
        <f t="shared" si="22"/>
        <v>4936</v>
      </c>
      <c r="I107" s="47">
        <f t="shared" si="23"/>
        <v>0</v>
      </c>
      <c r="J107" s="47">
        <f>Table14[[#This Row],[Enrolment S.Y. 2025-2026 ]]*8</f>
        <v>4936</v>
      </c>
      <c r="K107" s="47"/>
      <c r="L107" s="45"/>
      <c r="M107" s="47"/>
      <c r="N107" s="47">
        <f t="shared" si="20"/>
        <v>4936</v>
      </c>
      <c r="O107" s="47">
        <f t="shared" si="21"/>
        <v>0</v>
      </c>
      <c r="P107" s="47">
        <f>Table14[[#This Row],[Enrolment S.Y. 2025-2026 ]]*8</f>
        <v>4936</v>
      </c>
      <c r="Q107" s="47">
        <v>420</v>
      </c>
      <c r="R107" s="45"/>
      <c r="S107" s="47"/>
      <c r="T107" s="47">
        <f t="shared" si="16"/>
        <v>4516</v>
      </c>
      <c r="U107" s="47">
        <f t="shared" si="17"/>
        <v>0</v>
      </c>
      <c r="V107" s="47">
        <f>Table14[[#This Row],[Enrolment S.Y. 2025-2026 ]]*8</f>
        <v>4936</v>
      </c>
      <c r="W107" s="47">
        <v>420</v>
      </c>
      <c r="X107" s="45"/>
      <c r="Y107" s="47"/>
      <c r="Z107" s="47">
        <f t="shared" si="18"/>
        <v>4516</v>
      </c>
      <c r="AA107" s="47">
        <f t="shared" si="19"/>
        <v>0</v>
      </c>
    </row>
    <row r="108" spans="1:27" ht="15">
      <c r="A108" s="45">
        <v>10</v>
      </c>
      <c r="B108" s="46" t="s">
        <v>13</v>
      </c>
      <c r="C108" s="45">
        <v>617</v>
      </c>
      <c r="D108" s="47">
        <f>Table14[[#This Row],[Enrolment S.Y. 2025-2026 ]]*8</f>
        <v>4936</v>
      </c>
      <c r="E108" s="47"/>
      <c r="F108" s="45"/>
      <c r="G108" s="47"/>
      <c r="H108" s="47">
        <f t="shared" si="22"/>
        <v>4936</v>
      </c>
      <c r="I108" s="47">
        <f t="shared" si="23"/>
        <v>0</v>
      </c>
      <c r="J108" s="47">
        <f>Table14[[#This Row],[Enrolment S.Y. 2025-2026 ]]*8</f>
        <v>4936</v>
      </c>
      <c r="K108" s="47"/>
      <c r="L108" s="45"/>
      <c r="M108" s="47"/>
      <c r="N108" s="47">
        <f t="shared" si="20"/>
        <v>4936</v>
      </c>
      <c r="O108" s="47">
        <f t="shared" si="21"/>
        <v>0</v>
      </c>
      <c r="P108" s="47">
        <f>Table14[[#This Row],[Enrolment S.Y. 2025-2026 ]]*8</f>
        <v>4936</v>
      </c>
      <c r="Q108" s="47">
        <v>735</v>
      </c>
      <c r="R108" s="45"/>
      <c r="S108" s="47"/>
      <c r="T108" s="47">
        <f t="shared" si="16"/>
        <v>4201</v>
      </c>
      <c r="U108" s="47">
        <f t="shared" si="17"/>
        <v>0</v>
      </c>
      <c r="V108" s="47">
        <f>Table14[[#This Row],[Enrolment S.Y. 2025-2026 ]]*8</f>
        <v>4936</v>
      </c>
      <c r="W108" s="47">
        <v>630</v>
      </c>
      <c r="X108" s="45"/>
      <c r="Y108" s="47"/>
      <c r="Z108" s="47">
        <f t="shared" si="18"/>
        <v>4306</v>
      </c>
      <c r="AA108" s="47">
        <f t="shared" si="19"/>
        <v>0</v>
      </c>
    </row>
    <row r="109" spans="1:27" ht="15">
      <c r="A109" s="48">
        <v>10</v>
      </c>
      <c r="B109" s="46" t="s">
        <v>86</v>
      </c>
      <c r="C109" s="45">
        <v>617</v>
      </c>
      <c r="D109" s="47">
        <f>Table14[[#This Row],[Enrolment S.Y. 2025-2026 ]]*8</f>
        <v>4936</v>
      </c>
      <c r="E109" s="47"/>
      <c r="F109" s="45"/>
      <c r="G109" s="47"/>
      <c r="H109" s="47">
        <f>IF((D109-E109)&lt;0,0,(D109-E109))</f>
        <v>4936</v>
      </c>
      <c r="I109" s="47">
        <f>IF((E109-D109)&lt;0,0,(E109-D109))</f>
        <v>0</v>
      </c>
      <c r="J109" s="47">
        <f>Table14[[#This Row],[Enrolment S.Y. 2025-2026 ]]*8</f>
        <v>4936</v>
      </c>
      <c r="K109" s="47"/>
      <c r="L109" s="45"/>
      <c r="M109" s="47"/>
      <c r="N109" s="47">
        <f t="shared" ref="N109:N113" si="28">IF((J109-K109)&lt;0,0,(J109-K109))</f>
        <v>4936</v>
      </c>
      <c r="O109" s="47">
        <f t="shared" ref="O109:O113" si="29">IF((K109-J109)&lt;0,0,(K109-J109))</f>
        <v>0</v>
      </c>
      <c r="P109" s="47">
        <f>Table14[[#This Row],[Enrolment S.Y. 2025-2026 ]]*8</f>
        <v>4936</v>
      </c>
      <c r="Q109" s="47">
        <v>210</v>
      </c>
      <c r="R109" s="45"/>
      <c r="S109" s="47"/>
      <c r="T109" s="47">
        <f>IF((P109-Q109)&lt;0,0,(P109-Q109))</f>
        <v>4726</v>
      </c>
      <c r="U109" s="47">
        <f>IF((Q109-P109)&lt;0,0,(Q109-P109))</f>
        <v>0</v>
      </c>
      <c r="V109" s="47">
        <f>Table14[[#This Row],[Enrolment S.Y. 2025-2026 ]]*8</f>
        <v>4936</v>
      </c>
      <c r="W109" s="47">
        <v>210</v>
      </c>
      <c r="X109" s="45"/>
      <c r="Y109" s="47"/>
      <c r="Z109" s="47">
        <f>IF((V109-W109)&lt;0,0,(V109-W109))</f>
        <v>4726</v>
      </c>
      <c r="AA109" s="47">
        <f>IF((W109-V109)&lt;0,0,(W109-V109))</f>
        <v>0</v>
      </c>
    </row>
    <row r="110" spans="1:27" ht="15">
      <c r="A110" s="45">
        <v>10</v>
      </c>
      <c r="B110" s="46" t="s">
        <v>87</v>
      </c>
      <c r="C110" s="45">
        <v>617</v>
      </c>
      <c r="D110" s="47">
        <f>Table14[[#This Row],[Enrolment S.Y. 2025-2026 ]]*8</f>
        <v>4936</v>
      </c>
      <c r="E110" s="47"/>
      <c r="F110" s="45"/>
      <c r="G110" s="47"/>
      <c r="H110" s="47">
        <f t="shared" si="22"/>
        <v>4936</v>
      </c>
      <c r="I110" s="47">
        <f t="shared" si="23"/>
        <v>0</v>
      </c>
      <c r="J110" s="47">
        <f>Table14[[#This Row],[Enrolment S.Y. 2025-2026 ]]*8</f>
        <v>4936</v>
      </c>
      <c r="K110" s="47"/>
      <c r="L110" s="45"/>
      <c r="M110" s="47"/>
      <c r="N110" s="47">
        <f t="shared" si="28"/>
        <v>4936</v>
      </c>
      <c r="O110" s="47">
        <f t="shared" si="29"/>
        <v>0</v>
      </c>
      <c r="P110" s="47">
        <f>Table14[[#This Row],[Enrolment S.Y. 2025-2026 ]]*8</f>
        <v>4936</v>
      </c>
      <c r="Q110" s="47">
        <v>315</v>
      </c>
      <c r="R110" s="45"/>
      <c r="S110" s="47"/>
      <c r="T110" s="47">
        <f t="shared" si="16"/>
        <v>4621</v>
      </c>
      <c r="U110" s="47">
        <f t="shared" si="17"/>
        <v>0</v>
      </c>
      <c r="V110" s="47">
        <f>Table14[[#This Row],[Enrolment S.Y. 2025-2026 ]]*8</f>
        <v>4936</v>
      </c>
      <c r="W110" s="47">
        <v>420</v>
      </c>
      <c r="X110" s="45"/>
      <c r="Y110" s="47"/>
      <c r="Z110" s="47">
        <f t="shared" si="18"/>
        <v>4516</v>
      </c>
      <c r="AA110" s="47">
        <f t="shared" si="19"/>
        <v>0</v>
      </c>
    </row>
    <row r="111" spans="1:27" ht="15">
      <c r="A111" s="45">
        <v>10</v>
      </c>
      <c r="B111" s="46" t="s">
        <v>21</v>
      </c>
      <c r="C111" s="45">
        <v>617</v>
      </c>
      <c r="D111" s="47">
        <f>Table14[[#This Row],[Enrolment S.Y. 2025-2026 ]]*8</f>
        <v>4936</v>
      </c>
      <c r="E111" s="47"/>
      <c r="F111" s="45"/>
      <c r="G111" s="47"/>
      <c r="H111" s="47">
        <f t="shared" si="22"/>
        <v>4936</v>
      </c>
      <c r="I111" s="47">
        <f t="shared" si="23"/>
        <v>0</v>
      </c>
      <c r="J111" s="47">
        <f>Table14[[#This Row],[Enrolment S.Y. 2025-2026 ]]*8</f>
        <v>4936</v>
      </c>
      <c r="K111" s="47"/>
      <c r="L111" s="45"/>
      <c r="M111" s="47"/>
      <c r="N111" s="47">
        <f t="shared" si="28"/>
        <v>4936</v>
      </c>
      <c r="O111" s="47">
        <f t="shared" si="29"/>
        <v>0</v>
      </c>
      <c r="P111" s="47">
        <f>Table14[[#This Row],[Enrolment S.Y. 2025-2026 ]]*8</f>
        <v>4936</v>
      </c>
      <c r="Q111" s="47"/>
      <c r="R111" s="45"/>
      <c r="S111" s="47"/>
      <c r="T111" s="47">
        <f t="shared" si="16"/>
        <v>4936</v>
      </c>
      <c r="U111" s="47">
        <f t="shared" si="17"/>
        <v>0</v>
      </c>
      <c r="V111" s="47">
        <f>Table14[[#This Row],[Enrolment S.Y. 2025-2026 ]]*8</f>
        <v>4936</v>
      </c>
      <c r="W111" s="47"/>
      <c r="X111" s="45"/>
      <c r="Y111" s="47"/>
      <c r="Z111" s="47">
        <f t="shared" si="18"/>
        <v>4936</v>
      </c>
      <c r="AA111" s="47">
        <f t="shared" si="19"/>
        <v>0</v>
      </c>
    </row>
    <row r="112" spans="1:27" ht="15">
      <c r="A112" s="48">
        <v>10</v>
      </c>
      <c r="B112" s="46" t="s">
        <v>88</v>
      </c>
      <c r="C112" s="45">
        <v>617</v>
      </c>
      <c r="D112" s="47">
        <f>Table14[[#This Row],[Enrolment S.Y. 2025-2026 ]]*8</f>
        <v>4936</v>
      </c>
      <c r="E112" s="47"/>
      <c r="F112" s="45"/>
      <c r="G112" s="47"/>
      <c r="H112" s="47">
        <f>IF((D112-E112)&lt;0,0,(D112-E112))</f>
        <v>4936</v>
      </c>
      <c r="I112" s="47">
        <f>IF((E112-D112)&lt;0,0,(E112-D112))</f>
        <v>0</v>
      </c>
      <c r="J112" s="47">
        <f>Table14[[#This Row],[Enrolment S.Y. 2025-2026 ]]*8</f>
        <v>4936</v>
      </c>
      <c r="K112" s="47"/>
      <c r="L112" s="45"/>
      <c r="M112" s="47"/>
      <c r="N112" s="47">
        <f t="shared" si="28"/>
        <v>4936</v>
      </c>
      <c r="O112" s="47">
        <f t="shared" si="29"/>
        <v>0</v>
      </c>
      <c r="P112" s="47">
        <f>Table14[[#This Row],[Enrolment S.Y. 2025-2026 ]]*8</f>
        <v>4936</v>
      </c>
      <c r="Q112" s="47">
        <v>210</v>
      </c>
      <c r="R112" s="45"/>
      <c r="S112" s="47"/>
      <c r="T112" s="47">
        <f>IF((P112-Q112)&lt;0,0,(P112-Q112))</f>
        <v>4726</v>
      </c>
      <c r="U112" s="47">
        <f>IF((Q112-P112)&lt;0,0,(Q112-P112))</f>
        <v>0</v>
      </c>
      <c r="V112" s="47">
        <f>Table14[[#This Row],[Enrolment S.Y. 2025-2026 ]]*8</f>
        <v>4936</v>
      </c>
      <c r="W112" s="47">
        <v>105</v>
      </c>
      <c r="X112" s="45"/>
      <c r="Y112" s="47"/>
      <c r="Z112" s="47">
        <f>IF((V112-W112)&lt;0,0,(V112-W112))</f>
        <v>4831</v>
      </c>
      <c r="AA112" s="47">
        <f>IF((W112-V112)&lt;0,0,(W112-V112))</f>
        <v>0</v>
      </c>
    </row>
    <row r="113" spans="1:28" ht="15">
      <c r="A113" s="45">
        <v>10</v>
      </c>
      <c r="B113" s="46" t="s">
        <v>89</v>
      </c>
      <c r="C113" s="45">
        <v>617</v>
      </c>
      <c r="D113" s="47">
        <f>Table14[[#This Row],[Enrolment S.Y. 2025-2026 ]]*8</f>
        <v>4936</v>
      </c>
      <c r="E113" s="47"/>
      <c r="F113" s="45"/>
      <c r="G113" s="47"/>
      <c r="H113" s="47">
        <f t="shared" si="22"/>
        <v>4936</v>
      </c>
      <c r="I113" s="47">
        <f t="shared" si="23"/>
        <v>0</v>
      </c>
      <c r="J113" s="47">
        <f>Table14[[#This Row],[Enrolment S.Y. 2025-2026 ]]*8</f>
        <v>4936</v>
      </c>
      <c r="K113" s="47"/>
      <c r="L113" s="45"/>
      <c r="M113" s="47"/>
      <c r="N113" s="47">
        <f t="shared" si="28"/>
        <v>4936</v>
      </c>
      <c r="O113" s="47">
        <f t="shared" si="29"/>
        <v>0</v>
      </c>
      <c r="P113" s="47">
        <f>Table14[[#This Row],[Enrolment S.Y. 2025-2026 ]]*8</f>
        <v>4936</v>
      </c>
      <c r="Q113" s="47">
        <v>210</v>
      </c>
      <c r="R113" s="45"/>
      <c r="S113" s="47"/>
      <c r="T113" s="47">
        <f t="shared" si="16"/>
        <v>4726</v>
      </c>
      <c r="U113" s="47">
        <f t="shared" si="17"/>
        <v>0</v>
      </c>
      <c r="V113" s="47">
        <f>Table14[[#This Row],[Enrolment S.Y. 2025-2026 ]]*8</f>
        <v>4936</v>
      </c>
      <c r="W113" s="47">
        <v>315</v>
      </c>
      <c r="X113" s="45"/>
      <c r="Y113" s="47"/>
      <c r="Z113" s="47">
        <f t="shared" si="18"/>
        <v>4621</v>
      </c>
      <c r="AA113" s="47">
        <f t="shared" si="19"/>
        <v>0</v>
      </c>
    </row>
    <row r="114" spans="1:28" s="5" customForma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spans="1:28" ht="15">
      <c r="A115" s="35" t="s">
        <v>23</v>
      </c>
      <c r="B115" s="42" t="s">
        <v>24</v>
      </c>
      <c r="C115" s="35">
        <v>101</v>
      </c>
      <c r="D115" s="40">
        <f>Table14[[#This Row],[Enrolment S.Y. 2025-2026 ]]*8</f>
        <v>808</v>
      </c>
      <c r="E115" s="40"/>
      <c r="F115" s="35"/>
      <c r="G115" s="40"/>
      <c r="H115" s="40">
        <f t="shared" si="22"/>
        <v>808</v>
      </c>
      <c r="I115" s="40">
        <f t="shared" si="23"/>
        <v>0</v>
      </c>
      <c r="J115" s="40">
        <f>Table14[[#This Row],[Enrolment S.Y. 2025-2026 ]]*8</f>
        <v>808</v>
      </c>
      <c r="K115" s="40"/>
      <c r="L115" s="35"/>
      <c r="M115" s="40"/>
      <c r="N115" s="40">
        <f t="shared" si="20"/>
        <v>808</v>
      </c>
      <c r="O115" s="40">
        <f t="shared" si="21"/>
        <v>0</v>
      </c>
      <c r="P115" s="40">
        <f>Table14[[#This Row],[Enrolment S.Y. 2025-2026 ]]*8</f>
        <v>808</v>
      </c>
      <c r="Q115" s="40"/>
      <c r="R115" s="35"/>
      <c r="S115" s="40"/>
      <c r="T115" s="40">
        <f t="shared" si="16"/>
        <v>808</v>
      </c>
      <c r="U115" s="40">
        <f t="shared" si="17"/>
        <v>0</v>
      </c>
      <c r="V115" s="40">
        <f>Table14[[#This Row],[Enrolment S.Y. 2025-2026 ]]*8</f>
        <v>808</v>
      </c>
      <c r="W115" s="40"/>
      <c r="X115" s="35"/>
      <c r="Y115" s="40"/>
      <c r="Z115" s="40">
        <f t="shared" si="18"/>
        <v>808</v>
      </c>
      <c r="AA115" s="40">
        <f t="shared" si="19"/>
        <v>0</v>
      </c>
    </row>
    <row r="116" spans="1:28" ht="15">
      <c r="A116" s="35" t="s">
        <v>23</v>
      </c>
      <c r="B116" s="42" t="s">
        <v>25</v>
      </c>
      <c r="C116" s="35">
        <v>101</v>
      </c>
      <c r="D116" s="40">
        <f>Table14[[#This Row],[Enrolment S.Y. 2025-2026 ]]*8</f>
        <v>808</v>
      </c>
      <c r="E116" s="40"/>
      <c r="F116" s="35"/>
      <c r="G116" s="40"/>
      <c r="H116" s="40">
        <f t="shared" si="22"/>
        <v>808</v>
      </c>
      <c r="I116" s="40">
        <f t="shared" si="23"/>
        <v>0</v>
      </c>
      <c r="J116" s="40">
        <f>Table14[[#This Row],[Enrolment S.Y. 2025-2026 ]]*8</f>
        <v>808</v>
      </c>
      <c r="K116" s="40"/>
      <c r="L116" s="35"/>
      <c r="M116" s="40"/>
      <c r="N116" s="40">
        <f t="shared" si="20"/>
        <v>808</v>
      </c>
      <c r="O116" s="40">
        <f t="shared" si="21"/>
        <v>0</v>
      </c>
      <c r="P116" s="40">
        <f>Table14[[#This Row],[Enrolment S.Y. 2025-2026 ]]*8</f>
        <v>808</v>
      </c>
      <c r="Q116" s="40"/>
      <c r="R116" s="35"/>
      <c r="S116" s="40"/>
      <c r="T116" s="40">
        <f t="shared" si="16"/>
        <v>808</v>
      </c>
      <c r="U116" s="40">
        <f t="shared" si="17"/>
        <v>0</v>
      </c>
      <c r="V116" s="40">
        <f>Table14[[#This Row],[Enrolment S.Y. 2025-2026 ]]*8</f>
        <v>808</v>
      </c>
      <c r="W116" s="40"/>
      <c r="X116" s="35"/>
      <c r="Y116" s="40"/>
      <c r="Z116" s="40">
        <f t="shared" si="18"/>
        <v>808</v>
      </c>
      <c r="AA116" s="40">
        <f t="shared" si="19"/>
        <v>0</v>
      </c>
    </row>
    <row r="117" spans="1:28" ht="15">
      <c r="A117" s="35" t="s">
        <v>23</v>
      </c>
      <c r="B117" s="42" t="s">
        <v>26</v>
      </c>
      <c r="C117" s="35">
        <v>101</v>
      </c>
      <c r="D117" s="40">
        <f>Table14[[#This Row],[Enrolment S.Y. 2025-2026 ]]*8</f>
        <v>808</v>
      </c>
      <c r="E117" s="40"/>
      <c r="F117" s="35"/>
      <c r="G117" s="40"/>
      <c r="H117" s="40">
        <f t="shared" si="22"/>
        <v>808</v>
      </c>
      <c r="I117" s="40">
        <f t="shared" si="23"/>
        <v>0</v>
      </c>
      <c r="J117" s="40">
        <f>Table14[[#This Row],[Enrolment S.Y. 2025-2026 ]]*8</f>
        <v>808</v>
      </c>
      <c r="K117" s="40"/>
      <c r="L117" s="35"/>
      <c r="M117" s="40"/>
      <c r="N117" s="40">
        <f t="shared" si="20"/>
        <v>808</v>
      </c>
      <c r="O117" s="40">
        <f t="shared" si="21"/>
        <v>0</v>
      </c>
      <c r="P117" s="40">
        <f>Table14[[#This Row],[Enrolment S.Y. 2025-2026 ]]*8</f>
        <v>808</v>
      </c>
      <c r="Q117" s="40"/>
      <c r="R117" s="35"/>
      <c r="S117" s="40"/>
      <c r="T117" s="40">
        <f t="shared" si="16"/>
        <v>808</v>
      </c>
      <c r="U117" s="40">
        <f t="shared" si="17"/>
        <v>0</v>
      </c>
      <c r="V117" s="40">
        <f>Table14[[#This Row],[Enrolment S.Y. 2025-2026 ]]*8</f>
        <v>808</v>
      </c>
      <c r="W117" s="40"/>
      <c r="X117" s="35"/>
      <c r="Y117" s="40"/>
      <c r="Z117" s="40">
        <f t="shared" si="18"/>
        <v>808</v>
      </c>
      <c r="AA117" s="40">
        <f t="shared" si="19"/>
        <v>0</v>
      </c>
    </row>
    <row r="118" spans="1:28" ht="15">
      <c r="A118" s="35" t="s">
        <v>23</v>
      </c>
      <c r="B118" s="42" t="s">
        <v>27</v>
      </c>
      <c r="C118" s="35">
        <v>101</v>
      </c>
      <c r="D118" s="40">
        <f>Table14[[#This Row],[Enrolment S.Y. 2025-2026 ]]*8</f>
        <v>808</v>
      </c>
      <c r="E118" s="40"/>
      <c r="F118" s="35"/>
      <c r="G118" s="40"/>
      <c r="H118" s="40">
        <f t="shared" si="22"/>
        <v>808</v>
      </c>
      <c r="I118" s="40">
        <f t="shared" si="23"/>
        <v>0</v>
      </c>
      <c r="J118" s="40">
        <f>Table14[[#This Row],[Enrolment S.Y. 2025-2026 ]]*8</f>
        <v>808</v>
      </c>
      <c r="K118" s="40"/>
      <c r="L118" s="35"/>
      <c r="M118" s="40"/>
      <c r="N118" s="40">
        <f t="shared" si="20"/>
        <v>808</v>
      </c>
      <c r="O118" s="40">
        <f t="shared" si="21"/>
        <v>0</v>
      </c>
      <c r="P118" s="40">
        <f>Table14[[#This Row],[Enrolment S.Y. 2025-2026 ]]*8</f>
        <v>808</v>
      </c>
      <c r="Q118" s="40"/>
      <c r="R118" s="35"/>
      <c r="S118" s="40"/>
      <c r="T118" s="40">
        <f t="shared" si="16"/>
        <v>808</v>
      </c>
      <c r="U118" s="40">
        <f t="shared" si="17"/>
        <v>0</v>
      </c>
      <c r="V118" s="40">
        <f>Table14[[#This Row],[Enrolment S.Y. 2025-2026 ]]*8</f>
        <v>808</v>
      </c>
      <c r="W118" s="40"/>
      <c r="X118" s="35"/>
      <c r="Y118" s="40"/>
      <c r="Z118" s="40">
        <f t="shared" si="18"/>
        <v>808</v>
      </c>
      <c r="AA118" s="40">
        <f t="shared" si="19"/>
        <v>0</v>
      </c>
    </row>
    <row r="119" spans="1:28" ht="27">
      <c r="A119" s="35" t="s">
        <v>23</v>
      </c>
      <c r="B119" s="42" t="s">
        <v>28</v>
      </c>
      <c r="C119" s="35">
        <v>101</v>
      </c>
      <c r="D119" s="40">
        <f>Table14[[#This Row],[Enrolment S.Y. 2025-2026 ]]*8</f>
        <v>808</v>
      </c>
      <c r="E119" s="40"/>
      <c r="F119" s="35"/>
      <c r="G119" s="40"/>
      <c r="H119" s="40">
        <f t="shared" si="22"/>
        <v>808</v>
      </c>
      <c r="I119" s="40">
        <f t="shared" si="23"/>
        <v>0</v>
      </c>
      <c r="J119" s="40">
        <f>Table14[[#This Row],[Enrolment S.Y. 2025-2026 ]]*8</f>
        <v>808</v>
      </c>
      <c r="K119" s="40"/>
      <c r="L119" s="35"/>
      <c r="M119" s="40"/>
      <c r="N119" s="40">
        <f t="shared" si="20"/>
        <v>808</v>
      </c>
      <c r="O119" s="40">
        <f t="shared" si="21"/>
        <v>0</v>
      </c>
      <c r="P119" s="40">
        <f>Table14[[#This Row],[Enrolment S.Y. 2025-2026 ]]*8</f>
        <v>808</v>
      </c>
      <c r="Q119" s="40"/>
      <c r="R119" s="35"/>
      <c r="S119" s="40"/>
      <c r="T119" s="40">
        <f t="shared" si="16"/>
        <v>808</v>
      </c>
      <c r="U119" s="40">
        <f t="shared" si="17"/>
        <v>0</v>
      </c>
      <c r="V119" s="40">
        <f>Table14[[#This Row],[Enrolment S.Y. 2025-2026 ]]*8</f>
        <v>808</v>
      </c>
      <c r="W119" s="40"/>
      <c r="X119" s="35"/>
      <c r="Y119" s="40"/>
      <c r="Z119" s="40">
        <f t="shared" si="18"/>
        <v>808</v>
      </c>
      <c r="AA119" s="40">
        <f t="shared" si="19"/>
        <v>0</v>
      </c>
    </row>
    <row r="120" spans="1:28" ht="15">
      <c r="A120" s="35" t="s">
        <v>23</v>
      </c>
      <c r="B120" s="42" t="s">
        <v>29</v>
      </c>
      <c r="C120" s="35">
        <v>101</v>
      </c>
      <c r="D120" s="40">
        <f>Table14[[#This Row],[Enrolment S.Y. 2025-2026 ]]*8</f>
        <v>808</v>
      </c>
      <c r="E120" s="40"/>
      <c r="F120" s="35"/>
      <c r="G120" s="40"/>
      <c r="H120" s="40">
        <f t="shared" si="22"/>
        <v>808</v>
      </c>
      <c r="I120" s="40">
        <f t="shared" si="23"/>
        <v>0</v>
      </c>
      <c r="J120" s="40">
        <f>Table14[[#This Row],[Enrolment S.Y. 2025-2026 ]]*8</f>
        <v>808</v>
      </c>
      <c r="K120" s="40"/>
      <c r="L120" s="35"/>
      <c r="M120" s="40"/>
      <c r="N120" s="40">
        <f t="shared" si="20"/>
        <v>808</v>
      </c>
      <c r="O120" s="40">
        <f t="shared" si="21"/>
        <v>0</v>
      </c>
      <c r="P120" s="40">
        <f>Table14[[#This Row],[Enrolment S.Y. 2025-2026 ]]*8</f>
        <v>808</v>
      </c>
      <c r="Q120" s="40"/>
      <c r="R120" s="35"/>
      <c r="S120" s="40"/>
      <c r="T120" s="40">
        <f t="shared" si="16"/>
        <v>808</v>
      </c>
      <c r="U120" s="40">
        <f t="shared" si="17"/>
        <v>0</v>
      </c>
      <c r="V120" s="40">
        <f>Table14[[#This Row],[Enrolment S.Y. 2025-2026 ]]*8</f>
        <v>808</v>
      </c>
      <c r="W120" s="40"/>
      <c r="X120" s="35"/>
      <c r="Y120" s="40"/>
      <c r="Z120" s="40">
        <f t="shared" si="18"/>
        <v>808</v>
      </c>
      <c r="AA120" s="40">
        <f t="shared" si="19"/>
        <v>0</v>
      </c>
    </row>
    <row r="121" spans="1:28" ht="27">
      <c r="A121" s="35" t="s">
        <v>23</v>
      </c>
      <c r="B121" s="42" t="s">
        <v>30</v>
      </c>
      <c r="C121" s="35">
        <v>101</v>
      </c>
      <c r="D121" s="40">
        <f>Table14[[#This Row],[Enrolment S.Y. 2025-2026 ]]*8</f>
        <v>808</v>
      </c>
      <c r="E121" s="40"/>
      <c r="F121" s="35"/>
      <c r="G121" s="40"/>
      <c r="H121" s="40">
        <f t="shared" si="22"/>
        <v>808</v>
      </c>
      <c r="I121" s="40">
        <f t="shared" si="23"/>
        <v>0</v>
      </c>
      <c r="J121" s="40">
        <f>Table14[[#This Row],[Enrolment S.Y. 2025-2026 ]]*8</f>
        <v>808</v>
      </c>
      <c r="K121" s="40"/>
      <c r="L121" s="35"/>
      <c r="M121" s="40"/>
      <c r="N121" s="40">
        <f t="shared" si="20"/>
        <v>808</v>
      </c>
      <c r="O121" s="40">
        <f t="shared" si="21"/>
        <v>0</v>
      </c>
      <c r="P121" s="40">
        <f>Table14[[#This Row],[Enrolment S.Y. 2025-2026 ]]*8</f>
        <v>808</v>
      </c>
      <c r="Q121" s="40"/>
      <c r="R121" s="35"/>
      <c r="S121" s="40"/>
      <c r="T121" s="40">
        <f t="shared" si="16"/>
        <v>808</v>
      </c>
      <c r="U121" s="40">
        <f t="shared" si="17"/>
        <v>0</v>
      </c>
      <c r="V121" s="40">
        <f>Table14[[#This Row],[Enrolment S.Y. 2025-2026 ]]*8</f>
        <v>808</v>
      </c>
      <c r="W121" s="40"/>
      <c r="X121" s="35"/>
      <c r="Y121" s="40"/>
      <c r="Z121" s="40">
        <f t="shared" si="18"/>
        <v>808</v>
      </c>
      <c r="AA121" s="40">
        <f t="shared" si="19"/>
        <v>0</v>
      </c>
    </row>
    <row r="122" spans="1:28" ht="15">
      <c r="A122" s="35" t="s">
        <v>23</v>
      </c>
      <c r="B122" s="42" t="s">
        <v>31</v>
      </c>
      <c r="C122" s="35">
        <v>101</v>
      </c>
      <c r="D122" s="40">
        <f>Table14[[#This Row],[Enrolment S.Y. 2025-2026 ]]*8</f>
        <v>808</v>
      </c>
      <c r="E122" s="40"/>
      <c r="F122" s="35"/>
      <c r="G122" s="40"/>
      <c r="H122" s="40">
        <f t="shared" si="22"/>
        <v>808</v>
      </c>
      <c r="I122" s="40">
        <f t="shared" si="23"/>
        <v>0</v>
      </c>
      <c r="J122" s="40">
        <f>Table14[[#This Row],[Enrolment S.Y. 2025-2026 ]]*8</f>
        <v>808</v>
      </c>
      <c r="K122" s="40"/>
      <c r="L122" s="35"/>
      <c r="M122" s="40"/>
      <c r="N122" s="40">
        <f t="shared" si="20"/>
        <v>808</v>
      </c>
      <c r="O122" s="40">
        <f t="shared" si="21"/>
        <v>0</v>
      </c>
      <c r="P122" s="40">
        <f>Table14[[#This Row],[Enrolment S.Y. 2025-2026 ]]*8</f>
        <v>808</v>
      </c>
      <c r="Q122" s="40"/>
      <c r="R122" s="35"/>
      <c r="S122" s="40"/>
      <c r="T122" s="40">
        <f t="shared" si="16"/>
        <v>808</v>
      </c>
      <c r="U122" s="40">
        <f t="shared" si="17"/>
        <v>0</v>
      </c>
      <c r="V122" s="40">
        <f>Table14[[#This Row],[Enrolment S.Y. 2025-2026 ]]*8</f>
        <v>808</v>
      </c>
      <c r="W122" s="40"/>
      <c r="X122" s="35"/>
      <c r="Y122" s="40"/>
      <c r="Z122" s="40">
        <f t="shared" si="18"/>
        <v>808</v>
      </c>
      <c r="AA122" s="40">
        <f t="shared" si="19"/>
        <v>0</v>
      </c>
    </row>
    <row r="123" spans="1:28" s="5" customForma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spans="1:28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5"/>
    </row>
    <row r="125" spans="1:28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5"/>
    </row>
    <row r="126" spans="1:28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5"/>
    </row>
    <row r="127" spans="1:28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5"/>
    </row>
    <row r="128" spans="1: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5"/>
    </row>
    <row r="129" spans="1:28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5"/>
    </row>
    <row r="130" spans="1:28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5"/>
    </row>
    <row r="131" spans="1:28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5"/>
    </row>
    <row r="132" spans="1:28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5"/>
    </row>
    <row r="133" spans="1:28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5"/>
    </row>
    <row r="134" spans="1:28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5"/>
    </row>
    <row r="135" spans="1:28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5"/>
    </row>
    <row r="136" spans="1:28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5"/>
    </row>
    <row r="137" spans="1:28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5"/>
    </row>
    <row r="138" spans="1:2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5"/>
    </row>
    <row r="139" spans="1:28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5"/>
    </row>
    <row r="140" spans="1:28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5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junrey lidres</cp:lastModifiedBy>
  <cp:revision/>
  <dcterms:created xsi:type="dcterms:W3CDTF">2025-11-19T20:48:15Z</dcterms:created>
  <dcterms:modified xsi:type="dcterms:W3CDTF">2026-01-23T01:55:21Z</dcterms:modified>
  <cp:category/>
  <cp:contentStatus/>
</cp:coreProperties>
</file>