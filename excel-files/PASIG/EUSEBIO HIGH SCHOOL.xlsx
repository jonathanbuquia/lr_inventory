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Rose\Desktop\"/>
    </mc:Choice>
  </mc:AlternateContent>
  <xr:revisionPtr revIDLastSave="11" documentId="11_CF5876E3297185FD8797BD9F3CEC926921F0A734" xr6:coauthVersionLast="47" xr6:coauthVersionMax="47" xr10:uidLastSave="{05C3F0E5-F39C-4E8D-BBA9-112339B5295E}"/>
  <bookViews>
    <workbookView xWindow="0" yWindow="0" windowWidth="20490" windowHeight="762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<sst xmlns="http://schemas.openxmlformats.org/spreadsheetml/2006/main" count="270" uniqueCount="85">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</sst>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H49" totalsRowShown="0" headerRowDxfId="62" headerRowBorderDxfId="60" tableBorderDxfId="61">
  <autoFilter ref="A1:H49" xr:uid="{00000000-0009-0000-0100-000002000000}"/>
  <tableColumns count="8">
    <tableColumn id="1" xr3:uid="{00000000-0010-0000-0000-000001000000}" name="Grade Level"/>
    <tableColumn id="2" xr3:uid="{00000000-0010-0000-0000-000002000000}" name="SUBJECTS"/>
    <tableColumn id="3" xr3:uid="{00000000-0010-0000-0000-000003000000}" name="Enrolment S.Y. 2025-2026 "/>
    <tableColumn id="4" xr3:uid="{00000000-0010-0000-0000-000004000000}" name="Quantity of Textbooks Received"/>
    <tableColumn id="5" xr3:uid="{00000000-0010-0000-0000-000005000000}" name="Year of Delivery-TX"/>
    <tableColumn id="6" xr3:uid="{00000000-0010-0000-0000-000006000000}" name="SOURCE-TX (CO,RO, SDO)"/>
    <tableColumn id="7" xr3:uid="{00000000-0010-0000-0000-000007000000}" name="GAP-TX"/>
    <tableColumn id="8" xr3:uid="{00000000-0010-0000-0000-000008000000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AA50" totalsRowShown="0" dataDxfId="59" headerRowBorderDxfId="57" tableBorderDxfId="58">
  <autoFilter ref="A2:AA50" xr:uid="{00000000-0009-0000-0100-000001000000}"/>
  <tableColumns count="27">
    <tableColumn id="1" xr3:uid="{00000000-0010-0000-0100-000001000000}" name="Grade Level" dataDxfId="56"/>
    <tableColumn id="2" xr3:uid="{00000000-0010-0000-0100-000002000000}" name="SUBJECTS" dataDxfId="55"/>
    <tableColumn id="3" xr3:uid="{00000000-0010-0000-0100-000003000000}" name="Enrolment S.Y. 2025-2026 " dataDxfId="54"/>
    <tableColumn id="4" xr3:uid="{00000000-0010-0000-0100-000004000000}" name="Quantity based on Target LAS - Q1 " dataDxfId="53">
      <calculatedColumnFormula>Table1[[#This Row],[Enrolment S.Y. 2025-2026 ]]*8</calculatedColumnFormula>
    </tableColumn>
    <tableColumn id="5" xr3:uid="{00000000-0010-0000-0100-000005000000}" name="Quantity of Learning Activity Sheets Received (Quantity received x No. of LAS) - Q1" dataDxfId="52"/>
    <tableColumn id="6" xr3:uid="{00000000-0010-0000-0100-000006000000}" name="Year of Delivery-LAS - Q1" dataDxfId="51"/>
    <tableColumn id="7" xr3:uid="{00000000-0010-0000-0100-000007000000}" name="SOURCE - LAS (CO,RO, SDO) - Q1" dataDxfId="50"/>
    <tableColumn id="8" xr3:uid="{00000000-0010-0000-0100-000008000000}" name="GAP - LAS - Q1" dataDxfId="49">
      <calculatedColumnFormula>IF((D3-E3)&lt;0,0,(D3-E3))</calculatedColumnFormula>
    </tableColumn>
    <tableColumn id="9" xr3:uid="{00000000-0010-0000-0100-000009000000}" name="SURPLUS - LAS - Q1" dataDxfId="48">
      <calculatedColumnFormula>IF((E3-D3)&lt;0,0,(E3-D3))</calculatedColumnFormula>
    </tableColumn>
    <tableColumn id="10" xr3:uid="{00000000-0010-0000-0100-00000A000000}" name="Quantity based on Target LAS - Q2" dataDxfId="47">
      <calculatedColumnFormula>Table1[[#This Row],[Enrolment S.Y. 2025-2026 ]]*8</calculatedColumnFormula>
    </tableColumn>
    <tableColumn id="11" xr3:uid="{00000000-0010-0000-0100-00000B000000}" name="Quantity of Learning Activity Sheets Received (Quantity received x No. of LAS) Q2" dataDxfId="46"/>
    <tableColumn id="12" xr3:uid="{00000000-0010-0000-0100-00000C000000}" name="Year of Delivery-LAS Q2" dataDxfId="45"/>
    <tableColumn id="13" xr3:uid="{00000000-0010-0000-0100-00000D000000}" name="SOURCE-LAS (CO,RO, SDO) Q2" dataDxfId="44"/>
    <tableColumn id="14" xr3:uid="{00000000-0010-0000-0100-00000E000000}" name="GAP - LAS -Q2" dataDxfId="43"/>
    <tableColumn id="15" xr3:uid="{00000000-0010-0000-0100-00000F000000}" name="SURPLUS - LAS -Q2" dataDxfId="42"/>
    <tableColumn id="16" xr3:uid="{00000000-0010-0000-0100-000010000000}" name="Quantity based on Target LAS - Q3" dataDxfId="41">
      <calculatedColumnFormula>#REF!*8</calculatedColumnFormula>
    </tableColumn>
    <tableColumn id="17" xr3:uid="{00000000-0010-0000-0100-000011000000}" name="Quantity of Learning Activity Sheets Received (Quantity received x No. of LAS) - Q3" dataDxfId="40"/>
    <tableColumn id="18" xr3:uid="{00000000-0010-0000-0100-000012000000}" name="Year of Delivery-LAS - Q3" dataDxfId="39"/>
    <tableColumn id="19" xr3:uid="{00000000-0010-0000-0100-000013000000}" name="SOURCE-LAS (CO,RO, SDO) - Q3" dataDxfId="38"/>
    <tableColumn id="20" xr3:uid="{00000000-0010-0000-0100-000014000000}" name="GAP - LAS - Q3" dataDxfId="37">
      <calculatedColumnFormula>IF((P3-Q3)&lt;0,0,(P3-Q3))</calculatedColumnFormula>
    </tableColumn>
    <tableColumn id="21" xr3:uid="{00000000-0010-0000-0100-000015000000}" name="SURPLUS - LAS - Q3" dataDxfId="36">
      <calculatedColumnFormula>IF((Q3-P3)&lt;0,0,(Q3-P3))</calculatedColumnFormula>
    </tableColumn>
    <tableColumn id="22" xr3:uid="{00000000-0010-0000-0100-000016000000}" name="Quantity based on Target LAS - Q4" dataDxfId="35">
      <calculatedColumnFormula>Table1[[#This Row],[Enrolment S.Y. 2025-2026 ]]*8</calculatedColumnFormula>
    </tableColumn>
    <tableColumn id="23" xr3:uid="{00000000-0010-0000-0100-000017000000}" name="Quantity of Learning Activity Sheets Received (Quantity received x No. of LAS)- Q4" dataDxfId="34"/>
    <tableColumn id="24" xr3:uid="{00000000-0010-0000-0100-000018000000}" name="Year of Delivery - LAS - Q4" dataDxfId="33"/>
    <tableColumn id="25" xr3:uid="{00000000-0010-0000-0100-000019000000}" name="SOURCE - LAS (CO,RO, SDO) - Q4" dataDxfId="32"/>
    <tableColumn id="26" xr3:uid="{00000000-0010-0000-0100-00001A000000}" name="GAP - LAS - Q4" dataDxfId="31">
      <calculatedColumnFormula>IF((V3-W3)&lt;0,0,(V3-W3))</calculatedColumnFormula>
    </tableColumn>
    <tableColumn id="27" xr3:uid="{00000000-0010-0000-0100-00001B000000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2:AA58" totalsRowShown="0" dataDxfId="29" headerRowBorderDxfId="27" tableBorderDxfId="28">
  <autoFilter ref="A2:AA58" xr:uid="{00000000-0009-0000-0100-000003000000}"/>
  <tableColumns count="27">
    <tableColumn id="1" xr3:uid="{00000000-0010-0000-0200-000001000000}" name="Grade Level" dataDxfId="26"/>
    <tableColumn id="2" xr3:uid="{00000000-0010-0000-0200-000002000000}" name="SUBJECTS" dataDxfId="25"/>
    <tableColumn id="3" xr3:uid="{00000000-0010-0000-0200-000003000000}" name="Enrolment S.Y. 2025-2026 " dataDxfId="24"/>
    <tableColumn id="4" xr3:uid="{00000000-0010-0000-0200-000004000000}" name="Quantity based on Target ADM-SLM - Q1 " dataDxfId="23">
      <calculatedColumnFormula>Table14[[#This Row],[Enrolment S.Y. 2025-2026 ]]*8</calculatedColumnFormula>
    </tableColumn>
    <tableColumn id="5" xr3:uid="{00000000-0010-0000-0200-000005000000}" name="Quantity of ADM-SLM Received (Quantity received x No. of ADM-SLM) - Q1" dataDxfId="22"/>
    <tableColumn id="6" xr3:uid="{00000000-0010-0000-0200-000006000000}" name="Year of Delivery - ADM-SLM - Q1" dataDxfId="21"/>
    <tableColumn id="7" xr3:uid="{00000000-0010-0000-0200-000007000000}" name="SOURCE - ADM-SLM (CO,RO, SDO) - Q1" dataDxfId="20"/>
    <tableColumn id="8" xr3:uid="{00000000-0010-0000-0200-000008000000}" name="GAP - ADM-SLM - Q1" dataDxfId="19">
      <calculatedColumnFormula>IF((D3-E3)&lt;0,0,(D3-E3))</calculatedColumnFormula>
    </tableColumn>
    <tableColumn id="9" xr3:uid="{00000000-0010-0000-0200-000009000000}" name="SURPLUS - ADM-SLM - Q1" dataDxfId="18">
      <calculatedColumnFormula>IF((E3-D3)&lt;0,0,(E3-D3))</calculatedColumnFormula>
    </tableColumn>
    <tableColumn id="10" xr3:uid="{00000000-0010-0000-0200-00000A000000}" name="Quantity based on Target ADM-SLM - Q2" dataDxfId="17">
      <calculatedColumnFormula>Table14[[#This Row],[Enrolment S.Y. 2025-2026 ]]*8</calculatedColumnFormula>
    </tableColumn>
    <tableColumn id="11" xr3:uid="{00000000-0010-0000-0200-00000B000000}" name="Quantity of ADM-SLM Received (Quantity received x No. of ADM-SLM) - Q2" dataDxfId="16"/>
    <tableColumn id="12" xr3:uid="{00000000-0010-0000-0200-00000C000000}" name="Year of Delivery - ADM-SLM Q2" dataDxfId="15"/>
    <tableColumn id="13" xr3:uid="{00000000-0010-0000-0200-00000D000000}" name="SOURCE - ADM-SLM (CO,RO, SDO) Q2" dataDxfId="14"/>
    <tableColumn id="14" xr3:uid="{00000000-0010-0000-0200-00000E000000}" name="GAP - ADM-SLM - Q2" dataDxfId="13"/>
    <tableColumn id="15" xr3:uid="{00000000-0010-0000-0200-00000F000000}" name="SURPLUS - ADM-SLM -Q2" dataDxfId="12"/>
    <tableColumn id="16" xr3:uid="{00000000-0010-0000-0200-000010000000}" name="Quantity based on Target ADM-SLM - Q3" dataDxfId="11">
      <calculatedColumnFormula>#REF!*8</calculatedColumnFormula>
    </tableColumn>
    <tableColumn id="17" xr3:uid="{00000000-0010-0000-0200-000011000000}" name="Quantity of ADM-SLM Received (Quantity received x No. of ADM-SLM) - Q3" dataDxfId="10"/>
    <tableColumn id="18" xr3:uid="{00000000-0010-0000-0200-000012000000}" name="Year of Delivery - ADM-SLM - Q3" dataDxfId="9"/>
    <tableColumn id="19" xr3:uid="{00000000-0010-0000-0200-000013000000}" name="SOURCE - ADM-SLM(CO,RO, SDO) - Q3" dataDxfId="8"/>
    <tableColumn id="20" xr3:uid="{00000000-0010-0000-0200-000014000000}" name="GAP - ADM-SLM - Q3" dataDxfId="7">
      <calculatedColumnFormula>IF((P3-Q3)&lt;0,0,(P3-Q3))</calculatedColumnFormula>
    </tableColumn>
    <tableColumn id="21" xr3:uid="{00000000-0010-0000-0200-000015000000}" name="SURPLUS - ADM-SLM - Q3" dataDxfId="6">
      <calculatedColumnFormula>IF((Q3-P3)&lt;0,0,(Q3-P3))</calculatedColumnFormula>
    </tableColumn>
    <tableColumn id="22" xr3:uid="{00000000-0010-0000-0200-000016000000}" name="Quantity based on Target ADM-SLM - Q4" dataDxfId="5">
      <calculatedColumnFormula>Table14[[#This Row],[Enrolment S.Y. 2025-2026 ]]*8</calculatedColumnFormula>
    </tableColumn>
    <tableColumn id="23" xr3:uid="{00000000-0010-0000-0200-000017000000}" name="Quantity of ADM-SLM Received (Quantity received x No. of ADM-SLM)- Q4" dataDxfId="4"/>
    <tableColumn id="24" xr3:uid="{00000000-0010-0000-0200-000018000000}" name="Year of Delivery - ADM-SLM- Q4" dataDxfId="3"/>
    <tableColumn id="25" xr3:uid="{00000000-0010-0000-0200-000019000000}" name="SOURCE - ADM-SLM - (CO,RO, SDO) - Q4" dataDxfId="2"/>
    <tableColumn id="26" xr3:uid="{00000000-0010-0000-0200-00001A000000}" name="GAP - ADM-SLM - Q4" dataDxfId="1">
      <calculatedColumnFormula>IF((V3-W3)&lt;0,0,(V3-W3))</calculatedColumnFormula>
    </tableColumn>
    <tableColumn id="27" xr3:uid="{00000000-0010-0000-0200-00001B000000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69" zoomScale="85" zoomScaleNormal="85" workbookViewId="0">
      <pane xSplit="2" topLeftCell="C1" activePane="topRight" state="frozen"/>
      <selection pane="topRight" activeCell="E97" sqref="E97"/>
    </sheetView>
  </sheetViews>
  <sheetFormatPr defaultRowHeight="14.2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1112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1112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/>
      <c r="D4" s="8">
        <v>1112</v>
      </c>
      <c r="E4" s="8">
        <v>2024</v>
      </c>
      <c r="F4" s="10" t="s">
        <v>9</v>
      </c>
      <c r="G4" s="2">
        <f t="shared" si="0"/>
        <v>0</v>
      </c>
      <c r="H4" s="3">
        <f t="shared" si="1"/>
        <v>1112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>
        <v>1112</v>
      </c>
      <c r="E6" s="8">
        <v>2025</v>
      </c>
      <c r="F6" s="10" t="s">
        <v>9</v>
      </c>
      <c r="G6" s="2">
        <f t="shared" si="0"/>
        <v>0</v>
      </c>
      <c r="H6" s="3">
        <f t="shared" si="1"/>
        <v>1112</v>
      </c>
    </row>
    <row r="7" spans="1:8" ht="19.5">
      <c r="A7" s="8">
        <v>7</v>
      </c>
      <c r="B7" s="9" t="s">
        <v>14</v>
      </c>
      <c r="C7" s="8"/>
      <c r="D7" s="8">
        <v>1112</v>
      </c>
      <c r="E7" s="8">
        <v>2024</v>
      </c>
      <c r="F7" s="10" t="s">
        <v>9</v>
      </c>
      <c r="G7" s="2">
        <f t="shared" si="0"/>
        <v>0</v>
      </c>
      <c r="H7" s="3">
        <f t="shared" si="1"/>
        <v>1112</v>
      </c>
    </row>
    <row r="8" spans="1:8" ht="39.75" customHeight="1">
      <c r="A8" s="8">
        <v>7</v>
      </c>
      <c r="B8" s="9" t="s">
        <v>15</v>
      </c>
      <c r="C8" s="8"/>
      <c r="D8" s="8">
        <v>1112</v>
      </c>
      <c r="E8" s="8">
        <v>2025</v>
      </c>
      <c r="F8" s="10" t="s">
        <v>9</v>
      </c>
      <c r="G8" s="2">
        <f t="shared" si="0"/>
        <v>0</v>
      </c>
      <c r="H8" s="3">
        <f t="shared" si="1"/>
        <v>1112</v>
      </c>
    </row>
    <row r="9" spans="1:8" ht="29.25" customHeight="1">
      <c r="A9" s="8">
        <v>7</v>
      </c>
      <c r="B9" s="9" t="s">
        <v>16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/>
      <c r="D10" s="8">
        <v>1112</v>
      </c>
      <c r="E10" s="8">
        <v>2025</v>
      </c>
      <c r="F10" s="10"/>
      <c r="G10" s="2">
        <f t="shared" si="0"/>
        <v>0</v>
      </c>
      <c r="H10" s="3">
        <f t="shared" si="1"/>
        <v>1112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>
        <v>1011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1011</v>
      </c>
    </row>
    <row r="15" spans="1:8" ht="29.25" customHeight="1">
      <c r="A15" s="8">
        <v>8</v>
      </c>
      <c r="B15" s="9" t="s">
        <v>12</v>
      </c>
      <c r="C15" s="8"/>
      <c r="D15" s="8">
        <v>1011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1011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>
        <v>994</v>
      </c>
      <c r="E23" s="8">
        <v>2024</v>
      </c>
      <c r="F23" s="10" t="s">
        <v>9</v>
      </c>
      <c r="G23" s="2">
        <f t="shared" si="4"/>
        <v>0</v>
      </c>
      <c r="H23" s="3">
        <f t="shared" si="5"/>
        <v>994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>
        <v>1023</v>
      </c>
      <c r="E33" s="8">
        <v>2024</v>
      </c>
      <c r="F33" s="10" t="s">
        <v>9</v>
      </c>
      <c r="G33" s="2">
        <f t="shared" si="6"/>
        <v>0</v>
      </c>
      <c r="H33" s="3">
        <f t="shared" si="7"/>
        <v>1023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>
        <v>838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838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>
        <v>838</v>
      </c>
      <c r="E44" s="1">
        <v>2024</v>
      </c>
      <c r="F44" s="4" t="s">
        <v>9</v>
      </c>
      <c r="G44" s="2">
        <f t="shared" si="8"/>
        <v>0</v>
      </c>
      <c r="H44" s="3">
        <f t="shared" si="9"/>
        <v>838</v>
      </c>
    </row>
    <row r="45" spans="1:8" ht="36.75" customHeight="1">
      <c r="A45" s="1" t="s">
        <v>19</v>
      </c>
      <c r="B45" s="7" t="s">
        <v>23</v>
      </c>
      <c r="C45" s="1"/>
      <c r="D45" s="1">
        <v>838</v>
      </c>
      <c r="E45" s="1">
        <v>2025</v>
      </c>
      <c r="F45" s="4" t="s">
        <v>9</v>
      </c>
      <c r="G45" s="2">
        <f t="shared" si="8"/>
        <v>0</v>
      </c>
      <c r="H45" s="3">
        <f t="shared" si="9"/>
        <v>838</v>
      </c>
    </row>
    <row r="46" spans="1:8" ht="27.75" customHeight="1">
      <c r="A46" s="1" t="s">
        <v>19</v>
      </c>
      <c r="B46" s="7" t="s">
        <v>24</v>
      </c>
      <c r="C46" s="1"/>
      <c r="D46" s="1">
        <v>838</v>
      </c>
      <c r="E46" s="1">
        <v>2025</v>
      </c>
      <c r="F46" s="4" t="s">
        <v>9</v>
      </c>
      <c r="G46" s="2">
        <f t="shared" si="8"/>
        <v>0</v>
      </c>
      <c r="H46" s="3">
        <f t="shared" si="9"/>
        <v>838</v>
      </c>
    </row>
    <row r="47" spans="1:8" ht="27.75" customHeight="1">
      <c r="A47" s="1" t="s">
        <v>19</v>
      </c>
      <c r="B47" s="7" t="s">
        <v>25</v>
      </c>
      <c r="C47" s="1"/>
      <c r="D47" s="1">
        <v>838</v>
      </c>
      <c r="E47" s="1">
        <v>2025</v>
      </c>
      <c r="F47" s="4" t="s">
        <v>9</v>
      </c>
      <c r="G47" s="2">
        <f t="shared" si="8"/>
        <v>0</v>
      </c>
      <c r="H47" s="3">
        <f t="shared" si="9"/>
        <v>838</v>
      </c>
    </row>
    <row r="48" spans="1:8" ht="27.75" customHeight="1">
      <c r="A48" s="1" t="s">
        <v>19</v>
      </c>
      <c r="B48" s="7" t="s">
        <v>26</v>
      </c>
      <c r="C48" s="1"/>
      <c r="D48" s="1">
        <v>838</v>
      </c>
      <c r="E48" s="1">
        <v>2025</v>
      </c>
      <c r="F48" s="4" t="s">
        <v>9</v>
      </c>
      <c r="G48" s="2">
        <f t="shared" si="8"/>
        <v>0</v>
      </c>
      <c r="H48" s="3">
        <f t="shared" si="9"/>
        <v>838</v>
      </c>
    </row>
    <row r="49" spans="1:8" ht="27.75" customHeight="1">
      <c r="A49" s="1" t="s">
        <v>19</v>
      </c>
      <c r="B49" s="7" t="s">
        <v>27</v>
      </c>
      <c r="C49" s="1"/>
      <c r="D49" s="1">
        <v>838</v>
      </c>
      <c r="E49" s="1">
        <v>2025</v>
      </c>
      <c r="F49" s="4" t="s">
        <v>9</v>
      </c>
      <c r="G49" s="2">
        <f t="shared" si="8"/>
        <v>0</v>
      </c>
      <c r="H49" s="3">
        <f t="shared" si="9"/>
        <v>838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00000000-0002-0000-0000-000000000000}">
      <formula1>"2024,2025,2026"</formula1>
    </dataValidation>
    <dataValidation type="list" allowBlank="1" showInputMessage="1" showErrorMessage="1" sqref="F2:F10 F12:F20 F22:F30 F32:F40 F42:F49" xr:uid="{00000000-0002-0000-0000-000001000000}">
      <formula1>"CO,RO,SDO"</formula1>
    </dataValidation>
  </dataValidations>
  <pageMargins left="0.70866141732283472" right="0.70866141732283472" top="0.74803149606299213" bottom="0.74803149606299213" header="0.31496062992125984" footer="0.31496062992125984"/>
  <pageSetup paperSize="9" scale="70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7"/>
  <sheetViews>
    <sheetView zoomScale="70" zoomScaleNormal="70" workbookViewId="0">
      <selection activeCell="AC67" sqref="AC67"/>
    </sheetView>
  </sheetViews>
  <sheetFormatPr defaultRowHeight="14.2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ref="H33:H41" si="16">IF((D33-E33)&lt;0,0,(D33-E33))</f>
        <v>0</v>
      </c>
      <c r="I33" s="10">
        <f t="shared" ref="I33:I41" si="17"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 t="shared" ref="N33:N41" si="18">IF((J33-K33)&lt;0,0,(J33-K33))</f>
        <v>0</v>
      </c>
      <c r="O33" s="10">
        <f t="shared" ref="O33:O41" si="19"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 t="shared" ref="T33:T41" si="20">IF((P33-Q33)&lt;0,0,(P33-Q33))</f>
        <v>0</v>
      </c>
      <c r="U33" s="10">
        <f t="shared" ref="U33:U41" si="21"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 t="shared" ref="Z33:Z41" si="22">IF((V33-W33)&lt;0,0,(V33-W33))</f>
        <v>0</v>
      </c>
      <c r="AA33" s="10">
        <f t="shared" ref="AA33:AA41" si="23"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8"/>
        <v>0</v>
      </c>
      <c r="O34" s="10">
        <f t="shared" si="19"/>
        <v>0</v>
      </c>
      <c r="P34" s="10">
        <f>Table1[[#This Row],[Enrolment S.Y. 2025-2026 ]]*8</f>
        <v>0</v>
      </c>
      <c r="Q34" s="10"/>
      <c r="R34" s="8"/>
      <c r="S34" s="10"/>
      <c r="T34" s="10">
        <f t="shared" si="20"/>
        <v>0</v>
      </c>
      <c r="U34" s="10">
        <f t="shared" si="21"/>
        <v>0</v>
      </c>
      <c r="V34" s="10">
        <f>Table1[[#This Row],[Enrolment S.Y. 2025-2026 ]]*8</f>
        <v>0</v>
      </c>
      <c r="W34" s="10"/>
      <c r="X34" s="8"/>
      <c r="Y34" s="10"/>
      <c r="Z34" s="10">
        <f t="shared" si="22"/>
        <v>0</v>
      </c>
      <c r="AA34" s="10">
        <f t="shared" si="23"/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Table1[[#This Row],[Enrolment S.Y. 2025-2026 ]]*8</f>
        <v>0</v>
      </c>
      <c r="K35" s="10"/>
      <c r="L35" s="8"/>
      <c r="M35" s="10"/>
      <c r="N35" s="10">
        <f t="shared" si="18"/>
        <v>0</v>
      </c>
      <c r="O35" s="10">
        <f t="shared" si="19"/>
        <v>0</v>
      </c>
      <c r="P35" s="10">
        <f>Table1[[#This Row],[Enrolment S.Y. 2025-2026 ]]*8</f>
        <v>0</v>
      </c>
      <c r="Q35" s="10"/>
      <c r="R35" s="8"/>
      <c r="S35" s="10"/>
      <c r="T35" s="10">
        <f t="shared" si="20"/>
        <v>0</v>
      </c>
      <c r="U35" s="10">
        <f t="shared" si="21"/>
        <v>0</v>
      </c>
      <c r="V35" s="10">
        <f>Table1[[#This Row],[Enrolment S.Y. 2025-2026 ]]*8</f>
        <v>0</v>
      </c>
      <c r="W35" s="10"/>
      <c r="X35" s="8"/>
      <c r="Y35" s="10"/>
      <c r="Z35" s="10">
        <f t="shared" si="22"/>
        <v>0</v>
      </c>
      <c r="AA35" s="10">
        <f t="shared" si="23"/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 t="shared" si="16"/>
        <v>0</v>
      </c>
      <c r="I36" s="10">
        <f t="shared" si="17"/>
        <v>0</v>
      </c>
      <c r="J36" s="10">
        <f>Table1[[#This Row],[Enrolment S.Y. 2025-2026 ]]*8</f>
        <v>0</v>
      </c>
      <c r="K36" s="10"/>
      <c r="L36" s="8"/>
      <c r="M36" s="10"/>
      <c r="N36" s="10">
        <f t="shared" si="18"/>
        <v>0</v>
      </c>
      <c r="O36" s="10">
        <f t="shared" si="19"/>
        <v>0</v>
      </c>
      <c r="P36" s="10">
        <f>Table1[[#This Row],[Enrolment S.Y. 2025-2026 ]]*8</f>
        <v>0</v>
      </c>
      <c r="Q36" s="10"/>
      <c r="R36" s="8"/>
      <c r="S36" s="10"/>
      <c r="T36" s="10">
        <f t="shared" si="20"/>
        <v>0</v>
      </c>
      <c r="U36" s="10">
        <f t="shared" si="21"/>
        <v>0</v>
      </c>
      <c r="V36" s="10">
        <f>Table1[[#This Row],[Enrolment S.Y. 2025-2026 ]]*8</f>
        <v>0</v>
      </c>
      <c r="W36" s="10"/>
      <c r="X36" s="8"/>
      <c r="Y36" s="10"/>
      <c r="Z36" s="10">
        <f t="shared" si="22"/>
        <v>0</v>
      </c>
      <c r="AA36" s="10">
        <f t="shared" si="23"/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Table1[[#This Row],[Enrolment S.Y. 2025-2026 ]]*8</f>
        <v>0</v>
      </c>
      <c r="K37" s="10"/>
      <c r="L37" s="8"/>
      <c r="M37" s="10"/>
      <c r="N37" s="10">
        <f t="shared" si="18"/>
        <v>0</v>
      </c>
      <c r="O37" s="10">
        <f t="shared" si="19"/>
        <v>0</v>
      </c>
      <c r="P37" s="10">
        <f>Table1[[#This Row],[Enrolment S.Y. 2025-2026 ]]*8</f>
        <v>0</v>
      </c>
      <c r="Q37" s="10"/>
      <c r="R37" s="8"/>
      <c r="S37" s="10"/>
      <c r="T37" s="10">
        <f t="shared" si="20"/>
        <v>0</v>
      </c>
      <c r="U37" s="10">
        <f t="shared" si="21"/>
        <v>0</v>
      </c>
      <c r="V37" s="10">
        <f>Table1[[#This Row],[Enrolment S.Y. 2025-2026 ]]*8</f>
        <v>0</v>
      </c>
      <c r="W37" s="10"/>
      <c r="X37" s="8"/>
      <c r="Y37" s="10"/>
      <c r="Z37" s="10">
        <f t="shared" si="22"/>
        <v>0</v>
      </c>
      <c r="AA37" s="10">
        <f t="shared" si="23"/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 t="shared" si="16"/>
        <v>0</v>
      </c>
      <c r="I38" s="10">
        <f t="shared" si="17"/>
        <v>0</v>
      </c>
      <c r="J38" s="10">
        <f>Table1[[#This Row],[Enrolment S.Y. 2025-2026 ]]*8</f>
        <v>0</v>
      </c>
      <c r="K38" s="10"/>
      <c r="L38" s="8"/>
      <c r="M38" s="10"/>
      <c r="N38" s="10">
        <f t="shared" si="18"/>
        <v>0</v>
      </c>
      <c r="O38" s="10">
        <f t="shared" si="19"/>
        <v>0</v>
      </c>
      <c r="P38" s="10">
        <f>Table1[[#This Row],[Enrolment S.Y. 2025-2026 ]]*8</f>
        <v>0</v>
      </c>
      <c r="Q38" s="10"/>
      <c r="R38" s="8"/>
      <c r="S38" s="10"/>
      <c r="T38" s="10">
        <f t="shared" si="20"/>
        <v>0</v>
      </c>
      <c r="U38" s="10">
        <f t="shared" si="21"/>
        <v>0</v>
      </c>
      <c r="V38" s="10">
        <f>Table1[[#This Row],[Enrolment S.Y. 2025-2026 ]]*8</f>
        <v>0</v>
      </c>
      <c r="W38" s="10"/>
      <c r="X38" s="8"/>
      <c r="Y38" s="10"/>
      <c r="Z38" s="10">
        <f t="shared" si="22"/>
        <v>0</v>
      </c>
      <c r="AA38" s="10">
        <f t="shared" si="23"/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Table1[[#This Row],[Enrolment S.Y. 2025-2026 ]]*8</f>
        <v>0</v>
      </c>
      <c r="K39" s="10"/>
      <c r="L39" s="8"/>
      <c r="M39" s="10"/>
      <c r="N39" s="10">
        <f t="shared" si="18"/>
        <v>0</v>
      </c>
      <c r="O39" s="10">
        <f t="shared" si="19"/>
        <v>0</v>
      </c>
      <c r="P39" s="10">
        <f>Table1[[#This Row],[Enrolment S.Y. 2025-2026 ]]*8</f>
        <v>0</v>
      </c>
      <c r="Q39" s="10"/>
      <c r="R39" s="8"/>
      <c r="S39" s="10"/>
      <c r="T39" s="10">
        <f t="shared" si="20"/>
        <v>0</v>
      </c>
      <c r="U39" s="10">
        <f t="shared" si="21"/>
        <v>0</v>
      </c>
      <c r="V39" s="10">
        <f>Table1[[#This Row],[Enrolment S.Y. 2025-2026 ]]*8</f>
        <v>0</v>
      </c>
      <c r="W39" s="10"/>
      <c r="X39" s="8"/>
      <c r="Y39" s="10"/>
      <c r="Z39" s="10">
        <f t="shared" si="22"/>
        <v>0</v>
      </c>
      <c r="AA39" s="10">
        <f t="shared" si="23"/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Table1[[#This Row],[Enrolment S.Y. 2025-2026 ]]*8</f>
        <v>0</v>
      </c>
      <c r="K40" s="10"/>
      <c r="L40" s="8"/>
      <c r="M40" s="10"/>
      <c r="N40" s="10">
        <f t="shared" si="18"/>
        <v>0</v>
      </c>
      <c r="O40" s="10">
        <f t="shared" si="19"/>
        <v>0</v>
      </c>
      <c r="P40" s="10">
        <f>Table1[[#This Row],[Enrolment S.Y. 2025-2026 ]]*8</f>
        <v>0</v>
      </c>
      <c r="Q40" s="10"/>
      <c r="R40" s="8"/>
      <c r="S40" s="10"/>
      <c r="T40" s="10">
        <f t="shared" si="20"/>
        <v>0</v>
      </c>
      <c r="U40" s="10">
        <f t="shared" si="21"/>
        <v>0</v>
      </c>
      <c r="V40" s="10">
        <f>Table1[[#This Row],[Enrolment S.Y. 2025-2026 ]]*8</f>
        <v>0</v>
      </c>
      <c r="W40" s="10"/>
      <c r="X40" s="8"/>
      <c r="Y40" s="10"/>
      <c r="Z40" s="10">
        <f t="shared" si="22"/>
        <v>0</v>
      </c>
      <c r="AA40" s="10">
        <f t="shared" si="23"/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Table1[[#This Row],[Enrolment S.Y. 2025-2026 ]]*8</f>
        <v>0</v>
      </c>
      <c r="K41" s="10"/>
      <c r="L41" s="8"/>
      <c r="M41" s="10"/>
      <c r="N41" s="10">
        <f t="shared" si="18"/>
        <v>0</v>
      </c>
      <c r="O41" s="10">
        <f t="shared" si="19"/>
        <v>0</v>
      </c>
      <c r="P41" s="10">
        <f>Table1[[#This Row],[Enrolment S.Y. 2025-2026 ]]*8</f>
        <v>0</v>
      </c>
      <c r="Q41" s="10"/>
      <c r="R41" s="8"/>
      <c r="S41" s="10"/>
      <c r="T41" s="10">
        <f t="shared" si="20"/>
        <v>0</v>
      </c>
      <c r="U41" s="10">
        <f t="shared" si="21"/>
        <v>0</v>
      </c>
      <c r="V41" s="10">
        <f>Table1[[#This Row],[Enrolment S.Y. 2025-2026 ]]*8</f>
        <v>0</v>
      </c>
      <c r="W41" s="10"/>
      <c r="X41" s="8"/>
      <c r="Y41" s="10"/>
      <c r="Z41" s="10">
        <f t="shared" si="22"/>
        <v>0</v>
      </c>
      <c r="AA41" s="10">
        <f t="shared" si="23"/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00000000-0002-0000-0100-000001000000}">
      <formula1>"2024,2025,2026"</formula1>
    </dataValidation>
    <dataValidation type="list" allowBlank="1" showInputMessage="1" showErrorMessage="1" sqref="G3:G11 G13:G21 G23:G31 G33:G41 G43:G50 S3:S50 Y3:Y50 M3:M50" xr:uid="{00000000-0002-0000-0100-000002000000}">
      <formula1>"CO,RO,SDO,LGU,SCHOOL"</formula1>
    </dataValidation>
  </dataValidations>
  <pageMargins left="0.70866141732283472" right="0.70866141732283472" top="0.74803149606299213" bottom="0.74803149606299213" header="0.31496062992125984" footer="0.31496062992125984"/>
  <pageSetup paperSize="9" scale="60" orientation="landscape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40"/>
  <sheetViews>
    <sheetView tabSelected="1" topLeftCell="W55" zoomScale="55" zoomScaleNormal="55" workbookViewId="0">
      <selection activeCell="A3" sqref="A3:AA66"/>
    </sheetView>
  </sheetViews>
  <sheetFormatPr defaultRowHeight="14.2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5:N58" si="14">IF((J15-K15)&lt;0,0,(J15-K15))</f>
        <v>0</v>
      </c>
      <c r="O15" s="10">
        <f t="shared" ref="O15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>
        <v>100</v>
      </c>
      <c r="F27" s="8">
        <v>2025</v>
      </c>
      <c r="G27" s="10" t="s">
        <v>84</v>
      </c>
      <c r="H27" s="10">
        <f t="shared" si="16"/>
        <v>0</v>
      </c>
      <c r="I27" s="10">
        <f t="shared" si="17"/>
        <v>100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>
        <v>100</v>
      </c>
      <c r="F28" s="8">
        <v>2025</v>
      </c>
      <c r="G28" s="10" t="s">
        <v>84</v>
      </c>
      <c r="H28" s="10">
        <f t="shared" si="16"/>
        <v>0</v>
      </c>
      <c r="I28" s="10">
        <f t="shared" si="17"/>
        <v>100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>
        <v>100</v>
      </c>
      <c r="F29" s="8">
        <v>2025</v>
      </c>
      <c r="G29" s="10" t="s">
        <v>84</v>
      </c>
      <c r="H29" s="10">
        <f t="shared" si="16"/>
        <v>0</v>
      </c>
      <c r="I29" s="10">
        <f t="shared" si="17"/>
        <v>100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>
        <v>100</v>
      </c>
      <c r="F30" s="8">
        <v>2025</v>
      </c>
      <c r="G30" s="10" t="s">
        <v>84</v>
      </c>
      <c r="H30" s="10">
        <f t="shared" si="16"/>
        <v>0</v>
      </c>
      <c r="I30" s="10">
        <f t="shared" si="17"/>
        <v>100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>
        <v>100</v>
      </c>
      <c r="F31" s="8">
        <v>2025</v>
      </c>
      <c r="G31" s="10" t="s">
        <v>84</v>
      </c>
      <c r="H31" s="10">
        <f t="shared" si="16"/>
        <v>0</v>
      </c>
      <c r="I31" s="10">
        <f t="shared" si="17"/>
        <v>100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>
        <v>100</v>
      </c>
      <c r="F32" s="8">
        <v>2025</v>
      </c>
      <c r="G32" s="10" t="s">
        <v>84</v>
      </c>
      <c r="H32" s="10">
        <f t="shared" si="16"/>
        <v>0</v>
      </c>
      <c r="I32" s="10">
        <f t="shared" si="17"/>
        <v>100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>
        <v>100</v>
      </c>
      <c r="F33" s="8">
        <v>2025</v>
      </c>
      <c r="G33" s="10" t="s">
        <v>84</v>
      </c>
      <c r="H33" s="10">
        <f>IF((D33-E33)&lt;0,0,(D33-E33))</f>
        <v>0</v>
      </c>
      <c r="I33" s="10">
        <f>IF((E33-D33)&lt;0,0,(E33-D33))</f>
        <v>100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>
        <v>100</v>
      </c>
      <c r="F34" s="8">
        <v>2025</v>
      </c>
      <c r="G34" s="10" t="s">
        <v>84</v>
      </c>
      <c r="H34" s="10">
        <f t="shared" si="16"/>
        <v>0</v>
      </c>
      <c r="I34" s="10">
        <f t="shared" si="17"/>
        <v>100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>
        <v>100</v>
      </c>
      <c r="F36" s="8">
        <v>2025</v>
      </c>
      <c r="G36" s="10" t="s">
        <v>84</v>
      </c>
      <c r="H36" s="10">
        <f>IF((D36-E36)&lt;0,0,(D36-E36))</f>
        <v>0</v>
      </c>
      <c r="I36" s="10">
        <f>IF((E36-D36)&lt;0,0,(E36-D36))</f>
        <v>100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>
        <v>100</v>
      </c>
      <c r="F37" s="8">
        <v>2025</v>
      </c>
      <c r="G37" s="10" t="s">
        <v>84</v>
      </c>
      <c r="H37" s="10">
        <f t="shared" si="16"/>
        <v>0</v>
      </c>
      <c r="I37" s="10">
        <f t="shared" si="17"/>
        <v>100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>
        <v>100</v>
      </c>
      <c r="F39" s="8">
        <v>2025</v>
      </c>
      <c r="G39" s="10" t="s">
        <v>84</v>
      </c>
      <c r="H39" s="10">
        <f t="shared" si="16"/>
        <v>0</v>
      </c>
      <c r="I39" s="10">
        <f t="shared" si="17"/>
        <v>100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>
        <v>100</v>
      </c>
      <c r="F40" s="8">
        <v>2025</v>
      </c>
      <c r="G40" s="10" t="s">
        <v>84</v>
      </c>
      <c r="H40" s="10">
        <f t="shared" si="16"/>
        <v>0</v>
      </c>
      <c r="I40" s="10">
        <f t="shared" si="17"/>
        <v>100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>
        <v>100</v>
      </c>
      <c r="F41" s="8">
        <v>2025</v>
      </c>
      <c r="G41" s="10" t="s">
        <v>84</v>
      </c>
      <c r="H41" s="10">
        <f t="shared" si="16"/>
        <v>0</v>
      </c>
      <c r="I41" s="10">
        <f t="shared" si="17"/>
        <v>100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>
        <v>100</v>
      </c>
      <c r="F42" s="8">
        <v>2025</v>
      </c>
      <c r="G42" s="10" t="s">
        <v>84</v>
      </c>
      <c r="H42" s="10">
        <f t="shared" si="16"/>
        <v>0</v>
      </c>
      <c r="I42" s="10">
        <f t="shared" si="17"/>
        <v>100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>
        <v>100</v>
      </c>
      <c r="F43" s="8">
        <v>2025</v>
      </c>
      <c r="G43" s="10" t="s">
        <v>84</v>
      </c>
      <c r="H43" s="10">
        <f t="shared" si="16"/>
        <v>0</v>
      </c>
      <c r="I43" s="10">
        <f t="shared" si="17"/>
        <v>100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>
        <v>100</v>
      </c>
      <c r="F44" s="8">
        <v>2025</v>
      </c>
      <c r="G44" s="10" t="s">
        <v>84</v>
      </c>
      <c r="H44" s="10">
        <f t="shared" si="16"/>
        <v>0</v>
      </c>
      <c r="I44" s="10">
        <f t="shared" si="17"/>
        <v>100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>
        <v>100</v>
      </c>
      <c r="F45" s="8">
        <v>2025</v>
      </c>
      <c r="G45" s="10" t="s">
        <v>84</v>
      </c>
      <c r="H45" s="10">
        <f>IF((D45-E45)&lt;0,0,(D45-E45))</f>
        <v>0</v>
      </c>
      <c r="I45" s="10">
        <f>IF((E45-D45)&lt;0,0,(E45-D45))</f>
        <v>100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>
        <v>100</v>
      </c>
      <c r="F46" s="8">
        <v>2025</v>
      </c>
      <c r="G46" s="10" t="s">
        <v>84</v>
      </c>
      <c r="H46" s="10">
        <f t="shared" si="16"/>
        <v>0</v>
      </c>
      <c r="I46" s="10">
        <f t="shared" si="17"/>
        <v>100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>
        <v>100</v>
      </c>
      <c r="F48" s="8">
        <v>2025</v>
      </c>
      <c r="G48" s="10" t="s">
        <v>84</v>
      </c>
      <c r="H48" s="10">
        <f>IF((D48-E48)&lt;0,0,(D48-E48))</f>
        <v>0</v>
      </c>
      <c r="I48" s="10">
        <f>IF((E48-D48)&lt;0,0,(E48-D48))</f>
        <v>100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>
        <v>100</v>
      </c>
      <c r="F49" s="8">
        <v>2025</v>
      </c>
      <c r="G49" s="10" t="s">
        <v>84</v>
      </c>
      <c r="H49" s="10">
        <f t="shared" si="16"/>
        <v>0</v>
      </c>
      <c r="I49" s="10">
        <f t="shared" si="17"/>
        <v>100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00000000-0002-0000-0200-00000000000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00000000-0002-0000-0200-00000100000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Rose</dc:creator>
  <cp:keywords/>
  <dc:description/>
  <cp:lastModifiedBy>Jonathan Buquia</cp:lastModifiedBy>
  <cp:revision/>
  <dcterms:created xsi:type="dcterms:W3CDTF">2025-11-19T20:48:15Z</dcterms:created>
  <dcterms:modified xsi:type="dcterms:W3CDTF">2026-04-14T03:04:20Z</dcterms:modified>
  <cp:category/>
  <cp:contentStatus/>
</cp:coreProperties>
</file>