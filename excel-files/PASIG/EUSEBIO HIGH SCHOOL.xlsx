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Rose\Desktop\"/>
    </mc:Choice>
  </mc:AlternateContent>
  <xr:revisionPtr revIDLastSave="5" documentId="11_CF5876E3297185FD8797BD9F3CEC926921F0A734" xr6:coauthVersionLast="47" xr6:coauthVersionMax="47" xr10:uidLastSave="{F1A5AFAD-FD13-4F6C-BD83-462E16B5B9E7}"/>
  <bookViews>
    <workbookView xWindow="0" yWindow="0" windowWidth="20490" windowHeight="7620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O3" i="4"/>
  <c r="N3" i="4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<sst xmlns="http://schemas.openxmlformats.org/spreadsheetml/2006/main" count="424" uniqueCount="92">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</sst>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H145" totalsRowShown="0" headerRowDxfId="62" headerRowBorderDxfId="60" tableBorderDxfId="61">
  <autoFilter ref="A1:H145" xr:uid="{00000000-0009-0000-0100-000002000000}"/>
  <tableColumns count="8">
    <tableColumn id="1" xr3:uid="{00000000-0010-0000-0000-000001000000}" name="Grade Level"/>
    <tableColumn id="2" xr3:uid="{00000000-0010-0000-0000-000002000000}" name="SUBJECTS"/>
    <tableColumn id="3" xr3:uid="{00000000-0010-0000-0000-000003000000}" name="Enrolment S.Y. 2025-2026 "/>
    <tableColumn id="4" xr3:uid="{00000000-0010-0000-0000-000004000000}" name="Quantity of Textbooks Received"/>
    <tableColumn id="5" xr3:uid="{00000000-0010-0000-0000-000005000000}" name="Year of Delivery-TX"/>
    <tableColumn id="6" xr3:uid="{00000000-0010-0000-0000-000006000000}" name="SOURCE-TX (CO,RO, SDO)"/>
    <tableColumn id="7" xr3:uid="{00000000-0010-0000-0000-000007000000}" name="GAP-TX"/>
    <tableColumn id="8" xr3:uid="{00000000-0010-0000-0000-000008000000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2:AA127" totalsRowShown="0" dataDxfId="59" headerRowBorderDxfId="57" tableBorderDxfId="58">
  <autoFilter ref="A2:AA127" xr:uid="{00000000-0009-0000-0100-000001000000}"/>
  <tableColumns count="27">
    <tableColumn id="1" xr3:uid="{00000000-0010-0000-0100-000001000000}" name="Grade Level" dataDxfId="56"/>
    <tableColumn id="2" xr3:uid="{00000000-0010-0000-0100-000002000000}" name="SUBJECTS" dataDxfId="55"/>
    <tableColumn id="3" xr3:uid="{00000000-0010-0000-0100-000003000000}" name="Enrolment S.Y. 2025-2026 " dataDxfId="54"/>
    <tableColumn id="4" xr3:uid="{00000000-0010-0000-0100-000004000000}" name="Quantity based on Target LAS - Q1 " dataDxfId="53">
      <calculatedColumnFormula>Table1[[#This Row],[Enrolment S.Y. 2025-2026 ]]*8</calculatedColumnFormula>
    </tableColumn>
    <tableColumn id="5" xr3:uid="{00000000-0010-0000-0100-000005000000}" name="Quantity of Learning Activity Sheets Received (Quantity received x No. of LAS) - Q1" dataDxfId="52"/>
    <tableColumn id="6" xr3:uid="{00000000-0010-0000-0100-000006000000}" name="Year of Delivery-LAS - Q1" dataDxfId="51"/>
    <tableColumn id="7" xr3:uid="{00000000-0010-0000-0100-000007000000}" name="SOURCE - LAS (CO,RO, SDO) - Q1" dataDxfId="50"/>
    <tableColumn id="8" xr3:uid="{00000000-0010-0000-0100-000008000000}" name="GAP - LAS - Q1" dataDxfId="49">
      <calculatedColumnFormula>IF((D3-E3)&lt;0,0,(D3-E3))</calculatedColumnFormula>
    </tableColumn>
    <tableColumn id="9" xr3:uid="{00000000-0010-0000-0100-000009000000}" name="SURPLUS - LAS - Q1" dataDxfId="48">
      <calculatedColumnFormula>IF((E3-D3)&lt;0,0,(E3-D3))</calculatedColumnFormula>
    </tableColumn>
    <tableColumn id="10" xr3:uid="{00000000-0010-0000-0100-00000A000000}" name="Quantity based on Target LAS - Q2" dataDxfId="47">
      <calculatedColumnFormula>Table1[[#This Row],[Enrolment S.Y. 2025-2026 ]]*8</calculatedColumnFormula>
    </tableColumn>
    <tableColumn id="11" xr3:uid="{00000000-0010-0000-0100-00000B000000}" name="Quantity of Learning Activity Sheets Received (Quantity received x No. of LAS) Q2" dataDxfId="46"/>
    <tableColumn id="12" xr3:uid="{00000000-0010-0000-0100-00000C000000}" name="Year of Delivery-LAS Q2" dataDxfId="45"/>
    <tableColumn id="13" xr3:uid="{00000000-0010-0000-0100-00000D000000}" name="SOURCE-LAS (CO,RO, SDO) Q2" dataDxfId="44"/>
    <tableColumn id="14" xr3:uid="{00000000-0010-0000-0100-00000E000000}" name="GAP - LAS -Q2" dataDxfId="43"/>
    <tableColumn id="15" xr3:uid="{00000000-0010-0000-0100-00000F000000}" name="SURPLUS - LAS -Q2" dataDxfId="42"/>
    <tableColumn id="16" xr3:uid="{00000000-0010-0000-0100-000010000000}" name="Quantity based on Target LAS - Q3" dataDxfId="41">
      <calculatedColumnFormula>#REF!*8</calculatedColumnFormula>
    </tableColumn>
    <tableColumn id="17" xr3:uid="{00000000-0010-0000-0100-000011000000}" name="Quantity of Learning Activity Sheets Received (Quantity received x No. of LAS) - Q3" dataDxfId="40"/>
    <tableColumn id="18" xr3:uid="{00000000-0010-0000-0100-000012000000}" name="Year of Delivery-LAS - Q3" dataDxfId="39"/>
    <tableColumn id="19" xr3:uid="{00000000-0010-0000-0100-000013000000}" name="SOURCE-LAS (CO,RO, SDO) - Q3" dataDxfId="38"/>
    <tableColumn id="20" xr3:uid="{00000000-0010-0000-0100-000014000000}" name="GAP - LAS - Q3" dataDxfId="37">
      <calculatedColumnFormula>IF((P3-Q3)&lt;0,0,(P3-Q3))</calculatedColumnFormula>
    </tableColumn>
    <tableColumn id="21" xr3:uid="{00000000-0010-0000-0100-000015000000}" name="SURPLUS - LAS - Q3" dataDxfId="36">
      <calculatedColumnFormula>IF((Q3-P3)&lt;0,0,(Q3-P3))</calculatedColumnFormula>
    </tableColumn>
    <tableColumn id="22" xr3:uid="{00000000-0010-0000-0100-000016000000}" name="Quantity based on Target LAS - Q4" dataDxfId="35">
      <calculatedColumnFormula>Table1[[#This Row],[Enrolment S.Y. 2025-2026 ]]*8</calculatedColumnFormula>
    </tableColumn>
    <tableColumn id="23" xr3:uid="{00000000-0010-0000-0100-000017000000}" name="Quantity of Learning Activity Sheets Received (Quantity received x No. of LAS)- Q4" dataDxfId="34"/>
    <tableColumn id="24" xr3:uid="{00000000-0010-0000-0100-000018000000}" name="Year of Delivery - LAS - Q4" dataDxfId="33"/>
    <tableColumn id="25" xr3:uid="{00000000-0010-0000-0100-000019000000}" name="SOURCE - LAS (CO,RO, SDO) - Q4" dataDxfId="32"/>
    <tableColumn id="26" xr3:uid="{00000000-0010-0000-0100-00001A000000}" name="GAP - LAS - Q4" dataDxfId="31">
      <calculatedColumnFormula>IF((V3-W3)&lt;0,0,(V3-W3))</calculatedColumnFormula>
    </tableColumn>
    <tableColumn id="27" xr3:uid="{00000000-0010-0000-0100-00001B000000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4" displayName="Table14" ref="A2:AA140" totalsRowShown="0" dataDxfId="29" headerRowBorderDxfId="27" tableBorderDxfId="28">
  <autoFilter ref="A2:AA140" xr:uid="{00000000-0009-0000-0100-000003000000}"/>
  <tableColumns count="27">
    <tableColumn id="1" xr3:uid="{00000000-0010-0000-0200-000001000000}" name="Grade Level" dataDxfId="26"/>
    <tableColumn id="2" xr3:uid="{00000000-0010-0000-0200-000002000000}" name="SUBJECTS" dataDxfId="25"/>
    <tableColumn id="3" xr3:uid="{00000000-0010-0000-0200-000003000000}" name="Enrolment S.Y. 2025-2026 " dataDxfId="24"/>
    <tableColumn id="4" xr3:uid="{00000000-0010-0000-0200-000004000000}" name="Quantity based on Target ADM-SLM - Q1 " dataDxfId="23">
      <calculatedColumnFormula>Table14[[#This Row],[Enrolment S.Y. 2025-2026 ]]*8</calculatedColumnFormula>
    </tableColumn>
    <tableColumn id="5" xr3:uid="{00000000-0010-0000-0200-000005000000}" name="Quantity of ADM-SLM Received (Quantity received x No. of ADM-SLM) - Q1" dataDxfId="22"/>
    <tableColumn id="6" xr3:uid="{00000000-0010-0000-0200-000006000000}" name="Year of Delivery - ADM-SLM - Q1" dataDxfId="21"/>
    <tableColumn id="7" xr3:uid="{00000000-0010-0000-0200-000007000000}" name="SOURCE - ADM-SLM (CO,RO, SDO) - Q1" dataDxfId="20"/>
    <tableColumn id="8" xr3:uid="{00000000-0010-0000-0200-000008000000}" name="GAP - ADM-SLM - Q1" dataDxfId="19">
      <calculatedColumnFormula>IF((D3-E3)&lt;0,0,(D3-E3))</calculatedColumnFormula>
    </tableColumn>
    <tableColumn id="9" xr3:uid="{00000000-0010-0000-0200-000009000000}" name="SURPLUS - ADM-SLM - Q1" dataDxfId="18">
      <calculatedColumnFormula>IF((E3-D3)&lt;0,0,(E3-D3))</calculatedColumnFormula>
    </tableColumn>
    <tableColumn id="10" xr3:uid="{00000000-0010-0000-0200-00000A000000}" name="Quantity based on Target ADM-SLM - Q2" dataDxfId="17">
      <calculatedColumnFormula>Table14[[#This Row],[Enrolment S.Y. 2025-2026 ]]*8</calculatedColumnFormula>
    </tableColumn>
    <tableColumn id="11" xr3:uid="{00000000-0010-0000-0200-00000B000000}" name="Quantity of ADM-SLM Received (Quantity received x No. of ADM-SLM) - Q2" dataDxfId="16"/>
    <tableColumn id="12" xr3:uid="{00000000-0010-0000-0200-00000C000000}" name="Year of Delivery - ADM-SLM Q2" dataDxfId="15"/>
    <tableColumn id="13" xr3:uid="{00000000-0010-0000-0200-00000D000000}" name="SOURCE - ADM-SLM (CO,RO, SDO) Q2" dataDxfId="14"/>
    <tableColumn id="14" xr3:uid="{00000000-0010-0000-0200-00000E000000}" name="GAP - ADM-SLM - Q2" dataDxfId="13"/>
    <tableColumn id="15" xr3:uid="{00000000-0010-0000-0200-00000F000000}" name="SURPLUS - ADM-SLM -Q2" dataDxfId="12"/>
    <tableColumn id="16" xr3:uid="{00000000-0010-0000-0200-000010000000}" name="Quantity based on Target ADM-SLM - Q3" dataDxfId="11">
      <calculatedColumnFormula>#REF!*8</calculatedColumnFormula>
    </tableColumn>
    <tableColumn id="17" xr3:uid="{00000000-0010-0000-0200-000011000000}" name="Quantity of ADM-SLM Received (Quantity received x No. of ADM-SLM) - Q3" dataDxfId="10"/>
    <tableColumn id="18" xr3:uid="{00000000-0010-0000-0200-000012000000}" name="Year of Delivery - ADM-SLM - Q3" dataDxfId="9"/>
    <tableColumn id="19" xr3:uid="{00000000-0010-0000-0200-000013000000}" name="SOURCE - ADM-SLM(CO,RO, SDO) - Q3" dataDxfId="8"/>
    <tableColumn id="20" xr3:uid="{00000000-0010-0000-0200-000014000000}" name="GAP - ADM-SLM - Q3" dataDxfId="7">
      <calculatedColumnFormula>IF((P3-Q3)&lt;0,0,(P3-Q3))</calculatedColumnFormula>
    </tableColumn>
    <tableColumn id="21" xr3:uid="{00000000-0010-0000-0200-000015000000}" name="SURPLUS - ADM-SLM - Q3" dataDxfId="6">
      <calculatedColumnFormula>IF((Q3-P3)&lt;0,0,(Q3-P3))</calculatedColumnFormula>
    </tableColumn>
    <tableColumn id="22" xr3:uid="{00000000-0010-0000-0200-000016000000}" name="Quantity based on Target ADM-SLM - Q4" dataDxfId="5">
      <calculatedColumnFormula>Table14[[#This Row],[Enrolment S.Y. 2025-2026 ]]*8</calculatedColumnFormula>
    </tableColumn>
    <tableColumn id="23" xr3:uid="{00000000-0010-0000-0200-000017000000}" name="Quantity of ADM-SLM Received (Quantity received x No. of ADM-SLM)- Q4" dataDxfId="4"/>
    <tableColumn id="24" xr3:uid="{00000000-0010-0000-0200-000018000000}" name="Year of Delivery - ADM-SLM- Q4" dataDxfId="3"/>
    <tableColumn id="25" xr3:uid="{00000000-0010-0000-0200-000019000000}" name="SOURCE - ADM-SLM - (CO,RO, SDO) - Q4" dataDxfId="2"/>
    <tableColumn id="26" xr3:uid="{00000000-0010-0000-0200-00001A000000}" name="GAP - ADM-SLM - Q4" dataDxfId="1">
      <calculatedColumnFormula>IF((V3-W3)&lt;0,0,(V3-W3))</calculatedColumnFormula>
    </tableColumn>
    <tableColumn id="27" xr3:uid="{00000000-0010-0000-0200-00001B000000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69"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4.2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1112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1112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>
        <v>1112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1112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>
        <v>1112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1112</v>
      </c>
    </row>
    <row r="56" spans="1:8" ht="27.75" customHeight="1">
      <c r="A56" s="10">
        <v>7</v>
      </c>
      <c r="B56" s="11" t="s">
        <v>13</v>
      </c>
      <c r="C56" s="10"/>
      <c r="D56" s="10">
        <v>1112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1112</v>
      </c>
    </row>
    <row r="57" spans="1:8" ht="27.75" customHeight="1">
      <c r="A57" s="10">
        <v>7</v>
      </c>
      <c r="B57" s="11" t="s">
        <v>17</v>
      </c>
      <c r="C57" s="10"/>
      <c r="D57" s="10">
        <v>1112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1112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>
        <v>1112</v>
      </c>
      <c r="E59" s="10">
        <v>2025</v>
      </c>
      <c r="F59" s="12"/>
      <c r="G59" s="3">
        <f t="shared" si="10"/>
        <v>0</v>
      </c>
      <c r="H59" s="4">
        <f t="shared" si="11"/>
        <v>1112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>
        <v>1011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1011</v>
      </c>
    </row>
    <row r="64" spans="1:8" ht="27.75" customHeight="1">
      <c r="A64" s="10">
        <v>8</v>
      </c>
      <c r="B64" s="11" t="s">
        <v>21</v>
      </c>
      <c r="C64" s="10"/>
      <c r="D64" s="10">
        <v>1011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1011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>
        <v>994</v>
      </c>
      <c r="E72" s="10">
        <v>2024</v>
      </c>
      <c r="F72" s="12" t="s">
        <v>20</v>
      </c>
      <c r="G72" s="3">
        <f t="shared" si="14"/>
        <v>0</v>
      </c>
      <c r="H72" s="4">
        <f t="shared" si="15"/>
        <v>994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>
        <v>1023</v>
      </c>
      <c r="E82" s="10">
        <v>2024</v>
      </c>
      <c r="F82" s="12" t="s">
        <v>20</v>
      </c>
      <c r="G82" s="3">
        <f t="shared" si="16"/>
        <v>0</v>
      </c>
      <c r="H82" s="4">
        <f t="shared" si="17"/>
        <v>1023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>
        <v>838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838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>
        <v>838</v>
      </c>
      <c r="E93" s="1">
        <v>2024</v>
      </c>
      <c r="F93" s="5" t="s">
        <v>20</v>
      </c>
      <c r="G93" s="3">
        <f t="shared" si="18"/>
        <v>0</v>
      </c>
      <c r="H93" s="4">
        <f t="shared" si="19"/>
        <v>838</v>
      </c>
    </row>
    <row r="94" spans="1:8" ht="27.75" customHeight="1">
      <c r="A94" s="1" t="s">
        <v>24</v>
      </c>
      <c r="B94" s="9" t="s">
        <v>28</v>
      </c>
      <c r="C94" s="1"/>
      <c r="D94" s="1">
        <v>838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838</v>
      </c>
    </row>
    <row r="95" spans="1:8" ht="40.5" customHeight="1">
      <c r="A95" s="1" t="s">
        <v>24</v>
      </c>
      <c r="B95" s="9" t="s">
        <v>29</v>
      </c>
      <c r="C95" s="1"/>
      <c r="D95" s="1">
        <v>838</v>
      </c>
      <c r="E95" s="1">
        <v>2025</v>
      </c>
      <c r="F95" s="5" t="s">
        <v>20</v>
      </c>
      <c r="G95" s="3">
        <f t="shared" si="18"/>
        <v>0</v>
      </c>
      <c r="H95" s="4">
        <f t="shared" si="19"/>
        <v>838</v>
      </c>
    </row>
    <row r="96" spans="1:8" ht="38.25" customHeight="1">
      <c r="A96" s="1" t="s">
        <v>24</v>
      </c>
      <c r="B96" s="9" t="s">
        <v>30</v>
      </c>
      <c r="C96" s="1"/>
      <c r="D96" s="1">
        <v>838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838</v>
      </c>
    </row>
    <row r="97" spans="1:8" ht="27.75" customHeight="1">
      <c r="A97" s="1" t="s">
        <v>24</v>
      </c>
      <c r="B97" s="9" t="s">
        <v>31</v>
      </c>
      <c r="C97" s="1"/>
      <c r="D97" s="1">
        <v>838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838</v>
      </c>
    </row>
    <row r="98" spans="1:8" ht="47.25" customHeight="1">
      <c r="A98" s="1" t="s">
        <v>24</v>
      </c>
      <c r="B98" s="9" t="s">
        <v>32</v>
      </c>
      <c r="C98" s="1"/>
      <c r="D98" s="1">
        <v>838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838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00000000-0002-0000-0000-000000000000}">
      <formula1>"2024,2025,2026"</formula1>
    </dataValidation>
    <dataValidation type="list" allowBlank="1" showInputMessage="1" showErrorMessage="1" sqref="F14:F19 F21:F29 F31:F39 F41:F49 F51:F59 F61:F69 F71:F79 F81:F89 F2:F6 F8:F12 F91:F98" xr:uid="{00000000-0002-0000-0000-000001000000}">
      <formula1>"CO,RO,SDO"</formula1>
    </dataValidation>
  </dataValidation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7"/>
  <sheetViews>
    <sheetView topLeftCell="F115" zoomScale="70" zoomScaleNormal="70" workbookViewId="0">
      <selection activeCell="J128" sqref="J128:J157"/>
    </sheetView>
  </sheetViews>
  <sheetFormatPr defaultRowHeight="14.2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9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00000000-0002-0000-0100-000000000000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00000000-0002-0000-0100-000001000000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00000000-0002-0000-0100-000002000000}">
      <formula1>"CO,RO,SDO,LGU,SCHOOL"</formula1>
    </dataValidation>
  </dataValidations>
  <pageMargins left="0.70866141732283472" right="0.70866141732283472" top="0.74803149606299213" bottom="0.74803149606299213" header="0.31496062992125984" footer="0.31496062992125984"/>
  <pageSetup paperSize="9" scale="60" orientation="landscape" horizontalDpi="0" verticalDpi="0" r:id="rId1"/>
  <ignoredErrors>
    <ignoredError sqref="J5 P5:P6 V5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40"/>
  <sheetViews>
    <sheetView tabSelected="1" topLeftCell="F132" zoomScale="55" zoomScaleNormal="55" workbookViewId="0">
      <selection activeCell="J141" sqref="J141:J170"/>
    </sheetView>
  </sheetViews>
  <sheetFormatPr defaultRowHeight="14.2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>
        <v>100</v>
      </c>
      <c r="F91" s="10">
        <v>2025</v>
      </c>
      <c r="G91" s="12" t="s">
        <v>91</v>
      </c>
      <c r="H91" s="12">
        <f t="shared" si="22"/>
        <v>0</v>
      </c>
      <c r="I91" s="12">
        <f t="shared" si="23"/>
        <v>100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>
        <v>100</v>
      </c>
      <c r="F92" s="10">
        <v>2025</v>
      </c>
      <c r="G92" s="12" t="s">
        <v>91</v>
      </c>
      <c r="H92" s="12">
        <f t="shared" si="22"/>
        <v>0</v>
      </c>
      <c r="I92" s="12">
        <f t="shared" si="23"/>
        <v>100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>
        <v>100</v>
      </c>
      <c r="F93" s="10">
        <v>2025</v>
      </c>
      <c r="G93" s="12" t="s">
        <v>91</v>
      </c>
      <c r="H93" s="12">
        <f t="shared" si="22"/>
        <v>0</v>
      </c>
      <c r="I93" s="12">
        <f t="shared" si="23"/>
        <v>100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>
        <v>100</v>
      </c>
      <c r="F94" s="10">
        <v>2025</v>
      </c>
      <c r="G94" s="12" t="s">
        <v>91</v>
      </c>
      <c r="H94" s="12">
        <f t="shared" si="22"/>
        <v>0</v>
      </c>
      <c r="I94" s="12">
        <f t="shared" si="23"/>
        <v>100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>
        <v>100</v>
      </c>
      <c r="F95" s="10">
        <v>2025</v>
      </c>
      <c r="G95" s="12" t="s">
        <v>91</v>
      </c>
      <c r="H95" s="12">
        <f t="shared" si="22"/>
        <v>0</v>
      </c>
      <c r="I95" s="12">
        <f t="shared" si="23"/>
        <v>100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>
        <v>100</v>
      </c>
      <c r="F96" s="10">
        <v>2025</v>
      </c>
      <c r="G96" s="12" t="s">
        <v>91</v>
      </c>
      <c r="H96" s="12">
        <f t="shared" si="22"/>
        <v>0</v>
      </c>
      <c r="I96" s="12">
        <f t="shared" si="23"/>
        <v>100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>
        <v>100</v>
      </c>
      <c r="F97" s="10">
        <v>2025</v>
      </c>
      <c r="G97" s="12" t="s">
        <v>91</v>
      </c>
      <c r="H97" s="12">
        <f>IF((D97-E97)&lt;0,0,(D97-E97))</f>
        <v>0</v>
      </c>
      <c r="I97" s="12">
        <f>IF((E97-D97)&lt;0,0,(E97-D97))</f>
        <v>100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>
        <v>100</v>
      </c>
      <c r="F98" s="10">
        <v>2025</v>
      </c>
      <c r="G98" s="12" t="s">
        <v>91</v>
      </c>
      <c r="H98" s="12">
        <f t="shared" si="22"/>
        <v>0</v>
      </c>
      <c r="I98" s="12">
        <f t="shared" si="23"/>
        <v>100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>
        <v>100</v>
      </c>
      <c r="F100" s="10">
        <v>2025</v>
      </c>
      <c r="G100" s="12" t="s">
        <v>91</v>
      </c>
      <c r="H100" s="12">
        <f>IF((D100-E100)&lt;0,0,(D100-E100))</f>
        <v>0</v>
      </c>
      <c r="I100" s="12">
        <f>IF((E100-D100)&lt;0,0,(E100-D100))</f>
        <v>100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>
        <v>100</v>
      </c>
      <c r="F101" s="10">
        <v>2025</v>
      </c>
      <c r="G101" s="12" t="s">
        <v>91</v>
      </c>
      <c r="H101" s="12">
        <f t="shared" si="22"/>
        <v>0</v>
      </c>
      <c r="I101" s="12">
        <f t="shared" si="23"/>
        <v>100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>
        <v>100</v>
      </c>
      <c r="F103" s="10">
        <v>2025</v>
      </c>
      <c r="G103" s="12" t="s">
        <v>91</v>
      </c>
      <c r="H103" s="12">
        <f t="shared" si="22"/>
        <v>0</v>
      </c>
      <c r="I103" s="12">
        <f t="shared" si="23"/>
        <v>100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>
        <v>100</v>
      </c>
      <c r="F104" s="10">
        <v>2025</v>
      </c>
      <c r="G104" s="12" t="s">
        <v>91</v>
      </c>
      <c r="H104" s="12">
        <f t="shared" si="22"/>
        <v>0</v>
      </c>
      <c r="I104" s="12">
        <f t="shared" si="23"/>
        <v>100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>
        <v>100</v>
      </c>
      <c r="F105" s="10">
        <v>2025</v>
      </c>
      <c r="G105" s="12" t="s">
        <v>91</v>
      </c>
      <c r="H105" s="12">
        <f t="shared" si="22"/>
        <v>0</v>
      </c>
      <c r="I105" s="12">
        <f t="shared" si="23"/>
        <v>100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>
        <v>100</v>
      </c>
      <c r="F106" s="10">
        <v>2025</v>
      </c>
      <c r="G106" s="12" t="s">
        <v>91</v>
      </c>
      <c r="H106" s="12">
        <f t="shared" si="22"/>
        <v>0</v>
      </c>
      <c r="I106" s="12">
        <f t="shared" si="23"/>
        <v>100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>
        <v>100</v>
      </c>
      <c r="F107" s="10">
        <v>2025</v>
      </c>
      <c r="G107" s="12" t="s">
        <v>91</v>
      </c>
      <c r="H107" s="12">
        <f t="shared" si="22"/>
        <v>0</v>
      </c>
      <c r="I107" s="12">
        <f t="shared" si="23"/>
        <v>100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>
        <v>100</v>
      </c>
      <c r="F108" s="10">
        <v>2025</v>
      </c>
      <c r="G108" s="12" t="s">
        <v>91</v>
      </c>
      <c r="H108" s="12">
        <f t="shared" si="22"/>
        <v>0</v>
      </c>
      <c r="I108" s="12">
        <f t="shared" si="23"/>
        <v>100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>
        <v>100</v>
      </c>
      <c r="F109" s="10">
        <v>2025</v>
      </c>
      <c r="G109" s="12" t="s">
        <v>91</v>
      </c>
      <c r="H109" s="12">
        <f>IF((D109-E109)&lt;0,0,(D109-E109))</f>
        <v>0</v>
      </c>
      <c r="I109" s="12">
        <f>IF((E109-D109)&lt;0,0,(E109-D109))</f>
        <v>100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>
        <v>100</v>
      </c>
      <c r="F110" s="10">
        <v>2025</v>
      </c>
      <c r="G110" s="12" t="s">
        <v>91</v>
      </c>
      <c r="H110" s="12">
        <f t="shared" si="22"/>
        <v>0</v>
      </c>
      <c r="I110" s="12">
        <f t="shared" si="23"/>
        <v>100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>
        <v>100</v>
      </c>
      <c r="F112" s="10">
        <v>2025</v>
      </c>
      <c r="G112" s="12" t="s">
        <v>91</v>
      </c>
      <c r="H112" s="12">
        <f>IF((D112-E112)&lt;0,0,(D112-E112))</f>
        <v>0</v>
      </c>
      <c r="I112" s="12">
        <f>IF((E112-D112)&lt;0,0,(E112-D112))</f>
        <v>100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>
        <v>100</v>
      </c>
      <c r="F113" s="10">
        <v>2025</v>
      </c>
      <c r="G113" s="12" t="s">
        <v>91</v>
      </c>
      <c r="H113" s="12">
        <f t="shared" si="22"/>
        <v>0</v>
      </c>
      <c r="I113" s="12">
        <f t="shared" si="23"/>
        <v>100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9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00000000-0002-0000-0200-00000000000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00000000-0002-0000-0200-00000100000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</dc:creator>
  <cp:keywords/>
  <dc:description/>
  <cp:lastModifiedBy>Jonathan Buquia</cp:lastModifiedBy>
  <cp:revision/>
  <dcterms:created xsi:type="dcterms:W3CDTF">2025-11-19T20:48:15Z</dcterms:created>
  <dcterms:modified xsi:type="dcterms:W3CDTF">2026-03-26T09:03:12Z</dcterms:modified>
  <cp:category/>
  <cp:contentStatus/>
</cp:coreProperties>
</file>