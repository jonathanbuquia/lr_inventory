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22" documentId="13_ncr:1_{BFB59F67-F0DC-4675-A682-EB0734A8026A}" xr6:coauthVersionLast="47" xr6:coauthVersionMax="47" xr10:uidLastSave="{7B96483E-E0F6-430E-9386-D3C01A6B6AAA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<sst xmlns="http://schemas.openxmlformats.org/spreadsheetml/2006/main" count="224" uniqueCount="78">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</sst>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2" activePane="topRight" state="frozen"/>
      <selection pane="topRight" activeCell="D150" sqref="D15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3">
    <dataValidation type="list" allowBlank="1" showInputMessage="1" showErrorMessage="1" sqref="E8:E12 E14:E19 E21:E29 E31:E39 E41:E49" xr:uid="{B46E7B13-721E-4D49-837E-C02BF9777D48}">
      <formula1>"2024,2025 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  <dataValidation type="list" allowBlank="1" showInputMessage="1" showErrorMessage="1" sqref="E2:E6" xr:uid="{CB1B93E0-6901-4536-8AB5-7257D5EAC34B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49" zoomScale="70" zoomScaleNormal="70" workbookViewId="0">
      <selection activeCell="AD132" sqref="AD13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24</v>
      </c>
      <c r="E2" s="17" t="s">
        <v>25</v>
      </c>
      <c r="F2" s="18" t="s">
        <v>26</v>
      </c>
      <c r="G2" s="21" t="s">
        <v>27</v>
      </c>
      <c r="H2" s="14" t="s">
        <v>28</v>
      </c>
      <c r="I2" s="21" t="s">
        <v>29</v>
      </c>
      <c r="J2" s="19" t="s">
        <v>30</v>
      </c>
      <c r="K2" s="19" t="s">
        <v>31</v>
      </c>
      <c r="L2" s="20" t="s">
        <v>32</v>
      </c>
      <c r="M2" s="33" t="s">
        <v>33</v>
      </c>
      <c r="N2" s="33" t="s">
        <v>34</v>
      </c>
      <c r="O2" s="19" t="s">
        <v>35</v>
      </c>
      <c r="P2" s="21" t="s">
        <v>36</v>
      </c>
      <c r="Q2" s="21" t="s">
        <v>37</v>
      </c>
      <c r="R2" s="22" t="s">
        <v>38</v>
      </c>
      <c r="S2" s="14" t="s">
        <v>39</v>
      </c>
      <c r="T2" s="14" t="s">
        <v>40</v>
      </c>
      <c r="U2" s="21" t="s">
        <v>41</v>
      </c>
      <c r="V2" s="23" t="s">
        <v>42</v>
      </c>
      <c r="W2" s="23" t="s">
        <v>43</v>
      </c>
      <c r="X2" s="24" t="s">
        <v>44</v>
      </c>
      <c r="Y2" s="34" t="s">
        <v>45</v>
      </c>
      <c r="Z2" s="34" t="s">
        <v>46</v>
      </c>
      <c r="AA2" s="23" t="s">
        <v>47</v>
      </c>
    </row>
    <row r="3" spans="1:27" ht="30.6" customHeight="1">
      <c r="A3" s="32" t="s">
        <v>48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49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44.25" customHeight="1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/>
      <c r="D16" s="5">
        <f>Table1[[#This Row],[Enrolment S.Y. 2025-2026 ]]*8</f>
        <v>0</v>
      </c>
      <c r="E16" s="1">
        <v>176</v>
      </c>
      <c r="F16" s="1"/>
      <c r="G16" s="5"/>
      <c r="H16" s="5">
        <f t="shared" si="2"/>
        <v>0</v>
      </c>
      <c r="I16" s="5">
        <f t="shared" si="3"/>
        <v>176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/>
      <c r="D17" s="5">
        <f>Table1[[#This Row],[Enrolment S.Y. 2025-2026 ]]*8</f>
        <v>0</v>
      </c>
      <c r="E17" s="1">
        <v>176</v>
      </c>
      <c r="F17" s="1"/>
      <c r="G17" s="5"/>
      <c r="H17" s="5">
        <f t="shared" si="2"/>
        <v>0</v>
      </c>
      <c r="I17" s="5">
        <f t="shared" si="3"/>
        <v>176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/>
      <c r="D18" s="5">
        <f>Table1[[#This Row],[Enrolment S.Y. 2025-2026 ]]*8</f>
        <v>0</v>
      </c>
      <c r="E18" s="1">
        <v>176</v>
      </c>
      <c r="F18" s="1"/>
      <c r="G18" s="5"/>
      <c r="H18" s="5">
        <f t="shared" si="2"/>
        <v>0</v>
      </c>
      <c r="I18" s="5">
        <f t="shared" si="3"/>
        <v>176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/>
      <c r="D19" s="5">
        <f>Table1[[#This Row],[Enrolment S.Y. 2025-2026 ]]*8</f>
        <v>0</v>
      </c>
      <c r="E19" s="1">
        <v>176</v>
      </c>
      <c r="F19" s="1"/>
      <c r="G19" s="5"/>
      <c r="H19" s="5">
        <f>IF((D19-E19)&lt;0,0,(D19-E19))</f>
        <v>0</v>
      </c>
      <c r="I19" s="5">
        <f>IF((E19-D19)&lt;0,0,(E19-D19))</f>
        <v>176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/>
      <c r="D20" s="5">
        <f>Table1[[#This Row],[Enrolment S.Y. 2025-2026 ]]*8</f>
        <v>0</v>
      </c>
      <c r="E20" s="1">
        <v>176</v>
      </c>
      <c r="F20" s="1"/>
      <c r="G20" s="5"/>
      <c r="H20" s="5">
        <f>IF((D20-E20)&lt;0,0,(D20-E20))</f>
        <v>0</v>
      </c>
      <c r="I20" s="5">
        <f>IF((E20-D20)&lt;0,0,(E20-D20))</f>
        <v>176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49</v>
      </c>
      <c r="C21" s="1"/>
      <c r="D21" s="5">
        <f>Table1[[#This Row],[Enrolment S.Y. 2025-2026 ]]*8</f>
        <v>0</v>
      </c>
      <c r="E21" s="1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40.5" customHeight="1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/>
      <c r="D25" s="5">
        <f>Table1[[#This Row],[Enrolment S.Y. 2025-2026 ]]*8</f>
        <v>0</v>
      </c>
      <c r="E25" s="1">
        <v>111</v>
      </c>
      <c r="F25" s="1"/>
      <c r="G25" s="5"/>
      <c r="H25" s="5">
        <f t="shared" si="2"/>
        <v>0</v>
      </c>
      <c r="I25" s="5">
        <f t="shared" si="3"/>
        <v>111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/>
      <c r="D26" s="5">
        <f>Table1[[#This Row],[Enrolment S.Y. 2025-2026 ]]*8</f>
        <v>0</v>
      </c>
      <c r="E26" s="1">
        <v>111</v>
      </c>
      <c r="F26" s="1"/>
      <c r="G26" s="5"/>
      <c r="H26" s="5">
        <f t="shared" si="2"/>
        <v>0</v>
      </c>
      <c r="I26" s="5">
        <f t="shared" si="3"/>
        <v>111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/>
      <c r="D27" s="5">
        <f>Table1[[#This Row],[Enrolment S.Y. 2025-2026 ]]*8</f>
        <v>0</v>
      </c>
      <c r="E27" s="1">
        <v>111</v>
      </c>
      <c r="F27" s="1"/>
      <c r="G27" s="5"/>
      <c r="H27" s="5">
        <f t="shared" si="2"/>
        <v>0</v>
      </c>
      <c r="I27" s="5">
        <f t="shared" si="3"/>
        <v>111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/>
      <c r="D28" s="5">
        <f>Table1[[#This Row],[Enrolment S.Y. 2025-2026 ]]*8</f>
        <v>0</v>
      </c>
      <c r="E28" s="1">
        <v>111</v>
      </c>
      <c r="F28" s="1"/>
      <c r="G28" s="5"/>
      <c r="H28" s="5">
        <f t="shared" si="2"/>
        <v>0</v>
      </c>
      <c r="I28" s="5">
        <f t="shared" si="3"/>
        <v>111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/>
      <c r="D29" s="5">
        <f>Table1[[#This Row],[Enrolment S.Y. 2025-2026 ]]*8</f>
        <v>0</v>
      </c>
      <c r="E29" s="1">
        <v>111</v>
      </c>
      <c r="F29" s="1"/>
      <c r="G29" s="5"/>
      <c r="H29" s="5">
        <f>IF((D29-E29)&lt;0,0,(D29-E29))</f>
        <v>0</v>
      </c>
      <c r="I29" s="5">
        <f>IF((E29-D29)&lt;0,0,(E29-D29))</f>
        <v>111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/>
      <c r="D30" s="5">
        <f>Table1[[#This Row],[Enrolment S.Y. 2025-2026 ]]*8</f>
        <v>0</v>
      </c>
      <c r="E30" s="1">
        <v>111</v>
      </c>
      <c r="F30" s="1"/>
      <c r="G30" s="5"/>
      <c r="H30" s="5">
        <f>IF((D30-E30)&lt;0,0,(D30-E30))</f>
        <v>0</v>
      </c>
      <c r="I30" s="5">
        <f>IF((E30-D30)&lt;0,0,(E30-D30))</f>
        <v>111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49</v>
      </c>
      <c r="C31" s="1"/>
      <c r="D31" s="5">
        <f>Table1[[#This Row],[Enrolment S.Y. 2025-2026 ]]*8</f>
        <v>0</v>
      </c>
      <c r="E31" s="1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40.5" customHeight="1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14</v>
      </c>
      <c r="C43" s="1"/>
      <c r="D43" s="5">
        <f>Table1[[#This Row],[Enrolment S.Y. 2025-2026 ]]*8</f>
        <v>0</v>
      </c>
      <c r="E43" s="1">
        <v>74</v>
      </c>
      <c r="F43" s="1"/>
      <c r="G43" s="5"/>
      <c r="H43" s="5">
        <f t="shared" si="2"/>
        <v>0</v>
      </c>
      <c r="I43" s="5">
        <f t="shared" si="3"/>
        <v>74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/>
      <c r="D44" s="5">
        <f>Table1[[#This Row],[Enrolment S.Y. 2025-2026 ]]*8</f>
        <v>0</v>
      </c>
      <c r="E44" s="1">
        <v>74</v>
      </c>
      <c r="F44" s="1"/>
      <c r="G44" s="5"/>
      <c r="H44" s="5">
        <f t="shared" si="2"/>
        <v>0</v>
      </c>
      <c r="I44" s="5">
        <f t="shared" si="3"/>
        <v>74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/>
      <c r="D45" s="5">
        <f>Table1[[#This Row],[Enrolment S.Y. 2025-2026 ]]*8</f>
        <v>0</v>
      </c>
      <c r="E45" s="1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/>
      <c r="D46" s="5">
        <f>Table1[[#This Row],[Enrolment S.Y. 2025-2026 ]]*8</f>
        <v>0</v>
      </c>
      <c r="E46" s="1">
        <v>74</v>
      </c>
      <c r="F46" s="1"/>
      <c r="G46" s="5"/>
      <c r="H46" s="5">
        <f t="shared" si="2"/>
        <v>0</v>
      </c>
      <c r="I46" s="5">
        <f t="shared" si="3"/>
        <v>74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3.75" customHeight="1">
      <c r="A47" s="1">
        <v>5</v>
      </c>
      <c r="B47" s="9" t="s">
        <v>16</v>
      </c>
      <c r="C47" s="1"/>
      <c r="D47" s="5">
        <f>Table1[[#This Row],[Enrolment S.Y. 2025-2026 ]]*8</f>
        <v>0</v>
      </c>
      <c r="E47" s="1">
        <v>74</v>
      </c>
      <c r="F47" s="1"/>
      <c r="G47" s="5"/>
      <c r="H47" s="5">
        <f t="shared" si="2"/>
        <v>0</v>
      </c>
      <c r="I47" s="5">
        <f t="shared" si="3"/>
        <v>74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/>
      <c r="D48" s="5">
        <f>Table1[[#This Row],[Enrolment S.Y. 2025-2026 ]]*8</f>
        <v>0</v>
      </c>
      <c r="E48" s="1">
        <v>74</v>
      </c>
      <c r="F48" s="1"/>
      <c r="G48" s="5"/>
      <c r="H48" s="5">
        <f t="shared" si="2"/>
        <v>0</v>
      </c>
      <c r="I48" s="5">
        <f t="shared" si="3"/>
        <v>74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/>
      <c r="D49" s="5">
        <f>Table1[[#This Row],[Enrolment S.Y. 2025-2026 ]]*8</f>
        <v>0</v>
      </c>
      <c r="E49" s="1">
        <v>74</v>
      </c>
      <c r="F49" s="1"/>
      <c r="G49" s="5"/>
      <c r="H49" s="5">
        <f t="shared" si="2"/>
        <v>0</v>
      </c>
      <c r="I49" s="5">
        <f t="shared" si="3"/>
        <v>74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/>
      <c r="D50" s="5">
        <f>Table1[[#This Row],[Enrolment S.Y. 2025-2026 ]]*8</f>
        <v>0</v>
      </c>
      <c r="E50" s="1">
        <v>74</v>
      </c>
      <c r="F50" s="1"/>
      <c r="G50" s="5"/>
      <c r="H50" s="5">
        <f t="shared" si="2"/>
        <v>0</v>
      </c>
      <c r="I50" s="5">
        <f t="shared" si="3"/>
        <v>74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/>
      <c r="D51" s="5">
        <f>Table1[[#This Row],[Enrolment S.Y. 2025-2026 ]]*8</f>
        <v>0</v>
      </c>
      <c r="E51" s="1">
        <v>74</v>
      </c>
      <c r="F51" s="1"/>
      <c r="G51" s="5"/>
      <c r="H51" s="5">
        <f t="shared" si="2"/>
        <v>0</v>
      </c>
      <c r="I51" s="5">
        <f t="shared" si="3"/>
        <v>74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E25:E31 E43:E51 C5:C12 E16:E21" name="Textbooks"/>
    <protectedRange sqref="J2:L3 D2:F3 H5:L5 D14:F15 Q14:R21 W14:X21 D23:F24 Q23:R31 W23:X31 D33:F41 H33:I41 Q33:R41 W33:X41 D43:D51 H43:I51 Q43:R51 W43:X51 D53:F61 H53:I61 Q53:R61 W53:X61 K33:L41 K43:L51 K53:L61 N3:R3 Y13 D16:D21 F16:F21 D25:D31 F25:F31 K14:L21 K23:L31 N13:P61 P2:R2 V2:X3 T13:V61 J6:J61 Z4:AA61 D5:F12 N5:R12 T5:X12 N4:P4 T4:V4 J4 F43:F51 H14:I21 H23:I31 H6:I12 K6:L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:F12 F14:F21 F23:F31 F33:F41 F43:F51 F53:F61 L5:L12 L14:L21 L23:L31 L33:L41 L43:L51 L53:L61 R53:R61 R43:R51 R33:R41 R23:R31 R14:R21 R5:R12 X5:X12 X14:X21 X23:X31 X33:X41 X43:X51 X53:X61" xr:uid="{4ECCD083-8EC4-42EE-B46C-B614411F330D}">
      <formula1>"2024,2025 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V121" zoomScale="55" zoomScaleNormal="55" workbookViewId="0">
      <selection activeCell="A66" sqref="A66:AA14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50</v>
      </c>
      <c r="E2" s="17" t="s">
        <v>51</v>
      </c>
      <c r="F2" s="18" t="s">
        <v>52</v>
      </c>
      <c r="G2" s="21" t="s">
        <v>53</v>
      </c>
      <c r="H2" s="14" t="s">
        <v>54</v>
      </c>
      <c r="I2" s="21" t="s">
        <v>55</v>
      </c>
      <c r="J2" s="19" t="s">
        <v>56</v>
      </c>
      <c r="K2" s="19" t="s">
        <v>57</v>
      </c>
      <c r="L2" s="20" t="s">
        <v>58</v>
      </c>
      <c r="M2" s="33" t="s">
        <v>59</v>
      </c>
      <c r="N2" s="33" t="s">
        <v>60</v>
      </c>
      <c r="O2" s="19" t="s">
        <v>61</v>
      </c>
      <c r="P2" s="21" t="s">
        <v>62</v>
      </c>
      <c r="Q2" s="21" t="s">
        <v>63</v>
      </c>
      <c r="R2" s="22" t="s">
        <v>64</v>
      </c>
      <c r="S2" s="14" t="s">
        <v>65</v>
      </c>
      <c r="T2" s="14" t="s">
        <v>66</v>
      </c>
      <c r="U2" s="21" t="s">
        <v>67</v>
      </c>
      <c r="V2" s="23" t="s">
        <v>68</v>
      </c>
      <c r="W2" s="23" t="s">
        <v>69</v>
      </c>
      <c r="X2" s="24" t="s">
        <v>70</v>
      </c>
      <c r="Y2" s="34" t="s">
        <v>71</v>
      </c>
      <c r="Z2" s="34" t="s">
        <v>72</v>
      </c>
      <c r="AA2" s="23" t="s">
        <v>73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49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49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49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1">
        <v>4</v>
      </c>
      <c r="B37" s="9" t="s">
        <v>74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75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1">
        <v>4</v>
      </c>
      <c r="B40" s="9" t="s">
        <v>76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77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1">
        <v>5</v>
      </c>
      <c r="B49" s="9" t="s">
        <v>74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75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1">
        <v>5</v>
      </c>
      <c r="B52" s="9" t="s">
        <v>76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77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1">
        <v>6</v>
      </c>
      <c r="B61" s="9" t="s">
        <v>74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75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1">
        <v>6</v>
      </c>
      <c r="B64" s="9" t="s">
        <v>76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77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R55:R65 L55:L65 F55:F65 L43:L53 R43:R53 X43:X53 X55:X65 R31:R41 L31:L41 F31:F41 F43:F53 L21:L29 R21:R29 X21:X29 X31:X41 R12:R19 L12:L19 F12:F19 F21:F29 F3:F10 L3:L10 R3:R10 X3:X10 X12:X19" xr:uid="{D3CFEBA9-B2AE-4F6D-93FE-B960A635995D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2026-04-14T02:51:42Z</dcterms:modified>
  <cp:category/>
  <cp:contentStatus/>
</cp:coreProperties>
</file>