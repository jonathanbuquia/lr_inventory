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9" documentId="13_ncr:1_{BFB59F67-F0DC-4675-A682-EB0734A8026A}" xr6:coauthVersionLast="47" xr6:coauthVersionMax="47" xr10:uidLastSave="{81B91BB7-05BB-4916-963E-B7595911692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<sst xmlns="http://schemas.openxmlformats.org/spreadsheetml/2006/main" count="388" uniqueCount="90">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</sst>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CB1B93E0-6901-4536-8AB5-7257D5EAC34B}">
      <formula1>"2024,2025,2026"</formula1>
    </dataValidation>
    <dataValidation type="list" allowBlank="1" showInputMessage="1" showErrorMessage="1" sqref="E8:E12 E14:E19 E21:E29 E31:E39 E41:E49 E51:E59 E61:E69 E71:E79 E81:E89" xr:uid="{B7840FB4-E97D-47BA-8CFA-019EA81CF8B6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36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44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1">
        <v>176</v>
      </c>
      <c r="F16" s="1"/>
      <c r="G16" s="5"/>
      <c r="H16" s="5">
        <f t="shared" si="2"/>
        <v>0</v>
      </c>
      <c r="I16" s="5">
        <f t="shared" si="3"/>
        <v>176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1">
        <v>176</v>
      </c>
      <c r="F17" s="1"/>
      <c r="G17" s="5"/>
      <c r="H17" s="5">
        <f t="shared" si="2"/>
        <v>0</v>
      </c>
      <c r="I17" s="5">
        <f t="shared" si="3"/>
        <v>176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1">
        <v>176</v>
      </c>
      <c r="F18" s="1"/>
      <c r="G18" s="5"/>
      <c r="H18" s="5">
        <f t="shared" si="2"/>
        <v>0</v>
      </c>
      <c r="I18" s="5">
        <f t="shared" si="3"/>
        <v>176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1">
        <v>176</v>
      </c>
      <c r="F19" s="1"/>
      <c r="G19" s="5"/>
      <c r="H19" s="5">
        <f>IF((D19-E19)&lt;0,0,(D19-E19))</f>
        <v>0</v>
      </c>
      <c r="I19" s="5">
        <f>IF((E19-D19)&lt;0,0,(E19-D19))</f>
        <v>176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1">
        <v>176</v>
      </c>
      <c r="F20" s="1"/>
      <c r="G20" s="5"/>
      <c r="H20" s="5">
        <f>IF((D20-E20)&lt;0,0,(D20-E20))</f>
        <v>0</v>
      </c>
      <c r="I20" s="5">
        <f>IF((E20-D20)&lt;0,0,(E20-D20))</f>
        <v>176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1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40.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1">
        <v>111</v>
      </c>
      <c r="F25" s="1"/>
      <c r="G25" s="5"/>
      <c r="H25" s="5">
        <f t="shared" si="2"/>
        <v>0</v>
      </c>
      <c r="I25" s="5">
        <f t="shared" si="3"/>
        <v>111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1">
        <v>111</v>
      </c>
      <c r="F26" s="1"/>
      <c r="G26" s="5"/>
      <c r="H26" s="5">
        <f t="shared" si="2"/>
        <v>0</v>
      </c>
      <c r="I26" s="5">
        <f t="shared" si="3"/>
        <v>111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1">
        <v>111</v>
      </c>
      <c r="F27" s="1"/>
      <c r="G27" s="5"/>
      <c r="H27" s="5">
        <f t="shared" si="2"/>
        <v>0</v>
      </c>
      <c r="I27" s="5">
        <f t="shared" si="3"/>
        <v>111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1">
        <v>111</v>
      </c>
      <c r="F28" s="1"/>
      <c r="G28" s="5"/>
      <c r="H28" s="5">
        <f t="shared" si="2"/>
        <v>0</v>
      </c>
      <c r="I28" s="5">
        <f t="shared" si="3"/>
        <v>111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1">
        <v>111</v>
      </c>
      <c r="F29" s="1"/>
      <c r="G29" s="5"/>
      <c r="H29" s="5">
        <f>IF((D29-E29)&lt;0,0,(D29-E29))</f>
        <v>0</v>
      </c>
      <c r="I29" s="5">
        <f>IF((E29-D29)&lt;0,0,(E29-D29))</f>
        <v>111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1">
        <v>111</v>
      </c>
      <c r="F30" s="1"/>
      <c r="G30" s="5"/>
      <c r="H30" s="5">
        <f>IF((D30-E30)&lt;0,0,(D30-E30))</f>
        <v>0</v>
      </c>
      <c r="I30" s="5">
        <f>IF((E30-D30)&lt;0,0,(E30-D30))</f>
        <v>111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1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40.5" customHeight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1">
        <v>74</v>
      </c>
      <c r="F43" s="1"/>
      <c r="G43" s="5"/>
      <c r="H43" s="5">
        <f t="shared" si="2"/>
        <v>0</v>
      </c>
      <c r="I43" s="5">
        <f t="shared" si="3"/>
        <v>74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1">
        <v>74</v>
      </c>
      <c r="F44" s="1"/>
      <c r="G44" s="5"/>
      <c r="H44" s="5">
        <f t="shared" si="2"/>
        <v>0</v>
      </c>
      <c r="I44" s="5">
        <f t="shared" si="3"/>
        <v>74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1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1">
        <v>74</v>
      </c>
      <c r="F46" s="1"/>
      <c r="G46" s="5"/>
      <c r="H46" s="5">
        <f t="shared" si="2"/>
        <v>0</v>
      </c>
      <c r="I46" s="5">
        <f t="shared" si="3"/>
        <v>74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3.75" customHeight="1">
      <c r="A47" s="1">
        <v>5</v>
      </c>
      <c r="B47" s="9" t="s">
        <v>16</v>
      </c>
      <c r="C47" s="1"/>
      <c r="D47" s="5">
        <f>Table1[[#This Row],[Enrolment S.Y. 2025-2026 ]]*8</f>
        <v>0</v>
      </c>
      <c r="E47" s="1">
        <v>74</v>
      </c>
      <c r="F47" s="1"/>
      <c r="G47" s="5"/>
      <c r="H47" s="5">
        <f t="shared" si="2"/>
        <v>0</v>
      </c>
      <c r="I47" s="5">
        <f t="shared" si="3"/>
        <v>74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1">
        <v>74</v>
      </c>
      <c r="F48" s="1"/>
      <c r="G48" s="5"/>
      <c r="H48" s="5">
        <f t="shared" si="2"/>
        <v>0</v>
      </c>
      <c r="I48" s="5">
        <f t="shared" si="3"/>
        <v>74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1">
        <v>74</v>
      </c>
      <c r="F49" s="1"/>
      <c r="G49" s="5"/>
      <c r="H49" s="5">
        <f t="shared" si="2"/>
        <v>0</v>
      </c>
      <c r="I49" s="5">
        <f t="shared" si="3"/>
        <v>74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1">
        <v>74</v>
      </c>
      <c r="F50" s="1"/>
      <c r="G50" s="5"/>
      <c r="H50" s="5">
        <f t="shared" si="2"/>
        <v>0</v>
      </c>
      <c r="I50" s="5">
        <f t="shared" si="3"/>
        <v>74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1">
        <v>74</v>
      </c>
      <c r="F51" s="1"/>
      <c r="G51" s="5"/>
      <c r="H51" s="5">
        <f t="shared" si="2"/>
        <v>0</v>
      </c>
      <c r="I51" s="5">
        <f t="shared" si="3"/>
        <v>74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 E16:E21 E25:E31 E43:E51" name="Textbooks"/>
    <protectedRange sqref="J2:L3 D2:F3 H5:L5 D14:F15 Q14:R21 W14:X21 D23:F24 Q23:R31 W23:X31 D33:F41 H33:I41 Q33:R41 W33:X41 D43:D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6:D21 F16:F21 D25:D31 F25:F31 F43:F5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CF512C48-6CD2-4B4F-9E90-2BFB30A34581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53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D3CFEBA9-B2AE-4F6D-93FE-B960A635995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2026-03-26T05:13:56Z</dcterms:modified>
  <cp:category/>
  <cp:contentStatus/>
</cp:coreProperties>
</file>