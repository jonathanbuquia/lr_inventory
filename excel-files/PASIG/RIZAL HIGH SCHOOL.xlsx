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5" documentId="13_ncr:1_{BFB59F67-F0DC-4675-A682-EB0734A8026A}" xr6:coauthVersionLast="47" xr6:coauthVersionMax="47" xr10:uidLastSave="{FA08B090-DCAD-4F58-964F-195A4650B90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5" l="1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84" i="5"/>
  <c r="D85" i="5"/>
  <c r="D86" i="5"/>
  <c r="D87" i="5"/>
  <c r="H84" i="5"/>
  <c r="H85" i="5"/>
  <c r="H86" i="5"/>
  <c r="H87" i="5"/>
  <c r="I84" i="5"/>
  <c r="I85" i="5"/>
  <c r="I86" i="5"/>
  <c r="I87" i="5"/>
  <c r="J84" i="5"/>
  <c r="J85" i="5"/>
  <c r="J86" i="5"/>
  <c r="J87" i="5"/>
  <c r="P84" i="5"/>
  <c r="P85" i="5"/>
  <c r="P86" i="5"/>
  <c r="P87" i="5"/>
  <c r="T84" i="5"/>
  <c r="T85" i="5"/>
  <c r="T86" i="5"/>
  <c r="T87" i="5"/>
  <c r="U84" i="5"/>
  <c r="U85" i="5"/>
  <c r="U86" i="5"/>
  <c r="U87" i="5"/>
  <c r="V84" i="5"/>
  <c r="V85" i="5"/>
  <c r="V86" i="5"/>
  <c r="V87" i="5"/>
  <c r="Z84" i="5"/>
  <c r="Z85" i="5"/>
  <c r="Z86" i="5"/>
  <c r="Z87" i="5"/>
  <c r="AA84" i="5"/>
  <c r="AA85" i="5"/>
  <c r="AA86" i="5"/>
  <c r="AA87" i="5"/>
  <c r="H55" i="1"/>
  <c r="G49" i="1"/>
  <c r="H49" i="1"/>
  <c r="G48" i="1"/>
  <c r="H48" i="1"/>
  <c r="G53" i="1"/>
  <c r="H53" i="1"/>
  <c r="G52" i="1"/>
  <c r="H52" i="1"/>
  <c r="H51" i="1"/>
  <c r="G51" i="1"/>
  <c r="G45" i="1"/>
  <c r="H45" i="1"/>
  <c r="G47" i="1"/>
  <c r="H47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6" i="1"/>
  <c r="G46" i="1"/>
  <c r="H50" i="1"/>
  <c r="G50" i="1"/>
  <c r="H44" i="1"/>
  <c r="G44" i="1"/>
  <c r="H56" i="1"/>
  <c r="G56" i="1"/>
  <c r="H43" i="1"/>
  <c r="G43" i="1"/>
  <c r="H54" i="1"/>
  <c r="G54" i="1"/>
  <c r="H42" i="1"/>
  <c r="G42" i="1"/>
  <c r="G55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I65" i="5" l="1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U65" i="5"/>
  <c r="T65" i="5"/>
  <c r="U64" i="5"/>
  <c r="T64" i="5"/>
  <c r="U63" i="5"/>
  <c r="T63" i="5"/>
  <c r="U62" i="5"/>
  <c r="T62" i="5"/>
  <c r="U61" i="5"/>
  <c r="T61" i="5"/>
  <c r="U60" i="5"/>
  <c r="T60" i="5"/>
  <c r="U59" i="5"/>
  <c r="T59" i="5"/>
  <c r="U58" i="5"/>
  <c r="T58" i="5"/>
  <c r="U57" i="5"/>
  <c r="T57" i="5"/>
  <c r="U56" i="5"/>
  <c r="T56" i="5"/>
  <c r="U55" i="5"/>
  <c r="T55" i="5"/>
  <c r="U54" i="5"/>
  <c r="T54" i="5"/>
  <c r="U53" i="5"/>
  <c r="T53" i="5"/>
  <c r="U52" i="5"/>
  <c r="T52" i="5"/>
  <c r="AA65" i="5"/>
  <c r="Z65" i="5"/>
  <c r="AA64" i="5"/>
  <c r="Z64" i="5"/>
  <c r="AA63" i="5"/>
  <c r="Z63" i="5"/>
  <c r="AA62" i="5"/>
  <c r="Z62" i="5"/>
  <c r="AA61" i="5"/>
  <c r="Z61" i="5"/>
  <c r="AA60" i="5"/>
  <c r="Z60" i="5"/>
  <c r="AA59" i="5"/>
  <c r="Z59" i="5"/>
  <c r="AA58" i="5"/>
  <c r="Z58" i="5"/>
  <c r="AA57" i="5"/>
  <c r="Z57" i="5"/>
  <c r="AA56" i="5"/>
  <c r="Z56" i="5"/>
  <c r="AA55" i="5"/>
  <c r="Z55" i="5"/>
  <c r="AA54" i="5"/>
  <c r="Z54" i="5"/>
  <c r="AA53" i="5"/>
  <c r="Z53" i="5"/>
  <c r="AA52" i="5"/>
  <c r="Z52" i="5"/>
  <c r="N7" i="5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I6" i="5"/>
  <c r="T7" i="5"/>
  <c r="H17" i="5"/>
  <c r="AA18" i="5"/>
  <c r="H23" i="5"/>
  <c r="H32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H41" i="5"/>
  <c r="Z43" i="5"/>
  <c r="H46" i="5"/>
  <c r="O51" i="5"/>
  <c r="T11" i="5"/>
  <c r="H25" i="5"/>
  <c r="H28" i="5"/>
  <c r="H29" i="5"/>
  <c r="Z34" i="5"/>
  <c r="H42" i="5"/>
  <c r="H43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U29" i="5"/>
  <c r="T29" i="5"/>
  <c r="U40" i="5"/>
  <c r="T40" i="5"/>
  <c r="U47" i="5"/>
  <c r="T47" i="5"/>
  <c r="Z25" i="5"/>
  <c r="U44" i="5"/>
  <c r="T4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20" i="5"/>
  <c r="T20" i="5"/>
  <c r="O6" i="5"/>
  <c r="N6" i="5"/>
  <c r="Z17" i="5"/>
  <c r="U23" i="5"/>
  <c r="T23" i="5"/>
  <c r="Z32" i="5"/>
  <c r="U37" i="5"/>
  <c r="T37" i="5"/>
  <c r="O15" i="5"/>
  <c r="N15" i="5"/>
  <c r="Z19" i="5"/>
  <c r="U27" i="5"/>
  <c r="T27" i="5"/>
  <c r="U51" i="5"/>
  <c r="T51" i="5"/>
  <c r="N17" i="5"/>
  <c r="N19" i="5"/>
  <c r="N28" i="5"/>
  <c r="N30" i="5"/>
  <c r="N32" i="5"/>
  <c r="N39" i="5"/>
  <c r="N41" i="5"/>
  <c r="N43" i="5"/>
  <c r="H44" i="5"/>
  <c r="H47" i="5"/>
  <c r="H51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<sst xmlns="http://schemas.openxmlformats.org/spreadsheetml/2006/main" count="278" uniqueCount="112">
  <si>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</si>
  <si>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</si>
  <si>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</si>
  <si>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</si>
  <si>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</si>
  <si>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</si>
  <si>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</si>
  <si>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</si>
  <si>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</si>
  <si>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</si>
  <si>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</si>
  <si>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</si>
  <si>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</si>
  <si>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</si>
  <si>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</si>
  <si>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</si>
  <si>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</si>
  <si>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</si>
  <si>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</si>
  <si>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HOPE 1 and 2</t>
  </si>
  <si>
    <t>Physical Science</t>
  </si>
  <si>
    <t>General Mathematics</t>
  </si>
  <si>
    <t>Earth and Life Science</t>
  </si>
  <si>
    <t>Statistics and Probability</t>
  </si>
  <si>
    <t>Heritage (Understanding Culture, Society &amp; Politics</t>
  </si>
  <si>
    <t>Discipline and Ideas in the Applied Social Sciences</t>
  </si>
  <si>
    <t>Philippine Politics and Governance</t>
  </si>
  <si>
    <t>Media and Information Literacy</t>
  </si>
  <si>
    <t>Business Finance</t>
  </si>
  <si>
    <t>Creative Writing</t>
  </si>
  <si>
    <t>Trends, Networks and Critical Thinking in the 21st Century</t>
  </si>
  <si>
    <t>HOPE 3 and 4</t>
  </si>
  <si>
    <t>Personal Development</t>
  </si>
  <si>
    <t>Contemporary Philippine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</si>
  <si>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</si>
  <si>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</si>
  <si>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</si>
  <si>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</si>
  <si>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</si>
  <si>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</si>
  <si>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</si>
  <si>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</si>
  <si>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</si>
  <si>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</si>
  <si>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</si>
  <si>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</si>
  <si>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</si>
  <si>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</si>
  <si>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</si>
  <si>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</si>
  <si>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</si>
  <si>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</si>
  <si>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</si>
  <si>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</si>
  <si>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</si>
  <si>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</si>
  <si>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</si>
  <si>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</si>
  <si>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</si>
  <si>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</si>
  <si>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</si>
  <si>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</si>
  <si>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SHS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</si>
  <si>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</si>
  <si>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</si>
  <si>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</si>
  <si>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</si>
  <si>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</si>
  <si>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</si>
  <si>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</si>
  <si>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</si>
  <si>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</si>
  <si>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</si>
  <si>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</si>
  <si>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</si>
  <si>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</si>
  <si>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</si>
  <si>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</si>
  <si>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</si>
  <si>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</si>
  <si>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</si>
  <si>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</si>
  <si>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</si>
  <si>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</si>
  <si>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</si>
  <si>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</si>
  <si>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</si>
  <si>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</si>
  <si>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</si>
  <si>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</si>
  <si>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</si>
  <si>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Cengage: Accountancy, Business and Management 1</t>
  </si>
  <si>
    <t>Cengage: Accountancy, Business and Management 1-NP</t>
  </si>
  <si>
    <t>Cengage: Accountancy, Business and Management 2</t>
  </si>
  <si>
    <t>Cengage: Applied Economics (NP)</t>
  </si>
  <si>
    <t>Cengage: Business Finance: Theory and Practice</t>
  </si>
  <si>
    <t>Cengage: Foundations of Marketing</t>
  </si>
  <si>
    <t>Cengage: Principle of Business Ethics and Social Responsibility</t>
  </si>
  <si>
    <t>Core: Mathematics for Life</t>
  </si>
  <si>
    <t>Core: Philosophy: Towards and Understanding &amp; Appreciation of HP</t>
  </si>
  <si>
    <t>Core: Reading and Writing in the Acad &amp; Workplace</t>
  </si>
  <si>
    <t>Science Lit for All: Earth Science</t>
  </si>
  <si>
    <t>Science Lit for All: General Biology 1</t>
  </si>
  <si>
    <t>STEM: Basic Calculus FC</t>
  </si>
  <si>
    <t>STEM: Basic Calculus NP</t>
  </si>
  <si>
    <t>STEM: General Physics 1 - NP</t>
  </si>
  <si>
    <t>STEM: General Physics 2 - NP</t>
  </si>
  <si>
    <t>STEM: Precalculus - FC</t>
  </si>
  <si>
    <t>STEM: Precalculus - NP</t>
  </si>
  <si>
    <t>Mathematics of Finance</t>
  </si>
  <si>
    <t>Malikhaing Pagsulat 11-12</t>
  </si>
  <si>
    <t>Cengage: World Religions and Belief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</si>
</sst>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3" fillId="0" borderId="0" xfId="0" applyFont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75" totalsRowShown="0" headerRowDxfId="62" headerRowBorderDxfId="60" tableBorderDxfId="61">
  <autoFilter ref="A1:H7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7" totalsRowShown="0" dataDxfId="29" headerRowBorderDxfId="27" tableBorderDxfId="28">
  <autoFilter ref="A2:AA8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D1" activePane="topRight" state="frozen"/>
      <selection pane="topRight" activeCell="J83" sqref="J83"/>
    </sheetView>
  </sheetViews>
  <sheetFormatPr defaultRowHeight="15" custom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  <c r="I1" s="34"/>
    </row>
    <row r="2" spans="1:9" ht="27.75" customHeight="1">
      <c r="A2" s="8">
        <v>7</v>
      </c>
      <c r="B2" s="9" t="s">
        <v>8</v>
      </c>
      <c r="C2" s="8">
        <v>1828</v>
      </c>
      <c r="D2" s="8">
        <v>2429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601</v>
      </c>
    </row>
    <row r="3" spans="1:9" ht="27.75" customHeight="1">
      <c r="A3" s="8">
        <v>7</v>
      </c>
      <c r="B3" s="9" t="s">
        <v>10</v>
      </c>
      <c r="C3" s="8">
        <v>1828</v>
      </c>
      <c r="D3" s="8"/>
      <c r="E3" s="8"/>
      <c r="F3" s="10"/>
      <c r="G3" s="2">
        <f t="shared" si="0"/>
        <v>1828</v>
      </c>
      <c r="H3" s="3">
        <f t="shared" si="1"/>
        <v>0</v>
      </c>
    </row>
    <row r="4" spans="1:9" ht="27.75" customHeight="1">
      <c r="A4" s="8">
        <v>7</v>
      </c>
      <c r="B4" s="9" t="s">
        <v>11</v>
      </c>
      <c r="C4" s="8">
        <v>1828</v>
      </c>
      <c r="D4" s="8">
        <v>2429</v>
      </c>
      <c r="E4" s="8">
        <v>2024</v>
      </c>
      <c r="F4" s="10" t="s">
        <v>9</v>
      </c>
      <c r="G4" s="2">
        <f t="shared" si="0"/>
        <v>0</v>
      </c>
      <c r="H4" s="3">
        <f t="shared" si="1"/>
        <v>601</v>
      </c>
    </row>
    <row r="5" spans="1:9" ht="27.75" customHeight="1">
      <c r="A5" s="8">
        <v>7</v>
      </c>
      <c r="B5" s="9" t="s">
        <v>12</v>
      </c>
      <c r="C5" s="8">
        <v>1828</v>
      </c>
      <c r="D5" s="8">
        <v>2429</v>
      </c>
      <c r="E5" s="8">
        <v>2026</v>
      </c>
      <c r="F5" s="10" t="s">
        <v>9</v>
      </c>
      <c r="G5" s="2">
        <f t="shared" si="0"/>
        <v>0</v>
      </c>
      <c r="H5" s="3">
        <f t="shared" si="1"/>
        <v>601</v>
      </c>
      <c r="I5">
        <v>2026</v>
      </c>
    </row>
    <row r="6" spans="1:9" ht="39" customHeight="1">
      <c r="A6" s="8">
        <v>7</v>
      </c>
      <c r="B6" s="9" t="s">
        <v>13</v>
      </c>
      <c r="C6" s="8">
        <v>1828</v>
      </c>
      <c r="D6" s="8">
        <v>2429</v>
      </c>
      <c r="E6" s="8">
        <v>2025</v>
      </c>
      <c r="F6" s="10" t="s">
        <v>9</v>
      </c>
      <c r="G6" s="2">
        <f t="shared" si="0"/>
        <v>0</v>
      </c>
      <c r="H6" s="3">
        <f t="shared" si="1"/>
        <v>601</v>
      </c>
    </row>
    <row r="7" spans="1:9" ht="27.75" customHeight="1">
      <c r="A7" s="8">
        <v>7</v>
      </c>
      <c r="B7" s="9" t="s">
        <v>14</v>
      </c>
      <c r="C7" s="8">
        <v>1828</v>
      </c>
      <c r="D7" s="8">
        <v>2429</v>
      </c>
      <c r="E7" s="8">
        <v>2024</v>
      </c>
      <c r="F7" s="10" t="s">
        <v>9</v>
      </c>
      <c r="G7" s="2">
        <f t="shared" si="0"/>
        <v>0</v>
      </c>
      <c r="H7" s="3">
        <f t="shared" si="1"/>
        <v>601</v>
      </c>
    </row>
    <row r="8" spans="1:9" ht="27.75" customHeight="1">
      <c r="A8" s="8">
        <v>7</v>
      </c>
      <c r="B8" s="9" t="s">
        <v>15</v>
      </c>
      <c r="C8" s="8">
        <v>1828</v>
      </c>
      <c r="D8" s="8">
        <v>2429</v>
      </c>
      <c r="E8" s="8">
        <v>2025</v>
      </c>
      <c r="F8" s="10" t="s">
        <v>9</v>
      </c>
      <c r="G8" s="2">
        <f t="shared" si="0"/>
        <v>0</v>
      </c>
      <c r="H8" s="3">
        <f t="shared" si="1"/>
        <v>601</v>
      </c>
    </row>
    <row r="9" spans="1:9" ht="27.75" customHeight="1">
      <c r="A9" s="8">
        <v>7</v>
      </c>
      <c r="B9" s="9" t="s">
        <v>16</v>
      </c>
      <c r="C9" s="8">
        <v>1828</v>
      </c>
      <c r="D9" s="8">
        <v>2429</v>
      </c>
      <c r="E9" s="8">
        <v>2026</v>
      </c>
      <c r="F9" s="10" t="s">
        <v>9</v>
      </c>
      <c r="G9" s="2">
        <f t="shared" si="0"/>
        <v>0</v>
      </c>
      <c r="H9" s="3">
        <f t="shared" si="1"/>
        <v>601</v>
      </c>
      <c r="I9">
        <v>2026</v>
      </c>
    </row>
    <row r="10" spans="1:9" ht="27.75" customHeight="1">
      <c r="A10" s="8">
        <v>7</v>
      </c>
      <c r="B10" s="9" t="s">
        <v>17</v>
      </c>
      <c r="C10" s="8">
        <v>1828</v>
      </c>
      <c r="D10" s="8">
        <v>2429</v>
      </c>
      <c r="E10" s="8">
        <v>2025</v>
      </c>
      <c r="F10" s="10" t="s">
        <v>9</v>
      </c>
      <c r="G10" s="2">
        <f t="shared" si="0"/>
        <v>0</v>
      </c>
      <c r="H10" s="3">
        <f t="shared" si="1"/>
        <v>601</v>
      </c>
    </row>
    <row r="11" spans="1:9" ht="27.75" customHeight="1">
      <c r="A11" s="5"/>
      <c r="B11" s="5"/>
      <c r="C11" s="6"/>
      <c r="D11" s="6"/>
      <c r="E11" s="6"/>
      <c r="F11" s="5"/>
      <c r="G11" s="5"/>
      <c r="H11" s="5"/>
    </row>
    <row r="12" spans="1:9" ht="27.75" customHeight="1">
      <c r="A12" s="8">
        <v>8</v>
      </c>
      <c r="B12" s="9" t="s">
        <v>8</v>
      </c>
      <c r="C12" s="8">
        <v>1999</v>
      </c>
      <c r="D12" s="8"/>
      <c r="E12" s="8"/>
      <c r="F12" s="10"/>
      <c r="G12" s="2">
        <f t="shared" ref="G12:G20" si="2">IF((C12-D12)&lt;0,0,C12-D12)</f>
        <v>1999</v>
      </c>
      <c r="H12" s="3">
        <f t="shared" ref="H12:H20" si="3">IF((D12-C12)&lt;0,0,D12-C12)</f>
        <v>0</v>
      </c>
    </row>
    <row r="13" spans="1:9" ht="27.75" customHeight="1">
      <c r="A13" s="8">
        <v>8</v>
      </c>
      <c r="B13" s="9" t="s">
        <v>10</v>
      </c>
      <c r="C13" s="8">
        <v>1999</v>
      </c>
      <c r="D13" s="8"/>
      <c r="E13" s="8"/>
      <c r="F13" s="10"/>
      <c r="G13" s="2">
        <f t="shared" si="2"/>
        <v>1999</v>
      </c>
      <c r="H13" s="3">
        <f t="shared" si="3"/>
        <v>0</v>
      </c>
    </row>
    <row r="14" spans="1:9" ht="27.75" customHeight="1">
      <c r="A14" s="8">
        <v>8</v>
      </c>
      <c r="B14" s="9" t="s">
        <v>11</v>
      </c>
      <c r="C14" s="8">
        <v>1999</v>
      </c>
      <c r="D14" s="8">
        <v>1894</v>
      </c>
      <c r="E14" s="8">
        <v>2025</v>
      </c>
      <c r="F14" s="10" t="s">
        <v>9</v>
      </c>
      <c r="G14" s="2">
        <f t="shared" si="2"/>
        <v>105</v>
      </c>
      <c r="H14" s="3">
        <f t="shared" si="3"/>
        <v>0</v>
      </c>
    </row>
    <row r="15" spans="1:9" ht="27.75" customHeight="1">
      <c r="A15" s="8">
        <v>8</v>
      </c>
      <c r="B15" s="9" t="s">
        <v>12</v>
      </c>
      <c r="C15" s="8">
        <v>1999</v>
      </c>
      <c r="D15" s="8">
        <v>1894</v>
      </c>
      <c r="E15" s="8">
        <v>2025</v>
      </c>
      <c r="F15" s="10" t="s">
        <v>9</v>
      </c>
      <c r="G15" s="2">
        <f t="shared" si="2"/>
        <v>105</v>
      </c>
      <c r="H15" s="3">
        <f t="shared" si="3"/>
        <v>0</v>
      </c>
    </row>
    <row r="16" spans="1:9" ht="27.75" customHeight="1">
      <c r="A16" s="8">
        <v>8</v>
      </c>
      <c r="B16" s="9" t="s">
        <v>18</v>
      </c>
      <c r="C16" s="8">
        <v>1999</v>
      </c>
      <c r="D16" s="8"/>
      <c r="E16" s="8"/>
      <c r="F16" s="10"/>
      <c r="G16" s="2">
        <f t="shared" si="2"/>
        <v>1999</v>
      </c>
      <c r="H16" s="3">
        <f t="shared" si="3"/>
        <v>0</v>
      </c>
    </row>
    <row r="17" spans="1:9" ht="27.75" customHeight="1">
      <c r="A17" s="8">
        <v>8</v>
      </c>
      <c r="B17" s="9" t="s">
        <v>14</v>
      </c>
      <c r="C17" s="8">
        <v>1999</v>
      </c>
      <c r="D17" s="8">
        <v>1894</v>
      </c>
      <c r="E17" s="8"/>
      <c r="F17" s="10" t="s">
        <v>9</v>
      </c>
      <c r="G17" s="2">
        <f t="shared" si="2"/>
        <v>105</v>
      </c>
      <c r="H17" s="3">
        <f t="shared" si="3"/>
        <v>0</v>
      </c>
      <c r="I17">
        <v>2026</v>
      </c>
    </row>
    <row r="18" spans="1:9" ht="27.75" customHeight="1">
      <c r="A18" s="8">
        <v>8</v>
      </c>
      <c r="B18" s="9" t="s">
        <v>15</v>
      </c>
      <c r="C18" s="8">
        <v>1999</v>
      </c>
      <c r="D18" s="8"/>
      <c r="E18" s="8"/>
      <c r="F18" s="10"/>
      <c r="G18" s="2">
        <f t="shared" si="2"/>
        <v>1999</v>
      </c>
      <c r="H18" s="3">
        <f t="shared" si="3"/>
        <v>0</v>
      </c>
    </row>
    <row r="19" spans="1:9" ht="27.75" customHeight="1">
      <c r="A19" s="8">
        <v>8</v>
      </c>
      <c r="B19" s="9" t="s">
        <v>16</v>
      </c>
      <c r="C19" s="8">
        <v>1999</v>
      </c>
      <c r="D19" s="8"/>
      <c r="E19" s="8"/>
      <c r="F19" s="10"/>
      <c r="G19" s="2">
        <f t="shared" si="2"/>
        <v>1999</v>
      </c>
      <c r="H19" s="3">
        <f t="shared" si="3"/>
        <v>0</v>
      </c>
    </row>
    <row r="20" spans="1:9" ht="27.75" customHeight="1">
      <c r="A20" s="8">
        <v>8</v>
      </c>
      <c r="B20" s="9" t="s">
        <v>17</v>
      </c>
      <c r="C20" s="8">
        <v>1999</v>
      </c>
      <c r="D20" s="8"/>
      <c r="E20" s="8"/>
      <c r="F20" s="10"/>
      <c r="G20" s="2">
        <f t="shared" si="2"/>
        <v>1999</v>
      </c>
      <c r="H20" s="3">
        <f t="shared" si="3"/>
        <v>0</v>
      </c>
    </row>
    <row r="21" spans="1:9" ht="27.75" customHeight="1">
      <c r="A21" s="5"/>
      <c r="B21" s="5"/>
      <c r="C21" s="6"/>
      <c r="D21" s="6"/>
      <c r="E21" s="6"/>
      <c r="F21" s="5"/>
      <c r="G21" s="5"/>
      <c r="H21" s="5"/>
    </row>
    <row r="22" spans="1:9" ht="27.75" customHeight="1">
      <c r="A22" s="8">
        <v>9</v>
      </c>
      <c r="B22" s="9" t="s">
        <v>8</v>
      </c>
      <c r="C22" s="8">
        <v>1637</v>
      </c>
      <c r="D22" s="8"/>
      <c r="E22" s="8"/>
      <c r="F22" s="10"/>
      <c r="G22" s="2">
        <f t="shared" ref="G22:G30" si="4">IF((C22-D22)&lt;0,0,C22-D22)</f>
        <v>1637</v>
      </c>
      <c r="H22" s="3">
        <f t="shared" ref="H22:H30" si="5">IF((D22-C22)&lt;0,0,D22-C22)</f>
        <v>0</v>
      </c>
    </row>
    <row r="23" spans="1:9" ht="27.75" customHeight="1">
      <c r="A23" s="8">
        <v>9</v>
      </c>
      <c r="B23" s="9" t="s">
        <v>10</v>
      </c>
      <c r="C23" s="8">
        <v>1637</v>
      </c>
      <c r="D23" s="8"/>
      <c r="E23" s="8"/>
      <c r="F23" s="10"/>
      <c r="G23" s="2">
        <f t="shared" si="4"/>
        <v>1637</v>
      </c>
      <c r="H23" s="3">
        <f t="shared" si="5"/>
        <v>0</v>
      </c>
    </row>
    <row r="24" spans="1:9" ht="27.75" customHeight="1">
      <c r="A24" s="8">
        <v>9</v>
      </c>
      <c r="B24" s="9" t="s">
        <v>11</v>
      </c>
      <c r="C24" s="8">
        <v>1637</v>
      </c>
      <c r="D24" s="8"/>
      <c r="E24" s="8"/>
      <c r="F24" s="10"/>
      <c r="G24" s="2">
        <f t="shared" si="4"/>
        <v>1637</v>
      </c>
      <c r="H24" s="3">
        <f t="shared" si="5"/>
        <v>0</v>
      </c>
    </row>
    <row r="25" spans="1:9" ht="27.75" customHeight="1">
      <c r="A25" s="8">
        <v>9</v>
      </c>
      <c r="B25" s="9" t="s">
        <v>12</v>
      </c>
      <c r="C25" s="8">
        <v>1637</v>
      </c>
      <c r="D25" s="8"/>
      <c r="E25" s="8"/>
      <c r="F25" s="10"/>
      <c r="G25" s="2">
        <f t="shared" si="4"/>
        <v>1637</v>
      </c>
      <c r="H25" s="3">
        <f t="shared" si="5"/>
        <v>0</v>
      </c>
    </row>
    <row r="26" spans="1:9" ht="27.75" customHeight="1">
      <c r="A26" s="8">
        <v>9</v>
      </c>
      <c r="B26" s="9" t="s">
        <v>18</v>
      </c>
      <c r="C26" s="8">
        <v>1637</v>
      </c>
      <c r="D26" s="8"/>
      <c r="E26" s="8"/>
      <c r="F26" s="10"/>
      <c r="G26" s="2">
        <f t="shared" si="4"/>
        <v>1637</v>
      </c>
      <c r="H26" s="3">
        <f t="shared" si="5"/>
        <v>0</v>
      </c>
    </row>
    <row r="27" spans="1:9" ht="27.75" customHeight="1">
      <c r="A27" s="8">
        <v>9</v>
      </c>
      <c r="B27" s="9" t="s">
        <v>14</v>
      </c>
      <c r="C27" s="8">
        <v>1637</v>
      </c>
      <c r="D27" s="8"/>
      <c r="E27" s="8"/>
      <c r="F27" s="10"/>
      <c r="G27" s="2">
        <f t="shared" si="4"/>
        <v>1637</v>
      </c>
      <c r="H27" s="3">
        <f t="shared" si="5"/>
        <v>0</v>
      </c>
    </row>
    <row r="28" spans="1:9" ht="27.75" customHeight="1">
      <c r="A28" s="8">
        <v>9</v>
      </c>
      <c r="B28" s="9" t="s">
        <v>15</v>
      </c>
      <c r="C28" s="8">
        <v>1637</v>
      </c>
      <c r="D28" s="8"/>
      <c r="E28" s="8"/>
      <c r="F28" s="10"/>
      <c r="G28" s="2">
        <f t="shared" si="4"/>
        <v>1637</v>
      </c>
      <c r="H28" s="3">
        <f t="shared" si="5"/>
        <v>0</v>
      </c>
    </row>
    <row r="29" spans="1:9" ht="27.75" customHeight="1">
      <c r="A29" s="8">
        <v>9</v>
      </c>
      <c r="B29" s="9" t="s">
        <v>16</v>
      </c>
      <c r="C29" s="8">
        <v>1637</v>
      </c>
      <c r="D29" s="8"/>
      <c r="E29" s="8"/>
      <c r="F29" s="10"/>
      <c r="G29" s="2">
        <f t="shared" si="4"/>
        <v>1637</v>
      </c>
      <c r="H29" s="3">
        <f t="shared" si="5"/>
        <v>0</v>
      </c>
    </row>
    <row r="30" spans="1:9" ht="27.75" customHeight="1">
      <c r="A30" s="8">
        <v>9</v>
      </c>
      <c r="B30" s="9" t="s">
        <v>17</v>
      </c>
      <c r="C30" s="8">
        <v>1637</v>
      </c>
      <c r="D30" s="8"/>
      <c r="E30" s="8"/>
      <c r="F30" s="10"/>
      <c r="G30" s="2">
        <f t="shared" si="4"/>
        <v>1637</v>
      </c>
      <c r="H30" s="3">
        <f t="shared" si="5"/>
        <v>0</v>
      </c>
    </row>
    <row r="31" spans="1:9" ht="27.75" customHeight="1">
      <c r="A31" s="5"/>
      <c r="B31" s="6"/>
      <c r="C31" s="6"/>
      <c r="D31" s="6"/>
      <c r="E31" s="6"/>
      <c r="F31" s="5"/>
      <c r="G31" s="5"/>
      <c r="H31" s="5"/>
    </row>
    <row r="32" spans="1:9" ht="27.75" customHeight="1">
      <c r="A32" s="8">
        <v>10</v>
      </c>
      <c r="B32" s="9" t="s">
        <v>8</v>
      </c>
      <c r="C32" s="8">
        <v>1747</v>
      </c>
      <c r="D32" s="8"/>
      <c r="E32" s="8"/>
      <c r="F32" s="10"/>
      <c r="G32" s="2">
        <f t="shared" ref="G32:G40" si="6">IF((C32-D32)&lt;0,0,C32-D32)</f>
        <v>1747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1747</v>
      </c>
      <c r="D33" s="8"/>
      <c r="E33" s="8"/>
      <c r="F33" s="10"/>
      <c r="G33" s="2">
        <f t="shared" si="6"/>
        <v>1747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1747</v>
      </c>
      <c r="D34" s="8"/>
      <c r="E34" s="8"/>
      <c r="F34" s="10"/>
      <c r="G34" s="2">
        <f t="shared" si="6"/>
        <v>1747</v>
      </c>
      <c r="H34" s="3">
        <f t="shared" si="7"/>
        <v>0</v>
      </c>
    </row>
    <row r="35" spans="1:8" ht="27.75" customHeight="1">
      <c r="A35" s="8">
        <v>10</v>
      </c>
      <c r="B35" s="9" t="s">
        <v>12</v>
      </c>
      <c r="C35" s="8">
        <v>1747</v>
      </c>
      <c r="D35" s="8"/>
      <c r="E35" s="8"/>
      <c r="F35" s="10"/>
      <c r="G35" s="2">
        <f t="shared" si="6"/>
        <v>1747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1747</v>
      </c>
      <c r="D36" s="8"/>
      <c r="E36" s="8"/>
      <c r="F36" s="10"/>
      <c r="G36" s="2">
        <f t="shared" si="6"/>
        <v>1747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1747</v>
      </c>
      <c r="D37" s="8"/>
      <c r="E37" s="8"/>
      <c r="F37" s="10"/>
      <c r="G37" s="2">
        <f t="shared" si="6"/>
        <v>1747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1747</v>
      </c>
      <c r="D38" s="8"/>
      <c r="E38" s="8"/>
      <c r="F38" s="10"/>
      <c r="G38" s="2">
        <f t="shared" si="6"/>
        <v>1747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1747</v>
      </c>
      <c r="D39" s="8"/>
      <c r="E39" s="8"/>
      <c r="F39" s="10"/>
      <c r="G39" s="2">
        <f t="shared" si="6"/>
        <v>1747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1747</v>
      </c>
      <c r="D40" s="8"/>
      <c r="E40" s="8"/>
      <c r="F40" s="10"/>
      <c r="G40" s="2">
        <f t="shared" si="6"/>
        <v>1747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>
        <v>11</v>
      </c>
      <c r="B42" s="7" t="s">
        <v>19</v>
      </c>
      <c r="C42" s="1">
        <v>2295</v>
      </c>
      <c r="D42" s="1"/>
      <c r="E42" s="1"/>
      <c r="F42" s="4"/>
      <c r="G42" s="2">
        <f t="shared" ref="G42:G44" si="8">IF((C42-D42)&lt;0,0,C42-D42)</f>
        <v>2295</v>
      </c>
      <c r="H42" s="3">
        <f t="shared" ref="H42:H44" si="9">IF((D42-C42)&lt;0,0,D42-C42)</f>
        <v>0</v>
      </c>
    </row>
    <row r="43" spans="1:8" ht="27.75" customHeight="1">
      <c r="A43" s="1">
        <v>11</v>
      </c>
      <c r="B43" s="7" t="s">
        <v>20</v>
      </c>
      <c r="C43" s="1">
        <v>2295</v>
      </c>
      <c r="D43" s="1">
        <v>2418</v>
      </c>
      <c r="E43" s="1">
        <v>2025</v>
      </c>
      <c r="F43" s="4" t="s">
        <v>9</v>
      </c>
      <c r="G43" s="2">
        <f t="shared" si="8"/>
        <v>0</v>
      </c>
      <c r="H43" s="3">
        <f t="shared" si="9"/>
        <v>123</v>
      </c>
    </row>
    <row r="44" spans="1:8" ht="38.25" customHeight="1">
      <c r="A44" s="1">
        <v>11</v>
      </c>
      <c r="B44" s="7" t="s">
        <v>21</v>
      </c>
      <c r="C44" s="1">
        <v>2295</v>
      </c>
      <c r="D44" s="1">
        <v>2418</v>
      </c>
      <c r="E44" s="1">
        <v>2025</v>
      </c>
      <c r="F44" s="4" t="s">
        <v>9</v>
      </c>
      <c r="G44" s="2">
        <f t="shared" si="8"/>
        <v>0</v>
      </c>
      <c r="H44" s="3">
        <f t="shared" si="9"/>
        <v>123</v>
      </c>
    </row>
    <row r="45" spans="1:8" ht="38.25">
      <c r="A45" s="1">
        <v>11</v>
      </c>
      <c r="B45" s="7" t="s">
        <v>22</v>
      </c>
      <c r="C45" s="1">
        <v>2295</v>
      </c>
      <c r="D45" s="1">
        <v>2418</v>
      </c>
      <c r="E45" s="1">
        <v>2024</v>
      </c>
      <c r="F45" s="4" t="s">
        <v>9</v>
      </c>
      <c r="G45" s="2">
        <f t="shared" ref="G45:G51" si="10">IF((C45-D45)&lt;0,0,C45-D45)</f>
        <v>0</v>
      </c>
      <c r="H45" s="3">
        <f t="shared" ref="H45:H51" si="11">IF((D45-C45)&lt;0,0,D45-C45)</f>
        <v>123</v>
      </c>
    </row>
    <row r="46" spans="1:8" ht="47.25" customHeight="1">
      <c r="A46" s="1">
        <v>11</v>
      </c>
      <c r="B46" s="7" t="s">
        <v>23</v>
      </c>
      <c r="C46" s="1">
        <v>2295</v>
      </c>
      <c r="D46" s="1">
        <v>2418</v>
      </c>
      <c r="E46" s="1">
        <v>2025</v>
      </c>
      <c r="F46" s="4" t="s">
        <v>9</v>
      </c>
      <c r="G46" s="2">
        <f>IF((C46-D46)&lt;0,0,C46-D46)</f>
        <v>0</v>
      </c>
      <c r="H46" s="3">
        <f>IF((D46-C46)&lt;0,0,D46-C46)</f>
        <v>123</v>
      </c>
    </row>
    <row r="47" spans="1:8" ht="76.5">
      <c r="A47" s="1">
        <v>11</v>
      </c>
      <c r="B47" s="7" t="s">
        <v>24</v>
      </c>
      <c r="C47" s="1">
        <v>2295</v>
      </c>
      <c r="D47" s="1">
        <v>2418</v>
      </c>
      <c r="E47" s="1">
        <v>2025</v>
      </c>
      <c r="F47" s="4" t="s">
        <v>9</v>
      </c>
      <c r="G47" s="2">
        <f t="shared" si="10"/>
        <v>0</v>
      </c>
      <c r="H47" s="3">
        <f t="shared" si="11"/>
        <v>123</v>
      </c>
    </row>
    <row r="48" spans="1:8" ht="76.5">
      <c r="A48" s="1">
        <v>11</v>
      </c>
      <c r="B48" s="7" t="s">
        <v>25</v>
      </c>
      <c r="C48" s="1">
        <v>2295</v>
      </c>
      <c r="D48" s="1">
        <v>424</v>
      </c>
      <c r="E48" s="1">
        <v>2024</v>
      </c>
      <c r="F48" s="4" t="s">
        <v>9</v>
      </c>
      <c r="G48" s="2">
        <f t="shared" ref="G48" si="12">IF((C48-D48)&lt;0,0,C48-D48)</f>
        <v>1871</v>
      </c>
      <c r="H48" s="3">
        <f t="shared" ref="H48" si="13">IF((D48-C48)&lt;0,0,D48-C48)</f>
        <v>0</v>
      </c>
    </row>
    <row r="49" spans="1:8" ht="38.25">
      <c r="A49" s="1">
        <v>11</v>
      </c>
      <c r="B49" s="7" t="s">
        <v>26</v>
      </c>
      <c r="C49" s="1">
        <v>2295</v>
      </c>
      <c r="D49" s="1">
        <v>424</v>
      </c>
      <c r="E49" s="1">
        <v>2024</v>
      </c>
      <c r="F49" s="4" t="s">
        <v>9</v>
      </c>
      <c r="G49" s="2">
        <f t="shared" ref="G49" si="14">IF((C49-D49)&lt;0,0,C49-D49)</f>
        <v>1871</v>
      </c>
      <c r="H49" s="3">
        <f t="shared" ref="H49" si="15">IF((D49-C49)&lt;0,0,D49-C49)</f>
        <v>0</v>
      </c>
    </row>
    <row r="50" spans="1:8" ht="57.75">
      <c r="A50" s="1">
        <v>12</v>
      </c>
      <c r="B50" s="7" t="s">
        <v>27</v>
      </c>
      <c r="C50" s="1">
        <v>2297</v>
      </c>
      <c r="D50" s="1">
        <v>2418</v>
      </c>
      <c r="E50" s="1">
        <v>2025</v>
      </c>
      <c r="F50" s="4" t="s">
        <v>9</v>
      </c>
      <c r="G50" s="2">
        <f>IF((C50-D50)&lt;0,0,C50-D50)</f>
        <v>0</v>
      </c>
      <c r="H50" s="3">
        <f>IF((D50-C50)&lt;0,0,D50-C50)</f>
        <v>121</v>
      </c>
    </row>
    <row r="51" spans="1:8" ht="19.5">
      <c r="A51" s="1">
        <v>12</v>
      </c>
      <c r="B51" s="7" t="s">
        <v>28</v>
      </c>
      <c r="C51" s="1">
        <v>2297</v>
      </c>
      <c r="D51" s="1">
        <v>343</v>
      </c>
      <c r="E51" s="1">
        <v>2024</v>
      </c>
      <c r="F51" s="4" t="s">
        <v>9</v>
      </c>
      <c r="G51" s="2">
        <f t="shared" si="10"/>
        <v>1954</v>
      </c>
      <c r="H51" s="3">
        <f t="shared" si="11"/>
        <v>0</v>
      </c>
    </row>
    <row r="52" spans="1:8" ht="19.5">
      <c r="A52" s="1">
        <v>12</v>
      </c>
      <c r="B52" s="7" t="s">
        <v>29</v>
      </c>
      <c r="C52" s="1">
        <v>2297</v>
      </c>
      <c r="D52" s="1">
        <v>424</v>
      </c>
      <c r="E52" s="1">
        <v>2024</v>
      </c>
      <c r="F52" s="4" t="s">
        <v>9</v>
      </c>
      <c r="G52" s="2">
        <f t="shared" ref="G52" si="16">IF((C52-D52)&lt;0,0,C52-D52)</f>
        <v>1873</v>
      </c>
      <c r="H52" s="3">
        <f t="shared" ref="H52" si="17">IF((D52-C52)&lt;0,0,D52-C52)</f>
        <v>0</v>
      </c>
    </row>
    <row r="53" spans="1:8" ht="76.5">
      <c r="A53" s="1">
        <v>12</v>
      </c>
      <c r="B53" s="7" t="s">
        <v>30</v>
      </c>
      <c r="C53" s="1">
        <v>2297</v>
      </c>
      <c r="D53" s="1">
        <v>424</v>
      </c>
      <c r="E53" s="1">
        <v>2024</v>
      </c>
      <c r="F53" s="4" t="s">
        <v>9</v>
      </c>
      <c r="G53" s="2">
        <f t="shared" ref="G53" si="18">IF((C53-D53)&lt;0,0,C53-D53)</f>
        <v>1873</v>
      </c>
      <c r="H53" s="3">
        <f t="shared" ref="H53" si="19">IF((D53-C53)&lt;0,0,D53-C53)</f>
        <v>0</v>
      </c>
    </row>
    <row r="54" spans="1:8" ht="27.75" customHeight="1">
      <c r="A54" s="1">
        <v>12</v>
      </c>
      <c r="B54" s="7" t="s">
        <v>31</v>
      </c>
      <c r="C54" s="1">
        <v>2297</v>
      </c>
      <c r="D54" s="1">
        <v>2418</v>
      </c>
      <c r="E54" s="1">
        <v>2024</v>
      </c>
      <c r="F54" s="4" t="s">
        <v>9</v>
      </c>
      <c r="G54" s="2">
        <f>IF((C54-D54)&lt;0,0,C54-D54)</f>
        <v>0</v>
      </c>
      <c r="H54" s="3">
        <f>IF((D54-C54)&lt;0,0,D54-C54)</f>
        <v>121</v>
      </c>
    </row>
    <row r="55" spans="1:8" ht="39.75" customHeight="1">
      <c r="A55" s="1">
        <v>12</v>
      </c>
      <c r="B55" s="7" t="s">
        <v>32</v>
      </c>
      <c r="C55" s="1">
        <v>2297</v>
      </c>
      <c r="D55" s="1">
        <v>2418</v>
      </c>
      <c r="E55" s="1">
        <v>2024</v>
      </c>
      <c r="F55" s="4" t="s">
        <v>9</v>
      </c>
      <c r="G55" s="2">
        <f>IF((C55-D55)&lt;0,0,C55-D55)</f>
        <v>0</v>
      </c>
      <c r="H55" s="3">
        <f>IF((D55-C55)&lt;0,0,D55-C55)</f>
        <v>121</v>
      </c>
    </row>
    <row r="56" spans="1:8" ht="40.5" customHeight="1">
      <c r="A56" s="1">
        <v>12</v>
      </c>
      <c r="B56" s="7" t="s">
        <v>33</v>
      </c>
      <c r="C56" s="1">
        <v>2297</v>
      </c>
      <c r="D56" s="1">
        <v>2418</v>
      </c>
      <c r="E56" s="1">
        <v>2025</v>
      </c>
      <c r="F56" s="4" t="s">
        <v>9</v>
      </c>
      <c r="G56" s="2">
        <f>IF((C56-D56)&lt;0,0,C56-D56)</f>
        <v>0</v>
      </c>
      <c r="H56" s="3">
        <f>IF((D56-C56)&lt;0,0,D56-C56)</f>
        <v>121</v>
      </c>
    </row>
    <row r="57" spans="1:8" ht="19.5">
      <c r="A57" s="1"/>
      <c r="B57" s="7"/>
      <c r="C57" s="1"/>
      <c r="D57" s="1"/>
      <c r="E57" s="1"/>
      <c r="F57" s="4"/>
      <c r="G57" s="2"/>
      <c r="H57" s="3"/>
    </row>
    <row r="58" spans="1:8" ht="19.5">
      <c r="A58" s="1"/>
      <c r="B58" s="7"/>
      <c r="C58" s="1"/>
      <c r="D58" s="1"/>
      <c r="E58" s="1"/>
      <c r="F58" s="4"/>
      <c r="G58" s="2"/>
      <c r="H58" s="3"/>
    </row>
    <row r="59" spans="1:8" ht="19.5">
      <c r="A59" s="1"/>
      <c r="B59" s="7"/>
      <c r="C59" s="1"/>
      <c r="D59" s="1"/>
      <c r="E59" s="1"/>
      <c r="F59" s="4"/>
      <c r="G59" s="2"/>
      <c r="H59" s="3"/>
    </row>
    <row r="60" spans="1:8" ht="19.5">
      <c r="A60" s="1"/>
      <c r="B60" s="7"/>
      <c r="C60" s="1"/>
      <c r="D60" s="1"/>
      <c r="E60" s="1"/>
      <c r="F60" s="4"/>
      <c r="G60" s="2"/>
      <c r="H60" s="3"/>
    </row>
    <row r="61" spans="1:8" ht="19.5">
      <c r="A61" s="1"/>
      <c r="B61" s="7"/>
      <c r="C61" s="1"/>
      <c r="D61" s="1"/>
      <c r="E61" s="1"/>
      <c r="F61" s="4"/>
      <c r="G61" s="2"/>
      <c r="H61" s="3"/>
    </row>
    <row r="62" spans="1:8" ht="19.5">
      <c r="A62" s="1"/>
      <c r="B62" s="7"/>
      <c r="C62" s="1"/>
      <c r="D62" s="1"/>
      <c r="E62" s="1"/>
      <c r="F62" s="4"/>
      <c r="G62" s="2"/>
      <c r="H62" s="3"/>
    </row>
    <row r="63" spans="1:8" ht="19.5">
      <c r="A63" s="1"/>
      <c r="B63" s="7"/>
      <c r="C63" s="1"/>
      <c r="D63" s="1"/>
      <c r="E63" s="1"/>
      <c r="F63" s="4"/>
      <c r="G63" s="2"/>
      <c r="H63" s="3"/>
    </row>
    <row r="64" spans="1:8" ht="19.5">
      <c r="A64" s="1"/>
      <c r="B64" s="7"/>
      <c r="C64" s="1"/>
      <c r="D64" s="1"/>
      <c r="E64" s="1"/>
      <c r="F64" s="4"/>
      <c r="G64" s="2"/>
      <c r="H64" s="3"/>
    </row>
    <row r="65" spans="1:8" ht="19.5">
      <c r="A65" s="1"/>
      <c r="B65" s="7"/>
      <c r="C65" s="1"/>
      <c r="D65" s="1"/>
      <c r="E65" s="1"/>
      <c r="F65" s="4"/>
      <c r="G65" s="2"/>
      <c r="H65" s="3"/>
    </row>
    <row r="66" spans="1:8" ht="19.5">
      <c r="A66" s="1"/>
      <c r="B66" s="7"/>
      <c r="C66" s="1"/>
      <c r="D66" s="1"/>
      <c r="E66" s="1"/>
      <c r="F66" s="4"/>
      <c r="G66" s="2"/>
      <c r="H66" s="3"/>
    </row>
    <row r="67" spans="1:8" ht="19.5">
      <c r="A67" s="1"/>
      <c r="B67" s="7"/>
      <c r="C67" s="1"/>
      <c r="D67" s="1"/>
      <c r="E67" s="1"/>
      <c r="F67" s="4"/>
      <c r="G67" s="2"/>
      <c r="H67" s="3"/>
    </row>
    <row r="68" spans="1:8" ht="19.5">
      <c r="A68" s="1"/>
      <c r="B68" s="7"/>
      <c r="C68" s="1"/>
      <c r="D68" s="1"/>
      <c r="E68" s="1"/>
      <c r="F68" s="4"/>
      <c r="G68" s="2"/>
      <c r="H68" s="3"/>
    </row>
    <row r="69" spans="1:8" ht="19.5">
      <c r="A69" s="1"/>
      <c r="B69" s="7"/>
      <c r="C69" s="1"/>
      <c r="D69" s="1"/>
      <c r="E69" s="1"/>
      <c r="F69" s="4"/>
      <c r="G69" s="2"/>
      <c r="H69" s="3"/>
    </row>
    <row r="70" spans="1:8" ht="19.5">
      <c r="A70" s="1"/>
      <c r="B70" s="7"/>
      <c r="C70" s="1"/>
      <c r="D70" s="1"/>
      <c r="E70" s="1"/>
      <c r="F70" s="4"/>
      <c r="G70" s="2"/>
      <c r="H70" s="3"/>
    </row>
    <row r="71" spans="1:8" ht="19.5">
      <c r="A71" s="1"/>
      <c r="B71" s="7"/>
      <c r="C71" s="1"/>
      <c r="D71" s="1"/>
      <c r="E71" s="1"/>
      <c r="F71" s="4"/>
      <c r="G71" s="2"/>
      <c r="H71" s="3"/>
    </row>
    <row r="72" spans="1:8" ht="19.5">
      <c r="A72" s="1"/>
      <c r="B72" s="7"/>
      <c r="C72" s="1"/>
      <c r="D72" s="1"/>
      <c r="E72" s="1"/>
      <c r="F72" s="4"/>
      <c r="G72" s="2"/>
      <c r="H72" s="3"/>
    </row>
    <row r="73" spans="1:8" ht="19.5">
      <c r="A73" s="1"/>
      <c r="B73" s="7"/>
      <c r="C73" s="1"/>
      <c r="D73" s="1"/>
      <c r="E73" s="1"/>
      <c r="F73" s="4"/>
      <c r="G73" s="2"/>
      <c r="H73" s="3"/>
    </row>
    <row r="74" spans="1:8" ht="19.5">
      <c r="A74" s="1"/>
      <c r="B74" s="7"/>
      <c r="C74" s="1"/>
      <c r="D74" s="1"/>
      <c r="E74" s="1"/>
      <c r="F74" s="4"/>
      <c r="G74" s="2"/>
      <c r="H74" s="3"/>
    </row>
    <row r="75" spans="1:8" ht="19.5">
      <c r="A75" s="1"/>
      <c r="B75" s="7"/>
      <c r="C75" s="1"/>
      <c r="D75" s="1"/>
      <c r="E75" s="1"/>
      <c r="F75" s="4"/>
      <c r="G75" s="2"/>
      <c r="H75" s="3"/>
    </row>
    <row r="76" spans="1:8" ht="19.5">
      <c r="A76" s="1"/>
      <c r="B76" s="7"/>
      <c r="C76" s="1"/>
      <c r="D76" s="1"/>
      <c r="E76" s="1"/>
      <c r="F76" s="4"/>
      <c r="G76" s="2"/>
      <c r="H76" s="3"/>
    </row>
    <row r="77" spans="1:8" ht="19.5">
      <c r="A77" s="1"/>
      <c r="B77" s="7"/>
      <c r="C77" s="1"/>
      <c r="D77" s="1"/>
      <c r="E77" s="1"/>
      <c r="F77" s="4"/>
      <c r="G77" s="2"/>
      <c r="H77" s="3"/>
    </row>
    <row r="78" spans="1:8"/>
    <row r="79" spans="1:8"/>
    <row r="81"/>
    <row r="82"/>
    <row r="83"/>
    <row r="85"/>
    <row r="86"/>
    <row r="87"/>
    <row r="88"/>
    <row r="89"/>
    <row r="90"/>
    <row r="91"/>
    <row r="92"/>
    <row r="93"/>
    <row r="94"/>
    <row r="95"/>
    <row r="96"/>
    <row r="97"/>
    <row r="98"/>
  </sheetData>
  <protectedRanges>
    <protectedRange sqref="D50:E50 D46:E46 D45 D47 D54:E56 C50:C56 D42:E44 C1:E41" name="Textbooks"/>
    <protectedRange sqref="F1:F56" name="SOURCE"/>
  </protectedRanges>
  <phoneticPr fontId="8" type="noConversion"/>
  <dataValidations count="2">
    <dataValidation type="list" allowBlank="1" showInputMessage="1" showErrorMessage="1" sqref="F2:F10 F22:F30 F32:F40 F12:F20 F42:F56" xr:uid="{2F7388E0-D1A1-4571-8C10-96CB9A727EB3}">
      <formula1>"CO,RO,SDO"</formula1>
    </dataValidation>
    <dataValidation type="list" allowBlank="1" showInputMessage="1" showErrorMessage="1" sqref="E42:E56 E32:E40 E22:E30 E12:E20 E2:E10" xr:uid="{C90DBFCB-DD6F-47CB-918D-2133687D17A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X75" sqref="X7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34</v>
      </c>
      <c r="E1" s="35"/>
      <c r="F1" s="35"/>
      <c r="G1" s="35"/>
      <c r="H1" s="35"/>
      <c r="I1" s="35"/>
      <c r="J1" s="36" t="s">
        <v>35</v>
      </c>
      <c r="K1" s="36"/>
      <c r="L1" s="36"/>
      <c r="M1" s="36"/>
      <c r="N1" s="36"/>
      <c r="O1" s="36"/>
      <c r="P1" s="37" t="s">
        <v>36</v>
      </c>
      <c r="Q1" s="37"/>
      <c r="R1" s="37"/>
      <c r="S1" s="37"/>
      <c r="T1" s="37"/>
      <c r="U1" s="37"/>
      <c r="V1" s="38" t="s">
        <v>37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38</v>
      </c>
      <c r="E2" s="18" t="s">
        <v>39</v>
      </c>
      <c r="F2" s="19" t="s">
        <v>40</v>
      </c>
      <c r="G2" s="22" t="s">
        <v>41</v>
      </c>
      <c r="H2" s="15" t="s">
        <v>42</v>
      </c>
      <c r="I2" s="22" t="s">
        <v>43</v>
      </c>
      <c r="J2" s="20" t="s">
        <v>44</v>
      </c>
      <c r="K2" s="20" t="s">
        <v>45</v>
      </c>
      <c r="L2" s="21" t="s">
        <v>46</v>
      </c>
      <c r="M2" s="32" t="s">
        <v>47</v>
      </c>
      <c r="N2" s="32" t="s">
        <v>48</v>
      </c>
      <c r="O2" s="20" t="s">
        <v>49</v>
      </c>
      <c r="P2" s="22" t="s">
        <v>50</v>
      </c>
      <c r="Q2" s="22" t="s">
        <v>51</v>
      </c>
      <c r="R2" s="23" t="s">
        <v>52</v>
      </c>
      <c r="S2" s="15" t="s">
        <v>53</v>
      </c>
      <c r="T2" s="15" t="s">
        <v>54</v>
      </c>
      <c r="U2" s="22" t="s">
        <v>55</v>
      </c>
      <c r="V2" s="24" t="s">
        <v>56</v>
      </c>
      <c r="W2" s="24" t="s">
        <v>57</v>
      </c>
      <c r="X2" s="25" t="s">
        <v>58</v>
      </c>
      <c r="Y2" s="33" t="s">
        <v>59</v>
      </c>
      <c r="Z2" s="33" t="s">
        <v>60</v>
      </c>
      <c r="AA2" s="24" t="s">
        <v>61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62</v>
      </c>
      <c r="B43" s="7" t="s">
        <v>32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62</v>
      </c>
      <c r="B44" s="7" t="s">
        <v>19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62</v>
      </c>
      <c r="B45" s="7" t="s">
        <v>31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62</v>
      </c>
      <c r="B46" s="7" t="s">
        <v>20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62</v>
      </c>
      <c r="B47" s="7" t="s">
        <v>33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62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62</v>
      </c>
      <c r="B49" s="7" t="s">
        <v>27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62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A134"/>
  <sheetViews>
    <sheetView tabSelected="1" topLeftCell="A86" zoomScale="55" zoomScaleNormal="55" workbookViewId="0">
      <selection activeCell="J88" sqref="J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9"/>
      <c r="D1" s="35" t="s">
        <v>34</v>
      </c>
      <c r="E1" s="35"/>
      <c r="F1" s="35"/>
      <c r="G1" s="35"/>
      <c r="H1" s="35"/>
      <c r="I1" s="35"/>
      <c r="J1" s="36" t="s">
        <v>35</v>
      </c>
      <c r="K1" s="36"/>
      <c r="L1" s="36"/>
      <c r="M1" s="36"/>
      <c r="N1" s="36"/>
      <c r="O1" s="36"/>
      <c r="P1" s="37" t="s">
        <v>36</v>
      </c>
      <c r="Q1" s="37"/>
      <c r="R1" s="37"/>
      <c r="S1" s="37"/>
      <c r="T1" s="37"/>
      <c r="U1" s="37"/>
      <c r="V1" s="38" t="s">
        <v>37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0" t="s">
        <v>1</v>
      </c>
      <c r="C2" s="14" t="s">
        <v>2</v>
      </c>
      <c r="D2" s="18" t="s">
        <v>63</v>
      </c>
      <c r="E2" s="18" t="s">
        <v>64</v>
      </c>
      <c r="F2" s="19" t="s">
        <v>65</v>
      </c>
      <c r="G2" s="22" t="s">
        <v>66</v>
      </c>
      <c r="H2" s="15" t="s">
        <v>67</v>
      </c>
      <c r="I2" s="22" t="s">
        <v>68</v>
      </c>
      <c r="J2" s="20" t="s">
        <v>69</v>
      </c>
      <c r="K2" s="20" t="s">
        <v>70</v>
      </c>
      <c r="L2" s="21" t="s">
        <v>71</v>
      </c>
      <c r="M2" s="32" t="s">
        <v>72</v>
      </c>
      <c r="N2" s="32" t="s">
        <v>73</v>
      </c>
      <c r="O2" s="20" t="s">
        <v>74</v>
      </c>
      <c r="P2" s="22" t="s">
        <v>75</v>
      </c>
      <c r="Q2" s="22" t="s">
        <v>76</v>
      </c>
      <c r="R2" s="23" t="s">
        <v>77</v>
      </c>
      <c r="S2" s="15" t="s">
        <v>78</v>
      </c>
      <c r="T2" s="15" t="s">
        <v>79</v>
      </c>
      <c r="U2" s="22" t="s">
        <v>80</v>
      </c>
      <c r="V2" s="24" t="s">
        <v>81</v>
      </c>
      <c r="W2" s="24" t="s">
        <v>82</v>
      </c>
      <c r="X2" s="25" t="s">
        <v>83</v>
      </c>
      <c r="Y2" s="33" t="s">
        <v>84</v>
      </c>
      <c r="Z2" s="33" t="s">
        <v>85</v>
      </c>
      <c r="AA2" s="24" t="s">
        <v>86</v>
      </c>
    </row>
    <row r="3" spans="1:27" ht="19.5">
      <c r="A3" s="8">
        <v>7</v>
      </c>
      <c r="B3" s="9" t="s">
        <v>8</v>
      </c>
      <c r="C3" s="8">
        <v>2429</v>
      </c>
      <c r="D3" s="10">
        <f>Table14[[#This Row],[Enrolment S.Y. 2025-2026 ]]*8</f>
        <v>19432</v>
      </c>
      <c r="E3" s="10"/>
      <c r="F3" s="8"/>
      <c r="G3" s="10"/>
      <c r="H3" s="10">
        <f t="shared" ref="H3:H19" si="0">IF((D3-E3)&lt;0,0,(D3-E3))</f>
        <v>19432</v>
      </c>
      <c r="I3" s="10">
        <f t="shared" ref="I3:I19" si="1">IF((E3-D3)&lt;0,0,(E3-D3))</f>
        <v>0</v>
      </c>
      <c r="J3" s="10">
        <f>Table14[[#This Row],[Enrolment S.Y. 2025-2026 ]]*8</f>
        <v>19432</v>
      </c>
      <c r="K3" s="10"/>
      <c r="L3" s="8"/>
      <c r="M3" s="10"/>
      <c r="N3" s="10">
        <f t="shared" ref="N3:N6" si="2">IF((J3-K3)&lt;0,0,(J3-K3))</f>
        <v>19432</v>
      </c>
      <c r="O3" s="10">
        <f t="shared" ref="O3:O6" si="3">IF((K3-J3)&lt;0,0,(K3-J3))</f>
        <v>0</v>
      </c>
      <c r="P3" s="10">
        <f>Table14[[#This Row],[Enrolment S.Y. 2025-2026 ]]*8</f>
        <v>19432</v>
      </c>
      <c r="Q3" s="10"/>
      <c r="R3" s="8"/>
      <c r="S3" s="10"/>
      <c r="T3" s="10">
        <f t="shared" ref="T3:T8" si="4">IF((P3-Q3)&lt;0,0,(P3-Q3))</f>
        <v>19432</v>
      </c>
      <c r="U3" s="10">
        <f t="shared" ref="U3:U8" si="5">IF((Q3-P3)&lt;0,0,(Q3-P3))</f>
        <v>0</v>
      </c>
      <c r="V3" s="10">
        <f>Table14[[#This Row],[Enrolment S.Y. 2025-2026 ]]*8</f>
        <v>19432</v>
      </c>
      <c r="W3" s="10"/>
      <c r="X3" s="8"/>
      <c r="Y3" s="10"/>
      <c r="Z3" s="10">
        <f t="shared" ref="Z3:Z8" si="6">IF((V3-W3)&lt;0,0,(V3-W3))</f>
        <v>19432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2429</v>
      </c>
      <c r="D4" s="10">
        <f>Table14[[#This Row],[Enrolment S.Y. 2025-2026 ]]*8</f>
        <v>19432</v>
      </c>
      <c r="E4" s="10"/>
      <c r="F4" s="8"/>
      <c r="G4" s="10"/>
      <c r="H4" s="10">
        <f t="shared" si="0"/>
        <v>19432</v>
      </c>
      <c r="I4" s="10">
        <f t="shared" si="1"/>
        <v>0</v>
      </c>
      <c r="J4" s="10">
        <f>Table14[[#This Row],[Enrolment S.Y. 2025-2026 ]]*8</f>
        <v>19432</v>
      </c>
      <c r="K4" s="10"/>
      <c r="L4" s="8"/>
      <c r="M4" s="10"/>
      <c r="N4" s="10">
        <f t="shared" si="2"/>
        <v>19432</v>
      </c>
      <c r="O4" s="10">
        <f t="shared" si="3"/>
        <v>0</v>
      </c>
      <c r="P4" s="10">
        <f>Table14[[#This Row],[Enrolment S.Y. 2025-2026 ]]*8</f>
        <v>19432</v>
      </c>
      <c r="Q4" s="10"/>
      <c r="R4" s="8"/>
      <c r="S4" s="10"/>
      <c r="T4" s="10">
        <f t="shared" si="4"/>
        <v>19432</v>
      </c>
      <c r="U4" s="10">
        <f t="shared" si="5"/>
        <v>0</v>
      </c>
      <c r="V4" s="10">
        <f>Table14[[#This Row],[Enrolment S.Y. 2025-2026 ]]*8</f>
        <v>19432</v>
      </c>
      <c r="W4" s="10"/>
      <c r="X4" s="8"/>
      <c r="Y4" s="10"/>
      <c r="Z4" s="10">
        <f t="shared" si="6"/>
        <v>19432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2429</v>
      </c>
      <c r="D5" s="10">
        <f>Table14[[#This Row],[Enrolment S.Y. 2025-2026 ]]*8</f>
        <v>19432</v>
      </c>
      <c r="E5" s="10"/>
      <c r="F5" s="8"/>
      <c r="G5" s="10"/>
      <c r="H5" s="10">
        <f t="shared" si="0"/>
        <v>19432</v>
      </c>
      <c r="I5" s="10">
        <f t="shared" si="1"/>
        <v>0</v>
      </c>
      <c r="J5" s="10">
        <f>Table14[[#This Row],[Enrolment S.Y. 2025-2026 ]]*8</f>
        <v>19432</v>
      </c>
      <c r="K5" s="10"/>
      <c r="L5" s="8"/>
      <c r="M5" s="10"/>
      <c r="N5" s="10">
        <f t="shared" si="2"/>
        <v>19432</v>
      </c>
      <c r="O5" s="10">
        <f t="shared" si="3"/>
        <v>0</v>
      </c>
      <c r="P5" s="10">
        <f>Table14[[#This Row],[Enrolment S.Y. 2025-2026 ]]*8</f>
        <v>19432</v>
      </c>
      <c r="Q5" s="10"/>
      <c r="R5" s="8"/>
      <c r="S5" s="10"/>
      <c r="T5" s="10">
        <f t="shared" si="4"/>
        <v>19432</v>
      </c>
      <c r="U5" s="10">
        <f t="shared" si="5"/>
        <v>0</v>
      </c>
      <c r="V5" s="10">
        <f>Table14[[#This Row],[Enrolment S.Y. 2025-2026 ]]*8</f>
        <v>19432</v>
      </c>
      <c r="W5" s="10"/>
      <c r="X5" s="8"/>
      <c r="Y5" s="10"/>
      <c r="Z5" s="10">
        <f t="shared" si="6"/>
        <v>19432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2429</v>
      </c>
      <c r="D6" s="10">
        <f>Table14[[#This Row],[Enrolment S.Y. 2025-2026 ]]*8</f>
        <v>19432</v>
      </c>
      <c r="E6" s="10"/>
      <c r="F6" s="8"/>
      <c r="G6" s="10"/>
      <c r="H6" s="10">
        <f t="shared" si="0"/>
        <v>19432</v>
      </c>
      <c r="I6" s="10">
        <f t="shared" si="1"/>
        <v>0</v>
      </c>
      <c r="J6" s="10">
        <f>Table14[[#This Row],[Enrolment S.Y. 2025-2026 ]]*8</f>
        <v>19432</v>
      </c>
      <c r="K6" s="10"/>
      <c r="L6" s="8"/>
      <c r="M6" s="10"/>
      <c r="N6" s="10">
        <f t="shared" si="2"/>
        <v>19432</v>
      </c>
      <c r="O6" s="10">
        <f t="shared" si="3"/>
        <v>0</v>
      </c>
      <c r="P6" s="10">
        <f>Table14[[#This Row],[Enrolment S.Y. 2025-2026 ]]*8</f>
        <v>19432</v>
      </c>
      <c r="Q6" s="10"/>
      <c r="R6" s="8"/>
      <c r="S6" s="10"/>
      <c r="T6" s="10">
        <f t="shared" si="4"/>
        <v>19432</v>
      </c>
      <c r="U6" s="10">
        <f t="shared" si="5"/>
        <v>0</v>
      </c>
      <c r="V6" s="10">
        <f>Table14[[#This Row],[Enrolment S.Y. 2025-2026 ]]*8</f>
        <v>19432</v>
      </c>
      <c r="W6" s="10"/>
      <c r="X6" s="8"/>
      <c r="Y6" s="10"/>
      <c r="Z6" s="10">
        <f t="shared" si="6"/>
        <v>19432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2429</v>
      </c>
      <c r="D7" s="10">
        <f>Table14[[#This Row],[Enrolment S.Y. 2025-2026 ]]*8</f>
        <v>19432</v>
      </c>
      <c r="E7" s="10"/>
      <c r="F7" s="8"/>
      <c r="G7" s="10"/>
      <c r="H7" s="10">
        <f t="shared" si="0"/>
        <v>19432</v>
      </c>
      <c r="I7" s="10">
        <f t="shared" si="1"/>
        <v>0</v>
      </c>
      <c r="J7" s="10">
        <f>Table14[[#This Row],[Enrolment S.Y. 2025-2026 ]]*8</f>
        <v>19432</v>
      </c>
      <c r="K7" s="10"/>
      <c r="L7" s="8"/>
      <c r="M7" s="10"/>
      <c r="N7" s="10">
        <f t="shared" ref="N7:N13" si="8">IF((J7-K7)&lt;0,0,(J7-K7))</f>
        <v>19432</v>
      </c>
      <c r="O7" s="10">
        <f t="shared" ref="O7:O13" si="9">IF((K7-J7)&lt;0,0,(K7-J7))</f>
        <v>0</v>
      </c>
      <c r="P7" s="10">
        <f>Table14[[#This Row],[Enrolment S.Y. 2025-2026 ]]*8</f>
        <v>19432</v>
      </c>
      <c r="Q7" s="10"/>
      <c r="R7" s="8"/>
      <c r="S7" s="10"/>
      <c r="T7" s="10">
        <f t="shared" si="4"/>
        <v>19432</v>
      </c>
      <c r="U7" s="10">
        <f t="shared" si="5"/>
        <v>0</v>
      </c>
      <c r="V7" s="10">
        <f>Table14[[#This Row],[Enrolment S.Y. 2025-2026 ]]*8</f>
        <v>19432</v>
      </c>
      <c r="W7" s="10"/>
      <c r="X7" s="8"/>
      <c r="Y7" s="10"/>
      <c r="Z7" s="10">
        <f t="shared" si="6"/>
        <v>19432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2429</v>
      </c>
      <c r="D8" s="10">
        <f>Table14[[#This Row],[Enrolment S.Y. 2025-2026 ]]*8</f>
        <v>19432</v>
      </c>
      <c r="E8" s="10"/>
      <c r="F8" s="8"/>
      <c r="G8" s="10"/>
      <c r="H8" s="10">
        <f t="shared" si="0"/>
        <v>19432</v>
      </c>
      <c r="I8" s="10">
        <f t="shared" si="1"/>
        <v>0</v>
      </c>
      <c r="J8" s="10">
        <f>Table14[[#This Row],[Enrolment S.Y. 2025-2026 ]]*8</f>
        <v>19432</v>
      </c>
      <c r="K8" s="10"/>
      <c r="L8" s="8"/>
      <c r="M8" s="10"/>
      <c r="N8" s="10">
        <f t="shared" si="8"/>
        <v>19432</v>
      </c>
      <c r="O8" s="10">
        <f t="shared" si="9"/>
        <v>0</v>
      </c>
      <c r="P8" s="10">
        <f>Table14[[#This Row],[Enrolment S.Y. 2025-2026 ]]*8</f>
        <v>19432</v>
      </c>
      <c r="Q8" s="10"/>
      <c r="R8" s="8"/>
      <c r="S8" s="10"/>
      <c r="T8" s="10">
        <f t="shared" si="4"/>
        <v>19432</v>
      </c>
      <c r="U8" s="10">
        <f t="shared" si="5"/>
        <v>0</v>
      </c>
      <c r="V8" s="10">
        <f>Table14[[#This Row],[Enrolment S.Y. 2025-2026 ]]*8</f>
        <v>19432</v>
      </c>
      <c r="W8" s="10"/>
      <c r="X8" s="8"/>
      <c r="Y8" s="10"/>
      <c r="Z8" s="10">
        <f t="shared" si="6"/>
        <v>19432</v>
      </c>
      <c r="AA8" s="10">
        <f t="shared" si="7"/>
        <v>0</v>
      </c>
    </row>
    <row r="9" spans="1:27" ht="19.5">
      <c r="A9" s="31">
        <v>7</v>
      </c>
      <c r="B9" s="9" t="s">
        <v>87</v>
      </c>
      <c r="C9" s="8">
        <v>2429</v>
      </c>
      <c r="D9" s="10">
        <f>Table14[[#This Row],[Enrolment S.Y. 2025-2026 ]]*8</f>
        <v>19432</v>
      </c>
      <c r="E9" s="10"/>
      <c r="F9" s="8"/>
      <c r="G9" s="10"/>
      <c r="H9" s="10">
        <f>IF((D9-E9)&lt;0,0,(D9-E9))</f>
        <v>19432</v>
      </c>
      <c r="I9" s="10">
        <f>IF((E9-D9)&lt;0,0,(E9-D9))</f>
        <v>0</v>
      </c>
      <c r="J9" s="10">
        <f>Table14[[#This Row],[Enrolment S.Y. 2025-2026 ]]*8</f>
        <v>19432</v>
      </c>
      <c r="K9" s="10"/>
      <c r="L9" s="8"/>
      <c r="M9" s="10"/>
      <c r="N9" s="10">
        <f t="shared" si="8"/>
        <v>19432</v>
      </c>
      <c r="O9" s="10">
        <f t="shared" si="9"/>
        <v>0</v>
      </c>
      <c r="P9" s="10">
        <f>Table14[[#This Row],[Enrolment S.Y. 2025-2026 ]]*8</f>
        <v>19432</v>
      </c>
      <c r="Q9" s="10"/>
      <c r="R9" s="8"/>
      <c r="S9" s="10"/>
      <c r="T9" s="10">
        <f>IF((P9-Q9)&lt;0,0,(P9-Q9))</f>
        <v>19432</v>
      </c>
      <c r="U9" s="10">
        <f>IF((Q9-P9)&lt;0,0,(Q9-P9))</f>
        <v>0</v>
      </c>
      <c r="V9" s="10">
        <f>Table14[[#This Row],[Enrolment S.Y. 2025-2026 ]]*8</f>
        <v>19432</v>
      </c>
      <c r="W9" s="10"/>
      <c r="X9" s="8"/>
      <c r="Y9" s="10"/>
      <c r="Z9" s="10">
        <f>IF((V9-W9)&lt;0,0,(V9-W9))</f>
        <v>19432</v>
      </c>
      <c r="AA9" s="10">
        <f>IF((W9-V9)&lt;0,0,(W9-V9))</f>
        <v>0</v>
      </c>
    </row>
    <row r="10" spans="1:27" ht="19.5">
      <c r="A10" s="8">
        <v>7</v>
      </c>
      <c r="B10" s="9" t="s">
        <v>88</v>
      </c>
      <c r="C10" s="8">
        <v>2429</v>
      </c>
      <c r="D10" s="10">
        <f>Table14[[#This Row],[Enrolment S.Y. 2025-2026 ]]*8</f>
        <v>19432</v>
      </c>
      <c r="E10" s="10"/>
      <c r="F10" s="8"/>
      <c r="G10" s="10"/>
      <c r="H10" s="10">
        <f t="shared" si="0"/>
        <v>19432</v>
      </c>
      <c r="I10" s="10">
        <f t="shared" si="1"/>
        <v>0</v>
      </c>
      <c r="J10" s="10">
        <f>Table14[[#This Row],[Enrolment S.Y. 2025-2026 ]]*8</f>
        <v>19432</v>
      </c>
      <c r="K10" s="10"/>
      <c r="L10" s="8"/>
      <c r="M10" s="10"/>
      <c r="N10" s="10">
        <f t="shared" si="8"/>
        <v>19432</v>
      </c>
      <c r="O10" s="10">
        <f t="shared" si="9"/>
        <v>0</v>
      </c>
      <c r="P10" s="10">
        <f>Table14[[#This Row],[Enrolment S.Y. 2025-2026 ]]*8</f>
        <v>19432</v>
      </c>
      <c r="Q10" s="10"/>
      <c r="R10" s="8"/>
      <c r="S10" s="10"/>
      <c r="T10" s="10">
        <f t="shared" ref="T10:T51" si="10">IF((P10-Q10)&lt;0,0,(P10-Q10))</f>
        <v>19432</v>
      </c>
      <c r="U10" s="10">
        <f t="shared" ref="U10:U51" si="11">IF((Q10-P10)&lt;0,0,(Q10-P10))</f>
        <v>0</v>
      </c>
      <c r="V10" s="10">
        <f>Table14[[#This Row],[Enrolment S.Y. 2025-2026 ]]*8</f>
        <v>19432</v>
      </c>
      <c r="W10" s="10"/>
      <c r="X10" s="8"/>
      <c r="Y10" s="10"/>
      <c r="Z10" s="10">
        <f t="shared" ref="Z10:Z51" si="12">IF((V10-W10)&lt;0,0,(V10-W10))</f>
        <v>19432</v>
      </c>
      <c r="AA10" s="10">
        <f t="shared" ref="AA10:AA51" si="13">IF((W10-V10)&lt;0,0,(W10-V10))</f>
        <v>0</v>
      </c>
    </row>
    <row r="11" spans="1:27" ht="19.5">
      <c r="A11" s="8">
        <v>7</v>
      </c>
      <c r="B11" s="9" t="s">
        <v>16</v>
      </c>
      <c r="C11" s="8">
        <v>2429</v>
      </c>
      <c r="D11" s="10">
        <f>Table14[[#This Row],[Enrolment S.Y. 2025-2026 ]]*8</f>
        <v>19432</v>
      </c>
      <c r="E11" s="10"/>
      <c r="F11" s="8"/>
      <c r="G11" s="10"/>
      <c r="H11" s="10">
        <f t="shared" si="0"/>
        <v>19432</v>
      </c>
      <c r="I11" s="10">
        <f t="shared" si="1"/>
        <v>0</v>
      </c>
      <c r="J11" s="10">
        <f>Table14[[#This Row],[Enrolment S.Y. 2025-2026 ]]*8</f>
        <v>19432</v>
      </c>
      <c r="K11" s="10"/>
      <c r="L11" s="8"/>
      <c r="M11" s="10"/>
      <c r="N11" s="10">
        <f t="shared" si="8"/>
        <v>19432</v>
      </c>
      <c r="O11" s="10">
        <f t="shared" si="9"/>
        <v>0</v>
      </c>
      <c r="P11" s="10">
        <f>Table14[[#This Row],[Enrolment S.Y. 2025-2026 ]]*8</f>
        <v>19432</v>
      </c>
      <c r="Q11" s="10"/>
      <c r="R11" s="8"/>
      <c r="S11" s="10"/>
      <c r="T11" s="10">
        <f t="shared" si="10"/>
        <v>19432</v>
      </c>
      <c r="U11" s="10">
        <f t="shared" si="11"/>
        <v>0</v>
      </c>
      <c r="V11" s="10">
        <f>Table14[[#This Row],[Enrolment S.Y. 2025-2026 ]]*8</f>
        <v>19432</v>
      </c>
      <c r="W11" s="10"/>
      <c r="X11" s="8"/>
      <c r="Y11" s="10"/>
      <c r="Z11" s="10">
        <f t="shared" si="12"/>
        <v>19432</v>
      </c>
      <c r="AA11" s="10">
        <f t="shared" si="13"/>
        <v>0</v>
      </c>
    </row>
    <row r="12" spans="1:27" ht="19.5">
      <c r="A12" s="31">
        <v>7</v>
      </c>
      <c r="B12" s="9" t="s">
        <v>89</v>
      </c>
      <c r="C12" s="8">
        <v>2429</v>
      </c>
      <c r="D12" s="10">
        <f>Table14[[#This Row],[Enrolment S.Y. 2025-2026 ]]*8</f>
        <v>19432</v>
      </c>
      <c r="E12" s="10"/>
      <c r="F12" s="8"/>
      <c r="G12" s="10"/>
      <c r="H12" s="10">
        <f>IF((D12-E12)&lt;0,0,(D12-E12))</f>
        <v>19432</v>
      </c>
      <c r="I12" s="10">
        <f>IF((E12-D12)&lt;0,0,(E12-D12))</f>
        <v>0</v>
      </c>
      <c r="J12" s="10">
        <f>Table14[[#This Row],[Enrolment S.Y. 2025-2026 ]]*8</f>
        <v>19432</v>
      </c>
      <c r="K12" s="10"/>
      <c r="L12" s="8"/>
      <c r="M12" s="10"/>
      <c r="N12" s="10">
        <f t="shared" si="8"/>
        <v>19432</v>
      </c>
      <c r="O12" s="10">
        <f t="shared" si="9"/>
        <v>0</v>
      </c>
      <c r="P12" s="10">
        <f>Table14[[#This Row],[Enrolment S.Y. 2025-2026 ]]*8</f>
        <v>19432</v>
      </c>
      <c r="Q12" s="10"/>
      <c r="R12" s="8"/>
      <c r="S12" s="10"/>
      <c r="T12" s="10">
        <f>IF((P12-Q12)&lt;0,0,(P12-Q12))</f>
        <v>19432</v>
      </c>
      <c r="U12" s="10">
        <f>IF((Q12-P12)&lt;0,0,(Q12-P12))</f>
        <v>0</v>
      </c>
      <c r="V12" s="10">
        <f>Table14[[#This Row],[Enrolment S.Y. 2025-2026 ]]*8</f>
        <v>19432</v>
      </c>
      <c r="W12" s="10"/>
      <c r="X12" s="8"/>
      <c r="Y12" s="10"/>
      <c r="Z12" s="10">
        <f>IF((V12-W12)&lt;0,0,(V12-W12))</f>
        <v>19432</v>
      </c>
      <c r="AA12" s="10">
        <f>IF((W12-V12)&lt;0,0,(W12-V12))</f>
        <v>0</v>
      </c>
    </row>
    <row r="13" spans="1:27" ht="19.5">
      <c r="A13" s="8">
        <v>7</v>
      </c>
      <c r="B13" s="9" t="s">
        <v>90</v>
      </c>
      <c r="C13" s="8">
        <v>2429</v>
      </c>
      <c r="D13" s="10">
        <f>Table14[[#This Row],[Enrolment S.Y. 2025-2026 ]]*8</f>
        <v>19432</v>
      </c>
      <c r="E13" s="10"/>
      <c r="F13" s="8"/>
      <c r="G13" s="10"/>
      <c r="H13" s="10">
        <f t="shared" si="0"/>
        <v>19432</v>
      </c>
      <c r="I13" s="10">
        <f t="shared" si="1"/>
        <v>0</v>
      </c>
      <c r="J13" s="10">
        <f>Table14[[#This Row],[Enrolment S.Y. 2025-2026 ]]*8</f>
        <v>19432</v>
      </c>
      <c r="K13" s="10"/>
      <c r="L13" s="8"/>
      <c r="M13" s="10"/>
      <c r="N13" s="10">
        <f t="shared" si="8"/>
        <v>19432</v>
      </c>
      <c r="O13" s="10">
        <f t="shared" si="9"/>
        <v>0</v>
      </c>
      <c r="P13" s="10">
        <f>Table14[[#This Row],[Enrolment S.Y. 2025-2026 ]]*8</f>
        <v>19432</v>
      </c>
      <c r="Q13" s="10"/>
      <c r="R13" s="8"/>
      <c r="S13" s="10"/>
      <c r="T13" s="10">
        <f t="shared" si="10"/>
        <v>19432</v>
      </c>
      <c r="U13" s="10">
        <f t="shared" si="11"/>
        <v>0</v>
      </c>
      <c r="V13" s="10">
        <f>Table14[[#This Row],[Enrolment S.Y. 2025-2026 ]]*8</f>
        <v>19432</v>
      </c>
      <c r="W13" s="10"/>
      <c r="X13" s="8"/>
      <c r="Y13" s="10"/>
      <c r="Z13" s="10">
        <f t="shared" si="12"/>
        <v>19432</v>
      </c>
      <c r="AA13" s="10">
        <f t="shared" si="13"/>
        <v>0</v>
      </c>
    </row>
    <row r="14" spans="1:27" s="5" customFormat="1"/>
    <row r="15" spans="1:27" ht="19.5">
      <c r="A15" s="8">
        <v>8</v>
      </c>
      <c r="B15" s="9" t="s">
        <v>8</v>
      </c>
      <c r="C15" s="8">
        <v>1999</v>
      </c>
      <c r="D15" s="10">
        <f>Table14[[#This Row],[Enrolment S.Y. 2025-2026 ]]*8</f>
        <v>15992</v>
      </c>
      <c r="E15" s="10"/>
      <c r="F15" s="8"/>
      <c r="G15" s="10"/>
      <c r="H15" s="10">
        <f t="shared" si="0"/>
        <v>15992</v>
      </c>
      <c r="I15" s="10">
        <f t="shared" si="1"/>
        <v>0</v>
      </c>
      <c r="J15" s="10">
        <f>Table14[[#This Row],[Enrolment S.Y. 2025-2026 ]]*8</f>
        <v>15992</v>
      </c>
      <c r="K15" s="10"/>
      <c r="L15" s="8"/>
      <c r="M15" s="10"/>
      <c r="N15" s="10">
        <f t="shared" ref="N15:N51" si="14">IF((J15-K15)&lt;0,0,(J15-K15))</f>
        <v>15992</v>
      </c>
      <c r="O15" s="10">
        <f t="shared" ref="O15:O51" si="15">IF((K15-J15)&lt;0,0,(K15-J15))</f>
        <v>0</v>
      </c>
      <c r="P15" s="10">
        <f>Table14[[#This Row],[Enrolment S.Y. 2025-2026 ]]*8</f>
        <v>15992</v>
      </c>
      <c r="Q15" s="10"/>
      <c r="R15" s="8"/>
      <c r="S15" s="10"/>
      <c r="T15" s="10">
        <f t="shared" si="10"/>
        <v>15992</v>
      </c>
      <c r="U15" s="10">
        <f t="shared" si="11"/>
        <v>0</v>
      </c>
      <c r="V15" s="10">
        <f>Table14[[#This Row],[Enrolment S.Y. 2025-2026 ]]*8</f>
        <v>15992</v>
      </c>
      <c r="W15" s="10"/>
      <c r="X15" s="8"/>
      <c r="Y15" s="10"/>
      <c r="Z15" s="10">
        <f t="shared" si="12"/>
        <v>15992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1999</v>
      </c>
      <c r="D16" s="10">
        <f>Table14[[#This Row],[Enrolment S.Y. 2025-2026 ]]*8</f>
        <v>15992</v>
      </c>
      <c r="E16" s="10"/>
      <c r="F16" s="8"/>
      <c r="G16" s="10"/>
      <c r="H16" s="10">
        <f t="shared" si="0"/>
        <v>15992</v>
      </c>
      <c r="I16" s="10">
        <f t="shared" si="1"/>
        <v>0</v>
      </c>
      <c r="J16" s="10">
        <f>Table14[[#This Row],[Enrolment S.Y. 2025-2026 ]]*8</f>
        <v>15992</v>
      </c>
      <c r="K16" s="10"/>
      <c r="L16" s="8"/>
      <c r="M16" s="10"/>
      <c r="N16" s="10">
        <f t="shared" si="14"/>
        <v>15992</v>
      </c>
      <c r="O16" s="10">
        <f t="shared" si="15"/>
        <v>0</v>
      </c>
      <c r="P16" s="10">
        <f>Table14[[#This Row],[Enrolment S.Y. 2025-2026 ]]*8</f>
        <v>15992</v>
      </c>
      <c r="Q16" s="10"/>
      <c r="R16" s="8"/>
      <c r="S16" s="10"/>
      <c r="T16" s="10">
        <f t="shared" si="10"/>
        <v>15992</v>
      </c>
      <c r="U16" s="10">
        <f t="shared" si="11"/>
        <v>0</v>
      </c>
      <c r="V16" s="10">
        <f>Table14[[#This Row],[Enrolment S.Y. 2025-2026 ]]*8</f>
        <v>15992</v>
      </c>
      <c r="W16" s="10"/>
      <c r="X16" s="8"/>
      <c r="Y16" s="10"/>
      <c r="Z16" s="10">
        <f t="shared" si="12"/>
        <v>15992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1999</v>
      </c>
      <c r="D17" s="10">
        <f>Table14[[#This Row],[Enrolment S.Y. 2025-2026 ]]*8</f>
        <v>15992</v>
      </c>
      <c r="E17" s="10"/>
      <c r="F17" s="8"/>
      <c r="G17" s="10"/>
      <c r="H17" s="10">
        <f t="shared" si="0"/>
        <v>15992</v>
      </c>
      <c r="I17" s="10">
        <f t="shared" si="1"/>
        <v>0</v>
      </c>
      <c r="J17" s="10">
        <f>Table14[[#This Row],[Enrolment S.Y. 2025-2026 ]]*8</f>
        <v>15992</v>
      </c>
      <c r="K17" s="10"/>
      <c r="L17" s="8"/>
      <c r="M17" s="10"/>
      <c r="N17" s="10">
        <f t="shared" si="14"/>
        <v>15992</v>
      </c>
      <c r="O17" s="10">
        <f t="shared" si="15"/>
        <v>0</v>
      </c>
      <c r="P17" s="10">
        <f>Table14[[#This Row],[Enrolment S.Y. 2025-2026 ]]*8</f>
        <v>15992</v>
      </c>
      <c r="Q17" s="10"/>
      <c r="R17" s="8"/>
      <c r="S17" s="10"/>
      <c r="T17" s="10">
        <f t="shared" si="10"/>
        <v>15992</v>
      </c>
      <c r="U17" s="10">
        <f t="shared" si="11"/>
        <v>0</v>
      </c>
      <c r="V17" s="10">
        <f>Table14[[#This Row],[Enrolment S.Y. 2025-2026 ]]*8</f>
        <v>15992</v>
      </c>
      <c r="W17" s="10"/>
      <c r="X17" s="8"/>
      <c r="Y17" s="10"/>
      <c r="Z17" s="10">
        <f t="shared" si="12"/>
        <v>15992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1999</v>
      </c>
      <c r="D18" s="10">
        <f>Table14[[#This Row],[Enrolment S.Y. 2025-2026 ]]*8</f>
        <v>15992</v>
      </c>
      <c r="E18" s="10"/>
      <c r="F18" s="8"/>
      <c r="G18" s="10"/>
      <c r="H18" s="10">
        <f t="shared" si="0"/>
        <v>15992</v>
      </c>
      <c r="I18" s="10">
        <f t="shared" si="1"/>
        <v>0</v>
      </c>
      <c r="J18" s="10">
        <f>Table14[[#This Row],[Enrolment S.Y. 2025-2026 ]]*8</f>
        <v>15992</v>
      </c>
      <c r="K18" s="10"/>
      <c r="L18" s="8"/>
      <c r="M18" s="10"/>
      <c r="N18" s="10">
        <f t="shared" si="14"/>
        <v>15992</v>
      </c>
      <c r="O18" s="10">
        <f t="shared" si="15"/>
        <v>0</v>
      </c>
      <c r="P18" s="10">
        <f>Table14[[#This Row],[Enrolment S.Y. 2025-2026 ]]*8</f>
        <v>15992</v>
      </c>
      <c r="Q18" s="10"/>
      <c r="R18" s="8"/>
      <c r="S18" s="10"/>
      <c r="T18" s="10">
        <f t="shared" si="10"/>
        <v>15992</v>
      </c>
      <c r="U18" s="10">
        <f t="shared" si="11"/>
        <v>0</v>
      </c>
      <c r="V18" s="10">
        <f>Table14[[#This Row],[Enrolment S.Y. 2025-2026 ]]*8</f>
        <v>15992</v>
      </c>
      <c r="W18" s="10"/>
      <c r="X18" s="8"/>
      <c r="Y18" s="10"/>
      <c r="Z18" s="10">
        <f t="shared" si="12"/>
        <v>15992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1999</v>
      </c>
      <c r="D19" s="10">
        <f>Table14[[#This Row],[Enrolment S.Y. 2025-2026 ]]*8</f>
        <v>15992</v>
      </c>
      <c r="E19" s="10"/>
      <c r="F19" s="8"/>
      <c r="G19" s="10"/>
      <c r="H19" s="10">
        <f t="shared" si="0"/>
        <v>15992</v>
      </c>
      <c r="I19" s="10">
        <f t="shared" si="1"/>
        <v>0</v>
      </c>
      <c r="J19" s="10">
        <f>Table14[[#This Row],[Enrolment S.Y. 2025-2026 ]]*8</f>
        <v>15992</v>
      </c>
      <c r="K19" s="10"/>
      <c r="L19" s="8"/>
      <c r="M19" s="10"/>
      <c r="N19" s="10">
        <f t="shared" si="14"/>
        <v>15992</v>
      </c>
      <c r="O19" s="10">
        <f t="shared" si="15"/>
        <v>0</v>
      </c>
      <c r="P19" s="10">
        <f>Table14[[#This Row],[Enrolment S.Y. 2025-2026 ]]*8</f>
        <v>15992</v>
      </c>
      <c r="Q19" s="10"/>
      <c r="R19" s="8"/>
      <c r="S19" s="10"/>
      <c r="T19" s="10">
        <f t="shared" si="10"/>
        <v>15992</v>
      </c>
      <c r="U19" s="10">
        <f t="shared" si="11"/>
        <v>0</v>
      </c>
      <c r="V19" s="10">
        <f>Table14[[#This Row],[Enrolment S.Y. 2025-2026 ]]*8</f>
        <v>15992</v>
      </c>
      <c r="W19" s="10"/>
      <c r="X19" s="8"/>
      <c r="Y19" s="10"/>
      <c r="Z19" s="10">
        <f t="shared" si="12"/>
        <v>15992</v>
      </c>
      <c r="AA19" s="10">
        <f t="shared" si="13"/>
        <v>0</v>
      </c>
    </row>
    <row r="20" spans="1:27" ht="19.5">
      <c r="A20" s="8">
        <v>8</v>
      </c>
      <c r="B20" s="9" t="s">
        <v>14</v>
      </c>
      <c r="C20" s="8">
        <v>1999</v>
      </c>
      <c r="D20" s="10">
        <f>Table14[[#This Row],[Enrolment S.Y. 2025-2026 ]]*8</f>
        <v>15992</v>
      </c>
      <c r="E20" s="10"/>
      <c r="F20" s="8"/>
      <c r="G20" s="10"/>
      <c r="H20" s="10">
        <f t="shared" ref="H20:H51" si="16">IF((D20-E20)&lt;0,0,(D20-E20))</f>
        <v>15992</v>
      </c>
      <c r="I20" s="10">
        <f t="shared" ref="I20:I51" si="17">IF((E20-D20)&lt;0,0,(E20-D20))</f>
        <v>0</v>
      </c>
      <c r="J20" s="10">
        <f>Table14[[#This Row],[Enrolment S.Y. 2025-2026 ]]*8</f>
        <v>15992</v>
      </c>
      <c r="K20" s="10"/>
      <c r="L20" s="8"/>
      <c r="M20" s="10"/>
      <c r="N20" s="10">
        <f t="shared" ref="N20:N25" si="18">IF((J20-K20)&lt;0,0,(J20-K20))</f>
        <v>15992</v>
      </c>
      <c r="O20" s="10">
        <f t="shared" ref="O20:O25" si="19">IF((K20-J20)&lt;0,0,(K20-J20))</f>
        <v>0</v>
      </c>
      <c r="P20" s="10">
        <f>Table14[[#This Row],[Enrolment S.Y. 2025-2026 ]]*8</f>
        <v>15992</v>
      </c>
      <c r="Q20" s="10"/>
      <c r="R20" s="8"/>
      <c r="S20" s="10"/>
      <c r="T20" s="10">
        <f t="shared" si="10"/>
        <v>15992</v>
      </c>
      <c r="U20" s="10">
        <f t="shared" si="11"/>
        <v>0</v>
      </c>
      <c r="V20" s="10">
        <f>Table14[[#This Row],[Enrolment S.Y. 2025-2026 ]]*8</f>
        <v>15992</v>
      </c>
      <c r="W20" s="10"/>
      <c r="X20" s="8"/>
      <c r="Y20" s="10"/>
      <c r="Z20" s="10">
        <f t="shared" si="12"/>
        <v>15992</v>
      </c>
      <c r="AA20" s="10">
        <f t="shared" si="13"/>
        <v>0</v>
      </c>
    </row>
    <row r="21" spans="1:27" ht="19.5">
      <c r="A21" s="31">
        <v>8</v>
      </c>
      <c r="B21" s="9" t="s">
        <v>87</v>
      </c>
      <c r="C21" s="8">
        <v>1999</v>
      </c>
      <c r="D21" s="10">
        <f>Table14[[#This Row],[Enrolment S.Y. 2025-2026 ]]*8</f>
        <v>15992</v>
      </c>
      <c r="E21" s="10"/>
      <c r="F21" s="8"/>
      <c r="G21" s="10"/>
      <c r="H21" s="10">
        <f>IF((D21-E21)&lt;0,0,(D21-E21))</f>
        <v>15992</v>
      </c>
      <c r="I21" s="10">
        <f>IF((E21-D21)&lt;0,0,(E21-D21))</f>
        <v>0</v>
      </c>
      <c r="J21" s="10">
        <f>Table14[[#This Row],[Enrolment S.Y. 2025-2026 ]]*8</f>
        <v>15992</v>
      </c>
      <c r="K21" s="10"/>
      <c r="L21" s="8"/>
      <c r="M21" s="10"/>
      <c r="N21" s="10">
        <f t="shared" si="18"/>
        <v>15992</v>
      </c>
      <c r="O21" s="10">
        <f t="shared" si="19"/>
        <v>0</v>
      </c>
      <c r="P21" s="10">
        <f>Table14[[#This Row],[Enrolment S.Y. 2025-2026 ]]*8</f>
        <v>15992</v>
      </c>
      <c r="Q21" s="10"/>
      <c r="R21" s="8"/>
      <c r="S21" s="10"/>
      <c r="T21" s="10">
        <f>IF((P21-Q21)&lt;0,0,(P21-Q21))</f>
        <v>15992</v>
      </c>
      <c r="U21" s="10">
        <f>IF((Q21-P21)&lt;0,0,(Q21-P21))</f>
        <v>0</v>
      </c>
      <c r="V21" s="10">
        <f>Table14[[#This Row],[Enrolment S.Y. 2025-2026 ]]*8</f>
        <v>15992</v>
      </c>
      <c r="W21" s="10"/>
      <c r="X21" s="8"/>
      <c r="Y21" s="10"/>
      <c r="Z21" s="10">
        <f>IF((V21-W21)&lt;0,0,(V21-W21))</f>
        <v>15992</v>
      </c>
      <c r="AA21" s="10">
        <f>IF((W21-V21)&lt;0,0,(W21-V21))</f>
        <v>0</v>
      </c>
    </row>
    <row r="22" spans="1:27" ht="19.5">
      <c r="A22" s="8">
        <v>8</v>
      </c>
      <c r="B22" s="9" t="s">
        <v>88</v>
      </c>
      <c r="C22" s="8">
        <v>1999</v>
      </c>
      <c r="D22" s="10">
        <f>Table14[[#This Row],[Enrolment S.Y. 2025-2026 ]]*8</f>
        <v>15992</v>
      </c>
      <c r="E22" s="10"/>
      <c r="F22" s="8"/>
      <c r="G22" s="10"/>
      <c r="H22" s="10">
        <f t="shared" si="16"/>
        <v>15992</v>
      </c>
      <c r="I22" s="10">
        <f t="shared" si="17"/>
        <v>0</v>
      </c>
      <c r="J22" s="10">
        <f>Table14[[#This Row],[Enrolment S.Y. 2025-2026 ]]*8</f>
        <v>15992</v>
      </c>
      <c r="K22" s="10"/>
      <c r="L22" s="8"/>
      <c r="M22" s="10"/>
      <c r="N22" s="10">
        <f t="shared" si="18"/>
        <v>15992</v>
      </c>
      <c r="O22" s="10">
        <f t="shared" si="19"/>
        <v>0</v>
      </c>
      <c r="P22" s="10">
        <f>Table14[[#This Row],[Enrolment S.Y. 2025-2026 ]]*8</f>
        <v>15992</v>
      </c>
      <c r="Q22" s="10"/>
      <c r="R22" s="8"/>
      <c r="S22" s="10"/>
      <c r="T22" s="10">
        <f t="shared" si="10"/>
        <v>15992</v>
      </c>
      <c r="U22" s="10">
        <f t="shared" si="11"/>
        <v>0</v>
      </c>
      <c r="V22" s="10">
        <f>Table14[[#This Row],[Enrolment S.Y. 2025-2026 ]]*8</f>
        <v>15992</v>
      </c>
      <c r="W22" s="10"/>
      <c r="X22" s="8"/>
      <c r="Y22" s="10"/>
      <c r="Z22" s="10">
        <f t="shared" si="12"/>
        <v>15992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1999</v>
      </c>
      <c r="D23" s="10">
        <f>Table14[[#This Row],[Enrolment S.Y. 2025-2026 ]]*8</f>
        <v>15992</v>
      </c>
      <c r="E23" s="10"/>
      <c r="F23" s="8"/>
      <c r="G23" s="10"/>
      <c r="H23" s="10">
        <f t="shared" si="16"/>
        <v>15992</v>
      </c>
      <c r="I23" s="10">
        <f t="shared" si="17"/>
        <v>0</v>
      </c>
      <c r="J23" s="10">
        <f>Table14[[#This Row],[Enrolment S.Y. 2025-2026 ]]*8</f>
        <v>15992</v>
      </c>
      <c r="K23" s="10"/>
      <c r="L23" s="8"/>
      <c r="M23" s="10"/>
      <c r="N23" s="10">
        <f t="shared" si="18"/>
        <v>15992</v>
      </c>
      <c r="O23" s="10">
        <f t="shared" si="19"/>
        <v>0</v>
      </c>
      <c r="P23" s="10">
        <f>Table14[[#This Row],[Enrolment S.Y. 2025-2026 ]]*8</f>
        <v>15992</v>
      </c>
      <c r="Q23" s="10"/>
      <c r="R23" s="8"/>
      <c r="S23" s="10"/>
      <c r="T23" s="10">
        <f t="shared" si="10"/>
        <v>15992</v>
      </c>
      <c r="U23" s="10">
        <f t="shared" si="11"/>
        <v>0</v>
      </c>
      <c r="V23" s="10">
        <f>Table14[[#This Row],[Enrolment S.Y. 2025-2026 ]]*8</f>
        <v>15992</v>
      </c>
      <c r="W23" s="10"/>
      <c r="X23" s="8"/>
      <c r="Y23" s="10"/>
      <c r="Z23" s="10">
        <f t="shared" si="12"/>
        <v>15992</v>
      </c>
      <c r="AA23" s="10">
        <f t="shared" si="13"/>
        <v>0</v>
      </c>
    </row>
    <row r="24" spans="1:27" ht="19.5">
      <c r="A24" s="31">
        <v>8</v>
      </c>
      <c r="B24" s="9" t="s">
        <v>89</v>
      </c>
      <c r="C24" s="8">
        <v>1999</v>
      </c>
      <c r="D24" s="10">
        <f>Table14[[#This Row],[Enrolment S.Y. 2025-2026 ]]*8</f>
        <v>15992</v>
      </c>
      <c r="E24" s="10"/>
      <c r="F24" s="8"/>
      <c r="G24" s="10"/>
      <c r="H24" s="10">
        <f>IF((D24-E24)&lt;0,0,(D24-E24))</f>
        <v>15992</v>
      </c>
      <c r="I24" s="10">
        <f>IF((E24-D24)&lt;0,0,(E24-D24))</f>
        <v>0</v>
      </c>
      <c r="J24" s="10">
        <f>Table14[[#This Row],[Enrolment S.Y. 2025-2026 ]]*8</f>
        <v>15992</v>
      </c>
      <c r="K24" s="10"/>
      <c r="L24" s="8"/>
      <c r="M24" s="10"/>
      <c r="N24" s="10">
        <f t="shared" si="18"/>
        <v>15992</v>
      </c>
      <c r="O24" s="10">
        <f t="shared" si="19"/>
        <v>0</v>
      </c>
      <c r="P24" s="10">
        <f>Table14[[#This Row],[Enrolment S.Y. 2025-2026 ]]*8</f>
        <v>15992</v>
      </c>
      <c r="Q24" s="10"/>
      <c r="R24" s="8"/>
      <c r="S24" s="10"/>
      <c r="T24" s="10">
        <f>IF((P24-Q24)&lt;0,0,(P24-Q24))</f>
        <v>15992</v>
      </c>
      <c r="U24" s="10">
        <f>IF((Q24-P24)&lt;0,0,(Q24-P24))</f>
        <v>0</v>
      </c>
      <c r="V24" s="10">
        <f>Table14[[#This Row],[Enrolment S.Y. 2025-2026 ]]*8</f>
        <v>15992</v>
      </c>
      <c r="W24" s="10"/>
      <c r="X24" s="8"/>
      <c r="Y24" s="10"/>
      <c r="Z24" s="10">
        <f>IF((V24-W24)&lt;0,0,(V24-W24))</f>
        <v>15992</v>
      </c>
      <c r="AA24" s="10">
        <f>IF((W24-V24)&lt;0,0,(W24-V24))</f>
        <v>0</v>
      </c>
    </row>
    <row r="25" spans="1:27" ht="19.5">
      <c r="A25" s="8">
        <v>8</v>
      </c>
      <c r="B25" s="9" t="s">
        <v>90</v>
      </c>
      <c r="C25" s="8">
        <v>1999</v>
      </c>
      <c r="D25" s="10">
        <f>Table14[[#This Row],[Enrolment S.Y. 2025-2026 ]]*8</f>
        <v>15992</v>
      </c>
      <c r="E25" s="10"/>
      <c r="F25" s="8"/>
      <c r="G25" s="10"/>
      <c r="H25" s="10">
        <f t="shared" si="16"/>
        <v>15992</v>
      </c>
      <c r="I25" s="10">
        <f t="shared" si="17"/>
        <v>0</v>
      </c>
      <c r="J25" s="10">
        <f>Table14[[#This Row],[Enrolment S.Y. 2025-2026 ]]*8</f>
        <v>15992</v>
      </c>
      <c r="K25" s="10"/>
      <c r="L25" s="8"/>
      <c r="M25" s="10"/>
      <c r="N25" s="10">
        <f t="shared" si="18"/>
        <v>15992</v>
      </c>
      <c r="O25" s="10">
        <f t="shared" si="19"/>
        <v>0</v>
      </c>
      <c r="P25" s="10">
        <f>Table14[[#This Row],[Enrolment S.Y. 2025-2026 ]]*8</f>
        <v>15992</v>
      </c>
      <c r="Q25" s="10"/>
      <c r="R25" s="8"/>
      <c r="S25" s="10"/>
      <c r="T25" s="10">
        <f t="shared" si="10"/>
        <v>15992</v>
      </c>
      <c r="U25" s="10">
        <f t="shared" si="11"/>
        <v>0</v>
      </c>
      <c r="V25" s="10">
        <f>Table14[[#This Row],[Enrolment S.Y. 2025-2026 ]]*8</f>
        <v>15992</v>
      </c>
      <c r="W25" s="10"/>
      <c r="X25" s="8"/>
      <c r="Y25" s="10"/>
      <c r="Z25" s="10">
        <f t="shared" si="12"/>
        <v>15992</v>
      </c>
      <c r="AA25" s="10">
        <f t="shared" si="13"/>
        <v>0</v>
      </c>
    </row>
    <row r="26" spans="1:27" s="5" customFormat="1"/>
    <row r="27" spans="1:27" ht="19.5">
      <c r="A27" s="8">
        <v>9</v>
      </c>
      <c r="B27" s="9" t="s">
        <v>8</v>
      </c>
      <c r="C27" s="8">
        <v>1637</v>
      </c>
      <c r="D27" s="10">
        <f>Table14[[#This Row],[Enrolment S.Y. 2025-2026 ]]*8</f>
        <v>13096</v>
      </c>
      <c r="E27" s="10"/>
      <c r="F27" s="8"/>
      <c r="G27" s="10"/>
      <c r="H27" s="10">
        <f t="shared" si="16"/>
        <v>13096</v>
      </c>
      <c r="I27" s="10">
        <f t="shared" si="17"/>
        <v>0</v>
      </c>
      <c r="J27" s="10">
        <f>Table14[[#This Row],[Enrolment S.Y. 2025-2026 ]]*8</f>
        <v>13096</v>
      </c>
      <c r="K27" s="10"/>
      <c r="L27" s="8"/>
      <c r="M27" s="10"/>
      <c r="N27" s="10">
        <f t="shared" si="14"/>
        <v>13096</v>
      </c>
      <c r="O27" s="10">
        <f t="shared" si="15"/>
        <v>0</v>
      </c>
      <c r="P27" s="10">
        <f>Table14[[#This Row],[Enrolment S.Y. 2025-2026 ]]*8</f>
        <v>13096</v>
      </c>
      <c r="Q27" s="10"/>
      <c r="R27" s="8"/>
      <c r="S27" s="10"/>
      <c r="T27" s="10">
        <f t="shared" si="10"/>
        <v>13096</v>
      </c>
      <c r="U27" s="10">
        <f t="shared" si="11"/>
        <v>0</v>
      </c>
      <c r="V27" s="10">
        <f>Table14[[#This Row],[Enrolment S.Y. 2025-2026 ]]*8</f>
        <v>13096</v>
      </c>
      <c r="W27" s="10"/>
      <c r="X27" s="8"/>
      <c r="Y27" s="10"/>
      <c r="Z27" s="10">
        <f t="shared" si="12"/>
        <v>13096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1637</v>
      </c>
      <c r="D28" s="10">
        <f>Table14[[#This Row],[Enrolment S.Y. 2025-2026 ]]*8</f>
        <v>13096</v>
      </c>
      <c r="E28" s="10"/>
      <c r="F28" s="8"/>
      <c r="G28" s="10"/>
      <c r="H28" s="10">
        <f t="shared" si="16"/>
        <v>13096</v>
      </c>
      <c r="I28" s="10">
        <f t="shared" si="17"/>
        <v>0</v>
      </c>
      <c r="J28" s="10">
        <f>Table14[[#This Row],[Enrolment S.Y. 2025-2026 ]]*8</f>
        <v>13096</v>
      </c>
      <c r="K28" s="10"/>
      <c r="L28" s="8"/>
      <c r="M28" s="10"/>
      <c r="N28" s="10">
        <f t="shared" si="14"/>
        <v>13096</v>
      </c>
      <c r="O28" s="10">
        <f t="shared" si="15"/>
        <v>0</v>
      </c>
      <c r="P28" s="10">
        <f>Table14[[#This Row],[Enrolment S.Y. 2025-2026 ]]*8</f>
        <v>13096</v>
      </c>
      <c r="Q28" s="10"/>
      <c r="R28" s="8"/>
      <c r="S28" s="10"/>
      <c r="T28" s="10">
        <f t="shared" si="10"/>
        <v>13096</v>
      </c>
      <c r="U28" s="10">
        <f t="shared" si="11"/>
        <v>0</v>
      </c>
      <c r="V28" s="10">
        <f>Table14[[#This Row],[Enrolment S.Y. 2025-2026 ]]*8</f>
        <v>13096</v>
      </c>
      <c r="W28" s="10"/>
      <c r="X28" s="8"/>
      <c r="Y28" s="10"/>
      <c r="Z28" s="10">
        <f t="shared" si="12"/>
        <v>13096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1637</v>
      </c>
      <c r="D29" s="10">
        <f>Table14[[#This Row],[Enrolment S.Y. 2025-2026 ]]*8</f>
        <v>13096</v>
      </c>
      <c r="E29" s="10"/>
      <c r="F29" s="8"/>
      <c r="G29" s="10"/>
      <c r="H29" s="10">
        <f t="shared" si="16"/>
        <v>13096</v>
      </c>
      <c r="I29" s="10">
        <f t="shared" si="17"/>
        <v>0</v>
      </c>
      <c r="J29" s="10">
        <f>Table14[[#This Row],[Enrolment S.Y. 2025-2026 ]]*8</f>
        <v>13096</v>
      </c>
      <c r="K29" s="10"/>
      <c r="L29" s="8"/>
      <c r="M29" s="10"/>
      <c r="N29" s="10">
        <f t="shared" si="14"/>
        <v>13096</v>
      </c>
      <c r="O29" s="10">
        <f t="shared" si="15"/>
        <v>0</v>
      </c>
      <c r="P29" s="10">
        <f>Table14[[#This Row],[Enrolment S.Y. 2025-2026 ]]*8</f>
        <v>13096</v>
      </c>
      <c r="Q29" s="10"/>
      <c r="R29" s="8"/>
      <c r="S29" s="10"/>
      <c r="T29" s="10">
        <f t="shared" si="10"/>
        <v>13096</v>
      </c>
      <c r="U29" s="10">
        <f t="shared" si="11"/>
        <v>0</v>
      </c>
      <c r="V29" s="10">
        <f>Table14[[#This Row],[Enrolment S.Y. 2025-2026 ]]*8</f>
        <v>13096</v>
      </c>
      <c r="W29" s="10"/>
      <c r="X29" s="8"/>
      <c r="Y29" s="10"/>
      <c r="Z29" s="10">
        <f t="shared" si="12"/>
        <v>13096</v>
      </c>
      <c r="AA29" s="10">
        <f t="shared" si="13"/>
        <v>0</v>
      </c>
    </row>
    <row r="30" spans="1:27" ht="19.5">
      <c r="A30" s="8">
        <v>9</v>
      </c>
      <c r="B30" s="9" t="s">
        <v>12</v>
      </c>
      <c r="C30" s="8">
        <v>1637</v>
      </c>
      <c r="D30" s="10">
        <f>Table14[[#This Row],[Enrolment S.Y. 2025-2026 ]]*8</f>
        <v>13096</v>
      </c>
      <c r="E30" s="10"/>
      <c r="F30" s="8"/>
      <c r="G30" s="10"/>
      <c r="H30" s="10">
        <f t="shared" si="16"/>
        <v>13096</v>
      </c>
      <c r="I30" s="10">
        <f t="shared" si="17"/>
        <v>0</v>
      </c>
      <c r="J30" s="10">
        <f>Table14[[#This Row],[Enrolment S.Y. 2025-2026 ]]*8</f>
        <v>13096</v>
      </c>
      <c r="K30" s="10"/>
      <c r="L30" s="8"/>
      <c r="M30" s="10"/>
      <c r="N30" s="10">
        <f t="shared" si="14"/>
        <v>13096</v>
      </c>
      <c r="O30" s="10">
        <f t="shared" si="15"/>
        <v>0</v>
      </c>
      <c r="P30" s="10">
        <f>Table14[[#This Row],[Enrolment S.Y. 2025-2026 ]]*8</f>
        <v>13096</v>
      </c>
      <c r="Q30" s="10"/>
      <c r="R30" s="8"/>
      <c r="S30" s="10"/>
      <c r="T30" s="10">
        <f t="shared" si="10"/>
        <v>13096</v>
      </c>
      <c r="U30" s="10">
        <f t="shared" si="11"/>
        <v>0</v>
      </c>
      <c r="V30" s="10">
        <f>Table14[[#This Row],[Enrolment S.Y. 2025-2026 ]]*8</f>
        <v>13096</v>
      </c>
      <c r="W30" s="10"/>
      <c r="X30" s="8"/>
      <c r="Y30" s="10"/>
      <c r="Z30" s="10">
        <f t="shared" si="12"/>
        <v>13096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1637</v>
      </c>
      <c r="D31" s="10">
        <f>Table14[[#This Row],[Enrolment S.Y. 2025-2026 ]]*8</f>
        <v>13096</v>
      </c>
      <c r="E31" s="10"/>
      <c r="F31" s="8"/>
      <c r="G31" s="10"/>
      <c r="H31" s="10">
        <f t="shared" si="16"/>
        <v>13096</v>
      </c>
      <c r="I31" s="10">
        <f t="shared" si="17"/>
        <v>0</v>
      </c>
      <c r="J31" s="10">
        <f>Table14[[#This Row],[Enrolment S.Y. 2025-2026 ]]*8</f>
        <v>13096</v>
      </c>
      <c r="K31" s="10"/>
      <c r="L31" s="8"/>
      <c r="M31" s="10"/>
      <c r="N31" s="10">
        <f t="shared" si="14"/>
        <v>13096</v>
      </c>
      <c r="O31" s="10">
        <f t="shared" si="15"/>
        <v>0</v>
      </c>
      <c r="P31" s="10">
        <f>Table14[[#This Row],[Enrolment S.Y. 2025-2026 ]]*8</f>
        <v>13096</v>
      </c>
      <c r="Q31" s="10"/>
      <c r="R31" s="8"/>
      <c r="S31" s="10"/>
      <c r="T31" s="10">
        <f t="shared" si="10"/>
        <v>13096</v>
      </c>
      <c r="U31" s="10">
        <f t="shared" si="11"/>
        <v>0</v>
      </c>
      <c r="V31" s="10">
        <f>Table14[[#This Row],[Enrolment S.Y. 2025-2026 ]]*8</f>
        <v>13096</v>
      </c>
      <c r="W31" s="10"/>
      <c r="X31" s="8"/>
      <c r="Y31" s="10"/>
      <c r="Z31" s="10">
        <f t="shared" si="12"/>
        <v>13096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1637</v>
      </c>
      <c r="D32" s="10">
        <f>Table14[[#This Row],[Enrolment S.Y. 2025-2026 ]]*8</f>
        <v>13096</v>
      </c>
      <c r="E32" s="10"/>
      <c r="F32" s="8"/>
      <c r="G32" s="10"/>
      <c r="H32" s="10">
        <f t="shared" si="16"/>
        <v>13096</v>
      </c>
      <c r="I32" s="10">
        <f t="shared" si="17"/>
        <v>0</v>
      </c>
      <c r="J32" s="10">
        <f>Table14[[#This Row],[Enrolment S.Y. 2025-2026 ]]*8</f>
        <v>13096</v>
      </c>
      <c r="K32" s="10"/>
      <c r="L32" s="8"/>
      <c r="M32" s="10"/>
      <c r="N32" s="10">
        <f t="shared" si="14"/>
        <v>13096</v>
      </c>
      <c r="O32" s="10">
        <f t="shared" si="15"/>
        <v>0</v>
      </c>
      <c r="P32" s="10">
        <f>Table14[[#This Row],[Enrolment S.Y. 2025-2026 ]]*8</f>
        <v>13096</v>
      </c>
      <c r="Q32" s="10"/>
      <c r="R32" s="8"/>
      <c r="S32" s="10"/>
      <c r="T32" s="10">
        <f t="shared" si="10"/>
        <v>13096</v>
      </c>
      <c r="U32" s="10">
        <f t="shared" si="11"/>
        <v>0</v>
      </c>
      <c r="V32" s="10">
        <f>Table14[[#This Row],[Enrolment S.Y. 2025-2026 ]]*8</f>
        <v>13096</v>
      </c>
      <c r="W32" s="10"/>
      <c r="X32" s="8"/>
      <c r="Y32" s="10"/>
      <c r="Z32" s="10">
        <f t="shared" si="12"/>
        <v>13096</v>
      </c>
      <c r="AA32" s="10">
        <f t="shared" si="13"/>
        <v>0</v>
      </c>
    </row>
    <row r="33" spans="1:27" ht="19.5">
      <c r="A33" s="31">
        <v>9</v>
      </c>
      <c r="B33" s="9" t="s">
        <v>87</v>
      </c>
      <c r="C33" s="8">
        <v>1637</v>
      </c>
      <c r="D33" s="10">
        <f>Table14[[#This Row],[Enrolment S.Y. 2025-2026 ]]*8</f>
        <v>13096</v>
      </c>
      <c r="E33" s="10"/>
      <c r="F33" s="8"/>
      <c r="G33" s="10"/>
      <c r="H33" s="10">
        <f>IF((D33-E33)&lt;0,0,(D33-E33))</f>
        <v>13096</v>
      </c>
      <c r="I33" s="10">
        <f>IF((E33-D33)&lt;0,0,(E33-D33))</f>
        <v>0</v>
      </c>
      <c r="J33" s="10">
        <f>Table14[[#This Row],[Enrolment S.Y. 2025-2026 ]]*8</f>
        <v>13096</v>
      </c>
      <c r="K33" s="10"/>
      <c r="L33" s="8"/>
      <c r="M33" s="10"/>
      <c r="N33" s="10">
        <f t="shared" ref="N33:N37" si="20">IF((J33-K33)&lt;0,0,(J33-K33))</f>
        <v>13096</v>
      </c>
      <c r="O33" s="10">
        <f t="shared" ref="O33:O37" si="21">IF((K33-J33)&lt;0,0,(K33-J33))</f>
        <v>0</v>
      </c>
      <c r="P33" s="10">
        <f>Table14[[#This Row],[Enrolment S.Y. 2025-2026 ]]*8</f>
        <v>13096</v>
      </c>
      <c r="Q33" s="10"/>
      <c r="R33" s="8"/>
      <c r="S33" s="10"/>
      <c r="T33" s="10">
        <f>IF((P33-Q33)&lt;0,0,(P33-Q33))</f>
        <v>13096</v>
      </c>
      <c r="U33" s="10">
        <f>IF((Q33-P33)&lt;0,0,(Q33-P33))</f>
        <v>0</v>
      </c>
      <c r="V33" s="10">
        <f>Table14[[#This Row],[Enrolment S.Y. 2025-2026 ]]*8</f>
        <v>13096</v>
      </c>
      <c r="W33" s="10"/>
      <c r="X33" s="8"/>
      <c r="Y33" s="10"/>
      <c r="Z33" s="10">
        <f>IF((V33-W33)&lt;0,0,(V33-W33))</f>
        <v>13096</v>
      </c>
      <c r="AA33" s="10">
        <f>IF((W33-V33)&lt;0,0,(W33-V33))</f>
        <v>0</v>
      </c>
    </row>
    <row r="34" spans="1:27" ht="19.5">
      <c r="A34" s="8">
        <v>9</v>
      </c>
      <c r="B34" s="9" t="s">
        <v>88</v>
      </c>
      <c r="C34" s="8">
        <v>1637</v>
      </c>
      <c r="D34" s="10">
        <f>Table14[[#This Row],[Enrolment S.Y. 2025-2026 ]]*8</f>
        <v>13096</v>
      </c>
      <c r="E34" s="10"/>
      <c r="F34" s="8"/>
      <c r="G34" s="10"/>
      <c r="H34" s="10">
        <f t="shared" si="16"/>
        <v>13096</v>
      </c>
      <c r="I34" s="10">
        <f t="shared" si="17"/>
        <v>0</v>
      </c>
      <c r="J34" s="10">
        <f>Table14[[#This Row],[Enrolment S.Y. 2025-2026 ]]*8</f>
        <v>13096</v>
      </c>
      <c r="K34" s="10"/>
      <c r="L34" s="8"/>
      <c r="M34" s="10"/>
      <c r="N34" s="10">
        <f t="shared" si="20"/>
        <v>13096</v>
      </c>
      <c r="O34" s="10">
        <f t="shared" si="21"/>
        <v>0</v>
      </c>
      <c r="P34" s="10">
        <f>Table14[[#This Row],[Enrolment S.Y. 2025-2026 ]]*8</f>
        <v>13096</v>
      </c>
      <c r="Q34" s="10"/>
      <c r="R34" s="8"/>
      <c r="S34" s="10"/>
      <c r="T34" s="10">
        <f t="shared" si="10"/>
        <v>13096</v>
      </c>
      <c r="U34" s="10">
        <f t="shared" si="11"/>
        <v>0</v>
      </c>
      <c r="V34" s="10">
        <f>Table14[[#This Row],[Enrolment S.Y. 2025-2026 ]]*8</f>
        <v>13096</v>
      </c>
      <c r="W34" s="10"/>
      <c r="X34" s="8"/>
      <c r="Y34" s="10"/>
      <c r="Z34" s="10">
        <f t="shared" si="12"/>
        <v>13096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1637</v>
      </c>
      <c r="D35" s="10">
        <f>Table14[[#This Row],[Enrolment S.Y. 2025-2026 ]]*8</f>
        <v>13096</v>
      </c>
      <c r="E35" s="10"/>
      <c r="F35" s="8"/>
      <c r="G35" s="10"/>
      <c r="H35" s="10">
        <f t="shared" si="16"/>
        <v>13096</v>
      </c>
      <c r="I35" s="10">
        <f t="shared" si="17"/>
        <v>0</v>
      </c>
      <c r="J35" s="10">
        <f>Table14[[#This Row],[Enrolment S.Y. 2025-2026 ]]*8</f>
        <v>13096</v>
      </c>
      <c r="K35" s="10"/>
      <c r="L35" s="8"/>
      <c r="M35" s="10"/>
      <c r="N35" s="10">
        <f t="shared" si="20"/>
        <v>13096</v>
      </c>
      <c r="O35" s="10">
        <f t="shared" si="21"/>
        <v>0</v>
      </c>
      <c r="P35" s="10">
        <f>Table14[[#This Row],[Enrolment S.Y. 2025-2026 ]]*8</f>
        <v>13096</v>
      </c>
      <c r="Q35" s="10"/>
      <c r="R35" s="8"/>
      <c r="S35" s="10"/>
      <c r="T35" s="10">
        <f t="shared" si="10"/>
        <v>13096</v>
      </c>
      <c r="U35" s="10">
        <f t="shared" si="11"/>
        <v>0</v>
      </c>
      <c r="V35" s="10">
        <f>Table14[[#This Row],[Enrolment S.Y. 2025-2026 ]]*8</f>
        <v>13096</v>
      </c>
      <c r="W35" s="10"/>
      <c r="X35" s="8"/>
      <c r="Y35" s="10"/>
      <c r="Z35" s="10">
        <f t="shared" si="12"/>
        <v>13096</v>
      </c>
      <c r="AA35" s="10">
        <f t="shared" si="13"/>
        <v>0</v>
      </c>
    </row>
    <row r="36" spans="1:27" ht="19.5">
      <c r="A36" s="31">
        <v>9</v>
      </c>
      <c r="B36" s="9" t="s">
        <v>89</v>
      </c>
      <c r="C36" s="8">
        <v>1637</v>
      </c>
      <c r="D36" s="10">
        <f>Table14[[#This Row],[Enrolment S.Y. 2025-2026 ]]*8</f>
        <v>13096</v>
      </c>
      <c r="E36" s="10"/>
      <c r="F36" s="8"/>
      <c r="G36" s="10"/>
      <c r="H36" s="10">
        <f>IF((D36-E36)&lt;0,0,(D36-E36))</f>
        <v>13096</v>
      </c>
      <c r="I36" s="10">
        <f>IF((E36-D36)&lt;0,0,(E36-D36))</f>
        <v>0</v>
      </c>
      <c r="J36" s="10">
        <f>Table14[[#This Row],[Enrolment S.Y. 2025-2026 ]]*8</f>
        <v>13096</v>
      </c>
      <c r="K36" s="10"/>
      <c r="L36" s="8"/>
      <c r="M36" s="10"/>
      <c r="N36" s="10">
        <f t="shared" si="20"/>
        <v>13096</v>
      </c>
      <c r="O36" s="10">
        <f t="shared" si="21"/>
        <v>0</v>
      </c>
      <c r="P36" s="10">
        <f>Table14[[#This Row],[Enrolment S.Y. 2025-2026 ]]*8</f>
        <v>13096</v>
      </c>
      <c r="Q36" s="10"/>
      <c r="R36" s="8"/>
      <c r="S36" s="10"/>
      <c r="T36" s="10">
        <f>IF((P36-Q36)&lt;0,0,(P36-Q36))</f>
        <v>13096</v>
      </c>
      <c r="U36" s="10">
        <f>IF((Q36-P36)&lt;0,0,(Q36-P36))</f>
        <v>0</v>
      </c>
      <c r="V36" s="10">
        <f>Table14[[#This Row],[Enrolment S.Y. 2025-2026 ]]*8</f>
        <v>13096</v>
      </c>
      <c r="W36" s="10"/>
      <c r="X36" s="8"/>
      <c r="Y36" s="10"/>
      <c r="Z36" s="10">
        <f>IF((V36-W36)&lt;0,0,(V36-W36))</f>
        <v>13096</v>
      </c>
      <c r="AA36" s="10">
        <f>IF((W36-V36)&lt;0,0,(W36-V36))</f>
        <v>0</v>
      </c>
    </row>
    <row r="37" spans="1:27" ht="19.5">
      <c r="A37" s="8">
        <v>9</v>
      </c>
      <c r="B37" s="9" t="s">
        <v>90</v>
      </c>
      <c r="C37" s="8">
        <v>1637</v>
      </c>
      <c r="D37" s="10">
        <f>Table14[[#This Row],[Enrolment S.Y. 2025-2026 ]]*8</f>
        <v>13096</v>
      </c>
      <c r="E37" s="10"/>
      <c r="F37" s="8"/>
      <c r="G37" s="10"/>
      <c r="H37" s="10">
        <f t="shared" si="16"/>
        <v>13096</v>
      </c>
      <c r="I37" s="10">
        <f t="shared" si="17"/>
        <v>0</v>
      </c>
      <c r="J37" s="10">
        <f>Table14[[#This Row],[Enrolment S.Y. 2025-2026 ]]*8</f>
        <v>13096</v>
      </c>
      <c r="K37" s="10"/>
      <c r="L37" s="8"/>
      <c r="M37" s="10"/>
      <c r="N37" s="10">
        <f t="shared" si="20"/>
        <v>13096</v>
      </c>
      <c r="O37" s="10">
        <f t="shared" si="21"/>
        <v>0</v>
      </c>
      <c r="P37" s="10">
        <f>Table14[[#This Row],[Enrolment S.Y. 2025-2026 ]]*8</f>
        <v>13096</v>
      </c>
      <c r="Q37" s="10"/>
      <c r="R37" s="8"/>
      <c r="S37" s="10"/>
      <c r="T37" s="10">
        <f t="shared" si="10"/>
        <v>13096</v>
      </c>
      <c r="U37" s="10">
        <f t="shared" si="11"/>
        <v>0</v>
      </c>
      <c r="V37" s="10">
        <f>Table14[[#This Row],[Enrolment S.Y. 2025-2026 ]]*8</f>
        <v>13096</v>
      </c>
      <c r="W37" s="10"/>
      <c r="X37" s="8"/>
      <c r="Y37" s="10"/>
      <c r="Z37" s="10">
        <f t="shared" si="12"/>
        <v>13096</v>
      </c>
      <c r="AA37" s="10">
        <f t="shared" si="13"/>
        <v>0</v>
      </c>
    </row>
    <row r="38" spans="1:27" s="5" customFormat="1"/>
    <row r="39" spans="1:27" ht="19.5">
      <c r="A39" s="8">
        <v>10</v>
      </c>
      <c r="B39" s="9" t="s">
        <v>8</v>
      </c>
      <c r="C39" s="8">
        <v>1747</v>
      </c>
      <c r="D39" s="10">
        <f>Table14[[#This Row],[Enrolment S.Y. 2025-2026 ]]*8</f>
        <v>13976</v>
      </c>
      <c r="E39" s="10"/>
      <c r="F39" s="8"/>
      <c r="G39" s="10"/>
      <c r="H39" s="10">
        <f t="shared" si="16"/>
        <v>13976</v>
      </c>
      <c r="I39" s="10">
        <f t="shared" si="17"/>
        <v>0</v>
      </c>
      <c r="J39" s="10">
        <f>Table14[[#This Row],[Enrolment S.Y. 2025-2026 ]]*8</f>
        <v>13976</v>
      </c>
      <c r="K39" s="10"/>
      <c r="L39" s="8"/>
      <c r="M39" s="10"/>
      <c r="N39" s="10">
        <f t="shared" si="14"/>
        <v>13976</v>
      </c>
      <c r="O39" s="10">
        <f t="shared" si="15"/>
        <v>0</v>
      </c>
      <c r="P39" s="10">
        <f>Table14[[#This Row],[Enrolment S.Y. 2025-2026 ]]*8</f>
        <v>13976</v>
      </c>
      <c r="Q39" s="10"/>
      <c r="R39" s="8"/>
      <c r="S39" s="10"/>
      <c r="T39" s="10">
        <f t="shared" si="10"/>
        <v>13976</v>
      </c>
      <c r="U39" s="10">
        <f t="shared" si="11"/>
        <v>0</v>
      </c>
      <c r="V39" s="10">
        <f>Table14[[#This Row],[Enrolment S.Y. 2025-2026 ]]*8</f>
        <v>13976</v>
      </c>
      <c r="W39" s="10"/>
      <c r="X39" s="8"/>
      <c r="Y39" s="10"/>
      <c r="Z39" s="10">
        <f t="shared" si="12"/>
        <v>13976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1747</v>
      </c>
      <c r="D40" s="10">
        <f>Table14[[#This Row],[Enrolment S.Y. 2025-2026 ]]*8</f>
        <v>13976</v>
      </c>
      <c r="E40" s="10"/>
      <c r="F40" s="8"/>
      <c r="G40" s="10"/>
      <c r="H40" s="10">
        <f t="shared" si="16"/>
        <v>13976</v>
      </c>
      <c r="I40" s="10">
        <f t="shared" si="17"/>
        <v>0</v>
      </c>
      <c r="J40" s="10">
        <f>Table14[[#This Row],[Enrolment S.Y. 2025-2026 ]]*8</f>
        <v>13976</v>
      </c>
      <c r="K40" s="10"/>
      <c r="L40" s="8"/>
      <c r="M40" s="10"/>
      <c r="N40" s="10">
        <f t="shared" si="14"/>
        <v>13976</v>
      </c>
      <c r="O40" s="10">
        <f t="shared" si="15"/>
        <v>0</v>
      </c>
      <c r="P40" s="10">
        <f>Table14[[#This Row],[Enrolment S.Y. 2025-2026 ]]*8</f>
        <v>13976</v>
      </c>
      <c r="Q40" s="10"/>
      <c r="R40" s="8"/>
      <c r="S40" s="10"/>
      <c r="T40" s="10">
        <f t="shared" si="10"/>
        <v>13976</v>
      </c>
      <c r="U40" s="10">
        <f t="shared" si="11"/>
        <v>0</v>
      </c>
      <c r="V40" s="10">
        <f>Table14[[#This Row],[Enrolment S.Y. 2025-2026 ]]*8</f>
        <v>13976</v>
      </c>
      <c r="W40" s="10"/>
      <c r="X40" s="8"/>
      <c r="Y40" s="10"/>
      <c r="Z40" s="10">
        <f t="shared" si="12"/>
        <v>13976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1747</v>
      </c>
      <c r="D41" s="10">
        <f>Table14[[#This Row],[Enrolment S.Y. 2025-2026 ]]*8</f>
        <v>13976</v>
      </c>
      <c r="E41" s="10"/>
      <c r="F41" s="8"/>
      <c r="G41" s="10"/>
      <c r="H41" s="10">
        <f t="shared" si="16"/>
        <v>13976</v>
      </c>
      <c r="I41" s="10">
        <f t="shared" si="17"/>
        <v>0</v>
      </c>
      <c r="J41" s="10">
        <f>Table14[[#This Row],[Enrolment S.Y. 2025-2026 ]]*8</f>
        <v>13976</v>
      </c>
      <c r="K41" s="10"/>
      <c r="L41" s="8"/>
      <c r="M41" s="10"/>
      <c r="N41" s="10">
        <f t="shared" si="14"/>
        <v>13976</v>
      </c>
      <c r="O41" s="10">
        <f t="shared" si="15"/>
        <v>0</v>
      </c>
      <c r="P41" s="10">
        <f>Table14[[#This Row],[Enrolment S.Y. 2025-2026 ]]*8</f>
        <v>13976</v>
      </c>
      <c r="Q41" s="10"/>
      <c r="R41" s="8"/>
      <c r="S41" s="10"/>
      <c r="T41" s="10">
        <f t="shared" si="10"/>
        <v>13976</v>
      </c>
      <c r="U41" s="10">
        <f t="shared" si="11"/>
        <v>0</v>
      </c>
      <c r="V41" s="10">
        <f>Table14[[#This Row],[Enrolment S.Y. 2025-2026 ]]*8</f>
        <v>13976</v>
      </c>
      <c r="W41" s="10"/>
      <c r="X41" s="8"/>
      <c r="Y41" s="10"/>
      <c r="Z41" s="10">
        <f t="shared" si="12"/>
        <v>13976</v>
      </c>
      <c r="AA41" s="10">
        <f t="shared" si="13"/>
        <v>0</v>
      </c>
    </row>
    <row r="42" spans="1:27" ht="19.5">
      <c r="A42" s="8">
        <v>10</v>
      </c>
      <c r="B42" s="9" t="s">
        <v>12</v>
      </c>
      <c r="C42" s="8">
        <v>1747</v>
      </c>
      <c r="D42" s="10">
        <f>Table14[[#This Row],[Enrolment S.Y. 2025-2026 ]]*8</f>
        <v>13976</v>
      </c>
      <c r="E42" s="10"/>
      <c r="F42" s="8"/>
      <c r="G42" s="10"/>
      <c r="H42" s="10">
        <f t="shared" si="16"/>
        <v>13976</v>
      </c>
      <c r="I42" s="10">
        <f t="shared" si="17"/>
        <v>0</v>
      </c>
      <c r="J42" s="10">
        <f>Table14[[#This Row],[Enrolment S.Y. 2025-2026 ]]*8</f>
        <v>13976</v>
      </c>
      <c r="K42" s="10"/>
      <c r="L42" s="8"/>
      <c r="M42" s="10"/>
      <c r="N42" s="10">
        <f t="shared" si="14"/>
        <v>13976</v>
      </c>
      <c r="O42" s="10">
        <f t="shared" si="15"/>
        <v>0</v>
      </c>
      <c r="P42" s="10">
        <f>Table14[[#This Row],[Enrolment S.Y. 2025-2026 ]]*8</f>
        <v>13976</v>
      </c>
      <c r="Q42" s="10"/>
      <c r="R42" s="8"/>
      <c r="S42" s="10"/>
      <c r="T42" s="10">
        <f t="shared" si="10"/>
        <v>13976</v>
      </c>
      <c r="U42" s="10">
        <f t="shared" si="11"/>
        <v>0</v>
      </c>
      <c r="V42" s="10">
        <f>Table14[[#This Row],[Enrolment S.Y. 2025-2026 ]]*8</f>
        <v>13976</v>
      </c>
      <c r="W42" s="10"/>
      <c r="X42" s="8"/>
      <c r="Y42" s="10"/>
      <c r="Z42" s="10">
        <f t="shared" si="12"/>
        <v>13976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1747</v>
      </c>
      <c r="D43" s="10">
        <f>Table14[[#This Row],[Enrolment S.Y. 2025-2026 ]]*8</f>
        <v>13976</v>
      </c>
      <c r="E43" s="10"/>
      <c r="F43" s="8"/>
      <c r="G43" s="10"/>
      <c r="H43" s="10">
        <f t="shared" si="16"/>
        <v>13976</v>
      </c>
      <c r="I43" s="10">
        <f t="shared" si="17"/>
        <v>0</v>
      </c>
      <c r="J43" s="10">
        <f>Table14[[#This Row],[Enrolment S.Y. 2025-2026 ]]*8</f>
        <v>13976</v>
      </c>
      <c r="K43" s="10"/>
      <c r="L43" s="8"/>
      <c r="M43" s="10"/>
      <c r="N43" s="10">
        <f t="shared" si="14"/>
        <v>13976</v>
      </c>
      <c r="O43" s="10">
        <f t="shared" si="15"/>
        <v>0</v>
      </c>
      <c r="P43" s="10">
        <f>Table14[[#This Row],[Enrolment S.Y. 2025-2026 ]]*8</f>
        <v>13976</v>
      </c>
      <c r="Q43" s="10"/>
      <c r="R43" s="8"/>
      <c r="S43" s="10"/>
      <c r="T43" s="10">
        <f t="shared" si="10"/>
        <v>13976</v>
      </c>
      <c r="U43" s="10">
        <f t="shared" si="11"/>
        <v>0</v>
      </c>
      <c r="V43" s="10">
        <f>Table14[[#This Row],[Enrolment S.Y. 2025-2026 ]]*8</f>
        <v>13976</v>
      </c>
      <c r="W43" s="10"/>
      <c r="X43" s="8"/>
      <c r="Y43" s="10"/>
      <c r="Z43" s="10">
        <f t="shared" si="12"/>
        <v>13976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1747</v>
      </c>
      <c r="D44" s="10">
        <f>Table14[[#This Row],[Enrolment S.Y. 2025-2026 ]]*8</f>
        <v>13976</v>
      </c>
      <c r="E44" s="10"/>
      <c r="F44" s="8"/>
      <c r="G44" s="10"/>
      <c r="H44" s="10">
        <f t="shared" si="16"/>
        <v>13976</v>
      </c>
      <c r="I44" s="10">
        <f t="shared" si="17"/>
        <v>0</v>
      </c>
      <c r="J44" s="10">
        <f>Table14[[#This Row],[Enrolment S.Y. 2025-2026 ]]*8</f>
        <v>13976</v>
      </c>
      <c r="K44" s="10"/>
      <c r="L44" s="8"/>
      <c r="M44" s="10"/>
      <c r="N44" s="10">
        <f t="shared" si="14"/>
        <v>13976</v>
      </c>
      <c r="O44" s="10">
        <f t="shared" si="15"/>
        <v>0</v>
      </c>
      <c r="P44" s="10">
        <f>Table14[[#This Row],[Enrolment S.Y. 2025-2026 ]]*8</f>
        <v>13976</v>
      </c>
      <c r="Q44" s="10"/>
      <c r="R44" s="8"/>
      <c r="S44" s="10"/>
      <c r="T44" s="10">
        <f t="shared" si="10"/>
        <v>13976</v>
      </c>
      <c r="U44" s="10">
        <f t="shared" si="11"/>
        <v>0</v>
      </c>
      <c r="V44" s="10">
        <f>Table14[[#This Row],[Enrolment S.Y. 2025-2026 ]]*8</f>
        <v>13976</v>
      </c>
      <c r="W44" s="10"/>
      <c r="X44" s="8"/>
      <c r="Y44" s="10"/>
      <c r="Z44" s="10">
        <f t="shared" si="12"/>
        <v>13976</v>
      </c>
      <c r="AA44" s="10">
        <f t="shared" si="13"/>
        <v>0</v>
      </c>
    </row>
    <row r="45" spans="1:27" ht="19.5">
      <c r="A45" s="31">
        <v>10</v>
      </c>
      <c r="B45" s="9" t="s">
        <v>87</v>
      </c>
      <c r="C45" s="8">
        <v>1747</v>
      </c>
      <c r="D45" s="10">
        <f>Table14[[#This Row],[Enrolment S.Y. 2025-2026 ]]*8</f>
        <v>13976</v>
      </c>
      <c r="E45" s="10"/>
      <c r="F45" s="8"/>
      <c r="G45" s="10"/>
      <c r="H45" s="10">
        <f>IF((D45-E45)&lt;0,0,(D45-E45))</f>
        <v>13976</v>
      </c>
      <c r="I45" s="10">
        <f>IF((E45-D45)&lt;0,0,(E45-D45))</f>
        <v>0</v>
      </c>
      <c r="J45" s="10">
        <f>Table14[[#This Row],[Enrolment S.Y. 2025-2026 ]]*8</f>
        <v>13976</v>
      </c>
      <c r="K45" s="10"/>
      <c r="L45" s="8"/>
      <c r="M45" s="10"/>
      <c r="N45" s="10">
        <f t="shared" ref="N45:N49" si="22">IF((J45-K45)&lt;0,0,(J45-K45))</f>
        <v>13976</v>
      </c>
      <c r="O45" s="10">
        <f t="shared" ref="O45:O49" si="23">IF((K45-J45)&lt;0,0,(K45-J45))</f>
        <v>0</v>
      </c>
      <c r="P45" s="10">
        <f>Table14[[#This Row],[Enrolment S.Y. 2025-2026 ]]*8</f>
        <v>13976</v>
      </c>
      <c r="Q45" s="10"/>
      <c r="R45" s="8"/>
      <c r="S45" s="10"/>
      <c r="T45" s="10">
        <f>IF((P45-Q45)&lt;0,0,(P45-Q45))</f>
        <v>13976</v>
      </c>
      <c r="U45" s="10">
        <f>IF((Q45-P45)&lt;0,0,(Q45-P45))</f>
        <v>0</v>
      </c>
      <c r="V45" s="10">
        <f>Table14[[#This Row],[Enrolment S.Y. 2025-2026 ]]*8</f>
        <v>13976</v>
      </c>
      <c r="W45" s="10"/>
      <c r="X45" s="8"/>
      <c r="Y45" s="10"/>
      <c r="Z45" s="10">
        <f>IF((V45-W45)&lt;0,0,(V45-W45))</f>
        <v>13976</v>
      </c>
      <c r="AA45" s="10">
        <f>IF((W45-V45)&lt;0,0,(W45-V45))</f>
        <v>0</v>
      </c>
    </row>
    <row r="46" spans="1:27" ht="19.5">
      <c r="A46" s="8">
        <v>10</v>
      </c>
      <c r="B46" s="9" t="s">
        <v>88</v>
      </c>
      <c r="C46" s="8">
        <v>1747</v>
      </c>
      <c r="D46" s="10">
        <f>Table14[[#This Row],[Enrolment S.Y. 2025-2026 ]]*8</f>
        <v>13976</v>
      </c>
      <c r="E46" s="10"/>
      <c r="F46" s="8"/>
      <c r="G46" s="10"/>
      <c r="H46" s="10">
        <f t="shared" si="16"/>
        <v>13976</v>
      </c>
      <c r="I46" s="10">
        <f t="shared" si="17"/>
        <v>0</v>
      </c>
      <c r="J46" s="10">
        <f>Table14[[#This Row],[Enrolment S.Y. 2025-2026 ]]*8</f>
        <v>13976</v>
      </c>
      <c r="K46" s="10"/>
      <c r="L46" s="8"/>
      <c r="M46" s="10"/>
      <c r="N46" s="10">
        <f t="shared" si="22"/>
        <v>13976</v>
      </c>
      <c r="O46" s="10">
        <f t="shared" si="23"/>
        <v>0</v>
      </c>
      <c r="P46" s="10">
        <f>Table14[[#This Row],[Enrolment S.Y. 2025-2026 ]]*8</f>
        <v>13976</v>
      </c>
      <c r="Q46" s="10"/>
      <c r="R46" s="8"/>
      <c r="S46" s="10"/>
      <c r="T46" s="10">
        <f t="shared" si="10"/>
        <v>13976</v>
      </c>
      <c r="U46" s="10">
        <f t="shared" si="11"/>
        <v>0</v>
      </c>
      <c r="V46" s="10">
        <f>Table14[[#This Row],[Enrolment S.Y. 2025-2026 ]]*8</f>
        <v>13976</v>
      </c>
      <c r="W46" s="10"/>
      <c r="X46" s="8"/>
      <c r="Y46" s="10"/>
      <c r="Z46" s="10">
        <f t="shared" si="12"/>
        <v>13976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1747</v>
      </c>
      <c r="D47" s="10">
        <f>Table14[[#This Row],[Enrolment S.Y. 2025-2026 ]]*8</f>
        <v>13976</v>
      </c>
      <c r="E47" s="10"/>
      <c r="F47" s="8"/>
      <c r="G47" s="10"/>
      <c r="H47" s="10">
        <f t="shared" si="16"/>
        <v>13976</v>
      </c>
      <c r="I47" s="10">
        <f t="shared" si="17"/>
        <v>0</v>
      </c>
      <c r="J47" s="10">
        <f>Table14[[#This Row],[Enrolment S.Y. 2025-2026 ]]*8</f>
        <v>13976</v>
      </c>
      <c r="K47" s="10"/>
      <c r="L47" s="8"/>
      <c r="M47" s="10"/>
      <c r="N47" s="10">
        <f t="shared" si="22"/>
        <v>13976</v>
      </c>
      <c r="O47" s="10">
        <f t="shared" si="23"/>
        <v>0</v>
      </c>
      <c r="P47" s="10">
        <f>Table14[[#This Row],[Enrolment S.Y. 2025-2026 ]]*8</f>
        <v>13976</v>
      </c>
      <c r="Q47" s="10"/>
      <c r="R47" s="8"/>
      <c r="S47" s="10"/>
      <c r="T47" s="10">
        <f t="shared" si="10"/>
        <v>13976</v>
      </c>
      <c r="U47" s="10">
        <f t="shared" si="11"/>
        <v>0</v>
      </c>
      <c r="V47" s="10">
        <f>Table14[[#This Row],[Enrolment S.Y. 2025-2026 ]]*8</f>
        <v>13976</v>
      </c>
      <c r="W47" s="10"/>
      <c r="X47" s="8"/>
      <c r="Y47" s="10"/>
      <c r="Z47" s="10">
        <f t="shared" si="12"/>
        <v>13976</v>
      </c>
      <c r="AA47" s="10">
        <f t="shared" si="13"/>
        <v>0</v>
      </c>
    </row>
    <row r="48" spans="1:27" ht="19.5">
      <c r="A48" s="31">
        <v>10</v>
      </c>
      <c r="B48" s="9" t="s">
        <v>89</v>
      </c>
      <c r="C48" s="8">
        <v>1747</v>
      </c>
      <c r="D48" s="10">
        <f>Table14[[#This Row],[Enrolment S.Y. 2025-2026 ]]*8</f>
        <v>13976</v>
      </c>
      <c r="E48" s="10"/>
      <c r="F48" s="8"/>
      <c r="G48" s="10"/>
      <c r="H48" s="10">
        <f>IF((D48-E48)&lt;0,0,(D48-E48))</f>
        <v>13976</v>
      </c>
      <c r="I48" s="10">
        <f>IF((E48-D48)&lt;0,0,(E48-D48))</f>
        <v>0</v>
      </c>
      <c r="J48" s="10">
        <f>Table14[[#This Row],[Enrolment S.Y. 2025-2026 ]]*8</f>
        <v>13976</v>
      </c>
      <c r="K48" s="10"/>
      <c r="L48" s="8"/>
      <c r="M48" s="10"/>
      <c r="N48" s="10">
        <f t="shared" si="22"/>
        <v>13976</v>
      </c>
      <c r="O48" s="10">
        <f t="shared" si="23"/>
        <v>0</v>
      </c>
      <c r="P48" s="10">
        <f>Table14[[#This Row],[Enrolment S.Y. 2025-2026 ]]*8</f>
        <v>13976</v>
      </c>
      <c r="Q48" s="10"/>
      <c r="R48" s="8"/>
      <c r="S48" s="10"/>
      <c r="T48" s="10">
        <f>IF((P48-Q48)&lt;0,0,(P48-Q48))</f>
        <v>13976</v>
      </c>
      <c r="U48" s="10">
        <f>IF((Q48-P48)&lt;0,0,(Q48-P48))</f>
        <v>0</v>
      </c>
      <c r="V48" s="10">
        <f>Table14[[#This Row],[Enrolment S.Y. 2025-2026 ]]*8</f>
        <v>13976</v>
      </c>
      <c r="W48" s="10"/>
      <c r="X48" s="8"/>
      <c r="Y48" s="10"/>
      <c r="Z48" s="10">
        <f>IF((V48-W48)&lt;0,0,(V48-W48))</f>
        <v>13976</v>
      </c>
      <c r="AA48" s="10">
        <f>IF((W48-V48)&lt;0,0,(W48-V48))</f>
        <v>0</v>
      </c>
    </row>
    <row r="49" spans="1:27" ht="19.5">
      <c r="A49" s="8">
        <v>10</v>
      </c>
      <c r="B49" s="9" t="s">
        <v>90</v>
      </c>
      <c r="C49" s="8">
        <v>1747</v>
      </c>
      <c r="D49" s="10">
        <f>Table14[[#This Row],[Enrolment S.Y. 2025-2026 ]]*8</f>
        <v>13976</v>
      </c>
      <c r="E49" s="10"/>
      <c r="F49" s="8"/>
      <c r="G49" s="10"/>
      <c r="H49" s="10">
        <f t="shared" si="16"/>
        <v>13976</v>
      </c>
      <c r="I49" s="10">
        <f t="shared" si="17"/>
        <v>0</v>
      </c>
      <c r="J49" s="10">
        <f>Table14[[#This Row],[Enrolment S.Y. 2025-2026 ]]*8</f>
        <v>13976</v>
      </c>
      <c r="K49" s="10"/>
      <c r="L49" s="8"/>
      <c r="M49" s="10"/>
      <c r="N49" s="10">
        <f t="shared" si="22"/>
        <v>13976</v>
      </c>
      <c r="O49" s="10">
        <f t="shared" si="23"/>
        <v>0</v>
      </c>
      <c r="P49" s="10">
        <f>Table14[[#This Row],[Enrolment S.Y. 2025-2026 ]]*8</f>
        <v>13976</v>
      </c>
      <c r="Q49" s="10"/>
      <c r="R49" s="8"/>
      <c r="S49" s="10"/>
      <c r="T49" s="10">
        <f t="shared" si="10"/>
        <v>13976</v>
      </c>
      <c r="U49" s="10">
        <f t="shared" si="11"/>
        <v>0</v>
      </c>
      <c r="V49" s="10">
        <f>Table14[[#This Row],[Enrolment S.Y. 2025-2026 ]]*8</f>
        <v>13976</v>
      </c>
      <c r="W49" s="10"/>
      <c r="X49" s="8"/>
      <c r="Y49" s="10"/>
      <c r="Z49" s="10">
        <f t="shared" si="12"/>
        <v>13976</v>
      </c>
      <c r="AA49" s="10">
        <f t="shared" si="13"/>
        <v>0</v>
      </c>
    </row>
    <row r="50" spans="1:27" s="5" customFormat="1"/>
    <row r="51" spans="1:27" ht="19.5">
      <c r="A51" s="1">
        <v>11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>
        <v>11</v>
      </c>
      <c r="B52" s="7" t="s">
        <v>20</v>
      </c>
      <c r="C52" s="28"/>
      <c r="D52" s="28">
        <f>Table14[[#This Row],[Enrolment S.Y. 2025-2026 ]]*8</f>
        <v>0</v>
      </c>
      <c r="E52" s="28"/>
      <c r="F52" s="27"/>
      <c r="G52" s="28"/>
      <c r="H52" s="28">
        <f>IF((D52-E52)&lt;0,0,(D52-E52))</f>
        <v>0</v>
      </c>
      <c r="I52" s="28">
        <f>IF((E52-D52)&lt;0,0,(E52-D52))</f>
        <v>0</v>
      </c>
      <c r="J52" s="28">
        <f>Table14[[#This Row],[Enrolment S.Y. 2025-2026 ]]*8</f>
        <v>0</v>
      </c>
      <c r="K52" s="28"/>
      <c r="L52" s="27"/>
      <c r="M52" s="28"/>
      <c r="N52" s="28"/>
      <c r="O52" s="28"/>
      <c r="P52" s="28" t="e">
        <f>#REF!*8</f>
        <v>#REF!</v>
      </c>
      <c r="Q52" s="28"/>
      <c r="R52" s="27"/>
      <c r="S52" s="28"/>
      <c r="T52" s="28" t="e">
        <f>IF((P52-Q52)&lt;0,0,(P52-Q52))</f>
        <v>#REF!</v>
      </c>
      <c r="U52" s="28" t="e">
        <f>IF((Q52-P52)&lt;0,0,(Q52-P52))</f>
        <v>#REF!</v>
      </c>
      <c r="V52" s="28">
        <f>Table14[[#This Row],[Enrolment S.Y. 2025-2026 ]]*8</f>
        <v>0</v>
      </c>
      <c r="W52" s="28"/>
      <c r="X52" s="27"/>
      <c r="Y52" s="28"/>
      <c r="Z52" s="28">
        <f>IF((V52-W52)&lt;0,0,(V52-W52))</f>
        <v>0</v>
      </c>
      <c r="AA52" s="28">
        <f>IF((W52-V52)&lt;0,0,(W52-V52))</f>
        <v>0</v>
      </c>
    </row>
    <row r="53" spans="1:27" ht="38.25">
      <c r="A53" s="1">
        <v>11</v>
      </c>
      <c r="B53" s="7" t="s">
        <v>21</v>
      </c>
      <c r="C53" s="28"/>
      <c r="D53" s="28">
        <f>Table14[[#This Row],[Enrolment S.Y. 2025-2026 ]]*8</f>
        <v>0</v>
      </c>
      <c r="E53" s="28"/>
      <c r="F53" s="27"/>
      <c r="G53" s="28"/>
      <c r="H53" s="28">
        <f>IF((D53-E53)&lt;0,0,(D53-E53))</f>
        <v>0</v>
      </c>
      <c r="I53" s="28">
        <f>IF((E53-D53)&lt;0,0,(E53-D53))</f>
        <v>0</v>
      </c>
      <c r="J53" s="28">
        <f>Table14[[#This Row],[Enrolment S.Y. 2025-2026 ]]*8</f>
        <v>0</v>
      </c>
      <c r="K53" s="28"/>
      <c r="L53" s="27"/>
      <c r="M53" s="28"/>
      <c r="N53" s="28"/>
      <c r="O53" s="28"/>
      <c r="P53" s="28" t="e">
        <f>#REF!*8</f>
        <v>#REF!</v>
      </c>
      <c r="Q53" s="28"/>
      <c r="R53" s="27"/>
      <c r="S53" s="28"/>
      <c r="T53" s="28" t="e">
        <f>IF((P53-Q53)&lt;0,0,(P53-Q53))</f>
        <v>#REF!</v>
      </c>
      <c r="U53" s="28" t="e">
        <f>IF((Q53-P53)&lt;0,0,(Q53-P53))</f>
        <v>#REF!</v>
      </c>
      <c r="V53" s="28">
        <f>Table14[[#This Row],[Enrolment S.Y. 2025-2026 ]]*8</f>
        <v>0</v>
      </c>
      <c r="W53" s="28"/>
      <c r="X53" s="27"/>
      <c r="Y53" s="28"/>
      <c r="Z53" s="28">
        <f>IF((V53-W53)&lt;0,0,(V53-W53))</f>
        <v>0</v>
      </c>
      <c r="AA53" s="28">
        <f>IF((W53-V53)&lt;0,0,(W53-V53))</f>
        <v>0</v>
      </c>
    </row>
    <row r="54" spans="1:27" ht="38.25">
      <c r="A54" s="1">
        <v>11</v>
      </c>
      <c r="B54" s="7" t="s">
        <v>22</v>
      </c>
      <c r="C54" s="28"/>
      <c r="D54" s="28">
        <f>Table14[[#This Row],[Enrolment S.Y. 2025-2026 ]]*8</f>
        <v>0</v>
      </c>
      <c r="E54" s="28"/>
      <c r="F54" s="27"/>
      <c r="G54" s="28"/>
      <c r="H54" s="28">
        <f>IF((D54-E54)&lt;0,0,(D54-E54))</f>
        <v>0</v>
      </c>
      <c r="I54" s="28">
        <f>IF((E54-D54)&lt;0,0,(E54-D54))</f>
        <v>0</v>
      </c>
      <c r="J54" s="28">
        <f>Table14[[#This Row],[Enrolment S.Y. 2025-2026 ]]*8</f>
        <v>0</v>
      </c>
      <c r="K54" s="28"/>
      <c r="L54" s="27"/>
      <c r="M54" s="28"/>
      <c r="N54" s="28"/>
      <c r="O54" s="28"/>
      <c r="P54" s="28" t="e">
        <f>#REF!*8</f>
        <v>#REF!</v>
      </c>
      <c r="Q54" s="28"/>
      <c r="R54" s="27"/>
      <c r="S54" s="28"/>
      <c r="T54" s="28" t="e">
        <f>IF((P54-Q54)&lt;0,0,(P54-Q54))</f>
        <v>#REF!</v>
      </c>
      <c r="U54" s="28" t="e">
        <f>IF((Q54-P54)&lt;0,0,(Q54-P54))</f>
        <v>#REF!</v>
      </c>
      <c r="V54" s="28">
        <f>Table14[[#This Row],[Enrolment S.Y. 2025-2026 ]]*8</f>
        <v>0</v>
      </c>
      <c r="W54" s="28"/>
      <c r="X54" s="27"/>
      <c r="Y54" s="28"/>
      <c r="Z54" s="28">
        <f>IF((V54-W54)&lt;0,0,(V54-W54))</f>
        <v>0</v>
      </c>
      <c r="AA54" s="28">
        <f>IF((W54-V54)&lt;0,0,(W54-V54))</f>
        <v>0</v>
      </c>
    </row>
    <row r="55" spans="1:27" ht="38.25">
      <c r="A55" s="1">
        <v>11</v>
      </c>
      <c r="B55" s="7" t="s">
        <v>23</v>
      </c>
      <c r="C55" s="28"/>
      <c r="D55" s="28">
        <f>Table14[[#This Row],[Enrolment S.Y. 2025-2026 ]]*8</f>
        <v>0</v>
      </c>
      <c r="E55" s="28"/>
      <c r="F55" s="27"/>
      <c r="G55" s="28"/>
      <c r="H55" s="28">
        <f>IF((D55-E55)&lt;0,0,(D55-E55))</f>
        <v>0</v>
      </c>
      <c r="I55" s="28">
        <f>IF((E55-D55)&lt;0,0,(E55-D55))</f>
        <v>0</v>
      </c>
      <c r="J55" s="28">
        <f>Table14[[#This Row],[Enrolment S.Y. 2025-2026 ]]*8</f>
        <v>0</v>
      </c>
      <c r="K55" s="28"/>
      <c r="L55" s="27"/>
      <c r="M55" s="28"/>
      <c r="N55" s="28"/>
      <c r="O55" s="28"/>
      <c r="P55" s="28" t="e">
        <f>#REF!*8</f>
        <v>#REF!</v>
      </c>
      <c r="Q55" s="28"/>
      <c r="R55" s="27"/>
      <c r="S55" s="28"/>
      <c r="T55" s="28" t="e">
        <f>IF((P55-Q55)&lt;0,0,(P55-Q55))</f>
        <v>#REF!</v>
      </c>
      <c r="U55" s="28" t="e">
        <f>IF((Q55-P55)&lt;0,0,(Q55-P55))</f>
        <v>#REF!</v>
      </c>
      <c r="V55" s="28">
        <f>Table14[[#This Row],[Enrolment S.Y. 2025-2026 ]]*8</f>
        <v>0</v>
      </c>
      <c r="W55" s="28"/>
      <c r="X55" s="27"/>
      <c r="Y55" s="28"/>
      <c r="Z55" s="28">
        <f>IF((V55-W55)&lt;0,0,(V55-W55))</f>
        <v>0</v>
      </c>
      <c r="AA55" s="28">
        <f>IF((W55-V55)&lt;0,0,(W55-V55))</f>
        <v>0</v>
      </c>
    </row>
    <row r="56" spans="1:27" ht="76.5">
      <c r="A56" s="1">
        <v>11</v>
      </c>
      <c r="B56" s="7" t="s">
        <v>24</v>
      </c>
      <c r="C56" s="28"/>
      <c r="D56" s="28">
        <f>Table14[[#This Row],[Enrolment S.Y. 2025-2026 ]]*8</f>
        <v>0</v>
      </c>
      <c r="E56" s="28"/>
      <c r="F56" s="27"/>
      <c r="G56" s="28"/>
      <c r="H56" s="28">
        <f>IF((D56-E56)&lt;0,0,(D56-E56))</f>
        <v>0</v>
      </c>
      <c r="I56" s="28">
        <f>IF((E56-D56)&lt;0,0,(E56-D56))</f>
        <v>0</v>
      </c>
      <c r="J56" s="28">
        <f>Table14[[#This Row],[Enrolment S.Y. 2025-2026 ]]*8</f>
        <v>0</v>
      </c>
      <c r="K56" s="28"/>
      <c r="L56" s="27"/>
      <c r="M56" s="28"/>
      <c r="N56" s="28"/>
      <c r="O56" s="28"/>
      <c r="P56" s="28" t="e">
        <f>#REF!*8</f>
        <v>#REF!</v>
      </c>
      <c r="Q56" s="28"/>
      <c r="R56" s="27"/>
      <c r="S56" s="28"/>
      <c r="T56" s="28" t="e">
        <f>IF((P56-Q56)&lt;0,0,(P56-Q56))</f>
        <v>#REF!</v>
      </c>
      <c r="U56" s="28" t="e">
        <f>IF((Q56-P56)&lt;0,0,(Q56-P56))</f>
        <v>#REF!</v>
      </c>
      <c r="V56" s="28">
        <f>Table14[[#This Row],[Enrolment S.Y. 2025-2026 ]]*8</f>
        <v>0</v>
      </c>
      <c r="W56" s="28"/>
      <c r="X56" s="27"/>
      <c r="Y56" s="28"/>
      <c r="Z56" s="28">
        <f>IF((V56-W56)&lt;0,0,(V56-W56))</f>
        <v>0</v>
      </c>
      <c r="AA56" s="28">
        <f>IF((W56-V56)&lt;0,0,(W56-V56))</f>
        <v>0</v>
      </c>
    </row>
    <row r="57" spans="1:27" ht="76.5">
      <c r="A57" s="1">
        <v>11</v>
      </c>
      <c r="B57" s="7" t="s">
        <v>25</v>
      </c>
      <c r="C57" s="28"/>
      <c r="D57" s="28">
        <f>Table14[[#This Row],[Enrolment S.Y. 2025-2026 ]]*8</f>
        <v>0</v>
      </c>
      <c r="E57" s="28"/>
      <c r="F57" s="27"/>
      <c r="G57" s="28"/>
      <c r="H57" s="28">
        <f>IF((D57-E57)&lt;0,0,(D57-E57))</f>
        <v>0</v>
      </c>
      <c r="I57" s="28">
        <f>IF((E57-D57)&lt;0,0,(E57-D57))</f>
        <v>0</v>
      </c>
      <c r="J57" s="28">
        <f>Table14[[#This Row],[Enrolment S.Y. 2025-2026 ]]*8</f>
        <v>0</v>
      </c>
      <c r="K57" s="28"/>
      <c r="L57" s="27"/>
      <c r="M57" s="28"/>
      <c r="N57" s="28"/>
      <c r="O57" s="28"/>
      <c r="P57" s="28" t="e">
        <f>#REF!*8</f>
        <v>#REF!</v>
      </c>
      <c r="Q57" s="28"/>
      <c r="R57" s="27"/>
      <c r="S57" s="28"/>
      <c r="T57" s="28" t="e">
        <f>IF((P57-Q57)&lt;0,0,(P57-Q57))</f>
        <v>#REF!</v>
      </c>
      <c r="U57" s="28" t="e">
        <f>IF((Q57-P57)&lt;0,0,(Q57-P57))</f>
        <v>#REF!</v>
      </c>
      <c r="V57" s="28">
        <f>Table14[[#This Row],[Enrolment S.Y. 2025-2026 ]]*8</f>
        <v>0</v>
      </c>
      <c r="W57" s="28"/>
      <c r="X57" s="27"/>
      <c r="Y57" s="28"/>
      <c r="Z57" s="28">
        <f>IF((V57-W57)&lt;0,0,(V57-W57))</f>
        <v>0</v>
      </c>
      <c r="AA57" s="28">
        <f>IF((W57-V57)&lt;0,0,(W57-V57))</f>
        <v>0</v>
      </c>
    </row>
    <row r="58" spans="1:27" ht="38.25">
      <c r="A58" s="1">
        <v>11</v>
      </c>
      <c r="B58" s="7" t="s">
        <v>26</v>
      </c>
      <c r="C58" s="28"/>
      <c r="D58" s="28">
        <f>Table14[[#This Row],[Enrolment S.Y. 2025-2026 ]]*8</f>
        <v>0</v>
      </c>
      <c r="E58" s="28"/>
      <c r="F58" s="27"/>
      <c r="G58" s="28"/>
      <c r="H58" s="28">
        <f>IF((D58-E58)&lt;0,0,(D58-E58))</f>
        <v>0</v>
      </c>
      <c r="I58" s="28">
        <f>IF((E58-D58)&lt;0,0,(E58-D58))</f>
        <v>0</v>
      </c>
      <c r="J58" s="28">
        <f>Table14[[#This Row],[Enrolment S.Y. 2025-2026 ]]*8</f>
        <v>0</v>
      </c>
      <c r="K58" s="28"/>
      <c r="L58" s="27"/>
      <c r="M58" s="28"/>
      <c r="N58" s="28"/>
      <c r="O58" s="28"/>
      <c r="P58" s="28" t="e">
        <f>#REF!*8</f>
        <v>#REF!</v>
      </c>
      <c r="Q58" s="28"/>
      <c r="R58" s="27"/>
      <c r="S58" s="28"/>
      <c r="T58" s="28" t="e">
        <f>IF((P58-Q58)&lt;0,0,(P58-Q58))</f>
        <v>#REF!</v>
      </c>
      <c r="U58" s="28" t="e">
        <f>IF((Q58-P58)&lt;0,0,(Q58-P58))</f>
        <v>#REF!</v>
      </c>
      <c r="V58" s="28">
        <f>Table14[[#This Row],[Enrolment S.Y. 2025-2026 ]]*8</f>
        <v>0</v>
      </c>
      <c r="W58" s="28"/>
      <c r="X58" s="27"/>
      <c r="Y58" s="28"/>
      <c r="Z58" s="28">
        <f>IF((V58-W58)&lt;0,0,(V58-W58))</f>
        <v>0</v>
      </c>
      <c r="AA58" s="28">
        <f>IF((W58-V58)&lt;0,0,(W58-V58))</f>
        <v>0</v>
      </c>
    </row>
    <row r="59" spans="1:27" ht="57.75">
      <c r="A59" s="1">
        <v>12</v>
      </c>
      <c r="B59" s="7" t="s">
        <v>27</v>
      </c>
      <c r="C59" s="28"/>
      <c r="D59" s="28">
        <f>Table14[[#This Row],[Enrolment S.Y. 2025-2026 ]]*8</f>
        <v>0</v>
      </c>
      <c r="E59" s="28"/>
      <c r="F59" s="27"/>
      <c r="G59" s="28"/>
      <c r="H59" s="28">
        <f>IF((D59-E59)&lt;0,0,(D59-E59))</f>
        <v>0</v>
      </c>
      <c r="I59" s="28">
        <f>IF((E59-D59)&lt;0,0,(E59-D59))</f>
        <v>0</v>
      </c>
      <c r="J59" s="28">
        <f>Table14[[#This Row],[Enrolment S.Y. 2025-2026 ]]*8</f>
        <v>0</v>
      </c>
      <c r="K59" s="28"/>
      <c r="L59" s="27"/>
      <c r="M59" s="28"/>
      <c r="N59" s="28"/>
      <c r="O59" s="28"/>
      <c r="P59" s="28" t="e">
        <f>#REF!*8</f>
        <v>#REF!</v>
      </c>
      <c r="Q59" s="28"/>
      <c r="R59" s="27"/>
      <c r="S59" s="28"/>
      <c r="T59" s="28" t="e">
        <f>IF((P59-Q59)&lt;0,0,(P59-Q59))</f>
        <v>#REF!</v>
      </c>
      <c r="U59" s="28" t="e">
        <f>IF((Q59-P59)&lt;0,0,(Q59-P59))</f>
        <v>#REF!</v>
      </c>
      <c r="V59" s="28">
        <f>Table14[[#This Row],[Enrolment S.Y. 2025-2026 ]]*8</f>
        <v>0</v>
      </c>
      <c r="W59" s="28"/>
      <c r="X59" s="27"/>
      <c r="Y59" s="28"/>
      <c r="Z59" s="28">
        <f>IF((V59-W59)&lt;0,0,(V59-W59))</f>
        <v>0</v>
      </c>
      <c r="AA59" s="28">
        <f>IF((W59-V59)&lt;0,0,(W59-V59))</f>
        <v>0</v>
      </c>
    </row>
    <row r="60" spans="1:27" ht="19.5">
      <c r="A60" s="1">
        <v>12</v>
      </c>
      <c r="B60" s="7" t="s">
        <v>28</v>
      </c>
      <c r="C60" s="28"/>
      <c r="D60" s="28">
        <f>Table14[[#This Row],[Enrolment S.Y. 2025-2026 ]]*8</f>
        <v>0</v>
      </c>
      <c r="E60" s="28"/>
      <c r="F60" s="27"/>
      <c r="G60" s="28"/>
      <c r="H60" s="28">
        <f>IF((D60-E60)&lt;0,0,(D60-E60))</f>
        <v>0</v>
      </c>
      <c r="I60" s="28">
        <f>IF((E60-D60)&lt;0,0,(E60-D60))</f>
        <v>0</v>
      </c>
      <c r="J60" s="28">
        <f>Table14[[#This Row],[Enrolment S.Y. 2025-2026 ]]*8</f>
        <v>0</v>
      </c>
      <c r="K60" s="28"/>
      <c r="L60" s="27"/>
      <c r="M60" s="28"/>
      <c r="N60" s="28"/>
      <c r="O60" s="28"/>
      <c r="P60" s="28" t="e">
        <f>#REF!*8</f>
        <v>#REF!</v>
      </c>
      <c r="Q60" s="28"/>
      <c r="R60" s="27"/>
      <c r="S60" s="28"/>
      <c r="T60" s="28" t="e">
        <f>IF((P60-Q60)&lt;0,0,(P60-Q60))</f>
        <v>#REF!</v>
      </c>
      <c r="U60" s="28" t="e">
        <f>IF((Q60-P60)&lt;0,0,(Q60-P60))</f>
        <v>#REF!</v>
      </c>
      <c r="V60" s="28">
        <f>Table14[[#This Row],[Enrolment S.Y. 2025-2026 ]]*8</f>
        <v>0</v>
      </c>
      <c r="W60" s="28"/>
      <c r="X60" s="27"/>
      <c r="Y60" s="28"/>
      <c r="Z60" s="28">
        <f>IF((V60-W60)&lt;0,0,(V60-W60))</f>
        <v>0</v>
      </c>
      <c r="AA60" s="28">
        <f>IF((W60-V60)&lt;0,0,(W60-V60))</f>
        <v>0</v>
      </c>
    </row>
    <row r="61" spans="1:27" ht="19.5">
      <c r="A61" s="1">
        <v>12</v>
      </c>
      <c r="B61" s="7" t="s">
        <v>29</v>
      </c>
      <c r="C61" s="28"/>
      <c r="D61" s="28">
        <f>Table14[[#This Row],[Enrolment S.Y. 2025-2026 ]]*8</f>
        <v>0</v>
      </c>
      <c r="E61" s="28"/>
      <c r="F61" s="27"/>
      <c r="G61" s="28"/>
      <c r="H61" s="28">
        <f>IF((D61-E61)&lt;0,0,(D61-E61))</f>
        <v>0</v>
      </c>
      <c r="I61" s="28">
        <f>IF((E61-D61)&lt;0,0,(E61-D61))</f>
        <v>0</v>
      </c>
      <c r="J61" s="28">
        <f>Table14[[#This Row],[Enrolment S.Y. 2025-2026 ]]*8</f>
        <v>0</v>
      </c>
      <c r="K61" s="28"/>
      <c r="L61" s="27"/>
      <c r="M61" s="28"/>
      <c r="N61" s="28"/>
      <c r="O61" s="28"/>
      <c r="P61" s="28" t="e">
        <f>#REF!*8</f>
        <v>#REF!</v>
      </c>
      <c r="Q61" s="28"/>
      <c r="R61" s="27"/>
      <c r="S61" s="28"/>
      <c r="T61" s="28" t="e">
        <f>IF((P61-Q61)&lt;0,0,(P61-Q61))</f>
        <v>#REF!</v>
      </c>
      <c r="U61" s="28" t="e">
        <f>IF((Q61-P61)&lt;0,0,(Q61-P61))</f>
        <v>#REF!</v>
      </c>
      <c r="V61" s="28">
        <f>Table14[[#This Row],[Enrolment S.Y. 2025-2026 ]]*8</f>
        <v>0</v>
      </c>
      <c r="W61" s="28"/>
      <c r="X61" s="27"/>
      <c r="Y61" s="28"/>
      <c r="Z61" s="28">
        <f>IF((V61-W61)&lt;0,0,(V61-W61))</f>
        <v>0</v>
      </c>
      <c r="AA61" s="28">
        <f>IF((W61-V61)&lt;0,0,(W61-V61))</f>
        <v>0</v>
      </c>
    </row>
    <row r="62" spans="1:27" ht="76.5">
      <c r="A62" s="1">
        <v>12</v>
      </c>
      <c r="B62" s="7" t="s">
        <v>30</v>
      </c>
      <c r="C62" s="28"/>
      <c r="D62" s="28">
        <f>Table14[[#This Row],[Enrolment S.Y. 2025-2026 ]]*8</f>
        <v>0</v>
      </c>
      <c r="E62" s="28"/>
      <c r="F62" s="27"/>
      <c r="G62" s="28"/>
      <c r="H62" s="28">
        <f>IF((D62-E62)&lt;0,0,(D62-E62))</f>
        <v>0</v>
      </c>
      <c r="I62" s="28">
        <f>IF((E62-D62)&lt;0,0,(E62-D62))</f>
        <v>0</v>
      </c>
      <c r="J62" s="28">
        <f>Table14[[#This Row],[Enrolment S.Y. 2025-2026 ]]*8</f>
        <v>0</v>
      </c>
      <c r="K62" s="28"/>
      <c r="L62" s="27"/>
      <c r="M62" s="28"/>
      <c r="N62" s="28"/>
      <c r="O62" s="28"/>
      <c r="P62" s="28" t="e">
        <f>#REF!*8</f>
        <v>#REF!</v>
      </c>
      <c r="Q62" s="28"/>
      <c r="R62" s="27"/>
      <c r="S62" s="28"/>
      <c r="T62" s="28" t="e">
        <f>IF((P62-Q62)&lt;0,0,(P62-Q62))</f>
        <v>#REF!</v>
      </c>
      <c r="U62" s="28" t="e">
        <f>IF((Q62-P62)&lt;0,0,(Q62-P62))</f>
        <v>#REF!</v>
      </c>
      <c r="V62" s="28">
        <f>Table14[[#This Row],[Enrolment S.Y. 2025-2026 ]]*8</f>
        <v>0</v>
      </c>
      <c r="W62" s="28"/>
      <c r="X62" s="27"/>
      <c r="Y62" s="28"/>
      <c r="Z62" s="28">
        <f>IF((V62-W62)&lt;0,0,(V62-W62))</f>
        <v>0</v>
      </c>
      <c r="AA62" s="28">
        <f>IF((W62-V62)&lt;0,0,(W62-V62))</f>
        <v>0</v>
      </c>
    </row>
    <row r="63" spans="1:27" ht="19.5">
      <c r="A63" s="1">
        <v>12</v>
      </c>
      <c r="B63" s="7" t="s">
        <v>31</v>
      </c>
      <c r="C63" s="28"/>
      <c r="D63" s="28">
        <f>Table14[[#This Row],[Enrolment S.Y. 2025-2026 ]]*8</f>
        <v>0</v>
      </c>
      <c r="E63" s="28"/>
      <c r="F63" s="27"/>
      <c r="G63" s="28"/>
      <c r="H63" s="28">
        <f>IF((D63-E63)&lt;0,0,(D63-E63))</f>
        <v>0</v>
      </c>
      <c r="I63" s="28">
        <f>IF((E63-D63)&lt;0,0,(E63-D63))</f>
        <v>0</v>
      </c>
      <c r="J63" s="28">
        <f>Table14[[#This Row],[Enrolment S.Y. 2025-2026 ]]*8</f>
        <v>0</v>
      </c>
      <c r="K63" s="28"/>
      <c r="L63" s="27"/>
      <c r="M63" s="28"/>
      <c r="N63" s="28"/>
      <c r="O63" s="28"/>
      <c r="P63" s="28" t="e">
        <f>#REF!*8</f>
        <v>#REF!</v>
      </c>
      <c r="Q63" s="28"/>
      <c r="R63" s="27"/>
      <c r="S63" s="28"/>
      <c r="T63" s="28" t="e">
        <f>IF((P63-Q63)&lt;0,0,(P63-Q63))</f>
        <v>#REF!</v>
      </c>
      <c r="U63" s="28" t="e">
        <f>IF((Q63-P63)&lt;0,0,(Q63-P63))</f>
        <v>#REF!</v>
      </c>
      <c r="V63" s="28">
        <f>Table14[[#This Row],[Enrolment S.Y. 2025-2026 ]]*8</f>
        <v>0</v>
      </c>
      <c r="W63" s="28"/>
      <c r="X63" s="27"/>
      <c r="Y63" s="28"/>
      <c r="Z63" s="28">
        <f>IF((V63-W63)&lt;0,0,(V63-W63))</f>
        <v>0</v>
      </c>
      <c r="AA63" s="28">
        <f>IF((W63-V63)&lt;0,0,(W63-V63))</f>
        <v>0</v>
      </c>
    </row>
    <row r="64" spans="1:27" ht="38.25">
      <c r="A64" s="1">
        <v>12</v>
      </c>
      <c r="B64" s="7" t="s">
        <v>32</v>
      </c>
      <c r="C64" s="28"/>
      <c r="D64" s="28">
        <f>Table14[[#This Row],[Enrolment S.Y. 2025-2026 ]]*8</f>
        <v>0</v>
      </c>
      <c r="E64" s="28"/>
      <c r="F64" s="27"/>
      <c r="G64" s="28"/>
      <c r="H64" s="28">
        <f>IF((D64-E64)&lt;0,0,(D64-E64))</f>
        <v>0</v>
      </c>
      <c r="I64" s="28">
        <f>IF((E64-D64)&lt;0,0,(E64-D64))</f>
        <v>0</v>
      </c>
      <c r="J64" s="28">
        <f>Table14[[#This Row],[Enrolment S.Y. 2025-2026 ]]*8</f>
        <v>0</v>
      </c>
      <c r="K64" s="28"/>
      <c r="L64" s="27"/>
      <c r="M64" s="28"/>
      <c r="N64" s="28"/>
      <c r="O64" s="28"/>
      <c r="P64" s="28" t="e">
        <f>#REF!*8</f>
        <v>#REF!</v>
      </c>
      <c r="Q64" s="28"/>
      <c r="R64" s="27"/>
      <c r="S64" s="28"/>
      <c r="T64" s="28" t="e">
        <f>IF((P64-Q64)&lt;0,0,(P64-Q64))</f>
        <v>#REF!</v>
      </c>
      <c r="U64" s="28" t="e">
        <f>IF((Q64-P64)&lt;0,0,(Q64-P64))</f>
        <v>#REF!</v>
      </c>
      <c r="V64" s="28">
        <f>Table14[[#This Row],[Enrolment S.Y. 2025-2026 ]]*8</f>
        <v>0</v>
      </c>
      <c r="W64" s="28"/>
      <c r="X64" s="27"/>
      <c r="Y64" s="28"/>
      <c r="Z64" s="28">
        <f>IF((V64-W64)&lt;0,0,(V64-W64))</f>
        <v>0</v>
      </c>
      <c r="AA64" s="28">
        <f>IF((W64-V64)&lt;0,0,(W64-V64))</f>
        <v>0</v>
      </c>
    </row>
    <row r="65" spans="1:27" ht="38.25">
      <c r="A65" s="1">
        <v>12</v>
      </c>
      <c r="B65" s="7" t="s">
        <v>33</v>
      </c>
      <c r="C65" s="28"/>
      <c r="D65" s="28">
        <f>Table14[[#This Row],[Enrolment S.Y. 2025-2026 ]]*8</f>
        <v>0</v>
      </c>
      <c r="E65" s="28"/>
      <c r="F65" s="27"/>
      <c r="G65" s="28"/>
      <c r="H65" s="28">
        <f>IF((D65-E65)&lt;0,0,(D65-E65))</f>
        <v>0</v>
      </c>
      <c r="I65" s="28">
        <f>IF((E65-D65)&lt;0,0,(E65-D65))</f>
        <v>0</v>
      </c>
      <c r="J65" s="28">
        <f>Table14[[#This Row],[Enrolment S.Y. 2025-2026 ]]*8</f>
        <v>0</v>
      </c>
      <c r="K65" s="28"/>
      <c r="L65" s="27"/>
      <c r="M65" s="28"/>
      <c r="N65" s="28"/>
      <c r="O65" s="28"/>
      <c r="P65" s="28" t="e">
        <f>#REF!*8</f>
        <v>#REF!</v>
      </c>
      <c r="Q65" s="28"/>
      <c r="R65" s="27"/>
      <c r="S65" s="28"/>
      <c r="T65" s="28" t="e">
        <f>IF((P65-Q65)&lt;0,0,(P65-Q65))</f>
        <v>#REF!</v>
      </c>
      <c r="U65" s="28" t="e">
        <f>IF((Q65-P65)&lt;0,0,(Q65-P65))</f>
        <v>#REF!</v>
      </c>
      <c r="V65" s="28">
        <f>Table14[[#This Row],[Enrolment S.Y. 2025-2026 ]]*8</f>
        <v>0</v>
      </c>
      <c r="W65" s="28"/>
      <c r="X65" s="27"/>
      <c r="Y65" s="28"/>
      <c r="Z65" s="28">
        <f>IF((V65-W65)&lt;0,0,(V65-W65))</f>
        <v>0</v>
      </c>
      <c r="AA65" s="28">
        <f>IF((W65-V65)&lt;0,0,(W65-V65))</f>
        <v>0</v>
      </c>
    </row>
    <row r="66" spans="1:27" s="5" customFormat="1" ht="15"/>
    <row r="67" spans="1:27" ht="76.5">
      <c r="A67" s="1"/>
      <c r="B67" s="7" t="s">
        <v>91</v>
      </c>
      <c r="C67" s="1"/>
      <c r="D67" s="4"/>
      <c r="E67" s="4"/>
      <c r="F67" s="1"/>
      <c r="G67" s="4"/>
      <c r="H67" s="4"/>
      <c r="I67" s="4"/>
      <c r="J67" s="4"/>
      <c r="K67" s="4"/>
      <c r="L67" s="1"/>
      <c r="M67" s="4"/>
      <c r="N67" s="4"/>
      <c r="O67" s="4"/>
      <c r="P67" s="4"/>
      <c r="Q67" s="4"/>
      <c r="R67" s="1"/>
      <c r="S67" s="4"/>
      <c r="T67" s="4"/>
      <c r="U67" s="4"/>
      <c r="V67" s="4"/>
      <c r="W67" s="4"/>
      <c r="X67" s="1"/>
      <c r="Y67" s="4"/>
      <c r="Z67" s="4"/>
      <c r="AA67" s="4"/>
    </row>
    <row r="68" spans="1:27" ht="76.5">
      <c r="A68" s="1"/>
      <c r="B68" s="7" t="s">
        <v>92</v>
      </c>
      <c r="C68" s="1"/>
      <c r="D68" s="4"/>
      <c r="E68" s="4"/>
      <c r="F68" s="1"/>
      <c r="G68" s="4"/>
      <c r="H68" s="4"/>
      <c r="I68" s="4"/>
      <c r="J68" s="4"/>
      <c r="K68" s="4"/>
      <c r="L68" s="1"/>
      <c r="M68" s="4"/>
      <c r="N68" s="4"/>
      <c r="O68" s="4"/>
      <c r="P68" s="4"/>
      <c r="Q68" s="4"/>
      <c r="R68" s="1"/>
      <c r="S68" s="4"/>
      <c r="T68" s="4"/>
      <c r="U68" s="4"/>
      <c r="V68" s="4"/>
      <c r="W68" s="4"/>
      <c r="X68" s="1"/>
      <c r="Y68" s="4"/>
      <c r="Z68" s="4"/>
      <c r="AA68" s="4"/>
    </row>
    <row r="69" spans="1:27" ht="76.5">
      <c r="A69" s="1"/>
      <c r="B69" s="7" t="s">
        <v>93</v>
      </c>
      <c r="C69" s="1"/>
      <c r="D69" s="4"/>
      <c r="E69" s="4"/>
      <c r="F69" s="1"/>
      <c r="G69" s="4"/>
      <c r="H69" s="4"/>
      <c r="I69" s="4"/>
      <c r="J69" s="4"/>
      <c r="K69" s="4"/>
      <c r="L69" s="1"/>
      <c r="M69" s="4"/>
      <c r="N69" s="4"/>
      <c r="O69" s="4"/>
      <c r="P69" s="4"/>
      <c r="Q69" s="4"/>
      <c r="R69" s="1"/>
      <c r="S69" s="4"/>
      <c r="T69" s="4"/>
      <c r="U69" s="4"/>
      <c r="V69" s="4"/>
      <c r="W69" s="4"/>
      <c r="X69" s="1"/>
      <c r="Y69" s="4"/>
      <c r="Z69" s="4"/>
      <c r="AA69" s="4"/>
    </row>
    <row r="70" spans="1:27" ht="38.25">
      <c r="A70" s="1"/>
      <c r="B70" s="7" t="s">
        <v>94</v>
      </c>
      <c r="C70" s="1"/>
      <c r="D70" s="4"/>
      <c r="E70" s="4"/>
      <c r="F70" s="1"/>
      <c r="G70" s="4"/>
      <c r="H70" s="4"/>
      <c r="I70" s="4"/>
      <c r="J70" s="4"/>
      <c r="K70" s="4"/>
      <c r="L70" s="1"/>
      <c r="M70" s="4"/>
      <c r="N70" s="4"/>
      <c r="O70" s="4"/>
      <c r="P70" s="4"/>
      <c r="Q70" s="4"/>
      <c r="R70" s="1"/>
      <c r="S70" s="4"/>
      <c r="T70" s="4"/>
      <c r="U70" s="4"/>
      <c r="V70" s="4"/>
      <c r="W70" s="4"/>
      <c r="X70" s="1"/>
      <c r="Y70" s="4"/>
      <c r="Z70" s="4"/>
      <c r="AA70" s="4"/>
    </row>
    <row r="71" spans="1:27" ht="57.75">
      <c r="A71" s="1"/>
      <c r="B71" s="7" t="s">
        <v>95</v>
      </c>
      <c r="C71" s="1"/>
      <c r="D71" s="4"/>
      <c r="E71" s="4"/>
      <c r="F71" s="1"/>
      <c r="G71" s="4"/>
      <c r="H71" s="4"/>
      <c r="I71" s="4"/>
      <c r="J71" s="4"/>
      <c r="K71" s="4"/>
      <c r="L71" s="1"/>
      <c r="M71" s="4"/>
      <c r="N71" s="4"/>
      <c r="O71" s="4"/>
      <c r="P71" s="4"/>
      <c r="Q71" s="4"/>
      <c r="R71" s="1"/>
      <c r="S71" s="4"/>
      <c r="T71" s="4"/>
      <c r="U71" s="4"/>
      <c r="V71" s="4"/>
      <c r="W71" s="4"/>
      <c r="X71" s="1"/>
      <c r="Y71" s="4"/>
      <c r="Z71" s="4"/>
      <c r="AA71" s="4"/>
    </row>
    <row r="72" spans="1:27" ht="57.75">
      <c r="A72" s="1"/>
      <c r="B72" s="7" t="s">
        <v>96</v>
      </c>
      <c r="C72" s="1"/>
      <c r="D72" s="4"/>
      <c r="E72" s="4"/>
      <c r="F72" s="1"/>
      <c r="G72" s="4"/>
      <c r="H72" s="4"/>
      <c r="I72" s="4"/>
      <c r="J72" s="4"/>
      <c r="K72" s="4"/>
      <c r="L72" s="1"/>
      <c r="M72" s="4"/>
      <c r="N72" s="4"/>
      <c r="O72" s="4"/>
      <c r="P72" s="4"/>
      <c r="Q72" s="4"/>
      <c r="R72" s="1"/>
      <c r="S72" s="4"/>
      <c r="T72" s="4"/>
      <c r="U72" s="4"/>
      <c r="V72" s="4"/>
      <c r="W72" s="4"/>
      <c r="X72" s="1"/>
      <c r="Y72" s="4"/>
      <c r="Z72" s="4"/>
      <c r="AA72" s="4"/>
    </row>
    <row r="73" spans="1:27" ht="76.5">
      <c r="A73" s="1"/>
      <c r="B73" s="7" t="s">
        <v>97</v>
      </c>
      <c r="C73" s="1"/>
      <c r="D73" s="4"/>
      <c r="E73" s="4"/>
      <c r="F73" s="1"/>
      <c r="G73" s="4"/>
      <c r="H73" s="4"/>
      <c r="I73" s="4"/>
      <c r="J73" s="4"/>
      <c r="K73" s="4"/>
      <c r="L73" s="1"/>
      <c r="M73" s="4"/>
      <c r="N73" s="4"/>
      <c r="O73" s="4"/>
      <c r="P73" s="4"/>
      <c r="Q73" s="4"/>
      <c r="R73" s="1"/>
      <c r="S73" s="4"/>
      <c r="T73" s="4"/>
      <c r="U73" s="4"/>
      <c r="V73" s="4"/>
      <c r="W73" s="4"/>
      <c r="X73" s="1"/>
      <c r="Y73" s="4"/>
      <c r="Z73" s="4"/>
      <c r="AA73" s="4"/>
    </row>
    <row r="74" spans="1:27" ht="38.25">
      <c r="A74" s="1"/>
      <c r="B74" s="7" t="s">
        <v>98</v>
      </c>
      <c r="C74" s="1"/>
      <c r="D74" s="4"/>
      <c r="E74" s="4"/>
      <c r="F74" s="1"/>
      <c r="G74" s="4"/>
      <c r="H74" s="4"/>
      <c r="I74" s="4"/>
      <c r="J74" s="4"/>
      <c r="K74" s="4"/>
      <c r="L74" s="1"/>
      <c r="M74" s="4"/>
      <c r="N74" s="4"/>
      <c r="O74" s="4"/>
      <c r="P74" s="4"/>
      <c r="Q74" s="4"/>
      <c r="R74" s="1"/>
      <c r="S74" s="4"/>
      <c r="T74" s="4"/>
      <c r="U74" s="4"/>
      <c r="V74" s="4"/>
      <c r="W74" s="4"/>
      <c r="X74" s="1"/>
      <c r="Y74" s="4"/>
      <c r="Z74" s="4"/>
      <c r="AA74" s="4"/>
    </row>
    <row r="75" spans="1:27" ht="76.5">
      <c r="A75" s="1"/>
      <c r="B75" s="7" t="s">
        <v>99</v>
      </c>
      <c r="C75" s="1"/>
      <c r="D75" s="4"/>
      <c r="E75" s="4"/>
      <c r="F75" s="1"/>
      <c r="G75" s="4"/>
      <c r="H75" s="4"/>
      <c r="I75" s="4"/>
      <c r="J75" s="4"/>
      <c r="K75" s="4"/>
      <c r="L75" s="1"/>
      <c r="M75" s="4"/>
      <c r="N75" s="4"/>
      <c r="O75" s="4"/>
      <c r="P75" s="4"/>
      <c r="Q75" s="4"/>
      <c r="R75" s="1"/>
      <c r="S75" s="4"/>
      <c r="T75" s="4"/>
      <c r="U75" s="4"/>
      <c r="V75" s="4"/>
      <c r="W75" s="4"/>
      <c r="X75" s="1"/>
      <c r="Y75" s="4"/>
      <c r="Z75" s="4"/>
      <c r="AA75" s="4"/>
    </row>
    <row r="76" spans="1:27" ht="57.75">
      <c r="A76" s="1"/>
      <c r="B76" s="7" t="s">
        <v>100</v>
      </c>
      <c r="C76" s="1"/>
      <c r="D76" s="4"/>
      <c r="E76" s="4"/>
      <c r="F76" s="1"/>
      <c r="G76" s="4"/>
      <c r="H76" s="4"/>
      <c r="I76" s="4"/>
      <c r="J76" s="4"/>
      <c r="K76" s="4"/>
      <c r="L76" s="1"/>
      <c r="M76" s="4"/>
      <c r="N76" s="4"/>
      <c r="O76" s="4"/>
      <c r="P76" s="4"/>
      <c r="Q76" s="4"/>
      <c r="R76" s="1"/>
      <c r="S76" s="4"/>
      <c r="T76" s="4"/>
      <c r="U76" s="4"/>
      <c r="V76" s="4"/>
      <c r="W76" s="4"/>
      <c r="X76" s="1"/>
      <c r="Y76" s="4"/>
      <c r="Z76" s="4"/>
      <c r="AA76" s="4"/>
    </row>
    <row r="77" spans="1:27" ht="38.25">
      <c r="A77" s="1"/>
      <c r="B77" s="7" t="s">
        <v>101</v>
      </c>
      <c r="C77" s="1"/>
      <c r="D77" s="4"/>
      <c r="E77" s="4"/>
      <c r="F77" s="1"/>
      <c r="G77" s="4"/>
      <c r="H77" s="4"/>
      <c r="I77" s="4"/>
      <c r="J77" s="4"/>
      <c r="K77" s="4"/>
      <c r="L77" s="1"/>
      <c r="M77" s="4"/>
      <c r="N77" s="4"/>
      <c r="O77" s="4"/>
      <c r="P77" s="4"/>
      <c r="Q77" s="4"/>
      <c r="R77" s="1"/>
      <c r="S77" s="4"/>
      <c r="T77" s="4"/>
      <c r="U77" s="4"/>
      <c r="V77" s="4"/>
      <c r="W77" s="4"/>
      <c r="X77" s="1"/>
      <c r="Y77" s="4"/>
      <c r="Z77" s="4"/>
      <c r="AA77" s="4"/>
    </row>
    <row r="78" spans="1:27" ht="38.25">
      <c r="A78" s="1"/>
      <c r="B78" s="7" t="s">
        <v>102</v>
      </c>
      <c r="C78" s="1"/>
      <c r="D78" s="4"/>
      <c r="E78" s="4"/>
      <c r="F78" s="1"/>
      <c r="G78" s="4"/>
      <c r="H78" s="4"/>
      <c r="I78" s="4"/>
      <c r="J78" s="4"/>
      <c r="K78" s="4"/>
      <c r="L78" s="1"/>
      <c r="M78" s="4"/>
      <c r="N78" s="4"/>
      <c r="O78" s="4"/>
      <c r="P78" s="4"/>
      <c r="Q78" s="4"/>
      <c r="R78" s="1"/>
      <c r="S78" s="4"/>
      <c r="T78" s="4"/>
      <c r="U78" s="4"/>
      <c r="V78" s="4"/>
      <c r="W78" s="4"/>
      <c r="X78" s="1"/>
      <c r="Y78" s="4"/>
      <c r="Z78" s="4"/>
      <c r="AA78" s="4"/>
    </row>
    <row r="79" spans="1:27" ht="38.25">
      <c r="A79" s="1"/>
      <c r="B79" s="7" t="s">
        <v>103</v>
      </c>
      <c r="C79" s="1"/>
      <c r="D79" s="4"/>
      <c r="E79" s="4"/>
      <c r="F79" s="1"/>
      <c r="G79" s="4"/>
      <c r="H79" s="4"/>
      <c r="I79" s="4"/>
      <c r="J79" s="4"/>
      <c r="K79" s="4"/>
      <c r="L79" s="1"/>
      <c r="M79" s="4"/>
      <c r="N79" s="4"/>
      <c r="O79" s="4"/>
      <c r="P79" s="4"/>
      <c r="Q79" s="4"/>
      <c r="R79" s="1"/>
      <c r="S79" s="4"/>
      <c r="T79" s="4"/>
      <c r="U79" s="4"/>
      <c r="V79" s="4"/>
      <c r="W79" s="4"/>
      <c r="X79" s="1"/>
      <c r="Y79" s="4"/>
      <c r="Z79" s="4"/>
      <c r="AA79" s="4"/>
    </row>
    <row r="80" spans="1:27" ht="38.25">
      <c r="A80" s="1"/>
      <c r="B80" s="7" t="s">
        <v>104</v>
      </c>
      <c r="C80" s="1"/>
      <c r="D80" s="4"/>
      <c r="E80" s="4"/>
      <c r="F80" s="1"/>
      <c r="G80" s="4"/>
      <c r="H80" s="4"/>
      <c r="I80" s="4"/>
      <c r="J80" s="4"/>
      <c r="K80" s="4"/>
      <c r="L80" s="1"/>
      <c r="M80" s="4"/>
      <c r="N80" s="4"/>
      <c r="O80" s="4"/>
      <c r="P80" s="4"/>
      <c r="Q80" s="4"/>
      <c r="R80" s="1"/>
      <c r="S80" s="4"/>
      <c r="T80" s="4"/>
      <c r="U80" s="4"/>
      <c r="V80" s="4"/>
      <c r="W80" s="4"/>
      <c r="X80" s="1"/>
      <c r="Y80" s="4"/>
      <c r="Z80" s="4"/>
      <c r="AA80" s="4"/>
    </row>
    <row r="81" spans="1:27" ht="38.25">
      <c r="A81" s="1"/>
      <c r="B81" s="7" t="s">
        <v>105</v>
      </c>
      <c r="C81" s="1"/>
      <c r="D81" s="4"/>
      <c r="E81" s="4"/>
      <c r="F81" s="1"/>
      <c r="G81" s="4"/>
      <c r="H81" s="4"/>
      <c r="I81" s="4"/>
      <c r="J81" s="4"/>
      <c r="K81" s="4"/>
      <c r="L81" s="1"/>
      <c r="M81" s="4"/>
      <c r="N81" s="4"/>
      <c r="O81" s="4"/>
      <c r="P81" s="4"/>
      <c r="Q81" s="4"/>
      <c r="R81" s="1"/>
      <c r="S81" s="4"/>
      <c r="T81" s="4"/>
      <c r="U81" s="4"/>
      <c r="V81" s="4"/>
      <c r="W81" s="4"/>
      <c r="X81" s="1"/>
      <c r="Y81" s="4"/>
      <c r="Z81" s="4"/>
      <c r="AA81" s="4"/>
    </row>
    <row r="82" spans="1:27" ht="38.25">
      <c r="A82" s="1"/>
      <c r="B82" s="7" t="s">
        <v>106</v>
      </c>
      <c r="C82" s="1"/>
      <c r="D82" s="4"/>
      <c r="E82" s="4"/>
      <c r="F82" s="1"/>
      <c r="G82" s="4"/>
      <c r="H82" s="4"/>
      <c r="I82" s="4"/>
      <c r="J82" s="4"/>
      <c r="K82" s="4"/>
      <c r="L82" s="1"/>
      <c r="M82" s="4"/>
      <c r="N82" s="4"/>
      <c r="O82" s="4"/>
      <c r="P82" s="4"/>
      <c r="Q82" s="4"/>
      <c r="R82" s="1"/>
      <c r="S82" s="4"/>
      <c r="T82" s="4"/>
      <c r="U82" s="4"/>
      <c r="V82" s="4"/>
      <c r="W82" s="4"/>
      <c r="X82" s="1"/>
      <c r="Y82" s="4"/>
      <c r="Z82" s="4"/>
      <c r="AA82" s="4"/>
    </row>
    <row r="83" spans="1:27" ht="38.25">
      <c r="A83" s="1"/>
      <c r="B83" s="7" t="s">
        <v>107</v>
      </c>
      <c r="C83" s="1"/>
      <c r="D83" s="4"/>
      <c r="E83" s="4"/>
      <c r="F83" s="1"/>
      <c r="G83" s="4"/>
      <c r="H83" s="4"/>
      <c r="I83" s="4"/>
      <c r="J83" s="4"/>
      <c r="K83" s="4"/>
      <c r="L83" s="1"/>
      <c r="M83" s="4"/>
      <c r="N83" s="4"/>
      <c r="O83" s="4"/>
      <c r="P83" s="4"/>
      <c r="Q83" s="4"/>
      <c r="R83" s="1"/>
      <c r="S83" s="4"/>
      <c r="T83" s="4"/>
      <c r="U83" s="4"/>
      <c r="V83" s="4"/>
      <c r="W83" s="4"/>
      <c r="X83" s="1"/>
      <c r="Y83" s="4"/>
      <c r="Z83" s="4"/>
      <c r="AA83" s="4"/>
    </row>
    <row r="84" spans="1:27" ht="38.25">
      <c r="A84" s="1"/>
      <c r="B84" s="7" t="s">
        <v>108</v>
      </c>
      <c r="C84" s="1"/>
      <c r="D84" s="4">
        <f>Table14[[#This Row],[Enrolment S.Y. 2025-2026 ]]*8</f>
        <v>0</v>
      </c>
      <c r="E84" s="4"/>
      <c r="F84" s="1"/>
      <c r="G84" s="4"/>
      <c r="H84" s="4">
        <f t="shared" ref="H84:H87" si="24">IF((D84-E84)&lt;0,0,(D84-E84))</f>
        <v>0</v>
      </c>
      <c r="I84" s="4">
        <f t="shared" ref="I84:I87" si="25">IF((E84-D84)&lt;0,0,(E84-D84))</f>
        <v>0</v>
      </c>
      <c r="J84" s="4">
        <f>Table14[[#This Row],[Enrolment S.Y. 2025-2026 ]]*8</f>
        <v>0</v>
      </c>
      <c r="K84" s="4"/>
      <c r="L84" s="1"/>
      <c r="M84" s="4"/>
      <c r="N84" s="4"/>
      <c r="O84" s="4"/>
      <c r="P84" s="4" t="e">
        <f>#REF!*8</f>
        <v>#REF!</v>
      </c>
      <c r="Q84" s="4"/>
      <c r="R84" s="1"/>
      <c r="S84" s="4"/>
      <c r="T84" s="4" t="e">
        <f t="shared" ref="T84:T87" si="26">IF((P84-Q84)&lt;0,0,(P84-Q84))</f>
        <v>#REF!</v>
      </c>
      <c r="U84" s="4" t="e">
        <f t="shared" ref="U84:U87" si="27">IF((Q84-P84)&lt;0,0,(Q84-P84))</f>
        <v>#REF!</v>
      </c>
      <c r="V84" s="4">
        <f>Table14[[#This Row],[Enrolment S.Y. 2025-2026 ]]*8</f>
        <v>0</v>
      </c>
      <c r="W84" s="4"/>
      <c r="X84" s="1"/>
      <c r="Y84" s="4"/>
      <c r="Z84" s="4">
        <f t="shared" ref="Z84:Z87" si="28">IF((V84-W84)&lt;0,0,(V84-W84))</f>
        <v>0</v>
      </c>
      <c r="AA84" s="4">
        <f t="shared" ref="AA84:AA87" si="29">IF((W84-V84)&lt;0,0,(W84-V84))</f>
        <v>0</v>
      </c>
    </row>
    <row r="85" spans="1:27" ht="38.25">
      <c r="A85" s="1"/>
      <c r="B85" s="7" t="s">
        <v>109</v>
      </c>
      <c r="C85" s="1"/>
      <c r="D85" s="4">
        <f>Table14[[#This Row],[Enrolment S.Y. 2025-2026 ]]*8</f>
        <v>0</v>
      </c>
      <c r="E85" s="4"/>
      <c r="F85" s="1"/>
      <c r="G85" s="4"/>
      <c r="H85" s="4">
        <f t="shared" si="24"/>
        <v>0</v>
      </c>
      <c r="I85" s="4">
        <f t="shared" si="25"/>
        <v>0</v>
      </c>
      <c r="J85" s="4">
        <f>Table14[[#This Row],[Enrolment S.Y. 2025-2026 ]]*8</f>
        <v>0</v>
      </c>
      <c r="K85" s="4"/>
      <c r="L85" s="1"/>
      <c r="M85" s="4"/>
      <c r="N85" s="4"/>
      <c r="O85" s="4"/>
      <c r="P85" s="4" t="e">
        <f>#REF!*8</f>
        <v>#REF!</v>
      </c>
      <c r="Q85" s="4"/>
      <c r="R85" s="1"/>
      <c r="S85" s="4"/>
      <c r="T85" s="4" t="e">
        <f t="shared" si="26"/>
        <v>#REF!</v>
      </c>
      <c r="U85" s="4" t="e">
        <f t="shared" si="27"/>
        <v>#REF!</v>
      </c>
      <c r="V85" s="4">
        <f>Table14[[#This Row],[Enrolment S.Y. 2025-2026 ]]*8</f>
        <v>0</v>
      </c>
      <c r="W85" s="4"/>
      <c r="X85" s="1"/>
      <c r="Y85" s="4"/>
      <c r="Z85" s="4">
        <f t="shared" si="28"/>
        <v>0</v>
      </c>
      <c r="AA85" s="4">
        <f t="shared" si="29"/>
        <v>0</v>
      </c>
    </row>
    <row r="86" spans="1:27" ht="38.25">
      <c r="A86" s="1"/>
      <c r="B86" s="7" t="s">
        <v>110</v>
      </c>
      <c r="C86" s="1"/>
      <c r="D86" s="4">
        <f>Table14[[#This Row],[Enrolment S.Y. 2025-2026 ]]*8</f>
        <v>0</v>
      </c>
      <c r="E86" s="4"/>
      <c r="F86" s="1"/>
      <c r="G86" s="4"/>
      <c r="H86" s="4">
        <f t="shared" si="24"/>
        <v>0</v>
      </c>
      <c r="I86" s="4">
        <f t="shared" si="25"/>
        <v>0</v>
      </c>
      <c r="J86" s="4">
        <f>Table14[[#This Row],[Enrolment S.Y. 2025-2026 ]]*8</f>
        <v>0</v>
      </c>
      <c r="K86" s="4"/>
      <c r="L86" s="1"/>
      <c r="M86" s="4"/>
      <c r="N86" s="4"/>
      <c r="O86" s="4"/>
      <c r="P86" s="4" t="e">
        <f>#REF!*8</f>
        <v>#REF!</v>
      </c>
      <c r="Q86" s="4"/>
      <c r="R86" s="1"/>
      <c r="S86" s="4"/>
      <c r="T86" s="4" t="e">
        <f t="shared" si="26"/>
        <v>#REF!</v>
      </c>
      <c r="U86" s="4" t="e">
        <f t="shared" si="27"/>
        <v>#REF!</v>
      </c>
      <c r="V86" s="4">
        <f>Table14[[#This Row],[Enrolment S.Y. 2025-2026 ]]*8</f>
        <v>0</v>
      </c>
      <c r="W86" s="4"/>
      <c r="X86" s="1"/>
      <c r="Y86" s="4"/>
      <c r="Z86" s="4">
        <f t="shared" si="28"/>
        <v>0</v>
      </c>
      <c r="AA86" s="4">
        <f t="shared" si="29"/>
        <v>0</v>
      </c>
    </row>
    <row r="87" spans="1:27" ht="57.75">
      <c r="A87" s="1"/>
      <c r="B87" s="7" t="s">
        <v>111</v>
      </c>
      <c r="C87" s="1"/>
      <c r="D87" s="4">
        <f>Table14[[#This Row],[Enrolment S.Y. 2025-2026 ]]*8</f>
        <v>0</v>
      </c>
      <c r="E87" s="4"/>
      <c r="F87" s="1"/>
      <c r="G87" s="4"/>
      <c r="H87" s="4">
        <f t="shared" si="24"/>
        <v>0</v>
      </c>
      <c r="I87" s="4">
        <f t="shared" si="25"/>
        <v>0</v>
      </c>
      <c r="J87" s="4">
        <f>Table14[[#This Row],[Enrolment S.Y. 2025-2026 ]]*8</f>
        <v>0</v>
      </c>
      <c r="K87" s="4"/>
      <c r="L87" s="1"/>
      <c r="M87" s="4"/>
      <c r="N87" s="4"/>
      <c r="O87" s="4"/>
      <c r="P87" s="4" t="e">
        <f>#REF!*8</f>
        <v>#REF!</v>
      </c>
      <c r="Q87" s="4"/>
      <c r="R87" s="1"/>
      <c r="S87" s="4"/>
      <c r="T87" s="4" t="e">
        <f t="shared" si="26"/>
        <v>#REF!</v>
      </c>
      <c r="U87" s="4" t="e">
        <f t="shared" si="27"/>
        <v>#REF!</v>
      </c>
      <c r="V87" s="4">
        <f>Table14[[#This Row],[Enrolment S.Y. 2025-2026 ]]*8</f>
        <v>0</v>
      </c>
      <c r="W87" s="4"/>
      <c r="X87" s="1"/>
      <c r="Y87" s="4"/>
      <c r="Z87" s="4">
        <f t="shared" si="28"/>
        <v>0</v>
      </c>
      <c r="AA87" s="4">
        <f t="shared" si="29"/>
        <v>0</v>
      </c>
    </row>
    <row r="88" spans="1:27" ht="15"/>
    <row r="89" spans="1:27" ht="15"/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</sheetData>
  <protectedRanges>
    <protectedRange sqref="C2 C51:C65" name="Textbooks"/>
    <protectedRange sqref="J2:L2 D51:F65 D39:F49 N15:R25 N27:R37 N39:R49 P2:R2 D15:F25 D27:F37 N51:R65 N3:R13 V2:X2 T3:X13 Z3:AA13 H3:L13 T15:X25 Z15:AA25 H15:L25 T27:X37 Z27:AA37 H27:L37 T39:X49 Z39:AA49 H39:L49 T51:X65 Z51:AA65 D2:F13 H51:L65" name="LAS"/>
    <protectedRange sqref="G2:I2 M2:O2 S2:U2 Y2:AA2 G51:G65 M51:M65 S51:S65 S39:S49 Y3:Y13 G3:G13 M3:M13 S3:S13 Y15:Y25 G15:G25 M15:M25 S15:S25 Y27:Y37 G27:G37 M27:M37 S27:S37 Y39:Y49 G39:G49 M39:M49 Y51:Y65" name="SOURCE"/>
    <protectedRange sqref="C3:C13" name="Textbooks_1"/>
    <protectedRange sqref="C15:C25" name="Textbooks_3"/>
    <protectedRange sqref="C27:C37" name="Textbooks_4"/>
    <protectedRange sqref="C39:C49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65 Y51:Y65 G51:G65 M3:M13 G3:G13 Y3:Y13 S3:S13 S15:S25 M15:M25 G15:G25 Y15:Y25 Y27:Y37 S27:S37 M27:M37 G27:G37 G39:G49 Y39:Y49 S39:S49 M39:M49 M51:M65" xr:uid="{CBD486C7-A5DB-48F1-B496-5027CC51E830}">
      <formula1>"CO,RO,SDO,LGU,SCHOOL"</formula1>
    </dataValidation>
    <dataValidation type="list" allowBlank="1" showInputMessage="1" showErrorMessage="1" sqref="F67:F87 F51:F65 F39:F49 F27:F37 F15:F25 F3:F13 L67:L87 L51:L65 L39:L49 L27:L37 L15:L25 L3:L13 R67:R87 R51:R65 R39:R49 R27:R37 R15:R25 R3:R13 X67:X87 X51:X65 X39:X49 X27:X37 X15:X25 X3:X13" xr:uid="{D1307BC6-63B2-4E23-9966-8C4983515AE2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2026-04-14T03:42:13Z</dcterms:modified>
  <cp:category/>
  <cp:contentStatus/>
</cp:coreProperties>
</file>