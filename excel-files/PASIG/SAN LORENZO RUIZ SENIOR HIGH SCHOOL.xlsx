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4" documentId="13_ncr:1_{BFB59F67-F0DC-4675-A682-EB0734A8026A}" xr6:coauthVersionLast="47" xr6:coauthVersionMax="47" xr10:uidLastSave="{0297DD95-A028-4C16-828D-598C59AECD6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4" l="1"/>
  <c r="P45" i="5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<sst xmlns="http://schemas.openxmlformats.org/spreadsheetml/2006/main" count="234" uniqueCount="83">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</sst>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98" sqref="E9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21.570312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573</v>
      </c>
      <c r="D42" s="1">
        <v>1165</v>
      </c>
      <c r="E42" s="1">
        <v>2025</v>
      </c>
      <c r="F42" s="4"/>
      <c r="G42" s="2">
        <f t="shared" ref="G42:G49" si="8">IF((C42-D42)&lt;0,0,C42-D42)</f>
        <v>0</v>
      </c>
      <c r="H42" s="3">
        <f t="shared" ref="H42:H49" si="9">IF((D42-C42)&lt;0,0,D42-C42)</f>
        <v>592</v>
      </c>
    </row>
    <row r="43" spans="1:8" ht="27.75" customHeight="1">
      <c r="A43" s="1" t="s">
        <v>18</v>
      </c>
      <c r="B43" s="7" t="s">
        <v>20</v>
      </c>
      <c r="C43" s="1">
        <v>0</v>
      </c>
      <c r="D43" s="1">
        <v>0</v>
      </c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>
        <v>573</v>
      </c>
      <c r="D44" s="1">
        <v>1165</v>
      </c>
      <c r="E44" s="1">
        <v>2025</v>
      </c>
      <c r="F44" s="4"/>
      <c r="G44" s="2">
        <f t="shared" si="8"/>
        <v>0</v>
      </c>
      <c r="H44" s="3">
        <f t="shared" si="9"/>
        <v>592</v>
      </c>
    </row>
    <row r="45" spans="1:8" ht="36.75" customHeight="1">
      <c r="A45" s="1" t="s">
        <v>18</v>
      </c>
      <c r="B45" s="7" t="s">
        <v>22</v>
      </c>
      <c r="C45" s="1">
        <v>0</v>
      </c>
      <c r="D45" s="1">
        <v>1165</v>
      </c>
      <c r="E45" s="1">
        <v>2025</v>
      </c>
      <c r="F45" s="4"/>
      <c r="G45" s="2">
        <f t="shared" si="8"/>
        <v>0</v>
      </c>
      <c r="H45" s="3">
        <f t="shared" si="9"/>
        <v>1165</v>
      </c>
    </row>
    <row r="46" spans="1:8" ht="27.75" customHeight="1">
      <c r="A46" s="1" t="s">
        <v>18</v>
      </c>
      <c r="B46" s="7" t="s">
        <v>23</v>
      </c>
      <c r="C46" s="1">
        <v>573</v>
      </c>
      <c r="D46" s="1">
        <v>1165</v>
      </c>
      <c r="E46" s="1">
        <v>2025</v>
      </c>
      <c r="F46" s="4"/>
      <c r="G46" s="2">
        <f t="shared" si="8"/>
        <v>0</v>
      </c>
      <c r="H46" s="3">
        <f t="shared" si="9"/>
        <v>592</v>
      </c>
    </row>
    <row r="47" spans="1:8" ht="27.75" customHeight="1">
      <c r="A47" s="1" t="s">
        <v>18</v>
      </c>
      <c r="B47" s="7" t="s">
        <v>24</v>
      </c>
      <c r="C47" s="1">
        <v>670</v>
      </c>
      <c r="D47" s="1">
        <v>1165</v>
      </c>
      <c r="E47" s="1">
        <v>2025</v>
      </c>
      <c r="F47" s="4"/>
      <c r="G47" s="2">
        <f t="shared" si="8"/>
        <v>0</v>
      </c>
      <c r="H47" s="3">
        <f t="shared" si="9"/>
        <v>495</v>
      </c>
    </row>
    <row r="48" spans="1:8" ht="27.75" customHeight="1">
      <c r="A48" s="1" t="s">
        <v>18</v>
      </c>
      <c r="B48" s="7" t="s">
        <v>25</v>
      </c>
      <c r="C48" s="1">
        <v>573</v>
      </c>
      <c r="D48" s="1">
        <v>1165</v>
      </c>
      <c r="E48" s="1">
        <v>2025</v>
      </c>
      <c r="F48" s="4"/>
      <c r="G48" s="2">
        <f t="shared" si="8"/>
        <v>0</v>
      </c>
      <c r="H48" s="3">
        <f t="shared" si="9"/>
        <v>592</v>
      </c>
    </row>
    <row r="49" spans="1:8" ht="27.75" customHeight="1">
      <c r="A49" s="1" t="s">
        <v>18</v>
      </c>
      <c r="B49" s="7" t="s">
        <v>26</v>
      </c>
      <c r="C49" s="1">
        <v>0</v>
      </c>
      <c r="D49" s="1">
        <v>1165</v>
      </c>
      <c r="E49" s="1">
        <v>2025</v>
      </c>
      <c r="F49" s="4"/>
      <c r="G49" s="2">
        <f t="shared" si="8"/>
        <v>0</v>
      </c>
      <c r="H49" s="3">
        <f t="shared" si="9"/>
        <v>1165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51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selection activeCell="AD68" sqref="AD6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>
        <v>573</v>
      </c>
      <c r="D43" s="4">
        <f>Table1[[#This Row],[Enrolment S.Y. 2025-2026 ]]*8</f>
        <v>4584</v>
      </c>
      <c r="E43" s="4">
        <v>0</v>
      </c>
      <c r="F43" s="1"/>
      <c r="G43" s="4"/>
      <c r="H43" s="4">
        <f t="shared" si="14"/>
        <v>4584</v>
      </c>
      <c r="I43" s="4">
        <f t="shared" si="15"/>
        <v>0</v>
      </c>
      <c r="J43" s="4">
        <f>Table1[[#This Row],[Enrolment S.Y. 2025-2026 ]]*8</f>
        <v>4584</v>
      </c>
      <c r="K43" s="4">
        <v>0</v>
      </c>
      <c r="L43" s="1"/>
      <c r="M43" s="4"/>
      <c r="N43" s="4">
        <f t="shared" si="8"/>
        <v>4584</v>
      </c>
      <c r="O43" s="4">
        <f t="shared" si="9"/>
        <v>0</v>
      </c>
      <c r="P43" s="4">
        <f>Table1[[#This Row],[Enrolment S.Y. 2025-2026 ]]*8</f>
        <v>4584</v>
      </c>
      <c r="Q43" s="4"/>
      <c r="R43" s="1"/>
      <c r="S43" s="4"/>
      <c r="T43" s="4">
        <f t="shared" si="10"/>
        <v>4584</v>
      </c>
      <c r="U43" s="4">
        <f t="shared" si="11"/>
        <v>0</v>
      </c>
      <c r="V43" s="4">
        <f>Table1[[#This Row],[Enrolment S.Y. 2025-2026 ]]*8</f>
        <v>4584</v>
      </c>
      <c r="W43" s="4"/>
      <c r="X43" s="1"/>
      <c r="Y43" s="4"/>
      <c r="Z43" s="4">
        <f t="shared" si="12"/>
        <v>4584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>
        <v>0</v>
      </c>
      <c r="D44" s="4">
        <f>Table1[[#This Row],[Enrolment S.Y. 2025-2026 ]]*8</f>
        <v>0</v>
      </c>
      <c r="E44" s="4">
        <v>0</v>
      </c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>
        <v>0</v>
      </c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>
        <v>573</v>
      </c>
      <c r="D45" s="4">
        <f>Table1[[#This Row],[Enrolment S.Y. 2025-2026 ]]*8</f>
        <v>4584</v>
      </c>
      <c r="E45" s="4">
        <v>0</v>
      </c>
      <c r="F45" s="1"/>
      <c r="G45" s="4"/>
      <c r="H45" s="4">
        <f t="shared" si="14"/>
        <v>4584</v>
      </c>
      <c r="I45" s="4">
        <f t="shared" si="15"/>
        <v>0</v>
      </c>
      <c r="J45" s="4">
        <f>Table1[[#This Row],[Enrolment S.Y. 2025-2026 ]]*8</f>
        <v>4584</v>
      </c>
      <c r="K45" s="4">
        <v>0</v>
      </c>
      <c r="L45" s="1"/>
      <c r="M45" s="4"/>
      <c r="N45" s="4">
        <f t="shared" si="8"/>
        <v>4584</v>
      </c>
      <c r="O45" s="4">
        <f t="shared" si="9"/>
        <v>0</v>
      </c>
      <c r="P45" s="4">
        <f>Table1[[#This Row],[Enrolment S.Y. 2025-2026 ]]*8</f>
        <v>4584</v>
      </c>
      <c r="Q45" s="4"/>
      <c r="R45" s="1"/>
      <c r="S45" s="4"/>
      <c r="T45" s="4">
        <f t="shared" si="10"/>
        <v>4584</v>
      </c>
      <c r="U45" s="4">
        <f t="shared" si="11"/>
        <v>0</v>
      </c>
      <c r="V45" s="4">
        <f>Table1[[#This Row],[Enrolment S.Y. 2025-2026 ]]*8</f>
        <v>4584</v>
      </c>
      <c r="W45" s="4"/>
      <c r="X45" s="1"/>
      <c r="Y45" s="4"/>
      <c r="Z45" s="4">
        <f t="shared" si="12"/>
        <v>4584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>
        <v>0</v>
      </c>
      <c r="D46" s="4">
        <f>Table1[[#This Row],[Enrolment S.Y. 2025-2026 ]]*8</f>
        <v>0</v>
      </c>
      <c r="E46" s="4">
        <v>0</v>
      </c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>
        <v>0</v>
      </c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>
        <v>573</v>
      </c>
      <c r="D47" s="4">
        <f>Table1[[#This Row],[Enrolment S.Y. 2025-2026 ]]*8</f>
        <v>4584</v>
      </c>
      <c r="E47" s="4">
        <v>0</v>
      </c>
      <c r="F47" s="1"/>
      <c r="G47" s="4"/>
      <c r="H47" s="4">
        <f t="shared" si="14"/>
        <v>4584</v>
      </c>
      <c r="I47" s="4">
        <f t="shared" si="15"/>
        <v>0</v>
      </c>
      <c r="J47" s="4">
        <f>Table1[[#This Row],[Enrolment S.Y. 2025-2026 ]]*8</f>
        <v>4584</v>
      </c>
      <c r="K47" s="4">
        <v>0</v>
      </c>
      <c r="L47" s="1"/>
      <c r="M47" s="4"/>
      <c r="N47" s="4">
        <f t="shared" si="8"/>
        <v>4584</v>
      </c>
      <c r="O47" s="4">
        <f t="shared" si="9"/>
        <v>0</v>
      </c>
      <c r="P47" s="4">
        <f>Table1[[#This Row],[Enrolment S.Y. 2025-2026 ]]*8</f>
        <v>4584</v>
      </c>
      <c r="Q47" s="4"/>
      <c r="R47" s="1"/>
      <c r="S47" s="4"/>
      <c r="T47" s="4">
        <f t="shared" si="10"/>
        <v>4584</v>
      </c>
      <c r="U47" s="4">
        <f t="shared" si="11"/>
        <v>0</v>
      </c>
      <c r="V47" s="4">
        <f>Table1[[#This Row],[Enrolment S.Y. 2025-2026 ]]*8</f>
        <v>4584</v>
      </c>
      <c r="W47" s="4"/>
      <c r="X47" s="1"/>
      <c r="Y47" s="4"/>
      <c r="Z47" s="4">
        <f t="shared" si="12"/>
        <v>4584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>
        <v>670</v>
      </c>
      <c r="D48" s="4">
        <f>Table1[[#This Row],[Enrolment S.Y. 2025-2026 ]]*8</f>
        <v>5360</v>
      </c>
      <c r="E48" s="4">
        <v>0</v>
      </c>
      <c r="F48" s="1"/>
      <c r="G48" s="4"/>
      <c r="H48" s="4">
        <f t="shared" si="14"/>
        <v>5360</v>
      </c>
      <c r="I48" s="4">
        <f t="shared" si="15"/>
        <v>0</v>
      </c>
      <c r="J48" s="4">
        <f>Table1[[#This Row],[Enrolment S.Y. 2025-2026 ]]*8</f>
        <v>5360</v>
      </c>
      <c r="K48" s="4">
        <v>0</v>
      </c>
      <c r="L48" s="1"/>
      <c r="M48" s="4"/>
      <c r="N48" s="4">
        <f t="shared" si="8"/>
        <v>5360</v>
      </c>
      <c r="O48" s="4">
        <f t="shared" si="9"/>
        <v>0</v>
      </c>
      <c r="P48" s="4">
        <f>Table1[[#This Row],[Enrolment S.Y. 2025-2026 ]]*8</f>
        <v>5360</v>
      </c>
      <c r="Q48" s="4"/>
      <c r="R48" s="1"/>
      <c r="S48" s="4"/>
      <c r="T48" s="4">
        <f t="shared" si="10"/>
        <v>5360</v>
      </c>
      <c r="U48" s="4">
        <f t="shared" si="11"/>
        <v>0</v>
      </c>
      <c r="V48" s="4">
        <f>Table1[[#This Row],[Enrolment S.Y. 2025-2026 ]]*8</f>
        <v>5360</v>
      </c>
      <c r="W48" s="4"/>
      <c r="X48" s="1"/>
      <c r="Y48" s="4"/>
      <c r="Z48" s="4">
        <f t="shared" si="12"/>
        <v>5360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>
        <v>573</v>
      </c>
      <c r="D49" s="4">
        <f>Table1[[#This Row],[Enrolment S.Y. 2025-2026 ]]*8</f>
        <v>4584</v>
      </c>
      <c r="E49" s="4">
        <v>0</v>
      </c>
      <c r="F49" s="1"/>
      <c r="G49" s="4"/>
      <c r="H49" s="4">
        <f t="shared" si="14"/>
        <v>4584</v>
      </c>
      <c r="I49" s="4">
        <f t="shared" si="15"/>
        <v>0</v>
      </c>
      <c r="J49" s="4">
        <f>Table1[[#This Row],[Enrolment S.Y. 2025-2026 ]]*8</f>
        <v>4584</v>
      </c>
      <c r="K49" s="4">
        <v>0</v>
      </c>
      <c r="L49" s="1"/>
      <c r="M49" s="4"/>
      <c r="N49" s="4">
        <f t="shared" si="8"/>
        <v>4584</v>
      </c>
      <c r="O49" s="4">
        <f t="shared" si="9"/>
        <v>0</v>
      </c>
      <c r="P49" s="4">
        <f>Table1[[#This Row],[Enrolment S.Y. 2025-2026 ]]*8</f>
        <v>4584</v>
      </c>
      <c r="Q49" s="4"/>
      <c r="R49" s="1"/>
      <c r="S49" s="4"/>
      <c r="T49" s="4">
        <f t="shared" si="10"/>
        <v>4584</v>
      </c>
      <c r="U49" s="4">
        <f t="shared" si="11"/>
        <v>0</v>
      </c>
      <c r="V49" s="4">
        <f>Table1[[#This Row],[Enrolment S.Y. 2025-2026 ]]*8</f>
        <v>4584</v>
      </c>
      <c r="W49" s="4"/>
      <c r="X49" s="1"/>
      <c r="Y49" s="4"/>
      <c r="Z49" s="4">
        <f t="shared" si="12"/>
        <v>4584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>
        <v>0</v>
      </c>
      <c r="D50" s="4">
        <f>Table1[[#This Row],[Enrolment S.Y. 2025-2026 ]]*8</f>
        <v>0</v>
      </c>
      <c r="E50" s="4">
        <v>0</v>
      </c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>
        <v>0</v>
      </c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2" spans="1:27" s="5" customForma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62" spans="1:27" s="5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7" spans="1:27" ht="42.75" customHeight="1"/>
    <row r="108" spans="1:27" ht="58.5" customHeight="1"/>
    <row r="109" spans="1:27" ht="58.5" customHeight="1"/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43:X50 X33:X41 X23:X31 X13:X21 X3:X11 R43:R50 R33:R41 R23:R31 R13:R21 R3:R11 L43:L50 L33:L41 L23:L31 L13:L21 L3:L11 F43:F50 F33:F41 F23:F31 F13:F21 F3:F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66" sqref="AE6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>
        <v>573</v>
      </c>
      <c r="D51" s="4">
        <f>Table14[[#This Row],[Enrolment S.Y. 2025-2026 ]]*8</f>
        <v>4584</v>
      </c>
      <c r="E51" s="4">
        <v>0</v>
      </c>
      <c r="F51" s="1"/>
      <c r="G51" s="4"/>
      <c r="H51" s="4">
        <f t="shared" si="16"/>
        <v>4584</v>
      </c>
      <c r="I51" s="4">
        <f t="shared" si="17"/>
        <v>0</v>
      </c>
      <c r="J51" s="4">
        <f>Table14[[#This Row],[Enrolment S.Y. 2025-2026 ]]*8</f>
        <v>4584</v>
      </c>
      <c r="K51" s="4"/>
      <c r="L51" s="1"/>
      <c r="M51" s="4"/>
      <c r="N51" s="4">
        <f t="shared" si="14"/>
        <v>4584</v>
      </c>
      <c r="O51" s="4">
        <f t="shared" si="15"/>
        <v>0</v>
      </c>
      <c r="P51" s="4">
        <f>Table14[[#This Row],[Enrolment S.Y. 2025-2026 ]]*8</f>
        <v>4584</v>
      </c>
      <c r="Q51" s="4"/>
      <c r="R51" s="1"/>
      <c r="S51" s="4"/>
      <c r="T51" s="4">
        <f t="shared" si="10"/>
        <v>4584</v>
      </c>
      <c r="U51" s="4">
        <f t="shared" si="11"/>
        <v>0</v>
      </c>
      <c r="V51" s="4">
        <f>Table14[[#This Row],[Enrolment S.Y. 2025-2026 ]]*8</f>
        <v>4584</v>
      </c>
      <c r="W51" s="4"/>
      <c r="X51" s="1"/>
      <c r="Y51" s="4"/>
      <c r="Z51" s="4">
        <f t="shared" si="12"/>
        <v>4584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>
        <v>0</v>
      </c>
      <c r="D52" s="4">
        <f>Table14[[#This Row],[Enrolment S.Y. 2025-2026 ]]*8</f>
        <v>0</v>
      </c>
      <c r="E52" s="4">
        <v>0</v>
      </c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>
        <v>573</v>
      </c>
      <c r="D53" s="4">
        <f>Table14[[#This Row],[Enrolment S.Y. 2025-2026 ]]*8</f>
        <v>4584</v>
      </c>
      <c r="E53" s="4">
        <v>0</v>
      </c>
      <c r="F53" s="1"/>
      <c r="G53" s="4"/>
      <c r="H53" s="4">
        <f t="shared" si="16"/>
        <v>4584</v>
      </c>
      <c r="I53" s="4">
        <f t="shared" si="17"/>
        <v>0</v>
      </c>
      <c r="J53" s="4">
        <f>Table14[[#This Row],[Enrolment S.Y. 2025-2026 ]]*8</f>
        <v>4584</v>
      </c>
      <c r="K53" s="4"/>
      <c r="L53" s="1"/>
      <c r="M53" s="4"/>
      <c r="N53" s="4">
        <f t="shared" si="14"/>
        <v>4584</v>
      </c>
      <c r="O53" s="4">
        <f t="shared" si="15"/>
        <v>0</v>
      </c>
      <c r="P53" s="4">
        <f>Table14[[#This Row],[Enrolment S.Y. 2025-2026 ]]*8</f>
        <v>4584</v>
      </c>
      <c r="Q53" s="4"/>
      <c r="R53" s="1"/>
      <c r="S53" s="4"/>
      <c r="T53" s="4">
        <f t="shared" si="10"/>
        <v>4584</v>
      </c>
      <c r="U53" s="4">
        <f t="shared" si="11"/>
        <v>0</v>
      </c>
      <c r="V53" s="4">
        <f>Table14[[#This Row],[Enrolment S.Y. 2025-2026 ]]*8</f>
        <v>4584</v>
      </c>
      <c r="W53" s="4"/>
      <c r="X53" s="1"/>
      <c r="Y53" s="4"/>
      <c r="Z53" s="4">
        <f t="shared" si="12"/>
        <v>4584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>
        <v>0</v>
      </c>
      <c r="D54" s="4">
        <f>Table14[[#This Row],[Enrolment S.Y. 2025-2026 ]]*8</f>
        <v>0</v>
      </c>
      <c r="E54" s="4">
        <v>0</v>
      </c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>
        <v>573</v>
      </c>
      <c r="D55" s="4">
        <f>Table14[[#This Row],[Enrolment S.Y. 2025-2026 ]]*8</f>
        <v>4584</v>
      </c>
      <c r="E55" s="4">
        <v>0</v>
      </c>
      <c r="F55" s="1"/>
      <c r="G55" s="4"/>
      <c r="H55" s="4">
        <f t="shared" si="16"/>
        <v>4584</v>
      </c>
      <c r="I55" s="4">
        <f t="shared" si="17"/>
        <v>0</v>
      </c>
      <c r="J55" s="4">
        <f>Table14[[#This Row],[Enrolment S.Y. 2025-2026 ]]*8</f>
        <v>4584</v>
      </c>
      <c r="K55" s="4"/>
      <c r="L55" s="1"/>
      <c r="M55" s="4"/>
      <c r="N55" s="4">
        <f t="shared" si="14"/>
        <v>4584</v>
      </c>
      <c r="O55" s="4">
        <f t="shared" si="15"/>
        <v>0</v>
      </c>
      <c r="P55" s="4">
        <f>Table14[[#This Row],[Enrolment S.Y. 2025-2026 ]]*8</f>
        <v>4584</v>
      </c>
      <c r="Q55" s="4"/>
      <c r="R55" s="1"/>
      <c r="S55" s="4"/>
      <c r="T55" s="4">
        <f t="shared" si="10"/>
        <v>4584</v>
      </c>
      <c r="U55" s="4">
        <f t="shared" si="11"/>
        <v>0</v>
      </c>
      <c r="V55" s="4">
        <f>Table14[[#This Row],[Enrolment S.Y. 2025-2026 ]]*8</f>
        <v>4584</v>
      </c>
      <c r="W55" s="4"/>
      <c r="X55" s="1"/>
      <c r="Y55" s="4"/>
      <c r="Z55" s="4">
        <f t="shared" si="12"/>
        <v>4584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>
        <v>670</v>
      </c>
      <c r="D56" s="4">
        <f>Table14[[#This Row],[Enrolment S.Y. 2025-2026 ]]*8</f>
        <v>5360</v>
      </c>
      <c r="E56" s="4">
        <v>0</v>
      </c>
      <c r="F56" s="1"/>
      <c r="G56" s="4"/>
      <c r="H56" s="4">
        <f t="shared" si="16"/>
        <v>5360</v>
      </c>
      <c r="I56" s="4">
        <f t="shared" si="17"/>
        <v>0</v>
      </c>
      <c r="J56" s="4">
        <f>Table14[[#This Row],[Enrolment S.Y. 2025-2026 ]]*8</f>
        <v>5360</v>
      </c>
      <c r="K56" s="4"/>
      <c r="L56" s="1"/>
      <c r="M56" s="4"/>
      <c r="N56" s="4">
        <f t="shared" si="14"/>
        <v>5360</v>
      </c>
      <c r="O56" s="4">
        <f t="shared" si="15"/>
        <v>0</v>
      </c>
      <c r="P56" s="4">
        <f>Table14[[#This Row],[Enrolment S.Y. 2025-2026 ]]*8</f>
        <v>5360</v>
      </c>
      <c r="Q56" s="4"/>
      <c r="R56" s="1"/>
      <c r="S56" s="4"/>
      <c r="T56" s="4">
        <f t="shared" si="10"/>
        <v>5360</v>
      </c>
      <c r="U56" s="4">
        <f t="shared" si="11"/>
        <v>0</v>
      </c>
      <c r="V56" s="4">
        <f>Table14[[#This Row],[Enrolment S.Y. 2025-2026 ]]*8</f>
        <v>5360</v>
      </c>
      <c r="W56" s="4"/>
      <c r="X56" s="1"/>
      <c r="Y56" s="4"/>
      <c r="Z56" s="4">
        <f t="shared" si="12"/>
        <v>5360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>
        <v>573</v>
      </c>
      <c r="D57" s="4">
        <f>Table14[[#This Row],[Enrolment S.Y. 2025-2026 ]]*8</f>
        <v>4584</v>
      </c>
      <c r="E57" s="4">
        <v>0</v>
      </c>
      <c r="F57" s="1"/>
      <c r="G57" s="4"/>
      <c r="H57" s="4">
        <f t="shared" si="16"/>
        <v>4584</v>
      </c>
      <c r="I57" s="4">
        <f t="shared" si="17"/>
        <v>0</v>
      </c>
      <c r="J57" s="4">
        <f>Table14[[#This Row],[Enrolment S.Y. 2025-2026 ]]*8</f>
        <v>4584</v>
      </c>
      <c r="K57" s="4"/>
      <c r="L57" s="1"/>
      <c r="M57" s="4"/>
      <c r="N57" s="4">
        <f t="shared" si="14"/>
        <v>4584</v>
      </c>
      <c r="O57" s="4">
        <f t="shared" si="15"/>
        <v>0</v>
      </c>
      <c r="P57" s="4">
        <f>Table14[[#This Row],[Enrolment S.Y. 2025-2026 ]]*8</f>
        <v>4584</v>
      </c>
      <c r="Q57" s="4"/>
      <c r="R57" s="1"/>
      <c r="S57" s="4"/>
      <c r="T57" s="4">
        <f t="shared" si="10"/>
        <v>4584</v>
      </c>
      <c r="U57" s="4">
        <f t="shared" si="11"/>
        <v>0</v>
      </c>
      <c r="V57" s="4">
        <f>Table14[[#This Row],[Enrolment S.Y. 2025-2026 ]]*8</f>
        <v>4584</v>
      </c>
      <c r="W57" s="4"/>
      <c r="X57" s="1"/>
      <c r="Y57" s="4"/>
      <c r="Z57" s="4">
        <f t="shared" si="12"/>
        <v>4584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>
        <v>0</v>
      </c>
      <c r="D58" s="4">
        <f>Table14[[#This Row],[Enrolment S.Y. 2025-2026 ]]*8</f>
        <v>0</v>
      </c>
      <c r="E58" s="4">
        <v>0</v>
      </c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66" spans="1:27" s="5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27:C37 C15:C25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  <protectedRange sqref="C51:C58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2026-04-14T03:55:14Z</dcterms:modified>
  <cp:category/>
  <cp:contentStatus/>
</cp:coreProperties>
</file>