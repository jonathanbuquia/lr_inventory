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9" documentId="13_ncr:1_{BFB59F67-F0DC-4675-A682-EB0734A8026A}" xr6:coauthVersionLast="47" xr6:coauthVersionMax="47" xr10:uidLastSave="{41A35312-D6F9-4682-BACA-B5459D23E60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2" i="1"/>
  <c r="C13" i="1"/>
  <c r="C14" i="1"/>
  <c r="C15" i="1"/>
  <c r="C16" i="1"/>
  <c r="C17" i="1"/>
  <c r="C18" i="1"/>
  <c r="C19" i="1"/>
  <c r="C20" i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<sst xmlns="http://schemas.openxmlformats.org/spreadsheetml/2006/main" count="236" uniqueCount="85">
  <si>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</si>
  <si>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</si>
  <si>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</si>
  <si>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</si>
  <si>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</si>
  <si>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</si>
  <si>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</si>
  <si>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</si>
  <si>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</si>
  <si>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</si>
  <si>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</si>
  <si>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RO</t>
  </si>
  <si>
    <t>VE</t>
  </si>
  <si>
    <t>Araling Panlipunan</t>
  </si>
  <si>
    <t>Science</t>
  </si>
  <si>
    <t>CO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</si>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</sst>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>
      <calculatedColumnFormula>Table2[[#This Row],[Grade Level]] + 1389</calculatedColumnFormula>
    </tableColumn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101" sqref="E10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f>Table2[[#This Row],[Grade Level]] + 1389</f>
        <v>1396</v>
      </c>
      <c r="D2" s="8"/>
      <c r="E2" s="8"/>
      <c r="F2" s="10"/>
      <c r="G2" s="2">
        <f t="shared" ref="G2:G10" si="0">IF((C2-D2)&lt;0,0,C2-D2)</f>
        <v>1396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>
        <f>Table2[[#This Row],[Grade Level]] + 1389</f>
        <v>1396</v>
      </c>
      <c r="D3" s="8"/>
      <c r="E3" s="8"/>
      <c r="F3" s="10"/>
      <c r="G3" s="2">
        <f t="shared" si="0"/>
        <v>1396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>
        <f>Table2[[#This Row],[Grade Level]] + 1389</f>
        <v>1396</v>
      </c>
      <c r="D4" s="8">
        <v>1752</v>
      </c>
      <c r="E4" s="8">
        <v>2024</v>
      </c>
      <c r="F4" s="10" t="s">
        <v>11</v>
      </c>
      <c r="G4" s="2">
        <f t="shared" si="0"/>
        <v>0</v>
      </c>
      <c r="H4" s="3">
        <f t="shared" si="1"/>
        <v>356</v>
      </c>
    </row>
    <row r="5" spans="1:8" ht="25.5" customHeight="1">
      <c r="A5" s="8">
        <v>7</v>
      </c>
      <c r="B5" s="9" t="s">
        <v>12</v>
      </c>
      <c r="C5" s="8">
        <f>Table2[[#This Row],[Grade Level]] + 1389</f>
        <v>1396</v>
      </c>
      <c r="D5" s="8"/>
      <c r="E5" s="8"/>
      <c r="F5" s="10"/>
      <c r="G5" s="2">
        <f t="shared" si="0"/>
        <v>1396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f>Table2[[#This Row],[Grade Level]] + 1389</f>
        <v>1396</v>
      </c>
      <c r="D6" s="8"/>
      <c r="E6" s="8"/>
      <c r="F6" s="10"/>
      <c r="G6" s="2">
        <f t="shared" si="0"/>
        <v>1396</v>
      </c>
      <c r="H6" s="3">
        <f t="shared" si="1"/>
        <v>0</v>
      </c>
    </row>
    <row r="7" spans="1:8" ht="19.5">
      <c r="A7" s="8">
        <v>7</v>
      </c>
      <c r="B7" s="9" t="s">
        <v>14</v>
      </c>
      <c r="C7" s="8">
        <f>Table2[[#This Row],[Grade Level]] + 1389</f>
        <v>1396</v>
      </c>
      <c r="D7" s="8">
        <v>1752</v>
      </c>
      <c r="E7" s="8">
        <v>2024</v>
      </c>
      <c r="F7" s="10" t="s">
        <v>15</v>
      </c>
      <c r="G7" s="2">
        <f t="shared" si="0"/>
        <v>0</v>
      </c>
      <c r="H7" s="3">
        <f t="shared" si="1"/>
        <v>356</v>
      </c>
    </row>
    <row r="8" spans="1:8" ht="39.75" customHeight="1">
      <c r="A8" s="8">
        <v>7</v>
      </c>
      <c r="B8" s="9" t="s">
        <v>16</v>
      </c>
      <c r="C8" s="8">
        <f>Table2[[#This Row],[Grade Level]] + 1389</f>
        <v>1396</v>
      </c>
      <c r="D8" s="8"/>
      <c r="E8" s="8"/>
      <c r="F8" s="10"/>
      <c r="G8" s="2">
        <f t="shared" si="0"/>
        <v>1396</v>
      </c>
      <c r="H8" s="3">
        <f t="shared" si="1"/>
        <v>0</v>
      </c>
    </row>
    <row r="9" spans="1:8" ht="29.25" customHeight="1">
      <c r="A9" s="8">
        <v>7</v>
      </c>
      <c r="B9" s="9" t="s">
        <v>17</v>
      </c>
      <c r="C9" s="8">
        <f>Table2[[#This Row],[Grade Level]] + 1389</f>
        <v>1396</v>
      </c>
      <c r="D9" s="8"/>
      <c r="E9" s="8"/>
      <c r="F9" s="10"/>
      <c r="G9" s="2">
        <f t="shared" si="0"/>
        <v>1396</v>
      </c>
      <c r="H9" s="3">
        <f t="shared" si="1"/>
        <v>0</v>
      </c>
    </row>
    <row r="10" spans="1:8" ht="28.5" customHeight="1">
      <c r="A10" s="8">
        <v>7</v>
      </c>
      <c r="B10" s="9" t="s">
        <v>18</v>
      </c>
      <c r="C10" s="8">
        <f>Table2[[#This Row],[Grade Level]] + 1389</f>
        <v>1396</v>
      </c>
      <c r="D10" s="8"/>
      <c r="E10" s="8"/>
      <c r="F10" s="10"/>
      <c r="G10" s="2">
        <f t="shared" si="0"/>
        <v>1396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f>Table2[[#This Row],[Grade Level]] + 1389</f>
        <v>1397</v>
      </c>
      <c r="D12" s="8"/>
      <c r="E12" s="8"/>
      <c r="F12" s="10"/>
      <c r="G12" s="2">
        <f t="shared" ref="G12:G20" si="2">IF((C12-D12)&lt;0,0,C12-D12)</f>
        <v>1397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>
        <f>Table2[[#This Row],[Grade Level]] + 1389</f>
        <v>1397</v>
      </c>
      <c r="D13" s="8"/>
      <c r="E13" s="8"/>
      <c r="F13" s="10"/>
      <c r="G13" s="2">
        <f t="shared" si="2"/>
        <v>1397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>
        <f>Table2[[#This Row],[Grade Level]] + 1389</f>
        <v>1397</v>
      </c>
      <c r="D14" s="8"/>
      <c r="E14" s="8"/>
      <c r="F14" s="10"/>
      <c r="G14" s="2">
        <f t="shared" si="2"/>
        <v>1397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f>Table2[[#This Row],[Grade Level]] + 1389</f>
        <v>1397</v>
      </c>
      <c r="D15" s="8"/>
      <c r="E15" s="8"/>
      <c r="F15" s="10"/>
      <c r="G15" s="2">
        <f t="shared" si="2"/>
        <v>1397</v>
      </c>
      <c r="H15" s="3">
        <f t="shared" si="3"/>
        <v>0</v>
      </c>
    </row>
    <row r="16" spans="1:8" ht="27" customHeight="1">
      <c r="A16" s="8">
        <v>8</v>
      </c>
      <c r="B16" s="9" t="s">
        <v>19</v>
      </c>
      <c r="C16" s="8">
        <f>Table2[[#This Row],[Grade Level]] + 1389</f>
        <v>1397</v>
      </c>
      <c r="D16" s="8"/>
      <c r="E16" s="8"/>
      <c r="F16" s="10"/>
      <c r="G16" s="2">
        <f t="shared" si="2"/>
        <v>1397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f>Table2[[#This Row],[Grade Level]] + 1389</f>
        <v>1397</v>
      </c>
      <c r="D17" s="8"/>
      <c r="E17" s="8"/>
      <c r="F17" s="10"/>
      <c r="G17" s="2">
        <f t="shared" si="2"/>
        <v>1397</v>
      </c>
      <c r="H17" s="3">
        <f t="shared" si="3"/>
        <v>0</v>
      </c>
    </row>
    <row r="18" spans="1:8" ht="21" customHeight="1">
      <c r="A18" s="8">
        <v>8</v>
      </c>
      <c r="B18" s="9" t="s">
        <v>16</v>
      </c>
      <c r="C18" s="8">
        <f>Table2[[#This Row],[Grade Level]] + 1389</f>
        <v>1397</v>
      </c>
      <c r="D18" s="8"/>
      <c r="E18" s="8"/>
      <c r="F18" s="10"/>
      <c r="G18" s="2">
        <f t="shared" si="2"/>
        <v>1397</v>
      </c>
      <c r="H18" s="3">
        <f t="shared" si="3"/>
        <v>0</v>
      </c>
    </row>
    <row r="19" spans="1:8" ht="19.5">
      <c r="A19" s="8">
        <v>8</v>
      </c>
      <c r="B19" s="9" t="s">
        <v>17</v>
      </c>
      <c r="C19" s="8">
        <f>Table2[[#This Row],[Grade Level]] + 1389</f>
        <v>1397</v>
      </c>
      <c r="D19" s="8"/>
      <c r="E19" s="8"/>
      <c r="F19" s="10"/>
      <c r="G19" s="2">
        <f t="shared" si="2"/>
        <v>1397</v>
      </c>
      <c r="H19" s="3">
        <f t="shared" si="3"/>
        <v>0</v>
      </c>
    </row>
    <row r="20" spans="1:8" ht="19.5">
      <c r="A20" s="8">
        <v>8</v>
      </c>
      <c r="B20" s="9" t="s">
        <v>18</v>
      </c>
      <c r="C20" s="8">
        <f>Table2[[#This Row],[Grade Level]] + 1389</f>
        <v>1397</v>
      </c>
      <c r="D20" s="8"/>
      <c r="E20" s="8"/>
      <c r="F20" s="10"/>
      <c r="G20" s="2">
        <f t="shared" si="2"/>
        <v>1397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1113</v>
      </c>
      <c r="D22" s="8"/>
      <c r="E22" s="8"/>
      <c r="F22" s="10"/>
      <c r="G22" s="2">
        <f t="shared" ref="G22:G30" si="4">IF((C22-D22)&lt;0,0,C22-D22)</f>
        <v>1113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>
        <v>1113</v>
      </c>
      <c r="D23" s="8"/>
      <c r="E23" s="8"/>
      <c r="F23" s="10"/>
      <c r="G23" s="2">
        <f t="shared" si="4"/>
        <v>1113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>
        <v>1113</v>
      </c>
      <c r="D24" s="8"/>
      <c r="E24" s="8"/>
      <c r="F24" s="10"/>
      <c r="G24" s="2">
        <f t="shared" si="4"/>
        <v>1113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1113</v>
      </c>
      <c r="D25" s="8"/>
      <c r="E25" s="8"/>
      <c r="F25" s="10"/>
      <c r="G25" s="2">
        <f t="shared" si="4"/>
        <v>1113</v>
      </c>
      <c r="H25" s="3">
        <f t="shared" si="5"/>
        <v>0</v>
      </c>
    </row>
    <row r="26" spans="1:8" ht="33.75" customHeight="1">
      <c r="A26" s="8">
        <v>9</v>
      </c>
      <c r="B26" s="9" t="s">
        <v>19</v>
      </c>
      <c r="C26" s="8">
        <v>1113</v>
      </c>
      <c r="D26" s="8"/>
      <c r="E26" s="8"/>
      <c r="F26" s="10"/>
      <c r="G26" s="2">
        <f t="shared" si="4"/>
        <v>1113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1113</v>
      </c>
      <c r="D27" s="8"/>
      <c r="E27" s="8"/>
      <c r="F27" s="10"/>
      <c r="G27" s="2">
        <f t="shared" si="4"/>
        <v>1113</v>
      </c>
      <c r="H27" s="3">
        <f t="shared" si="5"/>
        <v>0</v>
      </c>
    </row>
    <row r="28" spans="1:8" ht="27.75" customHeight="1">
      <c r="A28" s="8">
        <v>9</v>
      </c>
      <c r="B28" s="9" t="s">
        <v>16</v>
      </c>
      <c r="C28" s="8">
        <v>1113</v>
      </c>
      <c r="D28" s="8"/>
      <c r="E28" s="8"/>
      <c r="F28" s="10"/>
      <c r="G28" s="2">
        <f t="shared" si="4"/>
        <v>1113</v>
      </c>
      <c r="H28" s="3">
        <f t="shared" si="5"/>
        <v>0</v>
      </c>
    </row>
    <row r="29" spans="1:8" ht="27.75" customHeight="1">
      <c r="A29" s="8">
        <v>9</v>
      </c>
      <c r="B29" s="9" t="s">
        <v>17</v>
      </c>
      <c r="C29" s="8">
        <v>1113</v>
      </c>
      <c r="D29" s="8"/>
      <c r="E29" s="8"/>
      <c r="F29" s="10"/>
      <c r="G29" s="2">
        <f t="shared" si="4"/>
        <v>1113</v>
      </c>
      <c r="H29" s="3">
        <f t="shared" si="5"/>
        <v>0</v>
      </c>
    </row>
    <row r="30" spans="1:8" ht="27.75" customHeight="1">
      <c r="A30" s="8">
        <v>9</v>
      </c>
      <c r="B30" s="9" t="s">
        <v>18</v>
      </c>
      <c r="C30" s="8">
        <v>1113</v>
      </c>
      <c r="D30" s="8"/>
      <c r="E30" s="8"/>
      <c r="F30" s="10"/>
      <c r="G30" s="2">
        <f t="shared" si="4"/>
        <v>1113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1275</v>
      </c>
      <c r="D32" s="8"/>
      <c r="E32" s="8"/>
      <c r="F32" s="10"/>
      <c r="G32" s="2">
        <f t="shared" ref="G32:G40" si="6">IF((C32-D32)&lt;0,0,C32-D32)</f>
        <v>1275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>
        <v>1275</v>
      </c>
      <c r="D33" s="8"/>
      <c r="E33" s="8"/>
      <c r="F33" s="10"/>
      <c r="G33" s="2">
        <f t="shared" si="6"/>
        <v>1275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>
        <v>1275</v>
      </c>
      <c r="D34" s="8"/>
      <c r="E34" s="8"/>
      <c r="F34" s="10"/>
      <c r="G34" s="2">
        <f t="shared" si="6"/>
        <v>1275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1275</v>
      </c>
      <c r="D35" s="8"/>
      <c r="E35" s="8"/>
      <c r="F35" s="10"/>
      <c r="G35" s="2">
        <f t="shared" si="6"/>
        <v>1275</v>
      </c>
      <c r="H35" s="3">
        <f t="shared" si="7"/>
        <v>0</v>
      </c>
    </row>
    <row r="36" spans="1:8" ht="27.75" customHeight="1">
      <c r="A36" s="8">
        <v>10</v>
      </c>
      <c r="B36" s="9" t="s">
        <v>19</v>
      </c>
      <c r="C36" s="8">
        <v>1275</v>
      </c>
      <c r="D36" s="8"/>
      <c r="E36" s="8"/>
      <c r="F36" s="10"/>
      <c r="G36" s="2">
        <f t="shared" si="6"/>
        <v>1275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1275</v>
      </c>
      <c r="D37" s="8"/>
      <c r="E37" s="8"/>
      <c r="F37" s="10"/>
      <c r="G37" s="2">
        <f t="shared" si="6"/>
        <v>1275</v>
      </c>
      <c r="H37" s="3">
        <f t="shared" si="7"/>
        <v>0</v>
      </c>
    </row>
    <row r="38" spans="1:8" ht="27.75" customHeight="1">
      <c r="A38" s="8">
        <v>10</v>
      </c>
      <c r="B38" s="9" t="s">
        <v>16</v>
      </c>
      <c r="C38" s="8">
        <v>1275</v>
      </c>
      <c r="D38" s="8"/>
      <c r="E38" s="8"/>
      <c r="F38" s="10"/>
      <c r="G38" s="2">
        <f t="shared" si="6"/>
        <v>1275</v>
      </c>
      <c r="H38" s="3">
        <f t="shared" si="7"/>
        <v>0</v>
      </c>
    </row>
    <row r="39" spans="1:8" ht="27.75" customHeight="1">
      <c r="A39" s="8">
        <v>10</v>
      </c>
      <c r="B39" s="9" t="s">
        <v>17</v>
      </c>
      <c r="C39" s="8">
        <v>1275</v>
      </c>
      <c r="D39" s="8"/>
      <c r="E39" s="8"/>
      <c r="F39" s="10"/>
      <c r="G39" s="2">
        <f t="shared" si="6"/>
        <v>1275</v>
      </c>
      <c r="H39" s="3">
        <f t="shared" si="7"/>
        <v>0</v>
      </c>
    </row>
    <row r="40" spans="1:8" ht="27.75" customHeight="1">
      <c r="A40" s="8">
        <v>10</v>
      </c>
      <c r="B40" s="9" t="s">
        <v>18</v>
      </c>
      <c r="C40" s="8">
        <v>1275</v>
      </c>
      <c r="D40" s="8"/>
      <c r="E40" s="8"/>
      <c r="F40" s="10"/>
      <c r="G40" s="2">
        <f t="shared" si="6"/>
        <v>1275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20</v>
      </c>
      <c r="B42" s="7" t="s">
        <v>21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20</v>
      </c>
      <c r="B43" s="7" t="s">
        <v>22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20</v>
      </c>
      <c r="B44" s="7" t="s">
        <v>23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20</v>
      </c>
      <c r="B45" s="7" t="s">
        <v>24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20</v>
      </c>
      <c r="B46" s="7" t="s">
        <v>25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20</v>
      </c>
      <c r="B47" s="7" t="s">
        <v>26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20</v>
      </c>
      <c r="B48" s="7" t="s">
        <v>27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20</v>
      </c>
      <c r="B49" s="7" t="s">
        <v>28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2:F10 F12:F20 F22:F30 F32:F40 F42:F49" xr:uid="{2F7388E0-D1A1-4571-8C10-96CB9A727EB3}">
      <formula1>"CO,RO,SDO"</formula1>
    </dataValidation>
    <dataValidation type="list" allowBlank="1" showInputMessage="1" showErrorMessage="1" sqref="L52 E2:E7 E42:E49 E32:E40 E22:E30 E12:E20 E8:E10" xr:uid="{ABB45CA9-C81D-492D-B654-AD33F7663394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C60" sqref="AC6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29</v>
      </c>
      <c r="E1" s="32"/>
      <c r="F1" s="32"/>
      <c r="G1" s="32"/>
      <c r="H1" s="32"/>
      <c r="I1" s="32"/>
      <c r="J1" s="33" t="s">
        <v>30</v>
      </c>
      <c r="K1" s="33"/>
      <c r="L1" s="33"/>
      <c r="M1" s="33"/>
      <c r="N1" s="33"/>
      <c r="O1" s="33"/>
      <c r="P1" s="34" t="s">
        <v>31</v>
      </c>
      <c r="Q1" s="34"/>
      <c r="R1" s="34"/>
      <c r="S1" s="34"/>
      <c r="T1" s="34"/>
      <c r="U1" s="34"/>
      <c r="V1" s="35" t="s">
        <v>32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33</v>
      </c>
      <c r="E2" s="18" t="s">
        <v>34</v>
      </c>
      <c r="F2" s="19" t="s">
        <v>35</v>
      </c>
      <c r="G2" s="22" t="s">
        <v>36</v>
      </c>
      <c r="H2" s="15" t="s">
        <v>37</v>
      </c>
      <c r="I2" s="22" t="s">
        <v>38</v>
      </c>
      <c r="J2" s="20" t="s">
        <v>39</v>
      </c>
      <c r="K2" s="20" t="s">
        <v>40</v>
      </c>
      <c r="L2" s="21" t="s">
        <v>41</v>
      </c>
      <c r="M2" s="30" t="s">
        <v>42</v>
      </c>
      <c r="N2" s="30" t="s">
        <v>43</v>
      </c>
      <c r="O2" s="20" t="s">
        <v>44</v>
      </c>
      <c r="P2" s="22" t="s">
        <v>45</v>
      </c>
      <c r="Q2" s="22" t="s">
        <v>46</v>
      </c>
      <c r="R2" s="23" t="s">
        <v>47</v>
      </c>
      <c r="S2" s="15" t="s">
        <v>48</v>
      </c>
      <c r="T2" s="15" t="s">
        <v>49</v>
      </c>
      <c r="U2" s="22" t="s">
        <v>50</v>
      </c>
      <c r="V2" s="24" t="s">
        <v>51</v>
      </c>
      <c r="W2" s="24" t="s">
        <v>52</v>
      </c>
      <c r="X2" s="25" t="s">
        <v>53</v>
      </c>
      <c r="Y2" s="31" t="s">
        <v>54</v>
      </c>
      <c r="Z2" s="31" t="s">
        <v>55</v>
      </c>
      <c r="AA2" s="24" t="s">
        <v>56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16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17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18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19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16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17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18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19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16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17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19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16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18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20</v>
      </c>
      <c r="B43" s="7" t="s">
        <v>21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20</v>
      </c>
      <c r="B44" s="7" t="s">
        <v>22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20</v>
      </c>
      <c r="B45" s="7" t="s">
        <v>23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20</v>
      </c>
      <c r="B46" s="7" t="s">
        <v>24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20</v>
      </c>
      <c r="B47" s="7" t="s">
        <v>25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20</v>
      </c>
      <c r="B48" s="7" t="s">
        <v>26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20</v>
      </c>
      <c r="B49" s="7" t="s">
        <v>27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20</v>
      </c>
      <c r="B50" s="7" t="s">
        <v>28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13:C21 C23:C31 C33:C41 C2:C11" name="Textbooks"/>
    <protectedRange sqref="W23:X31 D33:F41 H33:I41 Q33:R41 W33:X41 D43:F50 H43:I50 Q43:R50 W43:X50 K3:L11 K13:L21 K23:L31 K33:L41 K43:L50 T3:V50 J3:J50 V2:X2 N3:P50 P2:R2 Z3:AA50 D2:F11 H3:I11 Q3:R11 W3:X11 D13:F21 H13:I21 Q13:R21 W13:X21 D23:F31 H23:I31 Q23:R31 J2:L2" name="LAS"/>
    <protectedRange sqref="S2:U2 M2:O2 Y2:AA2 G3:G11 G13:G21 G23:G31 G33:G41 G43:G50 Y3:Y50 M3:M50 S3:S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E61" sqref="AE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29</v>
      </c>
      <c r="E1" s="32"/>
      <c r="F1" s="32"/>
      <c r="G1" s="32"/>
      <c r="H1" s="32"/>
      <c r="I1" s="32"/>
      <c r="J1" s="33" t="s">
        <v>30</v>
      </c>
      <c r="K1" s="33"/>
      <c r="L1" s="33"/>
      <c r="M1" s="33"/>
      <c r="N1" s="33"/>
      <c r="O1" s="33"/>
      <c r="P1" s="34" t="s">
        <v>31</v>
      </c>
      <c r="Q1" s="34"/>
      <c r="R1" s="34"/>
      <c r="S1" s="34"/>
      <c r="T1" s="34"/>
      <c r="U1" s="34"/>
      <c r="V1" s="35" t="s">
        <v>32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0" t="s">
        <v>66</v>
      </c>
      <c r="N2" s="30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1" t="s">
        <v>78</v>
      </c>
      <c r="Z2" s="31" t="s">
        <v>79</v>
      </c>
      <c r="AA2" s="24" t="s">
        <v>80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81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17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83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19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81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17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83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19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81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17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83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19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81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17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83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20</v>
      </c>
      <c r="B51" s="7" t="s">
        <v>21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20</v>
      </c>
      <c r="B52" s="7" t="s">
        <v>22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20</v>
      </c>
      <c r="B53" s="7" t="s">
        <v>23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20</v>
      </c>
      <c r="B54" s="7" t="s">
        <v>24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20</v>
      </c>
      <c r="B55" s="7" t="s">
        <v>25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20</v>
      </c>
      <c r="B56" s="7" t="s">
        <v>26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20</v>
      </c>
      <c r="B57" s="7" t="s">
        <v>27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20</v>
      </c>
      <c r="B58" s="7" t="s">
        <v>28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2026-04-14T05:34:24Z</dcterms:modified>
  <cp:category/>
  <cp:contentStatus/>
</cp:coreProperties>
</file>