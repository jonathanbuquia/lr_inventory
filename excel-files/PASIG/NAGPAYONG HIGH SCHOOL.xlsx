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40" documentId="13_ncr:1_{BFB59F67-F0DC-4675-A682-EB0734A8026A}" xr6:coauthVersionLast="47" xr6:coauthVersionMax="47" xr10:uidLastSave="{E0655D58-0B90-4AA0-94FF-2F1E2B7E4A1D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2" i="5" l="1"/>
  <c r="D163" i="5"/>
  <c r="D164" i="5"/>
  <c r="D165" i="5"/>
  <c r="D166" i="5"/>
  <c r="D167" i="5"/>
  <c r="D168" i="5"/>
  <c r="D169" i="5"/>
  <c r="D170" i="5"/>
  <c r="D171" i="5"/>
  <c r="D172" i="5"/>
  <c r="D173" i="5"/>
  <c r="P151" i="4"/>
  <c r="P152" i="4"/>
  <c r="P153" i="4"/>
  <c r="P154" i="4"/>
  <c r="P155" i="4"/>
  <c r="P156" i="4"/>
  <c r="P157" i="4"/>
  <c r="P158" i="4"/>
  <c r="P159" i="4"/>
  <c r="P160" i="4"/>
  <c r="P161" i="4"/>
  <c r="P162" i="4"/>
  <c r="D67" i="5"/>
  <c r="D88" i="5"/>
  <c r="D80" i="5"/>
  <c r="D81" i="5"/>
  <c r="D82" i="5"/>
  <c r="D83" i="5"/>
  <c r="D84" i="5"/>
  <c r="D85" i="5"/>
  <c r="D86" i="5"/>
  <c r="D87" i="5"/>
  <c r="D68" i="5"/>
  <c r="D69" i="5"/>
  <c r="D70" i="5"/>
  <c r="D71" i="5"/>
  <c r="D72" i="5"/>
  <c r="D73" i="5"/>
  <c r="D74" i="5"/>
  <c r="D75" i="5"/>
  <c r="D76" i="5"/>
  <c r="D66" i="5"/>
  <c r="H66" i="5" s="1"/>
  <c r="V162" i="5"/>
  <c r="V163" i="5"/>
  <c r="V164" i="5"/>
  <c r="V165" i="5"/>
  <c r="V166" i="5"/>
  <c r="V167" i="5"/>
  <c r="V168" i="5"/>
  <c r="V169" i="5"/>
  <c r="V170" i="5"/>
  <c r="V171" i="5"/>
  <c r="V172" i="5"/>
  <c r="V173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38" i="5"/>
  <c r="P139" i="5"/>
  <c r="P140" i="5"/>
  <c r="P141" i="5"/>
  <c r="P142" i="5"/>
  <c r="P143" i="5"/>
  <c r="P144" i="5"/>
  <c r="P145" i="5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D91" i="1"/>
  <c r="H91" i="1"/>
  <c r="I91" i="1"/>
  <c r="J91" i="1"/>
  <c r="N91" i="1"/>
  <c r="O91" i="1"/>
  <c r="P91" i="1"/>
  <c r="T91" i="1"/>
  <c r="U91" i="1"/>
  <c r="V91" i="1"/>
  <c r="Z91" i="1"/>
  <c r="AA91" i="1"/>
  <c r="D92" i="1"/>
  <c r="H92" i="1"/>
  <c r="I92" i="1"/>
  <c r="J92" i="1"/>
  <c r="N92" i="1"/>
  <c r="O92" i="1"/>
  <c r="P92" i="1"/>
  <c r="T92" i="1"/>
  <c r="U92" i="1"/>
  <c r="V92" i="1"/>
  <c r="Z92" i="1"/>
  <c r="AA92" i="1"/>
  <c r="D93" i="1"/>
  <c r="H93" i="1"/>
  <c r="I93" i="1"/>
  <c r="J93" i="1"/>
  <c r="N93" i="1"/>
  <c r="O93" i="1"/>
  <c r="P93" i="1"/>
  <c r="T93" i="1"/>
  <c r="U93" i="1"/>
  <c r="V93" i="1"/>
  <c r="Z93" i="1"/>
  <c r="AA93" i="1"/>
  <c r="D94" i="1"/>
  <c r="H94" i="1"/>
  <c r="I94" i="1"/>
  <c r="J94" i="1"/>
  <c r="N94" i="1"/>
  <c r="O94" i="1"/>
  <c r="P94" i="1"/>
  <c r="T94" i="1"/>
  <c r="U94" i="1"/>
  <c r="V94" i="1"/>
  <c r="Z94" i="1"/>
  <c r="AA94" i="1"/>
  <c r="D95" i="1"/>
  <c r="H95" i="1"/>
  <c r="I95" i="1"/>
  <c r="J95" i="1"/>
  <c r="N95" i="1"/>
  <c r="O95" i="1"/>
  <c r="P95" i="1"/>
  <c r="T95" i="1"/>
  <c r="U95" i="1"/>
  <c r="V95" i="1"/>
  <c r="Z95" i="1"/>
  <c r="AA95" i="1"/>
  <c r="D96" i="1"/>
  <c r="H96" i="1"/>
  <c r="I96" i="1"/>
  <c r="J96" i="1"/>
  <c r="N96" i="1"/>
  <c r="O96" i="1"/>
  <c r="P96" i="1"/>
  <c r="T96" i="1"/>
  <c r="U96" i="1"/>
  <c r="V96" i="1"/>
  <c r="Z96" i="1"/>
  <c r="AA96" i="1"/>
  <c r="D97" i="1"/>
  <c r="H97" i="1"/>
  <c r="I97" i="1"/>
  <c r="J97" i="1"/>
  <c r="N97" i="1"/>
  <c r="O97" i="1"/>
  <c r="P97" i="1"/>
  <c r="T97" i="1"/>
  <c r="U97" i="1"/>
  <c r="V97" i="1"/>
  <c r="Z97" i="1"/>
  <c r="AA97" i="1"/>
  <c r="D98" i="1"/>
  <c r="H98" i="1"/>
  <c r="I98" i="1"/>
  <c r="J98" i="1"/>
  <c r="N98" i="1"/>
  <c r="O98" i="1"/>
  <c r="P98" i="1"/>
  <c r="T98" i="1"/>
  <c r="U98" i="1"/>
  <c r="V98" i="1"/>
  <c r="Z98" i="1"/>
  <c r="AA98" i="1"/>
  <c r="D99" i="1"/>
  <c r="H99" i="1"/>
  <c r="I99" i="1"/>
  <c r="J99" i="1"/>
  <c r="N99" i="1"/>
  <c r="O99" i="1"/>
  <c r="P99" i="1"/>
  <c r="T99" i="1"/>
  <c r="U99" i="1"/>
  <c r="V99" i="1"/>
  <c r="Z99" i="1"/>
  <c r="AA99" i="1"/>
  <c r="D100" i="1"/>
  <c r="H100" i="1"/>
  <c r="I100" i="1"/>
  <c r="J100" i="1"/>
  <c r="N100" i="1"/>
  <c r="O100" i="1"/>
  <c r="P100" i="1"/>
  <c r="T100" i="1"/>
  <c r="U100" i="1"/>
  <c r="V100" i="1"/>
  <c r="Z100" i="1"/>
  <c r="AA100" i="1"/>
  <c r="D101" i="1"/>
  <c r="H101" i="1"/>
  <c r="I101" i="1"/>
  <c r="J101" i="1"/>
  <c r="N101" i="1"/>
  <c r="O101" i="1"/>
  <c r="P101" i="1"/>
  <c r="T101" i="1"/>
  <c r="U101" i="1"/>
  <c r="V101" i="1"/>
  <c r="Z101" i="1"/>
  <c r="AA101" i="1"/>
  <c r="D102" i="1"/>
  <c r="H102" i="1"/>
  <c r="I102" i="1"/>
  <c r="J102" i="1"/>
  <c r="N102" i="1"/>
  <c r="O102" i="1"/>
  <c r="P102" i="1"/>
  <c r="T102" i="1"/>
  <c r="U102" i="1"/>
  <c r="V102" i="1"/>
  <c r="Z102" i="1"/>
  <c r="AA102" i="1"/>
  <c r="D103" i="1"/>
  <c r="H103" i="1"/>
  <c r="I103" i="1"/>
  <c r="J103" i="1"/>
  <c r="N103" i="1"/>
  <c r="O103" i="1"/>
  <c r="P103" i="1"/>
  <c r="T103" i="1"/>
  <c r="U103" i="1"/>
  <c r="V103" i="1"/>
  <c r="Z103" i="1"/>
  <c r="AA103" i="1"/>
  <c r="D104" i="1"/>
  <c r="H104" i="1"/>
  <c r="I104" i="1"/>
  <c r="J104" i="1"/>
  <c r="N104" i="1"/>
  <c r="O104" i="1"/>
  <c r="P104" i="1"/>
  <c r="T104" i="1"/>
  <c r="U104" i="1"/>
  <c r="V104" i="1"/>
  <c r="Z104" i="1"/>
  <c r="AA104" i="1"/>
  <c r="D105" i="1"/>
  <c r="H105" i="1"/>
  <c r="I105" i="1"/>
  <c r="J105" i="1"/>
  <c r="N105" i="1"/>
  <c r="O105" i="1"/>
  <c r="P105" i="1"/>
  <c r="T105" i="1"/>
  <c r="U105" i="1"/>
  <c r="V105" i="1"/>
  <c r="Z105" i="1"/>
  <c r="AA105" i="1"/>
  <c r="D106" i="1"/>
  <c r="H106" i="1"/>
  <c r="I106" i="1"/>
  <c r="J106" i="1"/>
  <c r="N106" i="1"/>
  <c r="O106" i="1"/>
  <c r="P106" i="1"/>
  <c r="T106" i="1"/>
  <c r="U106" i="1"/>
  <c r="V106" i="1"/>
  <c r="Z106" i="1"/>
  <c r="AA106" i="1"/>
  <c r="D107" i="1"/>
  <c r="H107" i="1"/>
  <c r="I107" i="1"/>
  <c r="J107" i="1"/>
  <c r="N107" i="1"/>
  <c r="O107" i="1"/>
  <c r="P107" i="1"/>
  <c r="T107" i="1"/>
  <c r="U107" i="1"/>
  <c r="V107" i="1"/>
  <c r="Z107" i="1"/>
  <c r="AA107" i="1"/>
  <c r="D108" i="1"/>
  <c r="H108" i="1"/>
  <c r="I108" i="1"/>
  <c r="J108" i="1"/>
  <c r="N108" i="1"/>
  <c r="O108" i="1"/>
  <c r="P108" i="1"/>
  <c r="T108" i="1"/>
  <c r="U108" i="1"/>
  <c r="V108" i="1"/>
  <c r="Z108" i="1"/>
  <c r="AA108" i="1"/>
  <c r="G2" i="1"/>
  <c r="H2" i="1"/>
  <c r="G3" i="1"/>
  <c r="H3" i="1"/>
  <c r="G4" i="1"/>
  <c r="H4" i="1"/>
  <c r="G5" i="1"/>
  <c r="H5" i="1"/>
  <c r="G6" i="1"/>
  <c r="H6" i="1"/>
  <c r="G8" i="1"/>
  <c r="H8" i="1"/>
  <c r="G9" i="1"/>
  <c r="H9" i="1"/>
  <c r="G10" i="1"/>
  <c r="H10" i="1"/>
  <c r="G11" i="1"/>
  <c r="H11" i="1"/>
  <c r="G12" i="1"/>
  <c r="H12" i="1"/>
  <c r="G14" i="1"/>
  <c r="H14" i="1"/>
  <c r="G15" i="1"/>
  <c r="H15" i="1"/>
  <c r="G16" i="1"/>
  <c r="H16" i="1"/>
  <c r="G17" i="1"/>
  <c r="H17" i="1"/>
  <c r="G18" i="1"/>
  <c r="H18" i="1"/>
  <c r="G19" i="1"/>
  <c r="H19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D109" i="1"/>
  <c r="H109" i="1"/>
  <c r="I109" i="1"/>
  <c r="J109" i="1"/>
  <c r="N109" i="1"/>
  <c r="O109" i="1"/>
  <c r="P109" i="1"/>
  <c r="T109" i="1"/>
  <c r="U109" i="1"/>
  <c r="V109" i="1"/>
  <c r="Z109" i="1"/>
  <c r="AA109" i="1"/>
  <c r="D110" i="1"/>
  <c r="H110" i="1"/>
  <c r="I110" i="1"/>
  <c r="J110" i="1"/>
  <c r="N110" i="1"/>
  <c r="O110" i="1"/>
  <c r="P110" i="1"/>
  <c r="T110" i="1"/>
  <c r="U110" i="1"/>
  <c r="V110" i="1"/>
  <c r="Z110" i="1"/>
  <c r="AA110" i="1"/>
  <c r="D111" i="1"/>
  <c r="H111" i="1"/>
  <c r="I111" i="1"/>
  <c r="J111" i="1"/>
  <c r="N111" i="1"/>
  <c r="O111" i="1"/>
  <c r="P111" i="1"/>
  <c r="T111" i="1"/>
  <c r="U111" i="1"/>
  <c r="V111" i="1"/>
  <c r="Z111" i="1"/>
  <c r="AA111" i="1"/>
  <c r="D112" i="1"/>
  <c r="H112" i="1"/>
  <c r="I112" i="1"/>
  <c r="J112" i="1"/>
  <c r="N112" i="1"/>
  <c r="O112" i="1"/>
  <c r="P112" i="1"/>
  <c r="T112" i="1"/>
  <c r="U112" i="1"/>
  <c r="V112" i="1"/>
  <c r="Z112" i="1"/>
  <c r="AA112" i="1"/>
  <c r="D113" i="1"/>
  <c r="H113" i="1"/>
  <c r="I113" i="1"/>
  <c r="J113" i="1"/>
  <c r="N113" i="1"/>
  <c r="O113" i="1"/>
  <c r="P113" i="1"/>
  <c r="T113" i="1"/>
  <c r="U113" i="1"/>
  <c r="V113" i="1"/>
  <c r="Z113" i="1"/>
  <c r="AA113" i="1"/>
  <c r="D114" i="1"/>
  <c r="H114" i="1"/>
  <c r="I114" i="1"/>
  <c r="J114" i="1"/>
  <c r="N114" i="1"/>
  <c r="O114" i="1"/>
  <c r="P114" i="1"/>
  <c r="T114" i="1"/>
  <c r="U114" i="1"/>
  <c r="V114" i="1"/>
  <c r="Z114" i="1"/>
  <c r="AA114" i="1"/>
  <c r="D115" i="1"/>
  <c r="H115" i="1"/>
  <c r="I115" i="1"/>
  <c r="J115" i="1"/>
  <c r="P115" i="1"/>
  <c r="T115" i="1"/>
  <c r="U115" i="1"/>
  <c r="V115" i="1"/>
  <c r="Z115" i="1"/>
  <c r="AA115" i="1"/>
  <c r="D116" i="1"/>
  <c r="H116" i="1"/>
  <c r="I116" i="1"/>
  <c r="J116" i="1"/>
  <c r="P116" i="1"/>
  <c r="T116" i="1"/>
  <c r="U116" i="1"/>
  <c r="V116" i="1"/>
  <c r="Z116" i="1"/>
  <c r="AA116" i="1"/>
  <c r="D117" i="1"/>
  <c r="H117" i="1"/>
  <c r="I117" i="1"/>
  <c r="J117" i="1"/>
  <c r="P117" i="1"/>
  <c r="T117" i="1"/>
  <c r="U117" i="1"/>
  <c r="V117" i="1"/>
  <c r="Z117" i="1"/>
  <c r="AA117" i="1"/>
  <c r="D118" i="1"/>
  <c r="H118" i="1"/>
  <c r="I118" i="1"/>
  <c r="J118" i="1"/>
  <c r="P118" i="1"/>
  <c r="T118" i="1"/>
  <c r="U118" i="1"/>
  <c r="V118" i="1"/>
  <c r="Z118" i="1"/>
  <c r="AA118" i="1"/>
  <c r="D119" i="1"/>
  <c r="H119" i="1"/>
  <c r="I119" i="1"/>
  <c r="J119" i="1"/>
  <c r="P119" i="1"/>
  <c r="T119" i="1"/>
  <c r="U119" i="1"/>
  <c r="V119" i="1"/>
  <c r="Z119" i="1"/>
  <c r="AA119" i="1"/>
  <c r="D120" i="1"/>
  <c r="H120" i="1"/>
  <c r="I120" i="1"/>
  <c r="J120" i="1"/>
  <c r="P120" i="1"/>
  <c r="T120" i="1"/>
  <c r="U120" i="1"/>
  <c r="V120" i="1"/>
  <c r="Z120" i="1"/>
  <c r="AA120" i="1"/>
  <c r="D121" i="1"/>
  <c r="H121" i="1"/>
  <c r="I121" i="1"/>
  <c r="J121" i="1"/>
  <c r="P121" i="1"/>
  <c r="T121" i="1"/>
  <c r="U121" i="1"/>
  <c r="V121" i="1"/>
  <c r="Z121" i="1"/>
  <c r="AA121" i="1"/>
  <c r="D122" i="1"/>
  <c r="H122" i="1"/>
  <c r="I122" i="1"/>
  <c r="J122" i="1"/>
  <c r="P122" i="1"/>
  <c r="T122" i="1"/>
  <c r="U122" i="1"/>
  <c r="V122" i="1"/>
  <c r="Z122" i="1"/>
  <c r="AA122" i="1"/>
  <c r="D124" i="1"/>
  <c r="H124" i="1"/>
  <c r="I124" i="1"/>
  <c r="J124" i="1"/>
  <c r="N124" i="1"/>
  <c r="O124" i="1"/>
  <c r="P124" i="1"/>
  <c r="T124" i="1"/>
  <c r="U124" i="1"/>
  <c r="V124" i="1"/>
  <c r="Z124" i="1"/>
  <c r="AA124" i="1"/>
  <c r="D125" i="1"/>
  <c r="H125" i="1"/>
  <c r="I125" i="1"/>
  <c r="J125" i="1"/>
  <c r="N125" i="1"/>
  <c r="O125" i="1"/>
  <c r="P125" i="1"/>
  <c r="T125" i="1"/>
  <c r="U125" i="1"/>
  <c r="V125" i="1"/>
  <c r="Z125" i="1"/>
  <c r="AA125" i="1"/>
  <c r="D126" i="1"/>
  <c r="H126" i="1"/>
  <c r="I126" i="1"/>
  <c r="J126" i="1"/>
  <c r="N126" i="1"/>
  <c r="O126" i="1"/>
  <c r="P126" i="1"/>
  <c r="T126" i="1"/>
  <c r="U126" i="1"/>
  <c r="V126" i="1"/>
  <c r="Z126" i="1"/>
  <c r="AA126" i="1"/>
  <c r="D127" i="1"/>
  <c r="H127" i="1"/>
  <c r="I127" i="1"/>
  <c r="J127" i="1"/>
  <c r="N127" i="1"/>
  <c r="O127" i="1"/>
  <c r="P127" i="1"/>
  <c r="T127" i="1"/>
  <c r="U127" i="1"/>
  <c r="V127" i="1"/>
  <c r="Z127" i="1"/>
  <c r="AA127" i="1"/>
  <c r="D128" i="1"/>
  <c r="H128" i="1"/>
  <c r="I128" i="1"/>
  <c r="J128" i="1"/>
  <c r="N128" i="1"/>
  <c r="O128" i="1"/>
  <c r="P128" i="1"/>
  <c r="T128" i="1"/>
  <c r="U128" i="1"/>
  <c r="V128" i="1"/>
  <c r="Z128" i="1"/>
  <c r="AA128" i="1"/>
  <c r="D129" i="1"/>
  <c r="H129" i="1"/>
  <c r="I129" i="1"/>
  <c r="J129" i="1"/>
  <c r="N129" i="1"/>
  <c r="O129" i="1"/>
  <c r="P129" i="1"/>
  <c r="T129" i="1"/>
  <c r="U129" i="1"/>
  <c r="V129" i="1"/>
  <c r="Z129" i="1"/>
  <c r="AA129" i="1"/>
  <c r="D130" i="1"/>
  <c r="H130" i="1"/>
  <c r="I130" i="1"/>
  <c r="J130" i="1"/>
  <c r="N130" i="1"/>
  <c r="O130" i="1"/>
  <c r="P130" i="1"/>
  <c r="T130" i="1"/>
  <c r="U130" i="1"/>
  <c r="V130" i="1"/>
  <c r="Z130" i="1"/>
  <c r="AA130" i="1"/>
  <c r="D131" i="1"/>
  <c r="H131" i="1"/>
  <c r="I131" i="1"/>
  <c r="J131" i="1"/>
  <c r="N131" i="1"/>
  <c r="O131" i="1"/>
  <c r="P131" i="1"/>
  <c r="T131" i="1"/>
  <c r="U131" i="1"/>
  <c r="V131" i="1"/>
  <c r="Z131" i="1"/>
  <c r="AA131" i="1"/>
  <c r="D132" i="1"/>
  <c r="H132" i="1"/>
  <c r="I132" i="1"/>
  <c r="J132" i="1"/>
  <c r="N132" i="1"/>
  <c r="O132" i="1"/>
  <c r="P132" i="1"/>
  <c r="T132" i="1"/>
  <c r="U132" i="1"/>
  <c r="V132" i="1"/>
  <c r="Z132" i="1"/>
  <c r="AA132" i="1"/>
  <c r="D133" i="1"/>
  <c r="H133" i="1"/>
  <c r="I133" i="1"/>
  <c r="J133" i="1"/>
  <c r="N133" i="1"/>
  <c r="O133" i="1"/>
  <c r="P133" i="1"/>
  <c r="T133" i="1"/>
  <c r="U133" i="1"/>
  <c r="V133" i="1"/>
  <c r="Z133" i="1"/>
  <c r="AA133" i="1"/>
  <c r="D134" i="1"/>
  <c r="H134" i="1"/>
  <c r="I134" i="1"/>
  <c r="J134" i="1"/>
  <c r="N134" i="1"/>
  <c r="O134" i="1"/>
  <c r="P134" i="1"/>
  <c r="T134" i="1"/>
  <c r="U134" i="1"/>
  <c r="V134" i="1"/>
  <c r="Z134" i="1"/>
  <c r="AA134" i="1"/>
  <c r="D135" i="1"/>
  <c r="H135" i="1"/>
  <c r="I135" i="1"/>
  <c r="J135" i="1"/>
  <c r="N135" i="1"/>
  <c r="O135" i="1"/>
  <c r="P135" i="1"/>
  <c r="T135" i="1"/>
  <c r="U135" i="1"/>
  <c r="V135" i="1"/>
  <c r="Z135" i="1"/>
  <c r="AA135" i="1"/>
  <c r="D136" i="1"/>
  <c r="H136" i="1"/>
  <c r="I136" i="1"/>
  <c r="J136" i="1"/>
  <c r="N136" i="1"/>
  <c r="O136" i="1"/>
  <c r="P136" i="1"/>
  <c r="T136" i="1"/>
  <c r="U136" i="1"/>
  <c r="V136" i="1"/>
  <c r="Z136" i="1"/>
  <c r="AA136" i="1"/>
  <c r="D137" i="1"/>
  <c r="H137" i="1"/>
  <c r="I137" i="1"/>
  <c r="J137" i="1"/>
  <c r="N137" i="1"/>
  <c r="O137" i="1"/>
  <c r="P137" i="1"/>
  <c r="T137" i="1"/>
  <c r="U137" i="1"/>
  <c r="V137" i="1"/>
  <c r="Z137" i="1"/>
  <c r="AA137" i="1"/>
  <c r="D138" i="1"/>
  <c r="H138" i="1"/>
  <c r="I138" i="1"/>
  <c r="J138" i="1"/>
  <c r="N138" i="1"/>
  <c r="O138" i="1"/>
  <c r="P138" i="1"/>
  <c r="T138" i="1"/>
  <c r="U138" i="1"/>
  <c r="V138" i="1"/>
  <c r="Z138" i="1"/>
  <c r="AA138" i="1"/>
  <c r="D139" i="1"/>
  <c r="H139" i="1"/>
  <c r="I139" i="1"/>
  <c r="J139" i="1"/>
  <c r="P139" i="1"/>
  <c r="T139" i="1"/>
  <c r="U139" i="1"/>
  <c r="V139" i="1"/>
  <c r="Z139" i="1"/>
  <c r="AA139" i="1"/>
  <c r="D140" i="1"/>
  <c r="H140" i="1"/>
  <c r="I140" i="1"/>
  <c r="J140" i="1"/>
  <c r="P140" i="1"/>
  <c r="T140" i="1"/>
  <c r="U140" i="1"/>
  <c r="V140" i="1"/>
  <c r="Z140" i="1"/>
  <c r="AA140" i="1"/>
  <c r="D141" i="1"/>
  <c r="H141" i="1"/>
  <c r="I141" i="1"/>
  <c r="J141" i="1"/>
  <c r="P141" i="1"/>
  <c r="T141" i="1"/>
  <c r="U141" i="1"/>
  <c r="V141" i="1"/>
  <c r="Z141" i="1"/>
  <c r="AA141" i="1"/>
  <c r="D142" i="1"/>
  <c r="H142" i="1"/>
  <c r="I142" i="1"/>
  <c r="J142" i="1"/>
  <c r="P142" i="1"/>
  <c r="T142" i="1"/>
  <c r="U142" i="1"/>
  <c r="V142" i="1"/>
  <c r="Z142" i="1"/>
  <c r="AA142" i="1"/>
  <c r="D143" i="1"/>
  <c r="H143" i="1"/>
  <c r="I143" i="1"/>
  <c r="J143" i="1"/>
  <c r="P143" i="1"/>
  <c r="T143" i="1"/>
  <c r="U143" i="1"/>
  <c r="V143" i="1"/>
  <c r="Z143" i="1"/>
  <c r="AA143" i="1"/>
  <c r="D144" i="1"/>
  <c r="H144" i="1"/>
  <c r="I144" i="1"/>
  <c r="J144" i="1"/>
  <c r="P144" i="1"/>
  <c r="T144" i="1"/>
  <c r="U144" i="1"/>
  <c r="V144" i="1"/>
  <c r="Z144" i="1"/>
  <c r="AA144" i="1"/>
  <c r="D145" i="1"/>
  <c r="H145" i="1"/>
  <c r="I145" i="1"/>
  <c r="J145" i="1"/>
  <c r="P145" i="1"/>
  <c r="T145" i="1"/>
  <c r="U145" i="1"/>
  <c r="V145" i="1"/>
  <c r="Z145" i="1"/>
  <c r="AA145" i="1"/>
  <c r="D146" i="1"/>
  <c r="H146" i="1"/>
  <c r="I146" i="1"/>
  <c r="J146" i="1"/>
  <c r="P146" i="1"/>
  <c r="T146" i="1"/>
  <c r="U146" i="1"/>
  <c r="V146" i="1"/>
  <c r="Z146" i="1"/>
  <c r="AA146" i="1"/>
  <c r="D147" i="1"/>
  <c r="H147" i="1"/>
  <c r="I147" i="1"/>
  <c r="J147" i="1"/>
  <c r="P147" i="1"/>
  <c r="T147" i="1"/>
  <c r="U147" i="1"/>
  <c r="V147" i="1"/>
  <c r="Z147" i="1"/>
  <c r="AA147" i="1"/>
  <c r="D148" i="1"/>
  <c r="H148" i="1"/>
  <c r="I148" i="1"/>
  <c r="J148" i="1"/>
  <c r="P148" i="1"/>
  <c r="T148" i="1"/>
  <c r="U148" i="1"/>
  <c r="V148" i="1"/>
  <c r="Z148" i="1"/>
  <c r="AA148" i="1"/>
  <c r="D149" i="1"/>
  <c r="H149" i="1"/>
  <c r="I149" i="1"/>
  <c r="J149" i="1"/>
  <c r="P149" i="1"/>
  <c r="T149" i="1"/>
  <c r="U149" i="1"/>
  <c r="V149" i="1"/>
  <c r="Z149" i="1"/>
  <c r="AA149" i="1"/>
  <c r="D150" i="1"/>
  <c r="H150" i="1"/>
  <c r="I150" i="1"/>
  <c r="J150" i="1"/>
  <c r="P150" i="1"/>
  <c r="T150" i="1"/>
  <c r="U150" i="1"/>
  <c r="V150" i="1"/>
  <c r="Z150" i="1"/>
  <c r="AA150" i="1"/>
  <c r="J173" i="5"/>
  <c r="J172" i="5"/>
  <c r="J171" i="5"/>
  <c r="J170" i="5"/>
  <c r="J169" i="5"/>
  <c r="J168" i="5"/>
  <c r="J167" i="5"/>
  <c r="J166" i="5"/>
  <c r="J165" i="5"/>
  <c r="J164" i="5"/>
  <c r="J163" i="5"/>
  <c r="J162" i="5"/>
  <c r="V161" i="5"/>
  <c r="P161" i="5"/>
  <c r="J161" i="5"/>
  <c r="D161" i="5"/>
  <c r="V160" i="5"/>
  <c r="P160" i="5"/>
  <c r="J160" i="5"/>
  <c r="D160" i="5"/>
  <c r="V159" i="5"/>
  <c r="P159" i="5"/>
  <c r="J159" i="5"/>
  <c r="D159" i="5"/>
  <c r="V158" i="5"/>
  <c r="P158" i="5"/>
  <c r="J158" i="5"/>
  <c r="D158" i="5"/>
  <c r="V157" i="5"/>
  <c r="P157" i="5"/>
  <c r="J157" i="5"/>
  <c r="D157" i="5"/>
  <c r="V156" i="5"/>
  <c r="P156" i="5"/>
  <c r="J156" i="5"/>
  <c r="D156" i="5"/>
  <c r="V155" i="5"/>
  <c r="P155" i="5"/>
  <c r="J155" i="5"/>
  <c r="D155" i="5"/>
  <c r="V154" i="5"/>
  <c r="P154" i="5"/>
  <c r="J154" i="5"/>
  <c r="D154" i="5"/>
  <c r="V153" i="5"/>
  <c r="P153" i="5"/>
  <c r="J153" i="5"/>
  <c r="D153" i="5"/>
  <c r="V152" i="5"/>
  <c r="P152" i="5"/>
  <c r="J152" i="5"/>
  <c r="D152" i="5"/>
  <c r="V151" i="5"/>
  <c r="P151" i="5"/>
  <c r="J151" i="5"/>
  <c r="D151" i="5"/>
  <c r="V150" i="5"/>
  <c r="P150" i="5"/>
  <c r="J150" i="5"/>
  <c r="D150" i="5"/>
  <c r="V149" i="5"/>
  <c r="P149" i="5"/>
  <c r="J149" i="5"/>
  <c r="D149" i="5"/>
  <c r="V148" i="5"/>
  <c r="P148" i="5"/>
  <c r="J148" i="5"/>
  <c r="D148" i="5"/>
  <c r="V147" i="5"/>
  <c r="P147" i="5"/>
  <c r="J147" i="5"/>
  <c r="D147" i="5"/>
  <c r="V145" i="5"/>
  <c r="J145" i="5"/>
  <c r="D145" i="5"/>
  <c r="V144" i="5"/>
  <c r="J144" i="5"/>
  <c r="D144" i="5"/>
  <c r="V143" i="5"/>
  <c r="J143" i="5"/>
  <c r="D143" i="5"/>
  <c r="V142" i="5"/>
  <c r="J142" i="5"/>
  <c r="D142" i="5"/>
  <c r="V141" i="5"/>
  <c r="J141" i="5"/>
  <c r="D141" i="5"/>
  <c r="V140" i="5"/>
  <c r="J140" i="5"/>
  <c r="D140" i="5"/>
  <c r="V139" i="5"/>
  <c r="J139" i="5"/>
  <c r="D139" i="5"/>
  <c r="V138" i="5"/>
  <c r="J138" i="5"/>
  <c r="D138" i="5"/>
  <c r="V137" i="5"/>
  <c r="P137" i="5"/>
  <c r="J137" i="5"/>
  <c r="D137" i="5"/>
  <c r="V136" i="5"/>
  <c r="P136" i="5"/>
  <c r="J136" i="5"/>
  <c r="D136" i="5"/>
  <c r="V135" i="5"/>
  <c r="P135" i="5"/>
  <c r="J135" i="5"/>
  <c r="D135" i="5"/>
  <c r="V134" i="5"/>
  <c r="P134" i="5"/>
  <c r="J134" i="5"/>
  <c r="D134" i="5"/>
  <c r="V133" i="5"/>
  <c r="P133" i="5"/>
  <c r="J133" i="5"/>
  <c r="D133" i="5"/>
  <c r="V132" i="5"/>
  <c r="P132" i="5"/>
  <c r="J132" i="5"/>
  <c r="D132" i="5"/>
  <c r="V131" i="5"/>
  <c r="P131" i="5"/>
  <c r="J131" i="5"/>
  <c r="D131" i="5"/>
  <c r="V130" i="5"/>
  <c r="P130" i="5"/>
  <c r="J130" i="5"/>
  <c r="D130" i="5"/>
  <c r="V129" i="5"/>
  <c r="P129" i="5"/>
  <c r="J129" i="5"/>
  <c r="D129" i="5"/>
  <c r="V128" i="5"/>
  <c r="P128" i="5"/>
  <c r="J128" i="5"/>
  <c r="D128" i="5"/>
  <c r="V127" i="5"/>
  <c r="P127" i="5"/>
  <c r="J127" i="5"/>
  <c r="D127" i="5"/>
  <c r="V126" i="5"/>
  <c r="P126" i="5"/>
  <c r="J126" i="5"/>
  <c r="D126" i="5"/>
  <c r="V125" i="5"/>
  <c r="P125" i="5"/>
  <c r="J125" i="5"/>
  <c r="D125" i="5"/>
  <c r="V124" i="5"/>
  <c r="P124" i="5"/>
  <c r="J124" i="5"/>
  <c r="D124" i="5"/>
  <c r="V123" i="5"/>
  <c r="P123" i="5"/>
  <c r="J123" i="5"/>
  <c r="D123" i="5"/>
  <c r="V122" i="5"/>
  <c r="P122" i="5"/>
  <c r="J122" i="5"/>
  <c r="D122" i="5"/>
  <c r="V121" i="5"/>
  <c r="P121" i="5"/>
  <c r="J121" i="5"/>
  <c r="D121" i="5"/>
  <c r="V120" i="5"/>
  <c r="P120" i="5"/>
  <c r="J120" i="5"/>
  <c r="D120" i="5"/>
  <c r="V119" i="5"/>
  <c r="P119" i="5"/>
  <c r="J119" i="5"/>
  <c r="D119" i="5"/>
  <c r="V118" i="5"/>
  <c r="P118" i="5"/>
  <c r="J118" i="5"/>
  <c r="D118" i="5"/>
  <c r="V117" i="5"/>
  <c r="P117" i="5"/>
  <c r="J117" i="5"/>
  <c r="D117" i="5"/>
  <c r="V116" i="5"/>
  <c r="P116" i="5"/>
  <c r="J116" i="5"/>
  <c r="D116" i="5"/>
  <c r="V115" i="5"/>
  <c r="P115" i="5"/>
  <c r="J115" i="5"/>
  <c r="D115" i="5"/>
  <c r="V114" i="5"/>
  <c r="P114" i="5"/>
  <c r="J114" i="5"/>
  <c r="D114" i="5"/>
  <c r="V181" i="4"/>
  <c r="V180" i="4"/>
  <c r="V179" i="4"/>
  <c r="V178" i="4"/>
  <c r="V177" i="4"/>
  <c r="V176" i="4"/>
  <c r="V175" i="4"/>
  <c r="V174" i="4"/>
  <c r="V173" i="4"/>
  <c r="V172" i="4"/>
  <c r="P181" i="4"/>
  <c r="P180" i="4"/>
  <c r="P179" i="4"/>
  <c r="P178" i="4"/>
  <c r="P177" i="4"/>
  <c r="P176" i="4"/>
  <c r="P175" i="4"/>
  <c r="P174" i="4"/>
  <c r="P173" i="4"/>
  <c r="P172" i="4"/>
  <c r="J181" i="4"/>
  <c r="J180" i="4"/>
  <c r="J179" i="4"/>
  <c r="J178" i="4"/>
  <c r="J177" i="4"/>
  <c r="J176" i="4"/>
  <c r="J175" i="4"/>
  <c r="J174" i="4"/>
  <c r="J173" i="4"/>
  <c r="J172" i="4"/>
  <c r="D181" i="4"/>
  <c r="D180" i="4"/>
  <c r="D179" i="4"/>
  <c r="D178" i="4"/>
  <c r="D177" i="4"/>
  <c r="D176" i="4"/>
  <c r="D175" i="4"/>
  <c r="D174" i="4"/>
  <c r="D173" i="4"/>
  <c r="D172" i="4"/>
  <c r="V171" i="4"/>
  <c r="V170" i="4"/>
  <c r="V169" i="4"/>
  <c r="V168" i="4"/>
  <c r="V167" i="4"/>
  <c r="P171" i="4"/>
  <c r="P170" i="4"/>
  <c r="P169" i="4"/>
  <c r="P168" i="4"/>
  <c r="P167" i="4"/>
  <c r="J171" i="4"/>
  <c r="J170" i="4"/>
  <c r="J169" i="4"/>
  <c r="J168" i="4"/>
  <c r="J167" i="4"/>
  <c r="D171" i="4"/>
  <c r="D170" i="4"/>
  <c r="D169" i="4"/>
  <c r="D168" i="4"/>
  <c r="D167" i="4"/>
  <c r="V166" i="4"/>
  <c r="V165" i="4"/>
  <c r="V164" i="4"/>
  <c r="P166" i="4"/>
  <c r="P165" i="4"/>
  <c r="P164" i="4"/>
  <c r="J166" i="4"/>
  <c r="J165" i="4"/>
  <c r="J164" i="4"/>
  <c r="D166" i="4"/>
  <c r="D165" i="4"/>
  <c r="D164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Z151" i="4"/>
  <c r="Z152" i="4"/>
  <c r="Z153" i="4"/>
  <c r="Z154" i="4"/>
  <c r="Z155" i="4"/>
  <c r="Z156" i="4"/>
  <c r="Z157" i="4"/>
  <c r="Z158" i="4"/>
  <c r="Z159" i="4"/>
  <c r="Z160" i="4"/>
  <c r="Z161" i="4"/>
  <c r="Z162" i="4"/>
  <c r="AA151" i="4"/>
  <c r="AA152" i="4"/>
  <c r="AA153" i="4"/>
  <c r="AA154" i="4"/>
  <c r="AA155" i="4"/>
  <c r="AA156" i="4"/>
  <c r="AA157" i="4"/>
  <c r="AA158" i="4"/>
  <c r="AA159" i="4"/>
  <c r="AA160" i="4"/>
  <c r="AA161" i="4"/>
  <c r="AA162" i="4"/>
  <c r="D134" i="4"/>
  <c r="H134" i="4"/>
  <c r="I134" i="4"/>
  <c r="J134" i="4"/>
  <c r="P134" i="4"/>
  <c r="T134" i="4"/>
  <c r="U134" i="4"/>
  <c r="V134" i="4"/>
  <c r="Z134" i="4"/>
  <c r="AA134" i="4"/>
  <c r="D127" i="4"/>
  <c r="D128" i="4"/>
  <c r="D129" i="4"/>
  <c r="D130" i="4"/>
  <c r="D131" i="4"/>
  <c r="D132" i="4"/>
  <c r="D133" i="4"/>
  <c r="H127" i="4"/>
  <c r="H128" i="4"/>
  <c r="H129" i="4"/>
  <c r="H130" i="4"/>
  <c r="H131" i="4"/>
  <c r="H132" i="4"/>
  <c r="H133" i="4"/>
  <c r="I127" i="4"/>
  <c r="I128" i="4"/>
  <c r="I129" i="4"/>
  <c r="I130" i="4"/>
  <c r="I131" i="4"/>
  <c r="I132" i="4"/>
  <c r="I133" i="4"/>
  <c r="J127" i="4"/>
  <c r="J128" i="4"/>
  <c r="J129" i="4"/>
  <c r="J130" i="4"/>
  <c r="J131" i="4"/>
  <c r="J132" i="4"/>
  <c r="J133" i="4"/>
  <c r="P127" i="4"/>
  <c r="P128" i="4"/>
  <c r="P129" i="4"/>
  <c r="P130" i="4"/>
  <c r="P131" i="4"/>
  <c r="P132" i="4"/>
  <c r="P133" i="4"/>
  <c r="T127" i="4"/>
  <c r="T128" i="4"/>
  <c r="T129" i="4"/>
  <c r="T130" i="4"/>
  <c r="T131" i="4"/>
  <c r="T132" i="4"/>
  <c r="T133" i="4"/>
  <c r="U127" i="4"/>
  <c r="U128" i="4"/>
  <c r="U129" i="4"/>
  <c r="U130" i="4"/>
  <c r="U131" i="4"/>
  <c r="U132" i="4"/>
  <c r="U133" i="4"/>
  <c r="V127" i="4"/>
  <c r="V128" i="4"/>
  <c r="V129" i="4"/>
  <c r="V130" i="4"/>
  <c r="V131" i="4"/>
  <c r="V132" i="4"/>
  <c r="V133" i="4"/>
  <c r="Z127" i="4"/>
  <c r="Z128" i="4"/>
  <c r="Z129" i="4"/>
  <c r="Z130" i="4"/>
  <c r="Z131" i="4"/>
  <c r="Z132" i="4"/>
  <c r="Z133" i="4"/>
  <c r="AA127" i="4"/>
  <c r="AA128" i="4"/>
  <c r="AA129" i="4"/>
  <c r="AA130" i="4"/>
  <c r="AA131" i="4"/>
  <c r="AA132" i="4"/>
  <c r="AA133" i="4"/>
  <c r="D106" i="5"/>
  <c r="D63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D119" i="4"/>
  <c r="H119" i="4"/>
  <c r="I119" i="4"/>
  <c r="J119" i="4"/>
  <c r="T119" i="4"/>
  <c r="U119" i="4"/>
  <c r="V119" i="4"/>
  <c r="Z119" i="4"/>
  <c r="AA119" i="4"/>
  <c r="D115" i="4"/>
  <c r="D116" i="4"/>
  <c r="D117" i="4"/>
  <c r="D118" i="4"/>
  <c r="D120" i="4"/>
  <c r="D121" i="4"/>
  <c r="D122" i="4"/>
  <c r="D123" i="4"/>
  <c r="D124" i="4"/>
  <c r="D125" i="4"/>
  <c r="D126" i="4"/>
  <c r="H115" i="4"/>
  <c r="H116" i="4"/>
  <c r="H117" i="4"/>
  <c r="H118" i="4"/>
  <c r="H120" i="4"/>
  <c r="H121" i="4"/>
  <c r="H122" i="4"/>
  <c r="H123" i="4"/>
  <c r="H124" i="4"/>
  <c r="H125" i="4"/>
  <c r="H126" i="4"/>
  <c r="I115" i="4"/>
  <c r="I116" i="4"/>
  <c r="I117" i="4"/>
  <c r="I118" i="4"/>
  <c r="I120" i="4"/>
  <c r="I121" i="4"/>
  <c r="I122" i="4"/>
  <c r="I123" i="4"/>
  <c r="I124" i="4"/>
  <c r="I125" i="4"/>
  <c r="I126" i="4"/>
  <c r="J115" i="4"/>
  <c r="J116" i="4"/>
  <c r="J117" i="4"/>
  <c r="J118" i="4"/>
  <c r="J120" i="4"/>
  <c r="J121" i="4"/>
  <c r="J122" i="4"/>
  <c r="J123" i="4"/>
  <c r="J124" i="4"/>
  <c r="J125" i="4"/>
  <c r="J126" i="4"/>
  <c r="T115" i="4"/>
  <c r="T116" i="4"/>
  <c r="T117" i="4"/>
  <c r="T118" i="4"/>
  <c r="T120" i="4"/>
  <c r="T121" i="4"/>
  <c r="T122" i="4"/>
  <c r="T123" i="4"/>
  <c r="T124" i="4"/>
  <c r="T125" i="4"/>
  <c r="T126" i="4"/>
  <c r="U115" i="4"/>
  <c r="U116" i="4"/>
  <c r="U117" i="4"/>
  <c r="U118" i="4"/>
  <c r="U120" i="4"/>
  <c r="U121" i="4"/>
  <c r="U122" i="4"/>
  <c r="U123" i="4"/>
  <c r="U124" i="4"/>
  <c r="U125" i="4"/>
  <c r="U126" i="4"/>
  <c r="V115" i="4"/>
  <c r="V116" i="4"/>
  <c r="V117" i="4"/>
  <c r="V118" i="4"/>
  <c r="V120" i="4"/>
  <c r="V121" i="4"/>
  <c r="V122" i="4"/>
  <c r="V123" i="4"/>
  <c r="V124" i="4"/>
  <c r="V125" i="4"/>
  <c r="V126" i="4"/>
  <c r="Z115" i="4"/>
  <c r="Z116" i="4"/>
  <c r="Z117" i="4"/>
  <c r="Z118" i="4"/>
  <c r="Z120" i="4"/>
  <c r="Z121" i="4"/>
  <c r="Z122" i="4"/>
  <c r="Z123" i="4"/>
  <c r="Z124" i="4"/>
  <c r="Z125" i="4"/>
  <c r="Z126" i="4"/>
  <c r="AA115" i="4"/>
  <c r="AA116" i="4"/>
  <c r="AA117" i="4"/>
  <c r="AA118" i="4"/>
  <c r="AA120" i="4"/>
  <c r="AA121" i="4"/>
  <c r="AA122" i="4"/>
  <c r="AA123" i="4"/>
  <c r="AA124" i="4"/>
  <c r="AA125" i="4"/>
  <c r="AA126" i="4"/>
  <c r="D110" i="4"/>
  <c r="H110" i="4"/>
  <c r="I110" i="4"/>
  <c r="J110" i="4"/>
  <c r="T110" i="4"/>
  <c r="U110" i="4"/>
  <c r="V110" i="4"/>
  <c r="Z110" i="4"/>
  <c r="AA110" i="4"/>
  <c r="D112" i="4"/>
  <c r="D113" i="4"/>
  <c r="D114" i="4"/>
  <c r="H112" i="4"/>
  <c r="H113" i="4"/>
  <c r="H114" i="4"/>
  <c r="I112" i="4"/>
  <c r="I113" i="4"/>
  <c r="I114" i="4"/>
  <c r="J112" i="4"/>
  <c r="J113" i="4"/>
  <c r="J114" i="4"/>
  <c r="T112" i="4"/>
  <c r="T113" i="4"/>
  <c r="T114" i="4"/>
  <c r="U112" i="4"/>
  <c r="U113" i="4"/>
  <c r="U114" i="4"/>
  <c r="V112" i="4"/>
  <c r="V113" i="4"/>
  <c r="V114" i="4"/>
  <c r="Z112" i="4"/>
  <c r="Z113" i="4"/>
  <c r="Z114" i="4"/>
  <c r="AA112" i="4"/>
  <c r="AA113" i="4"/>
  <c r="AA114" i="4"/>
  <c r="P108" i="5"/>
  <c r="T108" i="5" s="1"/>
  <c r="P109" i="5"/>
  <c r="U109" i="5" s="1"/>
  <c r="P110" i="5"/>
  <c r="P111" i="5"/>
  <c r="P112" i="5"/>
  <c r="P96" i="5"/>
  <c r="T96" i="5" s="1"/>
  <c r="P97" i="5"/>
  <c r="P98" i="5"/>
  <c r="P99" i="5"/>
  <c r="P100" i="5"/>
  <c r="P83" i="5"/>
  <c r="P84" i="5"/>
  <c r="P85" i="5"/>
  <c r="P86" i="5"/>
  <c r="P87" i="5"/>
  <c r="P88" i="5"/>
  <c r="P70" i="5"/>
  <c r="P71" i="5"/>
  <c r="P72" i="5"/>
  <c r="P73" i="5"/>
  <c r="P74" i="5"/>
  <c r="P75" i="5"/>
  <c r="P76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1" i="5"/>
  <c r="H111" i="5" s="1"/>
  <c r="J111" i="5"/>
  <c r="U111" i="5"/>
  <c r="T111" i="5"/>
  <c r="V111" i="5"/>
  <c r="Z111" i="5" s="1"/>
  <c r="D108" i="5"/>
  <c r="H108" i="5" s="1"/>
  <c r="J108" i="5"/>
  <c r="U108" i="5"/>
  <c r="V108" i="5"/>
  <c r="Z108" i="5" s="1"/>
  <c r="H87" i="5"/>
  <c r="J87" i="5"/>
  <c r="T87" i="5"/>
  <c r="V87" i="5"/>
  <c r="Z87" i="5" s="1"/>
  <c r="D99" i="5"/>
  <c r="H99" i="5" s="1"/>
  <c r="J99" i="5"/>
  <c r="T99" i="5"/>
  <c r="V99" i="5"/>
  <c r="Z99" i="5" s="1"/>
  <c r="D96" i="5"/>
  <c r="H96" i="5" s="1"/>
  <c r="J96" i="5"/>
  <c r="V96" i="5"/>
  <c r="Z96" i="5" s="1"/>
  <c r="H84" i="5"/>
  <c r="J84" i="5"/>
  <c r="T84" i="5"/>
  <c r="V84" i="5"/>
  <c r="Z84" i="5" s="1"/>
  <c r="H75" i="5"/>
  <c r="J75" i="5"/>
  <c r="T75" i="5"/>
  <c r="V75" i="5"/>
  <c r="Z75" i="5" s="1"/>
  <c r="H72" i="5"/>
  <c r="J72" i="5"/>
  <c r="T72" i="5"/>
  <c r="V72" i="5"/>
  <c r="Z72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12" i="5"/>
  <c r="AA112" i="5" s="1"/>
  <c r="U112" i="5"/>
  <c r="J112" i="5"/>
  <c r="D112" i="5"/>
  <c r="I112" i="5" s="1"/>
  <c r="V110" i="5"/>
  <c r="Z110" i="5" s="1"/>
  <c r="J110" i="5"/>
  <c r="D110" i="5"/>
  <c r="I110" i="5" s="1"/>
  <c r="V109" i="5"/>
  <c r="AA109" i="5" s="1"/>
  <c r="J109" i="5"/>
  <c r="D109" i="5"/>
  <c r="I109" i="5" s="1"/>
  <c r="V107" i="5"/>
  <c r="Z107" i="5" s="1"/>
  <c r="P107" i="5"/>
  <c r="J107" i="5"/>
  <c r="N107" i="5" s="1"/>
  <c r="D107" i="5"/>
  <c r="I107" i="5" s="1"/>
  <c r="V106" i="5"/>
  <c r="AA106" i="5" s="1"/>
  <c r="P106" i="5"/>
  <c r="U106" i="5" s="1"/>
  <c r="J106" i="5"/>
  <c r="O106" i="5" s="1"/>
  <c r="I106" i="5"/>
  <c r="V105" i="5"/>
  <c r="Z105" i="5" s="1"/>
  <c r="P105" i="5"/>
  <c r="J105" i="5"/>
  <c r="N105" i="5" s="1"/>
  <c r="D105" i="5"/>
  <c r="I105" i="5" s="1"/>
  <c r="V104" i="5"/>
  <c r="AA104" i="5" s="1"/>
  <c r="P104" i="5"/>
  <c r="U104" i="5" s="1"/>
  <c r="J104" i="5"/>
  <c r="O104" i="5" s="1"/>
  <c r="D104" i="5"/>
  <c r="I104" i="5" s="1"/>
  <c r="V103" i="5"/>
  <c r="AA103" i="5" s="1"/>
  <c r="P103" i="5"/>
  <c r="J103" i="5"/>
  <c r="N103" i="5" s="1"/>
  <c r="D103" i="5"/>
  <c r="I103" i="5" s="1"/>
  <c r="V102" i="5"/>
  <c r="AA102" i="5" s="1"/>
  <c r="P102" i="5"/>
  <c r="U102" i="5" s="1"/>
  <c r="J102" i="5"/>
  <c r="O102" i="5" s="1"/>
  <c r="D102" i="5"/>
  <c r="I102" i="5" s="1"/>
  <c r="V100" i="5"/>
  <c r="AA100" i="5" s="1"/>
  <c r="J100" i="5"/>
  <c r="D100" i="5"/>
  <c r="I100" i="5" s="1"/>
  <c r="V98" i="5"/>
  <c r="AA98" i="5" s="1"/>
  <c r="U98" i="5"/>
  <c r="J98" i="5"/>
  <c r="D98" i="5"/>
  <c r="I98" i="5" s="1"/>
  <c r="V97" i="5"/>
  <c r="AA97" i="5" s="1"/>
  <c r="J97" i="5"/>
  <c r="D97" i="5"/>
  <c r="I97" i="5" s="1"/>
  <c r="V95" i="5"/>
  <c r="AA95" i="5" s="1"/>
  <c r="P95" i="5"/>
  <c r="U95" i="5" s="1"/>
  <c r="J95" i="5"/>
  <c r="O95" i="5" s="1"/>
  <c r="D95" i="5"/>
  <c r="I95" i="5" s="1"/>
  <c r="V94" i="5"/>
  <c r="AA94" i="5" s="1"/>
  <c r="P94" i="5"/>
  <c r="J94" i="5"/>
  <c r="N94" i="5" s="1"/>
  <c r="D94" i="5"/>
  <c r="H94" i="5" s="1"/>
  <c r="V93" i="5"/>
  <c r="AA93" i="5" s="1"/>
  <c r="P93" i="5"/>
  <c r="U93" i="5" s="1"/>
  <c r="J93" i="5"/>
  <c r="O93" i="5" s="1"/>
  <c r="D93" i="5"/>
  <c r="H93" i="5" s="1"/>
  <c r="V92" i="5"/>
  <c r="AA92" i="5" s="1"/>
  <c r="P92" i="5"/>
  <c r="J92" i="5"/>
  <c r="N92" i="5" s="1"/>
  <c r="D92" i="5"/>
  <c r="I92" i="5" s="1"/>
  <c r="V91" i="5"/>
  <c r="AA91" i="5" s="1"/>
  <c r="P91" i="5"/>
  <c r="U91" i="5" s="1"/>
  <c r="J91" i="5"/>
  <c r="O91" i="5" s="1"/>
  <c r="D91" i="5"/>
  <c r="I91" i="5" s="1"/>
  <c r="V90" i="5"/>
  <c r="AA90" i="5" s="1"/>
  <c r="P90" i="5"/>
  <c r="J90" i="5"/>
  <c r="N90" i="5" s="1"/>
  <c r="D90" i="5"/>
  <c r="I90" i="5" s="1"/>
  <c r="V88" i="5"/>
  <c r="AA88" i="5" s="1"/>
  <c r="U88" i="5"/>
  <c r="J88" i="5"/>
  <c r="I88" i="5"/>
  <c r="V86" i="5"/>
  <c r="AA86" i="5" s="1"/>
  <c r="J86" i="5"/>
  <c r="I86" i="5"/>
  <c r="V85" i="5"/>
  <c r="AA85" i="5" s="1"/>
  <c r="U85" i="5"/>
  <c r="J85" i="5"/>
  <c r="I85" i="5"/>
  <c r="V83" i="5"/>
  <c r="AA83" i="5" s="1"/>
  <c r="J83" i="5"/>
  <c r="I83" i="5"/>
  <c r="V82" i="5"/>
  <c r="AA82" i="5" s="1"/>
  <c r="P82" i="5"/>
  <c r="U82" i="5" s="1"/>
  <c r="J82" i="5"/>
  <c r="O82" i="5" s="1"/>
  <c r="I82" i="5"/>
  <c r="V81" i="5"/>
  <c r="Z81" i="5" s="1"/>
  <c r="P81" i="5"/>
  <c r="J81" i="5"/>
  <c r="N81" i="5" s="1"/>
  <c r="I81" i="5"/>
  <c r="V80" i="5"/>
  <c r="AA80" i="5" s="1"/>
  <c r="P80" i="5"/>
  <c r="U80" i="5" s="1"/>
  <c r="J80" i="5"/>
  <c r="O80" i="5" s="1"/>
  <c r="I80" i="5"/>
  <c r="V79" i="5"/>
  <c r="AA79" i="5" s="1"/>
  <c r="P79" i="5"/>
  <c r="U79" i="5" s="1"/>
  <c r="J79" i="5"/>
  <c r="N79" i="5" s="1"/>
  <c r="D79" i="5"/>
  <c r="I79" i="5" s="1"/>
  <c r="V78" i="5"/>
  <c r="AA78" i="5" s="1"/>
  <c r="P78" i="5"/>
  <c r="U78" i="5" s="1"/>
  <c r="J78" i="5"/>
  <c r="D78" i="5"/>
  <c r="I78" i="5" s="1"/>
  <c r="V76" i="5"/>
  <c r="AA76" i="5" s="1"/>
  <c r="U76" i="5"/>
  <c r="J76" i="5"/>
  <c r="I76" i="5"/>
  <c r="V74" i="5"/>
  <c r="AA74" i="5" s="1"/>
  <c r="U74" i="5"/>
  <c r="J74" i="5"/>
  <c r="H74" i="5"/>
  <c r="V73" i="5"/>
  <c r="Z73" i="5" s="1"/>
  <c r="U73" i="5"/>
  <c r="J73" i="5"/>
  <c r="I73" i="5"/>
  <c r="V71" i="5"/>
  <c r="Z71" i="5" s="1"/>
  <c r="U71" i="5"/>
  <c r="J71" i="5"/>
  <c r="I71" i="5"/>
  <c r="V70" i="5"/>
  <c r="AA70" i="5" s="1"/>
  <c r="U70" i="5"/>
  <c r="J70" i="5"/>
  <c r="H70" i="5"/>
  <c r="V69" i="5"/>
  <c r="AA69" i="5" s="1"/>
  <c r="P69" i="5"/>
  <c r="U69" i="5" s="1"/>
  <c r="J69" i="5"/>
  <c r="H69" i="5"/>
  <c r="V68" i="5"/>
  <c r="AA68" i="5" s="1"/>
  <c r="P68" i="5"/>
  <c r="U68" i="5" s="1"/>
  <c r="J68" i="5"/>
  <c r="N68" i="5" s="1"/>
  <c r="I68" i="5"/>
  <c r="V67" i="5"/>
  <c r="AA67" i="5" s="1"/>
  <c r="P67" i="5"/>
  <c r="U67" i="5" s="1"/>
  <c r="J67" i="5"/>
  <c r="I67" i="5"/>
  <c r="V66" i="5"/>
  <c r="AA66" i="5" s="1"/>
  <c r="P66" i="5"/>
  <c r="U66" i="5" s="1"/>
  <c r="J66" i="5"/>
  <c r="N66" i="5" s="1"/>
  <c r="I66" i="5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1" i="4"/>
  <c r="V136" i="4"/>
  <c r="Z136" i="4" s="1"/>
  <c r="V137" i="4"/>
  <c r="Z137" i="4" s="1"/>
  <c r="V138" i="4"/>
  <c r="AA138" i="4" s="1"/>
  <c r="V139" i="4"/>
  <c r="Z139" i="4" s="1"/>
  <c r="V140" i="4"/>
  <c r="AA140" i="4" s="1"/>
  <c r="V141" i="4"/>
  <c r="Z141" i="4" s="1"/>
  <c r="V142" i="4"/>
  <c r="AA142" i="4" s="1"/>
  <c r="V143" i="4"/>
  <c r="V144" i="4"/>
  <c r="Z144" i="4" s="1"/>
  <c r="V145" i="4"/>
  <c r="Z145" i="4" s="1"/>
  <c r="V146" i="4"/>
  <c r="AA146" i="4" s="1"/>
  <c r="V147" i="4"/>
  <c r="Z147" i="4" s="1"/>
  <c r="V148" i="4"/>
  <c r="Z148" i="4" s="1"/>
  <c r="V149" i="4"/>
  <c r="Z149" i="4" s="1"/>
  <c r="V150" i="4"/>
  <c r="AA150" i="4" s="1"/>
  <c r="T163" i="4"/>
  <c r="U163" i="4"/>
  <c r="V163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T111" i="4"/>
  <c r="P136" i="4"/>
  <c r="P137" i="4"/>
  <c r="T137" i="4" s="1"/>
  <c r="P138" i="4"/>
  <c r="T138" i="4" s="1"/>
  <c r="P139" i="4"/>
  <c r="T139" i="4" s="1"/>
  <c r="P140" i="4"/>
  <c r="P141" i="4"/>
  <c r="U141" i="4" s="1"/>
  <c r="P142" i="4"/>
  <c r="T142" i="4" s="1"/>
  <c r="P143" i="4"/>
  <c r="T143" i="4" s="1"/>
  <c r="P144" i="4"/>
  <c r="P145" i="4"/>
  <c r="T145" i="4" s="1"/>
  <c r="P146" i="4"/>
  <c r="T146" i="4" s="1"/>
  <c r="P147" i="4"/>
  <c r="T147" i="4" s="1"/>
  <c r="P148" i="4"/>
  <c r="P149" i="4"/>
  <c r="U149" i="4" s="1"/>
  <c r="P150" i="4"/>
  <c r="T150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1" i="4"/>
  <c r="J136" i="4"/>
  <c r="N136" i="4" s="1"/>
  <c r="J137" i="4"/>
  <c r="N137" i="4" s="1"/>
  <c r="J138" i="4"/>
  <c r="O138" i="4" s="1"/>
  <c r="J139" i="4"/>
  <c r="N139" i="4" s="1"/>
  <c r="J140" i="4"/>
  <c r="N140" i="4" s="1"/>
  <c r="J141" i="4"/>
  <c r="O141" i="4" s="1"/>
  <c r="J142" i="4"/>
  <c r="O142" i="4" s="1"/>
  <c r="J143" i="4"/>
  <c r="N143" i="4" s="1"/>
  <c r="J144" i="4"/>
  <c r="N144" i="4" s="1"/>
  <c r="J145" i="4"/>
  <c r="N145" i="4" s="1"/>
  <c r="J146" i="4"/>
  <c r="O146" i="4" s="1"/>
  <c r="J147" i="4"/>
  <c r="N147" i="4" s="1"/>
  <c r="J148" i="4"/>
  <c r="N148" i="4" s="1"/>
  <c r="J149" i="4"/>
  <c r="O149" i="4" s="1"/>
  <c r="J150" i="4"/>
  <c r="O150" i="4" s="1"/>
  <c r="J163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63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63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H63" i="4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1" i="4"/>
  <c r="I111" i="4" s="1"/>
  <c r="D5" i="4"/>
  <c r="I5" i="4" s="1"/>
  <c r="N162" i="4" l="1"/>
  <c r="O162" i="4"/>
  <c r="N161" i="4"/>
  <c r="O161" i="4"/>
  <c r="N160" i="4"/>
  <c r="O160" i="4"/>
  <c r="N159" i="4"/>
  <c r="O159" i="4"/>
  <c r="N158" i="4"/>
  <c r="O158" i="4"/>
  <c r="N157" i="4"/>
  <c r="O157" i="4"/>
  <c r="N156" i="4"/>
  <c r="O156" i="4"/>
  <c r="N155" i="4"/>
  <c r="O155" i="4"/>
  <c r="N154" i="4"/>
  <c r="O154" i="4"/>
  <c r="N153" i="4"/>
  <c r="O153" i="4"/>
  <c r="N152" i="4"/>
  <c r="O152" i="4"/>
  <c r="N151" i="4"/>
  <c r="O151" i="4"/>
  <c r="N138" i="5"/>
  <c r="O138" i="5"/>
  <c r="N139" i="5"/>
  <c r="O139" i="5"/>
  <c r="N140" i="5"/>
  <c r="O140" i="5"/>
  <c r="N141" i="5"/>
  <c r="O141" i="5"/>
  <c r="N142" i="5"/>
  <c r="O142" i="5"/>
  <c r="N143" i="5"/>
  <c r="O143" i="5"/>
  <c r="N144" i="5"/>
  <c r="O144" i="5"/>
  <c r="N145" i="5"/>
  <c r="O145" i="5"/>
  <c r="N162" i="5"/>
  <c r="O162" i="5"/>
  <c r="N163" i="5"/>
  <c r="O163" i="5"/>
  <c r="N164" i="5"/>
  <c r="O164" i="5"/>
  <c r="N165" i="5"/>
  <c r="O165" i="5"/>
  <c r="N166" i="5"/>
  <c r="O166" i="5"/>
  <c r="N167" i="5"/>
  <c r="O167" i="5"/>
  <c r="N168" i="5"/>
  <c r="O168" i="5"/>
  <c r="N169" i="5"/>
  <c r="O169" i="5"/>
  <c r="N170" i="5"/>
  <c r="O170" i="5"/>
  <c r="N171" i="5"/>
  <c r="O171" i="5"/>
  <c r="N172" i="5"/>
  <c r="O172" i="5"/>
  <c r="N173" i="5"/>
  <c r="O173" i="5"/>
  <c r="T173" i="5"/>
  <c r="U173" i="5"/>
  <c r="T172" i="5"/>
  <c r="U172" i="5"/>
  <c r="T171" i="5"/>
  <c r="U171" i="5"/>
  <c r="T170" i="5"/>
  <c r="U170" i="5"/>
  <c r="T169" i="5"/>
  <c r="U169" i="5"/>
  <c r="T168" i="5"/>
  <c r="U168" i="5"/>
  <c r="T167" i="5"/>
  <c r="U167" i="5"/>
  <c r="T166" i="5"/>
  <c r="U166" i="5"/>
  <c r="T165" i="5"/>
  <c r="U165" i="5"/>
  <c r="T164" i="5"/>
  <c r="U164" i="5"/>
  <c r="T163" i="5"/>
  <c r="U163" i="5"/>
  <c r="T162" i="5"/>
  <c r="U162" i="5"/>
  <c r="I114" i="5"/>
  <c r="H114" i="5"/>
  <c r="O114" i="5"/>
  <c r="N114" i="5"/>
  <c r="U114" i="5"/>
  <c r="T114" i="5"/>
  <c r="AA114" i="5"/>
  <c r="Z114" i="5"/>
  <c r="I115" i="5"/>
  <c r="H115" i="5"/>
  <c r="O115" i="5"/>
  <c r="N115" i="5"/>
  <c r="U115" i="5"/>
  <c r="T115" i="5"/>
  <c r="AA115" i="5"/>
  <c r="Z115" i="5"/>
  <c r="I116" i="5"/>
  <c r="H116" i="5"/>
  <c r="O116" i="5"/>
  <c r="N116" i="5"/>
  <c r="U116" i="5"/>
  <c r="T116" i="5"/>
  <c r="AA116" i="5"/>
  <c r="Z116" i="5"/>
  <c r="I117" i="5"/>
  <c r="H117" i="5"/>
  <c r="O117" i="5"/>
  <c r="N117" i="5"/>
  <c r="U117" i="5"/>
  <c r="T117" i="5"/>
  <c r="AA117" i="5"/>
  <c r="Z117" i="5"/>
  <c r="I118" i="5"/>
  <c r="H118" i="5"/>
  <c r="O118" i="5"/>
  <c r="N118" i="5"/>
  <c r="U118" i="5"/>
  <c r="T118" i="5"/>
  <c r="AA118" i="5"/>
  <c r="Z118" i="5"/>
  <c r="I119" i="5"/>
  <c r="H119" i="5"/>
  <c r="O119" i="5"/>
  <c r="N119" i="5"/>
  <c r="U119" i="5"/>
  <c r="T119" i="5"/>
  <c r="AA119" i="5"/>
  <c r="Z119" i="5"/>
  <c r="I120" i="5"/>
  <c r="H120" i="5"/>
  <c r="O120" i="5"/>
  <c r="N120" i="5"/>
  <c r="U120" i="5"/>
  <c r="T120" i="5"/>
  <c r="AA120" i="5"/>
  <c r="Z120" i="5"/>
  <c r="I121" i="5"/>
  <c r="H121" i="5"/>
  <c r="O121" i="5"/>
  <c r="N121" i="5"/>
  <c r="U121" i="5"/>
  <c r="T121" i="5"/>
  <c r="AA121" i="5"/>
  <c r="Z121" i="5"/>
  <c r="I122" i="5"/>
  <c r="H122" i="5"/>
  <c r="O122" i="5"/>
  <c r="N122" i="5"/>
  <c r="U122" i="5"/>
  <c r="T122" i="5"/>
  <c r="AA122" i="5"/>
  <c r="Z122" i="5"/>
  <c r="I123" i="5"/>
  <c r="H123" i="5"/>
  <c r="O123" i="5"/>
  <c r="N123" i="5"/>
  <c r="U123" i="5"/>
  <c r="T123" i="5"/>
  <c r="AA123" i="5"/>
  <c r="Z123" i="5"/>
  <c r="I124" i="5"/>
  <c r="H124" i="5"/>
  <c r="O124" i="5"/>
  <c r="N124" i="5"/>
  <c r="U124" i="5"/>
  <c r="T124" i="5"/>
  <c r="AA124" i="5"/>
  <c r="Z124" i="5"/>
  <c r="I125" i="5"/>
  <c r="H125" i="5"/>
  <c r="O125" i="5"/>
  <c r="N125" i="5"/>
  <c r="U125" i="5"/>
  <c r="T125" i="5"/>
  <c r="AA125" i="5"/>
  <c r="Z125" i="5"/>
  <c r="I126" i="5"/>
  <c r="H126" i="5"/>
  <c r="O126" i="5"/>
  <c r="N126" i="5"/>
  <c r="U126" i="5"/>
  <c r="T126" i="5"/>
  <c r="AA126" i="5"/>
  <c r="Z126" i="5"/>
  <c r="I127" i="5"/>
  <c r="H127" i="5"/>
  <c r="O127" i="5"/>
  <c r="N127" i="5"/>
  <c r="U127" i="5"/>
  <c r="T127" i="5"/>
  <c r="AA127" i="5"/>
  <c r="Z127" i="5"/>
  <c r="I128" i="5"/>
  <c r="H128" i="5"/>
  <c r="O128" i="5"/>
  <c r="N128" i="5"/>
  <c r="U128" i="5"/>
  <c r="T128" i="5"/>
  <c r="AA128" i="5"/>
  <c r="Z128" i="5"/>
  <c r="I129" i="5"/>
  <c r="H129" i="5"/>
  <c r="O129" i="5"/>
  <c r="N129" i="5"/>
  <c r="U129" i="5"/>
  <c r="T129" i="5"/>
  <c r="AA129" i="5"/>
  <c r="Z129" i="5"/>
  <c r="I130" i="5"/>
  <c r="H130" i="5"/>
  <c r="O130" i="5"/>
  <c r="N130" i="5"/>
  <c r="U130" i="5"/>
  <c r="T130" i="5"/>
  <c r="AA130" i="5"/>
  <c r="Z130" i="5"/>
  <c r="I131" i="5"/>
  <c r="H131" i="5"/>
  <c r="O131" i="5"/>
  <c r="N131" i="5"/>
  <c r="U131" i="5"/>
  <c r="T131" i="5"/>
  <c r="AA131" i="5"/>
  <c r="Z131" i="5"/>
  <c r="I132" i="5"/>
  <c r="H132" i="5"/>
  <c r="O132" i="5"/>
  <c r="N132" i="5"/>
  <c r="U132" i="5"/>
  <c r="T132" i="5"/>
  <c r="AA132" i="5"/>
  <c r="Z132" i="5"/>
  <c r="I133" i="5"/>
  <c r="H133" i="5"/>
  <c r="O133" i="5"/>
  <c r="N133" i="5"/>
  <c r="U133" i="5"/>
  <c r="T133" i="5"/>
  <c r="AA133" i="5"/>
  <c r="Z133" i="5"/>
  <c r="I134" i="5"/>
  <c r="H134" i="5"/>
  <c r="O134" i="5"/>
  <c r="N134" i="5"/>
  <c r="U134" i="5"/>
  <c r="T134" i="5"/>
  <c r="AA134" i="5"/>
  <c r="Z134" i="5"/>
  <c r="I135" i="5"/>
  <c r="H135" i="5"/>
  <c r="O135" i="5"/>
  <c r="N135" i="5"/>
  <c r="U135" i="5"/>
  <c r="T135" i="5"/>
  <c r="AA135" i="5"/>
  <c r="Z135" i="5"/>
  <c r="I136" i="5"/>
  <c r="H136" i="5"/>
  <c r="O136" i="5"/>
  <c r="N136" i="5"/>
  <c r="U136" i="5"/>
  <c r="T136" i="5"/>
  <c r="AA136" i="5"/>
  <c r="Z136" i="5"/>
  <c r="I137" i="5"/>
  <c r="H137" i="5"/>
  <c r="O137" i="5"/>
  <c r="N137" i="5"/>
  <c r="U137" i="5"/>
  <c r="T137" i="5"/>
  <c r="AA137" i="5"/>
  <c r="Z137" i="5"/>
  <c r="I138" i="5"/>
  <c r="H138" i="5"/>
  <c r="U138" i="5"/>
  <c r="T138" i="5"/>
  <c r="AA138" i="5"/>
  <c r="Z138" i="5"/>
  <c r="I139" i="5"/>
  <c r="H139" i="5"/>
  <c r="U139" i="5"/>
  <c r="T139" i="5"/>
  <c r="AA139" i="5"/>
  <c r="Z139" i="5"/>
  <c r="I140" i="5"/>
  <c r="H140" i="5"/>
  <c r="U140" i="5"/>
  <c r="T140" i="5"/>
  <c r="AA140" i="5"/>
  <c r="Z140" i="5"/>
  <c r="I141" i="5"/>
  <c r="H141" i="5"/>
  <c r="U141" i="5"/>
  <c r="T141" i="5"/>
  <c r="AA141" i="5"/>
  <c r="Z141" i="5"/>
  <c r="I142" i="5"/>
  <c r="H142" i="5"/>
  <c r="U142" i="5"/>
  <c r="T142" i="5"/>
  <c r="AA142" i="5"/>
  <c r="Z142" i="5"/>
  <c r="I143" i="5"/>
  <c r="H143" i="5"/>
  <c r="U143" i="5"/>
  <c r="T143" i="5"/>
  <c r="AA143" i="5"/>
  <c r="Z143" i="5"/>
  <c r="I144" i="5"/>
  <c r="H144" i="5"/>
  <c r="U144" i="5"/>
  <c r="T144" i="5"/>
  <c r="AA144" i="5"/>
  <c r="Z144" i="5"/>
  <c r="I145" i="5"/>
  <c r="H145" i="5"/>
  <c r="U145" i="5"/>
  <c r="T145" i="5"/>
  <c r="AA145" i="5"/>
  <c r="Z145" i="5"/>
  <c r="I147" i="5"/>
  <c r="H147" i="5"/>
  <c r="O147" i="5"/>
  <c r="N147" i="5"/>
  <c r="U147" i="5"/>
  <c r="T147" i="5"/>
  <c r="AA147" i="5"/>
  <c r="Z147" i="5"/>
  <c r="I148" i="5"/>
  <c r="H148" i="5"/>
  <c r="O148" i="5"/>
  <c r="N148" i="5"/>
  <c r="U148" i="5"/>
  <c r="T148" i="5"/>
  <c r="AA148" i="5"/>
  <c r="Z148" i="5"/>
  <c r="I149" i="5"/>
  <c r="H149" i="5"/>
  <c r="O149" i="5"/>
  <c r="N149" i="5"/>
  <c r="U149" i="5"/>
  <c r="T149" i="5"/>
  <c r="AA149" i="5"/>
  <c r="Z149" i="5"/>
  <c r="I150" i="5"/>
  <c r="H150" i="5"/>
  <c r="O150" i="5"/>
  <c r="N150" i="5"/>
  <c r="U150" i="5"/>
  <c r="T150" i="5"/>
  <c r="AA150" i="5"/>
  <c r="Z150" i="5"/>
  <c r="I151" i="5"/>
  <c r="H151" i="5"/>
  <c r="O151" i="5"/>
  <c r="N151" i="5"/>
  <c r="U151" i="5"/>
  <c r="T151" i="5"/>
  <c r="AA151" i="5"/>
  <c r="Z151" i="5"/>
  <c r="I152" i="5"/>
  <c r="H152" i="5"/>
  <c r="O152" i="5"/>
  <c r="N152" i="5"/>
  <c r="U152" i="5"/>
  <c r="T152" i="5"/>
  <c r="AA152" i="5"/>
  <c r="Z152" i="5"/>
  <c r="I153" i="5"/>
  <c r="H153" i="5"/>
  <c r="O153" i="5"/>
  <c r="N153" i="5"/>
  <c r="U153" i="5"/>
  <c r="T153" i="5"/>
  <c r="AA153" i="5"/>
  <c r="Z153" i="5"/>
  <c r="I154" i="5"/>
  <c r="H154" i="5"/>
  <c r="O154" i="5"/>
  <c r="N154" i="5"/>
  <c r="U154" i="5"/>
  <c r="T154" i="5"/>
  <c r="AA154" i="5"/>
  <c r="Z154" i="5"/>
  <c r="I155" i="5"/>
  <c r="H155" i="5"/>
  <c r="O155" i="5"/>
  <c r="N155" i="5"/>
  <c r="U155" i="5"/>
  <c r="T155" i="5"/>
  <c r="AA155" i="5"/>
  <c r="Z155" i="5"/>
  <c r="I156" i="5"/>
  <c r="H156" i="5"/>
  <c r="O156" i="5"/>
  <c r="N156" i="5"/>
  <c r="U156" i="5"/>
  <c r="T156" i="5"/>
  <c r="AA156" i="5"/>
  <c r="Z156" i="5"/>
  <c r="I157" i="5"/>
  <c r="H157" i="5"/>
  <c r="O157" i="5"/>
  <c r="N157" i="5"/>
  <c r="U157" i="5"/>
  <c r="T157" i="5"/>
  <c r="AA157" i="5"/>
  <c r="Z157" i="5"/>
  <c r="I158" i="5"/>
  <c r="H158" i="5"/>
  <c r="O158" i="5"/>
  <c r="N158" i="5"/>
  <c r="U158" i="5"/>
  <c r="T158" i="5"/>
  <c r="AA158" i="5"/>
  <c r="Z158" i="5"/>
  <c r="I159" i="5"/>
  <c r="H159" i="5"/>
  <c r="O159" i="5"/>
  <c r="N159" i="5"/>
  <c r="U159" i="5"/>
  <c r="T159" i="5"/>
  <c r="AA159" i="5"/>
  <c r="Z159" i="5"/>
  <c r="I160" i="5"/>
  <c r="H160" i="5"/>
  <c r="O160" i="5"/>
  <c r="N160" i="5"/>
  <c r="U160" i="5"/>
  <c r="T160" i="5"/>
  <c r="AA160" i="5"/>
  <c r="Z160" i="5"/>
  <c r="I161" i="5"/>
  <c r="H161" i="5"/>
  <c r="O161" i="5"/>
  <c r="N161" i="5"/>
  <c r="U161" i="5"/>
  <c r="T161" i="5"/>
  <c r="AA161" i="5"/>
  <c r="Z161" i="5"/>
  <c r="I162" i="5"/>
  <c r="H162" i="5"/>
  <c r="AA162" i="5"/>
  <c r="Z162" i="5"/>
  <c r="I163" i="5"/>
  <c r="H163" i="5"/>
  <c r="AA163" i="5"/>
  <c r="Z163" i="5"/>
  <c r="I164" i="5"/>
  <c r="H164" i="5"/>
  <c r="AA164" i="5"/>
  <c r="Z164" i="5"/>
  <c r="I165" i="5"/>
  <c r="H165" i="5"/>
  <c r="AA165" i="5"/>
  <c r="Z165" i="5"/>
  <c r="I166" i="5"/>
  <c r="H166" i="5"/>
  <c r="AA166" i="5"/>
  <c r="Z166" i="5"/>
  <c r="I167" i="5"/>
  <c r="H167" i="5"/>
  <c r="AA167" i="5"/>
  <c r="Z167" i="5"/>
  <c r="I168" i="5"/>
  <c r="H168" i="5"/>
  <c r="AA168" i="5"/>
  <c r="Z168" i="5"/>
  <c r="I169" i="5"/>
  <c r="H169" i="5"/>
  <c r="AA169" i="5"/>
  <c r="Z169" i="5"/>
  <c r="I170" i="5"/>
  <c r="H170" i="5"/>
  <c r="AA170" i="5"/>
  <c r="Z170" i="5"/>
  <c r="I171" i="5"/>
  <c r="H171" i="5"/>
  <c r="AA171" i="5"/>
  <c r="Z171" i="5"/>
  <c r="I172" i="5"/>
  <c r="H172" i="5"/>
  <c r="AA172" i="5"/>
  <c r="Z172" i="5"/>
  <c r="I173" i="5"/>
  <c r="H173" i="5"/>
  <c r="AA173" i="5"/>
  <c r="Z173" i="5"/>
  <c r="I172" i="4"/>
  <c r="H172" i="4"/>
  <c r="I173" i="4"/>
  <c r="H173" i="4"/>
  <c r="I174" i="4"/>
  <c r="H174" i="4"/>
  <c r="I175" i="4"/>
  <c r="H175" i="4"/>
  <c r="I176" i="4"/>
  <c r="H176" i="4"/>
  <c r="I177" i="4"/>
  <c r="H177" i="4"/>
  <c r="I178" i="4"/>
  <c r="H178" i="4"/>
  <c r="I179" i="4"/>
  <c r="H179" i="4"/>
  <c r="I180" i="4"/>
  <c r="H180" i="4"/>
  <c r="I181" i="4"/>
  <c r="H181" i="4"/>
  <c r="U172" i="4"/>
  <c r="T172" i="4"/>
  <c r="U173" i="4"/>
  <c r="T173" i="4"/>
  <c r="U174" i="4"/>
  <c r="T174" i="4"/>
  <c r="U175" i="4"/>
  <c r="T175" i="4"/>
  <c r="U176" i="4"/>
  <c r="T176" i="4"/>
  <c r="U177" i="4"/>
  <c r="T177" i="4"/>
  <c r="U178" i="4"/>
  <c r="T178" i="4"/>
  <c r="U179" i="4"/>
  <c r="T179" i="4"/>
  <c r="U180" i="4"/>
  <c r="T180" i="4"/>
  <c r="U181" i="4"/>
  <c r="T181" i="4"/>
  <c r="AA172" i="4"/>
  <c r="Z172" i="4"/>
  <c r="AA173" i="4"/>
  <c r="Z173" i="4"/>
  <c r="AA174" i="4"/>
  <c r="Z174" i="4"/>
  <c r="AA175" i="4"/>
  <c r="Z175" i="4"/>
  <c r="AA176" i="4"/>
  <c r="Z176" i="4"/>
  <c r="AA177" i="4"/>
  <c r="Z177" i="4"/>
  <c r="AA178" i="4"/>
  <c r="Z178" i="4"/>
  <c r="AA179" i="4"/>
  <c r="Z179" i="4"/>
  <c r="AA180" i="4"/>
  <c r="Z180" i="4"/>
  <c r="AA181" i="4"/>
  <c r="Z181" i="4"/>
  <c r="I167" i="4"/>
  <c r="H167" i="4"/>
  <c r="I168" i="4"/>
  <c r="H168" i="4"/>
  <c r="I169" i="4"/>
  <c r="H169" i="4"/>
  <c r="I170" i="4"/>
  <c r="H170" i="4"/>
  <c r="I171" i="4"/>
  <c r="H171" i="4"/>
  <c r="U167" i="4"/>
  <c r="T167" i="4"/>
  <c r="U168" i="4"/>
  <c r="T168" i="4"/>
  <c r="U169" i="4"/>
  <c r="T169" i="4"/>
  <c r="U170" i="4"/>
  <c r="T170" i="4"/>
  <c r="U171" i="4"/>
  <c r="T171" i="4"/>
  <c r="AA167" i="4"/>
  <c r="Z167" i="4"/>
  <c r="AA168" i="4"/>
  <c r="Z168" i="4"/>
  <c r="AA169" i="4"/>
  <c r="Z169" i="4"/>
  <c r="AA170" i="4"/>
  <c r="Z170" i="4"/>
  <c r="AA171" i="4"/>
  <c r="Z171" i="4"/>
  <c r="I164" i="4"/>
  <c r="H164" i="4"/>
  <c r="I165" i="4"/>
  <c r="H165" i="4"/>
  <c r="I166" i="4"/>
  <c r="H166" i="4"/>
  <c r="U164" i="4"/>
  <c r="T164" i="4"/>
  <c r="U165" i="4"/>
  <c r="T165" i="4"/>
  <c r="U166" i="4"/>
  <c r="T166" i="4"/>
  <c r="AA164" i="4"/>
  <c r="Z164" i="4"/>
  <c r="AA165" i="4"/>
  <c r="Z165" i="4"/>
  <c r="AA166" i="4"/>
  <c r="Z166" i="4"/>
  <c r="N111" i="4"/>
  <c r="O111" i="4"/>
  <c r="N114" i="4"/>
  <c r="O114" i="4"/>
  <c r="N113" i="4"/>
  <c r="O113" i="4"/>
  <c r="N112" i="4"/>
  <c r="O112" i="4"/>
  <c r="N110" i="4"/>
  <c r="O110" i="4"/>
  <c r="N126" i="4"/>
  <c r="O126" i="4"/>
  <c r="N125" i="4"/>
  <c r="O125" i="4"/>
  <c r="N124" i="4"/>
  <c r="O124" i="4"/>
  <c r="N123" i="4"/>
  <c r="O123" i="4"/>
  <c r="N122" i="4"/>
  <c r="O122" i="4"/>
  <c r="N121" i="4"/>
  <c r="O121" i="4"/>
  <c r="N120" i="4"/>
  <c r="O120" i="4"/>
  <c r="N118" i="4"/>
  <c r="O118" i="4"/>
  <c r="N117" i="4"/>
  <c r="O117" i="4"/>
  <c r="N116" i="4"/>
  <c r="O116" i="4"/>
  <c r="N115" i="4"/>
  <c r="O115" i="4"/>
  <c r="N119" i="4"/>
  <c r="O119" i="4"/>
  <c r="O3" i="4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0" i="5"/>
  <c r="O70" i="5"/>
  <c r="N71" i="5"/>
  <c r="O71" i="5"/>
  <c r="N73" i="5"/>
  <c r="O73" i="5"/>
  <c r="N74" i="5"/>
  <c r="O74" i="5"/>
  <c r="N76" i="5"/>
  <c r="O76" i="5"/>
  <c r="N83" i="5"/>
  <c r="O83" i="5"/>
  <c r="N85" i="5"/>
  <c r="O85" i="5"/>
  <c r="N86" i="5"/>
  <c r="O86" i="5"/>
  <c r="N88" i="5"/>
  <c r="O88" i="5"/>
  <c r="N97" i="5"/>
  <c r="O97" i="5"/>
  <c r="N98" i="5"/>
  <c r="O98" i="5"/>
  <c r="N100" i="5"/>
  <c r="O100" i="5"/>
  <c r="N109" i="5"/>
  <c r="O109" i="5"/>
  <c r="N110" i="5"/>
  <c r="O110" i="5"/>
  <c r="N112" i="5"/>
  <c r="O112" i="5"/>
  <c r="N37" i="5"/>
  <c r="O37" i="5"/>
  <c r="N40" i="5"/>
  <c r="O40" i="5"/>
  <c r="N49" i="5"/>
  <c r="O49" i="5"/>
  <c r="N52" i="5"/>
  <c r="O52" i="5"/>
  <c r="N61" i="5"/>
  <c r="O61" i="5"/>
  <c r="N64" i="5"/>
  <c r="O64" i="5"/>
  <c r="N72" i="5"/>
  <c r="O72" i="5"/>
  <c r="N75" i="5"/>
  <c r="O75" i="5"/>
  <c r="N84" i="5"/>
  <c r="O84" i="5"/>
  <c r="N96" i="5"/>
  <c r="O96" i="5"/>
  <c r="N99" i="5"/>
  <c r="O99" i="5"/>
  <c r="N87" i="5"/>
  <c r="O87" i="5"/>
  <c r="N108" i="5"/>
  <c r="O108" i="5"/>
  <c r="N111" i="5"/>
  <c r="O111" i="5"/>
  <c r="O12" i="4"/>
  <c r="T104" i="4"/>
  <c r="Z150" i="4"/>
  <c r="Z140" i="4"/>
  <c r="Z9" i="4"/>
  <c r="T81" i="4"/>
  <c r="U65" i="4"/>
  <c r="T33" i="4"/>
  <c r="Z45" i="4"/>
  <c r="U138" i="4"/>
  <c r="AA31" i="4"/>
  <c r="O88" i="4"/>
  <c r="AA103" i="4"/>
  <c r="U3" i="4"/>
  <c r="O26" i="4"/>
  <c r="T10" i="4"/>
  <c r="Z80" i="4"/>
  <c r="U59" i="4"/>
  <c r="U43" i="4"/>
  <c r="AA67" i="4"/>
  <c r="O143" i="4"/>
  <c r="Z56" i="4"/>
  <c r="U87" i="5"/>
  <c r="I111" i="5"/>
  <c r="AA111" i="5"/>
  <c r="U96" i="5"/>
  <c r="U84" i="5"/>
  <c r="I108" i="5"/>
  <c r="AA108" i="5"/>
  <c r="U99" i="5"/>
  <c r="I87" i="5"/>
  <c r="AA87" i="5"/>
  <c r="I99" i="5"/>
  <c r="AA99" i="5"/>
  <c r="U75" i="5"/>
  <c r="I96" i="5"/>
  <c r="AA96" i="5"/>
  <c r="U61" i="5"/>
  <c r="I84" i="5"/>
  <c r="AA84" i="5"/>
  <c r="U72" i="5"/>
  <c r="I75" i="5"/>
  <c r="AA75" i="5"/>
  <c r="U64" i="5"/>
  <c r="I72" i="5"/>
  <c r="T52" i="5"/>
  <c r="AA7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102" i="5"/>
  <c r="AA110" i="5"/>
  <c r="I74" i="5"/>
  <c r="T91" i="5"/>
  <c r="Z70" i="5"/>
  <c r="AA73" i="5"/>
  <c r="H60" i="5"/>
  <c r="H78" i="5"/>
  <c r="T73" i="5"/>
  <c r="H82" i="5"/>
  <c r="T69" i="5"/>
  <c r="H76" i="5"/>
  <c r="I44" i="5"/>
  <c r="N27" i="5"/>
  <c r="Z60" i="5"/>
  <c r="O68" i="5"/>
  <c r="H62" i="5"/>
  <c r="Z76" i="5"/>
  <c r="O13" i="5"/>
  <c r="AA36" i="5"/>
  <c r="T39" i="5"/>
  <c r="O43" i="5"/>
  <c r="N9" i="5"/>
  <c r="H12" i="5"/>
  <c r="U19" i="5"/>
  <c r="AA34" i="5"/>
  <c r="H46" i="5"/>
  <c r="Z68" i="5"/>
  <c r="I70" i="5"/>
  <c r="H71" i="5"/>
  <c r="Z79" i="5"/>
  <c r="Z86" i="5"/>
  <c r="H100" i="5"/>
  <c r="T22" i="5"/>
  <c r="O32" i="5"/>
  <c r="AA33" i="5"/>
  <c r="Z47" i="5"/>
  <c r="T53" i="5"/>
  <c r="I69" i="5"/>
  <c r="H21" i="5"/>
  <c r="Z29" i="5"/>
  <c r="I45" i="5"/>
  <c r="T70" i="5"/>
  <c r="H80" i="5"/>
  <c r="AA81" i="5"/>
  <c r="H86" i="5"/>
  <c r="H95" i="5"/>
  <c r="T28" i="5"/>
  <c r="AA32" i="5"/>
  <c r="O34" i="5"/>
  <c r="Z46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48" i="4"/>
  <c r="Z138" i="4"/>
  <c r="AA89" i="4"/>
  <c r="Z78" i="4"/>
  <c r="AA54" i="4"/>
  <c r="Z43" i="4"/>
  <c r="AA18" i="4"/>
  <c r="Z7" i="4"/>
  <c r="N149" i="4"/>
  <c r="N99" i="4"/>
  <c r="O93" i="4"/>
  <c r="O61" i="4"/>
  <c r="O30" i="4"/>
  <c r="U142" i="4"/>
  <c r="U137" i="4"/>
  <c r="U96" i="4"/>
  <c r="T64" i="4"/>
  <c r="U47" i="4"/>
  <c r="U41" i="4"/>
  <c r="U25" i="4"/>
  <c r="AA136" i="4"/>
  <c r="Z100" i="4"/>
  <c r="AA76" i="4"/>
  <c r="Z65" i="4"/>
  <c r="AA40" i="4"/>
  <c r="Z29" i="4"/>
  <c r="N81" i="4"/>
  <c r="O147" i="4"/>
  <c r="N141" i="4"/>
  <c r="N105" i="4"/>
  <c r="O79" i="4"/>
  <c r="N55" i="4"/>
  <c r="O48" i="4"/>
  <c r="O17" i="4"/>
  <c r="N10" i="4"/>
  <c r="U146" i="4"/>
  <c r="T90" i="4"/>
  <c r="U74" i="4"/>
  <c r="U68" i="4"/>
  <c r="U51" i="4"/>
  <c r="T19" i="4"/>
  <c r="Z146" i="4"/>
  <c r="AA98" i="4"/>
  <c r="Z87" i="4"/>
  <c r="AA63" i="4"/>
  <c r="Z51" i="4"/>
  <c r="AA27" i="4"/>
  <c r="Z16" i="4"/>
  <c r="N19" i="4"/>
  <c r="Z91" i="4"/>
  <c r="I31" i="4"/>
  <c r="N73" i="4"/>
  <c r="O66" i="4"/>
  <c r="O35" i="4"/>
  <c r="T141" i="4"/>
  <c r="U100" i="4"/>
  <c r="U95" i="4"/>
  <c r="U78" i="4"/>
  <c r="T46" i="4"/>
  <c r="U29" i="4"/>
  <c r="U24" i="4"/>
  <c r="U7" i="4"/>
  <c r="AA144" i="4"/>
  <c r="Z109" i="4"/>
  <c r="AA85" i="4"/>
  <c r="Z74" i="4"/>
  <c r="AA49" i="4"/>
  <c r="Z38" i="4"/>
  <c r="AA14" i="4"/>
  <c r="O97" i="4"/>
  <c r="N90" i="4"/>
  <c r="O84" i="4"/>
  <c r="N78" i="4"/>
  <c r="N28" i="4"/>
  <c r="O21" i="4"/>
  <c r="U150" i="4"/>
  <c r="U145" i="4"/>
  <c r="U105" i="4"/>
  <c r="T73" i="4"/>
  <c r="U56" i="4"/>
  <c r="U50" i="4"/>
  <c r="U34" i="4"/>
  <c r="AA107" i="4"/>
  <c r="Z96" i="4"/>
  <c r="AA71" i="4"/>
  <c r="Z60" i="4"/>
  <c r="AA36" i="4"/>
  <c r="Z25" i="4"/>
  <c r="I3" i="4"/>
  <c r="N150" i="4"/>
  <c r="O139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42" i="4"/>
  <c r="AA94" i="4"/>
  <c r="Z83" i="4"/>
  <c r="AA58" i="4"/>
  <c r="Z47" i="4"/>
  <c r="AA23" i="4"/>
  <c r="Z11" i="4"/>
  <c r="AA3" i="4"/>
  <c r="O101" i="4"/>
  <c r="O70" i="4"/>
  <c r="N64" i="4"/>
  <c r="O57" i="4"/>
  <c r="T149" i="4"/>
  <c r="U109" i="4"/>
  <c r="U87" i="4"/>
  <c r="T55" i="4"/>
  <c r="U38" i="4"/>
  <c r="U16" i="4"/>
  <c r="Z105" i="4"/>
  <c r="Z69" i="4"/>
  <c r="Z34" i="4"/>
  <c r="T71" i="4"/>
  <c r="U71" i="4"/>
  <c r="T136" i="4"/>
  <c r="U136" i="4"/>
  <c r="N96" i="4"/>
  <c r="N74" i="4"/>
  <c r="T63" i="4"/>
  <c r="U63" i="4"/>
  <c r="T40" i="4"/>
  <c r="U40" i="4"/>
  <c r="N25" i="4"/>
  <c r="Z163" i="4"/>
  <c r="AA163" i="4"/>
  <c r="N146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40" i="4"/>
  <c r="U140" i="4"/>
  <c r="T94" i="4"/>
  <c r="U94" i="4"/>
  <c r="T23" i="4"/>
  <c r="U23" i="4"/>
  <c r="T144" i="4"/>
  <c r="U144" i="4"/>
  <c r="T49" i="4"/>
  <c r="U49" i="4"/>
  <c r="N11" i="4"/>
  <c r="T148" i="4"/>
  <c r="U148" i="4"/>
  <c r="T103" i="4"/>
  <c r="U103" i="4"/>
  <c r="N87" i="4"/>
  <c r="N65" i="4"/>
  <c r="T54" i="4"/>
  <c r="U54" i="4"/>
  <c r="T31" i="4"/>
  <c r="U31" i="4"/>
  <c r="N16" i="4"/>
  <c r="Z143" i="4"/>
  <c r="AA143" i="4"/>
  <c r="N138" i="4"/>
  <c r="N91" i="4"/>
  <c r="T80" i="4"/>
  <c r="U80" i="4"/>
  <c r="T58" i="4"/>
  <c r="U58" i="4"/>
  <c r="N43" i="4"/>
  <c r="N20" i="4"/>
  <c r="T45" i="4"/>
  <c r="U45" i="4"/>
  <c r="O7" i="4"/>
  <c r="N7" i="4"/>
  <c r="N142" i="4"/>
  <c r="T107" i="4"/>
  <c r="U107" i="4"/>
  <c r="T85" i="4"/>
  <c r="U85" i="4"/>
  <c r="N69" i="4"/>
  <c r="N47" i="4"/>
  <c r="T36" i="4"/>
  <c r="U36" i="4"/>
  <c r="T14" i="4"/>
  <c r="U14" i="4"/>
  <c r="Z111" i="4"/>
  <c r="AA111" i="4"/>
  <c r="O148" i="4"/>
  <c r="O140" i="4"/>
  <c r="O107" i="4"/>
  <c r="O98" i="4"/>
  <c r="O89" i="4"/>
  <c r="O80" i="4"/>
  <c r="O71" i="4"/>
  <c r="O63" i="4"/>
  <c r="O54" i="4"/>
  <c r="O45" i="4"/>
  <c r="O36" i="4"/>
  <c r="O27" i="4"/>
  <c r="O18" i="4"/>
  <c r="O9" i="4"/>
  <c r="U147" i="4"/>
  <c r="U139" i="4"/>
  <c r="U106" i="4"/>
  <c r="U97" i="4"/>
  <c r="U88" i="4"/>
  <c r="U79" i="4"/>
  <c r="U70" i="4"/>
  <c r="U61" i="4"/>
  <c r="U53" i="4"/>
  <c r="U44" i="4"/>
  <c r="U35" i="4"/>
  <c r="U26" i="4"/>
  <c r="U17" i="4"/>
  <c r="U8" i="4"/>
  <c r="AA147" i="4"/>
  <c r="AA139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45" i="4"/>
  <c r="O137" i="4"/>
  <c r="O104" i="4"/>
  <c r="O95" i="4"/>
  <c r="O86" i="4"/>
  <c r="O77" i="4"/>
  <c r="O68" i="4"/>
  <c r="O59" i="4"/>
  <c r="O50" i="4"/>
  <c r="O41" i="4"/>
  <c r="O33" i="4"/>
  <c r="O24" i="4"/>
  <c r="O15" i="4"/>
  <c r="O6" i="4"/>
  <c r="O144" i="4"/>
  <c r="O136" i="4"/>
  <c r="O103" i="4"/>
  <c r="O94" i="4"/>
  <c r="O85" i="4"/>
  <c r="O76" i="4"/>
  <c r="O67" i="4"/>
  <c r="O58" i="4"/>
  <c r="O49" i="4"/>
  <c r="O40" i="4"/>
  <c r="O31" i="4"/>
  <c r="O23" i="4"/>
  <c r="O14" i="4"/>
  <c r="U143" i="4"/>
  <c r="U111" i="4"/>
  <c r="U101" i="4"/>
  <c r="U93" i="4"/>
  <c r="U84" i="4"/>
  <c r="U75" i="4"/>
  <c r="U66" i="4"/>
  <c r="U57" i="4"/>
  <c r="U48" i="4"/>
  <c r="U39" i="4"/>
  <c r="U30" i="4"/>
  <c r="U21" i="4"/>
  <c r="U12" i="4"/>
  <c r="AA149" i="4"/>
  <c r="AA145" i="4"/>
  <c r="AA141" i="4"/>
  <c r="AA137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6" i="5"/>
  <c r="AA71" i="5"/>
  <c r="H90" i="5"/>
  <c r="I93" i="5"/>
  <c r="O94" i="5"/>
  <c r="O103" i="5"/>
  <c r="T106" i="5"/>
  <c r="AA107" i="5"/>
  <c r="H3" i="5"/>
  <c r="T4" i="5"/>
  <c r="T10" i="5"/>
  <c r="N12" i="5"/>
  <c r="O22" i="5"/>
  <c r="AA27" i="5"/>
  <c r="N29" i="5"/>
  <c r="H31" i="5"/>
  <c r="H48" i="5"/>
  <c r="I57" i="5"/>
  <c r="H67" i="5"/>
  <c r="T76" i="5"/>
  <c r="Z85" i="5"/>
  <c r="O90" i="5"/>
  <c r="T102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1" i="5"/>
  <c r="Z83" i="5"/>
  <c r="T93" i="5"/>
  <c r="Z94" i="5"/>
  <c r="H97" i="5"/>
  <c r="T98" i="5"/>
  <c r="Z103" i="5"/>
  <c r="H5" i="5"/>
  <c r="O6" i="5"/>
  <c r="Z10" i="5"/>
  <c r="H16" i="5"/>
  <c r="T17" i="5"/>
  <c r="T29" i="5"/>
  <c r="Z35" i="5"/>
  <c r="T46" i="5"/>
  <c r="T47" i="5"/>
  <c r="T50" i="5"/>
  <c r="O66" i="5"/>
  <c r="T67" i="5"/>
  <c r="T88" i="5"/>
  <c r="Z90" i="5"/>
  <c r="Z98" i="5"/>
  <c r="Z100" i="5"/>
  <c r="Z102" i="5"/>
  <c r="O107" i="5"/>
  <c r="T112" i="5"/>
  <c r="O79" i="5"/>
  <c r="H85" i="5"/>
  <c r="I94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8" i="5"/>
  <c r="Z69" i="5"/>
  <c r="T71" i="5"/>
  <c r="H79" i="5"/>
  <c r="H81" i="5"/>
  <c r="H83" i="5"/>
  <c r="Z91" i="5"/>
  <c r="Z92" i="5"/>
  <c r="T95" i="5"/>
  <c r="H103" i="5"/>
  <c r="Z104" i="5"/>
  <c r="AA105" i="5"/>
  <c r="Z109" i="5"/>
  <c r="H112" i="5"/>
  <c r="H104" i="5"/>
  <c r="Z106" i="5"/>
  <c r="H109" i="5"/>
  <c r="N3" i="5"/>
  <c r="Z8" i="5"/>
  <c r="O15" i="5"/>
  <c r="N21" i="5"/>
  <c r="Z26" i="5"/>
  <c r="Z28" i="5"/>
  <c r="I43" i="5"/>
  <c r="T48" i="5"/>
  <c r="T62" i="5"/>
  <c r="T65" i="5"/>
  <c r="T74" i="5"/>
  <c r="H88" i="5"/>
  <c r="H91" i="5"/>
  <c r="H92" i="5"/>
  <c r="Z97" i="5"/>
  <c r="H105" i="5"/>
  <c r="H106" i="5"/>
  <c r="Z4" i="5"/>
  <c r="H9" i="5"/>
  <c r="O10" i="5"/>
  <c r="T15" i="5"/>
  <c r="N16" i="5"/>
  <c r="Z22" i="5"/>
  <c r="H27" i="5"/>
  <c r="I29" i="5"/>
  <c r="I32" i="5"/>
  <c r="H47" i="5"/>
  <c r="Z48" i="5"/>
  <c r="Z74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7" i="5"/>
  <c r="T68" i="5"/>
  <c r="H73" i="5"/>
  <c r="T78" i="5"/>
  <c r="T80" i="5"/>
  <c r="T82" i="5"/>
  <c r="T85" i="5"/>
  <c r="O92" i="5"/>
  <c r="H98" i="5"/>
  <c r="T104" i="5"/>
  <c r="O105" i="5"/>
  <c r="T109" i="5"/>
  <c r="U92" i="5"/>
  <c r="T92" i="5"/>
  <c r="U103" i="5"/>
  <c r="T103" i="5"/>
  <c r="U110" i="5"/>
  <c r="T110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8" i="5"/>
  <c r="U107" i="5"/>
  <c r="T107" i="5"/>
  <c r="U105" i="5"/>
  <c r="T105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7" i="5"/>
  <c r="N67" i="5"/>
  <c r="Z78" i="5"/>
  <c r="T79" i="5"/>
  <c r="Z112" i="5"/>
  <c r="O59" i="5"/>
  <c r="N59" i="5"/>
  <c r="U94" i="5"/>
  <c r="T94" i="5"/>
  <c r="T34" i="5"/>
  <c r="T45" i="5"/>
  <c r="O55" i="5"/>
  <c r="N55" i="5"/>
  <c r="T59" i="5"/>
  <c r="O60" i="5"/>
  <c r="T66" i="5"/>
  <c r="U81" i="5"/>
  <c r="T81" i="5"/>
  <c r="Z93" i="5"/>
  <c r="U97" i="5"/>
  <c r="T97" i="5"/>
  <c r="U83" i="5"/>
  <c r="T83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69" i="5"/>
  <c r="N69" i="5"/>
  <c r="Z80" i="5"/>
  <c r="U86" i="5"/>
  <c r="T86" i="5"/>
  <c r="Z95" i="5"/>
  <c r="U100" i="5"/>
  <c r="T100" i="5"/>
  <c r="O31" i="5"/>
  <c r="N31" i="5"/>
  <c r="O57" i="5"/>
  <c r="N57" i="5"/>
  <c r="O78" i="5"/>
  <c r="N78" i="5"/>
  <c r="Z82" i="5"/>
  <c r="U90" i="5"/>
  <c r="T90" i="5"/>
  <c r="N80" i="5"/>
  <c r="N82" i="5"/>
  <c r="N91" i="5"/>
  <c r="N93" i="5"/>
  <c r="N95" i="5"/>
  <c r="N102" i="5"/>
  <c r="N104" i="5"/>
  <c r="N106" i="5"/>
  <c r="H107" i="5"/>
  <c r="H110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63" i="4"/>
  <c r="N163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1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<sst xmlns="http://schemas.openxmlformats.org/spreadsheetml/2006/main" count="531" uniqueCount="140">
  <si>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</si>
  <si>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</si>
  <si>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</si>
  <si>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</si>
  <si>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</si>
  <si>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</si>
  <si>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</si>
  <si>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</si>
  <si>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</si>
  <si>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</si>
  <si>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</si>
  <si>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</si>
  <si>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</si>
  <si>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</si>
  <si>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</si>
  <si>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</si>
  <si>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</si>
  <si>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</si>
  <si>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</si>
  <si>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</si>
  <si>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</si>
  <si>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</si>
  <si>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</si>
  <si>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</si>
  <si>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Komunikasyon at Pananaliksik sa Wika at Kulturang Pilipino</t>
  </si>
  <si>
    <t>Reading and Writing</t>
  </si>
  <si>
    <t>Understanding Culture, Society and Politics</t>
  </si>
  <si>
    <t>Statistics and Probability</t>
  </si>
  <si>
    <t>Earth Science</t>
  </si>
  <si>
    <t>Health Optimizing Physical Education 1</t>
  </si>
  <si>
    <t>Practical Research 1 (Qualitative Research)</t>
  </si>
  <si>
    <t>Pre-Calculus</t>
  </si>
  <si>
    <t>General Chemistry 1</t>
  </si>
  <si>
    <t>Organization and Management</t>
  </si>
  <si>
    <t>Business Math</t>
  </si>
  <si>
    <t>Into to World Religion and Belief Systems</t>
  </si>
  <si>
    <t>DISS</t>
  </si>
  <si>
    <t>CSS 1</t>
  </si>
  <si>
    <t>ILLUSTRATION</t>
  </si>
  <si>
    <t>Earth and Life Science</t>
  </si>
  <si>
    <t>PPG</t>
  </si>
  <si>
    <t>DIASS</t>
  </si>
  <si>
    <t>Introduction to Philosophy of the Human Person</t>
  </si>
  <si>
    <t>Physical Science</t>
  </si>
  <si>
    <t>General Chemistry 2</t>
  </si>
  <si>
    <t>DRRR</t>
  </si>
  <si>
    <t>Practical Research 2</t>
  </si>
  <si>
    <t>General Mathematics</t>
  </si>
  <si>
    <t>Basic Calculus</t>
  </si>
  <si>
    <t>Illustration</t>
  </si>
  <si>
    <t>CSS 11</t>
  </si>
  <si>
    <t>HOPE 2</t>
  </si>
  <si>
    <t>Pagbasa at Pagsusuri ng Iba't-ibang Uri ng Teksto</t>
  </si>
  <si>
    <t>21st Century Literature from the Philippines and the World</t>
  </si>
  <si>
    <t>Applied Economics</t>
  </si>
  <si>
    <t>FABM1</t>
  </si>
  <si>
    <t>Health Optimizing Physical Education 3</t>
  </si>
  <si>
    <t>Oral Communication</t>
  </si>
  <si>
    <t>Media and Information Literacy</t>
  </si>
  <si>
    <t>Filipino sa Piling Larang</t>
  </si>
  <si>
    <t>General Biology 1</t>
  </si>
  <si>
    <t>General Physics 1</t>
  </si>
  <si>
    <t>Fundamentals of ABM 2</t>
  </si>
  <si>
    <t>Principles of Marketing</t>
  </si>
  <si>
    <t>Creative Writing (Fiction)</t>
  </si>
  <si>
    <t>Community Engagement, Solidarity and Citizenship</t>
  </si>
  <si>
    <t>Entrepreneurship</t>
  </si>
  <si>
    <t>CSS3</t>
  </si>
  <si>
    <t>ANIMATION1</t>
  </si>
  <si>
    <t>Personal Development</t>
  </si>
  <si>
    <t>TRENDS</t>
  </si>
  <si>
    <t>GENERAL PHYSICS 2</t>
  </si>
  <si>
    <t>GENERAL BIOLOGY 2</t>
  </si>
  <si>
    <t>EMPOWERMENT TECHNOLOGY</t>
  </si>
  <si>
    <t>HOPE 4</t>
  </si>
  <si>
    <t>CPAR</t>
  </si>
  <si>
    <t>FILIPINO SA PILING LARANG</t>
  </si>
  <si>
    <t>EAPP</t>
  </si>
  <si>
    <t>CREATIVE NON-FICTION</t>
  </si>
  <si>
    <t>PRINCIPLES OF MARKETING</t>
  </si>
  <si>
    <t xml:space="preserve">ENTREPRENEURSHIP </t>
  </si>
  <si>
    <t>BESR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</si>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</sst>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6"/>
      <color theme="1"/>
      <name val="Bookman Old Style"/>
      <charset val="134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2" fillId="7" borderId="7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50" totalsRowShown="0" headerRowDxfId="62" headerRowBorderDxfId="60" tableBorderDxfId="61">
  <autoFilter ref="A1:H150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81" totalsRowShown="0" dataDxfId="59" headerRowBorderDxfId="57" tableBorderDxfId="58">
  <autoFilter ref="A2:AA18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73" totalsRowShown="0" dataDxfId="29" headerRowBorderDxfId="27" tableBorderDxfId="28">
  <autoFilter ref="A2:AA173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50"/>
  <sheetViews>
    <sheetView zoomScale="85" zoomScaleNormal="85" workbookViewId="0">
      <pane xSplit="2" topLeftCell="C39" activePane="topRight" state="frozen"/>
      <selection pane="topRight" activeCell="E2" activeCellId="6" sqref="L56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  <col min="10" max="10" width="11.7109375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5" customHeight="1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 ht="19.5" customHeight="1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 customHeight="1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 ht="19.5" customHeight="1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 customHeight="1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 ht="19.5" customHeight="1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38.25" customHeight="1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1912</v>
      </c>
      <c r="D51" s="10">
        <v>2252</v>
      </c>
      <c r="E51" s="10">
        <v>2024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340</v>
      </c>
    </row>
    <row r="52" spans="1:8" ht="27.75" customHeight="1">
      <c r="A52" s="10">
        <v>7</v>
      </c>
      <c r="B52" s="11" t="s">
        <v>15</v>
      </c>
      <c r="C52" s="10">
        <v>1912</v>
      </c>
      <c r="D52" s="10"/>
      <c r="E52" s="10"/>
      <c r="F52" s="12"/>
      <c r="G52" s="3">
        <f t="shared" si="10"/>
        <v>1912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1912</v>
      </c>
      <c r="D53" s="10">
        <v>2252</v>
      </c>
      <c r="E53" s="10">
        <v>2024</v>
      </c>
      <c r="F53" s="12" t="s">
        <v>20</v>
      </c>
      <c r="G53" s="3">
        <f t="shared" si="10"/>
        <v>0</v>
      </c>
      <c r="H53" s="4">
        <f t="shared" si="11"/>
        <v>340</v>
      </c>
    </row>
    <row r="54" spans="1:8" ht="27.75" customHeight="1">
      <c r="A54" s="10">
        <v>7</v>
      </c>
      <c r="B54" s="11" t="s">
        <v>21</v>
      </c>
      <c r="C54" s="10">
        <v>1912</v>
      </c>
      <c r="D54" s="10"/>
      <c r="E54" s="10"/>
      <c r="F54" s="12"/>
      <c r="G54" s="3">
        <f t="shared" si="10"/>
        <v>1912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1912</v>
      </c>
      <c r="D55" s="10">
        <v>2252</v>
      </c>
      <c r="E55" s="10">
        <v>2024</v>
      </c>
      <c r="F55" s="12" t="s">
        <v>20</v>
      </c>
      <c r="G55" s="3">
        <f t="shared" si="10"/>
        <v>0</v>
      </c>
      <c r="H55" s="4">
        <f t="shared" si="11"/>
        <v>340</v>
      </c>
    </row>
    <row r="56" spans="1:8" ht="27.75" customHeight="1">
      <c r="A56" s="10">
        <v>7</v>
      </c>
      <c r="B56" s="11" t="s">
        <v>13</v>
      </c>
      <c r="C56" s="10">
        <v>1912</v>
      </c>
      <c r="D56" s="10">
        <v>2252</v>
      </c>
      <c r="E56" s="10">
        <v>2024</v>
      </c>
      <c r="F56" s="12" t="s">
        <v>20</v>
      </c>
      <c r="G56" s="3">
        <f t="shared" si="10"/>
        <v>0</v>
      </c>
      <c r="H56" s="4">
        <f t="shared" si="11"/>
        <v>340</v>
      </c>
    </row>
    <row r="57" spans="1:8" ht="27.75" customHeight="1">
      <c r="A57" s="10">
        <v>7</v>
      </c>
      <c r="B57" s="11" t="s">
        <v>17</v>
      </c>
      <c r="C57" s="10">
        <v>1912</v>
      </c>
      <c r="D57" s="10">
        <v>2252</v>
      </c>
      <c r="E57" s="10">
        <v>2024</v>
      </c>
      <c r="F57" s="12" t="s">
        <v>20</v>
      </c>
      <c r="G57" s="3">
        <f t="shared" si="10"/>
        <v>0</v>
      </c>
      <c r="H57" s="4">
        <f t="shared" si="11"/>
        <v>340</v>
      </c>
    </row>
    <row r="58" spans="1:8" ht="27.75" customHeight="1">
      <c r="A58" s="10">
        <v>7</v>
      </c>
      <c r="B58" s="11" t="s">
        <v>22</v>
      </c>
      <c r="C58" s="10">
        <v>1912</v>
      </c>
      <c r="D58" s="10"/>
      <c r="E58" s="10"/>
      <c r="F58" s="12"/>
      <c r="G58" s="3">
        <f t="shared" si="10"/>
        <v>1912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>
        <v>1912</v>
      </c>
      <c r="D59" s="10">
        <v>2252</v>
      </c>
      <c r="E59" s="10">
        <v>2024</v>
      </c>
      <c r="F59" s="12" t="s">
        <v>20</v>
      </c>
      <c r="G59" s="3">
        <f t="shared" si="10"/>
        <v>0</v>
      </c>
      <c r="H59" s="4">
        <f t="shared" si="11"/>
        <v>340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1970</v>
      </c>
      <c r="D61" s="10"/>
      <c r="E61" s="10"/>
      <c r="F61" s="12"/>
      <c r="G61" s="3">
        <f t="shared" ref="G61:G69" si="12">IF((C61-D61)&lt;0,0,C61-D61)</f>
        <v>1970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1970</v>
      </c>
      <c r="D62" s="10"/>
      <c r="E62" s="10"/>
      <c r="F62" s="12"/>
      <c r="G62" s="3">
        <f t="shared" si="12"/>
        <v>1970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1970</v>
      </c>
      <c r="D63" s="10">
        <v>1926</v>
      </c>
      <c r="E63" s="10">
        <v>2025</v>
      </c>
      <c r="F63" s="12" t="s">
        <v>20</v>
      </c>
      <c r="G63" s="3">
        <f t="shared" si="12"/>
        <v>44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>
        <v>1970</v>
      </c>
      <c r="D64" s="10">
        <v>1926</v>
      </c>
      <c r="E64" s="10">
        <v>2025</v>
      </c>
      <c r="F64" s="12" t="s">
        <v>20</v>
      </c>
      <c r="G64" s="3">
        <f t="shared" si="12"/>
        <v>44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>
        <v>1970</v>
      </c>
      <c r="D65" s="10"/>
      <c r="E65" s="10"/>
      <c r="F65" s="12"/>
      <c r="G65" s="3">
        <f t="shared" si="12"/>
        <v>1970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1970</v>
      </c>
      <c r="D66" s="10"/>
      <c r="E66" s="10"/>
      <c r="F66" s="12"/>
      <c r="G66" s="3">
        <f t="shared" si="12"/>
        <v>1970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1970</v>
      </c>
      <c r="D67" s="10"/>
      <c r="E67" s="10"/>
      <c r="F67" s="12"/>
      <c r="G67" s="3">
        <f t="shared" si="12"/>
        <v>1970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1970</v>
      </c>
      <c r="D68" s="10"/>
      <c r="E68" s="10"/>
      <c r="F68" s="12"/>
      <c r="G68" s="3">
        <f t="shared" si="12"/>
        <v>1970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1970</v>
      </c>
      <c r="D69" s="10"/>
      <c r="E69" s="10"/>
      <c r="F69" s="12"/>
      <c r="G69" s="3">
        <f t="shared" si="12"/>
        <v>1970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1599</v>
      </c>
      <c r="D71" s="10"/>
      <c r="E71" s="10"/>
      <c r="F71" s="12"/>
      <c r="G71" s="3">
        <f t="shared" ref="G71:G79" si="14">IF((C71-D71)&lt;0,0,C71-D71)</f>
        <v>1599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1599</v>
      </c>
      <c r="D72" s="10"/>
      <c r="E72" s="10"/>
      <c r="F72" s="12"/>
      <c r="G72" s="3">
        <f t="shared" si="14"/>
        <v>1599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1599</v>
      </c>
      <c r="D73" s="10"/>
      <c r="E73" s="10"/>
      <c r="F73" s="12"/>
      <c r="G73" s="3">
        <f t="shared" si="14"/>
        <v>1599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v>1599</v>
      </c>
      <c r="D74" s="10"/>
      <c r="E74" s="10"/>
      <c r="F74" s="12"/>
      <c r="G74" s="3">
        <f t="shared" si="14"/>
        <v>1599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>
        <v>1599</v>
      </c>
      <c r="D75" s="10"/>
      <c r="E75" s="10"/>
      <c r="F75" s="12"/>
      <c r="G75" s="3">
        <f t="shared" si="14"/>
        <v>1599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1599</v>
      </c>
      <c r="D76" s="10"/>
      <c r="E76" s="10"/>
      <c r="F76" s="12"/>
      <c r="G76" s="3">
        <f t="shared" si="14"/>
        <v>1599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1599</v>
      </c>
      <c r="D77" s="10"/>
      <c r="E77" s="10"/>
      <c r="F77" s="12"/>
      <c r="G77" s="3">
        <f t="shared" si="14"/>
        <v>1599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1599</v>
      </c>
      <c r="D78" s="10"/>
      <c r="E78" s="10"/>
      <c r="F78" s="12"/>
      <c r="G78" s="3">
        <f t="shared" si="14"/>
        <v>1599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1599</v>
      </c>
      <c r="D79" s="10"/>
      <c r="E79" s="10"/>
      <c r="F79" s="12"/>
      <c r="G79" s="3">
        <f t="shared" si="14"/>
        <v>1599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27" ht="27.75" customHeight="1">
      <c r="A81" s="10">
        <v>10</v>
      </c>
      <c r="B81" s="11" t="s">
        <v>14</v>
      </c>
      <c r="C81" s="10">
        <v>1633</v>
      </c>
      <c r="D81" s="10"/>
      <c r="E81" s="10"/>
      <c r="F81" s="12"/>
      <c r="G81" s="3">
        <f t="shared" ref="G81:G89" si="16">IF((C81-D81)&lt;0,0,C81-D81)</f>
        <v>1633</v>
      </c>
      <c r="H81" s="4">
        <f t="shared" ref="H81:H89" si="17">IF((D81-C81)&lt;0,0,D81-C81)</f>
        <v>0</v>
      </c>
    </row>
    <row r="82" spans="1:27" ht="27.75" customHeight="1">
      <c r="A82" s="10">
        <v>10</v>
      </c>
      <c r="B82" s="11" t="s">
        <v>15</v>
      </c>
      <c r="C82" s="10">
        <v>1633</v>
      </c>
      <c r="D82" s="10"/>
      <c r="E82" s="10"/>
      <c r="F82" s="12"/>
      <c r="G82" s="3">
        <f t="shared" si="16"/>
        <v>1633</v>
      </c>
      <c r="H82" s="4">
        <f t="shared" si="17"/>
        <v>0</v>
      </c>
    </row>
    <row r="83" spans="1:27" ht="27.75" customHeight="1">
      <c r="A83" s="10">
        <v>10</v>
      </c>
      <c r="B83" s="11" t="s">
        <v>12</v>
      </c>
      <c r="C83" s="10">
        <v>1633</v>
      </c>
      <c r="D83" s="10"/>
      <c r="E83" s="10"/>
      <c r="F83" s="12"/>
      <c r="G83" s="3">
        <f t="shared" si="16"/>
        <v>1633</v>
      </c>
      <c r="H83" s="4">
        <f t="shared" si="17"/>
        <v>0</v>
      </c>
    </row>
    <row r="84" spans="1:27" ht="27.75" customHeight="1">
      <c r="A84" s="10">
        <v>10</v>
      </c>
      <c r="B84" s="11" t="s">
        <v>21</v>
      </c>
      <c r="C84" s="10">
        <v>1633</v>
      </c>
      <c r="D84" s="10"/>
      <c r="E84" s="10"/>
      <c r="F84" s="12"/>
      <c r="G84" s="3">
        <f t="shared" si="16"/>
        <v>1633</v>
      </c>
      <c r="H84" s="4">
        <f t="shared" si="17"/>
        <v>0</v>
      </c>
    </row>
    <row r="85" spans="1:27" ht="27.75" customHeight="1">
      <c r="A85" s="10">
        <v>10</v>
      </c>
      <c r="B85" s="11" t="s">
        <v>23</v>
      </c>
      <c r="C85" s="10">
        <v>1633</v>
      </c>
      <c r="D85" s="10"/>
      <c r="E85" s="10"/>
      <c r="F85" s="12"/>
      <c r="G85" s="3">
        <f t="shared" si="16"/>
        <v>1633</v>
      </c>
      <c r="H85" s="4">
        <f t="shared" si="17"/>
        <v>0</v>
      </c>
    </row>
    <row r="86" spans="1:27" ht="27.75" customHeight="1">
      <c r="A86" s="10">
        <v>10</v>
      </c>
      <c r="B86" s="11" t="s">
        <v>13</v>
      </c>
      <c r="C86" s="10">
        <v>1633</v>
      </c>
      <c r="D86" s="10"/>
      <c r="E86" s="10"/>
      <c r="F86" s="12"/>
      <c r="G86" s="3">
        <f t="shared" si="16"/>
        <v>1633</v>
      </c>
      <c r="H86" s="4">
        <f t="shared" si="17"/>
        <v>0</v>
      </c>
    </row>
    <row r="87" spans="1:27" ht="27.75" customHeight="1">
      <c r="A87" s="10">
        <v>10</v>
      </c>
      <c r="B87" s="11" t="s">
        <v>17</v>
      </c>
      <c r="C87" s="10">
        <v>1633</v>
      </c>
      <c r="D87" s="10"/>
      <c r="E87" s="10"/>
      <c r="F87" s="12"/>
      <c r="G87" s="3">
        <f t="shared" si="16"/>
        <v>1633</v>
      </c>
      <c r="H87" s="4">
        <f t="shared" si="17"/>
        <v>0</v>
      </c>
    </row>
    <row r="88" spans="1:27" ht="27.75" customHeight="1">
      <c r="A88" s="10">
        <v>10</v>
      </c>
      <c r="B88" s="11" t="s">
        <v>22</v>
      </c>
      <c r="C88" s="10">
        <v>1633</v>
      </c>
      <c r="D88" s="10"/>
      <c r="E88" s="10"/>
      <c r="F88" s="12"/>
      <c r="G88" s="3">
        <f t="shared" si="16"/>
        <v>1633</v>
      </c>
      <c r="H88" s="4">
        <f t="shared" si="17"/>
        <v>0</v>
      </c>
    </row>
    <row r="89" spans="1:27" ht="27.75" customHeight="1">
      <c r="A89" s="10">
        <v>10</v>
      </c>
      <c r="B89" s="11" t="s">
        <v>19</v>
      </c>
      <c r="C89" s="10">
        <v>1633</v>
      </c>
      <c r="D89" s="10"/>
      <c r="E89" s="10"/>
      <c r="F89" s="12"/>
      <c r="G89" s="3">
        <f t="shared" si="16"/>
        <v>1633</v>
      </c>
      <c r="H89" s="4">
        <f t="shared" si="17"/>
        <v>0</v>
      </c>
    </row>
    <row r="90" spans="1:27" ht="27.75" customHeight="1">
      <c r="A90" s="7"/>
      <c r="B90" s="7"/>
      <c r="C90" s="8"/>
      <c r="D90" s="8"/>
      <c r="E90" s="8"/>
      <c r="F90" s="7"/>
      <c r="G90" s="7"/>
      <c r="H90" s="7"/>
    </row>
    <row r="91" spans="1:27" ht="39.75" customHeight="1">
      <c r="A91" s="1">
        <v>11</v>
      </c>
      <c r="B91" s="9" t="s">
        <v>24</v>
      </c>
      <c r="C91" s="1">
        <v>1102</v>
      </c>
      <c r="D91" s="5">
        <f>Table1[[#This Row],[Enrolment S.Y. 2025-2026 ]]*8</f>
        <v>12792</v>
      </c>
      <c r="E91" s="5"/>
      <c r="F91" s="1"/>
      <c r="G91" s="5"/>
      <c r="H91" s="5">
        <f t="shared" ref="H91:H150" si="18">IF((D91-E91)&lt;0,0,(D91-E91))</f>
        <v>12792</v>
      </c>
      <c r="I91" s="5">
        <f t="shared" ref="I91:I150" si="19">IF((E91-D91)&lt;0,0,(E91-D91))</f>
        <v>0</v>
      </c>
      <c r="J91" s="5">
        <f>Table1[[#This Row],[Enrolment S.Y. 2025-2026 ]]*8</f>
        <v>12792</v>
      </c>
      <c r="K91" s="5"/>
      <c r="L91" s="1"/>
      <c r="M91" s="5"/>
      <c r="N91" s="5">
        <f t="shared" ref="N91:N138" si="20">IF((J91-K91)&lt;0,0,(J91-K91))</f>
        <v>12792</v>
      </c>
      <c r="O91" s="5">
        <f t="shared" ref="O91:O138" si="21">IF((K91-J91)&lt;0,0,(K91-J91))</f>
        <v>0</v>
      </c>
      <c r="P91" s="5">
        <f>Table1[[#This Row],[Enrolment S.Y. 2025-2026 ]]*8</f>
        <v>12792</v>
      </c>
      <c r="Q91" s="5"/>
      <c r="R91" s="1"/>
      <c r="S91" s="5"/>
      <c r="T91" s="5">
        <f t="shared" ref="T91:T150" si="22">IF((P91-Q91)&lt;0,0,(P91-Q91))</f>
        <v>12792</v>
      </c>
      <c r="U91" s="5">
        <f t="shared" ref="U91:U150" si="23">IF((Q91-P91)&lt;0,0,(Q91-P91))</f>
        <v>0</v>
      </c>
      <c r="V91" s="5">
        <f>Table1[[#This Row],[Enrolment S.Y. 2025-2026 ]]*8</f>
        <v>12792</v>
      </c>
      <c r="W91" s="5"/>
      <c r="X91" s="1"/>
      <c r="Y91" s="5"/>
      <c r="Z91" s="5">
        <f t="shared" ref="Z91:Z150" si="24">IF((V91-W91)&lt;0,0,(V91-W91))</f>
        <v>12792</v>
      </c>
      <c r="AA91" s="5">
        <f t="shared" ref="AA91:AA150" si="25">IF((W91-V91)&lt;0,0,(W91-V91))</f>
        <v>0</v>
      </c>
    </row>
    <row r="92" spans="1:27" ht="27.75" customHeight="1">
      <c r="A92" s="1">
        <v>11</v>
      </c>
      <c r="B92" s="9" t="s">
        <v>25</v>
      </c>
      <c r="C92" s="1">
        <v>1102</v>
      </c>
      <c r="D92" s="5">
        <f>Table1[[#This Row],[Enrolment S.Y. 2025-2026 ]]*8</f>
        <v>0</v>
      </c>
      <c r="E92" s="5"/>
      <c r="F92" s="1"/>
      <c r="G92" s="5"/>
      <c r="H92" s="5">
        <f t="shared" si="18"/>
        <v>0</v>
      </c>
      <c r="I92" s="5">
        <f t="shared" si="19"/>
        <v>0</v>
      </c>
      <c r="J92" s="5">
        <f>Table1[[#This Row],[Enrolment S.Y. 2025-2026 ]]*8</f>
        <v>0</v>
      </c>
      <c r="K92" s="5"/>
      <c r="L92" s="1"/>
      <c r="M92" s="5"/>
      <c r="N92" s="5">
        <f t="shared" si="20"/>
        <v>0</v>
      </c>
      <c r="O92" s="5">
        <f t="shared" si="21"/>
        <v>0</v>
      </c>
      <c r="P92" s="5">
        <f>Table1[[#This Row],[Enrolment S.Y. 2025-2026 ]]*8</f>
        <v>0</v>
      </c>
      <c r="Q92" s="5"/>
      <c r="R92" s="1"/>
      <c r="S92" s="5"/>
      <c r="T92" s="5">
        <f t="shared" si="22"/>
        <v>0</v>
      </c>
      <c r="U92" s="5">
        <f t="shared" si="23"/>
        <v>0</v>
      </c>
      <c r="V92" s="5">
        <f>Table1[[#This Row],[Enrolment S.Y. 2025-2026 ]]*8</f>
        <v>0</v>
      </c>
      <c r="W92" s="5"/>
      <c r="X92" s="1"/>
      <c r="Y92" s="5"/>
      <c r="Z92" s="5">
        <f t="shared" si="24"/>
        <v>0</v>
      </c>
      <c r="AA92" s="5">
        <f t="shared" si="25"/>
        <v>0</v>
      </c>
    </row>
    <row r="93" spans="1:27" ht="27.75" customHeight="1">
      <c r="A93" s="1">
        <v>11</v>
      </c>
      <c r="B93" s="9" t="s">
        <v>26</v>
      </c>
      <c r="C93" s="1">
        <v>1102</v>
      </c>
      <c r="D93" s="5">
        <f>Table1[[#This Row],[Enrolment S.Y. 2025-2026 ]]*8</f>
        <v>13064</v>
      </c>
      <c r="E93" s="5"/>
      <c r="F93" s="1"/>
      <c r="G93" s="5"/>
      <c r="H93" s="5">
        <f t="shared" si="18"/>
        <v>13064</v>
      </c>
      <c r="I93" s="5">
        <f t="shared" si="19"/>
        <v>0</v>
      </c>
      <c r="J93" s="5">
        <f>Table1[[#This Row],[Enrolment S.Y. 2025-2026 ]]*8</f>
        <v>13064</v>
      </c>
      <c r="K93" s="5"/>
      <c r="L93" s="1"/>
      <c r="M93" s="5"/>
      <c r="N93" s="5">
        <f t="shared" si="20"/>
        <v>13064</v>
      </c>
      <c r="O93" s="5">
        <f t="shared" si="21"/>
        <v>0</v>
      </c>
      <c r="P93" s="5">
        <f>Table1[[#This Row],[Enrolment S.Y. 2025-2026 ]]*8</f>
        <v>13064</v>
      </c>
      <c r="Q93" s="5"/>
      <c r="R93" s="1"/>
      <c r="S93" s="5"/>
      <c r="T93" s="5">
        <f t="shared" si="22"/>
        <v>13064</v>
      </c>
      <c r="U93" s="5">
        <f t="shared" si="23"/>
        <v>0</v>
      </c>
      <c r="V93" s="5">
        <f>Table1[[#This Row],[Enrolment S.Y. 2025-2026 ]]*8</f>
        <v>13064</v>
      </c>
      <c r="W93" s="5"/>
      <c r="X93" s="1"/>
      <c r="Y93" s="5"/>
      <c r="Z93" s="5">
        <f t="shared" si="24"/>
        <v>13064</v>
      </c>
      <c r="AA93" s="5">
        <f t="shared" si="25"/>
        <v>0</v>
      </c>
    </row>
    <row r="94" spans="1:27" ht="27.75" customHeight="1">
      <c r="A94" s="1">
        <v>11</v>
      </c>
      <c r="B94" s="9" t="s">
        <v>27</v>
      </c>
      <c r="C94" s="1">
        <v>1102</v>
      </c>
      <c r="D94" s="5">
        <f>Table1[[#This Row],[Enrolment S.Y. 2025-2026 ]]*8</f>
        <v>13064</v>
      </c>
      <c r="E94" s="5"/>
      <c r="F94" s="1"/>
      <c r="G94" s="5"/>
      <c r="H94" s="5">
        <f t="shared" si="18"/>
        <v>13064</v>
      </c>
      <c r="I94" s="5">
        <f t="shared" si="19"/>
        <v>0</v>
      </c>
      <c r="J94" s="5">
        <f>Table1[[#This Row],[Enrolment S.Y. 2025-2026 ]]*8</f>
        <v>13064</v>
      </c>
      <c r="K94" s="5"/>
      <c r="L94" s="1"/>
      <c r="M94" s="5"/>
      <c r="N94" s="5">
        <f t="shared" si="20"/>
        <v>13064</v>
      </c>
      <c r="O94" s="5">
        <f t="shared" si="21"/>
        <v>0</v>
      </c>
      <c r="P94" s="5">
        <f>Table1[[#This Row],[Enrolment S.Y. 2025-2026 ]]*8</f>
        <v>13064</v>
      </c>
      <c r="Q94" s="5"/>
      <c r="R94" s="1"/>
      <c r="S94" s="5"/>
      <c r="T94" s="5">
        <f t="shared" si="22"/>
        <v>13064</v>
      </c>
      <c r="U94" s="5">
        <f t="shared" si="23"/>
        <v>0</v>
      </c>
      <c r="V94" s="5">
        <f>Table1[[#This Row],[Enrolment S.Y. 2025-2026 ]]*8</f>
        <v>13064</v>
      </c>
      <c r="W94" s="5"/>
      <c r="X94" s="1"/>
      <c r="Y94" s="5"/>
      <c r="Z94" s="5">
        <f t="shared" si="24"/>
        <v>13064</v>
      </c>
      <c r="AA94" s="5">
        <f t="shared" si="25"/>
        <v>0</v>
      </c>
    </row>
    <row r="95" spans="1:27" ht="40.5" customHeight="1">
      <c r="A95" s="1">
        <v>11</v>
      </c>
      <c r="B95" s="9" t="s">
        <v>28</v>
      </c>
      <c r="C95" s="1">
        <v>1102</v>
      </c>
      <c r="D95" s="5">
        <f>Table1[[#This Row],[Enrolment S.Y. 2025-2026 ]]*8</f>
        <v>13064</v>
      </c>
      <c r="E95" s="5"/>
      <c r="F95" s="1"/>
      <c r="G95" s="5"/>
      <c r="H95" s="5">
        <f t="shared" si="18"/>
        <v>13064</v>
      </c>
      <c r="I95" s="5">
        <f t="shared" si="19"/>
        <v>0</v>
      </c>
      <c r="J95" s="5">
        <f>Table1[[#This Row],[Enrolment S.Y. 2025-2026 ]]*8</f>
        <v>13064</v>
      </c>
      <c r="K95" s="5"/>
      <c r="L95" s="1"/>
      <c r="M95" s="5"/>
      <c r="N95" s="5">
        <f t="shared" si="20"/>
        <v>13064</v>
      </c>
      <c r="O95" s="5">
        <f t="shared" si="21"/>
        <v>0</v>
      </c>
      <c r="P95" s="5">
        <f>Table1[[#This Row],[Enrolment S.Y. 2025-2026 ]]*8</f>
        <v>13064</v>
      </c>
      <c r="Q95" s="5"/>
      <c r="R95" s="1"/>
      <c r="S95" s="5"/>
      <c r="T95" s="5">
        <f t="shared" si="22"/>
        <v>13064</v>
      </c>
      <c r="U95" s="5">
        <f t="shared" si="23"/>
        <v>0</v>
      </c>
      <c r="V95" s="5">
        <f>Table1[[#This Row],[Enrolment S.Y. 2025-2026 ]]*8</f>
        <v>13064</v>
      </c>
      <c r="W95" s="5"/>
      <c r="X95" s="1"/>
      <c r="Y95" s="5"/>
      <c r="Z95" s="5">
        <f t="shared" si="24"/>
        <v>13064</v>
      </c>
      <c r="AA95" s="5">
        <f t="shared" si="25"/>
        <v>0</v>
      </c>
    </row>
    <row r="96" spans="1:27" ht="38.25" customHeight="1">
      <c r="A96" s="1">
        <v>11</v>
      </c>
      <c r="B96" s="9" t="s">
        <v>29</v>
      </c>
      <c r="C96" s="1">
        <v>1102</v>
      </c>
      <c r="D96" s="5">
        <f>Table1[[#This Row],[Enrolment S.Y. 2025-2026 ]]*8</f>
        <v>13064</v>
      </c>
      <c r="E96" s="5"/>
      <c r="F96" s="1"/>
      <c r="G96" s="5"/>
      <c r="H96" s="5">
        <f t="shared" si="18"/>
        <v>13064</v>
      </c>
      <c r="I96" s="5">
        <f t="shared" si="19"/>
        <v>0</v>
      </c>
      <c r="J96" s="5">
        <f>Table1[[#This Row],[Enrolment S.Y. 2025-2026 ]]*8</f>
        <v>13064</v>
      </c>
      <c r="K96" s="5"/>
      <c r="L96" s="1"/>
      <c r="M96" s="5"/>
      <c r="N96" s="5">
        <f t="shared" si="20"/>
        <v>13064</v>
      </c>
      <c r="O96" s="5">
        <f t="shared" si="21"/>
        <v>0</v>
      </c>
      <c r="P96" s="5">
        <f>Table1[[#This Row],[Enrolment S.Y. 2025-2026 ]]*8</f>
        <v>13064</v>
      </c>
      <c r="Q96" s="5"/>
      <c r="R96" s="1"/>
      <c r="S96" s="5"/>
      <c r="T96" s="5">
        <f t="shared" si="22"/>
        <v>13064</v>
      </c>
      <c r="U96" s="5">
        <f t="shared" si="23"/>
        <v>0</v>
      </c>
      <c r="V96" s="5">
        <f>Table1[[#This Row],[Enrolment S.Y. 2025-2026 ]]*8</f>
        <v>13064</v>
      </c>
      <c r="W96" s="5"/>
      <c r="X96" s="1"/>
      <c r="Y96" s="5"/>
      <c r="Z96" s="5">
        <f t="shared" si="24"/>
        <v>13064</v>
      </c>
      <c r="AA96" s="5">
        <f t="shared" si="25"/>
        <v>0</v>
      </c>
    </row>
    <row r="97" spans="1:27" ht="27.75" customHeight="1">
      <c r="A97" s="1">
        <v>11</v>
      </c>
      <c r="B97" s="9" t="s">
        <v>30</v>
      </c>
      <c r="C97" s="1">
        <v>1102</v>
      </c>
      <c r="D97" s="5">
        <f>Table1[[#This Row],[Enrolment S.Y. 2025-2026 ]]*8</f>
        <v>13064</v>
      </c>
      <c r="E97" s="5"/>
      <c r="F97" s="1"/>
      <c r="G97" s="5"/>
      <c r="H97" s="5">
        <f t="shared" si="18"/>
        <v>13064</v>
      </c>
      <c r="I97" s="5">
        <f t="shared" si="19"/>
        <v>0</v>
      </c>
      <c r="J97" s="5">
        <f>Table1[[#This Row],[Enrolment S.Y. 2025-2026 ]]*8</f>
        <v>13064</v>
      </c>
      <c r="K97" s="5"/>
      <c r="L97" s="1"/>
      <c r="M97" s="5"/>
      <c r="N97" s="5">
        <f t="shared" si="20"/>
        <v>13064</v>
      </c>
      <c r="O97" s="5">
        <f t="shared" si="21"/>
        <v>0</v>
      </c>
      <c r="P97" s="5">
        <f>Table1[[#This Row],[Enrolment S.Y. 2025-2026 ]]*8</f>
        <v>13064</v>
      </c>
      <c r="Q97" s="5"/>
      <c r="R97" s="1"/>
      <c r="S97" s="5"/>
      <c r="T97" s="5">
        <f t="shared" si="22"/>
        <v>13064</v>
      </c>
      <c r="U97" s="5">
        <f t="shared" si="23"/>
        <v>0</v>
      </c>
      <c r="V97" s="5">
        <f>Table1[[#This Row],[Enrolment S.Y. 2025-2026 ]]*8</f>
        <v>13064</v>
      </c>
      <c r="W97" s="5"/>
      <c r="X97" s="1"/>
      <c r="Y97" s="5"/>
      <c r="Z97" s="5">
        <f t="shared" si="24"/>
        <v>13064</v>
      </c>
      <c r="AA97" s="5">
        <f t="shared" si="25"/>
        <v>0</v>
      </c>
    </row>
    <row r="98" spans="1:27" ht="47.25" customHeight="1">
      <c r="A98" s="32">
        <v>11</v>
      </c>
      <c r="B98" s="33" t="s">
        <v>31</v>
      </c>
      <c r="C98" s="1">
        <v>1102</v>
      </c>
      <c r="D98" s="34">
        <f>Table1[[#This Row],[Enrolment S.Y. 2025-2026 ]]*8</f>
        <v>13064</v>
      </c>
      <c r="E98" s="34"/>
      <c r="F98" s="32"/>
      <c r="G98" s="34"/>
      <c r="H98" s="34">
        <f>IF((D98-E98)&lt;0,0,(D98-E98))</f>
        <v>13064</v>
      </c>
      <c r="I98" s="34">
        <f>IF((E98-D98)&lt;0,0,(E98-D98))</f>
        <v>0</v>
      </c>
      <c r="J98" s="34">
        <f>Table1[[#This Row],[Enrolment S.Y. 2025-2026 ]]*8</f>
        <v>13064</v>
      </c>
      <c r="K98" s="34"/>
      <c r="L98" s="32"/>
      <c r="M98" s="34"/>
      <c r="N98" s="5">
        <f t="shared" si="20"/>
        <v>13064</v>
      </c>
      <c r="O98" s="5">
        <f t="shared" si="21"/>
        <v>0</v>
      </c>
      <c r="P98" s="5">
        <f>Table1[[#This Row],[Enrolment S.Y. 2025-2026 ]]*8</f>
        <v>13064</v>
      </c>
      <c r="Q98" s="34"/>
      <c r="R98" s="32"/>
      <c r="S98" s="34"/>
      <c r="T98" s="34">
        <f>IF((P98-Q98)&lt;0,0,(P98-Q98))</f>
        <v>13064</v>
      </c>
      <c r="U98" s="34">
        <f>IF((Q98-P98)&lt;0,0,(Q98-P98))</f>
        <v>0</v>
      </c>
      <c r="V98" s="34">
        <f>Table1[[#This Row],[Enrolment S.Y. 2025-2026 ]]*8</f>
        <v>13064</v>
      </c>
      <c r="W98" s="34"/>
      <c r="X98" s="32"/>
      <c r="Y98" s="34"/>
      <c r="Z98" s="34">
        <f>IF((V98-W98)&lt;0,0,(V98-W98))</f>
        <v>13064</v>
      </c>
      <c r="AA98" s="34">
        <f>IF((W98-V98)&lt;0,0,(W98-V98))</f>
        <v>0</v>
      </c>
    </row>
    <row r="99" spans="1:27" ht="38.25">
      <c r="A99" s="1">
        <v>11</v>
      </c>
      <c r="B99" s="9" t="s">
        <v>32</v>
      </c>
      <c r="C99" s="1">
        <v>1102</v>
      </c>
      <c r="D99" s="5">
        <f>Table1[[#This Row],[Enrolment S.Y. 2025-2026 ]]*8</f>
        <v>13064</v>
      </c>
      <c r="E99" s="5"/>
      <c r="F99" s="1"/>
      <c r="G99" s="5"/>
      <c r="H99" s="5">
        <f t="shared" si="18"/>
        <v>13064</v>
      </c>
      <c r="I99" s="5">
        <f t="shared" si="19"/>
        <v>0</v>
      </c>
      <c r="J99" s="5">
        <f>Table1[[#This Row],[Enrolment S.Y. 2025-2026 ]]*8</f>
        <v>13064</v>
      </c>
      <c r="K99" s="5"/>
      <c r="L99" s="1"/>
      <c r="M99" s="5"/>
      <c r="N99" s="5">
        <f t="shared" si="20"/>
        <v>13064</v>
      </c>
      <c r="O99" s="5">
        <f t="shared" si="21"/>
        <v>0</v>
      </c>
      <c r="P99" s="5">
        <f>Table1[[#This Row],[Enrolment S.Y. 2025-2026 ]]*8</f>
        <v>13064</v>
      </c>
      <c r="Q99" s="5"/>
      <c r="R99" s="1"/>
      <c r="S99" s="5"/>
      <c r="T99" s="5">
        <f t="shared" si="22"/>
        <v>13064</v>
      </c>
      <c r="U99" s="5">
        <f t="shared" si="23"/>
        <v>0</v>
      </c>
      <c r="V99" s="5">
        <f>Table1[[#This Row],[Enrolment S.Y. 2025-2026 ]]*8</f>
        <v>13064</v>
      </c>
      <c r="W99" s="5"/>
      <c r="X99" s="1"/>
      <c r="Y99" s="5"/>
      <c r="Z99" s="5">
        <f t="shared" si="24"/>
        <v>13064</v>
      </c>
      <c r="AA99" s="5">
        <f t="shared" si="25"/>
        <v>0</v>
      </c>
    </row>
    <row r="100" spans="1:27" ht="40.5">
      <c r="A100" s="1">
        <v>11</v>
      </c>
      <c r="B100" s="33" t="s">
        <v>33</v>
      </c>
      <c r="C100" s="1">
        <v>1102</v>
      </c>
      <c r="D100" s="34">
        <f>Table1[[#This Row],[Enrolment S.Y. 2025-2026 ]]*8</f>
        <v>13064</v>
      </c>
      <c r="E100" s="34"/>
      <c r="F100" s="32"/>
      <c r="G100" s="34"/>
      <c r="H100" s="34">
        <f t="shared" si="18"/>
        <v>13064</v>
      </c>
      <c r="I100" s="34">
        <f t="shared" si="19"/>
        <v>0</v>
      </c>
      <c r="J100" s="34">
        <f>Table1[[#This Row],[Enrolment S.Y. 2025-2026 ]]*8</f>
        <v>13064</v>
      </c>
      <c r="K100" s="34"/>
      <c r="L100" s="32"/>
      <c r="M100" s="34"/>
      <c r="N100" s="5">
        <f t="shared" si="20"/>
        <v>13064</v>
      </c>
      <c r="O100" s="5">
        <f t="shared" si="21"/>
        <v>0</v>
      </c>
      <c r="P100" s="5">
        <f>Table1[[#This Row],[Enrolment S.Y. 2025-2026 ]]*8</f>
        <v>13064</v>
      </c>
      <c r="Q100" s="34"/>
      <c r="R100" s="32"/>
      <c r="S100" s="34"/>
      <c r="T100" s="34">
        <f t="shared" si="22"/>
        <v>13064</v>
      </c>
      <c r="U100" s="34">
        <f t="shared" si="23"/>
        <v>0</v>
      </c>
      <c r="V100" s="34">
        <f>Table1[[#This Row],[Enrolment S.Y. 2025-2026 ]]*8</f>
        <v>13064</v>
      </c>
      <c r="W100" s="34"/>
      <c r="X100" s="32"/>
      <c r="Y100" s="34"/>
      <c r="Z100" s="34">
        <f t="shared" si="24"/>
        <v>13064</v>
      </c>
      <c r="AA100" s="34">
        <f t="shared" si="25"/>
        <v>0</v>
      </c>
    </row>
    <row r="101" spans="1:27" ht="21">
      <c r="A101" s="1">
        <v>11</v>
      </c>
      <c r="B101" s="33" t="s">
        <v>34</v>
      </c>
      <c r="C101" s="1">
        <v>1102</v>
      </c>
      <c r="D101" s="34">
        <f>Table1[[#This Row],[Enrolment S.Y. 2025-2026 ]]*8</f>
        <v>13064</v>
      </c>
      <c r="E101" s="34"/>
      <c r="F101" s="32"/>
      <c r="G101" s="34"/>
      <c r="H101" s="34">
        <f t="shared" si="18"/>
        <v>13064</v>
      </c>
      <c r="I101" s="34">
        <f t="shared" si="19"/>
        <v>0</v>
      </c>
      <c r="J101" s="34">
        <f>Table1[[#This Row],[Enrolment S.Y. 2025-2026 ]]*8</f>
        <v>13064</v>
      </c>
      <c r="K101" s="34"/>
      <c r="L101" s="32"/>
      <c r="M101" s="34"/>
      <c r="N101" s="5">
        <f t="shared" si="20"/>
        <v>13064</v>
      </c>
      <c r="O101" s="5">
        <f t="shared" si="21"/>
        <v>0</v>
      </c>
      <c r="P101" s="5">
        <f>Table1[[#This Row],[Enrolment S.Y. 2025-2026 ]]*8</f>
        <v>13064</v>
      </c>
      <c r="Q101" s="34"/>
      <c r="R101" s="32"/>
      <c r="S101" s="34"/>
      <c r="T101" s="34">
        <f t="shared" si="22"/>
        <v>13064</v>
      </c>
      <c r="U101" s="34">
        <f t="shared" si="23"/>
        <v>0</v>
      </c>
      <c r="V101" s="34">
        <f>Table1[[#This Row],[Enrolment S.Y. 2025-2026 ]]*8</f>
        <v>13064</v>
      </c>
      <c r="W101" s="34"/>
      <c r="X101" s="32"/>
      <c r="Y101" s="34"/>
      <c r="Z101" s="34">
        <f t="shared" si="24"/>
        <v>13064</v>
      </c>
      <c r="AA101" s="34">
        <f t="shared" si="25"/>
        <v>0</v>
      </c>
    </row>
    <row r="102" spans="1:27" ht="61.5">
      <c r="A102" s="1">
        <v>11</v>
      </c>
      <c r="B102" s="33" t="s">
        <v>35</v>
      </c>
      <c r="C102" s="1">
        <v>1102</v>
      </c>
      <c r="D102" s="34">
        <f>Table1[[#This Row],[Enrolment S.Y. 2025-2026 ]]*8</f>
        <v>0</v>
      </c>
      <c r="E102" s="34"/>
      <c r="F102" s="32"/>
      <c r="G102" s="34"/>
      <c r="H102" s="34">
        <f t="shared" si="18"/>
        <v>0</v>
      </c>
      <c r="I102" s="34">
        <f t="shared" si="19"/>
        <v>0</v>
      </c>
      <c r="J102" s="34">
        <f>Table1[[#This Row],[Enrolment S.Y. 2025-2026 ]]*8</f>
        <v>0</v>
      </c>
      <c r="K102" s="34"/>
      <c r="L102" s="32"/>
      <c r="M102" s="34"/>
      <c r="N102" s="5">
        <f t="shared" si="20"/>
        <v>0</v>
      </c>
      <c r="O102" s="5">
        <f t="shared" si="21"/>
        <v>0</v>
      </c>
      <c r="P102" s="5">
        <f>Table1[[#This Row],[Enrolment S.Y. 2025-2026 ]]*8</f>
        <v>0</v>
      </c>
      <c r="Q102" s="34"/>
      <c r="R102" s="32"/>
      <c r="S102" s="34"/>
      <c r="T102" s="34">
        <f t="shared" si="22"/>
        <v>0</v>
      </c>
      <c r="U102" s="34">
        <f t="shared" si="23"/>
        <v>0</v>
      </c>
      <c r="V102" s="34">
        <f>Table1[[#This Row],[Enrolment S.Y. 2025-2026 ]]*8</f>
        <v>0</v>
      </c>
      <c r="W102" s="34"/>
      <c r="X102" s="32"/>
      <c r="Y102" s="34"/>
      <c r="Z102" s="34">
        <f t="shared" si="24"/>
        <v>0</v>
      </c>
      <c r="AA102" s="34">
        <f t="shared" si="25"/>
        <v>0</v>
      </c>
    </row>
    <row r="103" spans="1:27" ht="21">
      <c r="A103" s="1">
        <v>11</v>
      </c>
      <c r="B103" s="33" t="s">
        <v>36</v>
      </c>
      <c r="C103" s="1">
        <v>1102</v>
      </c>
      <c r="D103" s="34">
        <f>Table1[[#This Row],[Enrolment S.Y. 2025-2026 ]]*8</f>
        <v>8816</v>
      </c>
      <c r="E103" s="34"/>
      <c r="F103" s="32"/>
      <c r="G103" s="34"/>
      <c r="H103" s="34">
        <f t="shared" si="18"/>
        <v>8816</v>
      </c>
      <c r="I103" s="34">
        <f t="shared" si="19"/>
        <v>0</v>
      </c>
      <c r="J103" s="34">
        <f>Table1[[#This Row],[Enrolment S.Y. 2025-2026 ]]*8</f>
        <v>8816</v>
      </c>
      <c r="K103" s="34"/>
      <c r="L103" s="32"/>
      <c r="M103" s="34"/>
      <c r="N103" s="5">
        <f t="shared" si="20"/>
        <v>8816</v>
      </c>
      <c r="O103" s="5">
        <f t="shared" si="21"/>
        <v>0</v>
      </c>
      <c r="P103" s="5">
        <f>Table1[[#This Row],[Enrolment S.Y. 2025-2026 ]]*8</f>
        <v>8816</v>
      </c>
      <c r="Q103" s="34"/>
      <c r="R103" s="32"/>
      <c r="S103" s="34"/>
      <c r="T103" s="34">
        <f t="shared" si="22"/>
        <v>8816</v>
      </c>
      <c r="U103" s="34">
        <f t="shared" si="23"/>
        <v>0</v>
      </c>
      <c r="V103" s="34">
        <f>Table1[[#This Row],[Enrolment S.Y. 2025-2026 ]]*8</f>
        <v>8816</v>
      </c>
      <c r="W103" s="34"/>
      <c r="X103" s="32"/>
      <c r="Y103" s="34"/>
      <c r="Z103" s="34">
        <f t="shared" si="24"/>
        <v>8816</v>
      </c>
      <c r="AA103" s="34">
        <f t="shared" si="25"/>
        <v>0</v>
      </c>
    </row>
    <row r="104" spans="1:27" ht="21">
      <c r="A104" s="1">
        <v>11</v>
      </c>
      <c r="B104" s="33" t="s">
        <v>37</v>
      </c>
      <c r="C104" s="1">
        <v>1102</v>
      </c>
      <c r="D104" s="34">
        <f>Table1[[#This Row],[Enrolment S.Y. 2025-2026 ]]*8</f>
        <v>8816</v>
      </c>
      <c r="E104" s="34"/>
      <c r="F104" s="32"/>
      <c r="G104" s="34"/>
      <c r="H104" s="34">
        <f t="shared" si="18"/>
        <v>8816</v>
      </c>
      <c r="I104" s="34">
        <f t="shared" si="19"/>
        <v>0</v>
      </c>
      <c r="J104" s="34">
        <f>Table1[[#This Row],[Enrolment S.Y. 2025-2026 ]]*8</f>
        <v>8816</v>
      </c>
      <c r="K104" s="34"/>
      <c r="L104" s="32"/>
      <c r="M104" s="34"/>
      <c r="N104" s="5">
        <f t="shared" si="20"/>
        <v>8816</v>
      </c>
      <c r="O104" s="5">
        <f t="shared" si="21"/>
        <v>0</v>
      </c>
      <c r="P104" s="5">
        <f>Table1[[#This Row],[Enrolment S.Y. 2025-2026 ]]*8</f>
        <v>8816</v>
      </c>
      <c r="Q104" s="34"/>
      <c r="R104" s="32"/>
      <c r="S104" s="34"/>
      <c r="T104" s="34">
        <f t="shared" si="22"/>
        <v>8816</v>
      </c>
      <c r="U104" s="34">
        <f t="shared" si="23"/>
        <v>0</v>
      </c>
      <c r="V104" s="34">
        <f>Table1[[#This Row],[Enrolment S.Y. 2025-2026 ]]*8</f>
        <v>8816</v>
      </c>
      <c r="W104" s="34"/>
      <c r="X104" s="32"/>
      <c r="Y104" s="34"/>
      <c r="Z104" s="34">
        <f t="shared" si="24"/>
        <v>8816</v>
      </c>
      <c r="AA104" s="34">
        <f t="shared" si="25"/>
        <v>0</v>
      </c>
    </row>
    <row r="105" spans="1:27" ht="21">
      <c r="A105" s="1">
        <v>11</v>
      </c>
      <c r="B105" s="33" t="s">
        <v>38</v>
      </c>
      <c r="C105" s="1">
        <v>1102</v>
      </c>
      <c r="D105" s="34">
        <f>Table1[[#This Row],[Enrolment S.Y. 2025-2026 ]]*8</f>
        <v>8816</v>
      </c>
      <c r="E105" s="34"/>
      <c r="F105" s="32"/>
      <c r="G105" s="34"/>
      <c r="H105" s="34">
        <f t="shared" si="18"/>
        <v>8816</v>
      </c>
      <c r="I105" s="34">
        <f t="shared" si="19"/>
        <v>0</v>
      </c>
      <c r="J105" s="34">
        <f>Table1[[#This Row],[Enrolment S.Y. 2025-2026 ]]*8</f>
        <v>8816</v>
      </c>
      <c r="K105" s="34"/>
      <c r="L105" s="32"/>
      <c r="M105" s="34"/>
      <c r="N105" s="5">
        <f t="shared" si="20"/>
        <v>8816</v>
      </c>
      <c r="O105" s="5">
        <f t="shared" si="21"/>
        <v>0</v>
      </c>
      <c r="P105" s="5">
        <f>Table1[[#This Row],[Enrolment S.Y. 2025-2026 ]]*8</f>
        <v>8816</v>
      </c>
      <c r="Q105" s="34"/>
      <c r="R105" s="32"/>
      <c r="S105" s="34"/>
      <c r="T105" s="34">
        <f t="shared" si="22"/>
        <v>8816</v>
      </c>
      <c r="U105" s="34">
        <f t="shared" si="23"/>
        <v>0</v>
      </c>
      <c r="V105" s="34">
        <f>Table1[[#This Row],[Enrolment S.Y. 2025-2026 ]]*8</f>
        <v>8816</v>
      </c>
      <c r="W105" s="34"/>
      <c r="X105" s="32"/>
      <c r="Y105" s="34"/>
      <c r="Z105" s="34">
        <f t="shared" si="24"/>
        <v>8816</v>
      </c>
      <c r="AA105" s="34">
        <f t="shared" si="25"/>
        <v>0</v>
      </c>
    </row>
    <row r="106" spans="1:27" ht="40.5">
      <c r="A106" s="1">
        <v>11</v>
      </c>
      <c r="B106" s="33" t="s">
        <v>39</v>
      </c>
      <c r="C106" s="1">
        <v>1102</v>
      </c>
      <c r="D106" s="34">
        <f>Table1[[#This Row],[Enrolment S.Y. 2025-2026 ]]*8</f>
        <v>8816</v>
      </c>
      <c r="E106" s="34"/>
      <c r="F106" s="32"/>
      <c r="G106" s="34"/>
      <c r="H106" s="34">
        <f t="shared" si="18"/>
        <v>8816</v>
      </c>
      <c r="I106" s="34">
        <f t="shared" si="19"/>
        <v>0</v>
      </c>
      <c r="J106" s="34">
        <f>Table1[[#This Row],[Enrolment S.Y. 2025-2026 ]]*8</f>
        <v>8816</v>
      </c>
      <c r="K106" s="34"/>
      <c r="L106" s="32"/>
      <c r="M106" s="34"/>
      <c r="N106" s="5">
        <f t="shared" si="20"/>
        <v>8816</v>
      </c>
      <c r="O106" s="5">
        <f t="shared" si="21"/>
        <v>0</v>
      </c>
      <c r="P106" s="5">
        <f>Table1[[#This Row],[Enrolment S.Y. 2025-2026 ]]*8</f>
        <v>8816</v>
      </c>
      <c r="Q106" s="34"/>
      <c r="R106" s="32"/>
      <c r="S106" s="34"/>
      <c r="T106" s="34">
        <f t="shared" si="22"/>
        <v>8816</v>
      </c>
      <c r="U106" s="34">
        <f t="shared" si="23"/>
        <v>0</v>
      </c>
      <c r="V106" s="34">
        <f>Table1[[#This Row],[Enrolment S.Y. 2025-2026 ]]*8</f>
        <v>8816</v>
      </c>
      <c r="W106" s="34"/>
      <c r="X106" s="32"/>
      <c r="Y106" s="34"/>
      <c r="Z106" s="34">
        <f t="shared" si="24"/>
        <v>8816</v>
      </c>
      <c r="AA106" s="34">
        <f t="shared" si="25"/>
        <v>0</v>
      </c>
    </row>
    <row r="107" spans="1:27" ht="21">
      <c r="A107" s="3">
        <v>11</v>
      </c>
      <c r="B107" s="33" t="s">
        <v>40</v>
      </c>
      <c r="C107" s="1">
        <v>1102</v>
      </c>
      <c r="D107" s="34">
        <f>Table1[[#This Row],[Enrolment S.Y. 2025-2026 ]]*8</f>
        <v>8816</v>
      </c>
      <c r="E107" s="34"/>
      <c r="F107" s="32"/>
      <c r="G107" s="34"/>
      <c r="H107" s="34">
        <f>IF((D107-E107)&lt;0,0,(D107-E107))</f>
        <v>8816</v>
      </c>
      <c r="I107" s="34">
        <f>IF((E107-D107)&lt;0,0,(E107-D107))</f>
        <v>0</v>
      </c>
      <c r="J107" s="34">
        <f>Table1[[#This Row],[Enrolment S.Y. 2025-2026 ]]*8</f>
        <v>8816</v>
      </c>
      <c r="K107" s="34"/>
      <c r="L107" s="32"/>
      <c r="M107" s="34"/>
      <c r="N107" s="5">
        <f t="shared" si="20"/>
        <v>8816</v>
      </c>
      <c r="O107" s="5">
        <f t="shared" si="21"/>
        <v>0</v>
      </c>
      <c r="P107" s="5">
        <f>Table1[[#This Row],[Enrolment S.Y. 2025-2026 ]]*8</f>
        <v>8816</v>
      </c>
      <c r="Q107" s="34"/>
      <c r="R107" s="32"/>
      <c r="S107" s="34"/>
      <c r="T107" s="34">
        <f>IF((P107-Q107)&lt;0,0,(P107-Q107))</f>
        <v>8816</v>
      </c>
      <c r="U107" s="34">
        <f>IF((Q107-P107)&lt;0,0,(Q107-P107))</f>
        <v>0</v>
      </c>
      <c r="V107" s="34">
        <f>Table1[[#This Row],[Enrolment S.Y. 2025-2026 ]]*8</f>
        <v>8816</v>
      </c>
      <c r="W107" s="34"/>
      <c r="X107" s="32"/>
      <c r="Y107" s="34"/>
      <c r="Z107" s="34">
        <f>IF((V107-W107)&lt;0,0,(V107-W107))</f>
        <v>8816</v>
      </c>
      <c r="AA107" s="34">
        <f>IF((W107-V107)&lt;0,0,(W107-V107))</f>
        <v>0</v>
      </c>
    </row>
    <row r="108" spans="1:27" ht="21">
      <c r="A108" s="1">
        <v>11</v>
      </c>
      <c r="B108" s="33" t="s">
        <v>41</v>
      </c>
      <c r="C108" s="1">
        <v>1102</v>
      </c>
      <c r="D108" s="34">
        <f>Table1[[#This Row],[Enrolment S.Y. 2025-2026 ]]*8</f>
        <v>8816</v>
      </c>
      <c r="E108" s="34"/>
      <c r="F108" s="32"/>
      <c r="G108" s="34"/>
      <c r="H108" s="34">
        <f t="shared" si="18"/>
        <v>8816</v>
      </c>
      <c r="I108" s="34">
        <f t="shared" si="19"/>
        <v>0</v>
      </c>
      <c r="J108" s="34">
        <f>Table1[[#This Row],[Enrolment S.Y. 2025-2026 ]]*8</f>
        <v>8816</v>
      </c>
      <c r="K108" s="34"/>
      <c r="L108" s="32"/>
      <c r="M108" s="34"/>
      <c r="N108" s="5">
        <f t="shared" si="20"/>
        <v>8816</v>
      </c>
      <c r="O108" s="5">
        <f t="shared" si="21"/>
        <v>0</v>
      </c>
      <c r="P108" s="5">
        <f>Table1[[#This Row],[Enrolment S.Y. 2025-2026 ]]*8</f>
        <v>8816</v>
      </c>
      <c r="Q108" s="34"/>
      <c r="R108" s="32"/>
      <c r="S108" s="34"/>
      <c r="T108" s="34">
        <f t="shared" si="22"/>
        <v>8816</v>
      </c>
      <c r="U108" s="34">
        <f t="shared" si="23"/>
        <v>0</v>
      </c>
      <c r="V108" s="34">
        <f>Table1[[#This Row],[Enrolment S.Y. 2025-2026 ]]*8</f>
        <v>8816</v>
      </c>
      <c r="W108" s="34"/>
      <c r="X108" s="32"/>
      <c r="Y108" s="34"/>
      <c r="Z108" s="34">
        <f t="shared" si="24"/>
        <v>8816</v>
      </c>
      <c r="AA108" s="34">
        <f t="shared" si="25"/>
        <v>0</v>
      </c>
    </row>
    <row r="109" spans="1:27" ht="61.5">
      <c r="A109" s="1">
        <v>11</v>
      </c>
      <c r="B109" s="33" t="s">
        <v>42</v>
      </c>
      <c r="C109" s="1">
        <v>1102</v>
      </c>
      <c r="D109" s="34">
        <f>Table1[[#This Row],[Enrolment S.Y. 2025-2026 ]]*8</f>
        <v>8816</v>
      </c>
      <c r="E109" s="34"/>
      <c r="F109" s="32"/>
      <c r="G109" s="34"/>
      <c r="H109" s="34">
        <f t="shared" si="18"/>
        <v>8816</v>
      </c>
      <c r="I109" s="34">
        <f t="shared" si="19"/>
        <v>0</v>
      </c>
      <c r="J109" s="34">
        <f>Table1[[#This Row],[Enrolment S.Y. 2025-2026 ]]*8</f>
        <v>8816</v>
      </c>
      <c r="K109" s="34"/>
      <c r="L109" s="32"/>
      <c r="M109" s="34"/>
      <c r="N109" s="5">
        <f t="shared" si="20"/>
        <v>8816</v>
      </c>
      <c r="O109" s="5">
        <f t="shared" si="21"/>
        <v>0</v>
      </c>
      <c r="P109" s="5">
        <f>Table1[[#This Row],[Enrolment S.Y. 2025-2026 ]]*8</f>
        <v>8816</v>
      </c>
      <c r="Q109" s="34"/>
      <c r="R109" s="32"/>
      <c r="S109" s="34"/>
      <c r="T109" s="34">
        <f t="shared" si="22"/>
        <v>8816</v>
      </c>
      <c r="U109" s="34">
        <f t="shared" si="23"/>
        <v>0</v>
      </c>
      <c r="V109" s="34">
        <f>Table1[[#This Row],[Enrolment S.Y. 2025-2026 ]]*8</f>
        <v>8816</v>
      </c>
      <c r="W109" s="34"/>
      <c r="X109" s="32"/>
      <c r="Y109" s="34"/>
      <c r="Z109" s="34">
        <f t="shared" si="24"/>
        <v>8816</v>
      </c>
      <c r="AA109" s="34">
        <f t="shared" si="25"/>
        <v>0</v>
      </c>
    </row>
    <row r="110" spans="1:27" ht="21">
      <c r="A110" s="1">
        <v>11</v>
      </c>
      <c r="B110" s="33" t="s">
        <v>43</v>
      </c>
      <c r="C110" s="1">
        <v>1102</v>
      </c>
      <c r="D110" s="34">
        <f>Table1[[#This Row],[Enrolment S.Y. 2025-2026 ]]*8</f>
        <v>8816</v>
      </c>
      <c r="E110" s="34"/>
      <c r="F110" s="32"/>
      <c r="G110" s="34"/>
      <c r="H110" s="34">
        <f t="shared" si="18"/>
        <v>8816</v>
      </c>
      <c r="I110" s="34">
        <f t="shared" si="19"/>
        <v>0</v>
      </c>
      <c r="J110" s="34">
        <f>Table1[[#This Row],[Enrolment S.Y. 2025-2026 ]]*8</f>
        <v>8816</v>
      </c>
      <c r="K110" s="34"/>
      <c r="L110" s="32"/>
      <c r="M110" s="34"/>
      <c r="N110" s="5">
        <f t="shared" si="20"/>
        <v>8816</v>
      </c>
      <c r="O110" s="5">
        <f t="shared" si="21"/>
        <v>0</v>
      </c>
      <c r="P110" s="5">
        <f>Table1[[#This Row],[Enrolment S.Y. 2025-2026 ]]*8</f>
        <v>8816</v>
      </c>
      <c r="Q110" s="34"/>
      <c r="R110" s="32"/>
      <c r="S110" s="34"/>
      <c r="T110" s="34">
        <f t="shared" si="22"/>
        <v>8816</v>
      </c>
      <c r="U110" s="34">
        <f t="shared" si="23"/>
        <v>0</v>
      </c>
      <c r="V110" s="34">
        <f>Table1[[#This Row],[Enrolment S.Y. 2025-2026 ]]*8</f>
        <v>8816</v>
      </c>
      <c r="W110" s="34"/>
      <c r="X110" s="32"/>
      <c r="Y110" s="34"/>
      <c r="Z110" s="34">
        <f t="shared" si="24"/>
        <v>8816</v>
      </c>
      <c r="AA110" s="34">
        <f t="shared" si="25"/>
        <v>0</v>
      </c>
    </row>
    <row r="111" spans="1:27" ht="40.5">
      <c r="A111" s="1">
        <v>11</v>
      </c>
      <c r="B111" s="33" t="s">
        <v>44</v>
      </c>
      <c r="C111" s="1">
        <v>1102</v>
      </c>
      <c r="D111" s="34">
        <f>Table1[[#This Row],[Enrolment S.Y. 2025-2026 ]]*8</f>
        <v>8816</v>
      </c>
      <c r="E111" s="34"/>
      <c r="F111" s="32"/>
      <c r="G111" s="34"/>
      <c r="H111" s="34">
        <f t="shared" si="18"/>
        <v>8816</v>
      </c>
      <c r="I111" s="34">
        <f t="shared" si="19"/>
        <v>0</v>
      </c>
      <c r="J111" s="34">
        <f>Table1[[#This Row],[Enrolment S.Y. 2025-2026 ]]*8</f>
        <v>8816</v>
      </c>
      <c r="K111" s="34"/>
      <c r="L111" s="32"/>
      <c r="M111" s="34"/>
      <c r="N111" s="5">
        <f t="shared" si="20"/>
        <v>8816</v>
      </c>
      <c r="O111" s="5">
        <f t="shared" si="21"/>
        <v>0</v>
      </c>
      <c r="P111" s="5">
        <f>Table1[[#This Row],[Enrolment S.Y. 2025-2026 ]]*8</f>
        <v>8816</v>
      </c>
      <c r="Q111" s="34"/>
      <c r="R111" s="32"/>
      <c r="S111" s="34"/>
      <c r="T111" s="34">
        <f t="shared" si="22"/>
        <v>8816</v>
      </c>
      <c r="U111" s="34">
        <f t="shared" si="23"/>
        <v>0</v>
      </c>
      <c r="V111" s="34">
        <f>Table1[[#This Row],[Enrolment S.Y. 2025-2026 ]]*8</f>
        <v>8816</v>
      </c>
      <c r="W111" s="34"/>
      <c r="X111" s="32"/>
      <c r="Y111" s="34"/>
      <c r="Z111" s="34">
        <f t="shared" si="24"/>
        <v>8816</v>
      </c>
      <c r="AA111" s="34">
        <f t="shared" si="25"/>
        <v>0</v>
      </c>
    </row>
    <row r="112" spans="1:27" ht="21">
      <c r="A112" s="1">
        <v>11</v>
      </c>
      <c r="B112" s="33" t="s">
        <v>45</v>
      </c>
      <c r="C112" s="1">
        <v>1102</v>
      </c>
      <c r="D112" s="34">
        <f>Table1[[#This Row],[Enrolment S.Y. 2025-2026 ]]*8</f>
        <v>8816</v>
      </c>
      <c r="E112" s="34"/>
      <c r="F112" s="32"/>
      <c r="G112" s="34"/>
      <c r="H112" s="34">
        <f t="shared" si="18"/>
        <v>8816</v>
      </c>
      <c r="I112" s="34">
        <f t="shared" si="19"/>
        <v>0</v>
      </c>
      <c r="J112" s="34">
        <f>Table1[[#This Row],[Enrolment S.Y. 2025-2026 ]]*8</f>
        <v>8816</v>
      </c>
      <c r="K112" s="34"/>
      <c r="L112" s="32"/>
      <c r="M112" s="34"/>
      <c r="N112" s="5">
        <f t="shared" si="20"/>
        <v>8816</v>
      </c>
      <c r="O112" s="5">
        <f t="shared" si="21"/>
        <v>0</v>
      </c>
      <c r="P112" s="5">
        <f>Table1[[#This Row],[Enrolment S.Y. 2025-2026 ]]*8</f>
        <v>8816</v>
      </c>
      <c r="Q112" s="34"/>
      <c r="R112" s="32"/>
      <c r="S112" s="34"/>
      <c r="T112" s="34">
        <f t="shared" si="22"/>
        <v>8816</v>
      </c>
      <c r="U112" s="34">
        <f t="shared" si="23"/>
        <v>0</v>
      </c>
      <c r="V112" s="34">
        <f>Table1[[#This Row],[Enrolment S.Y. 2025-2026 ]]*8</f>
        <v>8816</v>
      </c>
      <c r="W112" s="34"/>
      <c r="X112" s="32"/>
      <c r="Y112" s="34"/>
      <c r="Z112" s="34">
        <f t="shared" si="24"/>
        <v>8816</v>
      </c>
      <c r="AA112" s="34">
        <f t="shared" si="25"/>
        <v>0</v>
      </c>
    </row>
    <row r="113" spans="1:27" ht="40.5">
      <c r="A113" s="1">
        <v>11</v>
      </c>
      <c r="B113" s="33" t="s">
        <v>46</v>
      </c>
      <c r="C113" s="1">
        <v>1102</v>
      </c>
      <c r="D113" s="34">
        <f>Table1[[#This Row],[Enrolment S.Y. 2025-2026 ]]*8</f>
        <v>8816</v>
      </c>
      <c r="E113" s="34"/>
      <c r="F113" s="32"/>
      <c r="G113" s="34"/>
      <c r="H113" s="34">
        <f t="shared" si="18"/>
        <v>8816</v>
      </c>
      <c r="I113" s="34">
        <f t="shared" si="19"/>
        <v>0</v>
      </c>
      <c r="J113" s="34">
        <f>Table1[[#This Row],[Enrolment S.Y. 2025-2026 ]]*8</f>
        <v>8816</v>
      </c>
      <c r="K113" s="34"/>
      <c r="L113" s="32"/>
      <c r="M113" s="34"/>
      <c r="N113" s="5">
        <f t="shared" si="20"/>
        <v>8816</v>
      </c>
      <c r="O113" s="5">
        <f t="shared" si="21"/>
        <v>0</v>
      </c>
      <c r="P113" s="5">
        <f>Table1[[#This Row],[Enrolment S.Y. 2025-2026 ]]*8</f>
        <v>8816</v>
      </c>
      <c r="Q113" s="34"/>
      <c r="R113" s="32"/>
      <c r="S113" s="34"/>
      <c r="T113" s="34">
        <f t="shared" si="22"/>
        <v>8816</v>
      </c>
      <c r="U113" s="34">
        <f t="shared" si="23"/>
        <v>0</v>
      </c>
      <c r="V113" s="34">
        <f>Table1[[#This Row],[Enrolment S.Y. 2025-2026 ]]*8</f>
        <v>8816</v>
      </c>
      <c r="W113" s="34"/>
      <c r="X113" s="32"/>
      <c r="Y113" s="34"/>
      <c r="Z113" s="34">
        <f t="shared" si="24"/>
        <v>8816</v>
      </c>
      <c r="AA113" s="34">
        <f t="shared" si="25"/>
        <v>0</v>
      </c>
    </row>
    <row r="114" spans="1:27" ht="40.5">
      <c r="A114" s="1">
        <v>11</v>
      </c>
      <c r="B114" s="33" t="s">
        <v>47</v>
      </c>
      <c r="C114" s="1">
        <v>1102</v>
      </c>
      <c r="D114" s="34">
        <f>Table1[[#This Row],[Enrolment S.Y. 2025-2026 ]]*8</f>
        <v>8816</v>
      </c>
      <c r="E114" s="34"/>
      <c r="F114" s="32"/>
      <c r="G114" s="34"/>
      <c r="H114" s="34">
        <f t="shared" si="18"/>
        <v>8816</v>
      </c>
      <c r="I114" s="34">
        <f t="shared" si="19"/>
        <v>0</v>
      </c>
      <c r="J114" s="34">
        <f>Table1[[#This Row],[Enrolment S.Y. 2025-2026 ]]*8</f>
        <v>8816</v>
      </c>
      <c r="K114" s="34"/>
      <c r="L114" s="32"/>
      <c r="M114" s="34"/>
      <c r="N114" s="5">
        <f t="shared" si="20"/>
        <v>8816</v>
      </c>
      <c r="O114" s="5">
        <f t="shared" si="21"/>
        <v>0</v>
      </c>
      <c r="P114" s="5">
        <f>Table1[[#This Row],[Enrolment S.Y. 2025-2026 ]]*8</f>
        <v>8816</v>
      </c>
      <c r="Q114" s="34"/>
      <c r="R114" s="32"/>
      <c r="S114" s="34"/>
      <c r="T114" s="34">
        <f t="shared" si="22"/>
        <v>8816</v>
      </c>
      <c r="U114" s="34">
        <f t="shared" si="23"/>
        <v>0</v>
      </c>
      <c r="V114" s="34">
        <f>Table1[[#This Row],[Enrolment S.Y. 2025-2026 ]]*8</f>
        <v>8816</v>
      </c>
      <c r="W114" s="34"/>
      <c r="X114" s="32"/>
      <c r="Y114" s="34"/>
      <c r="Z114" s="34">
        <f t="shared" si="24"/>
        <v>8816</v>
      </c>
      <c r="AA114" s="34">
        <f t="shared" si="25"/>
        <v>0</v>
      </c>
    </row>
    <row r="115" spans="1:27" ht="21">
      <c r="A115" s="1">
        <v>11</v>
      </c>
      <c r="B115" s="33" t="s">
        <v>48</v>
      </c>
      <c r="C115" s="1">
        <v>1102</v>
      </c>
      <c r="D115" s="34">
        <f>Table1[[#This Row],[Enrolment S.Y. 2025-2026 ]]*8</f>
        <v>8816</v>
      </c>
      <c r="E115" s="34"/>
      <c r="F115" s="32"/>
      <c r="G115" s="34"/>
      <c r="H115" s="34">
        <f t="shared" si="18"/>
        <v>8816</v>
      </c>
      <c r="I115" s="34">
        <f t="shared" si="19"/>
        <v>0</v>
      </c>
      <c r="J115" s="34">
        <f>Table1[[#This Row],[Enrolment S.Y. 2025-2026 ]]*8</f>
        <v>8816</v>
      </c>
      <c r="K115" s="34"/>
      <c r="L115" s="32"/>
      <c r="M115" s="34"/>
      <c r="N115" s="34"/>
      <c r="O115" s="34"/>
      <c r="P115" s="34" t="e">
        <f>#REF!*8</f>
        <v>#REF!</v>
      </c>
      <c r="Q115" s="34"/>
      <c r="R115" s="32"/>
      <c r="S115" s="34"/>
      <c r="T115" s="34" t="e">
        <f t="shared" si="22"/>
        <v>#REF!</v>
      </c>
      <c r="U115" s="34" t="e">
        <f t="shared" si="23"/>
        <v>#REF!</v>
      </c>
      <c r="V115" s="34">
        <f>Table1[[#This Row],[Enrolment S.Y. 2025-2026 ]]*8</f>
        <v>8816</v>
      </c>
      <c r="W115" s="34"/>
      <c r="X115" s="32"/>
      <c r="Y115" s="34"/>
      <c r="Z115" s="34">
        <f t="shared" si="24"/>
        <v>8816</v>
      </c>
      <c r="AA115" s="34">
        <f t="shared" si="25"/>
        <v>0</v>
      </c>
    </row>
    <row r="116" spans="1:27" ht="21">
      <c r="A116" s="1">
        <v>11</v>
      </c>
      <c r="B116" s="33" t="s">
        <v>49</v>
      </c>
      <c r="C116" s="1">
        <v>1102</v>
      </c>
      <c r="D116" s="34">
        <f>Table1[[#This Row],[Enrolment S.Y. 2025-2026 ]]*8</f>
        <v>8816</v>
      </c>
      <c r="E116" s="34"/>
      <c r="F116" s="32"/>
      <c r="G116" s="34"/>
      <c r="H116" s="34">
        <f t="shared" si="18"/>
        <v>8816</v>
      </c>
      <c r="I116" s="34">
        <f t="shared" si="19"/>
        <v>0</v>
      </c>
      <c r="J116" s="34">
        <f>Table1[[#This Row],[Enrolment S.Y. 2025-2026 ]]*8</f>
        <v>8816</v>
      </c>
      <c r="K116" s="34"/>
      <c r="L116" s="32"/>
      <c r="M116" s="34"/>
      <c r="N116" s="34"/>
      <c r="O116" s="34"/>
      <c r="P116" s="34" t="e">
        <f>#REF!*8</f>
        <v>#REF!</v>
      </c>
      <c r="Q116" s="34"/>
      <c r="R116" s="32"/>
      <c r="S116" s="34"/>
      <c r="T116" s="34" t="e">
        <f t="shared" si="22"/>
        <v>#REF!</v>
      </c>
      <c r="U116" s="34" t="e">
        <f t="shared" si="23"/>
        <v>#REF!</v>
      </c>
      <c r="V116" s="34">
        <f>Table1[[#This Row],[Enrolment S.Y. 2025-2026 ]]*8</f>
        <v>8816</v>
      </c>
      <c r="W116" s="34"/>
      <c r="X116" s="32"/>
      <c r="Y116" s="34"/>
      <c r="Z116" s="34">
        <f t="shared" si="24"/>
        <v>8816</v>
      </c>
      <c r="AA116" s="34">
        <f t="shared" si="25"/>
        <v>0</v>
      </c>
    </row>
    <row r="117" spans="1:27" ht="21">
      <c r="A117" s="1">
        <v>11</v>
      </c>
      <c r="B117" s="33" t="s">
        <v>50</v>
      </c>
      <c r="C117" s="1">
        <v>1102</v>
      </c>
      <c r="D117" s="34">
        <f>Table1[[#This Row],[Enrolment S.Y. 2025-2026 ]]*8</f>
        <v>8816</v>
      </c>
      <c r="E117" s="34"/>
      <c r="F117" s="32"/>
      <c r="G117" s="34"/>
      <c r="H117" s="34">
        <f t="shared" si="18"/>
        <v>8816</v>
      </c>
      <c r="I117" s="34">
        <f t="shared" si="19"/>
        <v>0</v>
      </c>
      <c r="J117" s="34">
        <f>Table1[[#This Row],[Enrolment S.Y. 2025-2026 ]]*8</f>
        <v>8816</v>
      </c>
      <c r="K117" s="34"/>
      <c r="L117" s="32"/>
      <c r="M117" s="34"/>
      <c r="N117" s="34"/>
      <c r="O117" s="34"/>
      <c r="P117" s="34" t="e">
        <f>#REF!*8</f>
        <v>#REF!</v>
      </c>
      <c r="Q117" s="34"/>
      <c r="R117" s="32"/>
      <c r="S117" s="34"/>
      <c r="T117" s="34" t="e">
        <f t="shared" si="22"/>
        <v>#REF!</v>
      </c>
      <c r="U117" s="34" t="e">
        <f t="shared" si="23"/>
        <v>#REF!</v>
      </c>
      <c r="V117" s="34">
        <f>Table1[[#This Row],[Enrolment S.Y. 2025-2026 ]]*8</f>
        <v>8816</v>
      </c>
      <c r="W117" s="34"/>
      <c r="X117" s="32"/>
      <c r="Y117" s="34"/>
      <c r="Z117" s="34">
        <f t="shared" si="24"/>
        <v>8816</v>
      </c>
      <c r="AA117" s="34">
        <f t="shared" si="25"/>
        <v>0</v>
      </c>
    </row>
    <row r="118" spans="1:27" ht="21">
      <c r="A118" s="1">
        <v>11</v>
      </c>
      <c r="B118" s="33" t="s">
        <v>51</v>
      </c>
      <c r="C118" s="1">
        <v>1102</v>
      </c>
      <c r="D118" s="34">
        <f>Table1[[#This Row],[Enrolment S.Y. 2025-2026 ]]*8</f>
        <v>8816</v>
      </c>
      <c r="E118" s="34"/>
      <c r="F118" s="32"/>
      <c r="G118" s="34"/>
      <c r="H118" s="34">
        <f t="shared" si="18"/>
        <v>8816</v>
      </c>
      <c r="I118" s="34">
        <f t="shared" si="19"/>
        <v>0</v>
      </c>
      <c r="J118" s="34">
        <f>Table1[[#This Row],[Enrolment S.Y. 2025-2026 ]]*8</f>
        <v>8816</v>
      </c>
      <c r="K118" s="34"/>
      <c r="L118" s="32"/>
      <c r="M118" s="34"/>
      <c r="N118" s="34"/>
      <c r="O118" s="34"/>
      <c r="P118" s="34" t="e">
        <f>#REF!*8</f>
        <v>#REF!</v>
      </c>
      <c r="Q118" s="34"/>
      <c r="R118" s="32"/>
      <c r="S118" s="34"/>
      <c r="T118" s="34" t="e">
        <f t="shared" si="22"/>
        <v>#REF!</v>
      </c>
      <c r="U118" s="34" t="e">
        <f t="shared" si="23"/>
        <v>#REF!</v>
      </c>
      <c r="V118" s="34">
        <f>Table1[[#This Row],[Enrolment S.Y. 2025-2026 ]]*8</f>
        <v>8816</v>
      </c>
      <c r="W118" s="34"/>
      <c r="X118" s="32"/>
      <c r="Y118" s="34"/>
      <c r="Z118" s="34">
        <f t="shared" si="24"/>
        <v>8816</v>
      </c>
      <c r="AA118" s="34">
        <f t="shared" si="25"/>
        <v>0</v>
      </c>
    </row>
    <row r="119" spans="1:27" ht="81">
      <c r="A119" s="1">
        <v>11</v>
      </c>
      <c r="B119" s="33" t="s">
        <v>52</v>
      </c>
      <c r="C119" s="1">
        <v>1102</v>
      </c>
      <c r="D119" s="34">
        <f>Table1[[#This Row],[Enrolment S.Y. 2025-2026 ]]*8</f>
        <v>8816</v>
      </c>
      <c r="E119" s="34"/>
      <c r="F119" s="32"/>
      <c r="G119" s="34"/>
      <c r="H119" s="34">
        <f t="shared" si="18"/>
        <v>8816</v>
      </c>
      <c r="I119" s="34">
        <f t="shared" si="19"/>
        <v>0</v>
      </c>
      <c r="J119" s="34">
        <f>Table1[[#This Row],[Enrolment S.Y. 2025-2026 ]]*8</f>
        <v>8816</v>
      </c>
      <c r="K119" s="34"/>
      <c r="L119" s="32"/>
      <c r="M119" s="34"/>
      <c r="N119" s="34"/>
      <c r="O119" s="34"/>
      <c r="P119" s="34" t="e">
        <f>#REF!*8</f>
        <v>#REF!</v>
      </c>
      <c r="Q119" s="34"/>
      <c r="R119" s="32"/>
      <c r="S119" s="34"/>
      <c r="T119" s="34" t="e">
        <f t="shared" si="22"/>
        <v>#REF!</v>
      </c>
      <c r="U119" s="34" t="e">
        <f t="shared" si="23"/>
        <v>#REF!</v>
      </c>
      <c r="V119" s="34">
        <f>Table1[[#This Row],[Enrolment S.Y. 2025-2026 ]]*8</f>
        <v>8816</v>
      </c>
      <c r="W119" s="34"/>
      <c r="X119" s="32"/>
      <c r="Y119" s="34"/>
      <c r="Z119" s="34">
        <f t="shared" si="24"/>
        <v>8816</v>
      </c>
      <c r="AA119" s="34">
        <f t="shared" si="25"/>
        <v>0</v>
      </c>
    </row>
    <row r="120" spans="1:27" ht="81">
      <c r="A120" s="1">
        <v>11</v>
      </c>
      <c r="B120" s="33" t="s">
        <v>53</v>
      </c>
      <c r="C120" s="1">
        <v>1102</v>
      </c>
      <c r="D120" s="34">
        <f>Table1[[#This Row],[Enrolment S.Y. 2025-2026 ]]*8</f>
        <v>8816</v>
      </c>
      <c r="E120" s="34"/>
      <c r="F120" s="32"/>
      <c r="G120" s="34"/>
      <c r="H120" s="34">
        <f t="shared" si="18"/>
        <v>8816</v>
      </c>
      <c r="I120" s="34">
        <f t="shared" si="19"/>
        <v>0</v>
      </c>
      <c r="J120" s="34">
        <f>Table1[[#This Row],[Enrolment S.Y. 2025-2026 ]]*8</f>
        <v>8816</v>
      </c>
      <c r="K120" s="34"/>
      <c r="L120" s="32"/>
      <c r="M120" s="34"/>
      <c r="N120" s="34"/>
      <c r="O120" s="34"/>
      <c r="P120" s="34" t="e">
        <f>#REF!*8</f>
        <v>#REF!</v>
      </c>
      <c r="Q120" s="34"/>
      <c r="R120" s="32"/>
      <c r="S120" s="34"/>
      <c r="T120" s="34" t="e">
        <f t="shared" si="22"/>
        <v>#REF!</v>
      </c>
      <c r="U120" s="34" t="e">
        <f t="shared" si="23"/>
        <v>#REF!</v>
      </c>
      <c r="V120" s="34">
        <f>Table1[[#This Row],[Enrolment S.Y. 2025-2026 ]]*8</f>
        <v>8816</v>
      </c>
      <c r="W120" s="34"/>
      <c r="X120" s="32"/>
      <c r="Y120" s="34"/>
      <c r="Z120" s="34">
        <f t="shared" si="24"/>
        <v>8816</v>
      </c>
      <c r="AA120" s="34">
        <f t="shared" si="25"/>
        <v>0</v>
      </c>
    </row>
    <row r="121" spans="1:27" ht="21">
      <c r="A121" s="1">
        <v>11</v>
      </c>
      <c r="B121" s="33" t="s">
        <v>54</v>
      </c>
      <c r="C121" s="1">
        <v>1102</v>
      </c>
      <c r="D121" s="34">
        <f>Table1[[#This Row],[Enrolment S.Y. 2025-2026 ]]*8</f>
        <v>8816</v>
      </c>
      <c r="E121" s="34"/>
      <c r="F121" s="32"/>
      <c r="G121" s="34"/>
      <c r="H121" s="34">
        <f t="shared" si="18"/>
        <v>8816</v>
      </c>
      <c r="I121" s="34">
        <f t="shared" si="19"/>
        <v>0</v>
      </c>
      <c r="J121" s="34">
        <f>Table1[[#This Row],[Enrolment S.Y. 2025-2026 ]]*8</f>
        <v>8816</v>
      </c>
      <c r="K121" s="34"/>
      <c r="L121" s="32"/>
      <c r="M121" s="34"/>
      <c r="N121" s="34"/>
      <c r="O121" s="34"/>
      <c r="P121" s="34" t="e">
        <f>#REF!*8</f>
        <v>#REF!</v>
      </c>
      <c r="Q121" s="34"/>
      <c r="R121" s="32"/>
      <c r="S121" s="34"/>
      <c r="T121" s="34" t="e">
        <f t="shared" si="22"/>
        <v>#REF!</v>
      </c>
      <c r="U121" s="34" t="e">
        <f t="shared" si="23"/>
        <v>#REF!</v>
      </c>
      <c r="V121" s="34">
        <f>Table1[[#This Row],[Enrolment S.Y. 2025-2026 ]]*8</f>
        <v>8816</v>
      </c>
      <c r="W121" s="34"/>
      <c r="X121" s="32"/>
      <c r="Y121" s="34"/>
      <c r="Z121" s="34">
        <f t="shared" si="24"/>
        <v>8816</v>
      </c>
      <c r="AA121" s="34">
        <f t="shared" si="25"/>
        <v>0</v>
      </c>
    </row>
    <row r="122" spans="1:27" ht="21">
      <c r="A122" s="1">
        <v>11</v>
      </c>
      <c r="B122" s="33" t="s">
        <v>55</v>
      </c>
      <c r="C122" s="1">
        <v>1102</v>
      </c>
      <c r="D122" s="34">
        <f>Table1[[#This Row],[Enrolment S.Y. 2025-2026 ]]*8</f>
        <v>8816</v>
      </c>
      <c r="E122" s="34"/>
      <c r="F122" s="32"/>
      <c r="G122" s="34"/>
      <c r="H122" s="34">
        <f>IF((D122-E122)&lt;0,0,(D122-E122))</f>
        <v>8816</v>
      </c>
      <c r="I122" s="34">
        <f>IF((E122-D122)&lt;0,0,(E122-D122))</f>
        <v>0</v>
      </c>
      <c r="J122" s="34">
        <f>Table1[[#This Row],[Enrolment S.Y. 2025-2026 ]]*8</f>
        <v>8816</v>
      </c>
      <c r="K122" s="34"/>
      <c r="L122" s="32"/>
      <c r="M122" s="34"/>
      <c r="N122" s="34"/>
      <c r="O122" s="34"/>
      <c r="P122" s="34" t="e">
        <f>#REF!*8</f>
        <v>#REF!</v>
      </c>
      <c r="Q122" s="34"/>
      <c r="R122" s="32"/>
      <c r="S122" s="34"/>
      <c r="T122" s="34" t="e">
        <f>IF((P122-Q122)&lt;0,0,(P122-Q122))</f>
        <v>#REF!</v>
      </c>
      <c r="U122" s="34" t="e">
        <f>IF((Q122-P122)&lt;0,0,(Q122-P122))</f>
        <v>#REF!</v>
      </c>
      <c r="V122" s="34">
        <f>Table1[[#This Row],[Enrolment S.Y. 2025-2026 ]]*8</f>
        <v>8816</v>
      </c>
      <c r="W122" s="34"/>
      <c r="X122" s="32"/>
      <c r="Y122" s="34"/>
      <c r="Z122" s="34">
        <f>IF((V122-W122)&lt;0,0,(V122-W122))</f>
        <v>8816</v>
      </c>
      <c r="AA122" s="34">
        <f>IF((W122-V122)&lt;0,0,(W122-V122))</f>
        <v>0</v>
      </c>
    </row>
    <row r="123" spans="1:27" ht="19.5">
      <c r="A123" s="7"/>
      <c r="B123" s="7"/>
      <c r="C123" s="7"/>
      <c r="D123" s="7"/>
      <c r="E123" s="7"/>
      <c r="F123" s="7"/>
      <c r="G123" s="7"/>
      <c r="H123" s="7"/>
      <c r="I123" s="7"/>
      <c r="J123" s="13"/>
      <c r="K123" s="7"/>
      <c r="L123" s="7"/>
      <c r="M123" s="7"/>
      <c r="N123" s="13"/>
      <c r="O123" s="13"/>
      <c r="P123" s="13"/>
      <c r="Q123" s="7"/>
      <c r="R123" s="7"/>
      <c r="S123" s="7"/>
      <c r="T123" s="13"/>
      <c r="U123" s="13"/>
      <c r="V123" s="13"/>
      <c r="W123" s="7"/>
      <c r="X123" s="7"/>
      <c r="Y123" s="7"/>
      <c r="Z123" s="13"/>
      <c r="AA123" s="13"/>
    </row>
    <row r="124" spans="1:27" ht="57.75">
      <c r="A124" s="1">
        <v>12</v>
      </c>
      <c r="B124" s="9" t="s">
        <v>56</v>
      </c>
      <c r="C124" s="1">
        <v>1374</v>
      </c>
      <c r="D124" s="34">
        <f>Table1[[#This Row],[Enrolment S.Y. 2025-2026 ]]*8</f>
        <v>8816</v>
      </c>
      <c r="E124" s="5"/>
      <c r="F124" s="1"/>
      <c r="G124" s="5"/>
      <c r="H124" s="5">
        <f t="shared" si="18"/>
        <v>8816</v>
      </c>
      <c r="I124" s="5">
        <f t="shared" si="19"/>
        <v>0</v>
      </c>
      <c r="J124" s="5">
        <f>Table1[[#This Row],[Enrolment S.Y. 2025-2026 ]]*8</f>
        <v>8816</v>
      </c>
      <c r="K124" s="5"/>
      <c r="L124" s="1"/>
      <c r="M124" s="5"/>
      <c r="N124" s="5">
        <f t="shared" si="20"/>
        <v>8816</v>
      </c>
      <c r="O124" s="5">
        <f t="shared" si="21"/>
        <v>0</v>
      </c>
      <c r="P124" s="5">
        <f>Table1[[#This Row],[Enrolment S.Y. 2025-2026 ]]*8</f>
        <v>8816</v>
      </c>
      <c r="Q124" s="5"/>
      <c r="R124" s="1"/>
      <c r="S124" s="5"/>
      <c r="T124" s="5">
        <f t="shared" si="22"/>
        <v>8816</v>
      </c>
      <c r="U124" s="5">
        <f t="shared" si="23"/>
        <v>0</v>
      </c>
      <c r="V124" s="5">
        <f>Table1[[#This Row],[Enrolment S.Y. 2025-2026 ]]*8</f>
        <v>8816</v>
      </c>
      <c r="W124" s="5"/>
      <c r="X124" s="1"/>
      <c r="Y124" s="5"/>
      <c r="Z124" s="5">
        <f t="shared" si="24"/>
        <v>8816</v>
      </c>
      <c r="AA124" s="5">
        <f t="shared" si="25"/>
        <v>0</v>
      </c>
    </row>
    <row r="125" spans="1:27" ht="38.25">
      <c r="A125" s="1">
        <v>12</v>
      </c>
      <c r="B125" s="9" t="s">
        <v>57</v>
      </c>
      <c r="C125" s="1">
        <v>1374</v>
      </c>
      <c r="D125" s="34">
        <f>Table1[[#This Row],[Enrolment S.Y. 2025-2026 ]]*8</f>
        <v>8816</v>
      </c>
      <c r="E125" s="5"/>
      <c r="F125" s="1"/>
      <c r="G125" s="5"/>
      <c r="H125" s="5">
        <f t="shared" si="18"/>
        <v>8816</v>
      </c>
      <c r="I125" s="5">
        <f t="shared" si="19"/>
        <v>0</v>
      </c>
      <c r="J125" s="5">
        <f>Table1[[#This Row],[Enrolment S.Y. 2025-2026 ]]*8</f>
        <v>8816</v>
      </c>
      <c r="K125" s="5"/>
      <c r="L125" s="1"/>
      <c r="M125" s="5"/>
      <c r="N125" s="5">
        <f t="shared" si="20"/>
        <v>8816</v>
      </c>
      <c r="O125" s="5">
        <f t="shared" si="21"/>
        <v>0</v>
      </c>
      <c r="P125" s="5">
        <f>Table1[[#This Row],[Enrolment S.Y. 2025-2026 ]]*8</f>
        <v>8816</v>
      </c>
      <c r="Q125" s="5"/>
      <c r="R125" s="1"/>
      <c r="S125" s="5"/>
      <c r="T125" s="5">
        <f t="shared" si="22"/>
        <v>8816</v>
      </c>
      <c r="U125" s="5">
        <f t="shared" si="23"/>
        <v>0</v>
      </c>
      <c r="V125" s="5">
        <f>Table1[[#This Row],[Enrolment S.Y. 2025-2026 ]]*8</f>
        <v>8816</v>
      </c>
      <c r="W125" s="5"/>
      <c r="X125" s="1"/>
      <c r="Y125" s="5"/>
      <c r="Z125" s="5">
        <f t="shared" si="24"/>
        <v>8816</v>
      </c>
      <c r="AA125" s="5">
        <f t="shared" si="25"/>
        <v>0</v>
      </c>
    </row>
    <row r="126" spans="1:27" ht="57.75">
      <c r="A126" s="1">
        <v>12</v>
      </c>
      <c r="B126" s="9" t="s">
        <v>58</v>
      </c>
      <c r="C126" s="1">
        <v>1374</v>
      </c>
      <c r="D126" s="34">
        <f>Table1[[#This Row],[Enrolment S.Y. 2025-2026 ]]*8</f>
        <v>8816</v>
      </c>
      <c r="E126" s="5"/>
      <c r="F126" s="1"/>
      <c r="G126" s="5"/>
      <c r="H126" s="5">
        <f t="shared" si="18"/>
        <v>8816</v>
      </c>
      <c r="I126" s="5">
        <f t="shared" si="19"/>
        <v>0</v>
      </c>
      <c r="J126" s="5">
        <f>Table1[[#This Row],[Enrolment S.Y. 2025-2026 ]]*8</f>
        <v>8816</v>
      </c>
      <c r="K126" s="5"/>
      <c r="L126" s="1"/>
      <c r="M126" s="5"/>
      <c r="N126" s="5">
        <f t="shared" si="20"/>
        <v>8816</v>
      </c>
      <c r="O126" s="5">
        <f t="shared" si="21"/>
        <v>0</v>
      </c>
      <c r="P126" s="5">
        <f>Table1[[#This Row],[Enrolment S.Y. 2025-2026 ]]*8</f>
        <v>8816</v>
      </c>
      <c r="Q126" s="5"/>
      <c r="R126" s="1"/>
      <c r="S126" s="5"/>
      <c r="T126" s="5">
        <f t="shared" si="22"/>
        <v>8816</v>
      </c>
      <c r="U126" s="5">
        <f t="shared" si="23"/>
        <v>0</v>
      </c>
      <c r="V126" s="5">
        <f>Table1[[#This Row],[Enrolment S.Y. 2025-2026 ]]*8</f>
        <v>8816</v>
      </c>
      <c r="W126" s="5"/>
      <c r="X126" s="1"/>
      <c r="Y126" s="5"/>
      <c r="Z126" s="5">
        <f t="shared" si="24"/>
        <v>8816</v>
      </c>
      <c r="AA126" s="5">
        <f t="shared" si="25"/>
        <v>0</v>
      </c>
    </row>
    <row r="127" spans="1:27" ht="40.5">
      <c r="A127" s="1">
        <v>12</v>
      </c>
      <c r="B127" s="33" t="s">
        <v>59</v>
      </c>
      <c r="C127" s="1">
        <v>1374</v>
      </c>
      <c r="D127" s="34">
        <f>Table1[[#This Row],[Enrolment S.Y. 2025-2026 ]]*8</f>
        <v>8816</v>
      </c>
      <c r="E127" s="5"/>
      <c r="F127" s="1"/>
      <c r="G127" s="5"/>
      <c r="H127" s="5">
        <f t="shared" si="18"/>
        <v>8816</v>
      </c>
      <c r="I127" s="5">
        <f t="shared" si="19"/>
        <v>0</v>
      </c>
      <c r="J127" s="5">
        <f>Table1[[#This Row],[Enrolment S.Y. 2025-2026 ]]*8</f>
        <v>8816</v>
      </c>
      <c r="K127" s="5"/>
      <c r="L127" s="1"/>
      <c r="M127" s="5"/>
      <c r="N127" s="5">
        <f t="shared" si="20"/>
        <v>8816</v>
      </c>
      <c r="O127" s="5">
        <f t="shared" si="21"/>
        <v>0</v>
      </c>
      <c r="P127" s="5">
        <f>Table1[[#This Row],[Enrolment S.Y. 2025-2026 ]]*8</f>
        <v>8816</v>
      </c>
      <c r="Q127" s="5"/>
      <c r="R127" s="1"/>
      <c r="S127" s="5"/>
      <c r="T127" s="5">
        <f t="shared" si="22"/>
        <v>8816</v>
      </c>
      <c r="U127" s="5">
        <f t="shared" si="23"/>
        <v>0</v>
      </c>
      <c r="V127" s="5">
        <f>Table1[[#This Row],[Enrolment S.Y. 2025-2026 ]]*8</f>
        <v>8816</v>
      </c>
      <c r="W127" s="5"/>
      <c r="X127" s="1"/>
      <c r="Y127" s="5"/>
      <c r="Z127" s="5">
        <f t="shared" si="24"/>
        <v>8816</v>
      </c>
      <c r="AA127" s="5">
        <f t="shared" si="25"/>
        <v>0</v>
      </c>
    </row>
    <row r="128" spans="1:27" ht="21">
      <c r="A128" s="1">
        <v>12</v>
      </c>
      <c r="B128" s="33" t="s">
        <v>60</v>
      </c>
      <c r="C128" s="1">
        <v>1374</v>
      </c>
      <c r="D128" s="34">
        <f>Table1[[#This Row],[Enrolment S.Y. 2025-2026 ]]*8</f>
        <v>8816</v>
      </c>
      <c r="E128" s="5"/>
      <c r="F128" s="1"/>
      <c r="G128" s="5"/>
      <c r="H128" s="5">
        <f t="shared" si="18"/>
        <v>8816</v>
      </c>
      <c r="I128" s="5">
        <f t="shared" si="19"/>
        <v>0</v>
      </c>
      <c r="J128" s="5">
        <f>Table1[[#This Row],[Enrolment S.Y. 2025-2026 ]]*8</f>
        <v>8816</v>
      </c>
      <c r="K128" s="5"/>
      <c r="L128" s="1"/>
      <c r="M128" s="5"/>
      <c r="N128" s="5">
        <f t="shared" si="20"/>
        <v>8816</v>
      </c>
      <c r="O128" s="5">
        <f t="shared" si="21"/>
        <v>0</v>
      </c>
      <c r="P128" s="5">
        <f>Table1[[#This Row],[Enrolment S.Y. 2025-2026 ]]*8</f>
        <v>8816</v>
      </c>
      <c r="Q128" s="5"/>
      <c r="R128" s="1"/>
      <c r="S128" s="5"/>
      <c r="T128" s="5">
        <f t="shared" si="22"/>
        <v>8816</v>
      </c>
      <c r="U128" s="5">
        <f t="shared" si="23"/>
        <v>0</v>
      </c>
      <c r="V128" s="5">
        <f>Table1[[#This Row],[Enrolment S.Y. 2025-2026 ]]*8</f>
        <v>8816</v>
      </c>
      <c r="W128" s="5"/>
      <c r="X128" s="1"/>
      <c r="Y128" s="5"/>
      <c r="Z128" s="5">
        <f t="shared" si="24"/>
        <v>8816</v>
      </c>
      <c r="AA128" s="5">
        <f t="shared" si="25"/>
        <v>0</v>
      </c>
    </row>
    <row r="129" spans="1:27" ht="19.5">
      <c r="A129" s="1">
        <v>12</v>
      </c>
      <c r="B129" s="9" t="s">
        <v>61</v>
      </c>
      <c r="C129" s="1">
        <v>1374</v>
      </c>
      <c r="D129" s="34">
        <f>Table1[[#This Row],[Enrolment S.Y. 2025-2026 ]]*8</f>
        <v>8816</v>
      </c>
      <c r="E129" s="5"/>
      <c r="F129" s="1"/>
      <c r="G129" s="5"/>
      <c r="H129" s="5">
        <f t="shared" si="18"/>
        <v>8816</v>
      </c>
      <c r="I129" s="5">
        <f t="shared" si="19"/>
        <v>0</v>
      </c>
      <c r="J129" s="5">
        <f>Table1[[#This Row],[Enrolment S.Y. 2025-2026 ]]*8</f>
        <v>8816</v>
      </c>
      <c r="K129" s="5"/>
      <c r="L129" s="1"/>
      <c r="M129" s="5"/>
      <c r="N129" s="5">
        <f t="shared" si="20"/>
        <v>8816</v>
      </c>
      <c r="O129" s="5">
        <f t="shared" si="21"/>
        <v>0</v>
      </c>
      <c r="P129" s="5">
        <f>Table1[[#This Row],[Enrolment S.Y. 2025-2026 ]]*8</f>
        <v>8816</v>
      </c>
      <c r="Q129" s="5"/>
      <c r="R129" s="1"/>
      <c r="S129" s="5"/>
      <c r="T129" s="5">
        <f t="shared" si="22"/>
        <v>8816</v>
      </c>
      <c r="U129" s="5">
        <f t="shared" si="23"/>
        <v>0</v>
      </c>
      <c r="V129" s="5">
        <f>Table1[[#This Row],[Enrolment S.Y. 2025-2026 ]]*8</f>
        <v>8816</v>
      </c>
      <c r="W129" s="5"/>
      <c r="X129" s="1"/>
      <c r="Y129" s="5"/>
      <c r="Z129" s="5">
        <f t="shared" si="24"/>
        <v>8816</v>
      </c>
      <c r="AA129" s="5">
        <f t="shared" si="25"/>
        <v>0</v>
      </c>
    </row>
    <row r="130" spans="1:27" ht="38.25">
      <c r="A130" s="1">
        <v>12</v>
      </c>
      <c r="B130" s="9" t="s">
        <v>62</v>
      </c>
      <c r="C130" s="1">
        <v>1374</v>
      </c>
      <c r="D130" s="34">
        <f>Table1[[#This Row],[Enrolment S.Y. 2025-2026 ]]*8</f>
        <v>8816</v>
      </c>
      <c r="E130" s="5"/>
      <c r="F130" s="1"/>
      <c r="G130" s="5"/>
      <c r="H130" s="5">
        <f t="shared" si="18"/>
        <v>8816</v>
      </c>
      <c r="I130" s="5">
        <f t="shared" si="19"/>
        <v>0</v>
      </c>
      <c r="J130" s="5">
        <f>Table1[[#This Row],[Enrolment S.Y. 2025-2026 ]]*8</f>
        <v>8816</v>
      </c>
      <c r="K130" s="5"/>
      <c r="L130" s="1"/>
      <c r="M130" s="5"/>
      <c r="N130" s="5">
        <f t="shared" si="20"/>
        <v>8816</v>
      </c>
      <c r="O130" s="5">
        <f t="shared" si="21"/>
        <v>0</v>
      </c>
      <c r="P130" s="5">
        <f>Table1[[#This Row],[Enrolment S.Y. 2025-2026 ]]*8</f>
        <v>8816</v>
      </c>
      <c r="Q130" s="5"/>
      <c r="R130" s="1"/>
      <c r="S130" s="5"/>
      <c r="T130" s="5">
        <f t="shared" si="22"/>
        <v>8816</v>
      </c>
      <c r="U130" s="5">
        <f t="shared" si="23"/>
        <v>0</v>
      </c>
      <c r="V130" s="5">
        <f>Table1[[#This Row],[Enrolment S.Y. 2025-2026 ]]*8</f>
        <v>8816</v>
      </c>
      <c r="W130" s="5"/>
      <c r="X130" s="1"/>
      <c r="Y130" s="5"/>
      <c r="Z130" s="5">
        <f t="shared" si="24"/>
        <v>8816</v>
      </c>
      <c r="AA130" s="5">
        <f t="shared" si="25"/>
        <v>0</v>
      </c>
    </row>
    <row r="131" spans="1:27" ht="40.5">
      <c r="A131" s="1">
        <v>12</v>
      </c>
      <c r="B131" s="33" t="s">
        <v>63</v>
      </c>
      <c r="C131" s="1">
        <v>1374</v>
      </c>
      <c r="D131" s="34">
        <f>Table1[[#This Row],[Enrolment S.Y. 2025-2026 ]]*8</f>
        <v>8816</v>
      </c>
      <c r="E131" s="5"/>
      <c r="F131" s="1"/>
      <c r="G131" s="5"/>
      <c r="H131" s="5">
        <f t="shared" si="18"/>
        <v>8816</v>
      </c>
      <c r="I131" s="5">
        <f t="shared" si="19"/>
        <v>0</v>
      </c>
      <c r="J131" s="5">
        <f>Table1[[#This Row],[Enrolment S.Y. 2025-2026 ]]*8</f>
        <v>8816</v>
      </c>
      <c r="K131" s="5"/>
      <c r="L131" s="1"/>
      <c r="M131" s="5"/>
      <c r="N131" s="5">
        <f t="shared" si="20"/>
        <v>8816</v>
      </c>
      <c r="O131" s="5">
        <f t="shared" si="21"/>
        <v>0</v>
      </c>
      <c r="P131" s="5">
        <f>Table1[[#This Row],[Enrolment S.Y. 2025-2026 ]]*8</f>
        <v>8816</v>
      </c>
      <c r="Q131" s="5"/>
      <c r="R131" s="1"/>
      <c r="S131" s="5"/>
      <c r="T131" s="5">
        <f t="shared" si="22"/>
        <v>8816</v>
      </c>
      <c r="U131" s="5">
        <f t="shared" si="23"/>
        <v>0</v>
      </c>
      <c r="V131" s="5">
        <f>Table1[[#This Row],[Enrolment S.Y. 2025-2026 ]]*8</f>
        <v>8816</v>
      </c>
      <c r="W131" s="5"/>
      <c r="X131" s="1"/>
      <c r="Y131" s="5"/>
      <c r="Z131" s="5">
        <f t="shared" si="24"/>
        <v>8816</v>
      </c>
      <c r="AA131" s="5">
        <f t="shared" si="25"/>
        <v>0</v>
      </c>
    </row>
    <row r="132" spans="1:27" ht="40.5">
      <c r="A132" s="1">
        <v>12</v>
      </c>
      <c r="B132" s="33" t="s">
        <v>64</v>
      </c>
      <c r="C132" s="1">
        <v>1374</v>
      </c>
      <c r="D132" s="34">
        <f>Table1[[#This Row],[Enrolment S.Y. 2025-2026 ]]*8</f>
        <v>8816</v>
      </c>
      <c r="E132" s="5"/>
      <c r="F132" s="1"/>
      <c r="G132" s="5"/>
      <c r="H132" s="5">
        <f t="shared" si="18"/>
        <v>8816</v>
      </c>
      <c r="I132" s="5">
        <f t="shared" si="19"/>
        <v>0</v>
      </c>
      <c r="J132" s="5">
        <f>Table1[[#This Row],[Enrolment S.Y. 2025-2026 ]]*8</f>
        <v>8816</v>
      </c>
      <c r="K132" s="5"/>
      <c r="L132" s="1"/>
      <c r="M132" s="5"/>
      <c r="N132" s="5">
        <f t="shared" si="20"/>
        <v>8816</v>
      </c>
      <c r="O132" s="5">
        <f t="shared" si="21"/>
        <v>0</v>
      </c>
      <c r="P132" s="5">
        <f>Table1[[#This Row],[Enrolment S.Y. 2025-2026 ]]*8</f>
        <v>8816</v>
      </c>
      <c r="Q132" s="5"/>
      <c r="R132" s="1"/>
      <c r="S132" s="5"/>
      <c r="T132" s="5">
        <f t="shared" si="22"/>
        <v>8816</v>
      </c>
      <c r="U132" s="5">
        <f t="shared" si="23"/>
        <v>0</v>
      </c>
      <c r="V132" s="5">
        <f>Table1[[#This Row],[Enrolment S.Y. 2025-2026 ]]*8</f>
        <v>8816</v>
      </c>
      <c r="W132" s="5"/>
      <c r="X132" s="1"/>
      <c r="Y132" s="5"/>
      <c r="Z132" s="5">
        <f t="shared" si="24"/>
        <v>8816</v>
      </c>
      <c r="AA132" s="5">
        <f t="shared" si="25"/>
        <v>0</v>
      </c>
    </row>
    <row r="133" spans="1:27" ht="81">
      <c r="A133" s="1">
        <v>12</v>
      </c>
      <c r="B133" s="33" t="s">
        <v>65</v>
      </c>
      <c r="C133" s="1">
        <v>1374</v>
      </c>
      <c r="D133" s="34">
        <f>Table1[[#This Row],[Enrolment S.Y. 2025-2026 ]]*8</f>
        <v>8816</v>
      </c>
      <c r="E133" s="5"/>
      <c r="F133" s="1"/>
      <c r="G133" s="5"/>
      <c r="H133" s="5">
        <f t="shared" si="18"/>
        <v>8816</v>
      </c>
      <c r="I133" s="5">
        <f t="shared" si="19"/>
        <v>0</v>
      </c>
      <c r="J133" s="5">
        <f>Table1[[#This Row],[Enrolment S.Y. 2025-2026 ]]*8</f>
        <v>8816</v>
      </c>
      <c r="K133" s="5"/>
      <c r="L133" s="1"/>
      <c r="M133" s="5"/>
      <c r="N133" s="5">
        <f t="shared" si="20"/>
        <v>8816</v>
      </c>
      <c r="O133" s="5">
        <f t="shared" si="21"/>
        <v>0</v>
      </c>
      <c r="P133" s="5">
        <f>Table1[[#This Row],[Enrolment S.Y. 2025-2026 ]]*8</f>
        <v>8816</v>
      </c>
      <c r="Q133" s="5"/>
      <c r="R133" s="1"/>
      <c r="S133" s="5"/>
      <c r="T133" s="5">
        <f t="shared" si="22"/>
        <v>8816</v>
      </c>
      <c r="U133" s="5">
        <f t="shared" si="23"/>
        <v>0</v>
      </c>
      <c r="V133" s="5">
        <f>Table1[[#This Row],[Enrolment S.Y. 2025-2026 ]]*8</f>
        <v>8816</v>
      </c>
      <c r="W133" s="5"/>
      <c r="X133" s="1"/>
      <c r="Y133" s="5"/>
      <c r="Z133" s="5">
        <f t="shared" si="24"/>
        <v>8816</v>
      </c>
      <c r="AA133" s="5">
        <f t="shared" si="25"/>
        <v>0</v>
      </c>
    </row>
    <row r="134" spans="1:27" ht="19.5">
      <c r="A134" s="1">
        <v>12</v>
      </c>
      <c r="B134" s="9" t="s">
        <v>54</v>
      </c>
      <c r="C134" s="1">
        <v>1374</v>
      </c>
      <c r="D134" s="34">
        <f>Table1[[#This Row],[Enrolment S.Y. 2025-2026 ]]*8</f>
        <v>8816</v>
      </c>
      <c r="E134" s="5"/>
      <c r="F134" s="1"/>
      <c r="G134" s="5"/>
      <c r="H134" s="5">
        <f t="shared" si="18"/>
        <v>8816</v>
      </c>
      <c r="I134" s="5">
        <f t="shared" si="19"/>
        <v>0</v>
      </c>
      <c r="J134" s="5">
        <f>Table1[[#This Row],[Enrolment S.Y. 2025-2026 ]]*8</f>
        <v>8816</v>
      </c>
      <c r="K134" s="5"/>
      <c r="L134" s="1"/>
      <c r="M134" s="5"/>
      <c r="N134" s="5">
        <f t="shared" si="20"/>
        <v>8816</v>
      </c>
      <c r="O134" s="5">
        <f t="shared" si="21"/>
        <v>0</v>
      </c>
      <c r="P134" s="5">
        <f>Table1[[#This Row],[Enrolment S.Y. 2025-2026 ]]*8</f>
        <v>8816</v>
      </c>
      <c r="Q134" s="5"/>
      <c r="R134" s="1"/>
      <c r="S134" s="5"/>
      <c r="T134" s="5">
        <f t="shared" si="22"/>
        <v>8816</v>
      </c>
      <c r="U134" s="5">
        <f t="shared" si="23"/>
        <v>0</v>
      </c>
      <c r="V134" s="5">
        <f>Table1[[#This Row],[Enrolment S.Y. 2025-2026 ]]*8</f>
        <v>8816</v>
      </c>
      <c r="W134" s="5"/>
      <c r="X134" s="1"/>
      <c r="Y134" s="5"/>
      <c r="Z134" s="5">
        <f t="shared" si="24"/>
        <v>8816</v>
      </c>
      <c r="AA134" s="5">
        <f t="shared" si="25"/>
        <v>0</v>
      </c>
    </row>
    <row r="135" spans="1:27" ht="21">
      <c r="A135" s="1">
        <v>12</v>
      </c>
      <c r="B135" s="33" t="s">
        <v>66</v>
      </c>
      <c r="C135" s="1">
        <v>1374</v>
      </c>
      <c r="D135" s="34">
        <f>Table1[[#This Row],[Enrolment S.Y. 2025-2026 ]]*8</f>
        <v>0</v>
      </c>
      <c r="E135" s="5"/>
      <c r="F135" s="1"/>
      <c r="G135" s="5"/>
      <c r="H135" s="5">
        <f t="shared" si="18"/>
        <v>0</v>
      </c>
      <c r="I135" s="5">
        <f t="shared" si="19"/>
        <v>0</v>
      </c>
      <c r="J135" s="5">
        <f>Table1[[#This Row],[Enrolment S.Y. 2025-2026 ]]*8</f>
        <v>0</v>
      </c>
      <c r="K135" s="5"/>
      <c r="L135" s="1"/>
      <c r="M135" s="5"/>
      <c r="N135" s="5">
        <f t="shared" si="20"/>
        <v>0</v>
      </c>
      <c r="O135" s="5">
        <f t="shared" si="21"/>
        <v>0</v>
      </c>
      <c r="P135" s="5">
        <f>Table1[[#This Row],[Enrolment S.Y. 2025-2026 ]]*8</f>
        <v>0</v>
      </c>
      <c r="Q135" s="5"/>
      <c r="R135" s="1"/>
      <c r="S135" s="5"/>
      <c r="T135" s="5">
        <f t="shared" si="22"/>
        <v>0</v>
      </c>
      <c r="U135" s="5">
        <f t="shared" si="23"/>
        <v>0</v>
      </c>
      <c r="V135" s="5">
        <f>Table1[[#This Row],[Enrolment S.Y. 2025-2026 ]]*8</f>
        <v>0</v>
      </c>
      <c r="W135" s="5"/>
      <c r="X135" s="1"/>
      <c r="Y135" s="5"/>
      <c r="Z135" s="5">
        <f t="shared" si="24"/>
        <v>0</v>
      </c>
      <c r="AA135" s="5">
        <f t="shared" si="25"/>
        <v>0</v>
      </c>
    </row>
    <row r="136" spans="1:27" ht="21">
      <c r="A136" s="1">
        <v>12</v>
      </c>
      <c r="B136" s="33" t="s">
        <v>67</v>
      </c>
      <c r="C136" s="1">
        <v>1374</v>
      </c>
      <c r="D136" s="34">
        <f>Table1[[#This Row],[Enrolment S.Y. 2025-2026 ]]*8</f>
        <v>10992</v>
      </c>
      <c r="E136" s="5"/>
      <c r="F136" s="1"/>
      <c r="G136" s="5"/>
      <c r="H136" s="5">
        <f t="shared" si="18"/>
        <v>10992</v>
      </c>
      <c r="I136" s="5">
        <f t="shared" si="19"/>
        <v>0</v>
      </c>
      <c r="J136" s="5">
        <f>Table1[[#This Row],[Enrolment S.Y. 2025-2026 ]]*8</f>
        <v>10992</v>
      </c>
      <c r="K136" s="5"/>
      <c r="L136" s="1"/>
      <c r="M136" s="5"/>
      <c r="N136" s="5">
        <f t="shared" si="20"/>
        <v>10992</v>
      </c>
      <c r="O136" s="5">
        <f t="shared" si="21"/>
        <v>0</v>
      </c>
      <c r="P136" s="5">
        <f>Table1[[#This Row],[Enrolment S.Y. 2025-2026 ]]*8</f>
        <v>10992</v>
      </c>
      <c r="Q136" s="5"/>
      <c r="R136" s="1"/>
      <c r="S136" s="5"/>
      <c r="T136" s="5">
        <f t="shared" si="22"/>
        <v>10992</v>
      </c>
      <c r="U136" s="5">
        <f t="shared" si="23"/>
        <v>0</v>
      </c>
      <c r="V136" s="5">
        <f>Table1[[#This Row],[Enrolment S.Y. 2025-2026 ]]*8</f>
        <v>10992</v>
      </c>
      <c r="W136" s="5"/>
      <c r="X136" s="1"/>
      <c r="Y136" s="5"/>
      <c r="Z136" s="5">
        <f t="shared" si="24"/>
        <v>10992</v>
      </c>
      <c r="AA136" s="5">
        <f t="shared" si="25"/>
        <v>0</v>
      </c>
    </row>
    <row r="137" spans="1:27" ht="21">
      <c r="A137" s="1">
        <v>12</v>
      </c>
      <c r="B137" s="33" t="s">
        <v>68</v>
      </c>
      <c r="C137" s="1">
        <v>1374</v>
      </c>
      <c r="D137" s="34">
        <f>Table1[[#This Row],[Enrolment S.Y. 2025-2026 ]]*8</f>
        <v>10992</v>
      </c>
      <c r="E137" s="5"/>
      <c r="F137" s="1"/>
      <c r="G137" s="5"/>
      <c r="H137" s="5">
        <f t="shared" si="18"/>
        <v>10992</v>
      </c>
      <c r="I137" s="5">
        <f t="shared" si="19"/>
        <v>0</v>
      </c>
      <c r="J137" s="5">
        <f>Table1[[#This Row],[Enrolment S.Y. 2025-2026 ]]*8</f>
        <v>10992</v>
      </c>
      <c r="K137" s="5"/>
      <c r="L137" s="1"/>
      <c r="M137" s="5"/>
      <c r="N137" s="5">
        <f t="shared" si="20"/>
        <v>10992</v>
      </c>
      <c r="O137" s="5">
        <f t="shared" si="21"/>
        <v>0</v>
      </c>
      <c r="P137" s="5">
        <f>Table1[[#This Row],[Enrolment S.Y. 2025-2026 ]]*8</f>
        <v>10992</v>
      </c>
      <c r="Q137" s="5"/>
      <c r="R137" s="1"/>
      <c r="S137" s="5"/>
      <c r="T137" s="5">
        <f t="shared" si="22"/>
        <v>10992</v>
      </c>
      <c r="U137" s="5">
        <f t="shared" si="23"/>
        <v>0</v>
      </c>
      <c r="V137" s="5">
        <f>Table1[[#This Row],[Enrolment S.Y. 2025-2026 ]]*8</f>
        <v>10992</v>
      </c>
      <c r="W137" s="5"/>
      <c r="X137" s="1"/>
      <c r="Y137" s="5"/>
      <c r="Z137" s="5">
        <f t="shared" si="24"/>
        <v>10992</v>
      </c>
      <c r="AA137" s="5">
        <f t="shared" si="25"/>
        <v>0</v>
      </c>
    </row>
    <row r="138" spans="1:27" ht="42">
      <c r="A138" s="1">
        <v>12</v>
      </c>
      <c r="B138" s="43" t="s">
        <v>69</v>
      </c>
      <c r="C138" s="1">
        <v>1374</v>
      </c>
      <c r="D138" s="34">
        <f>Table1[[#This Row],[Enrolment S.Y. 2025-2026 ]]*8</f>
        <v>10992</v>
      </c>
      <c r="E138" s="5"/>
      <c r="F138" s="1"/>
      <c r="G138" s="5"/>
      <c r="H138" s="5">
        <f t="shared" si="18"/>
        <v>10992</v>
      </c>
      <c r="I138" s="5">
        <f t="shared" si="19"/>
        <v>0</v>
      </c>
      <c r="J138" s="5">
        <f>Table1[[#This Row],[Enrolment S.Y. 2025-2026 ]]*8</f>
        <v>10992</v>
      </c>
      <c r="K138" s="5"/>
      <c r="L138" s="1"/>
      <c r="M138" s="5"/>
      <c r="N138" s="5">
        <f t="shared" si="20"/>
        <v>10992</v>
      </c>
      <c r="O138" s="5">
        <f t="shared" si="21"/>
        <v>0</v>
      </c>
      <c r="P138" s="5">
        <f>Table1[[#This Row],[Enrolment S.Y. 2025-2026 ]]*8</f>
        <v>10992</v>
      </c>
      <c r="Q138" s="5"/>
      <c r="R138" s="1"/>
      <c r="S138" s="5"/>
      <c r="T138" s="5">
        <f t="shared" si="22"/>
        <v>10992</v>
      </c>
      <c r="U138" s="5">
        <f t="shared" si="23"/>
        <v>0</v>
      </c>
      <c r="V138" s="5">
        <f>Table1[[#This Row],[Enrolment S.Y. 2025-2026 ]]*8</f>
        <v>10992</v>
      </c>
      <c r="W138" s="5"/>
      <c r="X138" s="1"/>
      <c r="Y138" s="5"/>
      <c r="Z138" s="5">
        <f t="shared" si="24"/>
        <v>10992</v>
      </c>
      <c r="AA138" s="5">
        <f t="shared" si="25"/>
        <v>0</v>
      </c>
    </row>
    <row r="139" spans="1:27" ht="21">
      <c r="A139" s="3">
        <v>12</v>
      </c>
      <c r="B139" s="33" t="s">
        <v>70</v>
      </c>
      <c r="C139" s="1">
        <v>1374</v>
      </c>
      <c r="D139" s="34">
        <f>Table1[[#This Row],[Enrolment S.Y. 2025-2026 ]]*8</f>
        <v>10992</v>
      </c>
      <c r="E139" s="34"/>
      <c r="F139" s="32"/>
      <c r="G139" s="34"/>
      <c r="H139" s="34">
        <f t="shared" si="18"/>
        <v>10992</v>
      </c>
      <c r="I139" s="34">
        <f t="shared" si="19"/>
        <v>0</v>
      </c>
      <c r="J139" s="34">
        <f>Table1[[#This Row],[Enrolment S.Y. 2025-2026 ]]*8</f>
        <v>10992</v>
      </c>
      <c r="K139" s="34"/>
      <c r="L139" s="32"/>
      <c r="M139" s="34"/>
      <c r="N139" s="34"/>
      <c r="O139" s="34"/>
      <c r="P139" s="34" t="e">
        <f>#REF!*8</f>
        <v>#REF!</v>
      </c>
      <c r="Q139" s="34"/>
      <c r="R139" s="32"/>
      <c r="S139" s="34"/>
      <c r="T139" s="34" t="e">
        <f t="shared" si="22"/>
        <v>#REF!</v>
      </c>
      <c r="U139" s="34" t="e">
        <f t="shared" si="23"/>
        <v>#REF!</v>
      </c>
      <c r="V139" s="34">
        <f>Table1[[#This Row],[Enrolment S.Y. 2025-2026 ]]*8</f>
        <v>10992</v>
      </c>
      <c r="W139" s="34"/>
      <c r="X139" s="32"/>
      <c r="Y139" s="34"/>
      <c r="Z139" s="34">
        <f t="shared" si="24"/>
        <v>10992</v>
      </c>
      <c r="AA139" s="34">
        <f t="shared" si="25"/>
        <v>0</v>
      </c>
    </row>
    <row r="140" spans="1:27" ht="40.5">
      <c r="A140" s="1">
        <v>12</v>
      </c>
      <c r="B140" s="33" t="s">
        <v>71</v>
      </c>
      <c r="C140" s="1">
        <v>1374</v>
      </c>
      <c r="D140" s="34">
        <f>Table1[[#This Row],[Enrolment S.Y. 2025-2026 ]]*8</f>
        <v>10992</v>
      </c>
      <c r="E140" s="34"/>
      <c r="F140" s="32"/>
      <c r="G140" s="34"/>
      <c r="H140" s="34">
        <f t="shared" si="18"/>
        <v>10992</v>
      </c>
      <c r="I140" s="34">
        <f t="shared" si="19"/>
        <v>0</v>
      </c>
      <c r="J140" s="34">
        <f>Table1[[#This Row],[Enrolment S.Y. 2025-2026 ]]*8</f>
        <v>10992</v>
      </c>
      <c r="K140" s="34"/>
      <c r="L140" s="32"/>
      <c r="M140" s="34"/>
      <c r="N140" s="34"/>
      <c r="O140" s="34"/>
      <c r="P140" s="34" t="e">
        <f>#REF!*8</f>
        <v>#REF!</v>
      </c>
      <c r="Q140" s="34"/>
      <c r="R140" s="32"/>
      <c r="S140" s="34"/>
      <c r="T140" s="34" t="e">
        <f t="shared" si="22"/>
        <v>#REF!</v>
      </c>
      <c r="U140" s="34" t="e">
        <f t="shared" si="23"/>
        <v>#REF!</v>
      </c>
      <c r="V140" s="34">
        <f>Table1[[#This Row],[Enrolment S.Y. 2025-2026 ]]*8</f>
        <v>10992</v>
      </c>
      <c r="W140" s="34"/>
      <c r="X140" s="32"/>
      <c r="Y140" s="34"/>
      <c r="Z140" s="34">
        <f t="shared" si="24"/>
        <v>10992</v>
      </c>
      <c r="AA140" s="34">
        <f t="shared" si="25"/>
        <v>0</v>
      </c>
    </row>
    <row r="141" spans="1:27" ht="40.5">
      <c r="A141" s="1">
        <v>12</v>
      </c>
      <c r="B141" s="33" t="s">
        <v>72</v>
      </c>
      <c r="C141" s="1">
        <v>1374</v>
      </c>
      <c r="D141" s="34">
        <f>Table1[[#This Row],[Enrolment S.Y. 2025-2026 ]]*8</f>
        <v>10992</v>
      </c>
      <c r="E141" s="34"/>
      <c r="F141" s="32"/>
      <c r="G141" s="34"/>
      <c r="H141" s="34">
        <f t="shared" si="18"/>
        <v>10992</v>
      </c>
      <c r="I141" s="34">
        <f t="shared" si="19"/>
        <v>0</v>
      </c>
      <c r="J141" s="34">
        <f>Table1[[#This Row],[Enrolment S.Y. 2025-2026 ]]*8</f>
        <v>10992</v>
      </c>
      <c r="K141" s="34"/>
      <c r="L141" s="32"/>
      <c r="M141" s="34"/>
      <c r="N141" s="34"/>
      <c r="O141" s="34"/>
      <c r="P141" s="34" t="e">
        <f>#REF!*8</f>
        <v>#REF!</v>
      </c>
      <c r="Q141" s="34"/>
      <c r="R141" s="32"/>
      <c r="S141" s="34"/>
      <c r="T141" s="34" t="e">
        <f t="shared" si="22"/>
        <v>#REF!</v>
      </c>
      <c r="U141" s="34" t="e">
        <f t="shared" si="23"/>
        <v>#REF!</v>
      </c>
      <c r="V141" s="34">
        <f>Table1[[#This Row],[Enrolment S.Y. 2025-2026 ]]*8</f>
        <v>10992</v>
      </c>
      <c r="W141" s="34"/>
      <c r="X141" s="32"/>
      <c r="Y141" s="34"/>
      <c r="Z141" s="34">
        <f t="shared" si="24"/>
        <v>10992</v>
      </c>
      <c r="AA141" s="34">
        <f t="shared" si="25"/>
        <v>0</v>
      </c>
    </row>
    <row r="142" spans="1:27" ht="40.5">
      <c r="A142" s="1">
        <v>12</v>
      </c>
      <c r="B142" s="42" t="s">
        <v>73</v>
      </c>
      <c r="C142" s="1">
        <v>1374</v>
      </c>
      <c r="D142" s="34">
        <f>Table1[[#This Row],[Enrolment S.Y. 2025-2026 ]]*8</f>
        <v>10992</v>
      </c>
      <c r="E142" s="34"/>
      <c r="F142" s="32"/>
      <c r="G142" s="34"/>
      <c r="H142" s="34">
        <f t="shared" si="18"/>
        <v>10992</v>
      </c>
      <c r="I142" s="34">
        <f t="shared" si="19"/>
        <v>0</v>
      </c>
      <c r="J142" s="34">
        <f>Table1[[#This Row],[Enrolment S.Y. 2025-2026 ]]*8</f>
        <v>10992</v>
      </c>
      <c r="K142" s="34"/>
      <c r="L142" s="32"/>
      <c r="M142" s="34"/>
      <c r="N142" s="34"/>
      <c r="O142" s="34"/>
      <c r="P142" s="34" t="e">
        <f>#REF!*8</f>
        <v>#REF!</v>
      </c>
      <c r="Q142" s="34"/>
      <c r="R142" s="32"/>
      <c r="S142" s="34"/>
      <c r="T142" s="34" t="e">
        <f t="shared" si="22"/>
        <v>#REF!</v>
      </c>
      <c r="U142" s="34" t="e">
        <f t="shared" si="23"/>
        <v>#REF!</v>
      </c>
      <c r="V142" s="34">
        <f>Table1[[#This Row],[Enrolment S.Y. 2025-2026 ]]*8</f>
        <v>10992</v>
      </c>
      <c r="W142" s="34"/>
      <c r="X142" s="32"/>
      <c r="Y142" s="34"/>
      <c r="Z142" s="34">
        <f t="shared" si="24"/>
        <v>10992</v>
      </c>
      <c r="AA142" s="34">
        <f t="shared" si="25"/>
        <v>0</v>
      </c>
    </row>
    <row r="143" spans="1:27" ht="21">
      <c r="A143" s="1">
        <v>12</v>
      </c>
      <c r="B143" s="33" t="s">
        <v>74</v>
      </c>
      <c r="C143" s="1">
        <v>1374</v>
      </c>
      <c r="D143" s="34">
        <f>Table1[[#This Row],[Enrolment S.Y. 2025-2026 ]]*8</f>
        <v>10992</v>
      </c>
      <c r="E143" s="34"/>
      <c r="F143" s="32"/>
      <c r="G143" s="34"/>
      <c r="H143" s="34">
        <f t="shared" si="18"/>
        <v>10992</v>
      </c>
      <c r="I143" s="34">
        <f t="shared" si="19"/>
        <v>0</v>
      </c>
      <c r="J143" s="34">
        <f>Table1[[#This Row],[Enrolment S.Y. 2025-2026 ]]*8</f>
        <v>10992</v>
      </c>
      <c r="K143" s="34"/>
      <c r="L143" s="32"/>
      <c r="M143" s="34"/>
      <c r="N143" s="34"/>
      <c r="O143" s="34"/>
      <c r="P143" s="34" t="e">
        <f>#REF!*8</f>
        <v>#REF!</v>
      </c>
      <c r="Q143" s="34"/>
      <c r="R143" s="32"/>
      <c r="S143" s="34"/>
      <c r="T143" s="34" t="e">
        <f t="shared" si="22"/>
        <v>#REF!</v>
      </c>
      <c r="U143" s="34" t="e">
        <f t="shared" si="23"/>
        <v>#REF!</v>
      </c>
      <c r="V143" s="34">
        <f>Table1[[#This Row],[Enrolment S.Y. 2025-2026 ]]*8</f>
        <v>10992</v>
      </c>
      <c r="W143" s="34"/>
      <c r="X143" s="32"/>
      <c r="Y143" s="34"/>
      <c r="Z143" s="34">
        <f t="shared" si="24"/>
        <v>10992</v>
      </c>
      <c r="AA143" s="34">
        <f t="shared" si="25"/>
        <v>0</v>
      </c>
    </row>
    <row r="144" spans="1:27" ht="21">
      <c r="A144" s="1">
        <v>12</v>
      </c>
      <c r="B144" s="33" t="s">
        <v>75</v>
      </c>
      <c r="C144" s="1">
        <v>1374</v>
      </c>
      <c r="D144" s="34">
        <f>Table1[[#This Row],[Enrolment S.Y. 2025-2026 ]]*8</f>
        <v>10992</v>
      </c>
      <c r="E144" s="34"/>
      <c r="F144" s="32"/>
      <c r="G144" s="34"/>
      <c r="H144" s="34">
        <f t="shared" si="18"/>
        <v>10992</v>
      </c>
      <c r="I144" s="34">
        <f t="shared" si="19"/>
        <v>0</v>
      </c>
      <c r="J144" s="34">
        <f>Table1[[#This Row],[Enrolment S.Y. 2025-2026 ]]*8</f>
        <v>10992</v>
      </c>
      <c r="K144" s="34"/>
      <c r="L144" s="32"/>
      <c r="M144" s="34"/>
      <c r="N144" s="34"/>
      <c r="O144" s="34"/>
      <c r="P144" s="34" t="e">
        <f>#REF!*8</f>
        <v>#REF!</v>
      </c>
      <c r="Q144" s="34"/>
      <c r="R144" s="32"/>
      <c r="S144" s="34"/>
      <c r="T144" s="34" t="e">
        <f t="shared" si="22"/>
        <v>#REF!</v>
      </c>
      <c r="U144" s="34" t="e">
        <f t="shared" si="23"/>
        <v>#REF!</v>
      </c>
      <c r="V144" s="34">
        <f>Table1[[#This Row],[Enrolment S.Y. 2025-2026 ]]*8</f>
        <v>10992</v>
      </c>
      <c r="W144" s="34"/>
      <c r="X144" s="32"/>
      <c r="Y144" s="34"/>
      <c r="Z144" s="34">
        <f t="shared" si="24"/>
        <v>10992</v>
      </c>
      <c r="AA144" s="34">
        <f t="shared" si="25"/>
        <v>0</v>
      </c>
    </row>
    <row r="145" spans="1:27" ht="40.5">
      <c r="A145" s="1">
        <v>12</v>
      </c>
      <c r="B145" s="33" t="s">
        <v>76</v>
      </c>
      <c r="C145" s="1">
        <v>1374</v>
      </c>
      <c r="D145" s="34">
        <f>Table1[[#This Row],[Enrolment S.Y. 2025-2026 ]]*8</f>
        <v>10992</v>
      </c>
      <c r="E145" s="34"/>
      <c r="F145" s="32"/>
      <c r="G145" s="34"/>
      <c r="H145" s="34">
        <f t="shared" si="18"/>
        <v>10992</v>
      </c>
      <c r="I145" s="34">
        <f t="shared" si="19"/>
        <v>0</v>
      </c>
      <c r="J145" s="34">
        <f>Table1[[#This Row],[Enrolment S.Y. 2025-2026 ]]*8</f>
        <v>10992</v>
      </c>
      <c r="K145" s="34"/>
      <c r="L145" s="32"/>
      <c r="M145" s="34"/>
      <c r="N145" s="34"/>
      <c r="O145" s="34"/>
      <c r="P145" s="34" t="e">
        <f>#REF!*8</f>
        <v>#REF!</v>
      </c>
      <c r="Q145" s="34"/>
      <c r="R145" s="32"/>
      <c r="S145" s="34"/>
      <c r="T145" s="34" t="e">
        <f t="shared" si="22"/>
        <v>#REF!</v>
      </c>
      <c r="U145" s="34" t="e">
        <f t="shared" si="23"/>
        <v>#REF!</v>
      </c>
      <c r="V145" s="34">
        <f>Table1[[#This Row],[Enrolment S.Y. 2025-2026 ]]*8</f>
        <v>10992</v>
      </c>
      <c r="W145" s="34"/>
      <c r="X145" s="32"/>
      <c r="Y145" s="34"/>
      <c r="Z145" s="34">
        <f t="shared" si="24"/>
        <v>10992</v>
      </c>
      <c r="AA145" s="34">
        <f t="shared" si="25"/>
        <v>0</v>
      </c>
    </row>
    <row r="146" spans="1:27" ht="21">
      <c r="A146" s="1">
        <v>12</v>
      </c>
      <c r="B146" s="33" t="s">
        <v>77</v>
      </c>
      <c r="C146" s="1">
        <v>1374</v>
      </c>
      <c r="D146" s="34">
        <f>Table1[[#This Row],[Enrolment S.Y. 2025-2026 ]]*8</f>
        <v>10992</v>
      </c>
      <c r="E146" s="34"/>
      <c r="F146" s="32"/>
      <c r="G146" s="34"/>
      <c r="H146" s="34">
        <f t="shared" si="18"/>
        <v>10992</v>
      </c>
      <c r="I146" s="34">
        <f t="shared" si="19"/>
        <v>0</v>
      </c>
      <c r="J146" s="34">
        <f>Table1[[#This Row],[Enrolment S.Y. 2025-2026 ]]*8</f>
        <v>10992</v>
      </c>
      <c r="K146" s="34"/>
      <c r="L146" s="32"/>
      <c r="M146" s="34"/>
      <c r="N146" s="34"/>
      <c r="O146" s="34"/>
      <c r="P146" s="34" t="e">
        <f>#REF!*8</f>
        <v>#REF!</v>
      </c>
      <c r="Q146" s="34"/>
      <c r="R146" s="32"/>
      <c r="S146" s="34"/>
      <c r="T146" s="34" t="e">
        <f t="shared" si="22"/>
        <v>#REF!</v>
      </c>
      <c r="U146" s="34" t="e">
        <f t="shared" si="23"/>
        <v>#REF!</v>
      </c>
      <c r="V146" s="34">
        <f>Table1[[#This Row],[Enrolment S.Y. 2025-2026 ]]*8</f>
        <v>10992</v>
      </c>
      <c r="W146" s="34"/>
      <c r="X146" s="32"/>
      <c r="Y146" s="34"/>
      <c r="Z146" s="34">
        <f t="shared" si="24"/>
        <v>10992</v>
      </c>
      <c r="AA146" s="34">
        <f t="shared" si="25"/>
        <v>0</v>
      </c>
    </row>
    <row r="147" spans="1:27" ht="40.5">
      <c r="A147" s="1">
        <v>12</v>
      </c>
      <c r="B147" s="42" t="s">
        <v>78</v>
      </c>
      <c r="C147" s="1">
        <v>1374</v>
      </c>
      <c r="D147" s="34">
        <f>Table1[[#This Row],[Enrolment S.Y. 2025-2026 ]]*8</f>
        <v>10992</v>
      </c>
      <c r="E147" s="34"/>
      <c r="F147" s="32"/>
      <c r="G147" s="34"/>
      <c r="H147" s="34">
        <f t="shared" si="18"/>
        <v>10992</v>
      </c>
      <c r="I147" s="34">
        <f t="shared" si="19"/>
        <v>0</v>
      </c>
      <c r="J147" s="34">
        <f>Table1[[#This Row],[Enrolment S.Y. 2025-2026 ]]*8</f>
        <v>10992</v>
      </c>
      <c r="K147" s="34"/>
      <c r="L147" s="32"/>
      <c r="M147" s="34"/>
      <c r="N147" s="34"/>
      <c r="O147" s="34"/>
      <c r="P147" s="34" t="e">
        <f>#REF!*8</f>
        <v>#REF!</v>
      </c>
      <c r="Q147" s="34"/>
      <c r="R147" s="32"/>
      <c r="S147" s="34"/>
      <c r="T147" s="34" t="e">
        <f t="shared" si="22"/>
        <v>#REF!</v>
      </c>
      <c r="U147" s="34" t="e">
        <f t="shared" si="23"/>
        <v>#REF!</v>
      </c>
      <c r="V147" s="34">
        <f>Table1[[#This Row],[Enrolment S.Y. 2025-2026 ]]*8</f>
        <v>10992</v>
      </c>
      <c r="W147" s="34"/>
      <c r="X147" s="32"/>
      <c r="Y147" s="34"/>
      <c r="Z147" s="34">
        <f t="shared" si="24"/>
        <v>10992</v>
      </c>
      <c r="AA147" s="34">
        <f t="shared" si="25"/>
        <v>0</v>
      </c>
    </row>
    <row r="148" spans="1:27" ht="40.5">
      <c r="A148" s="1">
        <v>12</v>
      </c>
      <c r="B148" s="33" t="s">
        <v>79</v>
      </c>
      <c r="C148" s="1">
        <v>1374</v>
      </c>
      <c r="D148" s="34">
        <f>Table1[[#This Row],[Enrolment S.Y. 2025-2026 ]]*8</f>
        <v>10992</v>
      </c>
      <c r="E148" s="34"/>
      <c r="F148" s="32"/>
      <c r="G148" s="34"/>
      <c r="H148" s="34">
        <f t="shared" si="18"/>
        <v>10992</v>
      </c>
      <c r="I148" s="34">
        <f t="shared" si="19"/>
        <v>0</v>
      </c>
      <c r="J148" s="34">
        <f>Table1[[#This Row],[Enrolment S.Y. 2025-2026 ]]*8</f>
        <v>10992</v>
      </c>
      <c r="K148" s="34"/>
      <c r="L148" s="32"/>
      <c r="M148" s="34"/>
      <c r="N148" s="34"/>
      <c r="O148" s="34"/>
      <c r="P148" s="34" t="e">
        <f>#REF!*8</f>
        <v>#REF!</v>
      </c>
      <c r="Q148" s="34"/>
      <c r="R148" s="32"/>
      <c r="S148" s="34"/>
      <c r="T148" s="34" t="e">
        <f t="shared" si="22"/>
        <v>#REF!</v>
      </c>
      <c r="U148" s="34" t="e">
        <f t="shared" si="23"/>
        <v>#REF!</v>
      </c>
      <c r="V148" s="34">
        <f>Table1[[#This Row],[Enrolment S.Y. 2025-2026 ]]*8</f>
        <v>10992</v>
      </c>
      <c r="W148" s="34"/>
      <c r="X148" s="32"/>
      <c r="Y148" s="34"/>
      <c r="Z148" s="34">
        <f t="shared" si="24"/>
        <v>10992</v>
      </c>
      <c r="AA148" s="34">
        <f t="shared" si="25"/>
        <v>0</v>
      </c>
    </row>
    <row r="149" spans="1:27" ht="40.5">
      <c r="A149" s="1">
        <v>12</v>
      </c>
      <c r="B149" s="33" t="s">
        <v>80</v>
      </c>
      <c r="C149" s="1">
        <v>1374</v>
      </c>
      <c r="D149" s="34">
        <f>Table1[[#This Row],[Enrolment S.Y. 2025-2026 ]]*8</f>
        <v>10992</v>
      </c>
      <c r="E149" s="34"/>
      <c r="F149" s="32"/>
      <c r="G149" s="34"/>
      <c r="H149" s="34">
        <f t="shared" si="18"/>
        <v>10992</v>
      </c>
      <c r="I149" s="34">
        <f t="shared" si="19"/>
        <v>0</v>
      </c>
      <c r="J149" s="34">
        <f>Table1[[#This Row],[Enrolment S.Y. 2025-2026 ]]*8</f>
        <v>10992</v>
      </c>
      <c r="K149" s="34"/>
      <c r="L149" s="32"/>
      <c r="M149" s="34"/>
      <c r="N149" s="34"/>
      <c r="O149" s="34"/>
      <c r="P149" s="34" t="e">
        <f>#REF!*8</f>
        <v>#REF!</v>
      </c>
      <c r="Q149" s="34"/>
      <c r="R149" s="32"/>
      <c r="S149" s="34"/>
      <c r="T149" s="34" t="e">
        <f t="shared" si="22"/>
        <v>#REF!</v>
      </c>
      <c r="U149" s="34" t="e">
        <f t="shared" si="23"/>
        <v>#REF!</v>
      </c>
      <c r="V149" s="34">
        <f>Table1[[#This Row],[Enrolment S.Y. 2025-2026 ]]*8</f>
        <v>10992</v>
      </c>
      <c r="W149" s="34"/>
      <c r="X149" s="32"/>
      <c r="Y149" s="34"/>
      <c r="Z149" s="34">
        <f t="shared" si="24"/>
        <v>10992</v>
      </c>
      <c r="AA149" s="34">
        <f t="shared" si="25"/>
        <v>0</v>
      </c>
    </row>
    <row r="150" spans="1:27" ht="21">
      <c r="A150" s="1">
        <v>12</v>
      </c>
      <c r="B150" s="33" t="s">
        <v>81</v>
      </c>
      <c r="C150" s="1">
        <v>1374</v>
      </c>
      <c r="D150" s="34">
        <f>Table1[[#This Row],[Enrolment S.Y. 2025-2026 ]]*8</f>
        <v>10992</v>
      </c>
      <c r="E150" s="34"/>
      <c r="F150" s="32"/>
      <c r="G150" s="34"/>
      <c r="H150" s="34">
        <f t="shared" si="18"/>
        <v>10992</v>
      </c>
      <c r="I150" s="34">
        <f t="shared" si="19"/>
        <v>0</v>
      </c>
      <c r="J150" s="34">
        <f>Table1[[#This Row],[Enrolment S.Y. 2025-2026 ]]*8</f>
        <v>10992</v>
      </c>
      <c r="K150" s="34"/>
      <c r="L150" s="32"/>
      <c r="M150" s="34"/>
      <c r="N150" s="34"/>
      <c r="O150" s="34"/>
      <c r="P150" s="34" t="e">
        <f>#REF!*8</f>
        <v>#REF!</v>
      </c>
      <c r="Q150" s="34"/>
      <c r="R150" s="32"/>
      <c r="S150" s="34"/>
      <c r="T150" s="34" t="e">
        <f t="shared" si="22"/>
        <v>#REF!</v>
      </c>
      <c r="U150" s="34" t="e">
        <f t="shared" si="23"/>
        <v>#REF!</v>
      </c>
      <c r="V150" s="34">
        <f>Table1[[#This Row],[Enrolment S.Y. 2025-2026 ]]*8</f>
        <v>10992</v>
      </c>
      <c r="W150" s="34"/>
      <c r="X150" s="32"/>
      <c r="Y150" s="34"/>
      <c r="Z150" s="34">
        <f t="shared" si="24"/>
        <v>10992</v>
      </c>
      <c r="AA150" s="34">
        <f t="shared" si="25"/>
        <v>0</v>
      </c>
    </row>
  </sheetData>
  <protectedRanges>
    <protectedRange sqref="C1:E90" name="Textbooks"/>
    <protectedRange sqref="F1:F90" name="SOURCE"/>
    <protectedRange sqref="D91:F122 H91:I122 Q91:R122 W91:X122 H124:I150 W124:X150 K91:L122 K124:L150 Q124:R150 T91:V150 J91:J150 N91:P150 D124:F150 Z91:AA150" name="LAS"/>
    <protectedRange sqref="S91:S122 M91:M122 Y91:Y122 G91:G122 Y124:Y150 S124:S150 M124:M150 G124:G150" name="SOURCE_1"/>
    <protectedRange sqref="C91:C122" name="Textbooks_1"/>
    <protectedRange sqref="C124:C150" name="Textbooks_2"/>
  </protectedRanges>
  <phoneticPr fontId="8" type="noConversion"/>
  <dataValidations count="4">
    <dataValidation type="list" allowBlank="1" showInputMessage="1" showErrorMessage="1" sqref="F91:F122 R91:R122 L91:L122 L124:L150 R124:R150 X91:X122 X124:X150 F124:F150" xr:uid="{1E841372-844C-48F7-A0CD-EBBF3436C3A1}">
      <formula1>"2024,2025"</formula1>
    </dataValidation>
    <dataValidation type="list" allowBlank="1" showInputMessage="1" showErrorMessage="1" sqref="F14:F19 F21:F29 F31:F39 F41:F49 F51:F59 F61:F69 F71:F79 F81:F89 F2:F6 F8:F12 S124:S150 M124:M150 Y124:Y150 G124:G150" xr:uid="{3F7B9B36-E418-4119-845D-A7CDAA91A4D5}">
      <formula1>"CO,RO,SDO"</formula1>
    </dataValidation>
    <dataValidation type="list" allowBlank="1" showInputMessage="1" showErrorMessage="1" sqref="M91:M122 Y91:Y122 S91:S122 G91:G122" xr:uid="{B95D4ACB-7131-4FD8-BEAD-B28C0A31BBCB}">
      <formula1>"CO,RO,SDO,LGU,SCHOOL"</formula1>
    </dataValidation>
    <dataValidation type="list" allowBlank="1" showInputMessage="1" showErrorMessage="1" sqref="E124:E150 E91:E122 E81:E89 E71:E79 E61:E69 E51:E59 L56 E41:E49 E31:E39 E21:E29 E14:E19 E8:E12 E2:E6" xr:uid="{058D07C4-D803-40DA-A35D-F087ACA720A9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81"/>
  <sheetViews>
    <sheetView topLeftCell="L138" zoomScale="70" zoomScaleNormal="70" workbookViewId="0">
      <selection activeCell="X5" activeCellId="48" sqref="D89 F136:F162 F103:F134 F93:F101 F83:F91 F73:F81 F63:F71 F53:F61 F43:F51 F33:F41 F23:F31 F14:F21 F5:F12 L136:L162 L103:L134 L93:L101 L83:L91 L73:L81 L63:L71 L53:L61 L43:L51 L33:L41 L23:L31 L14:L21 L5:L12 R136:R162 R103:R134 R93:R101 R83:R91 R73:R81 R63:R71 R53:R61 R43:R51 R33:R41 R23:R31 R14:R21 R5:R12 X136:X162 X103:X134 X93:X101 X83:X91 X73:X81 X63:X71 X53:X61 X43:X51 X33:X41 X23:X31 X14:X21 X5:X12"/>
    </sheetView>
  </sheetViews>
  <sheetFormatPr defaultRowHeight="15"/>
  <cols>
    <col min="1" max="1" width="9.42578125" customWidth="1"/>
    <col min="2" max="2" width="36.14062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4" t="s">
        <v>82</v>
      </c>
      <c r="E1" s="44"/>
      <c r="F1" s="44"/>
      <c r="G1" s="44"/>
      <c r="H1" s="44"/>
      <c r="I1" s="44"/>
      <c r="J1" s="45" t="s">
        <v>83</v>
      </c>
      <c r="K1" s="45"/>
      <c r="L1" s="45"/>
      <c r="M1" s="45"/>
      <c r="N1" s="45"/>
      <c r="O1" s="45"/>
      <c r="P1" s="46" t="s">
        <v>84</v>
      </c>
      <c r="Q1" s="46"/>
      <c r="R1" s="46"/>
      <c r="S1" s="46"/>
      <c r="T1" s="46"/>
      <c r="U1" s="46"/>
      <c r="V1" s="47" t="s">
        <v>85</v>
      </c>
      <c r="W1" s="47"/>
      <c r="X1" s="47"/>
      <c r="Y1" s="47"/>
      <c r="Z1" s="47"/>
      <c r="AA1" s="47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86</v>
      </c>
      <c r="E2" s="20" t="s">
        <v>87</v>
      </c>
      <c r="F2" s="21" t="s">
        <v>88</v>
      </c>
      <c r="G2" s="24" t="s">
        <v>89</v>
      </c>
      <c r="H2" s="17" t="s">
        <v>90</v>
      </c>
      <c r="I2" s="24" t="s">
        <v>91</v>
      </c>
      <c r="J2" s="22" t="s">
        <v>92</v>
      </c>
      <c r="K2" s="22" t="s">
        <v>93</v>
      </c>
      <c r="L2" s="23" t="s">
        <v>94</v>
      </c>
      <c r="M2" s="40" t="s">
        <v>95</v>
      </c>
      <c r="N2" s="40" t="s">
        <v>96</v>
      </c>
      <c r="O2" s="22" t="s">
        <v>97</v>
      </c>
      <c r="P2" s="24" t="s">
        <v>98</v>
      </c>
      <c r="Q2" s="24" t="s">
        <v>99</v>
      </c>
      <c r="R2" s="25" t="s">
        <v>100</v>
      </c>
      <c r="S2" s="17" t="s">
        <v>101</v>
      </c>
      <c r="T2" s="17" t="s">
        <v>102</v>
      </c>
      <c r="U2" s="24" t="s">
        <v>103</v>
      </c>
      <c r="V2" s="26" t="s">
        <v>104</v>
      </c>
      <c r="W2" s="26" t="s">
        <v>105</v>
      </c>
      <c r="X2" s="27" t="s">
        <v>106</v>
      </c>
      <c r="Y2" s="41" t="s">
        <v>107</v>
      </c>
      <c r="Z2" s="41" t="s">
        <v>108</v>
      </c>
      <c r="AA2" s="26" t="s">
        <v>109</v>
      </c>
    </row>
    <row r="3" spans="1:27" ht="30.6" customHeight="1">
      <c r="A3" s="39" t="s">
        <v>110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111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111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111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>
        <v>1912</v>
      </c>
      <c r="D63" s="12">
        <f>Table1[[#This Row],[Enrolment S.Y. 2025-2026 ]]*8</f>
        <v>15296</v>
      </c>
      <c r="E63" s="12">
        <v>2434</v>
      </c>
      <c r="F63" s="10">
        <v>2024</v>
      </c>
      <c r="G63" s="12" t="s">
        <v>20</v>
      </c>
      <c r="H63" s="12">
        <f t="shared" si="2"/>
        <v>12862</v>
      </c>
      <c r="I63" s="12">
        <f t="shared" si="3"/>
        <v>0</v>
      </c>
      <c r="J63" s="12">
        <f>Table1[[#This Row],[Enrolment S.Y. 2025-2026 ]]*8</f>
        <v>15296</v>
      </c>
      <c r="K63" s="12"/>
      <c r="L63" s="10"/>
      <c r="M63" s="12"/>
      <c r="N63" s="12">
        <f t="shared" si="10"/>
        <v>15296</v>
      </c>
      <c r="O63" s="12">
        <f t="shared" si="11"/>
        <v>0</v>
      </c>
      <c r="P63" s="12">
        <f>Table1[[#This Row],[Enrolment S.Y. 2025-2026 ]]*8</f>
        <v>15296</v>
      </c>
      <c r="Q63" s="12"/>
      <c r="R63" s="10"/>
      <c r="S63" s="12"/>
      <c r="T63" s="12">
        <f t="shared" si="12"/>
        <v>15296</v>
      </c>
      <c r="U63" s="12">
        <f t="shared" si="13"/>
        <v>0</v>
      </c>
      <c r="V63" s="12">
        <f>Table1[[#This Row],[Enrolment S.Y. 2025-2026 ]]*8</f>
        <v>15296</v>
      </c>
      <c r="W63" s="12"/>
      <c r="X63" s="10"/>
      <c r="Y63" s="12"/>
      <c r="Z63" s="12">
        <f t="shared" si="14"/>
        <v>15296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>
        <v>1912</v>
      </c>
      <c r="D64" s="12">
        <f>Table1[[#This Row],[Enrolment S.Y. 2025-2026 ]]*8</f>
        <v>15296</v>
      </c>
      <c r="E64" s="12">
        <v>7085</v>
      </c>
      <c r="F64" s="10">
        <v>2024</v>
      </c>
      <c r="G64" s="12" t="s">
        <v>20</v>
      </c>
      <c r="H64" s="12">
        <f t="shared" si="2"/>
        <v>8211</v>
      </c>
      <c r="I64" s="12">
        <f t="shared" si="3"/>
        <v>0</v>
      </c>
      <c r="J64" s="12">
        <f>Table1[[#This Row],[Enrolment S.Y. 2025-2026 ]]*8</f>
        <v>15296</v>
      </c>
      <c r="K64" s="12"/>
      <c r="L64" s="10"/>
      <c r="M64" s="12"/>
      <c r="N64" s="12">
        <f t="shared" si="10"/>
        <v>15296</v>
      </c>
      <c r="O64" s="12">
        <f t="shared" si="11"/>
        <v>0</v>
      </c>
      <c r="P64" s="12">
        <f>Table1[[#This Row],[Enrolment S.Y. 2025-2026 ]]*8</f>
        <v>15296</v>
      </c>
      <c r="Q64" s="12"/>
      <c r="R64" s="10"/>
      <c r="S64" s="12"/>
      <c r="T64" s="12">
        <f t="shared" si="12"/>
        <v>15296</v>
      </c>
      <c r="U64" s="12">
        <f t="shared" si="13"/>
        <v>0</v>
      </c>
      <c r="V64" s="12">
        <f>Table1[[#This Row],[Enrolment S.Y. 2025-2026 ]]*8</f>
        <v>15296</v>
      </c>
      <c r="W64" s="12"/>
      <c r="X64" s="10"/>
      <c r="Y64" s="12"/>
      <c r="Z64" s="12">
        <f t="shared" si="14"/>
        <v>15296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>
        <v>1912</v>
      </c>
      <c r="D65" s="12">
        <f>Table1[[#This Row],[Enrolment S.Y. 2025-2026 ]]*8</f>
        <v>15296</v>
      </c>
      <c r="E65" s="12"/>
      <c r="F65" s="10"/>
      <c r="G65" s="12"/>
      <c r="H65" s="12">
        <f t="shared" si="2"/>
        <v>15296</v>
      </c>
      <c r="I65" s="12">
        <f t="shared" si="3"/>
        <v>0</v>
      </c>
      <c r="J65" s="12">
        <f>Table1[[#This Row],[Enrolment S.Y. 2025-2026 ]]*8</f>
        <v>15296</v>
      </c>
      <c r="K65" s="12"/>
      <c r="L65" s="10"/>
      <c r="M65" s="12"/>
      <c r="N65" s="12">
        <f t="shared" si="10"/>
        <v>15296</v>
      </c>
      <c r="O65" s="12">
        <f t="shared" si="11"/>
        <v>0</v>
      </c>
      <c r="P65" s="12">
        <f>Table1[[#This Row],[Enrolment S.Y. 2025-2026 ]]*8</f>
        <v>15296</v>
      </c>
      <c r="Q65" s="12"/>
      <c r="R65" s="10"/>
      <c r="S65" s="12"/>
      <c r="T65" s="12">
        <f t="shared" si="12"/>
        <v>15296</v>
      </c>
      <c r="U65" s="12">
        <f t="shared" si="13"/>
        <v>0</v>
      </c>
      <c r="V65" s="12">
        <f>Table1[[#This Row],[Enrolment S.Y. 2025-2026 ]]*8</f>
        <v>15296</v>
      </c>
      <c r="W65" s="12"/>
      <c r="X65" s="10"/>
      <c r="Y65" s="12"/>
      <c r="Z65" s="12">
        <f t="shared" si="14"/>
        <v>15296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>
        <v>1912</v>
      </c>
      <c r="D66" s="12">
        <f>Table1[[#This Row],[Enrolment S.Y. 2025-2026 ]]*8</f>
        <v>15296</v>
      </c>
      <c r="E66" s="12">
        <v>3351</v>
      </c>
      <c r="F66" s="10">
        <v>2024</v>
      </c>
      <c r="G66" s="12" t="s">
        <v>20</v>
      </c>
      <c r="H66" s="12">
        <f t="shared" si="2"/>
        <v>11945</v>
      </c>
      <c r="I66" s="12">
        <f t="shared" si="3"/>
        <v>0</v>
      </c>
      <c r="J66" s="12">
        <f>Table1[[#This Row],[Enrolment S.Y. 2025-2026 ]]*8</f>
        <v>15296</v>
      </c>
      <c r="K66" s="12"/>
      <c r="L66" s="10"/>
      <c r="M66" s="12"/>
      <c r="N66" s="12">
        <f t="shared" si="10"/>
        <v>15296</v>
      </c>
      <c r="O66" s="12">
        <f t="shared" si="11"/>
        <v>0</v>
      </c>
      <c r="P66" s="12">
        <f>Table1[[#This Row],[Enrolment S.Y. 2025-2026 ]]*8</f>
        <v>15296</v>
      </c>
      <c r="Q66" s="12"/>
      <c r="R66" s="10"/>
      <c r="S66" s="12"/>
      <c r="T66" s="12">
        <f t="shared" si="12"/>
        <v>15296</v>
      </c>
      <c r="U66" s="12">
        <f t="shared" si="13"/>
        <v>0</v>
      </c>
      <c r="V66" s="12">
        <f>Table1[[#This Row],[Enrolment S.Y. 2025-2026 ]]*8</f>
        <v>15296</v>
      </c>
      <c r="W66" s="12"/>
      <c r="X66" s="10"/>
      <c r="Y66" s="12"/>
      <c r="Z66" s="12">
        <f t="shared" si="14"/>
        <v>15296</v>
      </c>
      <c r="AA66" s="12">
        <f t="shared" si="15"/>
        <v>0</v>
      </c>
    </row>
    <row r="67" spans="1:27" ht="19.5">
      <c r="A67" s="10">
        <v>7</v>
      </c>
      <c r="B67" s="11" t="s">
        <v>16</v>
      </c>
      <c r="C67" s="10">
        <v>1912</v>
      </c>
      <c r="D67" s="12">
        <f>Table1[[#This Row],[Enrolment S.Y. 2025-2026 ]]*8</f>
        <v>15296</v>
      </c>
      <c r="E67" s="12">
        <v>4868</v>
      </c>
      <c r="F67" s="10">
        <v>2024</v>
      </c>
      <c r="G67" s="12" t="s">
        <v>20</v>
      </c>
      <c r="H67" s="12">
        <f t="shared" si="2"/>
        <v>10428</v>
      </c>
      <c r="I67" s="12">
        <f t="shared" si="3"/>
        <v>0</v>
      </c>
      <c r="J67" s="12">
        <f>Table1[[#This Row],[Enrolment S.Y. 2025-2026 ]]*8</f>
        <v>15296</v>
      </c>
      <c r="K67" s="12"/>
      <c r="L67" s="10"/>
      <c r="M67" s="12"/>
      <c r="N67" s="12">
        <f t="shared" si="10"/>
        <v>15296</v>
      </c>
      <c r="O67" s="12">
        <f t="shared" si="11"/>
        <v>0</v>
      </c>
      <c r="P67" s="12">
        <f>Table1[[#This Row],[Enrolment S.Y. 2025-2026 ]]*8</f>
        <v>15296</v>
      </c>
      <c r="Q67" s="12"/>
      <c r="R67" s="10"/>
      <c r="S67" s="12"/>
      <c r="T67" s="12">
        <f t="shared" si="12"/>
        <v>15296</v>
      </c>
      <c r="U67" s="12">
        <f t="shared" si="13"/>
        <v>0</v>
      </c>
      <c r="V67" s="12">
        <f>Table1[[#This Row],[Enrolment S.Y. 2025-2026 ]]*8</f>
        <v>15296</v>
      </c>
      <c r="W67" s="12"/>
      <c r="X67" s="10"/>
      <c r="Y67" s="12"/>
      <c r="Z67" s="12">
        <f t="shared" si="14"/>
        <v>15296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>
        <v>1912</v>
      </c>
      <c r="D68" s="12">
        <f>Table1[[#This Row],[Enrolment S.Y. 2025-2026 ]]*8</f>
        <v>15296</v>
      </c>
      <c r="E68" s="12"/>
      <c r="F68" s="10"/>
      <c r="G68" s="12"/>
      <c r="H68" s="12">
        <f t="shared" si="2"/>
        <v>15296</v>
      </c>
      <c r="I68" s="12">
        <f t="shared" si="3"/>
        <v>0</v>
      </c>
      <c r="J68" s="12">
        <f>Table1[[#This Row],[Enrolment S.Y. 2025-2026 ]]*8</f>
        <v>15296</v>
      </c>
      <c r="K68" s="12"/>
      <c r="L68" s="10"/>
      <c r="M68" s="12"/>
      <c r="N68" s="12">
        <f t="shared" si="10"/>
        <v>15296</v>
      </c>
      <c r="O68" s="12">
        <f t="shared" si="11"/>
        <v>0</v>
      </c>
      <c r="P68" s="12">
        <f>Table1[[#This Row],[Enrolment S.Y. 2025-2026 ]]*8</f>
        <v>15296</v>
      </c>
      <c r="Q68" s="12"/>
      <c r="R68" s="10"/>
      <c r="S68" s="12"/>
      <c r="T68" s="12">
        <f t="shared" si="12"/>
        <v>15296</v>
      </c>
      <c r="U68" s="12">
        <f t="shared" si="13"/>
        <v>0</v>
      </c>
      <c r="V68" s="12">
        <f>Table1[[#This Row],[Enrolment S.Y. 2025-2026 ]]*8</f>
        <v>15296</v>
      </c>
      <c r="W68" s="12"/>
      <c r="X68" s="10"/>
      <c r="Y68" s="12"/>
      <c r="Z68" s="12">
        <f t="shared" si="14"/>
        <v>15296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>
        <v>1912</v>
      </c>
      <c r="D69" s="12">
        <f>Table1[[#This Row],[Enrolment S.Y. 2025-2026 ]]*8</f>
        <v>15296</v>
      </c>
      <c r="E69" s="12"/>
      <c r="F69" s="10"/>
      <c r="G69" s="12"/>
      <c r="H69" s="12">
        <f t="shared" si="2"/>
        <v>15296</v>
      </c>
      <c r="I69" s="12">
        <f t="shared" si="3"/>
        <v>0</v>
      </c>
      <c r="J69" s="12">
        <f>Table1[[#This Row],[Enrolment S.Y. 2025-2026 ]]*8</f>
        <v>15296</v>
      </c>
      <c r="K69" s="12"/>
      <c r="L69" s="10"/>
      <c r="M69" s="12"/>
      <c r="N69" s="12">
        <f t="shared" si="10"/>
        <v>15296</v>
      </c>
      <c r="O69" s="12">
        <f t="shared" si="11"/>
        <v>0</v>
      </c>
      <c r="P69" s="12">
        <f>Table1[[#This Row],[Enrolment S.Y. 2025-2026 ]]*8</f>
        <v>15296</v>
      </c>
      <c r="Q69" s="12"/>
      <c r="R69" s="10"/>
      <c r="S69" s="12"/>
      <c r="T69" s="12">
        <f t="shared" si="12"/>
        <v>15296</v>
      </c>
      <c r="U69" s="12">
        <f t="shared" si="13"/>
        <v>0</v>
      </c>
      <c r="V69" s="12">
        <f>Table1[[#This Row],[Enrolment S.Y. 2025-2026 ]]*8</f>
        <v>15296</v>
      </c>
      <c r="W69" s="12"/>
      <c r="X69" s="10"/>
      <c r="Y69" s="12"/>
      <c r="Z69" s="12">
        <f t="shared" si="14"/>
        <v>15296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>
        <v>1912</v>
      </c>
      <c r="D70" s="12">
        <f>Table1[[#This Row],[Enrolment S.Y. 2025-2026 ]]*8</f>
        <v>15296</v>
      </c>
      <c r="E70" s="12">
        <v>4868</v>
      </c>
      <c r="F70" s="10">
        <v>2024</v>
      </c>
      <c r="G70" s="12" t="s">
        <v>20</v>
      </c>
      <c r="H70" s="12">
        <f t="shared" si="2"/>
        <v>10428</v>
      </c>
      <c r="I70" s="12">
        <f t="shared" si="3"/>
        <v>0</v>
      </c>
      <c r="J70" s="12">
        <f>Table1[[#This Row],[Enrolment S.Y. 2025-2026 ]]*8</f>
        <v>15296</v>
      </c>
      <c r="K70" s="12"/>
      <c r="L70" s="10"/>
      <c r="M70" s="12"/>
      <c r="N70" s="12">
        <f t="shared" ref="N70:N150" si="16">IF((J70-K70)&lt;0,0,(J70-K70))</f>
        <v>15296</v>
      </c>
      <c r="O70" s="12">
        <f t="shared" ref="O70:O150" si="17">IF((K70-J70)&lt;0,0,(K70-J70))</f>
        <v>0</v>
      </c>
      <c r="P70" s="12">
        <f>Table1[[#This Row],[Enrolment S.Y. 2025-2026 ]]*8</f>
        <v>15296</v>
      </c>
      <c r="Q70" s="12"/>
      <c r="R70" s="10"/>
      <c r="S70" s="12"/>
      <c r="T70" s="12">
        <f t="shared" ref="T70:T163" si="18">IF((P70-Q70)&lt;0,0,(P70-Q70))</f>
        <v>15296</v>
      </c>
      <c r="U70" s="12">
        <f t="shared" ref="U70:U163" si="19">IF((Q70-P70)&lt;0,0,(Q70-P70))</f>
        <v>0</v>
      </c>
      <c r="V70" s="12">
        <f>Table1[[#This Row],[Enrolment S.Y. 2025-2026 ]]*8</f>
        <v>15296</v>
      </c>
      <c r="W70" s="12"/>
      <c r="X70" s="10"/>
      <c r="Y70" s="12"/>
      <c r="Z70" s="12">
        <f t="shared" ref="Z70:Z163" si="20">IF((V70-W70)&lt;0,0,(V70-W70))</f>
        <v>15296</v>
      </c>
      <c r="AA70" s="12">
        <f t="shared" ref="AA70:AA163" si="21">IF((W70-V70)&lt;0,0,(W70-V70))</f>
        <v>0</v>
      </c>
    </row>
    <row r="71" spans="1:27" ht="19.5">
      <c r="A71" s="10">
        <v>7</v>
      </c>
      <c r="B71" s="11" t="s">
        <v>19</v>
      </c>
      <c r="C71" s="10">
        <v>1912</v>
      </c>
      <c r="D71" s="12">
        <f>Table1[[#This Row],[Enrolment S.Y. 2025-2026 ]]*8</f>
        <v>15296</v>
      </c>
      <c r="E71" s="12">
        <v>3651</v>
      </c>
      <c r="F71" s="10">
        <v>2024</v>
      </c>
      <c r="G71" s="12" t="s">
        <v>20</v>
      </c>
      <c r="H71" s="12">
        <f t="shared" si="2"/>
        <v>11645</v>
      </c>
      <c r="I71" s="12">
        <f t="shared" si="3"/>
        <v>0</v>
      </c>
      <c r="J71" s="12">
        <f>Table1[[#This Row],[Enrolment S.Y. 2025-2026 ]]*8</f>
        <v>15296</v>
      </c>
      <c r="K71" s="12"/>
      <c r="L71" s="10"/>
      <c r="M71" s="12"/>
      <c r="N71" s="12">
        <f t="shared" si="16"/>
        <v>15296</v>
      </c>
      <c r="O71" s="12">
        <f t="shared" si="17"/>
        <v>0</v>
      </c>
      <c r="P71" s="12">
        <f>Table1[[#This Row],[Enrolment S.Y. 2025-2026 ]]*8</f>
        <v>15296</v>
      </c>
      <c r="Q71" s="12"/>
      <c r="R71" s="10"/>
      <c r="S71" s="12"/>
      <c r="T71" s="12">
        <f t="shared" si="18"/>
        <v>15296</v>
      </c>
      <c r="U71" s="12">
        <f t="shared" si="19"/>
        <v>0</v>
      </c>
      <c r="V71" s="12">
        <f>Table1[[#This Row],[Enrolment S.Y. 2025-2026 ]]*8</f>
        <v>15296</v>
      </c>
      <c r="W71" s="12"/>
      <c r="X71" s="10"/>
      <c r="Y71" s="12"/>
      <c r="Z71" s="12">
        <f t="shared" si="20"/>
        <v>15296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>
        <v>1970</v>
      </c>
      <c r="D73" s="12">
        <f>Table1[[#This Row],[Enrolment S.Y. 2025-2026 ]]*8</f>
        <v>15760</v>
      </c>
      <c r="E73" s="12"/>
      <c r="F73" s="10"/>
      <c r="G73" s="12"/>
      <c r="H73" s="12">
        <f t="shared" si="2"/>
        <v>15760</v>
      </c>
      <c r="I73" s="12">
        <f t="shared" si="3"/>
        <v>0</v>
      </c>
      <c r="J73" s="12">
        <f>Table1[[#This Row],[Enrolment S.Y. 2025-2026 ]]*8</f>
        <v>15760</v>
      </c>
      <c r="K73" s="12"/>
      <c r="L73" s="10"/>
      <c r="M73" s="12"/>
      <c r="N73" s="12">
        <f t="shared" si="16"/>
        <v>15760</v>
      </c>
      <c r="O73" s="12">
        <f t="shared" si="17"/>
        <v>0</v>
      </c>
      <c r="P73" s="12">
        <f>Table1[[#This Row],[Enrolment S.Y. 2025-2026 ]]*8</f>
        <v>15760</v>
      </c>
      <c r="Q73" s="12"/>
      <c r="R73" s="10"/>
      <c r="S73" s="12"/>
      <c r="T73" s="12">
        <f t="shared" si="18"/>
        <v>15760</v>
      </c>
      <c r="U73" s="12">
        <f t="shared" si="19"/>
        <v>0</v>
      </c>
      <c r="V73" s="12">
        <f>Table1[[#This Row],[Enrolment S.Y. 2025-2026 ]]*8</f>
        <v>15760</v>
      </c>
      <c r="W73" s="12"/>
      <c r="X73" s="10"/>
      <c r="Y73" s="12"/>
      <c r="Z73" s="12">
        <f t="shared" si="20"/>
        <v>15760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>
        <v>1970</v>
      </c>
      <c r="D74" s="12">
        <f>Table1[[#This Row],[Enrolment S.Y. 2025-2026 ]]*8</f>
        <v>15760</v>
      </c>
      <c r="E74" s="12"/>
      <c r="F74" s="10"/>
      <c r="G74" s="12"/>
      <c r="H74" s="12">
        <f t="shared" si="2"/>
        <v>15760</v>
      </c>
      <c r="I74" s="12">
        <f t="shared" si="3"/>
        <v>0</v>
      </c>
      <c r="J74" s="12">
        <f>Table1[[#This Row],[Enrolment S.Y. 2025-2026 ]]*8</f>
        <v>15760</v>
      </c>
      <c r="K74" s="12"/>
      <c r="L74" s="10"/>
      <c r="M74" s="12"/>
      <c r="N74" s="12">
        <f t="shared" si="16"/>
        <v>15760</v>
      </c>
      <c r="O74" s="12">
        <f t="shared" si="17"/>
        <v>0</v>
      </c>
      <c r="P74" s="12">
        <f>Table1[[#This Row],[Enrolment S.Y. 2025-2026 ]]*8</f>
        <v>15760</v>
      </c>
      <c r="Q74" s="12"/>
      <c r="R74" s="10"/>
      <c r="S74" s="12"/>
      <c r="T74" s="12">
        <f t="shared" si="18"/>
        <v>15760</v>
      </c>
      <c r="U74" s="12">
        <f t="shared" si="19"/>
        <v>0</v>
      </c>
      <c r="V74" s="12">
        <f>Table1[[#This Row],[Enrolment S.Y. 2025-2026 ]]*8</f>
        <v>15760</v>
      </c>
      <c r="W74" s="12"/>
      <c r="X74" s="10"/>
      <c r="Y74" s="12"/>
      <c r="Z74" s="12">
        <f t="shared" si="20"/>
        <v>15760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>
        <v>1970</v>
      </c>
      <c r="D75" s="12">
        <f>Table1[[#This Row],[Enrolment S.Y. 2025-2026 ]]*8</f>
        <v>15760</v>
      </c>
      <c r="E75" s="12"/>
      <c r="F75" s="10"/>
      <c r="G75" s="12"/>
      <c r="H75" s="12">
        <f t="shared" si="2"/>
        <v>15760</v>
      </c>
      <c r="I75" s="12">
        <f t="shared" si="3"/>
        <v>0</v>
      </c>
      <c r="J75" s="12">
        <f>Table1[[#This Row],[Enrolment S.Y. 2025-2026 ]]*8</f>
        <v>15760</v>
      </c>
      <c r="K75" s="12"/>
      <c r="L75" s="10"/>
      <c r="M75" s="12"/>
      <c r="N75" s="12">
        <f t="shared" si="16"/>
        <v>15760</v>
      </c>
      <c r="O75" s="12">
        <f t="shared" si="17"/>
        <v>0</v>
      </c>
      <c r="P75" s="12">
        <f>Table1[[#This Row],[Enrolment S.Y. 2025-2026 ]]*8</f>
        <v>15760</v>
      </c>
      <c r="Q75" s="12"/>
      <c r="R75" s="10"/>
      <c r="S75" s="12"/>
      <c r="T75" s="12">
        <f t="shared" si="18"/>
        <v>15760</v>
      </c>
      <c r="U75" s="12">
        <f t="shared" si="19"/>
        <v>0</v>
      </c>
      <c r="V75" s="12">
        <f>Table1[[#This Row],[Enrolment S.Y. 2025-2026 ]]*8</f>
        <v>15760</v>
      </c>
      <c r="W75" s="12"/>
      <c r="X75" s="10"/>
      <c r="Y75" s="12"/>
      <c r="Z75" s="12">
        <f t="shared" si="20"/>
        <v>15760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>
        <v>1970</v>
      </c>
      <c r="D76" s="12">
        <f>Table1[[#This Row],[Enrolment S.Y. 2025-2026 ]]*8</f>
        <v>15760</v>
      </c>
      <c r="E76" s="12"/>
      <c r="F76" s="10"/>
      <c r="G76" s="12"/>
      <c r="H76" s="12">
        <f t="shared" si="2"/>
        <v>15760</v>
      </c>
      <c r="I76" s="12">
        <f t="shared" si="3"/>
        <v>0</v>
      </c>
      <c r="J76" s="12">
        <f>Table1[[#This Row],[Enrolment S.Y. 2025-2026 ]]*8</f>
        <v>15760</v>
      </c>
      <c r="K76" s="12"/>
      <c r="L76" s="10"/>
      <c r="M76" s="12"/>
      <c r="N76" s="12">
        <f t="shared" si="16"/>
        <v>15760</v>
      </c>
      <c r="O76" s="12">
        <f t="shared" si="17"/>
        <v>0</v>
      </c>
      <c r="P76" s="12">
        <f>Table1[[#This Row],[Enrolment S.Y. 2025-2026 ]]*8</f>
        <v>15760</v>
      </c>
      <c r="Q76" s="12"/>
      <c r="R76" s="10"/>
      <c r="S76" s="12"/>
      <c r="T76" s="12">
        <f t="shared" si="18"/>
        <v>15760</v>
      </c>
      <c r="U76" s="12">
        <f t="shared" si="19"/>
        <v>0</v>
      </c>
      <c r="V76" s="12">
        <f>Table1[[#This Row],[Enrolment S.Y. 2025-2026 ]]*8</f>
        <v>15760</v>
      </c>
      <c r="W76" s="12"/>
      <c r="X76" s="10"/>
      <c r="Y76" s="12"/>
      <c r="Z76" s="12">
        <f t="shared" si="20"/>
        <v>15760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>
        <v>1970</v>
      </c>
      <c r="D77" s="12">
        <f>Table1[[#This Row],[Enrolment S.Y. 2025-2026 ]]*8</f>
        <v>15760</v>
      </c>
      <c r="E77" s="12"/>
      <c r="F77" s="10"/>
      <c r="G77" s="12"/>
      <c r="H77" s="12">
        <f t="shared" si="2"/>
        <v>15760</v>
      </c>
      <c r="I77" s="12">
        <f t="shared" si="3"/>
        <v>0</v>
      </c>
      <c r="J77" s="12">
        <f>Table1[[#This Row],[Enrolment S.Y. 2025-2026 ]]*8</f>
        <v>15760</v>
      </c>
      <c r="K77" s="12"/>
      <c r="L77" s="10"/>
      <c r="M77" s="12"/>
      <c r="N77" s="12">
        <f t="shared" si="16"/>
        <v>15760</v>
      </c>
      <c r="O77" s="12">
        <f t="shared" si="17"/>
        <v>0</v>
      </c>
      <c r="P77" s="12">
        <f>Table1[[#This Row],[Enrolment S.Y. 2025-2026 ]]*8</f>
        <v>15760</v>
      </c>
      <c r="Q77" s="12"/>
      <c r="R77" s="10"/>
      <c r="S77" s="12"/>
      <c r="T77" s="12">
        <f t="shared" si="18"/>
        <v>15760</v>
      </c>
      <c r="U77" s="12">
        <f t="shared" si="19"/>
        <v>0</v>
      </c>
      <c r="V77" s="12">
        <f>Table1[[#This Row],[Enrolment S.Y. 2025-2026 ]]*8</f>
        <v>15760</v>
      </c>
      <c r="W77" s="12"/>
      <c r="X77" s="10"/>
      <c r="Y77" s="12"/>
      <c r="Z77" s="12">
        <f t="shared" si="20"/>
        <v>15760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>
        <v>1970</v>
      </c>
      <c r="D78" s="12">
        <f>Table1[[#This Row],[Enrolment S.Y. 2025-2026 ]]*8</f>
        <v>15760</v>
      </c>
      <c r="E78" s="12"/>
      <c r="F78" s="10"/>
      <c r="G78" s="12"/>
      <c r="H78" s="12">
        <f t="shared" ref="H78:H163" si="22">IF((D78-E78)&lt;0,0,(D78-E78))</f>
        <v>15760</v>
      </c>
      <c r="I78" s="12">
        <f t="shared" ref="I78:I163" si="23">IF((E78-D78)&lt;0,0,(E78-D78))</f>
        <v>0</v>
      </c>
      <c r="J78" s="12">
        <f>Table1[[#This Row],[Enrolment S.Y. 2025-2026 ]]*8</f>
        <v>15760</v>
      </c>
      <c r="K78" s="12"/>
      <c r="L78" s="10"/>
      <c r="M78" s="12"/>
      <c r="N78" s="12">
        <f t="shared" si="16"/>
        <v>15760</v>
      </c>
      <c r="O78" s="12">
        <f t="shared" si="17"/>
        <v>0</v>
      </c>
      <c r="P78" s="12">
        <f>Table1[[#This Row],[Enrolment S.Y. 2025-2026 ]]*8</f>
        <v>15760</v>
      </c>
      <c r="Q78" s="12"/>
      <c r="R78" s="10"/>
      <c r="S78" s="12"/>
      <c r="T78" s="12">
        <f t="shared" si="18"/>
        <v>15760</v>
      </c>
      <c r="U78" s="12">
        <f t="shared" si="19"/>
        <v>0</v>
      </c>
      <c r="V78" s="12">
        <f>Table1[[#This Row],[Enrolment S.Y. 2025-2026 ]]*8</f>
        <v>15760</v>
      </c>
      <c r="W78" s="12"/>
      <c r="X78" s="10"/>
      <c r="Y78" s="12"/>
      <c r="Z78" s="12">
        <f t="shared" si="20"/>
        <v>15760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>
        <v>1970</v>
      </c>
      <c r="D79" s="12">
        <f>Table1[[#This Row],[Enrolment S.Y. 2025-2026 ]]*8</f>
        <v>15760</v>
      </c>
      <c r="E79" s="12"/>
      <c r="F79" s="10"/>
      <c r="G79" s="12"/>
      <c r="H79" s="12">
        <f t="shared" si="22"/>
        <v>15760</v>
      </c>
      <c r="I79" s="12">
        <f t="shared" si="23"/>
        <v>0</v>
      </c>
      <c r="J79" s="12">
        <f>Table1[[#This Row],[Enrolment S.Y. 2025-2026 ]]*8</f>
        <v>15760</v>
      </c>
      <c r="K79" s="12"/>
      <c r="L79" s="10"/>
      <c r="M79" s="12"/>
      <c r="N79" s="12">
        <f t="shared" si="16"/>
        <v>15760</v>
      </c>
      <c r="O79" s="12">
        <f t="shared" si="17"/>
        <v>0</v>
      </c>
      <c r="P79" s="12">
        <f>Table1[[#This Row],[Enrolment S.Y. 2025-2026 ]]*8</f>
        <v>15760</v>
      </c>
      <c r="Q79" s="12"/>
      <c r="R79" s="10"/>
      <c r="S79" s="12"/>
      <c r="T79" s="12">
        <f t="shared" si="18"/>
        <v>15760</v>
      </c>
      <c r="U79" s="12">
        <f t="shared" si="19"/>
        <v>0</v>
      </c>
      <c r="V79" s="12">
        <f>Table1[[#This Row],[Enrolment S.Y. 2025-2026 ]]*8</f>
        <v>15760</v>
      </c>
      <c r="W79" s="12"/>
      <c r="X79" s="10"/>
      <c r="Y79" s="12"/>
      <c r="Z79" s="12">
        <f t="shared" si="20"/>
        <v>15760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>
        <v>1970</v>
      </c>
      <c r="D80" s="12">
        <f>Table1[[#This Row],[Enrolment S.Y. 2025-2026 ]]*8</f>
        <v>15760</v>
      </c>
      <c r="E80" s="12"/>
      <c r="F80" s="10"/>
      <c r="G80" s="12"/>
      <c r="H80" s="12">
        <f t="shared" si="22"/>
        <v>15760</v>
      </c>
      <c r="I80" s="12">
        <f t="shared" si="23"/>
        <v>0</v>
      </c>
      <c r="J80" s="12">
        <f>Table1[[#This Row],[Enrolment S.Y. 2025-2026 ]]*8</f>
        <v>15760</v>
      </c>
      <c r="K80" s="12"/>
      <c r="L80" s="10"/>
      <c r="M80" s="12"/>
      <c r="N80" s="12">
        <f t="shared" si="16"/>
        <v>15760</v>
      </c>
      <c r="O80" s="12">
        <f t="shared" si="17"/>
        <v>0</v>
      </c>
      <c r="P80" s="12">
        <f>Table1[[#This Row],[Enrolment S.Y. 2025-2026 ]]*8</f>
        <v>15760</v>
      </c>
      <c r="Q80" s="12"/>
      <c r="R80" s="10"/>
      <c r="S80" s="12"/>
      <c r="T80" s="12">
        <f t="shared" si="18"/>
        <v>15760</v>
      </c>
      <c r="U80" s="12">
        <f t="shared" si="19"/>
        <v>0</v>
      </c>
      <c r="V80" s="12">
        <f>Table1[[#This Row],[Enrolment S.Y. 2025-2026 ]]*8</f>
        <v>15760</v>
      </c>
      <c r="W80" s="12"/>
      <c r="X80" s="10"/>
      <c r="Y80" s="12"/>
      <c r="Z80" s="12">
        <f t="shared" si="20"/>
        <v>15760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>
        <v>1970</v>
      </c>
      <c r="D81" s="12">
        <f>Table1[[#This Row],[Enrolment S.Y. 2025-2026 ]]*8</f>
        <v>15760</v>
      </c>
      <c r="E81" s="12"/>
      <c r="F81" s="10"/>
      <c r="G81" s="12"/>
      <c r="H81" s="12">
        <f t="shared" si="22"/>
        <v>15760</v>
      </c>
      <c r="I81" s="12">
        <f t="shared" si="23"/>
        <v>0</v>
      </c>
      <c r="J81" s="12">
        <f>Table1[[#This Row],[Enrolment S.Y. 2025-2026 ]]*8</f>
        <v>15760</v>
      </c>
      <c r="K81" s="12"/>
      <c r="L81" s="10"/>
      <c r="M81" s="12"/>
      <c r="N81" s="12">
        <f t="shared" si="16"/>
        <v>15760</v>
      </c>
      <c r="O81" s="12">
        <f t="shared" si="17"/>
        <v>0</v>
      </c>
      <c r="P81" s="12">
        <f>Table1[[#This Row],[Enrolment S.Y. 2025-2026 ]]*8</f>
        <v>15760</v>
      </c>
      <c r="Q81" s="12"/>
      <c r="R81" s="10"/>
      <c r="S81" s="12"/>
      <c r="T81" s="12">
        <f t="shared" si="18"/>
        <v>15760</v>
      </c>
      <c r="U81" s="12">
        <f t="shared" si="19"/>
        <v>0</v>
      </c>
      <c r="V81" s="12">
        <f>Table1[[#This Row],[Enrolment S.Y. 2025-2026 ]]*8</f>
        <v>15760</v>
      </c>
      <c r="W81" s="12"/>
      <c r="X81" s="10"/>
      <c r="Y81" s="12"/>
      <c r="Z81" s="12">
        <f t="shared" si="20"/>
        <v>15760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>
        <v>1599</v>
      </c>
      <c r="D83" s="12">
        <f>Table1[[#This Row],[Enrolment S.Y. 2025-2026 ]]*8</f>
        <v>12792</v>
      </c>
      <c r="E83" s="12"/>
      <c r="F83" s="10"/>
      <c r="G83" s="12"/>
      <c r="H83" s="12">
        <f t="shared" si="22"/>
        <v>12792</v>
      </c>
      <c r="I83" s="12">
        <f t="shared" si="23"/>
        <v>0</v>
      </c>
      <c r="J83" s="12">
        <f>Table1[[#This Row],[Enrolment S.Y. 2025-2026 ]]*8</f>
        <v>12792</v>
      </c>
      <c r="K83" s="12"/>
      <c r="L83" s="10"/>
      <c r="M83" s="12"/>
      <c r="N83" s="12">
        <f t="shared" si="16"/>
        <v>12792</v>
      </c>
      <c r="O83" s="12">
        <f t="shared" si="17"/>
        <v>0</v>
      </c>
      <c r="P83" s="12">
        <f>Table1[[#This Row],[Enrolment S.Y. 2025-2026 ]]*8</f>
        <v>12792</v>
      </c>
      <c r="Q83" s="12"/>
      <c r="R83" s="10"/>
      <c r="S83" s="12"/>
      <c r="T83" s="12">
        <f t="shared" si="18"/>
        <v>12792</v>
      </c>
      <c r="U83" s="12">
        <f t="shared" si="19"/>
        <v>0</v>
      </c>
      <c r="V83" s="12">
        <f>Table1[[#This Row],[Enrolment S.Y. 2025-2026 ]]*8</f>
        <v>12792</v>
      </c>
      <c r="W83" s="12"/>
      <c r="X83" s="10"/>
      <c r="Y83" s="12"/>
      <c r="Z83" s="12">
        <f t="shared" si="20"/>
        <v>12792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>
        <v>1599</v>
      </c>
      <c r="D84" s="12">
        <f>Table1[[#This Row],[Enrolment S.Y. 2025-2026 ]]*8</f>
        <v>12792</v>
      </c>
      <c r="E84" s="12"/>
      <c r="F84" s="10"/>
      <c r="G84" s="12"/>
      <c r="H84" s="12">
        <f t="shared" si="22"/>
        <v>12792</v>
      </c>
      <c r="I84" s="12">
        <f t="shared" si="23"/>
        <v>0</v>
      </c>
      <c r="J84" s="12">
        <f>Table1[[#This Row],[Enrolment S.Y. 2025-2026 ]]*8</f>
        <v>12792</v>
      </c>
      <c r="K84" s="12"/>
      <c r="L84" s="10"/>
      <c r="M84" s="12"/>
      <c r="N84" s="12">
        <f t="shared" si="16"/>
        <v>12792</v>
      </c>
      <c r="O84" s="12">
        <f t="shared" si="17"/>
        <v>0</v>
      </c>
      <c r="P84" s="12">
        <f>Table1[[#This Row],[Enrolment S.Y. 2025-2026 ]]*8</f>
        <v>12792</v>
      </c>
      <c r="Q84" s="12"/>
      <c r="R84" s="10"/>
      <c r="S84" s="12"/>
      <c r="T84" s="12">
        <f t="shared" si="18"/>
        <v>12792</v>
      </c>
      <c r="U84" s="12">
        <f t="shared" si="19"/>
        <v>0</v>
      </c>
      <c r="V84" s="12">
        <f>Table1[[#This Row],[Enrolment S.Y. 2025-2026 ]]*8</f>
        <v>12792</v>
      </c>
      <c r="W84" s="12"/>
      <c r="X84" s="10"/>
      <c r="Y84" s="12"/>
      <c r="Z84" s="12">
        <f t="shared" si="20"/>
        <v>12792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>
        <v>1599</v>
      </c>
      <c r="D85" s="12">
        <f>Table1[[#This Row],[Enrolment S.Y. 2025-2026 ]]*8</f>
        <v>12792</v>
      </c>
      <c r="E85" s="12"/>
      <c r="F85" s="10"/>
      <c r="G85" s="12"/>
      <c r="H85" s="12">
        <f t="shared" si="22"/>
        <v>12792</v>
      </c>
      <c r="I85" s="12">
        <f t="shared" si="23"/>
        <v>0</v>
      </c>
      <c r="J85" s="12">
        <f>Table1[[#This Row],[Enrolment S.Y. 2025-2026 ]]*8</f>
        <v>12792</v>
      </c>
      <c r="K85" s="12"/>
      <c r="L85" s="10"/>
      <c r="M85" s="12"/>
      <c r="N85" s="12">
        <f t="shared" si="16"/>
        <v>12792</v>
      </c>
      <c r="O85" s="12">
        <f t="shared" si="17"/>
        <v>0</v>
      </c>
      <c r="P85" s="12">
        <f>Table1[[#This Row],[Enrolment S.Y. 2025-2026 ]]*8</f>
        <v>12792</v>
      </c>
      <c r="Q85" s="12"/>
      <c r="R85" s="10"/>
      <c r="S85" s="12"/>
      <c r="T85" s="12">
        <f t="shared" si="18"/>
        <v>12792</v>
      </c>
      <c r="U85" s="12">
        <f t="shared" si="19"/>
        <v>0</v>
      </c>
      <c r="V85" s="12">
        <f>Table1[[#This Row],[Enrolment S.Y. 2025-2026 ]]*8</f>
        <v>12792</v>
      </c>
      <c r="W85" s="12"/>
      <c r="X85" s="10"/>
      <c r="Y85" s="12"/>
      <c r="Z85" s="12">
        <f t="shared" si="20"/>
        <v>12792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>
        <v>1599</v>
      </c>
      <c r="D86" s="12">
        <f>Table1[[#This Row],[Enrolment S.Y. 2025-2026 ]]*8</f>
        <v>12792</v>
      </c>
      <c r="E86" s="12"/>
      <c r="F86" s="10"/>
      <c r="G86" s="12"/>
      <c r="H86" s="12">
        <f t="shared" si="22"/>
        <v>12792</v>
      </c>
      <c r="I86" s="12">
        <f t="shared" si="23"/>
        <v>0</v>
      </c>
      <c r="J86" s="12">
        <f>Table1[[#This Row],[Enrolment S.Y. 2025-2026 ]]*8</f>
        <v>12792</v>
      </c>
      <c r="K86" s="12"/>
      <c r="L86" s="10"/>
      <c r="M86" s="12"/>
      <c r="N86" s="12">
        <f t="shared" si="16"/>
        <v>12792</v>
      </c>
      <c r="O86" s="12">
        <f t="shared" si="17"/>
        <v>0</v>
      </c>
      <c r="P86" s="12">
        <f>Table1[[#This Row],[Enrolment S.Y. 2025-2026 ]]*8</f>
        <v>12792</v>
      </c>
      <c r="Q86" s="12"/>
      <c r="R86" s="10"/>
      <c r="S86" s="12"/>
      <c r="T86" s="12">
        <f t="shared" si="18"/>
        <v>12792</v>
      </c>
      <c r="U86" s="12">
        <f t="shared" si="19"/>
        <v>0</v>
      </c>
      <c r="V86" s="12">
        <f>Table1[[#This Row],[Enrolment S.Y. 2025-2026 ]]*8</f>
        <v>12792</v>
      </c>
      <c r="W86" s="12"/>
      <c r="X86" s="10"/>
      <c r="Y86" s="12"/>
      <c r="Z86" s="12">
        <f t="shared" si="20"/>
        <v>12792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10">
        <v>1599</v>
      </c>
      <c r="D87" s="12">
        <f>Table1[[#This Row],[Enrolment S.Y. 2025-2026 ]]*8</f>
        <v>12792</v>
      </c>
      <c r="E87" s="12"/>
      <c r="F87" s="10"/>
      <c r="G87" s="12"/>
      <c r="H87" s="12">
        <f t="shared" si="22"/>
        <v>12792</v>
      </c>
      <c r="I87" s="12">
        <f t="shared" si="23"/>
        <v>0</v>
      </c>
      <c r="J87" s="12">
        <f>Table1[[#This Row],[Enrolment S.Y. 2025-2026 ]]*8</f>
        <v>12792</v>
      </c>
      <c r="K87" s="12"/>
      <c r="L87" s="10"/>
      <c r="M87" s="12"/>
      <c r="N87" s="12">
        <f t="shared" si="16"/>
        <v>12792</v>
      </c>
      <c r="O87" s="12">
        <f t="shared" si="17"/>
        <v>0</v>
      </c>
      <c r="P87" s="12">
        <f>Table1[[#This Row],[Enrolment S.Y. 2025-2026 ]]*8</f>
        <v>12792</v>
      </c>
      <c r="Q87" s="12"/>
      <c r="R87" s="10"/>
      <c r="S87" s="12"/>
      <c r="T87" s="12">
        <f t="shared" si="18"/>
        <v>12792</v>
      </c>
      <c r="U87" s="12">
        <f t="shared" si="19"/>
        <v>0</v>
      </c>
      <c r="V87" s="12">
        <f>Table1[[#This Row],[Enrolment S.Y. 2025-2026 ]]*8</f>
        <v>12792</v>
      </c>
      <c r="W87" s="12"/>
      <c r="X87" s="10"/>
      <c r="Y87" s="12"/>
      <c r="Z87" s="12">
        <f t="shared" si="20"/>
        <v>12792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>
        <v>1599</v>
      </c>
      <c r="D88" s="12">
        <f>Table1[[#This Row],[Enrolment S.Y. 2025-2026 ]]*8</f>
        <v>12792</v>
      </c>
      <c r="E88" s="12"/>
      <c r="F88" s="10"/>
      <c r="G88" s="12"/>
      <c r="H88" s="12">
        <f t="shared" si="22"/>
        <v>12792</v>
      </c>
      <c r="I88" s="12">
        <f t="shared" si="23"/>
        <v>0</v>
      </c>
      <c r="J88" s="12">
        <f>Table1[[#This Row],[Enrolment S.Y. 2025-2026 ]]*8</f>
        <v>12792</v>
      </c>
      <c r="K88" s="12"/>
      <c r="L88" s="10"/>
      <c r="M88" s="12"/>
      <c r="N88" s="12">
        <f t="shared" si="16"/>
        <v>12792</v>
      </c>
      <c r="O88" s="12">
        <f t="shared" si="17"/>
        <v>0</v>
      </c>
      <c r="P88" s="12">
        <f>Table1[[#This Row],[Enrolment S.Y. 2025-2026 ]]*8</f>
        <v>12792</v>
      </c>
      <c r="Q88" s="12"/>
      <c r="R88" s="10"/>
      <c r="S88" s="12"/>
      <c r="T88" s="12">
        <f t="shared" si="18"/>
        <v>12792</v>
      </c>
      <c r="U88" s="12">
        <f t="shared" si="19"/>
        <v>0</v>
      </c>
      <c r="V88" s="12">
        <f>Table1[[#This Row],[Enrolment S.Y. 2025-2026 ]]*8</f>
        <v>12792</v>
      </c>
      <c r="W88" s="12"/>
      <c r="X88" s="10"/>
      <c r="Y88" s="12"/>
      <c r="Z88" s="12">
        <f t="shared" si="20"/>
        <v>12792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>
        <v>1599</v>
      </c>
      <c r="D89" s="12">
        <f>Table1[[#This Row],[Enrolment S.Y. 2025-2026 ]]*8</f>
        <v>12792</v>
      </c>
      <c r="E89" s="12"/>
      <c r="F89" s="10"/>
      <c r="G89" s="12"/>
      <c r="H89" s="12">
        <f t="shared" si="22"/>
        <v>12792</v>
      </c>
      <c r="I89" s="12">
        <f t="shared" si="23"/>
        <v>0</v>
      </c>
      <c r="J89" s="12">
        <f>Table1[[#This Row],[Enrolment S.Y. 2025-2026 ]]*8</f>
        <v>12792</v>
      </c>
      <c r="K89" s="12"/>
      <c r="L89" s="10"/>
      <c r="M89" s="12"/>
      <c r="N89" s="12">
        <f t="shared" si="16"/>
        <v>12792</v>
      </c>
      <c r="O89" s="12">
        <f t="shared" si="17"/>
        <v>0</v>
      </c>
      <c r="P89" s="12">
        <f>Table1[[#This Row],[Enrolment S.Y. 2025-2026 ]]*8</f>
        <v>12792</v>
      </c>
      <c r="Q89" s="12"/>
      <c r="R89" s="10"/>
      <c r="S89" s="12"/>
      <c r="T89" s="12">
        <f t="shared" si="18"/>
        <v>12792</v>
      </c>
      <c r="U89" s="12">
        <f t="shared" si="19"/>
        <v>0</v>
      </c>
      <c r="V89" s="12">
        <f>Table1[[#This Row],[Enrolment S.Y. 2025-2026 ]]*8</f>
        <v>12792</v>
      </c>
      <c r="W89" s="12"/>
      <c r="X89" s="10"/>
      <c r="Y89" s="12"/>
      <c r="Z89" s="12">
        <f t="shared" si="20"/>
        <v>12792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>
        <v>1599</v>
      </c>
      <c r="D90" s="12">
        <f>Table1[[#This Row],[Enrolment S.Y. 2025-2026 ]]*8</f>
        <v>12792</v>
      </c>
      <c r="E90" s="12"/>
      <c r="F90" s="10"/>
      <c r="G90" s="12"/>
      <c r="H90" s="12">
        <f t="shared" si="22"/>
        <v>12792</v>
      </c>
      <c r="I90" s="12">
        <f t="shared" si="23"/>
        <v>0</v>
      </c>
      <c r="J90" s="12">
        <f>Table1[[#This Row],[Enrolment S.Y. 2025-2026 ]]*8</f>
        <v>12792</v>
      </c>
      <c r="K90" s="12"/>
      <c r="L90" s="10"/>
      <c r="M90" s="12"/>
      <c r="N90" s="12">
        <f t="shared" si="16"/>
        <v>12792</v>
      </c>
      <c r="O90" s="12">
        <f t="shared" si="17"/>
        <v>0</v>
      </c>
      <c r="P90" s="12">
        <f>Table1[[#This Row],[Enrolment S.Y. 2025-2026 ]]*8</f>
        <v>12792</v>
      </c>
      <c r="Q90" s="12"/>
      <c r="R90" s="10"/>
      <c r="S90" s="12"/>
      <c r="T90" s="12">
        <f t="shared" si="18"/>
        <v>12792</v>
      </c>
      <c r="U90" s="12">
        <f t="shared" si="19"/>
        <v>0</v>
      </c>
      <c r="V90" s="12">
        <f>Table1[[#This Row],[Enrolment S.Y. 2025-2026 ]]*8</f>
        <v>12792</v>
      </c>
      <c r="W90" s="12"/>
      <c r="X90" s="10"/>
      <c r="Y90" s="12"/>
      <c r="Z90" s="12">
        <f t="shared" si="20"/>
        <v>12792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>
        <v>1599</v>
      </c>
      <c r="D91" s="12">
        <f>Table1[[#This Row],[Enrolment S.Y. 2025-2026 ]]*8</f>
        <v>12792</v>
      </c>
      <c r="E91" s="12"/>
      <c r="F91" s="10"/>
      <c r="G91" s="12"/>
      <c r="H91" s="12">
        <f t="shared" si="22"/>
        <v>12792</v>
      </c>
      <c r="I91" s="12">
        <f t="shared" si="23"/>
        <v>0</v>
      </c>
      <c r="J91" s="12">
        <f>Table1[[#This Row],[Enrolment S.Y. 2025-2026 ]]*8</f>
        <v>12792</v>
      </c>
      <c r="K91" s="12"/>
      <c r="L91" s="10"/>
      <c r="M91" s="12"/>
      <c r="N91" s="12">
        <f t="shared" si="16"/>
        <v>12792</v>
      </c>
      <c r="O91" s="12">
        <f t="shared" si="17"/>
        <v>0</v>
      </c>
      <c r="P91" s="12">
        <f>Table1[[#This Row],[Enrolment S.Y. 2025-2026 ]]*8</f>
        <v>12792</v>
      </c>
      <c r="Q91" s="12"/>
      <c r="R91" s="10"/>
      <c r="S91" s="12"/>
      <c r="T91" s="12">
        <f t="shared" si="18"/>
        <v>12792</v>
      </c>
      <c r="U91" s="12">
        <f t="shared" si="19"/>
        <v>0</v>
      </c>
      <c r="V91" s="12">
        <f>Table1[[#This Row],[Enrolment S.Y. 2025-2026 ]]*8</f>
        <v>12792</v>
      </c>
      <c r="W91" s="12"/>
      <c r="X91" s="10"/>
      <c r="Y91" s="12"/>
      <c r="Z91" s="12">
        <f t="shared" si="20"/>
        <v>12792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>
        <v>1633</v>
      </c>
      <c r="D93" s="12">
        <f>Table1[[#This Row],[Enrolment S.Y. 2025-2026 ]]*8</f>
        <v>13064</v>
      </c>
      <c r="E93" s="12"/>
      <c r="F93" s="10"/>
      <c r="G93" s="12"/>
      <c r="H93" s="12">
        <f>IF((D93-E93)&lt;0,0,(D93-E93))</f>
        <v>13064</v>
      </c>
      <c r="I93" s="12">
        <f>IF((E93-D93)&lt;0,0,(E93-D93))</f>
        <v>0</v>
      </c>
      <c r="J93" s="12">
        <f>Table1[[#This Row],[Enrolment S.Y. 2025-2026 ]]*8</f>
        <v>13064</v>
      </c>
      <c r="K93" s="12"/>
      <c r="L93" s="10"/>
      <c r="M93" s="12"/>
      <c r="N93" s="12">
        <f>IF((J93-K93)&lt;0,0,(J93-K93))</f>
        <v>13064</v>
      </c>
      <c r="O93" s="12">
        <f>IF((K93-J93)&lt;0,0,(K93-J93))</f>
        <v>0</v>
      </c>
      <c r="P93" s="12">
        <f>Table1[[#This Row],[Enrolment S.Y. 2025-2026 ]]*8</f>
        <v>13064</v>
      </c>
      <c r="Q93" s="12"/>
      <c r="R93" s="10"/>
      <c r="S93" s="12"/>
      <c r="T93" s="12">
        <f>IF((P93-Q93)&lt;0,0,(P93-Q93))</f>
        <v>13064</v>
      </c>
      <c r="U93" s="12">
        <f>IF((Q93-P93)&lt;0,0,(Q93-P93))</f>
        <v>0</v>
      </c>
      <c r="V93" s="12">
        <f>Table1[[#This Row],[Enrolment S.Y. 2025-2026 ]]*8</f>
        <v>13064</v>
      </c>
      <c r="W93" s="12"/>
      <c r="X93" s="10"/>
      <c r="Y93" s="12"/>
      <c r="Z93" s="12">
        <f>IF((V93-W93)&lt;0,0,(V93-W93))</f>
        <v>13064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>
        <v>1633</v>
      </c>
      <c r="D94" s="12">
        <f>Table1[[#This Row],[Enrolment S.Y. 2025-2026 ]]*8</f>
        <v>13064</v>
      </c>
      <c r="E94" s="12"/>
      <c r="F94" s="10"/>
      <c r="G94" s="12"/>
      <c r="H94" s="12">
        <f>IF((D94-E94)&lt;0,0,(D94-E94))</f>
        <v>13064</v>
      </c>
      <c r="I94" s="12">
        <f>IF((E94-D94)&lt;0,0,(E94-D94))</f>
        <v>0</v>
      </c>
      <c r="J94" s="12">
        <f>Table1[[#This Row],[Enrolment S.Y. 2025-2026 ]]*8</f>
        <v>13064</v>
      </c>
      <c r="K94" s="12"/>
      <c r="L94" s="10"/>
      <c r="M94" s="12"/>
      <c r="N94" s="12">
        <f>IF((J94-K94)&lt;0,0,(J94-K94))</f>
        <v>13064</v>
      </c>
      <c r="O94" s="12">
        <f>IF((K94-J94)&lt;0,0,(K94-J94))</f>
        <v>0</v>
      </c>
      <c r="P94" s="12">
        <f>Table1[[#This Row],[Enrolment S.Y. 2025-2026 ]]*8</f>
        <v>13064</v>
      </c>
      <c r="Q94" s="12"/>
      <c r="R94" s="10"/>
      <c r="S94" s="12"/>
      <c r="T94" s="12">
        <f>IF((P94-Q94)&lt;0,0,(P94-Q94))</f>
        <v>13064</v>
      </c>
      <c r="U94" s="12">
        <f>IF((Q94-P94)&lt;0,0,(Q94-P94))</f>
        <v>0</v>
      </c>
      <c r="V94" s="12">
        <f>Table1[[#This Row],[Enrolment S.Y. 2025-2026 ]]*8</f>
        <v>13064</v>
      </c>
      <c r="W94" s="12"/>
      <c r="X94" s="10"/>
      <c r="Y94" s="12"/>
      <c r="Z94" s="12">
        <f>IF((V94-W94)&lt;0,0,(V94-W94))</f>
        <v>13064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>
        <v>1633</v>
      </c>
      <c r="D95" s="12">
        <f>Table1[[#This Row],[Enrolment S.Y. 2025-2026 ]]*8</f>
        <v>13064</v>
      </c>
      <c r="E95" s="12"/>
      <c r="F95" s="10"/>
      <c r="G95" s="12"/>
      <c r="H95" s="12">
        <f>IF((D95-E95)&lt;0,0,(D95-E95))</f>
        <v>13064</v>
      </c>
      <c r="I95" s="12">
        <f>IF((E95-D95)&lt;0,0,(E95-D95))</f>
        <v>0</v>
      </c>
      <c r="J95" s="12">
        <f>Table1[[#This Row],[Enrolment S.Y. 2025-2026 ]]*8</f>
        <v>13064</v>
      </c>
      <c r="K95" s="12"/>
      <c r="L95" s="10"/>
      <c r="M95" s="12"/>
      <c r="N95" s="12">
        <f>IF((J95-K95)&lt;0,0,(J95-K95))</f>
        <v>13064</v>
      </c>
      <c r="O95" s="12">
        <f>IF((K95-J95)&lt;0,0,(K95-J95))</f>
        <v>0</v>
      </c>
      <c r="P95" s="12">
        <f>Table1[[#This Row],[Enrolment S.Y. 2025-2026 ]]*8</f>
        <v>13064</v>
      </c>
      <c r="Q95" s="12"/>
      <c r="R95" s="10"/>
      <c r="S95" s="12"/>
      <c r="T95" s="12">
        <f>IF((P95-Q95)&lt;0,0,(P95-Q95))</f>
        <v>13064</v>
      </c>
      <c r="U95" s="12">
        <f>IF((Q95-P95)&lt;0,0,(Q95-P95))</f>
        <v>0</v>
      </c>
      <c r="V95" s="12">
        <f>Table1[[#This Row],[Enrolment S.Y. 2025-2026 ]]*8</f>
        <v>13064</v>
      </c>
      <c r="W95" s="12"/>
      <c r="X95" s="10"/>
      <c r="Y95" s="12"/>
      <c r="Z95" s="12">
        <f>IF((V95-W95)&lt;0,0,(V95-W95))</f>
        <v>13064</v>
      </c>
      <c r="AA95" s="12">
        <f>IF((W95-V95)&lt;0,0,(W95-V95))</f>
        <v>0</v>
      </c>
    </row>
    <row r="96" spans="1:27" ht="19.5">
      <c r="A96" s="10">
        <v>10</v>
      </c>
      <c r="B96" s="11" t="s">
        <v>21</v>
      </c>
      <c r="C96" s="10">
        <v>1633</v>
      </c>
      <c r="D96" s="12">
        <f>Table1[[#This Row],[Enrolment S.Y. 2025-2026 ]]*8</f>
        <v>13064</v>
      </c>
      <c r="E96" s="12"/>
      <c r="F96" s="10"/>
      <c r="G96" s="12"/>
      <c r="H96" s="12">
        <f>IF((D96-E96)&lt;0,0,(D96-E96))</f>
        <v>13064</v>
      </c>
      <c r="I96" s="12">
        <f>IF((E96-D96)&lt;0,0,(E96-D96))</f>
        <v>0</v>
      </c>
      <c r="J96" s="12">
        <f>Table1[[#This Row],[Enrolment S.Y. 2025-2026 ]]*8</f>
        <v>13064</v>
      </c>
      <c r="K96" s="12"/>
      <c r="L96" s="10"/>
      <c r="M96" s="12"/>
      <c r="N96" s="12">
        <f>IF((J96-K96)&lt;0,0,(J96-K96))</f>
        <v>13064</v>
      </c>
      <c r="O96" s="12">
        <f>IF((K96-J96)&lt;0,0,(K96-J96))</f>
        <v>0</v>
      </c>
      <c r="P96" s="12">
        <f>Table1[[#This Row],[Enrolment S.Y. 2025-2026 ]]*8</f>
        <v>13064</v>
      </c>
      <c r="Q96" s="12"/>
      <c r="R96" s="10"/>
      <c r="S96" s="12"/>
      <c r="T96" s="12">
        <f>IF((P96-Q96)&lt;0,0,(P96-Q96))</f>
        <v>13064</v>
      </c>
      <c r="U96" s="12">
        <f>IF((Q96-P96)&lt;0,0,(Q96-P96))</f>
        <v>0</v>
      </c>
      <c r="V96" s="12">
        <f>Table1[[#This Row],[Enrolment S.Y. 2025-2026 ]]*8</f>
        <v>13064</v>
      </c>
      <c r="W96" s="12"/>
      <c r="X96" s="10"/>
      <c r="Y96" s="12"/>
      <c r="Z96" s="12">
        <f>IF((V96-W96)&lt;0,0,(V96-W96))</f>
        <v>13064</v>
      </c>
      <c r="AA96" s="12">
        <f>IF((W96-V96)&lt;0,0,(W96-V96))</f>
        <v>0</v>
      </c>
    </row>
    <row r="97" spans="1:27" ht="19.5">
      <c r="A97" s="10">
        <v>10</v>
      </c>
      <c r="B97" s="11" t="s">
        <v>23</v>
      </c>
      <c r="C97" s="10">
        <v>1633</v>
      </c>
      <c r="D97" s="12">
        <f>Table1[[#This Row],[Enrolment S.Y. 2025-2026 ]]*8</f>
        <v>13064</v>
      </c>
      <c r="E97" s="12"/>
      <c r="F97" s="10"/>
      <c r="G97" s="12"/>
      <c r="H97" s="12">
        <f>IF((D97-E97)&lt;0,0,(D97-E97))</f>
        <v>13064</v>
      </c>
      <c r="I97" s="12">
        <f>IF((E97-D97)&lt;0,0,(E97-D97))</f>
        <v>0</v>
      </c>
      <c r="J97" s="12">
        <f>Table1[[#This Row],[Enrolment S.Y. 2025-2026 ]]*8</f>
        <v>13064</v>
      </c>
      <c r="K97" s="12"/>
      <c r="L97" s="10"/>
      <c r="M97" s="12"/>
      <c r="N97" s="12">
        <f>IF((J97-K97)&lt;0,0,(J97-K97))</f>
        <v>13064</v>
      </c>
      <c r="O97" s="12">
        <f>IF((K97-J97)&lt;0,0,(K97-J97))</f>
        <v>0</v>
      </c>
      <c r="P97" s="12">
        <f>Table1[[#This Row],[Enrolment S.Y. 2025-2026 ]]*8</f>
        <v>13064</v>
      </c>
      <c r="Q97" s="12"/>
      <c r="R97" s="10"/>
      <c r="S97" s="12"/>
      <c r="T97" s="12">
        <f>IF((P97-Q97)&lt;0,0,(P97-Q97))</f>
        <v>13064</v>
      </c>
      <c r="U97" s="12">
        <f>IF((Q97-P97)&lt;0,0,(Q97-P97))</f>
        <v>0</v>
      </c>
      <c r="V97" s="12">
        <f>Table1[[#This Row],[Enrolment S.Y. 2025-2026 ]]*8</f>
        <v>13064</v>
      </c>
      <c r="W97" s="12"/>
      <c r="X97" s="10"/>
      <c r="Y97" s="12"/>
      <c r="Z97" s="12">
        <f>IF((V97-W97)&lt;0,0,(V97-W97))</f>
        <v>13064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>
        <v>1633</v>
      </c>
      <c r="D98" s="12">
        <f>Table1[[#This Row],[Enrolment S.Y. 2025-2026 ]]*8</f>
        <v>13064</v>
      </c>
      <c r="E98" s="12"/>
      <c r="F98" s="10"/>
      <c r="G98" s="12"/>
      <c r="H98" s="12">
        <f>IF((D98-E98)&lt;0,0,(D98-E98))</f>
        <v>13064</v>
      </c>
      <c r="I98" s="12">
        <f>IF((E98-D98)&lt;0,0,(E98-D98))</f>
        <v>0</v>
      </c>
      <c r="J98" s="12">
        <f>Table1[[#This Row],[Enrolment S.Y. 2025-2026 ]]*8</f>
        <v>13064</v>
      </c>
      <c r="K98" s="12"/>
      <c r="L98" s="10"/>
      <c r="M98" s="12"/>
      <c r="N98" s="12">
        <f>IF((J98-K98)&lt;0,0,(J98-K98))</f>
        <v>13064</v>
      </c>
      <c r="O98" s="12">
        <f>IF((K98-J98)&lt;0,0,(K98-J98))</f>
        <v>0</v>
      </c>
      <c r="P98" s="12">
        <f>Table1[[#This Row],[Enrolment S.Y. 2025-2026 ]]*8</f>
        <v>13064</v>
      </c>
      <c r="Q98" s="12"/>
      <c r="R98" s="10"/>
      <c r="S98" s="12"/>
      <c r="T98" s="12">
        <f>IF((P98-Q98)&lt;0,0,(P98-Q98))</f>
        <v>13064</v>
      </c>
      <c r="U98" s="12">
        <f>IF((Q98-P98)&lt;0,0,(Q98-P98))</f>
        <v>0</v>
      </c>
      <c r="V98" s="12">
        <f>Table1[[#This Row],[Enrolment S.Y. 2025-2026 ]]*8</f>
        <v>13064</v>
      </c>
      <c r="W98" s="12"/>
      <c r="X98" s="10"/>
      <c r="Y98" s="12"/>
      <c r="Z98" s="12">
        <f>IF((V98-W98)&lt;0,0,(V98-W98))</f>
        <v>13064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>
        <v>1633</v>
      </c>
      <c r="D99" s="12">
        <f>Table1[[#This Row],[Enrolment S.Y. 2025-2026 ]]*8</f>
        <v>13064</v>
      </c>
      <c r="E99" s="12"/>
      <c r="F99" s="10"/>
      <c r="G99" s="12"/>
      <c r="H99" s="12">
        <f>IF((D99-E99)&lt;0,0,(D99-E99))</f>
        <v>13064</v>
      </c>
      <c r="I99" s="12">
        <f>IF((E99-D99)&lt;0,0,(E99-D99))</f>
        <v>0</v>
      </c>
      <c r="J99" s="12">
        <f>Table1[[#This Row],[Enrolment S.Y. 2025-2026 ]]*8</f>
        <v>13064</v>
      </c>
      <c r="K99" s="12"/>
      <c r="L99" s="10"/>
      <c r="M99" s="12"/>
      <c r="N99" s="12">
        <f>IF((J99-K99)&lt;0,0,(J99-K99))</f>
        <v>13064</v>
      </c>
      <c r="O99" s="12">
        <f>IF((K99-J99)&lt;0,0,(K99-J99))</f>
        <v>0</v>
      </c>
      <c r="P99" s="12">
        <f>Table1[[#This Row],[Enrolment S.Y. 2025-2026 ]]*8</f>
        <v>13064</v>
      </c>
      <c r="Q99" s="12"/>
      <c r="R99" s="10"/>
      <c r="S99" s="12"/>
      <c r="T99" s="12">
        <f>IF((P99-Q99)&lt;0,0,(P99-Q99))</f>
        <v>13064</v>
      </c>
      <c r="U99" s="12">
        <f>IF((Q99-P99)&lt;0,0,(Q99-P99))</f>
        <v>0</v>
      </c>
      <c r="V99" s="12">
        <f>Table1[[#This Row],[Enrolment S.Y. 2025-2026 ]]*8</f>
        <v>13064</v>
      </c>
      <c r="W99" s="12"/>
      <c r="X99" s="10"/>
      <c r="Y99" s="12"/>
      <c r="Z99" s="12">
        <f>IF((V99-W99)&lt;0,0,(V99-W99))</f>
        <v>13064</v>
      </c>
      <c r="AA99" s="12">
        <f>IF((W99-V99)&lt;0,0,(W99-V99))</f>
        <v>0</v>
      </c>
    </row>
    <row r="100" spans="1:27" ht="19.5">
      <c r="A100" s="10">
        <v>10</v>
      </c>
      <c r="B100" s="11" t="s">
        <v>22</v>
      </c>
      <c r="C100" s="10">
        <v>1633</v>
      </c>
      <c r="D100" s="12">
        <f>Table1[[#This Row],[Enrolment S.Y. 2025-2026 ]]*8</f>
        <v>13064</v>
      </c>
      <c r="E100" s="12"/>
      <c r="F100" s="10"/>
      <c r="G100" s="12"/>
      <c r="H100" s="12">
        <f>IF((D100-E100)&lt;0,0,(D100-E100))</f>
        <v>13064</v>
      </c>
      <c r="I100" s="12">
        <f>IF((E100-D100)&lt;0,0,(E100-D100))</f>
        <v>0</v>
      </c>
      <c r="J100" s="12">
        <f>Table1[[#This Row],[Enrolment S.Y. 2025-2026 ]]*8</f>
        <v>13064</v>
      </c>
      <c r="K100" s="12"/>
      <c r="L100" s="10"/>
      <c r="M100" s="12"/>
      <c r="N100" s="12">
        <f>IF((J100-K100)&lt;0,0,(J100-K100))</f>
        <v>13064</v>
      </c>
      <c r="O100" s="12">
        <f>IF((K100-J100)&lt;0,0,(K100-J100))</f>
        <v>0</v>
      </c>
      <c r="P100" s="12">
        <f>Table1[[#This Row],[Enrolment S.Y. 2025-2026 ]]*8</f>
        <v>13064</v>
      </c>
      <c r="Q100" s="12"/>
      <c r="R100" s="10"/>
      <c r="S100" s="12"/>
      <c r="T100" s="12">
        <f>IF((P100-Q100)&lt;0,0,(P100-Q100))</f>
        <v>13064</v>
      </c>
      <c r="U100" s="12">
        <f>IF((Q100-P100)&lt;0,0,(Q100-P100))</f>
        <v>0</v>
      </c>
      <c r="V100" s="12">
        <f>Table1[[#This Row],[Enrolment S.Y. 2025-2026 ]]*8</f>
        <v>13064</v>
      </c>
      <c r="W100" s="12"/>
      <c r="X100" s="10"/>
      <c r="Y100" s="12"/>
      <c r="Z100" s="12">
        <f>IF((V100-W100)&lt;0,0,(V100-W100))</f>
        <v>13064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>
        <v>1633</v>
      </c>
      <c r="D101" s="12">
        <f>Table1[[#This Row],[Enrolment S.Y. 2025-2026 ]]*8</f>
        <v>13064</v>
      </c>
      <c r="E101" s="12"/>
      <c r="F101" s="10"/>
      <c r="G101" s="12"/>
      <c r="H101" s="12">
        <f>IF((D101-E101)&lt;0,0,(D101-E101))</f>
        <v>13064</v>
      </c>
      <c r="I101" s="12">
        <f>IF((E101-D101)&lt;0,0,(E101-D101))</f>
        <v>0</v>
      </c>
      <c r="J101" s="12">
        <f>Table1[[#This Row],[Enrolment S.Y. 2025-2026 ]]*8</f>
        <v>13064</v>
      </c>
      <c r="K101" s="12"/>
      <c r="L101" s="10"/>
      <c r="M101" s="12"/>
      <c r="N101" s="12">
        <f>IF((J101-K101)&lt;0,0,(J101-K101))</f>
        <v>13064</v>
      </c>
      <c r="O101" s="12">
        <f>IF((K101-J101)&lt;0,0,(K101-J101))</f>
        <v>0</v>
      </c>
      <c r="P101" s="12">
        <f>Table1[[#This Row],[Enrolment S.Y. 2025-2026 ]]*8</f>
        <v>13064</v>
      </c>
      <c r="Q101" s="12"/>
      <c r="R101" s="10"/>
      <c r="S101" s="12"/>
      <c r="T101" s="12">
        <f>IF((P101-Q101)&lt;0,0,(P101-Q101))</f>
        <v>13064</v>
      </c>
      <c r="U101" s="12">
        <f>IF((Q101-P101)&lt;0,0,(Q101-P101))</f>
        <v>0</v>
      </c>
      <c r="V101" s="12">
        <f>Table1[[#This Row],[Enrolment S.Y. 2025-2026 ]]*8</f>
        <v>13064</v>
      </c>
      <c r="W101" s="12"/>
      <c r="X101" s="10"/>
      <c r="Y101" s="12"/>
      <c r="Z101" s="12">
        <f>IF((V101-W101)&lt;0,0,(V101-W101))</f>
        <v>13064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57.75">
      <c r="A103" s="1">
        <v>11</v>
      </c>
      <c r="B103" s="9" t="s">
        <v>24</v>
      </c>
      <c r="C103" s="1">
        <v>1102</v>
      </c>
      <c r="D103" s="5">
        <f>Table1[[#This Row],[Enrolment S.Y. 2025-2026 ]]*8</f>
        <v>8816</v>
      </c>
      <c r="E103" s="5"/>
      <c r="F103" s="1"/>
      <c r="G103" s="5"/>
      <c r="H103" s="5">
        <f t="shared" si="22"/>
        <v>8816</v>
      </c>
      <c r="I103" s="5">
        <f t="shared" si="23"/>
        <v>0</v>
      </c>
      <c r="J103" s="5">
        <f>Table1[[#This Row],[Enrolment S.Y. 2025-2026 ]]*8</f>
        <v>8816</v>
      </c>
      <c r="K103" s="5"/>
      <c r="L103" s="1"/>
      <c r="M103" s="5"/>
      <c r="N103" s="5">
        <f t="shared" si="16"/>
        <v>8816</v>
      </c>
      <c r="O103" s="5">
        <f t="shared" si="17"/>
        <v>0</v>
      </c>
      <c r="P103" s="5">
        <f>Table1[[#This Row],[Enrolment S.Y. 2025-2026 ]]*8</f>
        <v>8816</v>
      </c>
      <c r="Q103" s="5"/>
      <c r="R103" s="1"/>
      <c r="S103" s="5"/>
      <c r="T103" s="5">
        <f t="shared" si="18"/>
        <v>8816</v>
      </c>
      <c r="U103" s="5">
        <f t="shared" si="19"/>
        <v>0</v>
      </c>
      <c r="V103" s="5">
        <f>Table1[[#This Row],[Enrolment S.Y. 2025-2026 ]]*8</f>
        <v>8816</v>
      </c>
      <c r="W103" s="5"/>
      <c r="X103" s="1"/>
      <c r="Y103" s="5"/>
      <c r="Z103" s="5">
        <f t="shared" si="20"/>
        <v>8816</v>
      </c>
      <c r="AA103" s="5">
        <f t="shared" si="21"/>
        <v>0</v>
      </c>
    </row>
    <row r="104" spans="1:27" ht="19.5">
      <c r="A104" s="1">
        <v>11</v>
      </c>
      <c r="B104" s="9" t="s">
        <v>25</v>
      </c>
      <c r="C104" s="1">
        <v>1102</v>
      </c>
      <c r="D104" s="5">
        <f>Table1[[#This Row],[Enrolment S.Y. 2025-2026 ]]*8</f>
        <v>8816</v>
      </c>
      <c r="E104" s="5"/>
      <c r="F104" s="1"/>
      <c r="G104" s="5"/>
      <c r="H104" s="5">
        <f t="shared" si="22"/>
        <v>8816</v>
      </c>
      <c r="I104" s="5">
        <f t="shared" si="23"/>
        <v>0</v>
      </c>
      <c r="J104" s="5">
        <f>Table1[[#This Row],[Enrolment S.Y. 2025-2026 ]]*8</f>
        <v>8816</v>
      </c>
      <c r="K104" s="5"/>
      <c r="L104" s="1"/>
      <c r="M104" s="5"/>
      <c r="N104" s="5">
        <f t="shared" si="16"/>
        <v>8816</v>
      </c>
      <c r="O104" s="5">
        <f t="shared" si="17"/>
        <v>0</v>
      </c>
      <c r="P104" s="5">
        <f>Table1[[#This Row],[Enrolment S.Y. 2025-2026 ]]*8</f>
        <v>8816</v>
      </c>
      <c r="Q104" s="5"/>
      <c r="R104" s="1"/>
      <c r="S104" s="5"/>
      <c r="T104" s="5">
        <f t="shared" si="18"/>
        <v>8816</v>
      </c>
      <c r="U104" s="5">
        <f t="shared" si="19"/>
        <v>0</v>
      </c>
      <c r="V104" s="5">
        <f>Table1[[#This Row],[Enrolment S.Y. 2025-2026 ]]*8</f>
        <v>8816</v>
      </c>
      <c r="W104" s="5"/>
      <c r="X104" s="1"/>
      <c r="Y104" s="5"/>
      <c r="Z104" s="5">
        <f t="shared" si="20"/>
        <v>8816</v>
      </c>
      <c r="AA104" s="5">
        <f t="shared" si="21"/>
        <v>0</v>
      </c>
    </row>
    <row r="105" spans="1:27" ht="38.25">
      <c r="A105" s="1">
        <v>11</v>
      </c>
      <c r="B105" s="9" t="s">
        <v>26</v>
      </c>
      <c r="C105" s="1">
        <v>1102</v>
      </c>
      <c r="D105" s="5">
        <f>Table1[[#This Row],[Enrolment S.Y. 2025-2026 ]]*8</f>
        <v>8816</v>
      </c>
      <c r="E105" s="5"/>
      <c r="F105" s="1"/>
      <c r="G105" s="5"/>
      <c r="H105" s="5">
        <f t="shared" si="22"/>
        <v>8816</v>
      </c>
      <c r="I105" s="5">
        <f t="shared" si="23"/>
        <v>0</v>
      </c>
      <c r="J105" s="5">
        <f>Table1[[#This Row],[Enrolment S.Y. 2025-2026 ]]*8</f>
        <v>8816</v>
      </c>
      <c r="K105" s="5"/>
      <c r="L105" s="1"/>
      <c r="M105" s="5"/>
      <c r="N105" s="5">
        <f t="shared" si="16"/>
        <v>8816</v>
      </c>
      <c r="O105" s="5">
        <f t="shared" si="17"/>
        <v>0</v>
      </c>
      <c r="P105" s="5">
        <f>Table1[[#This Row],[Enrolment S.Y. 2025-2026 ]]*8</f>
        <v>8816</v>
      </c>
      <c r="Q105" s="5"/>
      <c r="R105" s="1"/>
      <c r="S105" s="5"/>
      <c r="T105" s="5">
        <f t="shared" si="18"/>
        <v>8816</v>
      </c>
      <c r="U105" s="5">
        <f t="shared" si="19"/>
        <v>0</v>
      </c>
      <c r="V105" s="5">
        <f>Table1[[#This Row],[Enrolment S.Y. 2025-2026 ]]*8</f>
        <v>8816</v>
      </c>
      <c r="W105" s="5"/>
      <c r="X105" s="1"/>
      <c r="Y105" s="5"/>
      <c r="Z105" s="5">
        <f t="shared" si="20"/>
        <v>8816</v>
      </c>
      <c r="AA105" s="5">
        <f t="shared" si="21"/>
        <v>0</v>
      </c>
    </row>
    <row r="106" spans="1:27" ht="19.5">
      <c r="A106" s="1">
        <v>11</v>
      </c>
      <c r="B106" s="9" t="s">
        <v>27</v>
      </c>
      <c r="C106" s="1">
        <v>1102</v>
      </c>
      <c r="D106" s="5">
        <f>Table1[[#This Row],[Enrolment S.Y. 2025-2026 ]]*8</f>
        <v>8816</v>
      </c>
      <c r="E106" s="5"/>
      <c r="F106" s="1"/>
      <c r="G106" s="5"/>
      <c r="H106" s="5">
        <f t="shared" si="22"/>
        <v>8816</v>
      </c>
      <c r="I106" s="5">
        <f t="shared" si="23"/>
        <v>0</v>
      </c>
      <c r="J106" s="5">
        <f>Table1[[#This Row],[Enrolment S.Y. 2025-2026 ]]*8</f>
        <v>8816</v>
      </c>
      <c r="K106" s="5"/>
      <c r="L106" s="1"/>
      <c r="M106" s="5"/>
      <c r="N106" s="5">
        <f t="shared" si="16"/>
        <v>8816</v>
      </c>
      <c r="O106" s="5">
        <f t="shared" si="17"/>
        <v>0</v>
      </c>
      <c r="P106" s="5">
        <f>Table1[[#This Row],[Enrolment S.Y. 2025-2026 ]]*8</f>
        <v>8816</v>
      </c>
      <c r="Q106" s="5"/>
      <c r="R106" s="1"/>
      <c r="S106" s="5"/>
      <c r="T106" s="5">
        <f t="shared" si="18"/>
        <v>8816</v>
      </c>
      <c r="U106" s="5">
        <f t="shared" si="19"/>
        <v>0</v>
      </c>
      <c r="V106" s="5">
        <f>Table1[[#This Row],[Enrolment S.Y. 2025-2026 ]]*8</f>
        <v>8816</v>
      </c>
      <c r="W106" s="5"/>
      <c r="X106" s="1"/>
      <c r="Y106" s="5"/>
      <c r="Z106" s="5">
        <f t="shared" si="20"/>
        <v>8816</v>
      </c>
      <c r="AA106" s="5">
        <f t="shared" si="21"/>
        <v>0</v>
      </c>
    </row>
    <row r="107" spans="1:27" ht="19.5">
      <c r="A107" s="1">
        <v>11</v>
      </c>
      <c r="B107" s="9" t="s">
        <v>28</v>
      </c>
      <c r="C107" s="1">
        <v>1102</v>
      </c>
      <c r="D107" s="5">
        <f>Table1[[#This Row],[Enrolment S.Y. 2025-2026 ]]*8</f>
        <v>8816</v>
      </c>
      <c r="E107" s="5"/>
      <c r="F107" s="1"/>
      <c r="G107" s="5"/>
      <c r="H107" s="5">
        <f t="shared" si="22"/>
        <v>8816</v>
      </c>
      <c r="I107" s="5">
        <f t="shared" si="23"/>
        <v>0</v>
      </c>
      <c r="J107" s="5">
        <f>Table1[[#This Row],[Enrolment S.Y. 2025-2026 ]]*8</f>
        <v>8816</v>
      </c>
      <c r="K107" s="5"/>
      <c r="L107" s="1"/>
      <c r="M107" s="5"/>
      <c r="N107" s="5">
        <f t="shared" si="16"/>
        <v>8816</v>
      </c>
      <c r="O107" s="5">
        <f t="shared" si="17"/>
        <v>0</v>
      </c>
      <c r="P107" s="5">
        <f>Table1[[#This Row],[Enrolment S.Y. 2025-2026 ]]*8</f>
        <v>8816</v>
      </c>
      <c r="Q107" s="5"/>
      <c r="R107" s="1"/>
      <c r="S107" s="5"/>
      <c r="T107" s="5">
        <f t="shared" si="18"/>
        <v>8816</v>
      </c>
      <c r="U107" s="5">
        <f t="shared" si="19"/>
        <v>0</v>
      </c>
      <c r="V107" s="5">
        <f>Table1[[#This Row],[Enrolment S.Y. 2025-2026 ]]*8</f>
        <v>8816</v>
      </c>
      <c r="W107" s="5"/>
      <c r="X107" s="1"/>
      <c r="Y107" s="5"/>
      <c r="Z107" s="5">
        <f t="shared" si="20"/>
        <v>8816</v>
      </c>
      <c r="AA107" s="5">
        <f t="shared" si="21"/>
        <v>0</v>
      </c>
    </row>
    <row r="108" spans="1:27" ht="38.25">
      <c r="A108" s="1">
        <v>11</v>
      </c>
      <c r="B108" s="9" t="s">
        <v>29</v>
      </c>
      <c r="C108" s="1">
        <v>1102</v>
      </c>
      <c r="D108" s="5">
        <f>Table1[[#This Row],[Enrolment S.Y. 2025-2026 ]]*8</f>
        <v>8816</v>
      </c>
      <c r="E108" s="5"/>
      <c r="F108" s="1"/>
      <c r="G108" s="5"/>
      <c r="H108" s="5">
        <f t="shared" si="22"/>
        <v>8816</v>
      </c>
      <c r="I108" s="5">
        <f t="shared" si="23"/>
        <v>0</v>
      </c>
      <c r="J108" s="5">
        <f>Table1[[#This Row],[Enrolment S.Y. 2025-2026 ]]*8</f>
        <v>8816</v>
      </c>
      <c r="K108" s="5"/>
      <c r="L108" s="1"/>
      <c r="M108" s="5"/>
      <c r="N108" s="5">
        <f t="shared" si="16"/>
        <v>8816</v>
      </c>
      <c r="O108" s="5">
        <f t="shared" si="17"/>
        <v>0</v>
      </c>
      <c r="P108" s="5">
        <f>Table1[[#This Row],[Enrolment S.Y. 2025-2026 ]]*8</f>
        <v>8816</v>
      </c>
      <c r="Q108" s="5"/>
      <c r="R108" s="1"/>
      <c r="S108" s="5"/>
      <c r="T108" s="5">
        <f t="shared" si="18"/>
        <v>8816</v>
      </c>
      <c r="U108" s="5">
        <f t="shared" si="19"/>
        <v>0</v>
      </c>
      <c r="V108" s="5">
        <f>Table1[[#This Row],[Enrolment S.Y. 2025-2026 ]]*8</f>
        <v>8816</v>
      </c>
      <c r="W108" s="5"/>
      <c r="X108" s="1"/>
      <c r="Y108" s="5"/>
      <c r="Z108" s="5">
        <f t="shared" si="20"/>
        <v>8816</v>
      </c>
      <c r="AA108" s="5">
        <f t="shared" si="21"/>
        <v>0</v>
      </c>
    </row>
    <row r="109" spans="1:27" ht="38.25">
      <c r="A109" s="1">
        <v>11</v>
      </c>
      <c r="B109" s="9" t="s">
        <v>30</v>
      </c>
      <c r="C109" s="1">
        <v>1102</v>
      </c>
      <c r="D109" s="5">
        <f>Table1[[#This Row],[Enrolment S.Y. 2025-2026 ]]*8</f>
        <v>8816</v>
      </c>
      <c r="E109" s="5"/>
      <c r="F109" s="1"/>
      <c r="G109" s="5"/>
      <c r="H109" s="5">
        <f t="shared" si="22"/>
        <v>8816</v>
      </c>
      <c r="I109" s="5">
        <f t="shared" si="23"/>
        <v>0</v>
      </c>
      <c r="J109" s="5">
        <f>Table1[[#This Row],[Enrolment S.Y. 2025-2026 ]]*8</f>
        <v>8816</v>
      </c>
      <c r="K109" s="5"/>
      <c r="L109" s="1"/>
      <c r="M109" s="5"/>
      <c r="N109" s="5">
        <f t="shared" si="16"/>
        <v>8816</v>
      </c>
      <c r="O109" s="5">
        <f t="shared" si="17"/>
        <v>0</v>
      </c>
      <c r="P109" s="5">
        <f>Table1[[#This Row],[Enrolment S.Y. 2025-2026 ]]*8</f>
        <v>8816</v>
      </c>
      <c r="Q109" s="5"/>
      <c r="R109" s="1"/>
      <c r="S109" s="5"/>
      <c r="T109" s="5">
        <f t="shared" si="18"/>
        <v>8816</v>
      </c>
      <c r="U109" s="5">
        <f t="shared" si="19"/>
        <v>0</v>
      </c>
      <c r="V109" s="5">
        <f>Table1[[#This Row],[Enrolment S.Y. 2025-2026 ]]*8</f>
        <v>8816</v>
      </c>
      <c r="W109" s="5"/>
      <c r="X109" s="1"/>
      <c r="Y109" s="5"/>
      <c r="Z109" s="5">
        <f t="shared" si="20"/>
        <v>8816</v>
      </c>
      <c r="AA109" s="5">
        <f t="shared" si="21"/>
        <v>0</v>
      </c>
    </row>
    <row r="110" spans="1:27" ht="21">
      <c r="A110" s="32">
        <v>11</v>
      </c>
      <c r="B110" s="33" t="s">
        <v>31</v>
      </c>
      <c r="C110" s="1">
        <v>1102</v>
      </c>
      <c r="D110" s="34">
        <f>Table1[[#This Row],[Enrolment S.Y. 2025-2026 ]]*8</f>
        <v>8816</v>
      </c>
      <c r="E110" s="34"/>
      <c r="F110" s="32"/>
      <c r="G110" s="34"/>
      <c r="H110" s="34">
        <f>IF((D110-E110)&lt;0,0,(D110-E110))</f>
        <v>8816</v>
      </c>
      <c r="I110" s="34">
        <f>IF((E110-D110)&lt;0,0,(E110-D110))</f>
        <v>0</v>
      </c>
      <c r="J110" s="34">
        <f>Table1[[#This Row],[Enrolment S.Y. 2025-2026 ]]*8</f>
        <v>8816</v>
      </c>
      <c r="K110" s="34"/>
      <c r="L110" s="32"/>
      <c r="M110" s="34"/>
      <c r="N110" s="5">
        <f t="shared" ref="N110:N126" si="24">IF((J110-K110)&lt;0,0,(J110-K110))</f>
        <v>8816</v>
      </c>
      <c r="O110" s="5">
        <f t="shared" ref="O110:O126" si="25">IF((K110-J110)&lt;0,0,(K110-J110))</f>
        <v>0</v>
      </c>
      <c r="P110" s="5">
        <f>Table1[[#This Row],[Enrolment S.Y. 2025-2026 ]]*8</f>
        <v>8816</v>
      </c>
      <c r="Q110" s="34"/>
      <c r="R110" s="32"/>
      <c r="S110" s="34"/>
      <c r="T110" s="34">
        <f>IF((P110-Q110)&lt;0,0,(P110-Q110))</f>
        <v>8816</v>
      </c>
      <c r="U110" s="34">
        <f>IF((Q110-P110)&lt;0,0,(Q110-P110))</f>
        <v>0</v>
      </c>
      <c r="V110" s="34">
        <f>Table1[[#This Row],[Enrolment S.Y. 2025-2026 ]]*8</f>
        <v>8816</v>
      </c>
      <c r="W110" s="34"/>
      <c r="X110" s="32"/>
      <c r="Y110" s="34"/>
      <c r="Z110" s="34">
        <f>IF((V110-W110)&lt;0,0,(V110-W110))</f>
        <v>8816</v>
      </c>
      <c r="AA110" s="34">
        <f>IF((W110-V110)&lt;0,0,(W110-V110))</f>
        <v>0</v>
      </c>
    </row>
    <row r="111" spans="1:27" ht="19.5">
      <c r="A111" s="1">
        <v>11</v>
      </c>
      <c r="B111" s="9" t="s">
        <v>32</v>
      </c>
      <c r="C111" s="1">
        <v>1102</v>
      </c>
      <c r="D111" s="5">
        <f>Table1[[#This Row],[Enrolment S.Y. 2025-2026 ]]*8</f>
        <v>8816</v>
      </c>
      <c r="E111" s="5"/>
      <c r="F111" s="1"/>
      <c r="G111" s="5"/>
      <c r="H111" s="5">
        <f t="shared" si="22"/>
        <v>8816</v>
      </c>
      <c r="I111" s="5">
        <f t="shared" si="23"/>
        <v>0</v>
      </c>
      <c r="J111" s="5">
        <f>Table1[[#This Row],[Enrolment S.Y. 2025-2026 ]]*8</f>
        <v>8816</v>
      </c>
      <c r="K111" s="5"/>
      <c r="L111" s="1"/>
      <c r="M111" s="5"/>
      <c r="N111" s="5">
        <f t="shared" si="24"/>
        <v>8816</v>
      </c>
      <c r="O111" s="5">
        <f t="shared" si="25"/>
        <v>0</v>
      </c>
      <c r="P111" s="5">
        <f>Table1[[#This Row],[Enrolment S.Y. 2025-2026 ]]*8</f>
        <v>8816</v>
      </c>
      <c r="Q111" s="5"/>
      <c r="R111" s="1"/>
      <c r="S111" s="5"/>
      <c r="T111" s="5">
        <f t="shared" si="18"/>
        <v>8816</v>
      </c>
      <c r="U111" s="5">
        <f t="shared" si="19"/>
        <v>0</v>
      </c>
      <c r="V111" s="5">
        <f>Table1[[#This Row],[Enrolment S.Y. 2025-2026 ]]*8</f>
        <v>8816</v>
      </c>
      <c r="W111" s="5"/>
      <c r="X111" s="1"/>
      <c r="Y111" s="5"/>
      <c r="Z111" s="5">
        <f t="shared" si="20"/>
        <v>8816</v>
      </c>
      <c r="AA111" s="5">
        <f t="shared" si="21"/>
        <v>0</v>
      </c>
    </row>
    <row r="112" spans="1:27" ht="40.5">
      <c r="A112" s="1">
        <v>11</v>
      </c>
      <c r="B112" s="33" t="s">
        <v>33</v>
      </c>
      <c r="C112" s="1">
        <v>1102</v>
      </c>
      <c r="D112" s="34">
        <f>Table1[[#This Row],[Enrolment S.Y. 2025-2026 ]]*8</f>
        <v>8816</v>
      </c>
      <c r="E112" s="34"/>
      <c r="F112" s="32"/>
      <c r="G112" s="34"/>
      <c r="H112" s="34">
        <f t="shared" ref="H112:H114" si="26">IF((D112-E112)&lt;0,0,(D112-E112))</f>
        <v>8816</v>
      </c>
      <c r="I112" s="34">
        <f t="shared" ref="I112:I114" si="27">IF((E112-D112)&lt;0,0,(E112-D112))</f>
        <v>0</v>
      </c>
      <c r="J112" s="34">
        <f>Table1[[#This Row],[Enrolment S.Y. 2025-2026 ]]*8</f>
        <v>8816</v>
      </c>
      <c r="K112" s="34"/>
      <c r="L112" s="32"/>
      <c r="M112" s="34"/>
      <c r="N112" s="5">
        <f t="shared" si="24"/>
        <v>8816</v>
      </c>
      <c r="O112" s="5">
        <f t="shared" si="25"/>
        <v>0</v>
      </c>
      <c r="P112" s="5">
        <f>Table1[[#This Row],[Enrolment S.Y. 2025-2026 ]]*8</f>
        <v>8816</v>
      </c>
      <c r="Q112" s="34"/>
      <c r="R112" s="32"/>
      <c r="S112" s="34"/>
      <c r="T112" s="34">
        <f t="shared" ref="T112:T114" si="28">IF((P112-Q112)&lt;0,0,(P112-Q112))</f>
        <v>8816</v>
      </c>
      <c r="U112" s="34">
        <f t="shared" ref="U112:U114" si="29">IF((Q112-P112)&lt;0,0,(Q112-P112))</f>
        <v>0</v>
      </c>
      <c r="V112" s="34">
        <f>Table1[[#This Row],[Enrolment S.Y. 2025-2026 ]]*8</f>
        <v>8816</v>
      </c>
      <c r="W112" s="34"/>
      <c r="X112" s="32"/>
      <c r="Y112" s="34"/>
      <c r="Z112" s="34">
        <f t="shared" ref="Z112:Z114" si="30">IF((V112-W112)&lt;0,0,(V112-W112))</f>
        <v>8816</v>
      </c>
      <c r="AA112" s="34">
        <f t="shared" ref="AA112:AA114" si="31">IF((W112-V112)&lt;0,0,(W112-V112))</f>
        <v>0</v>
      </c>
    </row>
    <row r="113" spans="1:27" ht="21">
      <c r="A113" s="1">
        <v>11</v>
      </c>
      <c r="B113" s="33" t="s">
        <v>34</v>
      </c>
      <c r="C113" s="1">
        <v>1102</v>
      </c>
      <c r="D113" s="34">
        <f>Table1[[#This Row],[Enrolment S.Y. 2025-2026 ]]*8</f>
        <v>8816</v>
      </c>
      <c r="E113" s="34"/>
      <c r="F113" s="32"/>
      <c r="G113" s="34"/>
      <c r="H113" s="34">
        <f t="shared" si="26"/>
        <v>8816</v>
      </c>
      <c r="I113" s="34">
        <f t="shared" si="27"/>
        <v>0</v>
      </c>
      <c r="J113" s="34">
        <f>Table1[[#This Row],[Enrolment S.Y. 2025-2026 ]]*8</f>
        <v>8816</v>
      </c>
      <c r="K113" s="34"/>
      <c r="L113" s="32"/>
      <c r="M113" s="34"/>
      <c r="N113" s="5">
        <f t="shared" si="24"/>
        <v>8816</v>
      </c>
      <c r="O113" s="5">
        <f t="shared" si="25"/>
        <v>0</v>
      </c>
      <c r="P113" s="5">
        <f>Table1[[#This Row],[Enrolment S.Y. 2025-2026 ]]*8</f>
        <v>8816</v>
      </c>
      <c r="Q113" s="34"/>
      <c r="R113" s="32"/>
      <c r="S113" s="34"/>
      <c r="T113" s="34">
        <f t="shared" si="28"/>
        <v>8816</v>
      </c>
      <c r="U113" s="34">
        <f t="shared" si="29"/>
        <v>0</v>
      </c>
      <c r="V113" s="34">
        <f>Table1[[#This Row],[Enrolment S.Y. 2025-2026 ]]*8</f>
        <v>8816</v>
      </c>
      <c r="W113" s="34"/>
      <c r="X113" s="32"/>
      <c r="Y113" s="34"/>
      <c r="Z113" s="34">
        <f t="shared" si="30"/>
        <v>8816</v>
      </c>
      <c r="AA113" s="34">
        <f t="shared" si="31"/>
        <v>0</v>
      </c>
    </row>
    <row r="114" spans="1:27" ht="40.5">
      <c r="A114" s="1">
        <v>11</v>
      </c>
      <c r="B114" s="33" t="s">
        <v>35</v>
      </c>
      <c r="C114" s="1">
        <v>1102</v>
      </c>
      <c r="D114" s="34">
        <f>Table1[[#This Row],[Enrolment S.Y. 2025-2026 ]]*8</f>
        <v>8816</v>
      </c>
      <c r="E114" s="34"/>
      <c r="F114" s="32"/>
      <c r="G114" s="34"/>
      <c r="H114" s="34">
        <f t="shared" si="26"/>
        <v>8816</v>
      </c>
      <c r="I114" s="34">
        <f t="shared" si="27"/>
        <v>0</v>
      </c>
      <c r="J114" s="34">
        <f>Table1[[#This Row],[Enrolment S.Y. 2025-2026 ]]*8</f>
        <v>8816</v>
      </c>
      <c r="K114" s="34"/>
      <c r="L114" s="32"/>
      <c r="M114" s="34"/>
      <c r="N114" s="5">
        <f t="shared" si="24"/>
        <v>8816</v>
      </c>
      <c r="O114" s="5">
        <f t="shared" si="25"/>
        <v>0</v>
      </c>
      <c r="P114" s="5">
        <f>Table1[[#This Row],[Enrolment S.Y. 2025-2026 ]]*8</f>
        <v>8816</v>
      </c>
      <c r="Q114" s="34"/>
      <c r="R114" s="32"/>
      <c r="S114" s="34"/>
      <c r="T114" s="34">
        <f t="shared" si="28"/>
        <v>8816</v>
      </c>
      <c r="U114" s="34">
        <f t="shared" si="29"/>
        <v>0</v>
      </c>
      <c r="V114" s="34">
        <f>Table1[[#This Row],[Enrolment S.Y. 2025-2026 ]]*8</f>
        <v>8816</v>
      </c>
      <c r="W114" s="34"/>
      <c r="X114" s="32"/>
      <c r="Y114" s="34"/>
      <c r="Z114" s="34">
        <f t="shared" si="30"/>
        <v>8816</v>
      </c>
      <c r="AA114" s="34">
        <f t="shared" si="31"/>
        <v>0</v>
      </c>
    </row>
    <row r="115" spans="1:27" ht="21">
      <c r="A115" s="1">
        <v>11</v>
      </c>
      <c r="B115" s="33" t="s">
        <v>36</v>
      </c>
      <c r="C115" s="1">
        <v>1102</v>
      </c>
      <c r="D115" s="34">
        <f>Table1[[#This Row],[Enrolment S.Y. 2025-2026 ]]*8</f>
        <v>8816</v>
      </c>
      <c r="E115" s="34"/>
      <c r="F115" s="32"/>
      <c r="G115" s="34"/>
      <c r="H115" s="34">
        <f t="shared" ref="H115:H126" si="32">IF((D115-E115)&lt;0,0,(D115-E115))</f>
        <v>8816</v>
      </c>
      <c r="I115" s="34">
        <f t="shared" ref="I115:I126" si="33">IF((E115-D115)&lt;0,0,(E115-D115))</f>
        <v>0</v>
      </c>
      <c r="J115" s="34">
        <f>Table1[[#This Row],[Enrolment S.Y. 2025-2026 ]]*8</f>
        <v>8816</v>
      </c>
      <c r="K115" s="34"/>
      <c r="L115" s="32"/>
      <c r="M115" s="34"/>
      <c r="N115" s="5">
        <f t="shared" si="24"/>
        <v>8816</v>
      </c>
      <c r="O115" s="5">
        <f t="shared" si="25"/>
        <v>0</v>
      </c>
      <c r="P115" s="5">
        <f>Table1[[#This Row],[Enrolment S.Y. 2025-2026 ]]*8</f>
        <v>8816</v>
      </c>
      <c r="Q115" s="34"/>
      <c r="R115" s="32"/>
      <c r="S115" s="34"/>
      <c r="T115" s="34">
        <f t="shared" ref="T115:T126" si="34">IF((P115-Q115)&lt;0,0,(P115-Q115))</f>
        <v>8816</v>
      </c>
      <c r="U115" s="34">
        <f t="shared" ref="U115:U126" si="35">IF((Q115-P115)&lt;0,0,(Q115-P115))</f>
        <v>0</v>
      </c>
      <c r="V115" s="34">
        <f>Table1[[#This Row],[Enrolment S.Y. 2025-2026 ]]*8</f>
        <v>8816</v>
      </c>
      <c r="W115" s="34"/>
      <c r="X115" s="32"/>
      <c r="Y115" s="34"/>
      <c r="Z115" s="34">
        <f t="shared" ref="Z115:Z126" si="36">IF((V115-W115)&lt;0,0,(V115-W115))</f>
        <v>8816</v>
      </c>
      <c r="AA115" s="34">
        <f t="shared" ref="AA115:AA126" si="37">IF((W115-V115)&lt;0,0,(W115-V115))</f>
        <v>0</v>
      </c>
    </row>
    <row r="116" spans="1:27" ht="21">
      <c r="A116" s="1">
        <v>11</v>
      </c>
      <c r="B116" s="33" t="s">
        <v>37</v>
      </c>
      <c r="C116" s="1">
        <v>1102</v>
      </c>
      <c r="D116" s="34">
        <f>Table1[[#This Row],[Enrolment S.Y. 2025-2026 ]]*8</f>
        <v>8816</v>
      </c>
      <c r="E116" s="34"/>
      <c r="F116" s="32"/>
      <c r="G116" s="34"/>
      <c r="H116" s="34">
        <f t="shared" si="32"/>
        <v>8816</v>
      </c>
      <c r="I116" s="34">
        <f t="shared" si="33"/>
        <v>0</v>
      </c>
      <c r="J116" s="34">
        <f>Table1[[#This Row],[Enrolment S.Y. 2025-2026 ]]*8</f>
        <v>8816</v>
      </c>
      <c r="K116" s="34"/>
      <c r="L116" s="32"/>
      <c r="M116" s="34"/>
      <c r="N116" s="5">
        <f t="shared" si="24"/>
        <v>8816</v>
      </c>
      <c r="O116" s="5">
        <f t="shared" si="25"/>
        <v>0</v>
      </c>
      <c r="P116" s="5">
        <f>Table1[[#This Row],[Enrolment S.Y. 2025-2026 ]]*8</f>
        <v>8816</v>
      </c>
      <c r="Q116" s="34"/>
      <c r="R116" s="32"/>
      <c r="S116" s="34"/>
      <c r="T116" s="34">
        <f t="shared" si="34"/>
        <v>8816</v>
      </c>
      <c r="U116" s="34">
        <f t="shared" si="35"/>
        <v>0</v>
      </c>
      <c r="V116" s="34">
        <f>Table1[[#This Row],[Enrolment S.Y. 2025-2026 ]]*8</f>
        <v>8816</v>
      </c>
      <c r="W116" s="34"/>
      <c r="X116" s="32"/>
      <c r="Y116" s="34"/>
      <c r="Z116" s="34">
        <f t="shared" si="36"/>
        <v>8816</v>
      </c>
      <c r="AA116" s="34">
        <f t="shared" si="37"/>
        <v>0</v>
      </c>
    </row>
    <row r="117" spans="1:27" ht="21">
      <c r="A117" s="1">
        <v>11</v>
      </c>
      <c r="B117" s="33" t="s">
        <v>38</v>
      </c>
      <c r="C117" s="1">
        <v>1102</v>
      </c>
      <c r="D117" s="34">
        <f>Table1[[#This Row],[Enrolment S.Y. 2025-2026 ]]*8</f>
        <v>8816</v>
      </c>
      <c r="E117" s="34"/>
      <c r="F117" s="32"/>
      <c r="G117" s="34"/>
      <c r="H117" s="34">
        <f t="shared" si="32"/>
        <v>8816</v>
      </c>
      <c r="I117" s="34">
        <f t="shared" si="33"/>
        <v>0</v>
      </c>
      <c r="J117" s="34">
        <f>Table1[[#This Row],[Enrolment S.Y. 2025-2026 ]]*8</f>
        <v>8816</v>
      </c>
      <c r="K117" s="34"/>
      <c r="L117" s="32"/>
      <c r="M117" s="34"/>
      <c r="N117" s="5">
        <f t="shared" si="24"/>
        <v>8816</v>
      </c>
      <c r="O117" s="5">
        <f t="shared" si="25"/>
        <v>0</v>
      </c>
      <c r="P117" s="5">
        <f>Table1[[#This Row],[Enrolment S.Y. 2025-2026 ]]*8</f>
        <v>8816</v>
      </c>
      <c r="Q117" s="34"/>
      <c r="R117" s="32"/>
      <c r="S117" s="34"/>
      <c r="T117" s="34">
        <f t="shared" si="34"/>
        <v>8816</v>
      </c>
      <c r="U117" s="34">
        <f t="shared" si="35"/>
        <v>0</v>
      </c>
      <c r="V117" s="34">
        <f>Table1[[#This Row],[Enrolment S.Y. 2025-2026 ]]*8</f>
        <v>8816</v>
      </c>
      <c r="W117" s="34"/>
      <c r="X117" s="32"/>
      <c r="Y117" s="34"/>
      <c r="Z117" s="34">
        <f t="shared" si="36"/>
        <v>8816</v>
      </c>
      <c r="AA117" s="34">
        <f t="shared" si="37"/>
        <v>0</v>
      </c>
    </row>
    <row r="118" spans="1:27" ht="21">
      <c r="A118" s="1">
        <v>11</v>
      </c>
      <c r="B118" s="33" t="s">
        <v>39</v>
      </c>
      <c r="C118" s="1">
        <v>1102</v>
      </c>
      <c r="D118" s="34">
        <f>Table1[[#This Row],[Enrolment S.Y. 2025-2026 ]]*8</f>
        <v>8816</v>
      </c>
      <c r="E118" s="34"/>
      <c r="F118" s="32"/>
      <c r="G118" s="34"/>
      <c r="H118" s="34">
        <f t="shared" si="32"/>
        <v>8816</v>
      </c>
      <c r="I118" s="34">
        <f t="shared" si="33"/>
        <v>0</v>
      </c>
      <c r="J118" s="34">
        <f>Table1[[#This Row],[Enrolment S.Y. 2025-2026 ]]*8</f>
        <v>8816</v>
      </c>
      <c r="K118" s="34"/>
      <c r="L118" s="32"/>
      <c r="M118" s="34"/>
      <c r="N118" s="5">
        <f t="shared" si="24"/>
        <v>8816</v>
      </c>
      <c r="O118" s="5">
        <f t="shared" si="25"/>
        <v>0</v>
      </c>
      <c r="P118" s="5">
        <f>Table1[[#This Row],[Enrolment S.Y. 2025-2026 ]]*8</f>
        <v>8816</v>
      </c>
      <c r="Q118" s="34"/>
      <c r="R118" s="32"/>
      <c r="S118" s="34"/>
      <c r="T118" s="34">
        <f t="shared" si="34"/>
        <v>8816</v>
      </c>
      <c r="U118" s="34">
        <f t="shared" si="35"/>
        <v>0</v>
      </c>
      <c r="V118" s="34">
        <f>Table1[[#This Row],[Enrolment S.Y. 2025-2026 ]]*8</f>
        <v>8816</v>
      </c>
      <c r="W118" s="34"/>
      <c r="X118" s="32"/>
      <c r="Y118" s="34"/>
      <c r="Z118" s="34">
        <f t="shared" si="36"/>
        <v>8816</v>
      </c>
      <c r="AA118" s="34">
        <f t="shared" si="37"/>
        <v>0</v>
      </c>
    </row>
    <row r="119" spans="1:27" ht="21">
      <c r="A119" s="3">
        <v>11</v>
      </c>
      <c r="B119" s="33" t="s">
        <v>40</v>
      </c>
      <c r="C119" s="1">
        <v>1102</v>
      </c>
      <c r="D119" s="34">
        <f>Table1[[#This Row],[Enrolment S.Y. 2025-2026 ]]*8</f>
        <v>8816</v>
      </c>
      <c r="E119" s="34"/>
      <c r="F119" s="32"/>
      <c r="G119" s="34"/>
      <c r="H119" s="34">
        <f>IF((D119-E119)&lt;0,0,(D119-E119))</f>
        <v>8816</v>
      </c>
      <c r="I119" s="34">
        <f>IF((E119-D119)&lt;0,0,(E119-D119))</f>
        <v>0</v>
      </c>
      <c r="J119" s="34">
        <f>Table1[[#This Row],[Enrolment S.Y. 2025-2026 ]]*8</f>
        <v>8816</v>
      </c>
      <c r="K119" s="34"/>
      <c r="L119" s="32"/>
      <c r="M119" s="34"/>
      <c r="N119" s="5">
        <f t="shared" si="24"/>
        <v>8816</v>
      </c>
      <c r="O119" s="5">
        <f t="shared" si="25"/>
        <v>0</v>
      </c>
      <c r="P119" s="5">
        <f>Table1[[#This Row],[Enrolment S.Y. 2025-2026 ]]*8</f>
        <v>8816</v>
      </c>
      <c r="Q119" s="34"/>
      <c r="R119" s="32"/>
      <c r="S119" s="34"/>
      <c r="T119" s="34">
        <f>IF((P119-Q119)&lt;0,0,(P119-Q119))</f>
        <v>8816</v>
      </c>
      <c r="U119" s="34">
        <f>IF((Q119-P119)&lt;0,0,(Q119-P119))</f>
        <v>0</v>
      </c>
      <c r="V119" s="34">
        <f>Table1[[#This Row],[Enrolment S.Y. 2025-2026 ]]*8</f>
        <v>8816</v>
      </c>
      <c r="W119" s="34"/>
      <c r="X119" s="32"/>
      <c r="Y119" s="34"/>
      <c r="Z119" s="34">
        <f>IF((V119-W119)&lt;0,0,(V119-W119))</f>
        <v>8816</v>
      </c>
      <c r="AA119" s="34">
        <f>IF((W119-V119)&lt;0,0,(W119-V119))</f>
        <v>0</v>
      </c>
    </row>
    <row r="120" spans="1:27" ht="21">
      <c r="A120" s="1">
        <v>11</v>
      </c>
      <c r="B120" s="33" t="s">
        <v>41</v>
      </c>
      <c r="C120" s="1">
        <v>1102</v>
      </c>
      <c r="D120" s="34">
        <f>Table1[[#This Row],[Enrolment S.Y. 2025-2026 ]]*8</f>
        <v>8816</v>
      </c>
      <c r="E120" s="34"/>
      <c r="F120" s="32"/>
      <c r="G120" s="34"/>
      <c r="H120" s="34">
        <f t="shared" si="32"/>
        <v>8816</v>
      </c>
      <c r="I120" s="34">
        <f t="shared" si="33"/>
        <v>0</v>
      </c>
      <c r="J120" s="34">
        <f>Table1[[#This Row],[Enrolment S.Y. 2025-2026 ]]*8</f>
        <v>8816</v>
      </c>
      <c r="K120" s="34"/>
      <c r="L120" s="32"/>
      <c r="M120" s="34"/>
      <c r="N120" s="5">
        <f t="shared" si="24"/>
        <v>8816</v>
      </c>
      <c r="O120" s="5">
        <f t="shared" si="25"/>
        <v>0</v>
      </c>
      <c r="P120" s="5">
        <f>Table1[[#This Row],[Enrolment S.Y. 2025-2026 ]]*8</f>
        <v>8816</v>
      </c>
      <c r="Q120" s="34"/>
      <c r="R120" s="32"/>
      <c r="S120" s="34"/>
      <c r="T120" s="34">
        <f t="shared" si="34"/>
        <v>8816</v>
      </c>
      <c r="U120" s="34">
        <f t="shared" si="35"/>
        <v>0</v>
      </c>
      <c r="V120" s="34">
        <f>Table1[[#This Row],[Enrolment S.Y. 2025-2026 ]]*8</f>
        <v>8816</v>
      </c>
      <c r="W120" s="34"/>
      <c r="X120" s="32"/>
      <c r="Y120" s="34"/>
      <c r="Z120" s="34">
        <f t="shared" si="36"/>
        <v>8816</v>
      </c>
      <c r="AA120" s="34">
        <f t="shared" si="37"/>
        <v>0</v>
      </c>
    </row>
    <row r="121" spans="1:27" ht="61.5">
      <c r="A121" s="1">
        <v>11</v>
      </c>
      <c r="B121" s="33" t="s">
        <v>42</v>
      </c>
      <c r="C121" s="1">
        <v>1102</v>
      </c>
      <c r="D121" s="34">
        <f>Table1[[#This Row],[Enrolment S.Y. 2025-2026 ]]*8</f>
        <v>8816</v>
      </c>
      <c r="E121" s="34"/>
      <c r="F121" s="32"/>
      <c r="G121" s="34"/>
      <c r="H121" s="34">
        <f t="shared" si="32"/>
        <v>8816</v>
      </c>
      <c r="I121" s="34">
        <f t="shared" si="33"/>
        <v>0</v>
      </c>
      <c r="J121" s="34">
        <f>Table1[[#This Row],[Enrolment S.Y. 2025-2026 ]]*8</f>
        <v>8816</v>
      </c>
      <c r="K121" s="34"/>
      <c r="L121" s="32"/>
      <c r="M121" s="34"/>
      <c r="N121" s="5">
        <f t="shared" si="24"/>
        <v>8816</v>
      </c>
      <c r="O121" s="5">
        <f t="shared" si="25"/>
        <v>0</v>
      </c>
      <c r="P121" s="5">
        <f>Table1[[#This Row],[Enrolment S.Y. 2025-2026 ]]*8</f>
        <v>8816</v>
      </c>
      <c r="Q121" s="34"/>
      <c r="R121" s="32"/>
      <c r="S121" s="34"/>
      <c r="T121" s="34">
        <f t="shared" si="34"/>
        <v>8816</v>
      </c>
      <c r="U121" s="34">
        <f t="shared" si="35"/>
        <v>0</v>
      </c>
      <c r="V121" s="34">
        <f>Table1[[#This Row],[Enrolment S.Y. 2025-2026 ]]*8</f>
        <v>8816</v>
      </c>
      <c r="W121" s="34"/>
      <c r="X121" s="32"/>
      <c r="Y121" s="34"/>
      <c r="Z121" s="34">
        <f t="shared" si="36"/>
        <v>8816</v>
      </c>
      <c r="AA121" s="34">
        <f t="shared" si="37"/>
        <v>0</v>
      </c>
    </row>
    <row r="122" spans="1:27" ht="21">
      <c r="A122" s="1">
        <v>11</v>
      </c>
      <c r="B122" s="33" t="s">
        <v>43</v>
      </c>
      <c r="C122" s="1">
        <v>1102</v>
      </c>
      <c r="D122" s="34">
        <f>Table1[[#This Row],[Enrolment S.Y. 2025-2026 ]]*8</f>
        <v>8816</v>
      </c>
      <c r="E122" s="34"/>
      <c r="F122" s="32"/>
      <c r="G122" s="34"/>
      <c r="H122" s="34">
        <f t="shared" si="32"/>
        <v>8816</v>
      </c>
      <c r="I122" s="34">
        <f t="shared" si="33"/>
        <v>0</v>
      </c>
      <c r="J122" s="34">
        <f>Table1[[#This Row],[Enrolment S.Y. 2025-2026 ]]*8</f>
        <v>8816</v>
      </c>
      <c r="K122" s="34"/>
      <c r="L122" s="32"/>
      <c r="M122" s="34"/>
      <c r="N122" s="5">
        <f t="shared" si="24"/>
        <v>8816</v>
      </c>
      <c r="O122" s="5">
        <f t="shared" si="25"/>
        <v>0</v>
      </c>
      <c r="P122" s="5">
        <f>Table1[[#This Row],[Enrolment S.Y. 2025-2026 ]]*8</f>
        <v>8816</v>
      </c>
      <c r="Q122" s="34"/>
      <c r="R122" s="32"/>
      <c r="S122" s="34"/>
      <c r="T122" s="34">
        <f t="shared" si="34"/>
        <v>8816</v>
      </c>
      <c r="U122" s="34">
        <f t="shared" si="35"/>
        <v>0</v>
      </c>
      <c r="V122" s="34">
        <f>Table1[[#This Row],[Enrolment S.Y. 2025-2026 ]]*8</f>
        <v>8816</v>
      </c>
      <c r="W122" s="34"/>
      <c r="X122" s="32"/>
      <c r="Y122" s="34"/>
      <c r="Z122" s="34">
        <f t="shared" si="36"/>
        <v>8816</v>
      </c>
      <c r="AA122" s="34">
        <f t="shared" si="37"/>
        <v>0</v>
      </c>
    </row>
    <row r="123" spans="1:27" ht="21">
      <c r="A123" s="1">
        <v>11</v>
      </c>
      <c r="B123" s="33" t="s">
        <v>44</v>
      </c>
      <c r="C123" s="1">
        <v>1102</v>
      </c>
      <c r="D123" s="34">
        <f>Table1[[#This Row],[Enrolment S.Y. 2025-2026 ]]*8</f>
        <v>8816</v>
      </c>
      <c r="E123" s="34"/>
      <c r="F123" s="32"/>
      <c r="G123" s="34"/>
      <c r="H123" s="34">
        <f t="shared" si="32"/>
        <v>8816</v>
      </c>
      <c r="I123" s="34">
        <f t="shared" si="33"/>
        <v>0</v>
      </c>
      <c r="J123" s="34">
        <f>Table1[[#This Row],[Enrolment S.Y. 2025-2026 ]]*8</f>
        <v>8816</v>
      </c>
      <c r="K123" s="34"/>
      <c r="L123" s="32"/>
      <c r="M123" s="34"/>
      <c r="N123" s="5">
        <f t="shared" si="24"/>
        <v>8816</v>
      </c>
      <c r="O123" s="5">
        <f t="shared" si="25"/>
        <v>0</v>
      </c>
      <c r="P123" s="5">
        <f>Table1[[#This Row],[Enrolment S.Y. 2025-2026 ]]*8</f>
        <v>8816</v>
      </c>
      <c r="Q123" s="34"/>
      <c r="R123" s="32"/>
      <c r="S123" s="34"/>
      <c r="T123" s="34">
        <f t="shared" si="34"/>
        <v>8816</v>
      </c>
      <c r="U123" s="34">
        <f t="shared" si="35"/>
        <v>0</v>
      </c>
      <c r="V123" s="34">
        <f>Table1[[#This Row],[Enrolment S.Y. 2025-2026 ]]*8</f>
        <v>8816</v>
      </c>
      <c r="W123" s="34"/>
      <c r="X123" s="32"/>
      <c r="Y123" s="34"/>
      <c r="Z123" s="34">
        <f t="shared" si="36"/>
        <v>8816</v>
      </c>
      <c r="AA123" s="34">
        <f t="shared" si="37"/>
        <v>0</v>
      </c>
    </row>
    <row r="124" spans="1:27" ht="21">
      <c r="A124" s="1">
        <v>11</v>
      </c>
      <c r="B124" s="33" t="s">
        <v>45</v>
      </c>
      <c r="C124" s="1">
        <v>1102</v>
      </c>
      <c r="D124" s="34">
        <f>Table1[[#This Row],[Enrolment S.Y. 2025-2026 ]]*8</f>
        <v>8816</v>
      </c>
      <c r="E124" s="34"/>
      <c r="F124" s="32"/>
      <c r="G124" s="34"/>
      <c r="H124" s="34">
        <f t="shared" si="32"/>
        <v>8816</v>
      </c>
      <c r="I124" s="34">
        <f t="shared" si="33"/>
        <v>0</v>
      </c>
      <c r="J124" s="34">
        <f>Table1[[#This Row],[Enrolment S.Y. 2025-2026 ]]*8</f>
        <v>8816</v>
      </c>
      <c r="K124" s="34"/>
      <c r="L124" s="32"/>
      <c r="M124" s="34"/>
      <c r="N124" s="5">
        <f t="shared" si="24"/>
        <v>8816</v>
      </c>
      <c r="O124" s="5">
        <f t="shared" si="25"/>
        <v>0</v>
      </c>
      <c r="P124" s="5">
        <f>Table1[[#This Row],[Enrolment S.Y. 2025-2026 ]]*8</f>
        <v>8816</v>
      </c>
      <c r="Q124" s="34"/>
      <c r="R124" s="32"/>
      <c r="S124" s="34"/>
      <c r="T124" s="34">
        <f t="shared" si="34"/>
        <v>8816</v>
      </c>
      <c r="U124" s="34">
        <f t="shared" si="35"/>
        <v>0</v>
      </c>
      <c r="V124" s="34">
        <f>Table1[[#This Row],[Enrolment S.Y. 2025-2026 ]]*8</f>
        <v>8816</v>
      </c>
      <c r="W124" s="34"/>
      <c r="X124" s="32"/>
      <c r="Y124" s="34"/>
      <c r="Z124" s="34">
        <f t="shared" si="36"/>
        <v>8816</v>
      </c>
      <c r="AA124" s="34">
        <f t="shared" si="37"/>
        <v>0</v>
      </c>
    </row>
    <row r="125" spans="1:27" ht="21">
      <c r="A125" s="1">
        <v>11</v>
      </c>
      <c r="B125" s="33" t="s">
        <v>46</v>
      </c>
      <c r="C125" s="1">
        <v>1102</v>
      </c>
      <c r="D125" s="34">
        <f>Table1[[#This Row],[Enrolment S.Y. 2025-2026 ]]*8</f>
        <v>8816</v>
      </c>
      <c r="E125" s="34"/>
      <c r="F125" s="32"/>
      <c r="G125" s="34"/>
      <c r="H125" s="34">
        <f t="shared" si="32"/>
        <v>8816</v>
      </c>
      <c r="I125" s="34">
        <f t="shared" si="33"/>
        <v>0</v>
      </c>
      <c r="J125" s="34">
        <f>Table1[[#This Row],[Enrolment S.Y. 2025-2026 ]]*8</f>
        <v>8816</v>
      </c>
      <c r="K125" s="34"/>
      <c r="L125" s="32"/>
      <c r="M125" s="34"/>
      <c r="N125" s="5">
        <f t="shared" si="24"/>
        <v>8816</v>
      </c>
      <c r="O125" s="5">
        <f t="shared" si="25"/>
        <v>0</v>
      </c>
      <c r="P125" s="5">
        <f>Table1[[#This Row],[Enrolment S.Y. 2025-2026 ]]*8</f>
        <v>8816</v>
      </c>
      <c r="Q125" s="34"/>
      <c r="R125" s="32"/>
      <c r="S125" s="34"/>
      <c r="T125" s="34">
        <f t="shared" si="34"/>
        <v>8816</v>
      </c>
      <c r="U125" s="34">
        <f t="shared" si="35"/>
        <v>0</v>
      </c>
      <c r="V125" s="34">
        <f>Table1[[#This Row],[Enrolment S.Y. 2025-2026 ]]*8</f>
        <v>8816</v>
      </c>
      <c r="W125" s="34"/>
      <c r="X125" s="32"/>
      <c r="Y125" s="34"/>
      <c r="Z125" s="34">
        <f t="shared" si="36"/>
        <v>8816</v>
      </c>
      <c r="AA125" s="34">
        <f t="shared" si="37"/>
        <v>0</v>
      </c>
    </row>
    <row r="126" spans="1:27" ht="21">
      <c r="A126" s="1">
        <v>11</v>
      </c>
      <c r="B126" s="33" t="s">
        <v>47</v>
      </c>
      <c r="C126" s="1">
        <v>1102</v>
      </c>
      <c r="D126" s="34">
        <f>Table1[[#This Row],[Enrolment S.Y. 2025-2026 ]]*8</f>
        <v>8816</v>
      </c>
      <c r="E126" s="34"/>
      <c r="F126" s="32"/>
      <c r="G126" s="34"/>
      <c r="H126" s="34">
        <f t="shared" si="32"/>
        <v>8816</v>
      </c>
      <c r="I126" s="34">
        <f t="shared" si="33"/>
        <v>0</v>
      </c>
      <c r="J126" s="34">
        <f>Table1[[#This Row],[Enrolment S.Y. 2025-2026 ]]*8</f>
        <v>8816</v>
      </c>
      <c r="K126" s="34"/>
      <c r="L126" s="32"/>
      <c r="M126" s="34"/>
      <c r="N126" s="5">
        <f t="shared" si="24"/>
        <v>8816</v>
      </c>
      <c r="O126" s="5">
        <f t="shared" si="25"/>
        <v>0</v>
      </c>
      <c r="P126" s="5">
        <f>Table1[[#This Row],[Enrolment S.Y. 2025-2026 ]]*8</f>
        <v>8816</v>
      </c>
      <c r="Q126" s="34"/>
      <c r="R126" s="32"/>
      <c r="S126" s="34"/>
      <c r="T126" s="34">
        <f t="shared" si="34"/>
        <v>8816</v>
      </c>
      <c r="U126" s="34">
        <f t="shared" si="35"/>
        <v>0</v>
      </c>
      <c r="V126" s="34">
        <f>Table1[[#This Row],[Enrolment S.Y. 2025-2026 ]]*8</f>
        <v>8816</v>
      </c>
      <c r="W126" s="34"/>
      <c r="X126" s="32"/>
      <c r="Y126" s="34"/>
      <c r="Z126" s="34">
        <f t="shared" si="36"/>
        <v>8816</v>
      </c>
      <c r="AA126" s="34">
        <f t="shared" si="37"/>
        <v>0</v>
      </c>
    </row>
    <row r="127" spans="1:27" ht="21">
      <c r="A127" s="1">
        <v>11</v>
      </c>
      <c r="B127" s="33" t="s">
        <v>48</v>
      </c>
      <c r="C127" s="1">
        <v>1102</v>
      </c>
      <c r="D127" s="34">
        <f>Table1[[#This Row],[Enrolment S.Y. 2025-2026 ]]*8</f>
        <v>8816</v>
      </c>
      <c r="E127" s="34"/>
      <c r="F127" s="32"/>
      <c r="G127" s="34"/>
      <c r="H127" s="34">
        <f t="shared" ref="H127:H133" si="38">IF((D127-E127)&lt;0,0,(D127-E127))</f>
        <v>8816</v>
      </c>
      <c r="I127" s="34">
        <f t="shared" ref="I127:I133" si="39">IF((E127-D127)&lt;0,0,(E127-D127))</f>
        <v>0</v>
      </c>
      <c r="J127" s="34">
        <f>Table1[[#This Row],[Enrolment S.Y. 2025-2026 ]]*8</f>
        <v>8816</v>
      </c>
      <c r="K127" s="34"/>
      <c r="L127" s="32"/>
      <c r="M127" s="34"/>
      <c r="N127" s="34"/>
      <c r="O127" s="34"/>
      <c r="P127" s="34" t="e">
        <f>#REF!*8</f>
        <v>#REF!</v>
      </c>
      <c r="Q127" s="34"/>
      <c r="R127" s="32"/>
      <c r="S127" s="34"/>
      <c r="T127" s="34" t="e">
        <f t="shared" ref="T127:T133" si="40">IF((P127-Q127)&lt;0,0,(P127-Q127))</f>
        <v>#REF!</v>
      </c>
      <c r="U127" s="34" t="e">
        <f t="shared" ref="U127:U133" si="41">IF((Q127-P127)&lt;0,0,(Q127-P127))</f>
        <v>#REF!</v>
      </c>
      <c r="V127" s="34">
        <f>Table1[[#This Row],[Enrolment S.Y. 2025-2026 ]]*8</f>
        <v>8816</v>
      </c>
      <c r="W127" s="34"/>
      <c r="X127" s="32"/>
      <c r="Y127" s="34"/>
      <c r="Z127" s="34">
        <f t="shared" ref="Z127:Z133" si="42">IF((V127-W127)&lt;0,0,(V127-W127))</f>
        <v>8816</v>
      </c>
      <c r="AA127" s="34">
        <f t="shared" ref="AA127:AA133" si="43">IF((W127-V127)&lt;0,0,(W127-V127))</f>
        <v>0</v>
      </c>
    </row>
    <row r="128" spans="1:27" ht="21">
      <c r="A128" s="1">
        <v>11</v>
      </c>
      <c r="B128" s="33" t="s">
        <v>49</v>
      </c>
      <c r="C128" s="1">
        <v>1102</v>
      </c>
      <c r="D128" s="34">
        <f>Table1[[#This Row],[Enrolment S.Y. 2025-2026 ]]*8</f>
        <v>8816</v>
      </c>
      <c r="E128" s="34"/>
      <c r="F128" s="32"/>
      <c r="G128" s="34"/>
      <c r="H128" s="34">
        <f t="shared" si="38"/>
        <v>8816</v>
      </c>
      <c r="I128" s="34">
        <f t="shared" si="39"/>
        <v>0</v>
      </c>
      <c r="J128" s="34">
        <f>Table1[[#This Row],[Enrolment S.Y. 2025-2026 ]]*8</f>
        <v>8816</v>
      </c>
      <c r="K128" s="34"/>
      <c r="L128" s="32"/>
      <c r="M128" s="34"/>
      <c r="N128" s="34"/>
      <c r="O128" s="34"/>
      <c r="P128" s="34" t="e">
        <f>#REF!*8</f>
        <v>#REF!</v>
      </c>
      <c r="Q128" s="34"/>
      <c r="R128" s="32"/>
      <c r="S128" s="34"/>
      <c r="T128" s="34" t="e">
        <f t="shared" si="40"/>
        <v>#REF!</v>
      </c>
      <c r="U128" s="34" t="e">
        <f t="shared" si="41"/>
        <v>#REF!</v>
      </c>
      <c r="V128" s="34">
        <f>Table1[[#This Row],[Enrolment S.Y. 2025-2026 ]]*8</f>
        <v>8816</v>
      </c>
      <c r="W128" s="34"/>
      <c r="X128" s="32"/>
      <c r="Y128" s="34"/>
      <c r="Z128" s="34">
        <f t="shared" si="42"/>
        <v>8816</v>
      </c>
      <c r="AA128" s="34">
        <f t="shared" si="43"/>
        <v>0</v>
      </c>
    </row>
    <row r="129" spans="1:27" ht="21">
      <c r="A129" s="1">
        <v>11</v>
      </c>
      <c r="B129" s="33" t="s">
        <v>50</v>
      </c>
      <c r="C129" s="1">
        <v>1102</v>
      </c>
      <c r="D129" s="34">
        <f>Table1[[#This Row],[Enrolment S.Y. 2025-2026 ]]*8</f>
        <v>8816</v>
      </c>
      <c r="E129" s="34"/>
      <c r="F129" s="32"/>
      <c r="G129" s="34"/>
      <c r="H129" s="34">
        <f t="shared" si="38"/>
        <v>8816</v>
      </c>
      <c r="I129" s="34">
        <f t="shared" si="39"/>
        <v>0</v>
      </c>
      <c r="J129" s="34">
        <f>Table1[[#This Row],[Enrolment S.Y. 2025-2026 ]]*8</f>
        <v>8816</v>
      </c>
      <c r="K129" s="34"/>
      <c r="L129" s="32"/>
      <c r="M129" s="34"/>
      <c r="N129" s="34"/>
      <c r="O129" s="34"/>
      <c r="P129" s="34" t="e">
        <f>#REF!*8</f>
        <v>#REF!</v>
      </c>
      <c r="Q129" s="34"/>
      <c r="R129" s="32"/>
      <c r="S129" s="34"/>
      <c r="T129" s="34" t="e">
        <f t="shared" si="40"/>
        <v>#REF!</v>
      </c>
      <c r="U129" s="34" t="e">
        <f t="shared" si="41"/>
        <v>#REF!</v>
      </c>
      <c r="V129" s="34">
        <f>Table1[[#This Row],[Enrolment S.Y. 2025-2026 ]]*8</f>
        <v>8816</v>
      </c>
      <c r="W129" s="34"/>
      <c r="X129" s="32"/>
      <c r="Y129" s="34"/>
      <c r="Z129" s="34">
        <f t="shared" si="42"/>
        <v>8816</v>
      </c>
      <c r="AA129" s="34">
        <f t="shared" si="43"/>
        <v>0</v>
      </c>
    </row>
    <row r="130" spans="1:27" ht="21">
      <c r="A130" s="1">
        <v>11</v>
      </c>
      <c r="B130" s="33" t="s">
        <v>51</v>
      </c>
      <c r="C130" s="1">
        <v>1102</v>
      </c>
      <c r="D130" s="34">
        <f>Table1[[#This Row],[Enrolment S.Y. 2025-2026 ]]*8</f>
        <v>8816</v>
      </c>
      <c r="E130" s="34"/>
      <c r="F130" s="32"/>
      <c r="G130" s="34"/>
      <c r="H130" s="34">
        <f t="shared" si="38"/>
        <v>8816</v>
      </c>
      <c r="I130" s="34">
        <f t="shared" si="39"/>
        <v>0</v>
      </c>
      <c r="J130" s="34">
        <f>Table1[[#This Row],[Enrolment S.Y. 2025-2026 ]]*8</f>
        <v>8816</v>
      </c>
      <c r="K130" s="34"/>
      <c r="L130" s="32"/>
      <c r="M130" s="34"/>
      <c r="N130" s="34"/>
      <c r="O130" s="34"/>
      <c r="P130" s="34" t="e">
        <f>#REF!*8</f>
        <v>#REF!</v>
      </c>
      <c r="Q130" s="34"/>
      <c r="R130" s="32"/>
      <c r="S130" s="34"/>
      <c r="T130" s="34" t="e">
        <f t="shared" si="40"/>
        <v>#REF!</v>
      </c>
      <c r="U130" s="34" t="e">
        <f t="shared" si="41"/>
        <v>#REF!</v>
      </c>
      <c r="V130" s="34">
        <f>Table1[[#This Row],[Enrolment S.Y. 2025-2026 ]]*8</f>
        <v>8816</v>
      </c>
      <c r="W130" s="34"/>
      <c r="X130" s="32"/>
      <c r="Y130" s="34"/>
      <c r="Z130" s="34">
        <f t="shared" si="42"/>
        <v>8816</v>
      </c>
      <c r="AA130" s="34">
        <f t="shared" si="43"/>
        <v>0</v>
      </c>
    </row>
    <row r="131" spans="1:27" ht="40.5">
      <c r="A131" s="1">
        <v>11</v>
      </c>
      <c r="B131" s="33" t="s">
        <v>52</v>
      </c>
      <c r="C131" s="1">
        <v>1102</v>
      </c>
      <c r="D131" s="34">
        <f>Table1[[#This Row],[Enrolment S.Y. 2025-2026 ]]*8</f>
        <v>8816</v>
      </c>
      <c r="E131" s="34"/>
      <c r="F131" s="32"/>
      <c r="G131" s="34"/>
      <c r="H131" s="34">
        <f t="shared" si="38"/>
        <v>8816</v>
      </c>
      <c r="I131" s="34">
        <f t="shared" si="39"/>
        <v>0</v>
      </c>
      <c r="J131" s="34">
        <f>Table1[[#This Row],[Enrolment S.Y. 2025-2026 ]]*8</f>
        <v>8816</v>
      </c>
      <c r="K131" s="34"/>
      <c r="L131" s="32"/>
      <c r="M131" s="34"/>
      <c r="N131" s="34"/>
      <c r="O131" s="34"/>
      <c r="P131" s="34" t="e">
        <f>#REF!*8</f>
        <v>#REF!</v>
      </c>
      <c r="Q131" s="34"/>
      <c r="R131" s="32"/>
      <c r="S131" s="34"/>
      <c r="T131" s="34" t="e">
        <f t="shared" si="40"/>
        <v>#REF!</v>
      </c>
      <c r="U131" s="34" t="e">
        <f t="shared" si="41"/>
        <v>#REF!</v>
      </c>
      <c r="V131" s="34">
        <f>Table1[[#This Row],[Enrolment S.Y. 2025-2026 ]]*8</f>
        <v>8816</v>
      </c>
      <c r="W131" s="34"/>
      <c r="X131" s="32"/>
      <c r="Y131" s="34"/>
      <c r="Z131" s="34">
        <f t="shared" si="42"/>
        <v>8816</v>
      </c>
      <c r="AA131" s="34">
        <f t="shared" si="43"/>
        <v>0</v>
      </c>
    </row>
    <row r="132" spans="1:27" ht="61.5">
      <c r="A132" s="1">
        <v>11</v>
      </c>
      <c r="B132" s="33" t="s">
        <v>53</v>
      </c>
      <c r="C132" s="1">
        <v>1102</v>
      </c>
      <c r="D132" s="34">
        <f>Table1[[#This Row],[Enrolment S.Y. 2025-2026 ]]*8</f>
        <v>8816</v>
      </c>
      <c r="E132" s="34"/>
      <c r="F132" s="32"/>
      <c r="G132" s="34"/>
      <c r="H132" s="34">
        <f t="shared" si="38"/>
        <v>8816</v>
      </c>
      <c r="I132" s="34">
        <f t="shared" si="39"/>
        <v>0</v>
      </c>
      <c r="J132" s="34">
        <f>Table1[[#This Row],[Enrolment S.Y. 2025-2026 ]]*8</f>
        <v>8816</v>
      </c>
      <c r="K132" s="34"/>
      <c r="L132" s="32"/>
      <c r="M132" s="34"/>
      <c r="N132" s="34"/>
      <c r="O132" s="34"/>
      <c r="P132" s="34" t="e">
        <f>#REF!*8</f>
        <v>#REF!</v>
      </c>
      <c r="Q132" s="34"/>
      <c r="R132" s="32"/>
      <c r="S132" s="34"/>
      <c r="T132" s="34" t="e">
        <f t="shared" si="40"/>
        <v>#REF!</v>
      </c>
      <c r="U132" s="34" t="e">
        <f t="shared" si="41"/>
        <v>#REF!</v>
      </c>
      <c r="V132" s="34">
        <f>Table1[[#This Row],[Enrolment S.Y. 2025-2026 ]]*8</f>
        <v>8816</v>
      </c>
      <c r="W132" s="34"/>
      <c r="X132" s="32"/>
      <c r="Y132" s="34"/>
      <c r="Z132" s="34">
        <f t="shared" si="42"/>
        <v>8816</v>
      </c>
      <c r="AA132" s="34">
        <f t="shared" si="43"/>
        <v>0</v>
      </c>
    </row>
    <row r="133" spans="1:27" ht="21">
      <c r="A133" s="1">
        <v>11</v>
      </c>
      <c r="B133" s="33" t="s">
        <v>54</v>
      </c>
      <c r="C133" s="1">
        <v>1102</v>
      </c>
      <c r="D133" s="34">
        <f>Table1[[#This Row],[Enrolment S.Y. 2025-2026 ]]*8</f>
        <v>8816</v>
      </c>
      <c r="E133" s="34"/>
      <c r="F133" s="32"/>
      <c r="G133" s="34"/>
      <c r="H133" s="34">
        <f t="shared" si="38"/>
        <v>8816</v>
      </c>
      <c r="I133" s="34">
        <f t="shared" si="39"/>
        <v>0</v>
      </c>
      <c r="J133" s="34">
        <f>Table1[[#This Row],[Enrolment S.Y. 2025-2026 ]]*8</f>
        <v>8816</v>
      </c>
      <c r="K133" s="34"/>
      <c r="L133" s="32"/>
      <c r="M133" s="34"/>
      <c r="N133" s="34"/>
      <c r="O133" s="34"/>
      <c r="P133" s="34" t="e">
        <f>#REF!*8</f>
        <v>#REF!</v>
      </c>
      <c r="Q133" s="34"/>
      <c r="R133" s="32"/>
      <c r="S133" s="34"/>
      <c r="T133" s="34" t="e">
        <f t="shared" si="40"/>
        <v>#REF!</v>
      </c>
      <c r="U133" s="34" t="e">
        <f t="shared" si="41"/>
        <v>#REF!</v>
      </c>
      <c r="V133" s="34">
        <f>Table1[[#This Row],[Enrolment S.Y. 2025-2026 ]]*8</f>
        <v>8816</v>
      </c>
      <c r="W133" s="34"/>
      <c r="X133" s="32"/>
      <c r="Y133" s="34"/>
      <c r="Z133" s="34">
        <f t="shared" si="42"/>
        <v>8816</v>
      </c>
      <c r="AA133" s="34">
        <f t="shared" si="43"/>
        <v>0</v>
      </c>
    </row>
    <row r="134" spans="1:27" ht="21">
      <c r="A134" s="1">
        <v>11</v>
      </c>
      <c r="B134" s="33" t="s">
        <v>55</v>
      </c>
      <c r="C134" s="1">
        <v>1102</v>
      </c>
      <c r="D134" s="34">
        <f>Table1[[#This Row],[Enrolment S.Y. 2025-2026 ]]*8</f>
        <v>8816</v>
      </c>
      <c r="E134" s="34"/>
      <c r="F134" s="32"/>
      <c r="G134" s="34"/>
      <c r="H134" s="34">
        <f>IF((D134-E134)&lt;0,0,(D134-E134))</f>
        <v>8816</v>
      </c>
      <c r="I134" s="34">
        <f>IF((E134-D134)&lt;0,0,(E134-D134))</f>
        <v>0</v>
      </c>
      <c r="J134" s="34">
        <f>Table1[[#This Row],[Enrolment S.Y. 2025-2026 ]]*8</f>
        <v>8816</v>
      </c>
      <c r="K134" s="34"/>
      <c r="L134" s="32"/>
      <c r="M134" s="34"/>
      <c r="N134" s="34"/>
      <c r="O134" s="34"/>
      <c r="P134" s="34" t="e">
        <f>#REF!*8</f>
        <v>#REF!</v>
      </c>
      <c r="Q134" s="34"/>
      <c r="R134" s="32"/>
      <c r="S134" s="34"/>
      <c r="T134" s="34" t="e">
        <f>IF((P134-Q134)&lt;0,0,(P134-Q134))</f>
        <v>#REF!</v>
      </c>
      <c r="U134" s="34" t="e">
        <f>IF((Q134-P134)&lt;0,0,(Q134-P134))</f>
        <v>#REF!</v>
      </c>
      <c r="V134" s="34">
        <f>Table1[[#This Row],[Enrolment S.Y. 2025-2026 ]]*8</f>
        <v>8816</v>
      </c>
      <c r="W134" s="34"/>
      <c r="X134" s="32"/>
      <c r="Y134" s="34"/>
      <c r="Z134" s="34">
        <f>IF((V134-W134)&lt;0,0,(V134-W134))</f>
        <v>8816</v>
      </c>
      <c r="AA134" s="34">
        <f>IF((W134-V134)&lt;0,0,(W134-V134))</f>
        <v>0</v>
      </c>
    </row>
    <row r="135" spans="1:27" s="7" customFormat="1" ht="19.149999999999999">
      <c r="J135" s="13"/>
      <c r="N135" s="13"/>
      <c r="O135" s="13"/>
      <c r="P135" s="13"/>
      <c r="T135" s="13"/>
      <c r="U135" s="13"/>
      <c r="V135" s="13"/>
      <c r="Z135" s="13"/>
      <c r="AA135" s="13"/>
    </row>
    <row r="136" spans="1:27" ht="38.25">
      <c r="A136" s="1">
        <v>12</v>
      </c>
      <c r="B136" s="9" t="s">
        <v>56</v>
      </c>
      <c r="C136" s="1">
        <v>1374</v>
      </c>
      <c r="D136" s="34">
        <f>Table1[[#This Row],[Enrolment S.Y. 2025-2026 ]]*8</f>
        <v>10992</v>
      </c>
      <c r="E136" s="5"/>
      <c r="F136" s="1"/>
      <c r="G136" s="5"/>
      <c r="H136" s="5">
        <f t="shared" si="22"/>
        <v>10992</v>
      </c>
      <c r="I136" s="5">
        <f t="shared" si="23"/>
        <v>0</v>
      </c>
      <c r="J136" s="5">
        <f>Table1[[#This Row],[Enrolment S.Y. 2025-2026 ]]*8</f>
        <v>10992</v>
      </c>
      <c r="K136" s="5"/>
      <c r="L136" s="1"/>
      <c r="M136" s="5"/>
      <c r="N136" s="5">
        <f t="shared" si="16"/>
        <v>10992</v>
      </c>
      <c r="O136" s="5">
        <f t="shared" si="17"/>
        <v>0</v>
      </c>
      <c r="P136" s="5">
        <f>Table1[[#This Row],[Enrolment S.Y. 2025-2026 ]]*8</f>
        <v>10992</v>
      </c>
      <c r="Q136" s="5"/>
      <c r="R136" s="1"/>
      <c r="S136" s="5"/>
      <c r="T136" s="5">
        <f t="shared" si="18"/>
        <v>10992</v>
      </c>
      <c r="U136" s="5">
        <f t="shared" si="19"/>
        <v>0</v>
      </c>
      <c r="V136" s="5">
        <f>Table1[[#This Row],[Enrolment S.Y. 2025-2026 ]]*8</f>
        <v>10992</v>
      </c>
      <c r="W136" s="5"/>
      <c r="X136" s="1"/>
      <c r="Y136" s="5"/>
      <c r="Z136" s="5">
        <f t="shared" si="20"/>
        <v>10992</v>
      </c>
      <c r="AA136" s="5">
        <f t="shared" si="21"/>
        <v>0</v>
      </c>
    </row>
    <row r="137" spans="1:27" ht="19.5">
      <c r="A137" s="1">
        <v>12</v>
      </c>
      <c r="B137" s="9" t="s">
        <v>57</v>
      </c>
      <c r="C137" s="1">
        <v>1374</v>
      </c>
      <c r="D137" s="34">
        <f>Table1[[#This Row],[Enrolment S.Y. 2025-2026 ]]*8</f>
        <v>10992</v>
      </c>
      <c r="E137" s="5"/>
      <c r="F137" s="1"/>
      <c r="G137" s="5"/>
      <c r="H137" s="5">
        <f t="shared" si="22"/>
        <v>10992</v>
      </c>
      <c r="I137" s="5">
        <f t="shared" si="23"/>
        <v>0</v>
      </c>
      <c r="J137" s="5">
        <f>Table1[[#This Row],[Enrolment S.Y. 2025-2026 ]]*8</f>
        <v>10992</v>
      </c>
      <c r="K137" s="5"/>
      <c r="L137" s="1"/>
      <c r="M137" s="5"/>
      <c r="N137" s="5">
        <f t="shared" si="16"/>
        <v>10992</v>
      </c>
      <c r="O137" s="5">
        <f t="shared" si="17"/>
        <v>0</v>
      </c>
      <c r="P137" s="5">
        <f>Table1[[#This Row],[Enrolment S.Y. 2025-2026 ]]*8</f>
        <v>10992</v>
      </c>
      <c r="Q137" s="5"/>
      <c r="R137" s="1"/>
      <c r="S137" s="5"/>
      <c r="T137" s="5">
        <f t="shared" si="18"/>
        <v>10992</v>
      </c>
      <c r="U137" s="5">
        <f t="shared" si="19"/>
        <v>0</v>
      </c>
      <c r="V137" s="5">
        <f>Table1[[#This Row],[Enrolment S.Y. 2025-2026 ]]*8</f>
        <v>10992</v>
      </c>
      <c r="W137" s="5"/>
      <c r="X137" s="1"/>
      <c r="Y137" s="5"/>
      <c r="Z137" s="5">
        <f t="shared" si="20"/>
        <v>10992</v>
      </c>
      <c r="AA137" s="5">
        <f t="shared" si="21"/>
        <v>0</v>
      </c>
    </row>
    <row r="138" spans="1:27" ht="38.25">
      <c r="A138" s="1">
        <v>12</v>
      </c>
      <c r="B138" s="9" t="s">
        <v>58</v>
      </c>
      <c r="C138" s="1">
        <v>1374</v>
      </c>
      <c r="D138" s="34">
        <f>Table1[[#This Row],[Enrolment S.Y. 2025-2026 ]]*8</f>
        <v>10992</v>
      </c>
      <c r="E138" s="5"/>
      <c r="F138" s="1"/>
      <c r="G138" s="5"/>
      <c r="H138" s="5">
        <f t="shared" si="22"/>
        <v>10992</v>
      </c>
      <c r="I138" s="5">
        <f t="shared" si="23"/>
        <v>0</v>
      </c>
      <c r="J138" s="5">
        <f>Table1[[#This Row],[Enrolment S.Y. 2025-2026 ]]*8</f>
        <v>10992</v>
      </c>
      <c r="K138" s="5"/>
      <c r="L138" s="1"/>
      <c r="M138" s="5"/>
      <c r="N138" s="5">
        <f t="shared" si="16"/>
        <v>10992</v>
      </c>
      <c r="O138" s="5">
        <f t="shared" si="17"/>
        <v>0</v>
      </c>
      <c r="P138" s="5">
        <f>Table1[[#This Row],[Enrolment S.Y. 2025-2026 ]]*8</f>
        <v>10992</v>
      </c>
      <c r="Q138" s="5"/>
      <c r="R138" s="1"/>
      <c r="S138" s="5"/>
      <c r="T138" s="5">
        <f t="shared" si="18"/>
        <v>10992</v>
      </c>
      <c r="U138" s="5">
        <f t="shared" si="19"/>
        <v>0</v>
      </c>
      <c r="V138" s="5">
        <f>Table1[[#This Row],[Enrolment S.Y. 2025-2026 ]]*8</f>
        <v>10992</v>
      </c>
      <c r="W138" s="5"/>
      <c r="X138" s="1"/>
      <c r="Y138" s="5"/>
      <c r="Z138" s="5">
        <f t="shared" si="20"/>
        <v>10992</v>
      </c>
      <c r="AA138" s="5">
        <f t="shared" si="21"/>
        <v>0</v>
      </c>
    </row>
    <row r="139" spans="1:27" ht="21">
      <c r="A139" s="1">
        <v>12</v>
      </c>
      <c r="B139" s="33" t="s">
        <v>59</v>
      </c>
      <c r="C139" s="1">
        <v>1374</v>
      </c>
      <c r="D139" s="34">
        <f>Table1[[#This Row],[Enrolment S.Y. 2025-2026 ]]*8</f>
        <v>10992</v>
      </c>
      <c r="E139" s="5"/>
      <c r="F139" s="1"/>
      <c r="G139" s="5"/>
      <c r="H139" s="5">
        <f t="shared" si="22"/>
        <v>10992</v>
      </c>
      <c r="I139" s="5">
        <f t="shared" si="23"/>
        <v>0</v>
      </c>
      <c r="J139" s="5">
        <f>Table1[[#This Row],[Enrolment S.Y. 2025-2026 ]]*8</f>
        <v>10992</v>
      </c>
      <c r="K139" s="5"/>
      <c r="L139" s="1"/>
      <c r="M139" s="5"/>
      <c r="N139" s="5">
        <f t="shared" si="16"/>
        <v>10992</v>
      </c>
      <c r="O139" s="5">
        <f t="shared" si="17"/>
        <v>0</v>
      </c>
      <c r="P139" s="5">
        <f>Table1[[#This Row],[Enrolment S.Y. 2025-2026 ]]*8</f>
        <v>10992</v>
      </c>
      <c r="Q139" s="5"/>
      <c r="R139" s="1"/>
      <c r="S139" s="5"/>
      <c r="T139" s="5">
        <f t="shared" si="18"/>
        <v>10992</v>
      </c>
      <c r="U139" s="5">
        <f t="shared" si="19"/>
        <v>0</v>
      </c>
      <c r="V139" s="5">
        <f>Table1[[#This Row],[Enrolment S.Y. 2025-2026 ]]*8</f>
        <v>10992</v>
      </c>
      <c r="W139" s="5"/>
      <c r="X139" s="1"/>
      <c r="Y139" s="5"/>
      <c r="Z139" s="5">
        <f t="shared" si="20"/>
        <v>10992</v>
      </c>
      <c r="AA139" s="5">
        <f t="shared" si="21"/>
        <v>0</v>
      </c>
    </row>
    <row r="140" spans="1:27" ht="21">
      <c r="A140" s="1">
        <v>12</v>
      </c>
      <c r="B140" s="33" t="s">
        <v>60</v>
      </c>
      <c r="C140" s="1">
        <v>1374</v>
      </c>
      <c r="D140" s="34">
        <f>Table1[[#This Row],[Enrolment S.Y. 2025-2026 ]]*8</f>
        <v>10992</v>
      </c>
      <c r="E140" s="5"/>
      <c r="F140" s="1"/>
      <c r="G140" s="5"/>
      <c r="H140" s="5">
        <f t="shared" si="22"/>
        <v>10992</v>
      </c>
      <c r="I140" s="5">
        <f t="shared" si="23"/>
        <v>0</v>
      </c>
      <c r="J140" s="5">
        <f>Table1[[#This Row],[Enrolment S.Y. 2025-2026 ]]*8</f>
        <v>10992</v>
      </c>
      <c r="K140" s="5"/>
      <c r="L140" s="1"/>
      <c r="M140" s="5"/>
      <c r="N140" s="5">
        <f t="shared" si="16"/>
        <v>10992</v>
      </c>
      <c r="O140" s="5">
        <f t="shared" si="17"/>
        <v>0</v>
      </c>
      <c r="P140" s="5">
        <f>Table1[[#This Row],[Enrolment S.Y. 2025-2026 ]]*8</f>
        <v>10992</v>
      </c>
      <c r="Q140" s="5"/>
      <c r="R140" s="1"/>
      <c r="S140" s="5"/>
      <c r="T140" s="5">
        <f t="shared" si="18"/>
        <v>10992</v>
      </c>
      <c r="U140" s="5">
        <f t="shared" si="19"/>
        <v>0</v>
      </c>
      <c r="V140" s="5">
        <f>Table1[[#This Row],[Enrolment S.Y. 2025-2026 ]]*8</f>
        <v>10992</v>
      </c>
      <c r="W140" s="5"/>
      <c r="X140" s="1"/>
      <c r="Y140" s="5"/>
      <c r="Z140" s="5">
        <f t="shared" si="20"/>
        <v>10992</v>
      </c>
      <c r="AA140" s="5">
        <f t="shared" si="21"/>
        <v>0</v>
      </c>
    </row>
    <row r="141" spans="1:27" ht="19.5">
      <c r="A141" s="1">
        <v>12</v>
      </c>
      <c r="B141" s="9" t="s">
        <v>61</v>
      </c>
      <c r="C141" s="1">
        <v>1374</v>
      </c>
      <c r="D141" s="34">
        <f>Table1[[#This Row],[Enrolment S.Y. 2025-2026 ]]*8</f>
        <v>10992</v>
      </c>
      <c r="E141" s="5"/>
      <c r="F141" s="1"/>
      <c r="G141" s="5"/>
      <c r="H141" s="5">
        <f t="shared" si="22"/>
        <v>10992</v>
      </c>
      <c r="I141" s="5">
        <f t="shared" si="23"/>
        <v>0</v>
      </c>
      <c r="J141" s="5">
        <f>Table1[[#This Row],[Enrolment S.Y. 2025-2026 ]]*8</f>
        <v>10992</v>
      </c>
      <c r="K141" s="5"/>
      <c r="L141" s="1"/>
      <c r="M141" s="5"/>
      <c r="N141" s="5">
        <f t="shared" si="16"/>
        <v>10992</v>
      </c>
      <c r="O141" s="5">
        <f t="shared" si="17"/>
        <v>0</v>
      </c>
      <c r="P141" s="5">
        <f>Table1[[#This Row],[Enrolment S.Y. 2025-2026 ]]*8</f>
        <v>10992</v>
      </c>
      <c r="Q141" s="5"/>
      <c r="R141" s="1"/>
      <c r="S141" s="5"/>
      <c r="T141" s="5">
        <f t="shared" si="18"/>
        <v>10992</v>
      </c>
      <c r="U141" s="5">
        <f t="shared" si="19"/>
        <v>0</v>
      </c>
      <c r="V141" s="5">
        <f>Table1[[#This Row],[Enrolment S.Y. 2025-2026 ]]*8</f>
        <v>10992</v>
      </c>
      <c r="W141" s="5"/>
      <c r="X141" s="1"/>
      <c r="Y141" s="5"/>
      <c r="Z141" s="5">
        <f t="shared" si="20"/>
        <v>10992</v>
      </c>
      <c r="AA141" s="5">
        <f t="shared" si="21"/>
        <v>0</v>
      </c>
    </row>
    <row r="142" spans="1:27" ht="19.5">
      <c r="A142" s="1">
        <v>12</v>
      </c>
      <c r="B142" s="9" t="s">
        <v>62</v>
      </c>
      <c r="C142" s="1">
        <v>1374</v>
      </c>
      <c r="D142" s="34">
        <f>Table1[[#This Row],[Enrolment S.Y. 2025-2026 ]]*8</f>
        <v>10992</v>
      </c>
      <c r="E142" s="5"/>
      <c r="F142" s="1"/>
      <c r="G142" s="5"/>
      <c r="H142" s="5">
        <f t="shared" si="22"/>
        <v>10992</v>
      </c>
      <c r="I142" s="5">
        <f t="shared" si="23"/>
        <v>0</v>
      </c>
      <c r="J142" s="5">
        <f>Table1[[#This Row],[Enrolment S.Y. 2025-2026 ]]*8</f>
        <v>10992</v>
      </c>
      <c r="K142" s="5"/>
      <c r="L142" s="1"/>
      <c r="M142" s="5"/>
      <c r="N142" s="5">
        <f t="shared" si="16"/>
        <v>10992</v>
      </c>
      <c r="O142" s="5">
        <f t="shared" si="17"/>
        <v>0</v>
      </c>
      <c r="P142" s="5">
        <f>Table1[[#This Row],[Enrolment S.Y. 2025-2026 ]]*8</f>
        <v>10992</v>
      </c>
      <c r="Q142" s="5"/>
      <c r="R142" s="1"/>
      <c r="S142" s="5"/>
      <c r="T142" s="5">
        <f t="shared" si="18"/>
        <v>10992</v>
      </c>
      <c r="U142" s="5">
        <f t="shared" si="19"/>
        <v>0</v>
      </c>
      <c r="V142" s="5">
        <f>Table1[[#This Row],[Enrolment S.Y. 2025-2026 ]]*8</f>
        <v>10992</v>
      </c>
      <c r="W142" s="5"/>
      <c r="X142" s="1"/>
      <c r="Y142" s="5"/>
      <c r="Z142" s="5">
        <f t="shared" si="20"/>
        <v>10992</v>
      </c>
      <c r="AA142" s="5">
        <f t="shared" si="21"/>
        <v>0</v>
      </c>
    </row>
    <row r="143" spans="1:27" ht="21">
      <c r="A143" s="1">
        <v>12</v>
      </c>
      <c r="B143" s="33" t="s">
        <v>63</v>
      </c>
      <c r="C143" s="1">
        <v>1374</v>
      </c>
      <c r="D143" s="34">
        <f>Table1[[#This Row],[Enrolment S.Y. 2025-2026 ]]*8</f>
        <v>10992</v>
      </c>
      <c r="E143" s="5"/>
      <c r="F143" s="1"/>
      <c r="G143" s="5"/>
      <c r="H143" s="5">
        <f t="shared" si="22"/>
        <v>10992</v>
      </c>
      <c r="I143" s="5">
        <f t="shared" si="23"/>
        <v>0</v>
      </c>
      <c r="J143" s="5">
        <f>Table1[[#This Row],[Enrolment S.Y. 2025-2026 ]]*8</f>
        <v>10992</v>
      </c>
      <c r="K143" s="5"/>
      <c r="L143" s="1"/>
      <c r="M143" s="5"/>
      <c r="N143" s="5">
        <f t="shared" si="16"/>
        <v>10992</v>
      </c>
      <c r="O143" s="5">
        <f t="shared" si="17"/>
        <v>0</v>
      </c>
      <c r="P143" s="5">
        <f>Table1[[#This Row],[Enrolment S.Y. 2025-2026 ]]*8</f>
        <v>10992</v>
      </c>
      <c r="Q143" s="5"/>
      <c r="R143" s="1"/>
      <c r="S143" s="5"/>
      <c r="T143" s="5">
        <f t="shared" si="18"/>
        <v>10992</v>
      </c>
      <c r="U143" s="5">
        <f t="shared" si="19"/>
        <v>0</v>
      </c>
      <c r="V143" s="5">
        <f>Table1[[#This Row],[Enrolment S.Y. 2025-2026 ]]*8</f>
        <v>10992</v>
      </c>
      <c r="W143" s="5"/>
      <c r="X143" s="1"/>
      <c r="Y143" s="5"/>
      <c r="Z143" s="5">
        <f t="shared" si="20"/>
        <v>10992</v>
      </c>
      <c r="AA143" s="5">
        <f t="shared" si="21"/>
        <v>0</v>
      </c>
    </row>
    <row r="144" spans="1:27" ht="21">
      <c r="A144" s="1">
        <v>12</v>
      </c>
      <c r="B144" s="33" t="s">
        <v>64</v>
      </c>
      <c r="C144" s="1">
        <v>1374</v>
      </c>
      <c r="D144" s="34">
        <f>Table1[[#This Row],[Enrolment S.Y. 2025-2026 ]]*8</f>
        <v>10992</v>
      </c>
      <c r="E144" s="5"/>
      <c r="F144" s="1"/>
      <c r="G144" s="5"/>
      <c r="H144" s="5">
        <f t="shared" si="22"/>
        <v>10992</v>
      </c>
      <c r="I144" s="5">
        <f t="shared" si="23"/>
        <v>0</v>
      </c>
      <c r="J144" s="5">
        <f>Table1[[#This Row],[Enrolment S.Y. 2025-2026 ]]*8</f>
        <v>10992</v>
      </c>
      <c r="K144" s="5"/>
      <c r="L144" s="1"/>
      <c r="M144" s="5"/>
      <c r="N144" s="5">
        <f t="shared" si="16"/>
        <v>10992</v>
      </c>
      <c r="O144" s="5">
        <f t="shared" si="17"/>
        <v>0</v>
      </c>
      <c r="P144" s="5">
        <f>Table1[[#This Row],[Enrolment S.Y. 2025-2026 ]]*8</f>
        <v>10992</v>
      </c>
      <c r="Q144" s="5"/>
      <c r="R144" s="1"/>
      <c r="S144" s="5"/>
      <c r="T144" s="5">
        <f t="shared" si="18"/>
        <v>10992</v>
      </c>
      <c r="U144" s="5">
        <f t="shared" si="19"/>
        <v>0</v>
      </c>
      <c r="V144" s="5">
        <f>Table1[[#This Row],[Enrolment S.Y. 2025-2026 ]]*8</f>
        <v>10992</v>
      </c>
      <c r="W144" s="5"/>
      <c r="X144" s="1"/>
      <c r="Y144" s="5"/>
      <c r="Z144" s="5">
        <f t="shared" si="20"/>
        <v>10992</v>
      </c>
      <c r="AA144" s="5">
        <f t="shared" si="21"/>
        <v>0</v>
      </c>
    </row>
    <row r="145" spans="1:27" ht="61.5">
      <c r="A145" s="1">
        <v>12</v>
      </c>
      <c r="B145" s="33" t="s">
        <v>65</v>
      </c>
      <c r="C145" s="1">
        <v>1374</v>
      </c>
      <c r="D145" s="34">
        <f>Table1[[#This Row],[Enrolment S.Y. 2025-2026 ]]*8</f>
        <v>10992</v>
      </c>
      <c r="E145" s="5"/>
      <c r="F145" s="1"/>
      <c r="G145" s="5"/>
      <c r="H145" s="5">
        <f t="shared" si="22"/>
        <v>10992</v>
      </c>
      <c r="I145" s="5">
        <f t="shared" si="23"/>
        <v>0</v>
      </c>
      <c r="J145" s="5">
        <f>Table1[[#This Row],[Enrolment S.Y. 2025-2026 ]]*8</f>
        <v>10992</v>
      </c>
      <c r="K145" s="5"/>
      <c r="L145" s="1"/>
      <c r="M145" s="5"/>
      <c r="N145" s="5">
        <f t="shared" si="16"/>
        <v>10992</v>
      </c>
      <c r="O145" s="5">
        <f t="shared" si="17"/>
        <v>0</v>
      </c>
      <c r="P145" s="5">
        <f>Table1[[#This Row],[Enrolment S.Y. 2025-2026 ]]*8</f>
        <v>10992</v>
      </c>
      <c r="Q145" s="5"/>
      <c r="R145" s="1"/>
      <c r="S145" s="5"/>
      <c r="T145" s="5">
        <f t="shared" si="18"/>
        <v>10992</v>
      </c>
      <c r="U145" s="5">
        <f t="shared" si="19"/>
        <v>0</v>
      </c>
      <c r="V145" s="5">
        <f>Table1[[#This Row],[Enrolment S.Y. 2025-2026 ]]*8</f>
        <v>10992</v>
      </c>
      <c r="W145" s="5"/>
      <c r="X145" s="1"/>
      <c r="Y145" s="5"/>
      <c r="Z145" s="5">
        <f t="shared" si="20"/>
        <v>10992</v>
      </c>
      <c r="AA145" s="5">
        <f t="shared" si="21"/>
        <v>0</v>
      </c>
    </row>
    <row r="146" spans="1:27" ht="19.5">
      <c r="A146" s="1">
        <v>12</v>
      </c>
      <c r="B146" s="9" t="s">
        <v>54</v>
      </c>
      <c r="C146" s="1">
        <v>1374</v>
      </c>
      <c r="D146" s="34">
        <f>Table1[[#This Row],[Enrolment S.Y. 2025-2026 ]]*8</f>
        <v>10992</v>
      </c>
      <c r="E146" s="5"/>
      <c r="F146" s="1"/>
      <c r="G146" s="5"/>
      <c r="H146" s="5">
        <f t="shared" si="22"/>
        <v>10992</v>
      </c>
      <c r="I146" s="5">
        <f t="shared" si="23"/>
        <v>0</v>
      </c>
      <c r="J146" s="5">
        <f>Table1[[#This Row],[Enrolment S.Y. 2025-2026 ]]*8</f>
        <v>10992</v>
      </c>
      <c r="K146" s="5"/>
      <c r="L146" s="1"/>
      <c r="M146" s="5"/>
      <c r="N146" s="5">
        <f t="shared" si="16"/>
        <v>10992</v>
      </c>
      <c r="O146" s="5">
        <f t="shared" si="17"/>
        <v>0</v>
      </c>
      <c r="P146" s="5">
        <f>Table1[[#This Row],[Enrolment S.Y. 2025-2026 ]]*8</f>
        <v>10992</v>
      </c>
      <c r="Q146" s="5"/>
      <c r="R146" s="1"/>
      <c r="S146" s="5"/>
      <c r="T146" s="5">
        <f t="shared" si="18"/>
        <v>10992</v>
      </c>
      <c r="U146" s="5">
        <f t="shared" si="19"/>
        <v>0</v>
      </c>
      <c r="V146" s="5">
        <f>Table1[[#This Row],[Enrolment S.Y. 2025-2026 ]]*8</f>
        <v>10992</v>
      </c>
      <c r="W146" s="5"/>
      <c r="X146" s="1"/>
      <c r="Y146" s="5"/>
      <c r="Z146" s="5">
        <f t="shared" si="20"/>
        <v>10992</v>
      </c>
      <c r="AA146" s="5">
        <f t="shared" si="21"/>
        <v>0</v>
      </c>
    </row>
    <row r="147" spans="1:27" ht="21">
      <c r="A147" s="1">
        <v>12</v>
      </c>
      <c r="B147" s="33" t="s">
        <v>66</v>
      </c>
      <c r="C147" s="1">
        <v>1374</v>
      </c>
      <c r="D147" s="34">
        <f>Table1[[#This Row],[Enrolment S.Y. 2025-2026 ]]*8</f>
        <v>10992</v>
      </c>
      <c r="E147" s="5"/>
      <c r="F147" s="1"/>
      <c r="G147" s="5"/>
      <c r="H147" s="5">
        <f t="shared" si="22"/>
        <v>10992</v>
      </c>
      <c r="I147" s="5">
        <f t="shared" si="23"/>
        <v>0</v>
      </c>
      <c r="J147" s="5">
        <f>Table1[[#This Row],[Enrolment S.Y. 2025-2026 ]]*8</f>
        <v>10992</v>
      </c>
      <c r="K147" s="5"/>
      <c r="L147" s="1"/>
      <c r="M147" s="5"/>
      <c r="N147" s="5">
        <f t="shared" si="16"/>
        <v>10992</v>
      </c>
      <c r="O147" s="5">
        <f t="shared" si="17"/>
        <v>0</v>
      </c>
      <c r="P147" s="5">
        <f>Table1[[#This Row],[Enrolment S.Y. 2025-2026 ]]*8</f>
        <v>10992</v>
      </c>
      <c r="Q147" s="5"/>
      <c r="R147" s="1"/>
      <c r="S147" s="5"/>
      <c r="T147" s="5">
        <f t="shared" si="18"/>
        <v>10992</v>
      </c>
      <c r="U147" s="5">
        <f t="shared" si="19"/>
        <v>0</v>
      </c>
      <c r="V147" s="5">
        <f>Table1[[#This Row],[Enrolment S.Y. 2025-2026 ]]*8</f>
        <v>10992</v>
      </c>
      <c r="W147" s="5"/>
      <c r="X147" s="1"/>
      <c r="Y147" s="5"/>
      <c r="Z147" s="5">
        <f t="shared" si="20"/>
        <v>10992</v>
      </c>
      <c r="AA147" s="5">
        <f t="shared" si="21"/>
        <v>0</v>
      </c>
    </row>
    <row r="148" spans="1:27" ht="21">
      <c r="A148" s="1">
        <v>12</v>
      </c>
      <c r="B148" s="33" t="s">
        <v>67</v>
      </c>
      <c r="C148" s="1">
        <v>1374</v>
      </c>
      <c r="D148" s="34">
        <f>Table1[[#This Row],[Enrolment S.Y. 2025-2026 ]]*8</f>
        <v>10992</v>
      </c>
      <c r="E148" s="5"/>
      <c r="F148" s="1"/>
      <c r="G148" s="5"/>
      <c r="H148" s="5">
        <f t="shared" si="22"/>
        <v>10992</v>
      </c>
      <c r="I148" s="5">
        <f t="shared" si="23"/>
        <v>0</v>
      </c>
      <c r="J148" s="5">
        <f>Table1[[#This Row],[Enrolment S.Y. 2025-2026 ]]*8</f>
        <v>10992</v>
      </c>
      <c r="K148" s="5"/>
      <c r="L148" s="1"/>
      <c r="M148" s="5"/>
      <c r="N148" s="5">
        <f t="shared" si="16"/>
        <v>10992</v>
      </c>
      <c r="O148" s="5">
        <f t="shared" si="17"/>
        <v>0</v>
      </c>
      <c r="P148" s="5">
        <f>Table1[[#This Row],[Enrolment S.Y. 2025-2026 ]]*8</f>
        <v>10992</v>
      </c>
      <c r="Q148" s="5"/>
      <c r="R148" s="1"/>
      <c r="S148" s="5"/>
      <c r="T148" s="5">
        <f t="shared" si="18"/>
        <v>10992</v>
      </c>
      <c r="U148" s="5">
        <f t="shared" si="19"/>
        <v>0</v>
      </c>
      <c r="V148" s="5">
        <f>Table1[[#This Row],[Enrolment S.Y. 2025-2026 ]]*8</f>
        <v>10992</v>
      </c>
      <c r="W148" s="5"/>
      <c r="X148" s="1"/>
      <c r="Y148" s="5"/>
      <c r="Z148" s="5">
        <f t="shared" si="20"/>
        <v>10992</v>
      </c>
      <c r="AA148" s="5">
        <f t="shared" si="21"/>
        <v>0</v>
      </c>
    </row>
    <row r="149" spans="1:27" ht="21">
      <c r="A149" s="1">
        <v>12</v>
      </c>
      <c r="B149" s="33" t="s">
        <v>68</v>
      </c>
      <c r="C149" s="1">
        <v>1374</v>
      </c>
      <c r="D149" s="34">
        <f>Table1[[#This Row],[Enrolment S.Y. 2025-2026 ]]*8</f>
        <v>10992</v>
      </c>
      <c r="E149" s="5"/>
      <c r="F149" s="1"/>
      <c r="G149" s="5"/>
      <c r="H149" s="5">
        <f t="shared" si="22"/>
        <v>10992</v>
      </c>
      <c r="I149" s="5">
        <f t="shared" si="23"/>
        <v>0</v>
      </c>
      <c r="J149" s="5">
        <f>Table1[[#This Row],[Enrolment S.Y. 2025-2026 ]]*8</f>
        <v>10992</v>
      </c>
      <c r="K149" s="5"/>
      <c r="L149" s="1"/>
      <c r="M149" s="5"/>
      <c r="N149" s="5">
        <f t="shared" si="16"/>
        <v>10992</v>
      </c>
      <c r="O149" s="5">
        <f t="shared" si="17"/>
        <v>0</v>
      </c>
      <c r="P149" s="5">
        <f>Table1[[#This Row],[Enrolment S.Y. 2025-2026 ]]*8</f>
        <v>10992</v>
      </c>
      <c r="Q149" s="5"/>
      <c r="R149" s="1"/>
      <c r="S149" s="5"/>
      <c r="T149" s="5">
        <f t="shared" si="18"/>
        <v>10992</v>
      </c>
      <c r="U149" s="5">
        <f t="shared" si="19"/>
        <v>0</v>
      </c>
      <c r="V149" s="5">
        <f>Table1[[#This Row],[Enrolment S.Y. 2025-2026 ]]*8</f>
        <v>10992</v>
      </c>
      <c r="W149" s="5"/>
      <c r="X149" s="1"/>
      <c r="Y149" s="5"/>
      <c r="Z149" s="5">
        <f t="shared" si="20"/>
        <v>10992</v>
      </c>
      <c r="AA149" s="5">
        <f t="shared" si="21"/>
        <v>0</v>
      </c>
    </row>
    <row r="150" spans="1:27" ht="21.75">
      <c r="A150" s="1">
        <v>12</v>
      </c>
      <c r="B150" s="43" t="s">
        <v>69</v>
      </c>
      <c r="C150" s="1">
        <v>1374</v>
      </c>
      <c r="D150" s="34">
        <f>Table1[[#This Row],[Enrolment S.Y. 2025-2026 ]]*8</f>
        <v>10992</v>
      </c>
      <c r="E150" s="5"/>
      <c r="F150" s="1"/>
      <c r="G150" s="5"/>
      <c r="H150" s="5">
        <f t="shared" si="22"/>
        <v>10992</v>
      </c>
      <c r="I150" s="5">
        <f t="shared" si="23"/>
        <v>0</v>
      </c>
      <c r="J150" s="5">
        <f>Table1[[#This Row],[Enrolment S.Y. 2025-2026 ]]*8</f>
        <v>10992</v>
      </c>
      <c r="K150" s="5"/>
      <c r="L150" s="1"/>
      <c r="M150" s="5"/>
      <c r="N150" s="5">
        <f t="shared" si="16"/>
        <v>10992</v>
      </c>
      <c r="O150" s="5">
        <f t="shared" si="17"/>
        <v>0</v>
      </c>
      <c r="P150" s="5">
        <f>Table1[[#This Row],[Enrolment S.Y. 2025-2026 ]]*8</f>
        <v>10992</v>
      </c>
      <c r="Q150" s="5"/>
      <c r="R150" s="1"/>
      <c r="S150" s="5"/>
      <c r="T150" s="5">
        <f t="shared" si="18"/>
        <v>10992</v>
      </c>
      <c r="U150" s="5">
        <f t="shared" si="19"/>
        <v>0</v>
      </c>
      <c r="V150" s="5">
        <f>Table1[[#This Row],[Enrolment S.Y. 2025-2026 ]]*8</f>
        <v>10992</v>
      </c>
      <c r="W150" s="5"/>
      <c r="X150" s="1"/>
      <c r="Y150" s="5"/>
      <c r="Z150" s="5">
        <f t="shared" si="20"/>
        <v>10992</v>
      </c>
      <c r="AA150" s="5">
        <f t="shared" si="21"/>
        <v>0</v>
      </c>
    </row>
    <row r="151" spans="1:27" ht="21">
      <c r="A151" s="3">
        <v>12</v>
      </c>
      <c r="B151" s="33" t="s">
        <v>70</v>
      </c>
      <c r="C151" s="1">
        <v>1374</v>
      </c>
      <c r="D151" s="34">
        <f>Table1[[#This Row],[Enrolment S.Y. 2025-2026 ]]*8</f>
        <v>10992</v>
      </c>
      <c r="E151" s="34"/>
      <c r="F151" s="32"/>
      <c r="G151" s="34"/>
      <c r="H151" s="34">
        <f t="shared" ref="H151:H162" si="44">IF((D151-E151)&lt;0,0,(D151-E151))</f>
        <v>10992</v>
      </c>
      <c r="I151" s="34">
        <f t="shared" ref="I151:I162" si="45">IF((E151-D151)&lt;0,0,(E151-D151))</f>
        <v>0</v>
      </c>
      <c r="J151" s="34">
        <f>Table1[[#This Row],[Enrolment S.Y. 2025-2026 ]]*8</f>
        <v>10992</v>
      </c>
      <c r="K151" s="34"/>
      <c r="L151" s="32"/>
      <c r="M151" s="34"/>
      <c r="N151" s="5">
        <f>IF((J151-K151)&lt;0,0,(J151-K151))</f>
        <v>10992</v>
      </c>
      <c r="O151" s="5">
        <f>IF((K151-J151)&lt;0,0,(K151-J151))</f>
        <v>0</v>
      </c>
      <c r="P151" s="5">
        <f>Table1[[#This Row],[Enrolment S.Y. 2025-2026 ]]*8</f>
        <v>10992</v>
      </c>
      <c r="Q151" s="34"/>
      <c r="R151" s="32"/>
      <c r="S151" s="34"/>
      <c r="T151" s="34">
        <f t="shared" ref="T151:T162" si="46">IF((P151-Q151)&lt;0,0,(P151-Q151))</f>
        <v>10992</v>
      </c>
      <c r="U151" s="34">
        <f t="shared" ref="U151:U162" si="47">IF((Q151-P151)&lt;0,0,(Q151-P151))</f>
        <v>0</v>
      </c>
      <c r="V151" s="34">
        <f>Table1[[#This Row],[Enrolment S.Y. 2025-2026 ]]*8</f>
        <v>10992</v>
      </c>
      <c r="W151" s="34"/>
      <c r="X151" s="32"/>
      <c r="Y151" s="34"/>
      <c r="Z151" s="34">
        <f t="shared" ref="Z151:Z162" si="48">IF((V151-W151)&lt;0,0,(V151-W151))</f>
        <v>10992</v>
      </c>
      <c r="AA151" s="34">
        <f t="shared" ref="AA151:AA162" si="49">IF((W151-V151)&lt;0,0,(W151-V151))</f>
        <v>0</v>
      </c>
    </row>
    <row r="152" spans="1:27" ht="21">
      <c r="A152" s="1">
        <v>12</v>
      </c>
      <c r="B152" s="33" t="s">
        <v>71</v>
      </c>
      <c r="C152" s="1">
        <v>1374</v>
      </c>
      <c r="D152" s="34">
        <f>Table1[[#This Row],[Enrolment S.Y. 2025-2026 ]]*8</f>
        <v>10992</v>
      </c>
      <c r="E152" s="34"/>
      <c r="F152" s="32"/>
      <c r="G152" s="34"/>
      <c r="H152" s="34">
        <f t="shared" si="44"/>
        <v>10992</v>
      </c>
      <c r="I152" s="34">
        <f t="shared" si="45"/>
        <v>0</v>
      </c>
      <c r="J152" s="34">
        <f>Table1[[#This Row],[Enrolment S.Y. 2025-2026 ]]*8</f>
        <v>10992</v>
      </c>
      <c r="K152" s="34"/>
      <c r="L152" s="32"/>
      <c r="M152" s="34"/>
      <c r="N152" s="5">
        <f>IF((J152-K152)&lt;0,0,(J152-K152))</f>
        <v>10992</v>
      </c>
      <c r="O152" s="5">
        <f>IF((K152-J152)&lt;0,0,(K152-J152))</f>
        <v>0</v>
      </c>
      <c r="P152" s="5">
        <f>Table1[[#This Row],[Enrolment S.Y. 2025-2026 ]]*8</f>
        <v>10992</v>
      </c>
      <c r="Q152" s="34"/>
      <c r="R152" s="32"/>
      <c r="S152" s="34"/>
      <c r="T152" s="34">
        <f t="shared" si="46"/>
        <v>10992</v>
      </c>
      <c r="U152" s="34">
        <f t="shared" si="47"/>
        <v>0</v>
      </c>
      <c r="V152" s="34">
        <f>Table1[[#This Row],[Enrolment S.Y. 2025-2026 ]]*8</f>
        <v>10992</v>
      </c>
      <c r="W152" s="34"/>
      <c r="X152" s="32"/>
      <c r="Y152" s="34"/>
      <c r="Z152" s="34">
        <f t="shared" si="48"/>
        <v>10992</v>
      </c>
      <c r="AA152" s="34">
        <f t="shared" si="49"/>
        <v>0</v>
      </c>
    </row>
    <row r="153" spans="1:27" ht="21">
      <c r="A153" s="1">
        <v>12</v>
      </c>
      <c r="B153" s="33" t="s">
        <v>72</v>
      </c>
      <c r="C153" s="1">
        <v>1374</v>
      </c>
      <c r="D153" s="34">
        <f>Table1[[#This Row],[Enrolment S.Y. 2025-2026 ]]*8</f>
        <v>10992</v>
      </c>
      <c r="E153" s="34"/>
      <c r="F153" s="32"/>
      <c r="G153" s="34"/>
      <c r="H153" s="34">
        <f t="shared" si="44"/>
        <v>10992</v>
      </c>
      <c r="I153" s="34">
        <f t="shared" si="45"/>
        <v>0</v>
      </c>
      <c r="J153" s="34">
        <f>Table1[[#This Row],[Enrolment S.Y. 2025-2026 ]]*8</f>
        <v>10992</v>
      </c>
      <c r="K153" s="34"/>
      <c r="L153" s="32"/>
      <c r="M153" s="34"/>
      <c r="N153" s="5">
        <f>IF((J153-K153)&lt;0,0,(J153-K153))</f>
        <v>10992</v>
      </c>
      <c r="O153" s="5">
        <f>IF((K153-J153)&lt;0,0,(K153-J153))</f>
        <v>0</v>
      </c>
      <c r="P153" s="5">
        <f>Table1[[#This Row],[Enrolment S.Y. 2025-2026 ]]*8</f>
        <v>10992</v>
      </c>
      <c r="Q153" s="34"/>
      <c r="R153" s="32"/>
      <c r="S153" s="34"/>
      <c r="T153" s="34">
        <f t="shared" si="46"/>
        <v>10992</v>
      </c>
      <c r="U153" s="34">
        <f t="shared" si="47"/>
        <v>0</v>
      </c>
      <c r="V153" s="34">
        <f>Table1[[#This Row],[Enrolment S.Y. 2025-2026 ]]*8</f>
        <v>10992</v>
      </c>
      <c r="W153" s="34"/>
      <c r="X153" s="32"/>
      <c r="Y153" s="34"/>
      <c r="Z153" s="34">
        <f t="shared" si="48"/>
        <v>10992</v>
      </c>
      <c r="AA153" s="34">
        <f t="shared" si="49"/>
        <v>0</v>
      </c>
    </row>
    <row r="154" spans="1:27" ht="40.5">
      <c r="A154" s="1">
        <v>12</v>
      </c>
      <c r="B154" s="42" t="s">
        <v>73</v>
      </c>
      <c r="C154" s="1">
        <v>1374</v>
      </c>
      <c r="D154" s="34">
        <f>Table1[[#This Row],[Enrolment S.Y. 2025-2026 ]]*8</f>
        <v>10992</v>
      </c>
      <c r="E154" s="34"/>
      <c r="F154" s="32"/>
      <c r="G154" s="34"/>
      <c r="H154" s="34">
        <f t="shared" si="44"/>
        <v>10992</v>
      </c>
      <c r="I154" s="34">
        <f t="shared" si="45"/>
        <v>0</v>
      </c>
      <c r="J154" s="34">
        <f>Table1[[#This Row],[Enrolment S.Y. 2025-2026 ]]*8</f>
        <v>10992</v>
      </c>
      <c r="K154" s="34"/>
      <c r="L154" s="32"/>
      <c r="M154" s="34"/>
      <c r="N154" s="5">
        <f>IF((J154-K154)&lt;0,0,(J154-K154))</f>
        <v>10992</v>
      </c>
      <c r="O154" s="5">
        <f>IF((K154-J154)&lt;0,0,(K154-J154))</f>
        <v>0</v>
      </c>
      <c r="P154" s="5">
        <f>Table1[[#This Row],[Enrolment S.Y. 2025-2026 ]]*8</f>
        <v>10992</v>
      </c>
      <c r="Q154" s="34"/>
      <c r="R154" s="32"/>
      <c r="S154" s="34"/>
      <c r="T154" s="34">
        <f t="shared" si="46"/>
        <v>10992</v>
      </c>
      <c r="U154" s="34">
        <f t="shared" si="47"/>
        <v>0</v>
      </c>
      <c r="V154" s="34">
        <f>Table1[[#This Row],[Enrolment S.Y. 2025-2026 ]]*8</f>
        <v>10992</v>
      </c>
      <c r="W154" s="34"/>
      <c r="X154" s="32"/>
      <c r="Y154" s="34"/>
      <c r="Z154" s="34">
        <f t="shared" si="48"/>
        <v>10992</v>
      </c>
      <c r="AA154" s="34">
        <f t="shared" si="49"/>
        <v>0</v>
      </c>
    </row>
    <row r="155" spans="1:27" ht="21">
      <c r="A155" s="1">
        <v>12</v>
      </c>
      <c r="B155" s="33" t="s">
        <v>74</v>
      </c>
      <c r="C155" s="1">
        <v>1374</v>
      </c>
      <c r="D155" s="34">
        <f>Table1[[#This Row],[Enrolment S.Y. 2025-2026 ]]*8</f>
        <v>10992</v>
      </c>
      <c r="E155" s="34"/>
      <c r="F155" s="32"/>
      <c r="G155" s="34"/>
      <c r="H155" s="34">
        <f t="shared" si="44"/>
        <v>10992</v>
      </c>
      <c r="I155" s="34">
        <f t="shared" si="45"/>
        <v>0</v>
      </c>
      <c r="J155" s="34">
        <f>Table1[[#This Row],[Enrolment S.Y. 2025-2026 ]]*8</f>
        <v>10992</v>
      </c>
      <c r="K155" s="34"/>
      <c r="L155" s="32"/>
      <c r="M155" s="34"/>
      <c r="N155" s="5">
        <f>IF((J155-K155)&lt;0,0,(J155-K155))</f>
        <v>10992</v>
      </c>
      <c r="O155" s="5">
        <f>IF((K155-J155)&lt;0,0,(K155-J155))</f>
        <v>0</v>
      </c>
      <c r="P155" s="5">
        <f>Table1[[#This Row],[Enrolment S.Y. 2025-2026 ]]*8</f>
        <v>10992</v>
      </c>
      <c r="Q155" s="34"/>
      <c r="R155" s="32"/>
      <c r="S155" s="34"/>
      <c r="T155" s="34">
        <f t="shared" si="46"/>
        <v>10992</v>
      </c>
      <c r="U155" s="34">
        <f t="shared" si="47"/>
        <v>0</v>
      </c>
      <c r="V155" s="34">
        <f>Table1[[#This Row],[Enrolment S.Y. 2025-2026 ]]*8</f>
        <v>10992</v>
      </c>
      <c r="W155" s="34"/>
      <c r="X155" s="32"/>
      <c r="Y155" s="34"/>
      <c r="Z155" s="34">
        <f t="shared" si="48"/>
        <v>10992</v>
      </c>
      <c r="AA155" s="34">
        <f t="shared" si="49"/>
        <v>0</v>
      </c>
    </row>
    <row r="156" spans="1:27" ht="21">
      <c r="A156" s="1">
        <v>12</v>
      </c>
      <c r="B156" s="33" t="s">
        <v>75</v>
      </c>
      <c r="C156" s="1">
        <v>1374</v>
      </c>
      <c r="D156" s="34">
        <f>Table1[[#This Row],[Enrolment S.Y. 2025-2026 ]]*8</f>
        <v>10992</v>
      </c>
      <c r="E156" s="34"/>
      <c r="F156" s="32"/>
      <c r="G156" s="34"/>
      <c r="H156" s="34">
        <f t="shared" si="44"/>
        <v>10992</v>
      </c>
      <c r="I156" s="34">
        <f t="shared" si="45"/>
        <v>0</v>
      </c>
      <c r="J156" s="34">
        <f>Table1[[#This Row],[Enrolment S.Y. 2025-2026 ]]*8</f>
        <v>10992</v>
      </c>
      <c r="K156" s="34"/>
      <c r="L156" s="32"/>
      <c r="M156" s="34"/>
      <c r="N156" s="5">
        <f>IF((J156-K156)&lt;0,0,(J156-K156))</f>
        <v>10992</v>
      </c>
      <c r="O156" s="5">
        <f>IF((K156-J156)&lt;0,0,(K156-J156))</f>
        <v>0</v>
      </c>
      <c r="P156" s="5">
        <f>Table1[[#This Row],[Enrolment S.Y. 2025-2026 ]]*8</f>
        <v>10992</v>
      </c>
      <c r="Q156" s="34"/>
      <c r="R156" s="32"/>
      <c r="S156" s="34"/>
      <c r="T156" s="34">
        <f t="shared" si="46"/>
        <v>10992</v>
      </c>
      <c r="U156" s="34">
        <f t="shared" si="47"/>
        <v>0</v>
      </c>
      <c r="V156" s="34">
        <f>Table1[[#This Row],[Enrolment S.Y. 2025-2026 ]]*8</f>
        <v>10992</v>
      </c>
      <c r="W156" s="34"/>
      <c r="X156" s="32"/>
      <c r="Y156" s="34"/>
      <c r="Z156" s="34">
        <f t="shared" si="48"/>
        <v>10992</v>
      </c>
      <c r="AA156" s="34">
        <f t="shared" si="49"/>
        <v>0</v>
      </c>
    </row>
    <row r="157" spans="1:27" ht="40.5">
      <c r="A157" s="1">
        <v>12</v>
      </c>
      <c r="B157" s="33" t="s">
        <v>76</v>
      </c>
      <c r="C157" s="1">
        <v>1374</v>
      </c>
      <c r="D157" s="34">
        <f>Table1[[#This Row],[Enrolment S.Y. 2025-2026 ]]*8</f>
        <v>10992</v>
      </c>
      <c r="E157" s="34"/>
      <c r="F157" s="32"/>
      <c r="G157" s="34"/>
      <c r="H157" s="34">
        <f t="shared" si="44"/>
        <v>10992</v>
      </c>
      <c r="I157" s="34">
        <f t="shared" si="45"/>
        <v>0</v>
      </c>
      <c r="J157" s="34">
        <f>Table1[[#This Row],[Enrolment S.Y. 2025-2026 ]]*8</f>
        <v>10992</v>
      </c>
      <c r="K157" s="34"/>
      <c r="L157" s="32"/>
      <c r="M157" s="34"/>
      <c r="N157" s="5">
        <f>IF((J157-K157)&lt;0,0,(J157-K157))</f>
        <v>10992</v>
      </c>
      <c r="O157" s="5">
        <f>IF((K157-J157)&lt;0,0,(K157-J157))</f>
        <v>0</v>
      </c>
      <c r="P157" s="5">
        <f>Table1[[#This Row],[Enrolment S.Y. 2025-2026 ]]*8</f>
        <v>10992</v>
      </c>
      <c r="Q157" s="34"/>
      <c r="R157" s="32"/>
      <c r="S157" s="34"/>
      <c r="T157" s="34">
        <f t="shared" si="46"/>
        <v>10992</v>
      </c>
      <c r="U157" s="34">
        <f t="shared" si="47"/>
        <v>0</v>
      </c>
      <c r="V157" s="34">
        <f>Table1[[#This Row],[Enrolment S.Y. 2025-2026 ]]*8</f>
        <v>10992</v>
      </c>
      <c r="W157" s="34"/>
      <c r="X157" s="32"/>
      <c r="Y157" s="34"/>
      <c r="Z157" s="34">
        <f t="shared" si="48"/>
        <v>10992</v>
      </c>
      <c r="AA157" s="34">
        <f t="shared" si="49"/>
        <v>0</v>
      </c>
    </row>
    <row r="158" spans="1:27" ht="21">
      <c r="A158" s="1">
        <v>12</v>
      </c>
      <c r="B158" s="33" t="s">
        <v>77</v>
      </c>
      <c r="C158" s="1">
        <v>1374</v>
      </c>
      <c r="D158" s="34">
        <f>Table1[[#This Row],[Enrolment S.Y. 2025-2026 ]]*8</f>
        <v>10992</v>
      </c>
      <c r="E158" s="34"/>
      <c r="F158" s="32"/>
      <c r="G158" s="34"/>
      <c r="H158" s="34">
        <f t="shared" si="44"/>
        <v>10992</v>
      </c>
      <c r="I158" s="34">
        <f t="shared" si="45"/>
        <v>0</v>
      </c>
      <c r="J158" s="34">
        <f>Table1[[#This Row],[Enrolment S.Y. 2025-2026 ]]*8</f>
        <v>10992</v>
      </c>
      <c r="K158" s="34"/>
      <c r="L158" s="32"/>
      <c r="M158" s="34"/>
      <c r="N158" s="5">
        <f>IF((J158-K158)&lt;0,0,(J158-K158))</f>
        <v>10992</v>
      </c>
      <c r="O158" s="5">
        <f>IF((K158-J158)&lt;0,0,(K158-J158))</f>
        <v>0</v>
      </c>
      <c r="P158" s="5">
        <f>Table1[[#This Row],[Enrolment S.Y. 2025-2026 ]]*8</f>
        <v>10992</v>
      </c>
      <c r="Q158" s="34"/>
      <c r="R158" s="32"/>
      <c r="S158" s="34"/>
      <c r="T158" s="34">
        <f t="shared" si="46"/>
        <v>10992</v>
      </c>
      <c r="U158" s="34">
        <f t="shared" si="47"/>
        <v>0</v>
      </c>
      <c r="V158" s="34">
        <f>Table1[[#This Row],[Enrolment S.Y. 2025-2026 ]]*8</f>
        <v>10992</v>
      </c>
      <c r="W158" s="34"/>
      <c r="X158" s="32"/>
      <c r="Y158" s="34"/>
      <c r="Z158" s="34">
        <f t="shared" si="48"/>
        <v>10992</v>
      </c>
      <c r="AA158" s="34">
        <f t="shared" si="49"/>
        <v>0</v>
      </c>
    </row>
    <row r="159" spans="1:27" ht="40.5">
      <c r="A159" s="1">
        <v>12</v>
      </c>
      <c r="B159" s="42" t="s">
        <v>78</v>
      </c>
      <c r="C159" s="1">
        <v>1374</v>
      </c>
      <c r="D159" s="34">
        <f>Table1[[#This Row],[Enrolment S.Y. 2025-2026 ]]*8</f>
        <v>10992</v>
      </c>
      <c r="E159" s="34"/>
      <c r="F159" s="32"/>
      <c r="G159" s="34"/>
      <c r="H159" s="34">
        <f t="shared" si="44"/>
        <v>10992</v>
      </c>
      <c r="I159" s="34">
        <f t="shared" si="45"/>
        <v>0</v>
      </c>
      <c r="J159" s="34">
        <f>Table1[[#This Row],[Enrolment S.Y. 2025-2026 ]]*8</f>
        <v>10992</v>
      </c>
      <c r="K159" s="34"/>
      <c r="L159" s="32"/>
      <c r="M159" s="34"/>
      <c r="N159" s="5">
        <f>IF((J159-K159)&lt;0,0,(J159-K159))</f>
        <v>10992</v>
      </c>
      <c r="O159" s="5">
        <f>IF((K159-J159)&lt;0,0,(K159-J159))</f>
        <v>0</v>
      </c>
      <c r="P159" s="5">
        <f>Table1[[#This Row],[Enrolment S.Y. 2025-2026 ]]*8</f>
        <v>10992</v>
      </c>
      <c r="Q159" s="34"/>
      <c r="R159" s="32"/>
      <c r="S159" s="34"/>
      <c r="T159" s="34">
        <f t="shared" si="46"/>
        <v>10992</v>
      </c>
      <c r="U159" s="34">
        <f t="shared" si="47"/>
        <v>0</v>
      </c>
      <c r="V159" s="34">
        <f>Table1[[#This Row],[Enrolment S.Y. 2025-2026 ]]*8</f>
        <v>10992</v>
      </c>
      <c r="W159" s="34"/>
      <c r="X159" s="32"/>
      <c r="Y159" s="34"/>
      <c r="Z159" s="34">
        <f t="shared" si="48"/>
        <v>10992</v>
      </c>
      <c r="AA159" s="34">
        <f t="shared" si="49"/>
        <v>0</v>
      </c>
    </row>
    <row r="160" spans="1:27" ht="40.5">
      <c r="A160" s="1">
        <v>12</v>
      </c>
      <c r="B160" s="33" t="s">
        <v>79</v>
      </c>
      <c r="C160" s="1">
        <v>1374</v>
      </c>
      <c r="D160" s="34">
        <f>Table1[[#This Row],[Enrolment S.Y. 2025-2026 ]]*8</f>
        <v>10992</v>
      </c>
      <c r="E160" s="34"/>
      <c r="F160" s="32"/>
      <c r="G160" s="34"/>
      <c r="H160" s="34">
        <f t="shared" si="44"/>
        <v>10992</v>
      </c>
      <c r="I160" s="34">
        <f t="shared" si="45"/>
        <v>0</v>
      </c>
      <c r="J160" s="34">
        <f>Table1[[#This Row],[Enrolment S.Y. 2025-2026 ]]*8</f>
        <v>10992</v>
      </c>
      <c r="K160" s="34"/>
      <c r="L160" s="32"/>
      <c r="M160" s="34"/>
      <c r="N160" s="5">
        <f>IF((J160-K160)&lt;0,0,(J160-K160))</f>
        <v>10992</v>
      </c>
      <c r="O160" s="5">
        <f>IF((K160-J160)&lt;0,0,(K160-J160))</f>
        <v>0</v>
      </c>
      <c r="P160" s="5">
        <f>Table1[[#This Row],[Enrolment S.Y. 2025-2026 ]]*8</f>
        <v>10992</v>
      </c>
      <c r="Q160" s="34"/>
      <c r="R160" s="32"/>
      <c r="S160" s="34"/>
      <c r="T160" s="34">
        <f t="shared" si="46"/>
        <v>10992</v>
      </c>
      <c r="U160" s="34">
        <f t="shared" si="47"/>
        <v>0</v>
      </c>
      <c r="V160" s="34">
        <f>Table1[[#This Row],[Enrolment S.Y. 2025-2026 ]]*8</f>
        <v>10992</v>
      </c>
      <c r="W160" s="34"/>
      <c r="X160" s="32"/>
      <c r="Y160" s="34"/>
      <c r="Z160" s="34">
        <f t="shared" si="48"/>
        <v>10992</v>
      </c>
      <c r="AA160" s="34">
        <f t="shared" si="49"/>
        <v>0</v>
      </c>
    </row>
    <row r="161" spans="1:27" ht="21">
      <c r="A161" s="1">
        <v>12</v>
      </c>
      <c r="B161" s="33" t="s">
        <v>80</v>
      </c>
      <c r="C161" s="1">
        <v>1374</v>
      </c>
      <c r="D161" s="34">
        <f>Table1[[#This Row],[Enrolment S.Y. 2025-2026 ]]*8</f>
        <v>10992</v>
      </c>
      <c r="E161" s="34"/>
      <c r="F161" s="32"/>
      <c r="G161" s="34"/>
      <c r="H161" s="34">
        <f t="shared" si="44"/>
        <v>10992</v>
      </c>
      <c r="I161" s="34">
        <f t="shared" si="45"/>
        <v>0</v>
      </c>
      <c r="J161" s="34">
        <f>Table1[[#This Row],[Enrolment S.Y. 2025-2026 ]]*8</f>
        <v>10992</v>
      </c>
      <c r="K161" s="34"/>
      <c r="L161" s="32"/>
      <c r="M161" s="34"/>
      <c r="N161" s="5">
        <f>IF((J161-K161)&lt;0,0,(J161-K161))</f>
        <v>10992</v>
      </c>
      <c r="O161" s="5">
        <f>IF((K161-J161)&lt;0,0,(K161-J161))</f>
        <v>0</v>
      </c>
      <c r="P161" s="5">
        <f>Table1[[#This Row],[Enrolment S.Y. 2025-2026 ]]*8</f>
        <v>10992</v>
      </c>
      <c r="Q161" s="34"/>
      <c r="R161" s="32"/>
      <c r="S161" s="34"/>
      <c r="T161" s="34">
        <f t="shared" si="46"/>
        <v>10992</v>
      </c>
      <c r="U161" s="34">
        <f t="shared" si="47"/>
        <v>0</v>
      </c>
      <c r="V161" s="34">
        <f>Table1[[#This Row],[Enrolment S.Y. 2025-2026 ]]*8</f>
        <v>10992</v>
      </c>
      <c r="W161" s="34"/>
      <c r="X161" s="32"/>
      <c r="Y161" s="34"/>
      <c r="Z161" s="34">
        <f t="shared" si="48"/>
        <v>10992</v>
      </c>
      <c r="AA161" s="34">
        <f t="shared" si="49"/>
        <v>0</v>
      </c>
    </row>
    <row r="162" spans="1:27" ht="21">
      <c r="A162" s="1">
        <v>12</v>
      </c>
      <c r="B162" s="33" t="s">
        <v>81</v>
      </c>
      <c r="C162" s="1">
        <v>1374</v>
      </c>
      <c r="D162" s="34">
        <f>Table1[[#This Row],[Enrolment S.Y. 2025-2026 ]]*8</f>
        <v>10992</v>
      </c>
      <c r="E162" s="34"/>
      <c r="F162" s="32"/>
      <c r="G162" s="34"/>
      <c r="H162" s="34">
        <f t="shared" si="44"/>
        <v>10992</v>
      </c>
      <c r="I162" s="34">
        <f t="shared" si="45"/>
        <v>0</v>
      </c>
      <c r="J162" s="34">
        <f>Table1[[#This Row],[Enrolment S.Y. 2025-2026 ]]*8</f>
        <v>10992</v>
      </c>
      <c r="K162" s="34"/>
      <c r="L162" s="32"/>
      <c r="M162" s="34"/>
      <c r="N162" s="5">
        <f>IF((J162-K162)&lt;0,0,(J162-K162))</f>
        <v>10992</v>
      </c>
      <c r="O162" s="5">
        <f>IF((K162-J162)&lt;0,0,(K162-J162))</f>
        <v>0</v>
      </c>
      <c r="P162" s="5">
        <f>Table1[[#This Row],[Enrolment S.Y. 2025-2026 ]]*8</f>
        <v>10992</v>
      </c>
      <c r="Q162" s="34"/>
      <c r="R162" s="32"/>
      <c r="S162" s="34"/>
      <c r="T162" s="34">
        <f t="shared" si="46"/>
        <v>10992</v>
      </c>
      <c r="U162" s="34">
        <f t="shared" si="47"/>
        <v>0</v>
      </c>
      <c r="V162" s="34">
        <f>Table1[[#This Row],[Enrolment S.Y. 2025-2026 ]]*8</f>
        <v>10992</v>
      </c>
      <c r="W162" s="34"/>
      <c r="X162" s="32"/>
      <c r="Y162" s="34"/>
      <c r="Z162" s="34">
        <f t="shared" si="48"/>
        <v>10992</v>
      </c>
      <c r="AA162" s="34">
        <f t="shared" si="49"/>
        <v>0</v>
      </c>
    </row>
    <row r="163" spans="1:27" ht="19.5" hidden="1">
      <c r="A163" s="1">
        <v>12</v>
      </c>
      <c r="B163" s="30"/>
      <c r="C163" s="29"/>
      <c r="D163" s="5"/>
      <c r="E163" s="31"/>
      <c r="F163" s="29"/>
      <c r="G163" s="31"/>
      <c r="H163" s="5">
        <f t="shared" si="22"/>
        <v>0</v>
      </c>
      <c r="I163" s="5">
        <f t="shared" si="23"/>
        <v>0</v>
      </c>
      <c r="J163" s="5">
        <f>Table1[[#This Row],[Enrolment S.Y. 2025-2026 ]]*8</f>
        <v>0</v>
      </c>
      <c r="K163" s="31"/>
      <c r="L163" s="29"/>
      <c r="M163" s="31"/>
      <c r="N163" s="5">
        <f t="shared" ref="N163" si="50">IF((J163-K163)&lt;0,0,(J163-K163))</f>
        <v>0</v>
      </c>
      <c r="O163" s="5">
        <f t="shared" ref="O163" si="51">IF((K163-J163)&lt;0,0,(K163-J163))</f>
        <v>0</v>
      </c>
      <c r="P163" s="5"/>
      <c r="Q163" s="31"/>
      <c r="R163" s="29"/>
      <c r="S163" s="31"/>
      <c r="T163" s="5">
        <f t="shared" si="18"/>
        <v>0</v>
      </c>
      <c r="U163" s="5">
        <f t="shared" si="19"/>
        <v>0</v>
      </c>
      <c r="V163" s="5">
        <f>Table1[[#This Row],[Enrolment S.Y. 2025-2026 ]]*8</f>
        <v>0</v>
      </c>
      <c r="W163" s="31"/>
      <c r="X163" s="29"/>
      <c r="Y163" s="31"/>
      <c r="Z163" s="5">
        <f t="shared" si="20"/>
        <v>0</v>
      </c>
      <c r="AA163" s="5">
        <f t="shared" si="21"/>
        <v>0</v>
      </c>
    </row>
    <row r="164" spans="1:27" ht="18" hidden="1">
      <c r="A164" s="32"/>
      <c r="B164" s="33"/>
      <c r="C164" s="32"/>
      <c r="D164" s="34">
        <f>Table1[[#This Row],[Enrolment S.Y. 2025-2026 ]]*8</f>
        <v>0</v>
      </c>
      <c r="E164" s="34"/>
      <c r="F164" s="32"/>
      <c r="G164" s="34"/>
      <c r="H164" s="34">
        <f t="shared" ref="H164:H166" si="52">IF((D164-E164)&lt;0,0,(D164-E164))</f>
        <v>0</v>
      </c>
      <c r="I164" s="34">
        <f t="shared" ref="I164:I166" si="53">IF((E164-D164)&lt;0,0,(E164-D164))</f>
        <v>0</v>
      </c>
      <c r="J164" s="34">
        <f>Table1[[#This Row],[Enrolment S.Y. 2025-2026 ]]*8</f>
        <v>0</v>
      </c>
      <c r="K164" s="34"/>
      <c r="L164" s="32"/>
      <c r="M164" s="34"/>
      <c r="N164" s="34"/>
      <c r="O164" s="34"/>
      <c r="P164" s="34" t="e">
        <f>#REF!*8</f>
        <v>#REF!</v>
      </c>
      <c r="Q164" s="34"/>
      <c r="R164" s="32"/>
      <c r="S164" s="34"/>
      <c r="T164" s="34" t="e">
        <f t="shared" ref="T164:T166" si="54">IF((P164-Q164)&lt;0,0,(P164-Q164))</f>
        <v>#REF!</v>
      </c>
      <c r="U164" s="34" t="e">
        <f t="shared" ref="U164:U166" si="55">IF((Q164-P164)&lt;0,0,(Q164-P164))</f>
        <v>#REF!</v>
      </c>
      <c r="V164" s="34">
        <f>Table1[[#This Row],[Enrolment S.Y. 2025-2026 ]]*8</f>
        <v>0</v>
      </c>
      <c r="W164" s="34"/>
      <c r="X164" s="32"/>
      <c r="Y164" s="34"/>
      <c r="Z164" s="34">
        <f t="shared" ref="Z164:Z166" si="56">IF((V164-W164)&lt;0,0,(V164-W164))</f>
        <v>0</v>
      </c>
      <c r="AA164" s="34">
        <f t="shared" ref="AA164:AA166" si="57">IF((W164-V164)&lt;0,0,(W164-V164))</f>
        <v>0</v>
      </c>
    </row>
    <row r="165" spans="1:27" ht="18" hidden="1">
      <c r="A165" s="32"/>
      <c r="B165" s="33"/>
      <c r="C165" s="32"/>
      <c r="D165" s="34">
        <f>Table1[[#This Row],[Enrolment S.Y. 2025-2026 ]]*8</f>
        <v>0</v>
      </c>
      <c r="E165" s="34"/>
      <c r="F165" s="32"/>
      <c r="G165" s="34"/>
      <c r="H165" s="34">
        <f t="shared" si="52"/>
        <v>0</v>
      </c>
      <c r="I165" s="34">
        <f t="shared" si="53"/>
        <v>0</v>
      </c>
      <c r="J165" s="34">
        <f>Table1[[#This Row],[Enrolment S.Y. 2025-2026 ]]*8</f>
        <v>0</v>
      </c>
      <c r="K165" s="34"/>
      <c r="L165" s="32"/>
      <c r="M165" s="34"/>
      <c r="N165" s="34"/>
      <c r="O165" s="34"/>
      <c r="P165" s="34" t="e">
        <f>#REF!*8</f>
        <v>#REF!</v>
      </c>
      <c r="Q165" s="34"/>
      <c r="R165" s="32"/>
      <c r="S165" s="34"/>
      <c r="T165" s="34" t="e">
        <f t="shared" si="54"/>
        <v>#REF!</v>
      </c>
      <c r="U165" s="34" t="e">
        <f t="shared" si="55"/>
        <v>#REF!</v>
      </c>
      <c r="V165" s="34">
        <f>Table1[[#This Row],[Enrolment S.Y. 2025-2026 ]]*8</f>
        <v>0</v>
      </c>
      <c r="W165" s="34"/>
      <c r="X165" s="32"/>
      <c r="Y165" s="34"/>
      <c r="Z165" s="34">
        <f t="shared" si="56"/>
        <v>0</v>
      </c>
      <c r="AA165" s="34">
        <f t="shared" si="57"/>
        <v>0</v>
      </c>
    </row>
    <row r="166" spans="1:27" ht="18" hidden="1">
      <c r="A166" s="32"/>
      <c r="B166" s="33"/>
      <c r="C166" s="32"/>
      <c r="D166" s="34">
        <f>Table1[[#This Row],[Enrolment S.Y. 2025-2026 ]]*8</f>
        <v>0</v>
      </c>
      <c r="E166" s="34"/>
      <c r="F166" s="32"/>
      <c r="G166" s="34"/>
      <c r="H166" s="34">
        <f t="shared" si="52"/>
        <v>0</v>
      </c>
      <c r="I166" s="34">
        <f t="shared" si="53"/>
        <v>0</v>
      </c>
      <c r="J166" s="34">
        <f>Table1[[#This Row],[Enrolment S.Y. 2025-2026 ]]*8</f>
        <v>0</v>
      </c>
      <c r="K166" s="34"/>
      <c r="L166" s="32"/>
      <c r="M166" s="34"/>
      <c r="N166" s="34"/>
      <c r="O166" s="34"/>
      <c r="P166" s="34" t="e">
        <f>#REF!*8</f>
        <v>#REF!</v>
      </c>
      <c r="Q166" s="34"/>
      <c r="R166" s="32"/>
      <c r="S166" s="34"/>
      <c r="T166" s="34" t="e">
        <f t="shared" si="54"/>
        <v>#REF!</v>
      </c>
      <c r="U166" s="34" t="e">
        <f t="shared" si="55"/>
        <v>#REF!</v>
      </c>
      <c r="V166" s="34">
        <f>Table1[[#This Row],[Enrolment S.Y. 2025-2026 ]]*8</f>
        <v>0</v>
      </c>
      <c r="W166" s="34"/>
      <c r="X166" s="32"/>
      <c r="Y166" s="34"/>
      <c r="Z166" s="34">
        <f t="shared" si="56"/>
        <v>0</v>
      </c>
      <c r="AA166" s="34">
        <f t="shared" si="57"/>
        <v>0</v>
      </c>
    </row>
    <row r="167" spans="1:27" ht="18" hidden="1">
      <c r="A167" s="32"/>
      <c r="B167" s="33"/>
      <c r="C167" s="32"/>
      <c r="D167" s="34">
        <f>Table1[[#This Row],[Enrolment S.Y. 2025-2026 ]]*8</f>
        <v>0</v>
      </c>
      <c r="E167" s="34"/>
      <c r="F167" s="32"/>
      <c r="G167" s="34"/>
      <c r="H167" s="34">
        <f t="shared" ref="H167:H171" si="58">IF((D167-E167)&lt;0,0,(D167-E167))</f>
        <v>0</v>
      </c>
      <c r="I167" s="34">
        <f t="shared" ref="I167:I171" si="59">IF((E167-D167)&lt;0,0,(E167-D167))</f>
        <v>0</v>
      </c>
      <c r="J167" s="34">
        <f>Table1[[#This Row],[Enrolment S.Y. 2025-2026 ]]*8</f>
        <v>0</v>
      </c>
      <c r="K167" s="34"/>
      <c r="L167" s="32"/>
      <c r="M167" s="34"/>
      <c r="N167" s="34"/>
      <c r="O167" s="34"/>
      <c r="P167" s="34" t="e">
        <f>#REF!*8</f>
        <v>#REF!</v>
      </c>
      <c r="Q167" s="34"/>
      <c r="R167" s="32"/>
      <c r="S167" s="34"/>
      <c r="T167" s="34" t="e">
        <f t="shared" ref="T167:T171" si="60">IF((P167-Q167)&lt;0,0,(P167-Q167))</f>
        <v>#REF!</v>
      </c>
      <c r="U167" s="34" t="e">
        <f t="shared" ref="U167:U171" si="61">IF((Q167-P167)&lt;0,0,(Q167-P167))</f>
        <v>#REF!</v>
      </c>
      <c r="V167" s="34">
        <f>Table1[[#This Row],[Enrolment S.Y. 2025-2026 ]]*8</f>
        <v>0</v>
      </c>
      <c r="W167" s="34"/>
      <c r="X167" s="32"/>
      <c r="Y167" s="34"/>
      <c r="Z167" s="34">
        <f t="shared" ref="Z167:Z171" si="62">IF((V167-W167)&lt;0,0,(V167-W167))</f>
        <v>0</v>
      </c>
      <c r="AA167" s="34">
        <f t="shared" ref="AA167:AA171" si="63">IF((W167-V167)&lt;0,0,(W167-V167))</f>
        <v>0</v>
      </c>
    </row>
    <row r="168" spans="1:27" ht="18" hidden="1">
      <c r="A168" s="32"/>
      <c r="B168" s="33"/>
      <c r="C168" s="32"/>
      <c r="D168" s="34">
        <f>Table1[[#This Row],[Enrolment S.Y. 2025-2026 ]]*8</f>
        <v>0</v>
      </c>
      <c r="E168" s="34"/>
      <c r="F168" s="32"/>
      <c r="G168" s="34"/>
      <c r="H168" s="34">
        <f t="shared" si="58"/>
        <v>0</v>
      </c>
      <c r="I168" s="34">
        <f t="shared" si="59"/>
        <v>0</v>
      </c>
      <c r="J168" s="34">
        <f>Table1[[#This Row],[Enrolment S.Y. 2025-2026 ]]*8</f>
        <v>0</v>
      </c>
      <c r="K168" s="34"/>
      <c r="L168" s="32"/>
      <c r="M168" s="34"/>
      <c r="N168" s="34"/>
      <c r="O168" s="34"/>
      <c r="P168" s="34" t="e">
        <f>#REF!*8</f>
        <v>#REF!</v>
      </c>
      <c r="Q168" s="34"/>
      <c r="R168" s="32"/>
      <c r="S168" s="34"/>
      <c r="T168" s="34" t="e">
        <f t="shared" si="60"/>
        <v>#REF!</v>
      </c>
      <c r="U168" s="34" t="e">
        <f t="shared" si="61"/>
        <v>#REF!</v>
      </c>
      <c r="V168" s="34">
        <f>Table1[[#This Row],[Enrolment S.Y. 2025-2026 ]]*8</f>
        <v>0</v>
      </c>
      <c r="W168" s="34"/>
      <c r="X168" s="32"/>
      <c r="Y168" s="34"/>
      <c r="Z168" s="34">
        <f t="shared" si="62"/>
        <v>0</v>
      </c>
      <c r="AA168" s="34">
        <f t="shared" si="63"/>
        <v>0</v>
      </c>
    </row>
    <row r="169" spans="1:27" ht="18" hidden="1">
      <c r="A169" s="32"/>
      <c r="B169" s="33"/>
      <c r="C169" s="32"/>
      <c r="D169" s="34">
        <f>Table1[[#This Row],[Enrolment S.Y. 2025-2026 ]]*8</f>
        <v>0</v>
      </c>
      <c r="E169" s="34"/>
      <c r="F169" s="32"/>
      <c r="G169" s="34"/>
      <c r="H169" s="34">
        <f t="shared" si="58"/>
        <v>0</v>
      </c>
      <c r="I169" s="34">
        <f t="shared" si="59"/>
        <v>0</v>
      </c>
      <c r="J169" s="34">
        <f>Table1[[#This Row],[Enrolment S.Y. 2025-2026 ]]*8</f>
        <v>0</v>
      </c>
      <c r="K169" s="34"/>
      <c r="L169" s="32"/>
      <c r="M169" s="34"/>
      <c r="N169" s="34"/>
      <c r="O169" s="34"/>
      <c r="P169" s="34" t="e">
        <f>#REF!*8</f>
        <v>#REF!</v>
      </c>
      <c r="Q169" s="34"/>
      <c r="R169" s="32"/>
      <c r="S169" s="34"/>
      <c r="T169" s="34" t="e">
        <f t="shared" si="60"/>
        <v>#REF!</v>
      </c>
      <c r="U169" s="34" t="e">
        <f t="shared" si="61"/>
        <v>#REF!</v>
      </c>
      <c r="V169" s="34">
        <f>Table1[[#This Row],[Enrolment S.Y. 2025-2026 ]]*8</f>
        <v>0</v>
      </c>
      <c r="W169" s="34"/>
      <c r="X169" s="32"/>
      <c r="Y169" s="34"/>
      <c r="Z169" s="34">
        <f t="shared" si="62"/>
        <v>0</v>
      </c>
      <c r="AA169" s="34">
        <f t="shared" si="63"/>
        <v>0</v>
      </c>
    </row>
    <row r="170" spans="1:27" ht="18" hidden="1">
      <c r="A170" s="32"/>
      <c r="B170" s="33"/>
      <c r="C170" s="32"/>
      <c r="D170" s="34">
        <f>Table1[[#This Row],[Enrolment S.Y. 2025-2026 ]]*8</f>
        <v>0</v>
      </c>
      <c r="E170" s="34"/>
      <c r="F170" s="32"/>
      <c r="G170" s="34"/>
      <c r="H170" s="34">
        <f t="shared" si="58"/>
        <v>0</v>
      </c>
      <c r="I170" s="34">
        <f t="shared" si="59"/>
        <v>0</v>
      </c>
      <c r="J170" s="34">
        <f>Table1[[#This Row],[Enrolment S.Y. 2025-2026 ]]*8</f>
        <v>0</v>
      </c>
      <c r="K170" s="34"/>
      <c r="L170" s="32"/>
      <c r="M170" s="34"/>
      <c r="N170" s="34"/>
      <c r="O170" s="34"/>
      <c r="P170" s="34" t="e">
        <f>#REF!*8</f>
        <v>#REF!</v>
      </c>
      <c r="Q170" s="34"/>
      <c r="R170" s="32"/>
      <c r="S170" s="34"/>
      <c r="T170" s="34" t="e">
        <f t="shared" si="60"/>
        <v>#REF!</v>
      </c>
      <c r="U170" s="34" t="e">
        <f t="shared" si="61"/>
        <v>#REF!</v>
      </c>
      <c r="V170" s="34">
        <f>Table1[[#This Row],[Enrolment S.Y. 2025-2026 ]]*8</f>
        <v>0</v>
      </c>
      <c r="W170" s="34"/>
      <c r="X170" s="32"/>
      <c r="Y170" s="34"/>
      <c r="Z170" s="34">
        <f t="shared" si="62"/>
        <v>0</v>
      </c>
      <c r="AA170" s="34">
        <f t="shared" si="63"/>
        <v>0</v>
      </c>
    </row>
    <row r="171" spans="1:27" ht="18" hidden="1">
      <c r="A171" s="32"/>
      <c r="B171" s="33"/>
      <c r="C171" s="32"/>
      <c r="D171" s="34">
        <f>Table1[[#This Row],[Enrolment S.Y. 2025-2026 ]]*8</f>
        <v>0</v>
      </c>
      <c r="E171" s="34"/>
      <c r="F171" s="32"/>
      <c r="G171" s="34"/>
      <c r="H171" s="34">
        <f t="shared" si="58"/>
        <v>0</v>
      </c>
      <c r="I171" s="34">
        <f t="shared" si="59"/>
        <v>0</v>
      </c>
      <c r="J171" s="34">
        <f>Table1[[#This Row],[Enrolment S.Y. 2025-2026 ]]*8</f>
        <v>0</v>
      </c>
      <c r="K171" s="34"/>
      <c r="L171" s="32"/>
      <c r="M171" s="34"/>
      <c r="N171" s="34"/>
      <c r="O171" s="34"/>
      <c r="P171" s="34" t="e">
        <f>#REF!*8</f>
        <v>#REF!</v>
      </c>
      <c r="Q171" s="34"/>
      <c r="R171" s="32"/>
      <c r="S171" s="34"/>
      <c r="T171" s="34" t="e">
        <f t="shared" si="60"/>
        <v>#REF!</v>
      </c>
      <c r="U171" s="34" t="e">
        <f t="shared" si="61"/>
        <v>#REF!</v>
      </c>
      <c r="V171" s="34">
        <f>Table1[[#This Row],[Enrolment S.Y. 2025-2026 ]]*8</f>
        <v>0</v>
      </c>
      <c r="W171" s="34"/>
      <c r="X171" s="32"/>
      <c r="Y171" s="34"/>
      <c r="Z171" s="34">
        <f t="shared" si="62"/>
        <v>0</v>
      </c>
      <c r="AA171" s="34">
        <f t="shared" si="63"/>
        <v>0</v>
      </c>
    </row>
    <row r="172" spans="1:27" ht="18" hidden="1">
      <c r="A172" s="32"/>
      <c r="B172" s="33"/>
      <c r="C172" s="32"/>
      <c r="D172" s="34">
        <f>Table1[[#This Row],[Enrolment S.Y. 2025-2026 ]]*8</f>
        <v>0</v>
      </c>
      <c r="E172" s="34"/>
      <c r="F172" s="32"/>
      <c r="G172" s="34"/>
      <c r="H172" s="34">
        <f t="shared" ref="H172:H181" si="64">IF((D172-E172)&lt;0,0,(D172-E172))</f>
        <v>0</v>
      </c>
      <c r="I172" s="34">
        <f t="shared" ref="I172:I181" si="65">IF((E172-D172)&lt;0,0,(E172-D172))</f>
        <v>0</v>
      </c>
      <c r="J172" s="34">
        <f>Table1[[#This Row],[Enrolment S.Y. 2025-2026 ]]*8</f>
        <v>0</v>
      </c>
      <c r="K172" s="34"/>
      <c r="L172" s="32"/>
      <c r="M172" s="34"/>
      <c r="N172" s="34"/>
      <c r="O172" s="34"/>
      <c r="P172" s="34" t="e">
        <f>#REF!*8</f>
        <v>#REF!</v>
      </c>
      <c r="Q172" s="34"/>
      <c r="R172" s="32"/>
      <c r="S172" s="34"/>
      <c r="T172" s="34" t="e">
        <f t="shared" ref="T172:T181" si="66">IF((P172-Q172)&lt;0,0,(P172-Q172))</f>
        <v>#REF!</v>
      </c>
      <c r="U172" s="34" t="e">
        <f t="shared" ref="U172:U181" si="67">IF((Q172-P172)&lt;0,0,(Q172-P172))</f>
        <v>#REF!</v>
      </c>
      <c r="V172" s="34">
        <f>Table1[[#This Row],[Enrolment S.Y. 2025-2026 ]]*8</f>
        <v>0</v>
      </c>
      <c r="W172" s="34"/>
      <c r="X172" s="32"/>
      <c r="Y172" s="34"/>
      <c r="Z172" s="34">
        <f t="shared" ref="Z172:Z181" si="68">IF((V172-W172)&lt;0,0,(V172-W172))</f>
        <v>0</v>
      </c>
      <c r="AA172" s="34">
        <f t="shared" ref="AA172:AA181" si="69">IF((W172-V172)&lt;0,0,(W172-V172))</f>
        <v>0</v>
      </c>
    </row>
    <row r="173" spans="1:27" ht="18" hidden="1">
      <c r="A173" s="32"/>
      <c r="B173" s="33"/>
      <c r="C173" s="32"/>
      <c r="D173" s="34">
        <f>Table1[[#This Row],[Enrolment S.Y. 2025-2026 ]]*8</f>
        <v>0</v>
      </c>
      <c r="E173" s="34"/>
      <c r="F173" s="32"/>
      <c r="G173" s="34"/>
      <c r="H173" s="34">
        <f t="shared" si="64"/>
        <v>0</v>
      </c>
      <c r="I173" s="34">
        <f t="shared" si="65"/>
        <v>0</v>
      </c>
      <c r="J173" s="34">
        <f>Table1[[#This Row],[Enrolment S.Y. 2025-2026 ]]*8</f>
        <v>0</v>
      </c>
      <c r="K173" s="34"/>
      <c r="L173" s="32"/>
      <c r="M173" s="34"/>
      <c r="N173" s="34"/>
      <c r="O173" s="34"/>
      <c r="P173" s="34" t="e">
        <f>#REF!*8</f>
        <v>#REF!</v>
      </c>
      <c r="Q173" s="34"/>
      <c r="R173" s="32"/>
      <c r="S173" s="34"/>
      <c r="T173" s="34" t="e">
        <f t="shared" si="66"/>
        <v>#REF!</v>
      </c>
      <c r="U173" s="34" t="e">
        <f t="shared" si="67"/>
        <v>#REF!</v>
      </c>
      <c r="V173" s="34">
        <f>Table1[[#This Row],[Enrolment S.Y. 2025-2026 ]]*8</f>
        <v>0</v>
      </c>
      <c r="W173" s="34"/>
      <c r="X173" s="32"/>
      <c r="Y173" s="34"/>
      <c r="Z173" s="34">
        <f t="shared" si="68"/>
        <v>0</v>
      </c>
      <c r="AA173" s="34">
        <f t="shared" si="69"/>
        <v>0</v>
      </c>
    </row>
    <row r="174" spans="1:27" ht="18" hidden="1">
      <c r="A174" s="32"/>
      <c r="B174" s="33"/>
      <c r="C174" s="32"/>
      <c r="D174" s="34">
        <f>Table1[[#This Row],[Enrolment S.Y. 2025-2026 ]]*8</f>
        <v>0</v>
      </c>
      <c r="E174" s="34"/>
      <c r="F174" s="32"/>
      <c r="G174" s="34"/>
      <c r="H174" s="34">
        <f t="shared" si="64"/>
        <v>0</v>
      </c>
      <c r="I174" s="34">
        <f t="shared" si="65"/>
        <v>0</v>
      </c>
      <c r="J174" s="34">
        <f>Table1[[#This Row],[Enrolment S.Y. 2025-2026 ]]*8</f>
        <v>0</v>
      </c>
      <c r="K174" s="34"/>
      <c r="L174" s="32"/>
      <c r="M174" s="34"/>
      <c r="N174" s="34"/>
      <c r="O174" s="34"/>
      <c r="P174" s="34" t="e">
        <f>#REF!*8</f>
        <v>#REF!</v>
      </c>
      <c r="Q174" s="34"/>
      <c r="R174" s="32"/>
      <c r="S174" s="34"/>
      <c r="T174" s="34" t="e">
        <f t="shared" si="66"/>
        <v>#REF!</v>
      </c>
      <c r="U174" s="34" t="e">
        <f t="shared" si="67"/>
        <v>#REF!</v>
      </c>
      <c r="V174" s="34">
        <f>Table1[[#This Row],[Enrolment S.Y. 2025-2026 ]]*8</f>
        <v>0</v>
      </c>
      <c r="W174" s="34"/>
      <c r="X174" s="32"/>
      <c r="Y174" s="34"/>
      <c r="Z174" s="34">
        <f t="shared" si="68"/>
        <v>0</v>
      </c>
      <c r="AA174" s="34">
        <f t="shared" si="69"/>
        <v>0</v>
      </c>
    </row>
    <row r="175" spans="1:27" ht="18" hidden="1">
      <c r="A175" s="32"/>
      <c r="B175" s="33"/>
      <c r="C175" s="32"/>
      <c r="D175" s="34">
        <f>Table1[[#This Row],[Enrolment S.Y. 2025-2026 ]]*8</f>
        <v>0</v>
      </c>
      <c r="E175" s="34"/>
      <c r="F175" s="32"/>
      <c r="G175" s="34"/>
      <c r="H175" s="34">
        <f t="shared" si="64"/>
        <v>0</v>
      </c>
      <c r="I175" s="34">
        <f t="shared" si="65"/>
        <v>0</v>
      </c>
      <c r="J175" s="34">
        <f>Table1[[#This Row],[Enrolment S.Y. 2025-2026 ]]*8</f>
        <v>0</v>
      </c>
      <c r="K175" s="34"/>
      <c r="L175" s="32"/>
      <c r="M175" s="34"/>
      <c r="N175" s="34"/>
      <c r="O175" s="34"/>
      <c r="P175" s="34" t="e">
        <f>#REF!*8</f>
        <v>#REF!</v>
      </c>
      <c r="Q175" s="34"/>
      <c r="R175" s="32"/>
      <c r="S175" s="34"/>
      <c r="T175" s="34" t="e">
        <f t="shared" si="66"/>
        <v>#REF!</v>
      </c>
      <c r="U175" s="34" t="e">
        <f t="shared" si="67"/>
        <v>#REF!</v>
      </c>
      <c r="V175" s="34">
        <f>Table1[[#This Row],[Enrolment S.Y. 2025-2026 ]]*8</f>
        <v>0</v>
      </c>
      <c r="W175" s="34"/>
      <c r="X175" s="32"/>
      <c r="Y175" s="34"/>
      <c r="Z175" s="34">
        <f t="shared" si="68"/>
        <v>0</v>
      </c>
      <c r="AA175" s="34">
        <f t="shared" si="69"/>
        <v>0</v>
      </c>
    </row>
    <row r="176" spans="1:27" ht="18" hidden="1">
      <c r="A176" s="32"/>
      <c r="B176" s="33"/>
      <c r="C176" s="32"/>
      <c r="D176" s="34">
        <f>Table1[[#This Row],[Enrolment S.Y. 2025-2026 ]]*8</f>
        <v>0</v>
      </c>
      <c r="E176" s="34"/>
      <c r="F176" s="32"/>
      <c r="G176" s="34"/>
      <c r="H176" s="34">
        <f t="shared" si="64"/>
        <v>0</v>
      </c>
      <c r="I176" s="34">
        <f t="shared" si="65"/>
        <v>0</v>
      </c>
      <c r="J176" s="34">
        <f>Table1[[#This Row],[Enrolment S.Y. 2025-2026 ]]*8</f>
        <v>0</v>
      </c>
      <c r="K176" s="34"/>
      <c r="L176" s="32"/>
      <c r="M176" s="34"/>
      <c r="N176" s="34"/>
      <c r="O176" s="34"/>
      <c r="P176" s="34" t="e">
        <f>#REF!*8</f>
        <v>#REF!</v>
      </c>
      <c r="Q176" s="34"/>
      <c r="R176" s="32"/>
      <c r="S176" s="34"/>
      <c r="T176" s="34" t="e">
        <f t="shared" si="66"/>
        <v>#REF!</v>
      </c>
      <c r="U176" s="34" t="e">
        <f t="shared" si="67"/>
        <v>#REF!</v>
      </c>
      <c r="V176" s="34">
        <f>Table1[[#This Row],[Enrolment S.Y. 2025-2026 ]]*8</f>
        <v>0</v>
      </c>
      <c r="W176" s="34"/>
      <c r="X176" s="32"/>
      <c r="Y176" s="34"/>
      <c r="Z176" s="34">
        <f t="shared" si="68"/>
        <v>0</v>
      </c>
      <c r="AA176" s="34">
        <f t="shared" si="69"/>
        <v>0</v>
      </c>
    </row>
    <row r="177" spans="1:27" ht="18" hidden="1">
      <c r="A177" s="32"/>
      <c r="B177" s="33"/>
      <c r="C177" s="32"/>
      <c r="D177" s="34">
        <f>Table1[[#This Row],[Enrolment S.Y. 2025-2026 ]]*8</f>
        <v>0</v>
      </c>
      <c r="E177" s="34"/>
      <c r="F177" s="32"/>
      <c r="G177" s="34"/>
      <c r="H177" s="34">
        <f t="shared" si="64"/>
        <v>0</v>
      </c>
      <c r="I177" s="34">
        <f t="shared" si="65"/>
        <v>0</v>
      </c>
      <c r="J177" s="34">
        <f>Table1[[#This Row],[Enrolment S.Y. 2025-2026 ]]*8</f>
        <v>0</v>
      </c>
      <c r="K177" s="34"/>
      <c r="L177" s="32"/>
      <c r="M177" s="34"/>
      <c r="N177" s="34"/>
      <c r="O177" s="34"/>
      <c r="P177" s="34" t="e">
        <f>#REF!*8</f>
        <v>#REF!</v>
      </c>
      <c r="Q177" s="34"/>
      <c r="R177" s="32"/>
      <c r="S177" s="34"/>
      <c r="T177" s="34" t="e">
        <f t="shared" si="66"/>
        <v>#REF!</v>
      </c>
      <c r="U177" s="34" t="e">
        <f t="shared" si="67"/>
        <v>#REF!</v>
      </c>
      <c r="V177" s="34">
        <f>Table1[[#This Row],[Enrolment S.Y. 2025-2026 ]]*8</f>
        <v>0</v>
      </c>
      <c r="W177" s="34"/>
      <c r="X177" s="32"/>
      <c r="Y177" s="34"/>
      <c r="Z177" s="34">
        <f t="shared" si="68"/>
        <v>0</v>
      </c>
      <c r="AA177" s="34">
        <f t="shared" si="69"/>
        <v>0</v>
      </c>
    </row>
    <row r="178" spans="1:27" ht="18" hidden="1">
      <c r="A178" s="32"/>
      <c r="B178" s="33"/>
      <c r="C178" s="32"/>
      <c r="D178" s="34">
        <f>Table1[[#This Row],[Enrolment S.Y. 2025-2026 ]]*8</f>
        <v>0</v>
      </c>
      <c r="E178" s="34"/>
      <c r="F178" s="32"/>
      <c r="G178" s="34"/>
      <c r="H178" s="34">
        <f t="shared" si="64"/>
        <v>0</v>
      </c>
      <c r="I178" s="34">
        <f t="shared" si="65"/>
        <v>0</v>
      </c>
      <c r="J178" s="34">
        <f>Table1[[#This Row],[Enrolment S.Y. 2025-2026 ]]*8</f>
        <v>0</v>
      </c>
      <c r="K178" s="34"/>
      <c r="L178" s="32"/>
      <c r="M178" s="34"/>
      <c r="N178" s="34"/>
      <c r="O178" s="34"/>
      <c r="P178" s="34" t="e">
        <f>#REF!*8</f>
        <v>#REF!</v>
      </c>
      <c r="Q178" s="34"/>
      <c r="R178" s="32"/>
      <c r="S178" s="34"/>
      <c r="T178" s="34" t="e">
        <f t="shared" si="66"/>
        <v>#REF!</v>
      </c>
      <c r="U178" s="34" t="e">
        <f t="shared" si="67"/>
        <v>#REF!</v>
      </c>
      <c r="V178" s="34">
        <f>Table1[[#This Row],[Enrolment S.Y. 2025-2026 ]]*8</f>
        <v>0</v>
      </c>
      <c r="W178" s="34"/>
      <c r="X178" s="32"/>
      <c r="Y178" s="34"/>
      <c r="Z178" s="34">
        <f t="shared" si="68"/>
        <v>0</v>
      </c>
      <c r="AA178" s="34">
        <f t="shared" si="69"/>
        <v>0</v>
      </c>
    </row>
    <row r="179" spans="1:27" ht="18" hidden="1">
      <c r="A179" s="32"/>
      <c r="B179" s="33"/>
      <c r="C179" s="32"/>
      <c r="D179" s="34">
        <f>Table1[[#This Row],[Enrolment S.Y. 2025-2026 ]]*8</f>
        <v>0</v>
      </c>
      <c r="E179" s="34"/>
      <c r="F179" s="32"/>
      <c r="G179" s="34"/>
      <c r="H179" s="34">
        <f t="shared" si="64"/>
        <v>0</v>
      </c>
      <c r="I179" s="34">
        <f t="shared" si="65"/>
        <v>0</v>
      </c>
      <c r="J179" s="34">
        <f>Table1[[#This Row],[Enrolment S.Y. 2025-2026 ]]*8</f>
        <v>0</v>
      </c>
      <c r="K179" s="34"/>
      <c r="L179" s="32"/>
      <c r="M179" s="34"/>
      <c r="N179" s="34"/>
      <c r="O179" s="34"/>
      <c r="P179" s="34" t="e">
        <f>#REF!*8</f>
        <v>#REF!</v>
      </c>
      <c r="Q179" s="34"/>
      <c r="R179" s="32"/>
      <c r="S179" s="34"/>
      <c r="T179" s="34" t="e">
        <f t="shared" si="66"/>
        <v>#REF!</v>
      </c>
      <c r="U179" s="34" t="e">
        <f t="shared" si="67"/>
        <v>#REF!</v>
      </c>
      <c r="V179" s="34">
        <f>Table1[[#This Row],[Enrolment S.Y. 2025-2026 ]]*8</f>
        <v>0</v>
      </c>
      <c r="W179" s="34"/>
      <c r="X179" s="32"/>
      <c r="Y179" s="34"/>
      <c r="Z179" s="34">
        <f t="shared" si="68"/>
        <v>0</v>
      </c>
      <c r="AA179" s="34">
        <f t="shared" si="69"/>
        <v>0</v>
      </c>
    </row>
    <row r="180" spans="1:27" ht="18" hidden="1">
      <c r="A180" s="32"/>
      <c r="B180" s="33"/>
      <c r="C180" s="32"/>
      <c r="D180" s="34">
        <f>Table1[[#This Row],[Enrolment S.Y. 2025-2026 ]]*8</f>
        <v>0</v>
      </c>
      <c r="E180" s="34"/>
      <c r="F180" s="32"/>
      <c r="G180" s="34"/>
      <c r="H180" s="34">
        <f t="shared" si="64"/>
        <v>0</v>
      </c>
      <c r="I180" s="34">
        <f t="shared" si="65"/>
        <v>0</v>
      </c>
      <c r="J180" s="34">
        <f>Table1[[#This Row],[Enrolment S.Y. 2025-2026 ]]*8</f>
        <v>0</v>
      </c>
      <c r="K180" s="34"/>
      <c r="L180" s="32"/>
      <c r="M180" s="34"/>
      <c r="N180" s="34"/>
      <c r="O180" s="34"/>
      <c r="P180" s="34" t="e">
        <f>#REF!*8</f>
        <v>#REF!</v>
      </c>
      <c r="Q180" s="34"/>
      <c r="R180" s="32"/>
      <c r="S180" s="34"/>
      <c r="T180" s="34" t="e">
        <f t="shared" si="66"/>
        <v>#REF!</v>
      </c>
      <c r="U180" s="34" t="e">
        <f t="shared" si="67"/>
        <v>#REF!</v>
      </c>
      <c r="V180" s="34">
        <f>Table1[[#This Row],[Enrolment S.Y. 2025-2026 ]]*8</f>
        <v>0</v>
      </c>
      <c r="W180" s="34"/>
      <c r="X180" s="32"/>
      <c r="Y180" s="34"/>
      <c r="Z180" s="34">
        <f t="shared" si="68"/>
        <v>0</v>
      </c>
      <c r="AA180" s="34">
        <f t="shared" si="69"/>
        <v>0</v>
      </c>
    </row>
    <row r="181" spans="1:27" ht="18" hidden="1">
      <c r="A181" s="32"/>
      <c r="B181" s="42"/>
      <c r="C181" s="32"/>
      <c r="D181" s="34">
        <f>Table1[[#This Row],[Enrolment S.Y. 2025-2026 ]]*8</f>
        <v>0</v>
      </c>
      <c r="E181" s="34"/>
      <c r="F181" s="32"/>
      <c r="G181" s="34"/>
      <c r="H181" s="34">
        <f t="shared" si="64"/>
        <v>0</v>
      </c>
      <c r="I181" s="34">
        <f t="shared" si="65"/>
        <v>0</v>
      </c>
      <c r="J181" s="34">
        <f>Table1[[#This Row],[Enrolment S.Y. 2025-2026 ]]*8</f>
        <v>0</v>
      </c>
      <c r="K181" s="34"/>
      <c r="L181" s="32"/>
      <c r="M181" s="34"/>
      <c r="N181" s="34"/>
      <c r="O181" s="34"/>
      <c r="P181" s="34" t="e">
        <f>#REF!*8</f>
        <v>#REF!</v>
      </c>
      <c r="Q181" s="34"/>
      <c r="R181" s="32"/>
      <c r="S181" s="34"/>
      <c r="T181" s="34" t="e">
        <f t="shared" si="66"/>
        <v>#REF!</v>
      </c>
      <c r="U181" s="34" t="e">
        <f t="shared" si="67"/>
        <v>#REF!</v>
      </c>
      <c r="V181" s="34">
        <f>Table1[[#This Row],[Enrolment S.Y. 2025-2026 ]]*8</f>
        <v>0</v>
      </c>
      <c r="W181" s="34"/>
      <c r="X181" s="32"/>
      <c r="Y181" s="34"/>
      <c r="Z181" s="34">
        <f t="shared" si="68"/>
        <v>0</v>
      </c>
      <c r="AA181" s="34">
        <f t="shared" si="69"/>
        <v>0</v>
      </c>
    </row>
  </sheetData>
  <protectedRanges>
    <protectedRange sqref="C2:C3 C14:C21 C23:C31 C33:C41 C43:C51 C53:C61 C5:C12 C63:C71 C93:C101 C83:C91 C73:C81 C103:C134 C136:C18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34 H103:I134 Q103:R134 W103:X134 H136:I163 W136:X163 H14:I21 H23:I31 H6:I12 K6:L12 K33:L41 K43:L51 K53:L61 K63:L71 K73:L81 K83:L91 K93:L101 K103:L134 K136:L163 K14:L21 K23:L31 Q136:R162 P2:R2 V2:X3 T13:V163 J6:J163 D5:F12 N5:R12 T5:X12 N4:P4 T4:V4 J4 N3:R3 Y13 D136:F181 Z4:AA181 T164:X181 N163:R181 H164:L181 N13:P162" name="LAS"/>
    <protectedRange sqref="G2:I3 M2:O2 S2:U3 Y2:AA3 G5:G12 M5:M12 S4:S134 Y5:Y12 G14:G21 M14:M134 M3 Y14:Y134 G23:G31 G33:G41 G43:G51 G53:G61 G63:G71 G73:G81 G83:G91 G93:G101 G103:G134 Y136:Y181 S136:S181 M136:M181 G136:G181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36:S181 M136:M181 Y136:Y181 G136:G181" xr:uid="{8289B4A9-982E-4C7E-A8E2-4BF3404561DB}">
      <formula1>"CO,RO,SDO"</formula1>
    </dataValidation>
    <dataValidation type="list" allowBlank="1" showInputMessage="1" showErrorMessage="1" sqref="X163:X181 R163:R181 F163:F181 L163:L181" xr:uid="{4ECCD083-8EC4-42EE-B46C-B614411F330D}">
      <formula1>"2024,2025"</formula1>
    </dataValidation>
    <dataValidation type="list" allowBlank="1" showInputMessage="1" showErrorMessage="1" sqref="M14:M134 Y14:Y134 S4:S134 G5:G12 M5:M12 Y5:Y12 G14:G21 G23:G31 G33:G41 G43:G51 G53:G61 G63:G71 G73:G81 G83:G91 G93:G101 G103:G134" xr:uid="{5129D80C-83DF-45BE-B6AD-F21CA596CBA5}">
      <formula1>"CO,RO,SDO,LGU,SCHOOL"</formula1>
    </dataValidation>
    <dataValidation type="list" allowBlank="1" showInputMessage="1" showErrorMessage="1" sqref="D89 F136:F162 F103:F134 F93:F101 F83:F91 F73:F81 F63:F71 F53:F61 F43:F51 F33:F41 F23:F31 F14:F21 F5:F12 L136:L162 L103:L134 L93:L101 L83:L91 L73:L81 L63:L71 L53:L61 L43:L51 L33:L41 L23:L31 L14:L21 L5:L12 R136:R162 R103:R134 R93:R101 R83:R91 R73:R81 R63:R71 R53:R61 R43:R51 R33:R41 R23:R31 R14:R21 R5:R12 X136:X162 X103:X134 X93:X101 X83:X91 X73:X81 X63:X71 X53:X61 X43:X51 X33:X41 X23:X31 X14:X21 X5:X12" xr:uid="{110B16F3-FB37-42EF-BB42-8FC56A78F3AD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203"/>
  <sheetViews>
    <sheetView tabSelected="1" zoomScale="55" zoomScaleNormal="55" workbookViewId="0">
      <pane xSplit="2" topLeftCell="C171" activePane="topRight" state="frozen"/>
      <selection pane="topRight" activeCell="F53" activeCellId="47" sqref="F147:F173 F114:F145 F102:F112 F90:F100 F78:F88 F55:F76 F43:F52 F31:F41 F21:F29 F12:F19 F3:F10 L147:L173 L114:L145 L102:L112 L90:L100 L78:L88 L55:L76 L43:L52 L31:L41 L21:L29 L12:L19 L3:L10 R147:R173 R114:R145 R102:R112 R90:R100 R78:R88 R55:R76 R43:R52 R31:R41 R21:R29 R12:R19 R3:R10 X147:X173 X114:X145 X102:X112 X90:X100 X78:X88 X55:X76 X43:X52 X31:X41 X21:X29 X12:X19 X3:X10 L53 R53 X53 F5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4" t="s">
        <v>82</v>
      </c>
      <c r="E1" s="44"/>
      <c r="F1" s="44"/>
      <c r="G1" s="44"/>
      <c r="H1" s="44"/>
      <c r="I1" s="44"/>
      <c r="J1" s="45" t="s">
        <v>83</v>
      </c>
      <c r="K1" s="45"/>
      <c r="L1" s="45"/>
      <c r="M1" s="45"/>
      <c r="N1" s="45"/>
      <c r="O1" s="45"/>
      <c r="P1" s="46" t="s">
        <v>84</v>
      </c>
      <c r="Q1" s="46"/>
      <c r="R1" s="46"/>
      <c r="S1" s="46"/>
      <c r="T1" s="46"/>
      <c r="U1" s="46"/>
      <c r="V1" s="47" t="s">
        <v>85</v>
      </c>
      <c r="W1" s="47"/>
      <c r="X1" s="47"/>
      <c r="Y1" s="47"/>
      <c r="Z1" s="47"/>
      <c r="AA1" s="47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112</v>
      </c>
      <c r="E2" s="20" t="s">
        <v>113</v>
      </c>
      <c r="F2" s="21" t="s">
        <v>114</v>
      </c>
      <c r="G2" s="24" t="s">
        <v>115</v>
      </c>
      <c r="H2" s="17" t="s">
        <v>116</v>
      </c>
      <c r="I2" s="24" t="s">
        <v>117</v>
      </c>
      <c r="J2" s="22" t="s">
        <v>118</v>
      </c>
      <c r="K2" s="22" t="s">
        <v>119</v>
      </c>
      <c r="L2" s="23" t="s">
        <v>120</v>
      </c>
      <c r="M2" s="40" t="s">
        <v>121</v>
      </c>
      <c r="N2" s="40" t="s">
        <v>122</v>
      </c>
      <c r="O2" s="22" t="s">
        <v>123</v>
      </c>
      <c r="P2" s="24" t="s">
        <v>124</v>
      </c>
      <c r="Q2" s="24" t="s">
        <v>125</v>
      </c>
      <c r="R2" s="25" t="s">
        <v>126</v>
      </c>
      <c r="S2" s="17" t="s">
        <v>127</v>
      </c>
      <c r="T2" s="17" t="s">
        <v>128</v>
      </c>
      <c r="U2" s="24" t="s">
        <v>129</v>
      </c>
      <c r="V2" s="26" t="s">
        <v>130</v>
      </c>
      <c r="W2" s="26" t="s">
        <v>131</v>
      </c>
      <c r="X2" s="27" t="s">
        <v>132</v>
      </c>
      <c r="Y2" s="41" t="s">
        <v>133</v>
      </c>
      <c r="Z2" s="41" t="s">
        <v>134</v>
      </c>
      <c r="AA2" s="26" t="s">
        <v>135</v>
      </c>
    </row>
    <row r="3" spans="1:27" ht="38.2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2" si="0">IF((D3-E3)&lt;0,0,(D3-E3))</f>
        <v>0</v>
      </c>
      <c r="I3" s="5">
        <f t="shared" ref="I3:I82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9" si="2">IF((J3-K3)&lt;0,0,(J3-K3))</f>
        <v>0</v>
      </c>
      <c r="O3" s="5">
        <f t="shared" ref="O3:O69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1" si="4">IF((P3-Q3)&lt;0,0,(P3-Q3))</f>
        <v>0</v>
      </c>
      <c r="U3" s="5">
        <f t="shared" ref="U3:U71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1" si="6">IF((V3-W3)&lt;0,0,(V3-W3))</f>
        <v>0</v>
      </c>
      <c r="AA3" s="5">
        <f t="shared" ref="AA3:AA71" si="7">IF((W3-V3)&lt;0,0,(W3-V3))</f>
        <v>0</v>
      </c>
    </row>
    <row r="4" spans="1:27" ht="19.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111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111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111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7">
        <v>4</v>
      </c>
      <c r="B37" s="9" t="s">
        <v>136</v>
      </c>
      <c r="C37" s="1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137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7">
        <v>4</v>
      </c>
      <c r="B40" s="9" t="s">
        <v>138</v>
      </c>
      <c r="C40" s="1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139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7">
        <v>5</v>
      </c>
      <c r="B49" s="9" t="s">
        <v>136</v>
      </c>
      <c r="C49" s="1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137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7">
        <v>5</v>
      </c>
      <c r="B52" s="9" t="s">
        <v>138</v>
      </c>
      <c r="C52" s="1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139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7">
        <v>6</v>
      </c>
      <c r="B61" s="9" t="s">
        <v>136</v>
      </c>
      <c r="C61" s="1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137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7">
        <v>6</v>
      </c>
      <c r="B64" s="9" t="s">
        <v>138</v>
      </c>
      <c r="C64" s="1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139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ht="19.5">
      <c r="A66" s="10">
        <v>7</v>
      </c>
      <c r="B66" s="11" t="s">
        <v>14</v>
      </c>
      <c r="C66" s="10">
        <v>1912</v>
      </c>
      <c r="D66" s="12">
        <f>Table14[[#This Row],[Enrolment S.Y. 2025-2026 ]]*8</f>
        <v>15296</v>
      </c>
      <c r="E66" s="12"/>
      <c r="F66" s="10"/>
      <c r="G66" s="12"/>
      <c r="H66" s="12">
        <f>IF((D66-E66)&lt;0,0,(D66-E66))</f>
        <v>15296</v>
      </c>
      <c r="I66" s="12">
        <f t="shared" si="1"/>
        <v>0</v>
      </c>
      <c r="J66" s="12">
        <f>Table14[[#This Row],[Enrolment S.Y. 2025-2026 ]]*8</f>
        <v>15296</v>
      </c>
      <c r="K66" s="12"/>
      <c r="L66" s="10"/>
      <c r="M66" s="12"/>
      <c r="N66" s="12">
        <f t="shared" si="2"/>
        <v>15296</v>
      </c>
      <c r="O66" s="12">
        <f t="shared" si="3"/>
        <v>0</v>
      </c>
      <c r="P66" s="12">
        <f>Table14[[#This Row],[Enrolment S.Y. 2025-2026 ]]*8</f>
        <v>15296</v>
      </c>
      <c r="Q66" s="12"/>
      <c r="R66" s="10"/>
      <c r="S66" s="12"/>
      <c r="T66" s="12">
        <f t="shared" si="4"/>
        <v>15296</v>
      </c>
      <c r="U66" s="12">
        <f t="shared" si="5"/>
        <v>0</v>
      </c>
      <c r="V66" s="12">
        <f>Table14[[#This Row],[Enrolment S.Y. 2025-2026 ]]*8</f>
        <v>15296</v>
      </c>
      <c r="W66" s="12"/>
      <c r="X66" s="10"/>
      <c r="Y66" s="12"/>
      <c r="Z66" s="12">
        <f t="shared" si="6"/>
        <v>15296</v>
      </c>
      <c r="AA66" s="12">
        <f t="shared" si="7"/>
        <v>0</v>
      </c>
    </row>
    <row r="67" spans="1:27" ht="19.5">
      <c r="A67" s="10">
        <v>7</v>
      </c>
      <c r="B67" s="11" t="s">
        <v>15</v>
      </c>
      <c r="C67" s="10">
        <v>1912</v>
      </c>
      <c r="D67" s="12">
        <f>Table14[[#This Row],[Enrolment S.Y. 2025-2026 ]]*8</f>
        <v>15296</v>
      </c>
      <c r="E67" s="12"/>
      <c r="F67" s="10"/>
      <c r="G67" s="12"/>
      <c r="H67" s="12">
        <f t="shared" si="0"/>
        <v>15296</v>
      </c>
      <c r="I67" s="12">
        <f t="shared" si="1"/>
        <v>0</v>
      </c>
      <c r="J67" s="12">
        <f>Table14[[#This Row],[Enrolment S.Y. 2025-2026 ]]*8</f>
        <v>15296</v>
      </c>
      <c r="K67" s="12"/>
      <c r="L67" s="10"/>
      <c r="M67" s="12"/>
      <c r="N67" s="12">
        <f t="shared" si="2"/>
        <v>15296</v>
      </c>
      <c r="O67" s="12">
        <f t="shared" si="3"/>
        <v>0</v>
      </c>
      <c r="P67" s="12">
        <f>Table14[[#This Row],[Enrolment S.Y. 2025-2026 ]]*8</f>
        <v>15296</v>
      </c>
      <c r="Q67" s="12"/>
      <c r="R67" s="10"/>
      <c r="S67" s="12"/>
      <c r="T67" s="12">
        <f t="shared" si="4"/>
        <v>15296</v>
      </c>
      <c r="U67" s="12">
        <f t="shared" si="5"/>
        <v>0</v>
      </c>
      <c r="V67" s="12">
        <f>Table14[[#This Row],[Enrolment S.Y. 2025-2026 ]]*8</f>
        <v>15296</v>
      </c>
      <c r="W67" s="12"/>
      <c r="X67" s="10"/>
      <c r="Y67" s="12"/>
      <c r="Z67" s="12">
        <f t="shared" si="6"/>
        <v>15296</v>
      </c>
      <c r="AA67" s="12">
        <f t="shared" si="7"/>
        <v>0</v>
      </c>
    </row>
    <row r="68" spans="1:27" ht="19.5">
      <c r="A68" s="10">
        <v>7</v>
      </c>
      <c r="B68" s="11" t="s">
        <v>12</v>
      </c>
      <c r="C68" s="10">
        <v>1912</v>
      </c>
      <c r="D68" s="12">
        <f>Table14[[#This Row],[Enrolment S.Y. 2025-2026 ]]*8</f>
        <v>15296</v>
      </c>
      <c r="E68" s="12"/>
      <c r="F68" s="10"/>
      <c r="G68" s="12"/>
      <c r="H68" s="12">
        <f t="shared" si="0"/>
        <v>15296</v>
      </c>
      <c r="I68" s="12">
        <f t="shared" si="1"/>
        <v>0</v>
      </c>
      <c r="J68" s="12">
        <f>Table14[[#This Row],[Enrolment S.Y. 2025-2026 ]]*8</f>
        <v>15296</v>
      </c>
      <c r="K68" s="12"/>
      <c r="L68" s="10"/>
      <c r="M68" s="12"/>
      <c r="N68" s="12">
        <f t="shared" si="2"/>
        <v>15296</v>
      </c>
      <c r="O68" s="12">
        <f t="shared" si="3"/>
        <v>0</v>
      </c>
      <c r="P68" s="12">
        <f>Table14[[#This Row],[Enrolment S.Y. 2025-2026 ]]*8</f>
        <v>15296</v>
      </c>
      <c r="Q68" s="12"/>
      <c r="R68" s="10"/>
      <c r="S68" s="12"/>
      <c r="T68" s="12">
        <f t="shared" si="4"/>
        <v>15296</v>
      </c>
      <c r="U68" s="12">
        <f t="shared" si="5"/>
        <v>0</v>
      </c>
      <c r="V68" s="12">
        <f>Table14[[#This Row],[Enrolment S.Y. 2025-2026 ]]*8</f>
        <v>15296</v>
      </c>
      <c r="W68" s="12"/>
      <c r="X68" s="10"/>
      <c r="Y68" s="12"/>
      <c r="Z68" s="12">
        <f t="shared" si="6"/>
        <v>15296</v>
      </c>
      <c r="AA68" s="12">
        <f t="shared" si="7"/>
        <v>0</v>
      </c>
    </row>
    <row r="69" spans="1:27" ht="19.5">
      <c r="A69" s="10">
        <v>7</v>
      </c>
      <c r="B69" s="11" t="s">
        <v>21</v>
      </c>
      <c r="C69" s="10">
        <v>1912</v>
      </c>
      <c r="D69" s="12">
        <f>Table14[[#This Row],[Enrolment S.Y. 2025-2026 ]]*8</f>
        <v>15296</v>
      </c>
      <c r="E69" s="12"/>
      <c r="F69" s="10"/>
      <c r="G69" s="12"/>
      <c r="H69" s="12">
        <f t="shared" si="0"/>
        <v>15296</v>
      </c>
      <c r="I69" s="12">
        <f t="shared" si="1"/>
        <v>0</v>
      </c>
      <c r="J69" s="12">
        <f>Table14[[#This Row],[Enrolment S.Y. 2025-2026 ]]*8</f>
        <v>15296</v>
      </c>
      <c r="K69" s="12"/>
      <c r="L69" s="10"/>
      <c r="M69" s="12"/>
      <c r="N69" s="12">
        <f t="shared" si="2"/>
        <v>15296</v>
      </c>
      <c r="O69" s="12">
        <f t="shared" si="3"/>
        <v>0</v>
      </c>
      <c r="P69" s="12">
        <f>Table14[[#This Row],[Enrolment S.Y. 2025-2026 ]]*8</f>
        <v>15296</v>
      </c>
      <c r="Q69" s="12"/>
      <c r="R69" s="10"/>
      <c r="S69" s="12"/>
      <c r="T69" s="12">
        <f t="shared" si="4"/>
        <v>15296</v>
      </c>
      <c r="U69" s="12">
        <f t="shared" si="5"/>
        <v>0</v>
      </c>
      <c r="V69" s="12">
        <f>Table14[[#This Row],[Enrolment S.Y. 2025-2026 ]]*8</f>
        <v>15296</v>
      </c>
      <c r="W69" s="12"/>
      <c r="X69" s="10"/>
      <c r="Y69" s="12"/>
      <c r="Z69" s="12">
        <f t="shared" si="6"/>
        <v>15296</v>
      </c>
      <c r="AA69" s="12">
        <f t="shared" si="7"/>
        <v>0</v>
      </c>
    </row>
    <row r="70" spans="1:27" ht="38.25">
      <c r="A70" s="10">
        <v>7</v>
      </c>
      <c r="B70" s="11" t="s">
        <v>16</v>
      </c>
      <c r="C70" s="10">
        <v>1912</v>
      </c>
      <c r="D70" s="12">
        <f>Table14[[#This Row],[Enrolment S.Y. 2025-2026 ]]*8</f>
        <v>15296</v>
      </c>
      <c r="E70" s="12"/>
      <c r="F70" s="10"/>
      <c r="G70" s="12"/>
      <c r="H70" s="12">
        <f t="shared" si="0"/>
        <v>15296</v>
      </c>
      <c r="I70" s="12">
        <f t="shared" si="1"/>
        <v>0</v>
      </c>
      <c r="J70" s="12">
        <f>Table14[[#This Row],[Enrolment S.Y. 2025-2026 ]]*8</f>
        <v>15296</v>
      </c>
      <c r="K70" s="12"/>
      <c r="L70" s="10"/>
      <c r="M70" s="12"/>
      <c r="N70" s="12">
        <f t="shared" ref="N70:N76" si="14">IF((J70-K70)&lt;0,0,(J70-K70))</f>
        <v>15296</v>
      </c>
      <c r="O70" s="12">
        <f t="shared" ref="O70:O76" si="15">IF((K70-J70)&lt;0,0,(K70-J70))</f>
        <v>0</v>
      </c>
      <c r="P70" s="12">
        <f>Table14[[#This Row],[Enrolment S.Y. 2025-2026 ]]*8</f>
        <v>15296</v>
      </c>
      <c r="Q70" s="12"/>
      <c r="R70" s="10"/>
      <c r="S70" s="12"/>
      <c r="T70" s="12">
        <f t="shared" si="4"/>
        <v>15296</v>
      </c>
      <c r="U70" s="12">
        <f t="shared" si="5"/>
        <v>0</v>
      </c>
      <c r="V70" s="12">
        <f>Table14[[#This Row],[Enrolment S.Y. 2025-2026 ]]*8</f>
        <v>15296</v>
      </c>
      <c r="W70" s="12"/>
      <c r="X70" s="10"/>
      <c r="Y70" s="12"/>
      <c r="Z70" s="12">
        <f t="shared" si="6"/>
        <v>15296</v>
      </c>
      <c r="AA70" s="12">
        <f t="shared" si="7"/>
        <v>0</v>
      </c>
    </row>
    <row r="71" spans="1:27" ht="19.5">
      <c r="A71" s="10">
        <v>7</v>
      </c>
      <c r="B71" s="11" t="s">
        <v>13</v>
      </c>
      <c r="C71" s="10">
        <v>1912</v>
      </c>
      <c r="D71" s="12">
        <f>Table14[[#This Row],[Enrolment S.Y. 2025-2026 ]]*8</f>
        <v>15296</v>
      </c>
      <c r="E71" s="12"/>
      <c r="F71" s="10"/>
      <c r="G71" s="12"/>
      <c r="H71" s="12">
        <f t="shared" si="0"/>
        <v>15296</v>
      </c>
      <c r="I71" s="12">
        <f t="shared" si="1"/>
        <v>0</v>
      </c>
      <c r="J71" s="12">
        <f>Table14[[#This Row],[Enrolment S.Y. 2025-2026 ]]*8</f>
        <v>15296</v>
      </c>
      <c r="K71" s="12"/>
      <c r="L71" s="10"/>
      <c r="M71" s="12"/>
      <c r="N71" s="12">
        <f t="shared" si="14"/>
        <v>15296</v>
      </c>
      <c r="O71" s="12">
        <f t="shared" si="15"/>
        <v>0</v>
      </c>
      <c r="P71" s="12">
        <f>Table14[[#This Row],[Enrolment S.Y. 2025-2026 ]]*8</f>
        <v>15296</v>
      </c>
      <c r="Q71" s="12"/>
      <c r="R71" s="10"/>
      <c r="S71" s="12"/>
      <c r="T71" s="12">
        <f t="shared" si="4"/>
        <v>15296</v>
      </c>
      <c r="U71" s="12">
        <f t="shared" si="5"/>
        <v>0</v>
      </c>
      <c r="V71" s="12">
        <f>Table14[[#This Row],[Enrolment S.Y. 2025-2026 ]]*8</f>
        <v>15296</v>
      </c>
      <c r="W71" s="12"/>
      <c r="X71" s="10"/>
      <c r="Y71" s="12"/>
      <c r="Z71" s="12">
        <f t="shared" si="6"/>
        <v>15296</v>
      </c>
      <c r="AA71" s="12">
        <f t="shared" si="7"/>
        <v>0</v>
      </c>
    </row>
    <row r="72" spans="1:27" ht="19.5">
      <c r="A72" s="38">
        <v>7</v>
      </c>
      <c r="B72" s="11" t="s">
        <v>136</v>
      </c>
      <c r="C72" s="10">
        <v>1912</v>
      </c>
      <c r="D72" s="12">
        <f>Table14[[#This Row],[Enrolment S.Y. 2025-2026 ]]*8</f>
        <v>15296</v>
      </c>
      <c r="E72" s="12"/>
      <c r="F72" s="10"/>
      <c r="G72" s="12"/>
      <c r="H72" s="12">
        <f>IF((D72-E72)&lt;0,0,(D72-E72))</f>
        <v>15296</v>
      </c>
      <c r="I72" s="12">
        <f>IF((E72-D72)&lt;0,0,(E72-D72))</f>
        <v>0</v>
      </c>
      <c r="J72" s="12">
        <f>Table14[[#This Row],[Enrolment S.Y. 2025-2026 ]]*8</f>
        <v>15296</v>
      </c>
      <c r="K72" s="12"/>
      <c r="L72" s="10"/>
      <c r="M72" s="12"/>
      <c r="N72" s="12">
        <f t="shared" si="14"/>
        <v>15296</v>
      </c>
      <c r="O72" s="12">
        <f t="shared" si="15"/>
        <v>0</v>
      </c>
      <c r="P72" s="12">
        <f>Table14[[#This Row],[Enrolment S.Y. 2025-2026 ]]*8</f>
        <v>15296</v>
      </c>
      <c r="Q72" s="12"/>
      <c r="R72" s="10"/>
      <c r="S72" s="12"/>
      <c r="T72" s="12">
        <f>IF((P72-Q72)&lt;0,0,(P72-Q72))</f>
        <v>15296</v>
      </c>
      <c r="U72" s="12">
        <f>IF((Q72-P72)&lt;0,0,(Q72-P72))</f>
        <v>0</v>
      </c>
      <c r="V72" s="12">
        <f>Table14[[#This Row],[Enrolment S.Y. 2025-2026 ]]*8</f>
        <v>15296</v>
      </c>
      <c r="W72" s="12"/>
      <c r="X72" s="10"/>
      <c r="Y72" s="12"/>
      <c r="Z72" s="12">
        <f>IF((V72-W72)&lt;0,0,(V72-W72))</f>
        <v>15296</v>
      </c>
      <c r="AA72" s="12">
        <f>IF((W72-V72)&lt;0,0,(W72-V72))</f>
        <v>0</v>
      </c>
    </row>
    <row r="73" spans="1:27" ht="19.5">
      <c r="A73" s="10">
        <v>7</v>
      </c>
      <c r="B73" s="11" t="s">
        <v>137</v>
      </c>
      <c r="C73" s="10">
        <v>1912</v>
      </c>
      <c r="D73" s="12">
        <f>Table14[[#This Row],[Enrolment S.Y. 2025-2026 ]]*8</f>
        <v>15296</v>
      </c>
      <c r="E73" s="12"/>
      <c r="F73" s="10"/>
      <c r="G73" s="12"/>
      <c r="H73" s="12">
        <f t="shared" si="0"/>
        <v>15296</v>
      </c>
      <c r="I73" s="12">
        <f t="shared" si="1"/>
        <v>0</v>
      </c>
      <c r="J73" s="12">
        <f>Table14[[#This Row],[Enrolment S.Y. 2025-2026 ]]*8</f>
        <v>15296</v>
      </c>
      <c r="K73" s="12"/>
      <c r="L73" s="10"/>
      <c r="M73" s="12"/>
      <c r="N73" s="12">
        <f t="shared" si="14"/>
        <v>15296</v>
      </c>
      <c r="O73" s="12">
        <f t="shared" si="15"/>
        <v>0</v>
      </c>
      <c r="P73" s="12">
        <f>Table14[[#This Row],[Enrolment S.Y. 2025-2026 ]]*8</f>
        <v>15296</v>
      </c>
      <c r="Q73" s="12"/>
      <c r="R73" s="10"/>
      <c r="S73" s="12"/>
      <c r="T73" s="12">
        <f t="shared" ref="T73:T121" si="16">IF((P73-Q73)&lt;0,0,(P73-Q73))</f>
        <v>15296</v>
      </c>
      <c r="U73" s="12">
        <f t="shared" ref="U73:U121" si="17">IF((Q73-P73)&lt;0,0,(Q73-P73))</f>
        <v>0</v>
      </c>
      <c r="V73" s="12">
        <f>Table14[[#This Row],[Enrolment S.Y. 2025-2026 ]]*8</f>
        <v>15296</v>
      </c>
      <c r="W73" s="12"/>
      <c r="X73" s="10"/>
      <c r="Y73" s="12"/>
      <c r="Z73" s="12">
        <f t="shared" ref="Z73:Z121" si="18">IF((V73-W73)&lt;0,0,(V73-W73))</f>
        <v>15296</v>
      </c>
      <c r="AA73" s="12">
        <f t="shared" ref="AA73:AA121" si="19">IF((W73-V73)&lt;0,0,(W73-V73))</f>
        <v>0</v>
      </c>
    </row>
    <row r="74" spans="1:27" ht="19.5">
      <c r="A74" s="10">
        <v>7</v>
      </c>
      <c r="B74" s="11" t="s">
        <v>22</v>
      </c>
      <c r="C74" s="10">
        <v>1912</v>
      </c>
      <c r="D74" s="12">
        <f>Table14[[#This Row],[Enrolment S.Y. 2025-2026 ]]*8</f>
        <v>15296</v>
      </c>
      <c r="E74" s="12"/>
      <c r="F74" s="10"/>
      <c r="G74" s="12"/>
      <c r="H74" s="12">
        <f t="shared" si="0"/>
        <v>15296</v>
      </c>
      <c r="I74" s="12">
        <f t="shared" si="1"/>
        <v>0</v>
      </c>
      <c r="J74" s="12">
        <f>Table14[[#This Row],[Enrolment S.Y. 2025-2026 ]]*8</f>
        <v>15296</v>
      </c>
      <c r="K74" s="12"/>
      <c r="L74" s="10"/>
      <c r="M74" s="12"/>
      <c r="N74" s="12">
        <f t="shared" si="14"/>
        <v>15296</v>
      </c>
      <c r="O74" s="12">
        <f t="shared" si="15"/>
        <v>0</v>
      </c>
      <c r="P74" s="12">
        <f>Table14[[#This Row],[Enrolment S.Y. 2025-2026 ]]*8</f>
        <v>15296</v>
      </c>
      <c r="Q74" s="12"/>
      <c r="R74" s="10"/>
      <c r="S74" s="12"/>
      <c r="T74" s="12">
        <f t="shared" si="16"/>
        <v>15296</v>
      </c>
      <c r="U74" s="12">
        <f t="shared" si="17"/>
        <v>0</v>
      </c>
      <c r="V74" s="12">
        <f>Table14[[#This Row],[Enrolment S.Y. 2025-2026 ]]*8</f>
        <v>15296</v>
      </c>
      <c r="W74" s="12"/>
      <c r="X74" s="10"/>
      <c r="Y74" s="12"/>
      <c r="Z74" s="12">
        <f t="shared" si="18"/>
        <v>15296</v>
      </c>
      <c r="AA74" s="12">
        <f t="shared" si="19"/>
        <v>0</v>
      </c>
    </row>
    <row r="75" spans="1:27" ht="19.5">
      <c r="A75" s="38">
        <v>7</v>
      </c>
      <c r="B75" s="11" t="s">
        <v>138</v>
      </c>
      <c r="C75" s="10">
        <v>1912</v>
      </c>
      <c r="D75" s="12">
        <f>Table14[[#This Row],[Enrolment S.Y. 2025-2026 ]]*8</f>
        <v>15296</v>
      </c>
      <c r="E75" s="12"/>
      <c r="F75" s="10"/>
      <c r="G75" s="12"/>
      <c r="H75" s="12">
        <f>IF((D75-E75)&lt;0,0,(D75-E75))</f>
        <v>15296</v>
      </c>
      <c r="I75" s="12">
        <f>IF((E75-D75)&lt;0,0,(E75-D75))</f>
        <v>0</v>
      </c>
      <c r="J75" s="12">
        <f>Table14[[#This Row],[Enrolment S.Y. 2025-2026 ]]*8</f>
        <v>15296</v>
      </c>
      <c r="K75" s="12"/>
      <c r="L75" s="10"/>
      <c r="M75" s="12"/>
      <c r="N75" s="12">
        <f t="shared" si="14"/>
        <v>15296</v>
      </c>
      <c r="O75" s="12">
        <f t="shared" si="15"/>
        <v>0</v>
      </c>
      <c r="P75" s="12">
        <f>Table14[[#This Row],[Enrolment S.Y. 2025-2026 ]]*8</f>
        <v>15296</v>
      </c>
      <c r="Q75" s="12"/>
      <c r="R75" s="10"/>
      <c r="S75" s="12"/>
      <c r="T75" s="12">
        <f>IF((P75-Q75)&lt;0,0,(P75-Q75))</f>
        <v>15296</v>
      </c>
      <c r="U75" s="12">
        <f>IF((Q75-P75)&lt;0,0,(Q75-P75))</f>
        <v>0</v>
      </c>
      <c r="V75" s="12">
        <f>Table14[[#This Row],[Enrolment S.Y. 2025-2026 ]]*8</f>
        <v>15296</v>
      </c>
      <c r="W75" s="12"/>
      <c r="X75" s="10"/>
      <c r="Y75" s="12"/>
      <c r="Z75" s="12">
        <f>IF((V75-W75)&lt;0,0,(V75-W75))</f>
        <v>15296</v>
      </c>
      <c r="AA75" s="12">
        <f>IF((W75-V75)&lt;0,0,(W75-V75))</f>
        <v>0</v>
      </c>
    </row>
    <row r="76" spans="1:27" ht="19.5">
      <c r="A76" s="10">
        <v>7</v>
      </c>
      <c r="B76" s="11" t="s">
        <v>139</v>
      </c>
      <c r="C76" s="10">
        <v>1912</v>
      </c>
      <c r="D76" s="12">
        <f>Table14[[#This Row],[Enrolment S.Y. 2025-2026 ]]*8</f>
        <v>15296</v>
      </c>
      <c r="E76" s="12"/>
      <c r="F76" s="10"/>
      <c r="G76" s="12"/>
      <c r="H76" s="12">
        <f t="shared" si="0"/>
        <v>15296</v>
      </c>
      <c r="I76" s="12">
        <f t="shared" si="1"/>
        <v>0</v>
      </c>
      <c r="J76" s="12">
        <f>Table14[[#This Row],[Enrolment S.Y. 2025-2026 ]]*8</f>
        <v>15296</v>
      </c>
      <c r="K76" s="12"/>
      <c r="L76" s="10"/>
      <c r="M76" s="12"/>
      <c r="N76" s="12">
        <f t="shared" si="14"/>
        <v>15296</v>
      </c>
      <c r="O76" s="12">
        <f t="shared" si="15"/>
        <v>0</v>
      </c>
      <c r="P76" s="12">
        <f>Table14[[#This Row],[Enrolment S.Y. 2025-2026 ]]*8</f>
        <v>15296</v>
      </c>
      <c r="Q76" s="12"/>
      <c r="R76" s="10"/>
      <c r="S76" s="12"/>
      <c r="T76" s="12">
        <f t="shared" si="16"/>
        <v>15296</v>
      </c>
      <c r="U76" s="12">
        <f t="shared" si="17"/>
        <v>0</v>
      </c>
      <c r="V76" s="12">
        <f>Table14[[#This Row],[Enrolment S.Y. 2025-2026 ]]*8</f>
        <v>15296</v>
      </c>
      <c r="W76" s="12"/>
      <c r="X76" s="10"/>
      <c r="Y76" s="12"/>
      <c r="Z76" s="12">
        <f t="shared" si="18"/>
        <v>15296</v>
      </c>
      <c r="AA76" s="12">
        <f t="shared" si="19"/>
        <v>0</v>
      </c>
    </row>
    <row r="77" spans="1:27" s="7" customFormat="1"/>
    <row r="78" spans="1:27" ht="19.5">
      <c r="A78" s="10">
        <v>8</v>
      </c>
      <c r="B78" s="11" t="s">
        <v>14</v>
      </c>
      <c r="C78" s="10">
        <v>1970</v>
      </c>
      <c r="D78" s="12">
        <f>Table14[[#This Row],[Enrolment S.Y. 2025-2026 ]]*8</f>
        <v>15760</v>
      </c>
      <c r="E78" s="12"/>
      <c r="F78" s="10"/>
      <c r="G78" s="12"/>
      <c r="H78" s="12">
        <f t="shared" si="0"/>
        <v>15760</v>
      </c>
      <c r="I78" s="12">
        <f t="shared" si="1"/>
        <v>0</v>
      </c>
      <c r="J78" s="12">
        <f>Table14[[#This Row],[Enrolment S.Y. 2025-2026 ]]*8</f>
        <v>15760</v>
      </c>
      <c r="K78" s="12"/>
      <c r="L78" s="10"/>
      <c r="M78" s="12"/>
      <c r="N78" s="12">
        <f t="shared" ref="N73:N121" si="20">IF((J78-K78)&lt;0,0,(J78-K78))</f>
        <v>15760</v>
      </c>
      <c r="O78" s="12">
        <f t="shared" ref="O73:O121" si="21">IF((K78-J78)&lt;0,0,(K78-J78))</f>
        <v>0</v>
      </c>
      <c r="P78" s="12">
        <f>Table14[[#This Row],[Enrolment S.Y. 2025-2026 ]]*8</f>
        <v>15760</v>
      </c>
      <c r="Q78" s="12"/>
      <c r="R78" s="10"/>
      <c r="S78" s="12"/>
      <c r="T78" s="12">
        <f t="shared" si="16"/>
        <v>15760</v>
      </c>
      <c r="U78" s="12">
        <f t="shared" si="17"/>
        <v>0</v>
      </c>
      <c r="V78" s="12">
        <f>Table14[[#This Row],[Enrolment S.Y. 2025-2026 ]]*8</f>
        <v>15760</v>
      </c>
      <c r="W78" s="12"/>
      <c r="X78" s="10"/>
      <c r="Y78" s="12"/>
      <c r="Z78" s="12">
        <f t="shared" si="18"/>
        <v>15760</v>
      </c>
      <c r="AA78" s="12">
        <f t="shared" si="19"/>
        <v>0</v>
      </c>
    </row>
    <row r="79" spans="1:27" ht="19.5">
      <c r="A79" s="10">
        <v>8</v>
      </c>
      <c r="B79" s="11" t="s">
        <v>15</v>
      </c>
      <c r="C79" s="10">
        <v>1970</v>
      </c>
      <c r="D79" s="12">
        <f>Table14[[#This Row],[Enrolment S.Y. 2025-2026 ]]*8</f>
        <v>15760</v>
      </c>
      <c r="E79" s="12"/>
      <c r="F79" s="10"/>
      <c r="G79" s="12"/>
      <c r="H79" s="12">
        <f t="shared" si="0"/>
        <v>15760</v>
      </c>
      <c r="I79" s="12">
        <f t="shared" si="1"/>
        <v>0</v>
      </c>
      <c r="J79" s="12">
        <f>Table14[[#This Row],[Enrolment S.Y. 2025-2026 ]]*8</f>
        <v>15760</v>
      </c>
      <c r="K79" s="12"/>
      <c r="L79" s="10"/>
      <c r="M79" s="12"/>
      <c r="N79" s="12">
        <f t="shared" si="20"/>
        <v>15760</v>
      </c>
      <c r="O79" s="12">
        <f t="shared" si="21"/>
        <v>0</v>
      </c>
      <c r="P79" s="12">
        <f>Table14[[#This Row],[Enrolment S.Y. 2025-2026 ]]*8</f>
        <v>15760</v>
      </c>
      <c r="Q79" s="12"/>
      <c r="R79" s="10"/>
      <c r="S79" s="12"/>
      <c r="T79" s="12">
        <f t="shared" si="16"/>
        <v>15760</v>
      </c>
      <c r="U79" s="12">
        <f t="shared" si="17"/>
        <v>0</v>
      </c>
      <c r="V79" s="12">
        <f>Table14[[#This Row],[Enrolment S.Y. 2025-2026 ]]*8</f>
        <v>15760</v>
      </c>
      <c r="W79" s="12"/>
      <c r="X79" s="10"/>
      <c r="Y79" s="12"/>
      <c r="Z79" s="12">
        <f t="shared" si="18"/>
        <v>15760</v>
      </c>
      <c r="AA79" s="12">
        <f t="shared" si="19"/>
        <v>0</v>
      </c>
    </row>
    <row r="80" spans="1:27" ht="19.5">
      <c r="A80" s="10">
        <v>8</v>
      </c>
      <c r="B80" s="11" t="s">
        <v>12</v>
      </c>
      <c r="C80" s="10">
        <v>1970</v>
      </c>
      <c r="D80" s="12">
        <f>Table14[[#This Row],[Enrolment S.Y. 2025-2026 ]]*8</f>
        <v>15760</v>
      </c>
      <c r="E80" s="12"/>
      <c r="F80" s="10"/>
      <c r="G80" s="12"/>
      <c r="H80" s="12">
        <f t="shared" si="0"/>
        <v>15760</v>
      </c>
      <c r="I80" s="12">
        <f t="shared" si="1"/>
        <v>0</v>
      </c>
      <c r="J80" s="12">
        <f>Table14[[#This Row],[Enrolment S.Y. 2025-2026 ]]*8</f>
        <v>15760</v>
      </c>
      <c r="K80" s="12"/>
      <c r="L80" s="10"/>
      <c r="M80" s="12"/>
      <c r="N80" s="12">
        <f t="shared" si="20"/>
        <v>15760</v>
      </c>
      <c r="O80" s="12">
        <f t="shared" si="21"/>
        <v>0</v>
      </c>
      <c r="P80" s="12">
        <f>Table14[[#This Row],[Enrolment S.Y. 2025-2026 ]]*8</f>
        <v>15760</v>
      </c>
      <c r="Q80" s="12"/>
      <c r="R80" s="10"/>
      <c r="S80" s="12"/>
      <c r="T80" s="12">
        <f t="shared" si="16"/>
        <v>15760</v>
      </c>
      <c r="U80" s="12">
        <f t="shared" si="17"/>
        <v>0</v>
      </c>
      <c r="V80" s="12">
        <f>Table14[[#This Row],[Enrolment S.Y. 2025-2026 ]]*8</f>
        <v>15760</v>
      </c>
      <c r="W80" s="12"/>
      <c r="X80" s="10"/>
      <c r="Y80" s="12"/>
      <c r="Z80" s="12">
        <f t="shared" si="18"/>
        <v>15760</v>
      </c>
      <c r="AA80" s="12">
        <f t="shared" si="19"/>
        <v>0</v>
      </c>
    </row>
    <row r="81" spans="1:27" ht="19.5">
      <c r="A81" s="10">
        <v>8</v>
      </c>
      <c r="B81" s="11" t="s">
        <v>21</v>
      </c>
      <c r="C81" s="10">
        <v>1970</v>
      </c>
      <c r="D81" s="12">
        <f>Table14[[#This Row],[Enrolment S.Y. 2025-2026 ]]*8</f>
        <v>15760</v>
      </c>
      <c r="E81" s="12"/>
      <c r="F81" s="10"/>
      <c r="G81" s="12"/>
      <c r="H81" s="12">
        <f t="shared" si="0"/>
        <v>15760</v>
      </c>
      <c r="I81" s="12">
        <f t="shared" si="1"/>
        <v>0</v>
      </c>
      <c r="J81" s="12">
        <f>Table14[[#This Row],[Enrolment S.Y. 2025-2026 ]]*8</f>
        <v>15760</v>
      </c>
      <c r="K81" s="12"/>
      <c r="L81" s="10"/>
      <c r="M81" s="12"/>
      <c r="N81" s="12">
        <f t="shared" si="20"/>
        <v>15760</v>
      </c>
      <c r="O81" s="12">
        <f t="shared" si="21"/>
        <v>0</v>
      </c>
      <c r="P81" s="12">
        <f>Table14[[#This Row],[Enrolment S.Y. 2025-2026 ]]*8</f>
        <v>15760</v>
      </c>
      <c r="Q81" s="12"/>
      <c r="R81" s="10"/>
      <c r="S81" s="12"/>
      <c r="T81" s="12">
        <f t="shared" si="16"/>
        <v>15760</v>
      </c>
      <c r="U81" s="12">
        <f t="shared" si="17"/>
        <v>0</v>
      </c>
      <c r="V81" s="12">
        <f>Table14[[#This Row],[Enrolment S.Y. 2025-2026 ]]*8</f>
        <v>15760</v>
      </c>
      <c r="W81" s="12"/>
      <c r="X81" s="10"/>
      <c r="Y81" s="12"/>
      <c r="Z81" s="12">
        <f t="shared" si="18"/>
        <v>15760</v>
      </c>
      <c r="AA81" s="12">
        <f t="shared" si="19"/>
        <v>0</v>
      </c>
    </row>
    <row r="82" spans="1:27" ht="19.5">
      <c r="A82" s="10">
        <v>8</v>
      </c>
      <c r="B82" s="11" t="s">
        <v>23</v>
      </c>
      <c r="C82" s="10">
        <v>1970</v>
      </c>
      <c r="D82" s="12">
        <f>Table14[[#This Row],[Enrolment S.Y. 2025-2026 ]]*8</f>
        <v>15760</v>
      </c>
      <c r="E82" s="12"/>
      <c r="F82" s="10"/>
      <c r="G82" s="12"/>
      <c r="H82" s="12">
        <f t="shared" si="0"/>
        <v>15760</v>
      </c>
      <c r="I82" s="12">
        <f t="shared" si="1"/>
        <v>0</v>
      </c>
      <c r="J82" s="12">
        <f>Table14[[#This Row],[Enrolment S.Y. 2025-2026 ]]*8</f>
        <v>15760</v>
      </c>
      <c r="K82" s="12"/>
      <c r="L82" s="10"/>
      <c r="M82" s="12"/>
      <c r="N82" s="12">
        <f t="shared" si="20"/>
        <v>15760</v>
      </c>
      <c r="O82" s="12">
        <f t="shared" si="21"/>
        <v>0</v>
      </c>
      <c r="P82" s="12">
        <f>Table14[[#This Row],[Enrolment S.Y. 2025-2026 ]]*8</f>
        <v>15760</v>
      </c>
      <c r="Q82" s="12"/>
      <c r="R82" s="10"/>
      <c r="S82" s="12"/>
      <c r="T82" s="12">
        <f t="shared" si="16"/>
        <v>15760</v>
      </c>
      <c r="U82" s="12">
        <f t="shared" si="17"/>
        <v>0</v>
      </c>
      <c r="V82" s="12">
        <f>Table14[[#This Row],[Enrolment S.Y. 2025-2026 ]]*8</f>
        <v>15760</v>
      </c>
      <c r="W82" s="12"/>
      <c r="X82" s="10"/>
      <c r="Y82" s="12"/>
      <c r="Z82" s="12">
        <f t="shared" si="18"/>
        <v>15760</v>
      </c>
      <c r="AA82" s="12">
        <f t="shared" si="19"/>
        <v>0</v>
      </c>
    </row>
    <row r="83" spans="1:27" ht="19.5">
      <c r="A83" s="10">
        <v>8</v>
      </c>
      <c r="B83" s="11" t="s">
        <v>13</v>
      </c>
      <c r="C83" s="10">
        <v>1970</v>
      </c>
      <c r="D83" s="12">
        <f>Table14[[#This Row],[Enrolment S.Y. 2025-2026 ]]*8</f>
        <v>15760</v>
      </c>
      <c r="E83" s="12"/>
      <c r="F83" s="10"/>
      <c r="G83" s="12"/>
      <c r="H83" s="12">
        <f t="shared" ref="H83:H121" si="22">IF((D83-E83)&lt;0,0,(D83-E83))</f>
        <v>15760</v>
      </c>
      <c r="I83" s="12">
        <f t="shared" ref="I83:I121" si="23">IF((E83-D83)&lt;0,0,(E83-D83))</f>
        <v>0</v>
      </c>
      <c r="J83" s="12">
        <f>Table14[[#This Row],[Enrolment S.Y. 2025-2026 ]]*8</f>
        <v>15760</v>
      </c>
      <c r="K83" s="12"/>
      <c r="L83" s="10"/>
      <c r="M83" s="12"/>
      <c r="N83" s="12">
        <f t="shared" ref="N83:N88" si="24">IF((J83-K83)&lt;0,0,(J83-K83))</f>
        <v>15760</v>
      </c>
      <c r="O83" s="12">
        <f t="shared" ref="O83:O88" si="25">IF((K83-J83)&lt;0,0,(K83-J83))</f>
        <v>0</v>
      </c>
      <c r="P83" s="12">
        <f>Table14[[#This Row],[Enrolment S.Y. 2025-2026 ]]*8</f>
        <v>15760</v>
      </c>
      <c r="Q83" s="12"/>
      <c r="R83" s="10"/>
      <c r="S83" s="12"/>
      <c r="T83" s="12">
        <f t="shared" si="16"/>
        <v>15760</v>
      </c>
      <c r="U83" s="12">
        <f t="shared" si="17"/>
        <v>0</v>
      </c>
      <c r="V83" s="12">
        <f>Table14[[#This Row],[Enrolment S.Y. 2025-2026 ]]*8</f>
        <v>15760</v>
      </c>
      <c r="W83" s="12"/>
      <c r="X83" s="10"/>
      <c r="Y83" s="12"/>
      <c r="Z83" s="12">
        <f t="shared" si="18"/>
        <v>15760</v>
      </c>
      <c r="AA83" s="12">
        <f t="shared" si="19"/>
        <v>0</v>
      </c>
    </row>
    <row r="84" spans="1:27" ht="19.5">
      <c r="A84" s="38">
        <v>8</v>
      </c>
      <c r="B84" s="11" t="s">
        <v>136</v>
      </c>
      <c r="C84" s="10">
        <v>1970</v>
      </c>
      <c r="D84" s="12">
        <f>Table14[[#This Row],[Enrolment S.Y. 2025-2026 ]]*8</f>
        <v>15760</v>
      </c>
      <c r="E84" s="12"/>
      <c r="F84" s="10"/>
      <c r="G84" s="12"/>
      <c r="H84" s="12">
        <f>IF((D84-E84)&lt;0,0,(D84-E84))</f>
        <v>15760</v>
      </c>
      <c r="I84" s="12">
        <f>IF((E84-D84)&lt;0,0,(E84-D84))</f>
        <v>0</v>
      </c>
      <c r="J84" s="12">
        <f>Table14[[#This Row],[Enrolment S.Y. 2025-2026 ]]*8</f>
        <v>15760</v>
      </c>
      <c r="K84" s="12"/>
      <c r="L84" s="10"/>
      <c r="M84" s="12"/>
      <c r="N84" s="12">
        <f t="shared" si="24"/>
        <v>15760</v>
      </c>
      <c r="O84" s="12">
        <f t="shared" si="25"/>
        <v>0</v>
      </c>
      <c r="P84" s="12">
        <f>Table14[[#This Row],[Enrolment S.Y. 2025-2026 ]]*8</f>
        <v>15760</v>
      </c>
      <c r="Q84" s="12"/>
      <c r="R84" s="10"/>
      <c r="S84" s="12"/>
      <c r="T84" s="12">
        <f>IF((P84-Q84)&lt;0,0,(P84-Q84))</f>
        <v>15760</v>
      </c>
      <c r="U84" s="12">
        <f>IF((Q84-P84)&lt;0,0,(Q84-P84))</f>
        <v>0</v>
      </c>
      <c r="V84" s="12">
        <f>Table14[[#This Row],[Enrolment S.Y. 2025-2026 ]]*8</f>
        <v>15760</v>
      </c>
      <c r="W84" s="12"/>
      <c r="X84" s="10"/>
      <c r="Y84" s="12"/>
      <c r="Z84" s="12">
        <f>IF((V84-W84)&lt;0,0,(V84-W84))</f>
        <v>15760</v>
      </c>
      <c r="AA84" s="12">
        <f>IF((W84-V84)&lt;0,0,(W84-V84))</f>
        <v>0</v>
      </c>
    </row>
    <row r="85" spans="1:27" ht="19.5">
      <c r="A85" s="10">
        <v>8</v>
      </c>
      <c r="B85" s="11" t="s">
        <v>137</v>
      </c>
      <c r="C85" s="10">
        <v>1970</v>
      </c>
      <c r="D85" s="12">
        <f>Table14[[#This Row],[Enrolment S.Y. 2025-2026 ]]*8</f>
        <v>15760</v>
      </c>
      <c r="E85" s="12"/>
      <c r="F85" s="10"/>
      <c r="G85" s="12"/>
      <c r="H85" s="12">
        <f t="shared" si="22"/>
        <v>15760</v>
      </c>
      <c r="I85" s="12">
        <f t="shared" si="23"/>
        <v>0</v>
      </c>
      <c r="J85" s="12">
        <f>Table14[[#This Row],[Enrolment S.Y. 2025-2026 ]]*8</f>
        <v>15760</v>
      </c>
      <c r="K85" s="12"/>
      <c r="L85" s="10"/>
      <c r="M85" s="12"/>
      <c r="N85" s="12">
        <f t="shared" si="24"/>
        <v>15760</v>
      </c>
      <c r="O85" s="12">
        <f t="shared" si="25"/>
        <v>0</v>
      </c>
      <c r="P85" s="12">
        <f>Table14[[#This Row],[Enrolment S.Y. 2025-2026 ]]*8</f>
        <v>15760</v>
      </c>
      <c r="Q85" s="12"/>
      <c r="R85" s="10"/>
      <c r="S85" s="12"/>
      <c r="T85" s="12">
        <f t="shared" si="16"/>
        <v>15760</v>
      </c>
      <c r="U85" s="12">
        <f t="shared" si="17"/>
        <v>0</v>
      </c>
      <c r="V85" s="12">
        <f>Table14[[#This Row],[Enrolment S.Y. 2025-2026 ]]*8</f>
        <v>15760</v>
      </c>
      <c r="W85" s="12"/>
      <c r="X85" s="10"/>
      <c r="Y85" s="12"/>
      <c r="Z85" s="12">
        <f t="shared" si="18"/>
        <v>15760</v>
      </c>
      <c r="AA85" s="12">
        <f t="shared" si="19"/>
        <v>0</v>
      </c>
    </row>
    <row r="86" spans="1:27" ht="19.5">
      <c r="A86" s="10">
        <v>8</v>
      </c>
      <c r="B86" s="11" t="s">
        <v>22</v>
      </c>
      <c r="C86" s="10">
        <v>1970</v>
      </c>
      <c r="D86" s="12">
        <f>Table14[[#This Row],[Enrolment S.Y. 2025-2026 ]]*8</f>
        <v>15760</v>
      </c>
      <c r="E86" s="12"/>
      <c r="F86" s="10"/>
      <c r="G86" s="12"/>
      <c r="H86" s="12">
        <f t="shared" si="22"/>
        <v>15760</v>
      </c>
      <c r="I86" s="12">
        <f t="shared" si="23"/>
        <v>0</v>
      </c>
      <c r="J86" s="12">
        <f>Table14[[#This Row],[Enrolment S.Y. 2025-2026 ]]*8</f>
        <v>15760</v>
      </c>
      <c r="K86" s="12"/>
      <c r="L86" s="10"/>
      <c r="M86" s="12"/>
      <c r="N86" s="12">
        <f t="shared" si="24"/>
        <v>15760</v>
      </c>
      <c r="O86" s="12">
        <f t="shared" si="25"/>
        <v>0</v>
      </c>
      <c r="P86" s="12">
        <f>Table14[[#This Row],[Enrolment S.Y. 2025-2026 ]]*8</f>
        <v>15760</v>
      </c>
      <c r="Q86" s="12"/>
      <c r="R86" s="10"/>
      <c r="S86" s="12"/>
      <c r="T86" s="12">
        <f t="shared" si="16"/>
        <v>15760</v>
      </c>
      <c r="U86" s="12">
        <f t="shared" si="17"/>
        <v>0</v>
      </c>
      <c r="V86" s="12">
        <f>Table14[[#This Row],[Enrolment S.Y. 2025-2026 ]]*8</f>
        <v>15760</v>
      </c>
      <c r="W86" s="12"/>
      <c r="X86" s="10"/>
      <c r="Y86" s="12"/>
      <c r="Z86" s="12">
        <f t="shared" si="18"/>
        <v>15760</v>
      </c>
      <c r="AA86" s="12">
        <f t="shared" si="19"/>
        <v>0</v>
      </c>
    </row>
    <row r="87" spans="1:27" ht="19.5">
      <c r="A87" s="38">
        <v>8</v>
      </c>
      <c r="B87" s="11" t="s">
        <v>138</v>
      </c>
      <c r="C87" s="10">
        <v>1970</v>
      </c>
      <c r="D87" s="12">
        <f>Table14[[#This Row],[Enrolment S.Y. 2025-2026 ]]*8</f>
        <v>15760</v>
      </c>
      <c r="E87" s="12"/>
      <c r="F87" s="10"/>
      <c r="G87" s="12"/>
      <c r="H87" s="12">
        <f>IF((D87-E87)&lt;0,0,(D87-E87))</f>
        <v>15760</v>
      </c>
      <c r="I87" s="12">
        <f>IF((E87-D87)&lt;0,0,(E87-D87))</f>
        <v>0</v>
      </c>
      <c r="J87" s="12">
        <f>Table14[[#This Row],[Enrolment S.Y. 2025-2026 ]]*8</f>
        <v>15760</v>
      </c>
      <c r="K87" s="12"/>
      <c r="L87" s="10"/>
      <c r="M87" s="12"/>
      <c r="N87" s="12">
        <f t="shared" si="24"/>
        <v>15760</v>
      </c>
      <c r="O87" s="12">
        <f t="shared" si="25"/>
        <v>0</v>
      </c>
      <c r="P87" s="12">
        <f>Table14[[#This Row],[Enrolment S.Y. 2025-2026 ]]*8</f>
        <v>15760</v>
      </c>
      <c r="Q87" s="12"/>
      <c r="R87" s="10"/>
      <c r="S87" s="12"/>
      <c r="T87" s="12">
        <f>IF((P87-Q87)&lt;0,0,(P87-Q87))</f>
        <v>15760</v>
      </c>
      <c r="U87" s="12">
        <f>IF((Q87-P87)&lt;0,0,(Q87-P87))</f>
        <v>0</v>
      </c>
      <c r="V87" s="12">
        <f>Table14[[#This Row],[Enrolment S.Y. 2025-2026 ]]*8</f>
        <v>15760</v>
      </c>
      <c r="W87" s="12"/>
      <c r="X87" s="10"/>
      <c r="Y87" s="12"/>
      <c r="Z87" s="12">
        <f>IF((V87-W87)&lt;0,0,(V87-W87))</f>
        <v>15760</v>
      </c>
      <c r="AA87" s="12">
        <f>IF((W87-V87)&lt;0,0,(W87-V87))</f>
        <v>0</v>
      </c>
    </row>
    <row r="88" spans="1:27" ht="19.5">
      <c r="A88" s="10">
        <v>8</v>
      </c>
      <c r="B88" s="11" t="s">
        <v>139</v>
      </c>
      <c r="C88" s="10">
        <v>1970</v>
      </c>
      <c r="D88" s="12">
        <f>Table14[[#This Row],[Enrolment S.Y. 2025-2026 ]]*8</f>
        <v>15760</v>
      </c>
      <c r="E88" s="12"/>
      <c r="F88" s="10"/>
      <c r="G88" s="12"/>
      <c r="H88" s="12">
        <f t="shared" si="22"/>
        <v>15760</v>
      </c>
      <c r="I88" s="12">
        <f t="shared" si="23"/>
        <v>0</v>
      </c>
      <c r="J88" s="12">
        <f>Table14[[#This Row],[Enrolment S.Y. 2025-2026 ]]*8</f>
        <v>15760</v>
      </c>
      <c r="K88" s="12"/>
      <c r="L88" s="10"/>
      <c r="M88" s="12"/>
      <c r="N88" s="12">
        <f t="shared" si="24"/>
        <v>15760</v>
      </c>
      <c r="O88" s="12">
        <f t="shared" si="25"/>
        <v>0</v>
      </c>
      <c r="P88" s="12">
        <f>Table14[[#This Row],[Enrolment S.Y. 2025-2026 ]]*8</f>
        <v>15760</v>
      </c>
      <c r="Q88" s="12"/>
      <c r="R88" s="10"/>
      <c r="S88" s="12"/>
      <c r="T88" s="12">
        <f t="shared" si="16"/>
        <v>15760</v>
      </c>
      <c r="U88" s="12">
        <f t="shared" si="17"/>
        <v>0</v>
      </c>
      <c r="V88" s="12">
        <f>Table14[[#This Row],[Enrolment S.Y. 2025-2026 ]]*8</f>
        <v>15760</v>
      </c>
      <c r="W88" s="12"/>
      <c r="X88" s="10"/>
      <c r="Y88" s="12"/>
      <c r="Z88" s="12">
        <f t="shared" si="18"/>
        <v>15760</v>
      </c>
      <c r="AA88" s="12">
        <f t="shared" si="19"/>
        <v>0</v>
      </c>
    </row>
    <row r="89" spans="1:27" s="7" customFormat="1"/>
    <row r="90" spans="1:27" ht="19.5">
      <c r="A90" s="10">
        <v>9</v>
      </c>
      <c r="B90" s="11" t="s">
        <v>14</v>
      </c>
      <c r="C90" s="10">
        <v>1599</v>
      </c>
      <c r="D90" s="12">
        <f>Table14[[#This Row],[Enrolment S.Y. 2025-2026 ]]*8</f>
        <v>12792</v>
      </c>
      <c r="E90" s="12"/>
      <c r="F90" s="10"/>
      <c r="G90" s="12"/>
      <c r="H90" s="12">
        <f t="shared" si="22"/>
        <v>12792</v>
      </c>
      <c r="I90" s="12">
        <f t="shared" si="23"/>
        <v>0</v>
      </c>
      <c r="J90" s="12">
        <f>Table14[[#This Row],[Enrolment S.Y. 2025-2026 ]]*8</f>
        <v>12792</v>
      </c>
      <c r="K90" s="12"/>
      <c r="L90" s="10"/>
      <c r="M90" s="12"/>
      <c r="N90" s="12">
        <f t="shared" si="20"/>
        <v>12792</v>
      </c>
      <c r="O90" s="12">
        <f t="shared" si="21"/>
        <v>0</v>
      </c>
      <c r="P90" s="12">
        <f>Table14[[#This Row],[Enrolment S.Y. 2025-2026 ]]*8</f>
        <v>12792</v>
      </c>
      <c r="Q90" s="12"/>
      <c r="R90" s="10"/>
      <c r="S90" s="12"/>
      <c r="T90" s="12">
        <f t="shared" si="16"/>
        <v>12792</v>
      </c>
      <c r="U90" s="12">
        <f t="shared" si="17"/>
        <v>0</v>
      </c>
      <c r="V90" s="12">
        <f>Table14[[#This Row],[Enrolment S.Y. 2025-2026 ]]*8</f>
        <v>12792</v>
      </c>
      <c r="W90" s="12"/>
      <c r="X90" s="10"/>
      <c r="Y90" s="12"/>
      <c r="Z90" s="12">
        <f t="shared" si="18"/>
        <v>12792</v>
      </c>
      <c r="AA90" s="12">
        <f t="shared" si="19"/>
        <v>0</v>
      </c>
    </row>
    <row r="91" spans="1:27" ht="19.5">
      <c r="A91" s="10">
        <v>9</v>
      </c>
      <c r="B91" s="11" t="s">
        <v>15</v>
      </c>
      <c r="C91" s="10">
        <v>1599</v>
      </c>
      <c r="D91" s="12">
        <f>Table14[[#This Row],[Enrolment S.Y. 2025-2026 ]]*8</f>
        <v>12792</v>
      </c>
      <c r="E91" s="12"/>
      <c r="F91" s="10"/>
      <c r="G91" s="12"/>
      <c r="H91" s="12">
        <f t="shared" si="22"/>
        <v>12792</v>
      </c>
      <c r="I91" s="12">
        <f t="shared" si="23"/>
        <v>0</v>
      </c>
      <c r="J91" s="12">
        <f>Table14[[#This Row],[Enrolment S.Y. 2025-2026 ]]*8</f>
        <v>12792</v>
      </c>
      <c r="K91" s="12"/>
      <c r="L91" s="10"/>
      <c r="M91" s="12"/>
      <c r="N91" s="12">
        <f t="shared" si="20"/>
        <v>12792</v>
      </c>
      <c r="O91" s="12">
        <f t="shared" si="21"/>
        <v>0</v>
      </c>
      <c r="P91" s="12">
        <f>Table14[[#This Row],[Enrolment S.Y. 2025-2026 ]]*8</f>
        <v>12792</v>
      </c>
      <c r="Q91" s="12">
        <v>250</v>
      </c>
      <c r="R91" s="10">
        <v>2025</v>
      </c>
      <c r="S91" s="12"/>
      <c r="T91" s="12">
        <f t="shared" si="16"/>
        <v>12542</v>
      </c>
      <c r="U91" s="12">
        <f t="shared" si="17"/>
        <v>0</v>
      </c>
      <c r="V91" s="12">
        <f>Table14[[#This Row],[Enrolment S.Y. 2025-2026 ]]*8</f>
        <v>12792</v>
      </c>
      <c r="W91" s="12"/>
      <c r="X91" s="10"/>
      <c r="Y91" s="12"/>
      <c r="Z91" s="12">
        <f t="shared" si="18"/>
        <v>12792</v>
      </c>
      <c r="AA91" s="12">
        <f t="shared" si="19"/>
        <v>0</v>
      </c>
    </row>
    <row r="92" spans="1:27" ht="19.5">
      <c r="A92" s="10">
        <v>9</v>
      </c>
      <c r="B92" s="11" t="s">
        <v>12</v>
      </c>
      <c r="C92" s="10">
        <v>1599</v>
      </c>
      <c r="D92" s="12">
        <f>Table14[[#This Row],[Enrolment S.Y. 2025-2026 ]]*8</f>
        <v>12792</v>
      </c>
      <c r="E92" s="12"/>
      <c r="F92" s="10"/>
      <c r="G92" s="12"/>
      <c r="H92" s="12">
        <f t="shared" si="22"/>
        <v>12792</v>
      </c>
      <c r="I92" s="12">
        <f t="shared" si="23"/>
        <v>0</v>
      </c>
      <c r="J92" s="12">
        <f>Table14[[#This Row],[Enrolment S.Y. 2025-2026 ]]*8</f>
        <v>12792</v>
      </c>
      <c r="K92" s="12"/>
      <c r="L92" s="10"/>
      <c r="M92" s="12"/>
      <c r="N92" s="12">
        <f t="shared" si="20"/>
        <v>12792</v>
      </c>
      <c r="O92" s="12">
        <f t="shared" si="21"/>
        <v>0</v>
      </c>
      <c r="P92" s="12">
        <f>Table14[[#This Row],[Enrolment S.Y. 2025-2026 ]]*8</f>
        <v>12792</v>
      </c>
      <c r="Q92" s="12">
        <v>250</v>
      </c>
      <c r="R92" s="10">
        <v>2025</v>
      </c>
      <c r="S92" s="12"/>
      <c r="T92" s="12">
        <f t="shared" si="16"/>
        <v>12542</v>
      </c>
      <c r="U92" s="12">
        <f t="shared" si="17"/>
        <v>0</v>
      </c>
      <c r="V92" s="12">
        <f>Table14[[#This Row],[Enrolment S.Y. 2025-2026 ]]*8</f>
        <v>12792</v>
      </c>
      <c r="W92" s="12"/>
      <c r="X92" s="10"/>
      <c r="Y92" s="12"/>
      <c r="Z92" s="12">
        <f t="shared" si="18"/>
        <v>12792</v>
      </c>
      <c r="AA92" s="12">
        <f t="shared" si="19"/>
        <v>0</v>
      </c>
    </row>
    <row r="93" spans="1:27" ht="19.5">
      <c r="A93" s="10">
        <v>9</v>
      </c>
      <c r="B93" s="11" t="s">
        <v>21</v>
      </c>
      <c r="C93" s="10">
        <v>1599</v>
      </c>
      <c r="D93" s="12">
        <f>Table14[[#This Row],[Enrolment S.Y. 2025-2026 ]]*8</f>
        <v>12792</v>
      </c>
      <c r="E93" s="12"/>
      <c r="F93" s="10"/>
      <c r="G93" s="12"/>
      <c r="H93" s="12">
        <f t="shared" si="22"/>
        <v>12792</v>
      </c>
      <c r="I93" s="12">
        <f t="shared" si="23"/>
        <v>0</v>
      </c>
      <c r="J93" s="12">
        <f>Table14[[#This Row],[Enrolment S.Y. 2025-2026 ]]*8</f>
        <v>12792</v>
      </c>
      <c r="K93" s="12"/>
      <c r="L93" s="10"/>
      <c r="M93" s="12"/>
      <c r="N93" s="12">
        <f t="shared" si="20"/>
        <v>12792</v>
      </c>
      <c r="O93" s="12">
        <f t="shared" si="21"/>
        <v>0</v>
      </c>
      <c r="P93" s="12">
        <f>Table14[[#This Row],[Enrolment S.Y. 2025-2026 ]]*8</f>
        <v>12792</v>
      </c>
      <c r="Q93" s="12">
        <v>250</v>
      </c>
      <c r="R93" s="10">
        <v>2025</v>
      </c>
      <c r="S93" s="12"/>
      <c r="T93" s="12">
        <f t="shared" si="16"/>
        <v>12542</v>
      </c>
      <c r="U93" s="12">
        <f t="shared" si="17"/>
        <v>0</v>
      </c>
      <c r="V93" s="12">
        <f>Table14[[#This Row],[Enrolment S.Y. 2025-2026 ]]*8</f>
        <v>12792</v>
      </c>
      <c r="W93" s="12"/>
      <c r="X93" s="10"/>
      <c r="Y93" s="12"/>
      <c r="Z93" s="12">
        <f t="shared" si="18"/>
        <v>12792</v>
      </c>
      <c r="AA93" s="12">
        <f t="shared" si="19"/>
        <v>0</v>
      </c>
    </row>
    <row r="94" spans="1:27" ht="19.5">
      <c r="A94" s="10">
        <v>9</v>
      </c>
      <c r="B94" s="11" t="s">
        <v>23</v>
      </c>
      <c r="C94" s="10">
        <v>1599</v>
      </c>
      <c r="D94" s="12">
        <f>Table14[[#This Row],[Enrolment S.Y. 2025-2026 ]]*8</f>
        <v>12792</v>
      </c>
      <c r="E94" s="12"/>
      <c r="F94" s="10"/>
      <c r="G94" s="12"/>
      <c r="H94" s="12">
        <f t="shared" si="22"/>
        <v>12792</v>
      </c>
      <c r="I94" s="12">
        <f t="shared" si="23"/>
        <v>0</v>
      </c>
      <c r="J94" s="12">
        <f>Table14[[#This Row],[Enrolment S.Y. 2025-2026 ]]*8</f>
        <v>12792</v>
      </c>
      <c r="K94" s="12"/>
      <c r="L94" s="10"/>
      <c r="M94" s="12"/>
      <c r="N94" s="12">
        <f t="shared" si="20"/>
        <v>12792</v>
      </c>
      <c r="O94" s="12">
        <f t="shared" si="21"/>
        <v>0</v>
      </c>
      <c r="P94" s="12">
        <f>Table14[[#This Row],[Enrolment S.Y. 2025-2026 ]]*8</f>
        <v>12792</v>
      </c>
      <c r="Q94" s="12">
        <v>250</v>
      </c>
      <c r="R94" s="10">
        <v>2025</v>
      </c>
      <c r="S94" s="12"/>
      <c r="T94" s="12">
        <f t="shared" si="16"/>
        <v>12542</v>
      </c>
      <c r="U94" s="12">
        <f t="shared" si="17"/>
        <v>0</v>
      </c>
      <c r="V94" s="12">
        <f>Table14[[#This Row],[Enrolment S.Y. 2025-2026 ]]*8</f>
        <v>12792</v>
      </c>
      <c r="W94" s="12"/>
      <c r="X94" s="10"/>
      <c r="Y94" s="12"/>
      <c r="Z94" s="12">
        <f t="shared" si="18"/>
        <v>12792</v>
      </c>
      <c r="AA94" s="12">
        <f t="shared" si="19"/>
        <v>0</v>
      </c>
    </row>
    <row r="95" spans="1:27" ht="19.5">
      <c r="A95" s="10">
        <v>9</v>
      </c>
      <c r="B95" s="11" t="s">
        <v>13</v>
      </c>
      <c r="C95" s="10">
        <v>1599</v>
      </c>
      <c r="D95" s="12">
        <f>Table14[[#This Row],[Enrolment S.Y. 2025-2026 ]]*8</f>
        <v>12792</v>
      </c>
      <c r="E95" s="12"/>
      <c r="F95" s="10"/>
      <c r="G95" s="12"/>
      <c r="H95" s="12">
        <f t="shared" si="22"/>
        <v>12792</v>
      </c>
      <c r="I95" s="12">
        <f t="shared" si="23"/>
        <v>0</v>
      </c>
      <c r="J95" s="12">
        <f>Table14[[#This Row],[Enrolment S.Y. 2025-2026 ]]*8</f>
        <v>12792</v>
      </c>
      <c r="K95" s="12"/>
      <c r="L95" s="10"/>
      <c r="M95" s="12"/>
      <c r="N95" s="12">
        <f t="shared" si="20"/>
        <v>12792</v>
      </c>
      <c r="O95" s="12">
        <f t="shared" si="21"/>
        <v>0</v>
      </c>
      <c r="P95" s="12">
        <f>Table14[[#This Row],[Enrolment S.Y. 2025-2026 ]]*8</f>
        <v>12792</v>
      </c>
      <c r="Q95" s="12">
        <v>250</v>
      </c>
      <c r="R95" s="10">
        <v>2025</v>
      </c>
      <c r="S95" s="12"/>
      <c r="T95" s="12">
        <f t="shared" si="16"/>
        <v>12542</v>
      </c>
      <c r="U95" s="12">
        <f t="shared" si="17"/>
        <v>0</v>
      </c>
      <c r="V95" s="12">
        <f>Table14[[#This Row],[Enrolment S.Y. 2025-2026 ]]*8</f>
        <v>12792</v>
      </c>
      <c r="W95" s="12"/>
      <c r="X95" s="10"/>
      <c r="Y95" s="12"/>
      <c r="Z95" s="12">
        <f t="shared" si="18"/>
        <v>12792</v>
      </c>
      <c r="AA95" s="12">
        <f t="shared" si="19"/>
        <v>0</v>
      </c>
    </row>
    <row r="96" spans="1:27" ht="19.5">
      <c r="A96" s="38">
        <v>9</v>
      </c>
      <c r="B96" s="11" t="s">
        <v>136</v>
      </c>
      <c r="C96" s="10">
        <v>1599</v>
      </c>
      <c r="D96" s="12">
        <f>Table14[[#This Row],[Enrolment S.Y. 2025-2026 ]]*8</f>
        <v>12792</v>
      </c>
      <c r="E96" s="12"/>
      <c r="F96" s="10"/>
      <c r="G96" s="12"/>
      <c r="H96" s="12">
        <f>IF((D96-E96)&lt;0,0,(D96-E96))</f>
        <v>12792</v>
      </c>
      <c r="I96" s="12">
        <f>IF((E96-D96)&lt;0,0,(E96-D96))</f>
        <v>0</v>
      </c>
      <c r="J96" s="12">
        <f>Table14[[#This Row],[Enrolment S.Y. 2025-2026 ]]*8</f>
        <v>12792</v>
      </c>
      <c r="K96" s="12"/>
      <c r="L96" s="10"/>
      <c r="M96" s="12"/>
      <c r="N96" s="12">
        <f t="shared" ref="N96:N100" si="26">IF((J96-K96)&lt;0,0,(J96-K96))</f>
        <v>12792</v>
      </c>
      <c r="O96" s="12">
        <f t="shared" ref="O96:O100" si="27">IF((K96-J96)&lt;0,0,(K96-J96))</f>
        <v>0</v>
      </c>
      <c r="P96" s="12">
        <f>Table14[[#This Row],[Enrolment S.Y. 2025-2026 ]]*8</f>
        <v>12792</v>
      </c>
      <c r="Q96" s="12"/>
      <c r="R96" s="10"/>
      <c r="S96" s="12"/>
      <c r="T96" s="12">
        <f>IF((P96-Q96)&lt;0,0,(P96-Q96))</f>
        <v>12792</v>
      </c>
      <c r="U96" s="12">
        <f>IF((Q96-P96)&lt;0,0,(Q96-P96))</f>
        <v>0</v>
      </c>
      <c r="V96" s="12">
        <f>Table14[[#This Row],[Enrolment S.Y. 2025-2026 ]]*8</f>
        <v>12792</v>
      </c>
      <c r="W96" s="12"/>
      <c r="X96" s="10"/>
      <c r="Y96" s="12"/>
      <c r="Z96" s="12">
        <f>IF((V96-W96)&lt;0,0,(V96-W96))</f>
        <v>12792</v>
      </c>
      <c r="AA96" s="12">
        <f>IF((W96-V96)&lt;0,0,(W96-V96))</f>
        <v>0</v>
      </c>
    </row>
    <row r="97" spans="1:27" ht="19.5">
      <c r="A97" s="10">
        <v>9</v>
      </c>
      <c r="B97" s="11" t="s">
        <v>137</v>
      </c>
      <c r="C97" s="10">
        <v>1599</v>
      </c>
      <c r="D97" s="12">
        <f>Table14[[#This Row],[Enrolment S.Y. 2025-2026 ]]*8</f>
        <v>12792</v>
      </c>
      <c r="E97" s="12"/>
      <c r="F97" s="10"/>
      <c r="G97" s="12"/>
      <c r="H97" s="12">
        <f t="shared" si="22"/>
        <v>12792</v>
      </c>
      <c r="I97" s="12">
        <f t="shared" si="23"/>
        <v>0</v>
      </c>
      <c r="J97" s="12">
        <f>Table14[[#This Row],[Enrolment S.Y. 2025-2026 ]]*8</f>
        <v>12792</v>
      </c>
      <c r="K97" s="12"/>
      <c r="L97" s="10"/>
      <c r="M97" s="12"/>
      <c r="N97" s="12">
        <f t="shared" si="26"/>
        <v>12792</v>
      </c>
      <c r="O97" s="12">
        <f t="shared" si="27"/>
        <v>0</v>
      </c>
      <c r="P97" s="12">
        <f>Table14[[#This Row],[Enrolment S.Y. 2025-2026 ]]*8</f>
        <v>12792</v>
      </c>
      <c r="Q97" s="12"/>
      <c r="R97" s="10"/>
      <c r="S97" s="12"/>
      <c r="T97" s="12">
        <f t="shared" si="16"/>
        <v>12792</v>
      </c>
      <c r="U97" s="12">
        <f t="shared" si="17"/>
        <v>0</v>
      </c>
      <c r="V97" s="12">
        <f>Table14[[#This Row],[Enrolment S.Y. 2025-2026 ]]*8</f>
        <v>12792</v>
      </c>
      <c r="W97" s="12"/>
      <c r="X97" s="10"/>
      <c r="Y97" s="12"/>
      <c r="Z97" s="12">
        <f t="shared" si="18"/>
        <v>12792</v>
      </c>
      <c r="AA97" s="12">
        <f t="shared" si="19"/>
        <v>0</v>
      </c>
    </row>
    <row r="98" spans="1:27" ht="19.5">
      <c r="A98" s="10">
        <v>9</v>
      </c>
      <c r="B98" s="11" t="s">
        <v>22</v>
      </c>
      <c r="C98" s="10">
        <v>1599</v>
      </c>
      <c r="D98" s="12">
        <f>Table14[[#This Row],[Enrolment S.Y. 2025-2026 ]]*8</f>
        <v>12792</v>
      </c>
      <c r="E98" s="12"/>
      <c r="F98" s="10"/>
      <c r="G98" s="12"/>
      <c r="H98" s="12">
        <f t="shared" si="22"/>
        <v>12792</v>
      </c>
      <c r="I98" s="12">
        <f t="shared" si="23"/>
        <v>0</v>
      </c>
      <c r="J98" s="12">
        <f>Table14[[#This Row],[Enrolment S.Y. 2025-2026 ]]*8</f>
        <v>12792</v>
      </c>
      <c r="K98" s="12"/>
      <c r="L98" s="10"/>
      <c r="M98" s="12"/>
      <c r="N98" s="12">
        <f t="shared" si="26"/>
        <v>12792</v>
      </c>
      <c r="O98" s="12">
        <f t="shared" si="27"/>
        <v>0</v>
      </c>
      <c r="P98" s="12">
        <f>Table14[[#This Row],[Enrolment S.Y. 2025-2026 ]]*8</f>
        <v>12792</v>
      </c>
      <c r="Q98" s="12"/>
      <c r="R98" s="10"/>
      <c r="S98" s="12"/>
      <c r="T98" s="12">
        <f t="shared" si="16"/>
        <v>12792</v>
      </c>
      <c r="U98" s="12">
        <f t="shared" si="17"/>
        <v>0</v>
      </c>
      <c r="V98" s="12">
        <f>Table14[[#This Row],[Enrolment S.Y. 2025-2026 ]]*8</f>
        <v>12792</v>
      </c>
      <c r="W98" s="12"/>
      <c r="X98" s="10"/>
      <c r="Y98" s="12"/>
      <c r="Z98" s="12">
        <f t="shared" si="18"/>
        <v>12792</v>
      </c>
      <c r="AA98" s="12">
        <f t="shared" si="19"/>
        <v>0</v>
      </c>
    </row>
    <row r="99" spans="1:27" ht="19.5">
      <c r="A99" s="38">
        <v>9</v>
      </c>
      <c r="B99" s="11" t="s">
        <v>138</v>
      </c>
      <c r="C99" s="10">
        <v>1599</v>
      </c>
      <c r="D99" s="12">
        <f>Table14[[#This Row],[Enrolment S.Y. 2025-2026 ]]*8</f>
        <v>12792</v>
      </c>
      <c r="E99" s="12"/>
      <c r="F99" s="10"/>
      <c r="G99" s="12"/>
      <c r="H99" s="12">
        <f>IF((D99-E99)&lt;0,0,(D99-E99))</f>
        <v>12792</v>
      </c>
      <c r="I99" s="12">
        <f>IF((E99-D99)&lt;0,0,(E99-D99))</f>
        <v>0</v>
      </c>
      <c r="J99" s="12">
        <f>Table14[[#This Row],[Enrolment S.Y. 2025-2026 ]]*8</f>
        <v>12792</v>
      </c>
      <c r="K99" s="12"/>
      <c r="L99" s="10"/>
      <c r="M99" s="12"/>
      <c r="N99" s="12">
        <f t="shared" si="26"/>
        <v>12792</v>
      </c>
      <c r="O99" s="12">
        <f t="shared" si="27"/>
        <v>0</v>
      </c>
      <c r="P99" s="12">
        <f>Table14[[#This Row],[Enrolment S.Y. 2025-2026 ]]*8</f>
        <v>12792</v>
      </c>
      <c r="Q99" s="12">
        <v>100</v>
      </c>
      <c r="R99" s="10">
        <v>2025</v>
      </c>
      <c r="S99" s="12"/>
      <c r="T99" s="12">
        <f>IF((P99-Q99)&lt;0,0,(P99-Q99))</f>
        <v>12692</v>
      </c>
      <c r="U99" s="12">
        <f>IF((Q99-P99)&lt;0,0,(Q99-P99))</f>
        <v>0</v>
      </c>
      <c r="V99" s="12">
        <f>Table14[[#This Row],[Enrolment S.Y. 2025-2026 ]]*8</f>
        <v>12792</v>
      </c>
      <c r="W99" s="12"/>
      <c r="X99" s="10"/>
      <c r="Y99" s="12"/>
      <c r="Z99" s="12">
        <f>IF((V99-W99)&lt;0,0,(V99-W99))</f>
        <v>12792</v>
      </c>
      <c r="AA99" s="12">
        <f>IF((W99-V99)&lt;0,0,(W99-V99))</f>
        <v>0</v>
      </c>
    </row>
    <row r="100" spans="1:27" ht="19.5">
      <c r="A100" s="10">
        <v>9</v>
      </c>
      <c r="B100" s="11" t="s">
        <v>139</v>
      </c>
      <c r="C100" s="10">
        <v>1599</v>
      </c>
      <c r="D100" s="12">
        <f>Table14[[#This Row],[Enrolment S.Y. 2025-2026 ]]*8</f>
        <v>12792</v>
      </c>
      <c r="E100" s="12"/>
      <c r="F100" s="10"/>
      <c r="G100" s="12"/>
      <c r="H100" s="12">
        <f t="shared" si="22"/>
        <v>12792</v>
      </c>
      <c r="I100" s="12">
        <f t="shared" si="23"/>
        <v>0</v>
      </c>
      <c r="J100" s="12">
        <f>Table14[[#This Row],[Enrolment S.Y. 2025-2026 ]]*8</f>
        <v>12792</v>
      </c>
      <c r="K100" s="12"/>
      <c r="L100" s="10"/>
      <c r="M100" s="12"/>
      <c r="N100" s="12">
        <f t="shared" si="26"/>
        <v>12792</v>
      </c>
      <c r="O100" s="12">
        <f t="shared" si="27"/>
        <v>0</v>
      </c>
      <c r="P100" s="12">
        <f>Table14[[#This Row],[Enrolment S.Y. 2025-2026 ]]*8</f>
        <v>12792</v>
      </c>
      <c r="Q100" s="12">
        <v>150</v>
      </c>
      <c r="R100" s="10">
        <v>2025</v>
      </c>
      <c r="S100" s="12"/>
      <c r="T100" s="12">
        <f t="shared" si="16"/>
        <v>12642</v>
      </c>
      <c r="U100" s="12">
        <f t="shared" si="17"/>
        <v>0</v>
      </c>
      <c r="V100" s="12">
        <f>Table14[[#This Row],[Enrolment S.Y. 2025-2026 ]]*8</f>
        <v>12792</v>
      </c>
      <c r="W100" s="12"/>
      <c r="X100" s="10"/>
      <c r="Y100" s="12"/>
      <c r="Z100" s="12">
        <f t="shared" si="18"/>
        <v>12792</v>
      </c>
      <c r="AA100" s="12">
        <f t="shared" si="19"/>
        <v>0</v>
      </c>
    </row>
    <row r="101" spans="1:27" s="7" customFormat="1"/>
    <row r="102" spans="1:27" ht="19.5">
      <c r="A102" s="10">
        <v>10</v>
      </c>
      <c r="B102" s="11" t="s">
        <v>14</v>
      </c>
      <c r="C102" s="10">
        <v>1633</v>
      </c>
      <c r="D102" s="12">
        <f>Table14[[#This Row],[Enrolment S.Y. 2025-2026 ]]*8</f>
        <v>13064</v>
      </c>
      <c r="E102" s="12"/>
      <c r="F102" s="10"/>
      <c r="G102" s="12"/>
      <c r="H102" s="12">
        <f t="shared" si="22"/>
        <v>13064</v>
      </c>
      <c r="I102" s="12">
        <f t="shared" si="23"/>
        <v>0</v>
      </c>
      <c r="J102" s="12">
        <f>Table14[[#This Row],[Enrolment S.Y. 2025-2026 ]]*8</f>
        <v>13064</v>
      </c>
      <c r="K102" s="12"/>
      <c r="L102" s="10"/>
      <c r="M102" s="12"/>
      <c r="N102" s="12">
        <f t="shared" si="20"/>
        <v>13064</v>
      </c>
      <c r="O102" s="12">
        <f t="shared" si="21"/>
        <v>0</v>
      </c>
      <c r="P102" s="12">
        <f>Table14[[#This Row],[Enrolment S.Y. 2025-2026 ]]*8</f>
        <v>13064</v>
      </c>
      <c r="Q102" s="12"/>
      <c r="R102" s="10"/>
      <c r="S102" s="12"/>
      <c r="T102" s="12">
        <f t="shared" si="16"/>
        <v>13064</v>
      </c>
      <c r="U102" s="12">
        <f t="shared" si="17"/>
        <v>0</v>
      </c>
      <c r="V102" s="12">
        <f>Table14[[#This Row],[Enrolment S.Y. 2025-2026 ]]*8</f>
        <v>13064</v>
      </c>
      <c r="W102" s="12"/>
      <c r="X102" s="10"/>
      <c r="Y102" s="12"/>
      <c r="Z102" s="12">
        <f t="shared" si="18"/>
        <v>13064</v>
      </c>
      <c r="AA102" s="12">
        <f t="shared" si="19"/>
        <v>0</v>
      </c>
    </row>
    <row r="103" spans="1:27" ht="19.5">
      <c r="A103" s="10">
        <v>10</v>
      </c>
      <c r="B103" s="11" t="s">
        <v>15</v>
      </c>
      <c r="C103" s="10">
        <v>1633</v>
      </c>
      <c r="D103" s="12">
        <f>Table14[[#This Row],[Enrolment S.Y. 2025-2026 ]]*8</f>
        <v>13064</v>
      </c>
      <c r="E103" s="12"/>
      <c r="F103" s="10"/>
      <c r="G103" s="12"/>
      <c r="H103" s="12">
        <f t="shared" si="22"/>
        <v>13064</v>
      </c>
      <c r="I103" s="12">
        <f t="shared" si="23"/>
        <v>0</v>
      </c>
      <c r="J103" s="12">
        <f>Table14[[#This Row],[Enrolment S.Y. 2025-2026 ]]*8</f>
        <v>13064</v>
      </c>
      <c r="K103" s="12"/>
      <c r="L103" s="10"/>
      <c r="M103" s="12"/>
      <c r="N103" s="12">
        <f t="shared" si="20"/>
        <v>13064</v>
      </c>
      <c r="O103" s="12">
        <f t="shared" si="21"/>
        <v>0</v>
      </c>
      <c r="P103" s="12">
        <f>Table14[[#This Row],[Enrolment S.Y. 2025-2026 ]]*8</f>
        <v>13064</v>
      </c>
      <c r="Q103" s="12"/>
      <c r="R103" s="10"/>
      <c r="S103" s="12"/>
      <c r="T103" s="12">
        <f t="shared" si="16"/>
        <v>13064</v>
      </c>
      <c r="U103" s="12">
        <f t="shared" si="17"/>
        <v>0</v>
      </c>
      <c r="V103" s="12">
        <f>Table14[[#This Row],[Enrolment S.Y. 2025-2026 ]]*8</f>
        <v>13064</v>
      </c>
      <c r="W103" s="12"/>
      <c r="X103" s="10"/>
      <c r="Y103" s="12"/>
      <c r="Z103" s="12">
        <f t="shared" si="18"/>
        <v>13064</v>
      </c>
      <c r="AA103" s="12">
        <f t="shared" si="19"/>
        <v>0</v>
      </c>
    </row>
    <row r="104" spans="1:27" ht="19.5">
      <c r="A104" s="10">
        <v>10</v>
      </c>
      <c r="B104" s="11" t="s">
        <v>12</v>
      </c>
      <c r="C104" s="10">
        <v>1633</v>
      </c>
      <c r="D104" s="12">
        <f>Table14[[#This Row],[Enrolment S.Y. 2025-2026 ]]*8</f>
        <v>13064</v>
      </c>
      <c r="E104" s="12"/>
      <c r="F104" s="10"/>
      <c r="G104" s="12"/>
      <c r="H104" s="12">
        <f t="shared" si="22"/>
        <v>13064</v>
      </c>
      <c r="I104" s="12">
        <f t="shared" si="23"/>
        <v>0</v>
      </c>
      <c r="J104" s="12">
        <f>Table14[[#This Row],[Enrolment S.Y. 2025-2026 ]]*8</f>
        <v>13064</v>
      </c>
      <c r="K104" s="12"/>
      <c r="L104" s="10"/>
      <c r="M104" s="12"/>
      <c r="N104" s="12">
        <f t="shared" si="20"/>
        <v>13064</v>
      </c>
      <c r="O104" s="12">
        <f t="shared" si="21"/>
        <v>0</v>
      </c>
      <c r="P104" s="12">
        <f>Table14[[#This Row],[Enrolment S.Y. 2025-2026 ]]*8</f>
        <v>13064</v>
      </c>
      <c r="Q104" s="12"/>
      <c r="R104" s="10"/>
      <c r="S104" s="12"/>
      <c r="T104" s="12">
        <f t="shared" si="16"/>
        <v>13064</v>
      </c>
      <c r="U104" s="12">
        <f t="shared" si="17"/>
        <v>0</v>
      </c>
      <c r="V104" s="12">
        <f>Table14[[#This Row],[Enrolment S.Y. 2025-2026 ]]*8</f>
        <v>13064</v>
      </c>
      <c r="W104" s="12"/>
      <c r="X104" s="10"/>
      <c r="Y104" s="12"/>
      <c r="Z104" s="12">
        <f t="shared" si="18"/>
        <v>13064</v>
      </c>
      <c r="AA104" s="12">
        <f t="shared" si="19"/>
        <v>0</v>
      </c>
    </row>
    <row r="105" spans="1:27" ht="19.5">
      <c r="A105" s="10">
        <v>10</v>
      </c>
      <c r="B105" s="11" t="s">
        <v>21</v>
      </c>
      <c r="C105" s="10">
        <v>1633</v>
      </c>
      <c r="D105" s="12">
        <f>Table14[[#This Row],[Enrolment S.Y. 2025-2026 ]]*8</f>
        <v>13064</v>
      </c>
      <c r="E105" s="12"/>
      <c r="F105" s="10"/>
      <c r="G105" s="12"/>
      <c r="H105" s="12">
        <f t="shared" si="22"/>
        <v>13064</v>
      </c>
      <c r="I105" s="12">
        <f t="shared" si="23"/>
        <v>0</v>
      </c>
      <c r="J105" s="12">
        <f>Table14[[#This Row],[Enrolment S.Y. 2025-2026 ]]*8</f>
        <v>13064</v>
      </c>
      <c r="K105" s="12"/>
      <c r="L105" s="10"/>
      <c r="M105" s="12"/>
      <c r="N105" s="12">
        <f t="shared" si="20"/>
        <v>13064</v>
      </c>
      <c r="O105" s="12">
        <f t="shared" si="21"/>
        <v>0</v>
      </c>
      <c r="P105" s="12">
        <f>Table14[[#This Row],[Enrolment S.Y. 2025-2026 ]]*8</f>
        <v>13064</v>
      </c>
      <c r="Q105" s="12"/>
      <c r="R105" s="10"/>
      <c r="S105" s="12"/>
      <c r="T105" s="12">
        <f t="shared" si="16"/>
        <v>13064</v>
      </c>
      <c r="U105" s="12">
        <f t="shared" si="17"/>
        <v>0</v>
      </c>
      <c r="V105" s="12">
        <f>Table14[[#This Row],[Enrolment S.Y. 2025-2026 ]]*8</f>
        <v>13064</v>
      </c>
      <c r="W105" s="12"/>
      <c r="X105" s="10"/>
      <c r="Y105" s="12"/>
      <c r="Z105" s="12">
        <f t="shared" si="18"/>
        <v>13064</v>
      </c>
      <c r="AA105" s="12">
        <f t="shared" si="19"/>
        <v>0</v>
      </c>
    </row>
    <row r="106" spans="1:27" ht="19.5">
      <c r="A106" s="10">
        <v>10</v>
      </c>
      <c r="B106" s="11" t="s">
        <v>23</v>
      </c>
      <c r="C106" s="10">
        <v>1633</v>
      </c>
      <c r="D106" s="12">
        <f>Table14[[#This Row],[Enrolment S.Y. 2025-2026 ]]*8</f>
        <v>13064</v>
      </c>
      <c r="E106" s="12"/>
      <c r="F106" s="10"/>
      <c r="G106" s="12"/>
      <c r="H106" s="12">
        <f t="shared" si="22"/>
        <v>13064</v>
      </c>
      <c r="I106" s="12">
        <f t="shared" si="23"/>
        <v>0</v>
      </c>
      <c r="J106" s="12">
        <f>Table14[[#This Row],[Enrolment S.Y. 2025-2026 ]]*8</f>
        <v>13064</v>
      </c>
      <c r="K106" s="12"/>
      <c r="L106" s="10"/>
      <c r="M106" s="12"/>
      <c r="N106" s="12">
        <f t="shared" si="20"/>
        <v>13064</v>
      </c>
      <c r="O106" s="12">
        <f t="shared" si="21"/>
        <v>0</v>
      </c>
      <c r="P106" s="12">
        <f>Table14[[#This Row],[Enrolment S.Y. 2025-2026 ]]*8</f>
        <v>13064</v>
      </c>
      <c r="Q106" s="12"/>
      <c r="R106" s="10"/>
      <c r="S106" s="12"/>
      <c r="T106" s="12">
        <f t="shared" si="16"/>
        <v>13064</v>
      </c>
      <c r="U106" s="12">
        <f t="shared" si="17"/>
        <v>0</v>
      </c>
      <c r="V106" s="12">
        <f>Table14[[#This Row],[Enrolment S.Y. 2025-2026 ]]*8</f>
        <v>13064</v>
      </c>
      <c r="W106" s="12"/>
      <c r="X106" s="10"/>
      <c r="Y106" s="12"/>
      <c r="Z106" s="12">
        <f t="shared" si="18"/>
        <v>13064</v>
      </c>
      <c r="AA106" s="12">
        <f t="shared" si="19"/>
        <v>0</v>
      </c>
    </row>
    <row r="107" spans="1:27" ht="19.5">
      <c r="A107" s="10">
        <v>10</v>
      </c>
      <c r="B107" s="11" t="s">
        <v>13</v>
      </c>
      <c r="C107" s="10">
        <v>1633</v>
      </c>
      <c r="D107" s="12">
        <f>Table14[[#This Row],[Enrolment S.Y. 2025-2026 ]]*8</f>
        <v>13064</v>
      </c>
      <c r="E107" s="12"/>
      <c r="F107" s="10"/>
      <c r="G107" s="12"/>
      <c r="H107" s="12">
        <f t="shared" si="22"/>
        <v>13064</v>
      </c>
      <c r="I107" s="12">
        <f t="shared" si="23"/>
        <v>0</v>
      </c>
      <c r="J107" s="12">
        <f>Table14[[#This Row],[Enrolment S.Y. 2025-2026 ]]*8</f>
        <v>13064</v>
      </c>
      <c r="K107" s="12"/>
      <c r="L107" s="10"/>
      <c r="M107" s="12"/>
      <c r="N107" s="12">
        <f t="shared" si="20"/>
        <v>13064</v>
      </c>
      <c r="O107" s="12">
        <f t="shared" si="21"/>
        <v>0</v>
      </c>
      <c r="P107" s="12">
        <f>Table14[[#This Row],[Enrolment S.Y. 2025-2026 ]]*8</f>
        <v>13064</v>
      </c>
      <c r="Q107" s="12"/>
      <c r="R107" s="10"/>
      <c r="S107" s="12"/>
      <c r="T107" s="12">
        <f t="shared" si="16"/>
        <v>13064</v>
      </c>
      <c r="U107" s="12">
        <f t="shared" si="17"/>
        <v>0</v>
      </c>
      <c r="V107" s="12">
        <f>Table14[[#This Row],[Enrolment S.Y. 2025-2026 ]]*8</f>
        <v>13064</v>
      </c>
      <c r="W107" s="12"/>
      <c r="X107" s="10"/>
      <c r="Y107" s="12"/>
      <c r="Z107" s="12">
        <f t="shared" si="18"/>
        <v>13064</v>
      </c>
      <c r="AA107" s="12">
        <f t="shared" si="19"/>
        <v>0</v>
      </c>
    </row>
    <row r="108" spans="1:27" ht="19.5">
      <c r="A108" s="38">
        <v>10</v>
      </c>
      <c r="B108" s="11" t="s">
        <v>136</v>
      </c>
      <c r="C108" s="10">
        <v>1633</v>
      </c>
      <c r="D108" s="12">
        <f>Table14[[#This Row],[Enrolment S.Y. 2025-2026 ]]*8</f>
        <v>13064</v>
      </c>
      <c r="E108" s="12"/>
      <c r="F108" s="10"/>
      <c r="G108" s="12"/>
      <c r="H108" s="12">
        <f>IF((D108-E108)&lt;0,0,(D108-E108))</f>
        <v>13064</v>
      </c>
      <c r="I108" s="12">
        <f>IF((E108-D108)&lt;0,0,(E108-D108))</f>
        <v>0</v>
      </c>
      <c r="J108" s="12">
        <f>Table14[[#This Row],[Enrolment S.Y. 2025-2026 ]]*8</f>
        <v>13064</v>
      </c>
      <c r="K108" s="12"/>
      <c r="L108" s="10"/>
      <c r="M108" s="12"/>
      <c r="N108" s="12">
        <f t="shared" ref="N108:N112" si="28">IF((J108-K108)&lt;0,0,(J108-K108))</f>
        <v>13064</v>
      </c>
      <c r="O108" s="12">
        <f t="shared" ref="O108:O112" si="29">IF((K108-J108)&lt;0,0,(K108-J108))</f>
        <v>0</v>
      </c>
      <c r="P108" s="12">
        <f>Table14[[#This Row],[Enrolment S.Y. 2025-2026 ]]*8</f>
        <v>13064</v>
      </c>
      <c r="Q108" s="12"/>
      <c r="R108" s="10"/>
      <c r="S108" s="12"/>
      <c r="T108" s="12">
        <f>IF((P108-Q108)&lt;0,0,(P108-Q108))</f>
        <v>13064</v>
      </c>
      <c r="U108" s="12">
        <f>IF((Q108-P108)&lt;0,0,(Q108-P108))</f>
        <v>0</v>
      </c>
      <c r="V108" s="12">
        <f>Table14[[#This Row],[Enrolment S.Y. 2025-2026 ]]*8</f>
        <v>13064</v>
      </c>
      <c r="W108" s="12"/>
      <c r="X108" s="10"/>
      <c r="Y108" s="12"/>
      <c r="Z108" s="12">
        <f>IF((V108-W108)&lt;0,0,(V108-W108))</f>
        <v>13064</v>
      </c>
      <c r="AA108" s="12">
        <f>IF((W108-V108)&lt;0,0,(W108-V108))</f>
        <v>0</v>
      </c>
    </row>
    <row r="109" spans="1:27" ht="19.5">
      <c r="A109" s="10">
        <v>10</v>
      </c>
      <c r="B109" s="11" t="s">
        <v>137</v>
      </c>
      <c r="C109" s="10">
        <v>1633</v>
      </c>
      <c r="D109" s="12">
        <f>Table14[[#This Row],[Enrolment S.Y. 2025-2026 ]]*8</f>
        <v>13064</v>
      </c>
      <c r="E109" s="12"/>
      <c r="F109" s="10"/>
      <c r="G109" s="12"/>
      <c r="H109" s="12">
        <f t="shared" si="22"/>
        <v>13064</v>
      </c>
      <c r="I109" s="12">
        <f t="shared" si="23"/>
        <v>0</v>
      </c>
      <c r="J109" s="12">
        <f>Table14[[#This Row],[Enrolment S.Y. 2025-2026 ]]*8</f>
        <v>13064</v>
      </c>
      <c r="K109" s="12"/>
      <c r="L109" s="10"/>
      <c r="M109" s="12"/>
      <c r="N109" s="12">
        <f t="shared" si="28"/>
        <v>13064</v>
      </c>
      <c r="O109" s="12">
        <f t="shared" si="29"/>
        <v>0</v>
      </c>
      <c r="P109" s="12">
        <f>Table14[[#This Row],[Enrolment S.Y. 2025-2026 ]]*8</f>
        <v>13064</v>
      </c>
      <c r="Q109" s="12"/>
      <c r="R109" s="10"/>
      <c r="S109" s="12"/>
      <c r="T109" s="12">
        <f t="shared" si="16"/>
        <v>13064</v>
      </c>
      <c r="U109" s="12">
        <f t="shared" si="17"/>
        <v>0</v>
      </c>
      <c r="V109" s="12">
        <f>Table14[[#This Row],[Enrolment S.Y. 2025-2026 ]]*8</f>
        <v>13064</v>
      </c>
      <c r="W109" s="12"/>
      <c r="X109" s="10"/>
      <c r="Y109" s="12"/>
      <c r="Z109" s="12">
        <f t="shared" si="18"/>
        <v>13064</v>
      </c>
      <c r="AA109" s="12">
        <f t="shared" si="19"/>
        <v>0</v>
      </c>
    </row>
    <row r="110" spans="1:27" ht="19.5">
      <c r="A110" s="10">
        <v>10</v>
      </c>
      <c r="B110" s="11" t="s">
        <v>22</v>
      </c>
      <c r="C110" s="10">
        <v>1633</v>
      </c>
      <c r="D110" s="12">
        <f>Table14[[#This Row],[Enrolment S.Y. 2025-2026 ]]*8</f>
        <v>13064</v>
      </c>
      <c r="E110" s="12"/>
      <c r="F110" s="10"/>
      <c r="G110" s="12"/>
      <c r="H110" s="12">
        <f t="shared" si="22"/>
        <v>13064</v>
      </c>
      <c r="I110" s="12">
        <f t="shared" si="23"/>
        <v>0</v>
      </c>
      <c r="J110" s="12">
        <f>Table14[[#This Row],[Enrolment S.Y. 2025-2026 ]]*8</f>
        <v>13064</v>
      </c>
      <c r="K110" s="12"/>
      <c r="L110" s="10"/>
      <c r="M110" s="12"/>
      <c r="N110" s="12">
        <f t="shared" si="28"/>
        <v>13064</v>
      </c>
      <c r="O110" s="12">
        <f t="shared" si="29"/>
        <v>0</v>
      </c>
      <c r="P110" s="12">
        <f>Table14[[#This Row],[Enrolment S.Y. 2025-2026 ]]*8</f>
        <v>13064</v>
      </c>
      <c r="Q110" s="12"/>
      <c r="R110" s="10"/>
      <c r="S110" s="12"/>
      <c r="T110" s="12">
        <f t="shared" si="16"/>
        <v>13064</v>
      </c>
      <c r="U110" s="12">
        <f t="shared" si="17"/>
        <v>0</v>
      </c>
      <c r="V110" s="12">
        <f>Table14[[#This Row],[Enrolment S.Y. 2025-2026 ]]*8</f>
        <v>13064</v>
      </c>
      <c r="W110" s="12"/>
      <c r="X110" s="10"/>
      <c r="Y110" s="12"/>
      <c r="Z110" s="12">
        <f t="shared" si="18"/>
        <v>13064</v>
      </c>
      <c r="AA110" s="12">
        <f t="shared" si="19"/>
        <v>0</v>
      </c>
    </row>
    <row r="111" spans="1:27" ht="19.5">
      <c r="A111" s="38">
        <v>10</v>
      </c>
      <c r="B111" s="11" t="s">
        <v>138</v>
      </c>
      <c r="C111" s="10">
        <v>1633</v>
      </c>
      <c r="D111" s="12">
        <f>Table14[[#This Row],[Enrolment S.Y. 2025-2026 ]]*8</f>
        <v>13064</v>
      </c>
      <c r="E111" s="12"/>
      <c r="F111" s="10"/>
      <c r="G111" s="12"/>
      <c r="H111" s="12">
        <f>IF((D111-E111)&lt;0,0,(D111-E111))</f>
        <v>13064</v>
      </c>
      <c r="I111" s="12">
        <f>IF((E111-D111)&lt;0,0,(E111-D111))</f>
        <v>0</v>
      </c>
      <c r="J111" s="12">
        <f>Table14[[#This Row],[Enrolment S.Y. 2025-2026 ]]*8</f>
        <v>13064</v>
      </c>
      <c r="K111" s="12"/>
      <c r="L111" s="10"/>
      <c r="M111" s="12"/>
      <c r="N111" s="12">
        <f t="shared" si="28"/>
        <v>13064</v>
      </c>
      <c r="O111" s="12">
        <f t="shared" si="29"/>
        <v>0</v>
      </c>
      <c r="P111" s="12">
        <f>Table14[[#This Row],[Enrolment S.Y. 2025-2026 ]]*8</f>
        <v>13064</v>
      </c>
      <c r="Q111" s="12"/>
      <c r="R111" s="10"/>
      <c r="S111" s="12"/>
      <c r="T111" s="12">
        <f>IF((P111-Q111)&lt;0,0,(P111-Q111))</f>
        <v>13064</v>
      </c>
      <c r="U111" s="12">
        <f>IF((Q111-P111)&lt;0,0,(Q111-P111))</f>
        <v>0</v>
      </c>
      <c r="V111" s="12">
        <f>Table14[[#This Row],[Enrolment S.Y. 2025-2026 ]]*8</f>
        <v>13064</v>
      </c>
      <c r="W111" s="12"/>
      <c r="X111" s="10"/>
      <c r="Y111" s="12"/>
      <c r="Z111" s="12">
        <f>IF((V111-W111)&lt;0,0,(V111-W111))</f>
        <v>13064</v>
      </c>
      <c r="AA111" s="12">
        <f>IF((W111-V111)&lt;0,0,(W111-V111))</f>
        <v>0</v>
      </c>
    </row>
    <row r="112" spans="1:27" ht="19.5">
      <c r="A112" s="10">
        <v>10</v>
      </c>
      <c r="B112" s="11" t="s">
        <v>139</v>
      </c>
      <c r="C112" s="10">
        <v>1633</v>
      </c>
      <c r="D112" s="12">
        <f>Table14[[#This Row],[Enrolment S.Y. 2025-2026 ]]*8</f>
        <v>13064</v>
      </c>
      <c r="E112" s="12"/>
      <c r="F112" s="10"/>
      <c r="G112" s="12"/>
      <c r="H112" s="12">
        <f t="shared" si="22"/>
        <v>13064</v>
      </c>
      <c r="I112" s="12">
        <f t="shared" si="23"/>
        <v>0</v>
      </c>
      <c r="J112" s="12">
        <f>Table14[[#This Row],[Enrolment S.Y. 2025-2026 ]]*8</f>
        <v>13064</v>
      </c>
      <c r="K112" s="12"/>
      <c r="L112" s="10"/>
      <c r="M112" s="12"/>
      <c r="N112" s="12">
        <f t="shared" si="28"/>
        <v>13064</v>
      </c>
      <c r="O112" s="12">
        <f t="shared" si="29"/>
        <v>0</v>
      </c>
      <c r="P112" s="12">
        <f>Table14[[#This Row],[Enrolment S.Y. 2025-2026 ]]*8</f>
        <v>13064</v>
      </c>
      <c r="Q112" s="12"/>
      <c r="R112" s="10"/>
      <c r="S112" s="12"/>
      <c r="T112" s="12">
        <f t="shared" si="16"/>
        <v>13064</v>
      </c>
      <c r="U112" s="12">
        <f t="shared" si="17"/>
        <v>0</v>
      </c>
      <c r="V112" s="12">
        <f>Table14[[#This Row],[Enrolment S.Y. 2025-2026 ]]*8</f>
        <v>13064</v>
      </c>
      <c r="W112" s="12"/>
      <c r="X112" s="10"/>
      <c r="Y112" s="12"/>
      <c r="Z112" s="12">
        <f t="shared" si="18"/>
        <v>13064</v>
      </c>
      <c r="AA112" s="12">
        <f t="shared" si="19"/>
        <v>0</v>
      </c>
    </row>
    <row r="113" spans="1:28" s="7" customFormat="1"/>
    <row r="114" spans="1:28" ht="76.5">
      <c r="A114" s="1">
        <v>11</v>
      </c>
      <c r="B114" s="9" t="s">
        <v>24</v>
      </c>
      <c r="C114" s="1">
        <v>1146</v>
      </c>
      <c r="D114" s="5">
        <f>Table1[[#This Row],[Enrolment S.Y. 2025-2026 ]]*8</f>
        <v>8816</v>
      </c>
      <c r="E114" s="5"/>
      <c r="F114" s="1"/>
      <c r="G114" s="5"/>
      <c r="H114" s="5">
        <f t="shared" ref="H114:H173" si="30">IF((D114-E114)&lt;0,0,(D114-E114))</f>
        <v>8816</v>
      </c>
      <c r="I114" s="5">
        <f t="shared" ref="I114:I173" si="31">IF((E114-D114)&lt;0,0,(E114-D114))</f>
        <v>0</v>
      </c>
      <c r="J114" s="5">
        <f>Table1[[#This Row],[Enrolment S.Y. 2025-2026 ]]*8</f>
        <v>8816</v>
      </c>
      <c r="K114" s="5"/>
      <c r="L114" s="1"/>
      <c r="M114" s="5"/>
      <c r="N114" s="5">
        <f t="shared" ref="N114:N173" si="32">IF((J114-K114)&lt;0,0,(J114-K114))</f>
        <v>8816</v>
      </c>
      <c r="O114" s="5">
        <f t="shared" ref="O114:O173" si="33">IF((K114-J114)&lt;0,0,(K114-J114))</f>
        <v>0</v>
      </c>
      <c r="P114" s="5">
        <f>Table1[[#This Row],[Enrolment S.Y. 2025-2026 ]]*8</f>
        <v>8816</v>
      </c>
      <c r="Q114" s="5"/>
      <c r="R114" s="1"/>
      <c r="S114" s="5"/>
      <c r="T114" s="5">
        <f t="shared" ref="T114:T173" si="34">IF((P114-Q114)&lt;0,0,(P114-Q114))</f>
        <v>8816</v>
      </c>
      <c r="U114" s="5">
        <f t="shared" ref="U114:U173" si="35">IF((Q114-P114)&lt;0,0,(Q114-P114))</f>
        <v>0</v>
      </c>
      <c r="V114" s="5">
        <f>Table1[[#This Row],[Enrolment S.Y. 2025-2026 ]]*8</f>
        <v>8816</v>
      </c>
      <c r="W114" s="5"/>
      <c r="X114" s="1"/>
      <c r="Y114" s="5"/>
      <c r="Z114" s="5">
        <f t="shared" ref="Z114:Z173" si="36">IF((V114-W114)&lt;0,0,(V114-W114))</f>
        <v>8816</v>
      </c>
      <c r="AA114" s="5">
        <f t="shared" ref="AA114:AA173" si="37">IF((W114-V114)&lt;0,0,(W114-V114))</f>
        <v>0</v>
      </c>
    </row>
    <row r="115" spans="1:28" ht="38.25">
      <c r="A115" s="1">
        <v>11</v>
      </c>
      <c r="B115" s="9" t="s">
        <v>25</v>
      </c>
      <c r="C115" s="1">
        <v>1146</v>
      </c>
      <c r="D115" s="5">
        <f>Table1[[#This Row],[Enrolment S.Y. 2025-2026 ]]*8</f>
        <v>8816</v>
      </c>
      <c r="E115" s="5"/>
      <c r="F115" s="1"/>
      <c r="G115" s="5"/>
      <c r="H115" s="5">
        <f t="shared" si="30"/>
        <v>8816</v>
      </c>
      <c r="I115" s="5">
        <f t="shared" si="31"/>
        <v>0</v>
      </c>
      <c r="J115" s="5">
        <f>Table1[[#This Row],[Enrolment S.Y. 2025-2026 ]]*8</f>
        <v>8816</v>
      </c>
      <c r="K115" s="5"/>
      <c r="L115" s="1"/>
      <c r="M115" s="5"/>
      <c r="N115" s="5">
        <f t="shared" si="32"/>
        <v>8816</v>
      </c>
      <c r="O115" s="5">
        <f t="shared" si="33"/>
        <v>0</v>
      </c>
      <c r="P115" s="5">
        <f>Table1[[#This Row],[Enrolment S.Y. 2025-2026 ]]*8</f>
        <v>8816</v>
      </c>
      <c r="Q115" s="5"/>
      <c r="R115" s="1"/>
      <c r="S115" s="5"/>
      <c r="T115" s="5">
        <f t="shared" si="34"/>
        <v>8816</v>
      </c>
      <c r="U115" s="5">
        <f t="shared" si="35"/>
        <v>0</v>
      </c>
      <c r="V115" s="5">
        <f>Table1[[#This Row],[Enrolment S.Y. 2025-2026 ]]*8</f>
        <v>8816</v>
      </c>
      <c r="W115" s="5"/>
      <c r="X115" s="1"/>
      <c r="Y115" s="5"/>
      <c r="Z115" s="5">
        <f t="shared" si="36"/>
        <v>8816</v>
      </c>
      <c r="AA115" s="5">
        <f t="shared" si="37"/>
        <v>0</v>
      </c>
    </row>
    <row r="116" spans="1:28" ht="57.75">
      <c r="A116" s="1">
        <v>11</v>
      </c>
      <c r="B116" s="9" t="s">
        <v>26</v>
      </c>
      <c r="C116" s="1">
        <v>1146</v>
      </c>
      <c r="D116" s="5">
        <f>Table1[[#This Row],[Enrolment S.Y. 2025-2026 ]]*8</f>
        <v>8816</v>
      </c>
      <c r="E116" s="5"/>
      <c r="F116" s="1"/>
      <c r="G116" s="5"/>
      <c r="H116" s="5">
        <f t="shared" si="30"/>
        <v>8816</v>
      </c>
      <c r="I116" s="5">
        <f t="shared" si="31"/>
        <v>0</v>
      </c>
      <c r="J116" s="5">
        <f>Table1[[#This Row],[Enrolment S.Y. 2025-2026 ]]*8</f>
        <v>8816</v>
      </c>
      <c r="K116" s="5"/>
      <c r="L116" s="1"/>
      <c r="M116" s="5"/>
      <c r="N116" s="5">
        <f t="shared" si="32"/>
        <v>8816</v>
      </c>
      <c r="O116" s="5">
        <f t="shared" si="33"/>
        <v>0</v>
      </c>
      <c r="P116" s="5">
        <f>Table1[[#This Row],[Enrolment S.Y. 2025-2026 ]]*8</f>
        <v>8816</v>
      </c>
      <c r="Q116" s="5"/>
      <c r="R116" s="1"/>
      <c r="S116" s="5"/>
      <c r="T116" s="5">
        <f t="shared" si="34"/>
        <v>8816</v>
      </c>
      <c r="U116" s="5">
        <f t="shared" si="35"/>
        <v>0</v>
      </c>
      <c r="V116" s="5">
        <f>Table1[[#This Row],[Enrolment S.Y. 2025-2026 ]]*8</f>
        <v>8816</v>
      </c>
      <c r="W116" s="5"/>
      <c r="X116" s="1"/>
      <c r="Y116" s="5"/>
      <c r="Z116" s="5">
        <f t="shared" si="36"/>
        <v>8816</v>
      </c>
      <c r="AA116" s="5">
        <f t="shared" si="37"/>
        <v>0</v>
      </c>
    </row>
    <row r="117" spans="1:28" ht="38.25">
      <c r="A117" s="1">
        <v>11</v>
      </c>
      <c r="B117" s="9" t="s">
        <v>27</v>
      </c>
      <c r="C117" s="1">
        <v>1146</v>
      </c>
      <c r="D117" s="5">
        <f>Table1[[#This Row],[Enrolment S.Y. 2025-2026 ]]*8</f>
        <v>8816</v>
      </c>
      <c r="E117" s="5"/>
      <c r="F117" s="1"/>
      <c r="G117" s="5"/>
      <c r="H117" s="5">
        <f t="shared" si="30"/>
        <v>8816</v>
      </c>
      <c r="I117" s="5">
        <f t="shared" si="31"/>
        <v>0</v>
      </c>
      <c r="J117" s="5">
        <f>Table1[[#This Row],[Enrolment S.Y. 2025-2026 ]]*8</f>
        <v>8816</v>
      </c>
      <c r="K117" s="5"/>
      <c r="L117" s="1"/>
      <c r="M117" s="5"/>
      <c r="N117" s="5">
        <f t="shared" si="32"/>
        <v>8816</v>
      </c>
      <c r="O117" s="5">
        <f t="shared" si="33"/>
        <v>0</v>
      </c>
      <c r="P117" s="5">
        <f>Table1[[#This Row],[Enrolment S.Y. 2025-2026 ]]*8</f>
        <v>8816</v>
      </c>
      <c r="Q117" s="5"/>
      <c r="R117" s="1"/>
      <c r="S117" s="5"/>
      <c r="T117" s="5">
        <f t="shared" si="34"/>
        <v>8816</v>
      </c>
      <c r="U117" s="5">
        <f t="shared" si="35"/>
        <v>0</v>
      </c>
      <c r="V117" s="5">
        <f>Table1[[#This Row],[Enrolment S.Y. 2025-2026 ]]*8</f>
        <v>8816</v>
      </c>
      <c r="W117" s="5"/>
      <c r="X117" s="1"/>
      <c r="Y117" s="5"/>
      <c r="Z117" s="5">
        <f t="shared" si="36"/>
        <v>8816</v>
      </c>
      <c r="AA117" s="5">
        <f t="shared" si="37"/>
        <v>0</v>
      </c>
    </row>
    <row r="118" spans="1:28" ht="19.5">
      <c r="A118" s="1">
        <v>11</v>
      </c>
      <c r="B118" s="9" t="s">
        <v>28</v>
      </c>
      <c r="C118" s="1">
        <v>1146</v>
      </c>
      <c r="D118" s="5">
        <f>Table1[[#This Row],[Enrolment S.Y. 2025-2026 ]]*8</f>
        <v>8816</v>
      </c>
      <c r="E118" s="5"/>
      <c r="F118" s="1"/>
      <c r="G118" s="5"/>
      <c r="H118" s="5">
        <f t="shared" si="30"/>
        <v>8816</v>
      </c>
      <c r="I118" s="5">
        <f t="shared" si="31"/>
        <v>0</v>
      </c>
      <c r="J118" s="5">
        <f>Table1[[#This Row],[Enrolment S.Y. 2025-2026 ]]*8</f>
        <v>8816</v>
      </c>
      <c r="K118" s="5"/>
      <c r="L118" s="1"/>
      <c r="M118" s="5"/>
      <c r="N118" s="5">
        <f t="shared" si="32"/>
        <v>8816</v>
      </c>
      <c r="O118" s="5">
        <f t="shared" si="33"/>
        <v>0</v>
      </c>
      <c r="P118" s="5">
        <f>Table1[[#This Row],[Enrolment S.Y. 2025-2026 ]]*8</f>
        <v>8816</v>
      </c>
      <c r="Q118" s="5"/>
      <c r="R118" s="1"/>
      <c r="S118" s="5"/>
      <c r="T118" s="5">
        <f t="shared" si="34"/>
        <v>8816</v>
      </c>
      <c r="U118" s="5">
        <f t="shared" si="35"/>
        <v>0</v>
      </c>
      <c r="V118" s="5">
        <f>Table1[[#This Row],[Enrolment S.Y. 2025-2026 ]]*8</f>
        <v>8816</v>
      </c>
      <c r="W118" s="5"/>
      <c r="X118" s="1"/>
      <c r="Y118" s="5"/>
      <c r="Z118" s="5">
        <f t="shared" si="36"/>
        <v>8816</v>
      </c>
      <c r="AA118" s="5">
        <f t="shared" si="37"/>
        <v>0</v>
      </c>
    </row>
    <row r="119" spans="1:28" ht="57.75">
      <c r="A119" s="1">
        <v>11</v>
      </c>
      <c r="B119" s="9" t="s">
        <v>29</v>
      </c>
      <c r="C119" s="1">
        <v>1146</v>
      </c>
      <c r="D119" s="5">
        <f>Table1[[#This Row],[Enrolment S.Y. 2025-2026 ]]*8</f>
        <v>8816</v>
      </c>
      <c r="E119" s="5"/>
      <c r="F119" s="1"/>
      <c r="G119" s="5"/>
      <c r="H119" s="5">
        <f t="shared" si="30"/>
        <v>8816</v>
      </c>
      <c r="I119" s="5">
        <f t="shared" si="31"/>
        <v>0</v>
      </c>
      <c r="J119" s="5">
        <f>Table1[[#This Row],[Enrolment S.Y. 2025-2026 ]]*8</f>
        <v>8816</v>
      </c>
      <c r="K119" s="5"/>
      <c r="L119" s="1"/>
      <c r="M119" s="5"/>
      <c r="N119" s="5">
        <f t="shared" si="32"/>
        <v>8816</v>
      </c>
      <c r="O119" s="5">
        <f t="shared" si="33"/>
        <v>0</v>
      </c>
      <c r="P119" s="5">
        <f>Table1[[#This Row],[Enrolment S.Y. 2025-2026 ]]*8</f>
        <v>8816</v>
      </c>
      <c r="Q119" s="5"/>
      <c r="R119" s="1"/>
      <c r="S119" s="5"/>
      <c r="T119" s="5">
        <f t="shared" si="34"/>
        <v>8816</v>
      </c>
      <c r="U119" s="5">
        <f t="shared" si="35"/>
        <v>0</v>
      </c>
      <c r="V119" s="5">
        <f>Table1[[#This Row],[Enrolment S.Y. 2025-2026 ]]*8</f>
        <v>8816</v>
      </c>
      <c r="W119" s="5"/>
      <c r="X119" s="1"/>
      <c r="Y119" s="5"/>
      <c r="Z119" s="5">
        <f t="shared" si="36"/>
        <v>8816</v>
      </c>
      <c r="AA119" s="5">
        <f t="shared" si="37"/>
        <v>0</v>
      </c>
    </row>
    <row r="120" spans="1:28" ht="57.75">
      <c r="A120" s="1">
        <v>11</v>
      </c>
      <c r="B120" s="9" t="s">
        <v>30</v>
      </c>
      <c r="C120" s="1">
        <v>1146</v>
      </c>
      <c r="D120" s="5">
        <f>Table1[[#This Row],[Enrolment S.Y. 2025-2026 ]]*8</f>
        <v>8816</v>
      </c>
      <c r="E120" s="5"/>
      <c r="F120" s="1"/>
      <c r="G120" s="5"/>
      <c r="H120" s="5">
        <f t="shared" si="30"/>
        <v>8816</v>
      </c>
      <c r="I120" s="5">
        <f t="shared" si="31"/>
        <v>0</v>
      </c>
      <c r="J120" s="5">
        <f>Table1[[#This Row],[Enrolment S.Y. 2025-2026 ]]*8</f>
        <v>8816</v>
      </c>
      <c r="K120" s="5"/>
      <c r="L120" s="1"/>
      <c r="M120" s="5"/>
      <c r="N120" s="5">
        <f t="shared" si="32"/>
        <v>8816</v>
      </c>
      <c r="O120" s="5">
        <f t="shared" si="33"/>
        <v>0</v>
      </c>
      <c r="P120" s="5">
        <f>Table1[[#This Row],[Enrolment S.Y. 2025-2026 ]]*8</f>
        <v>8816</v>
      </c>
      <c r="Q120" s="5"/>
      <c r="R120" s="1"/>
      <c r="S120" s="5"/>
      <c r="T120" s="5">
        <f t="shared" si="34"/>
        <v>8816</v>
      </c>
      <c r="U120" s="5">
        <f t="shared" si="35"/>
        <v>0</v>
      </c>
      <c r="V120" s="5">
        <f>Table1[[#This Row],[Enrolment S.Y. 2025-2026 ]]*8</f>
        <v>8816</v>
      </c>
      <c r="W120" s="5"/>
      <c r="X120" s="1"/>
      <c r="Y120" s="5"/>
      <c r="Z120" s="5">
        <f t="shared" si="36"/>
        <v>8816</v>
      </c>
      <c r="AA120" s="5">
        <f t="shared" si="37"/>
        <v>0</v>
      </c>
    </row>
    <row r="121" spans="1:28" ht="21">
      <c r="A121" s="32">
        <v>11</v>
      </c>
      <c r="B121" s="33" t="s">
        <v>31</v>
      </c>
      <c r="C121" s="1">
        <v>1146</v>
      </c>
      <c r="D121" s="34">
        <f>Table1[[#This Row],[Enrolment S.Y. 2025-2026 ]]*8</f>
        <v>8816</v>
      </c>
      <c r="E121" s="34"/>
      <c r="F121" s="32"/>
      <c r="G121" s="34"/>
      <c r="H121" s="34">
        <f>IF((D121-E121)&lt;0,0,(D121-E121))</f>
        <v>8816</v>
      </c>
      <c r="I121" s="34">
        <f>IF((E121-D121)&lt;0,0,(E121-D121))</f>
        <v>0</v>
      </c>
      <c r="J121" s="34">
        <f>Table1[[#This Row],[Enrolment S.Y. 2025-2026 ]]*8</f>
        <v>8816</v>
      </c>
      <c r="K121" s="34"/>
      <c r="L121" s="32"/>
      <c r="M121" s="34"/>
      <c r="N121" s="5">
        <f t="shared" si="32"/>
        <v>8816</v>
      </c>
      <c r="O121" s="5">
        <f t="shared" si="33"/>
        <v>0</v>
      </c>
      <c r="P121" s="5">
        <f>Table1[[#This Row],[Enrolment S.Y. 2025-2026 ]]*8</f>
        <v>8816</v>
      </c>
      <c r="Q121" s="34"/>
      <c r="R121" s="32"/>
      <c r="S121" s="34"/>
      <c r="T121" s="34">
        <f>IF((P121-Q121)&lt;0,0,(P121-Q121))</f>
        <v>8816</v>
      </c>
      <c r="U121" s="34">
        <f>IF((Q121-P121)&lt;0,0,(Q121-P121))</f>
        <v>0</v>
      </c>
      <c r="V121" s="34">
        <f>Table1[[#This Row],[Enrolment S.Y. 2025-2026 ]]*8</f>
        <v>8816</v>
      </c>
      <c r="W121" s="34"/>
      <c r="X121" s="32"/>
      <c r="Y121" s="34"/>
      <c r="Z121" s="34">
        <f>IF((V121-W121)&lt;0,0,(V121-W121))</f>
        <v>8816</v>
      </c>
      <c r="AA121" s="34">
        <f>IF((W121-V121)&lt;0,0,(W121-V121))</f>
        <v>0</v>
      </c>
    </row>
    <row r="122" spans="1:28" s="7" customFormat="1" ht="38.25">
      <c r="A122" s="1">
        <v>11</v>
      </c>
      <c r="B122" s="9" t="s">
        <v>32</v>
      </c>
      <c r="C122" s="1">
        <v>1146</v>
      </c>
      <c r="D122" s="5">
        <f>Table1[[#This Row],[Enrolment S.Y. 2025-2026 ]]*8</f>
        <v>8816</v>
      </c>
      <c r="E122" s="5"/>
      <c r="F122" s="1"/>
      <c r="G122" s="5"/>
      <c r="H122" s="5">
        <f t="shared" si="30"/>
        <v>8816</v>
      </c>
      <c r="I122" s="5">
        <f t="shared" si="31"/>
        <v>0</v>
      </c>
      <c r="J122" s="5">
        <f>Table1[[#This Row],[Enrolment S.Y. 2025-2026 ]]*8</f>
        <v>8816</v>
      </c>
      <c r="K122" s="5"/>
      <c r="L122" s="1"/>
      <c r="M122" s="5"/>
      <c r="N122" s="5">
        <f t="shared" si="32"/>
        <v>8816</v>
      </c>
      <c r="O122" s="5">
        <f t="shared" si="33"/>
        <v>0</v>
      </c>
      <c r="P122" s="5">
        <f>Table1[[#This Row],[Enrolment S.Y. 2025-2026 ]]*8</f>
        <v>8816</v>
      </c>
      <c r="Q122" s="5"/>
      <c r="R122" s="1"/>
      <c r="S122" s="5"/>
      <c r="T122" s="5">
        <f t="shared" si="34"/>
        <v>8816</v>
      </c>
      <c r="U122" s="5">
        <f t="shared" si="35"/>
        <v>0</v>
      </c>
      <c r="V122" s="5">
        <f>Table1[[#This Row],[Enrolment S.Y. 2025-2026 ]]*8</f>
        <v>8816</v>
      </c>
      <c r="W122" s="5"/>
      <c r="X122" s="1"/>
      <c r="Y122" s="5"/>
      <c r="Z122" s="5">
        <f t="shared" si="36"/>
        <v>8816</v>
      </c>
      <c r="AA122" s="5">
        <f t="shared" si="37"/>
        <v>0</v>
      </c>
    </row>
    <row r="123" spans="1:28" ht="40.5">
      <c r="A123" s="1">
        <v>11</v>
      </c>
      <c r="B123" s="33" t="s">
        <v>33</v>
      </c>
      <c r="C123" s="1">
        <v>1146</v>
      </c>
      <c r="D123" s="34">
        <f>Table1[[#This Row],[Enrolment S.Y. 2025-2026 ]]*8</f>
        <v>8816</v>
      </c>
      <c r="E123" s="34"/>
      <c r="F123" s="32"/>
      <c r="G123" s="34"/>
      <c r="H123" s="34">
        <f t="shared" si="30"/>
        <v>8816</v>
      </c>
      <c r="I123" s="34">
        <f t="shared" si="31"/>
        <v>0</v>
      </c>
      <c r="J123" s="34">
        <f>Table1[[#This Row],[Enrolment S.Y. 2025-2026 ]]*8</f>
        <v>8816</v>
      </c>
      <c r="K123" s="34"/>
      <c r="L123" s="32"/>
      <c r="M123" s="34"/>
      <c r="N123" s="5">
        <f t="shared" si="32"/>
        <v>8816</v>
      </c>
      <c r="O123" s="5">
        <f t="shared" si="33"/>
        <v>0</v>
      </c>
      <c r="P123" s="5">
        <f>Table1[[#This Row],[Enrolment S.Y. 2025-2026 ]]*8</f>
        <v>8816</v>
      </c>
      <c r="Q123" s="34"/>
      <c r="R123" s="32"/>
      <c r="S123" s="34"/>
      <c r="T123" s="34">
        <f t="shared" si="34"/>
        <v>8816</v>
      </c>
      <c r="U123" s="34">
        <f t="shared" si="35"/>
        <v>0</v>
      </c>
      <c r="V123" s="34">
        <f>Table1[[#This Row],[Enrolment S.Y. 2025-2026 ]]*8</f>
        <v>8816</v>
      </c>
      <c r="W123" s="34"/>
      <c r="X123" s="32"/>
      <c r="Y123" s="34"/>
      <c r="Z123" s="34">
        <f t="shared" si="36"/>
        <v>8816</v>
      </c>
      <c r="AA123" s="34">
        <f t="shared" si="37"/>
        <v>0</v>
      </c>
      <c r="AB123" s="7"/>
    </row>
    <row r="124" spans="1:28" ht="21">
      <c r="A124" s="1">
        <v>11</v>
      </c>
      <c r="B124" s="33" t="s">
        <v>34</v>
      </c>
      <c r="C124" s="1">
        <v>1146</v>
      </c>
      <c r="D124" s="34">
        <f>Table1[[#This Row],[Enrolment S.Y. 2025-2026 ]]*8</f>
        <v>8816</v>
      </c>
      <c r="E124" s="34"/>
      <c r="F124" s="32"/>
      <c r="G124" s="34"/>
      <c r="H124" s="34">
        <f t="shared" si="30"/>
        <v>8816</v>
      </c>
      <c r="I124" s="34">
        <f t="shared" si="31"/>
        <v>0</v>
      </c>
      <c r="J124" s="34">
        <f>Table1[[#This Row],[Enrolment S.Y. 2025-2026 ]]*8</f>
        <v>8816</v>
      </c>
      <c r="K124" s="34"/>
      <c r="L124" s="32"/>
      <c r="M124" s="34"/>
      <c r="N124" s="5">
        <f t="shared" si="32"/>
        <v>8816</v>
      </c>
      <c r="O124" s="5">
        <f t="shared" si="33"/>
        <v>0</v>
      </c>
      <c r="P124" s="5">
        <f>Table1[[#This Row],[Enrolment S.Y. 2025-2026 ]]*8</f>
        <v>8816</v>
      </c>
      <c r="Q124" s="34"/>
      <c r="R124" s="32"/>
      <c r="S124" s="34"/>
      <c r="T124" s="34">
        <f t="shared" si="34"/>
        <v>8816</v>
      </c>
      <c r="U124" s="34">
        <f t="shared" si="35"/>
        <v>0</v>
      </c>
      <c r="V124" s="34">
        <f>Table1[[#This Row],[Enrolment S.Y. 2025-2026 ]]*8</f>
        <v>8816</v>
      </c>
      <c r="W124" s="34"/>
      <c r="X124" s="32"/>
      <c r="Y124" s="34"/>
      <c r="Z124" s="34">
        <f t="shared" si="36"/>
        <v>8816</v>
      </c>
      <c r="AA124" s="34">
        <f t="shared" si="37"/>
        <v>0</v>
      </c>
      <c r="AB124" s="7"/>
    </row>
    <row r="125" spans="1:28" ht="61.5">
      <c r="A125" s="1">
        <v>11</v>
      </c>
      <c r="B125" s="33" t="s">
        <v>35</v>
      </c>
      <c r="C125" s="1">
        <v>1146</v>
      </c>
      <c r="D125" s="34">
        <f>Table1[[#This Row],[Enrolment S.Y. 2025-2026 ]]*8</f>
        <v>8816</v>
      </c>
      <c r="E125" s="34"/>
      <c r="F125" s="32"/>
      <c r="G125" s="34"/>
      <c r="H125" s="34">
        <f t="shared" si="30"/>
        <v>8816</v>
      </c>
      <c r="I125" s="34">
        <f t="shared" si="31"/>
        <v>0</v>
      </c>
      <c r="J125" s="34">
        <f>Table1[[#This Row],[Enrolment S.Y. 2025-2026 ]]*8</f>
        <v>8816</v>
      </c>
      <c r="K125" s="34"/>
      <c r="L125" s="32"/>
      <c r="M125" s="34"/>
      <c r="N125" s="5">
        <f t="shared" si="32"/>
        <v>8816</v>
      </c>
      <c r="O125" s="5">
        <f t="shared" si="33"/>
        <v>0</v>
      </c>
      <c r="P125" s="5">
        <f>Table1[[#This Row],[Enrolment S.Y. 2025-2026 ]]*8</f>
        <v>8816</v>
      </c>
      <c r="Q125" s="34"/>
      <c r="R125" s="32"/>
      <c r="S125" s="34"/>
      <c r="T125" s="34">
        <f t="shared" si="34"/>
        <v>8816</v>
      </c>
      <c r="U125" s="34">
        <f t="shared" si="35"/>
        <v>0</v>
      </c>
      <c r="V125" s="34">
        <f>Table1[[#This Row],[Enrolment S.Y. 2025-2026 ]]*8</f>
        <v>8816</v>
      </c>
      <c r="W125" s="34"/>
      <c r="X125" s="32"/>
      <c r="Y125" s="34"/>
      <c r="Z125" s="34">
        <f t="shared" si="36"/>
        <v>8816</v>
      </c>
      <c r="AA125" s="34">
        <f t="shared" si="37"/>
        <v>0</v>
      </c>
      <c r="AB125" s="7"/>
    </row>
    <row r="126" spans="1:28" ht="21">
      <c r="A126" s="1">
        <v>11</v>
      </c>
      <c r="B126" s="33" t="s">
        <v>36</v>
      </c>
      <c r="C126" s="1">
        <v>1146</v>
      </c>
      <c r="D126" s="34">
        <f>Table1[[#This Row],[Enrolment S.Y. 2025-2026 ]]*8</f>
        <v>8816</v>
      </c>
      <c r="E126" s="34"/>
      <c r="F126" s="32"/>
      <c r="G126" s="34"/>
      <c r="H126" s="34">
        <f t="shared" si="30"/>
        <v>8816</v>
      </c>
      <c r="I126" s="34">
        <f t="shared" si="31"/>
        <v>0</v>
      </c>
      <c r="J126" s="34">
        <f>Table1[[#This Row],[Enrolment S.Y. 2025-2026 ]]*8</f>
        <v>8816</v>
      </c>
      <c r="K126" s="34"/>
      <c r="L126" s="32"/>
      <c r="M126" s="34"/>
      <c r="N126" s="5">
        <f t="shared" si="32"/>
        <v>8816</v>
      </c>
      <c r="O126" s="5">
        <f t="shared" si="33"/>
        <v>0</v>
      </c>
      <c r="P126" s="5">
        <f>Table1[[#This Row],[Enrolment S.Y. 2025-2026 ]]*8</f>
        <v>8816</v>
      </c>
      <c r="Q126" s="34"/>
      <c r="R126" s="32"/>
      <c r="S126" s="34"/>
      <c r="T126" s="34">
        <f t="shared" si="34"/>
        <v>8816</v>
      </c>
      <c r="U126" s="34">
        <f t="shared" si="35"/>
        <v>0</v>
      </c>
      <c r="V126" s="34">
        <f>Table1[[#This Row],[Enrolment S.Y. 2025-2026 ]]*8</f>
        <v>8816</v>
      </c>
      <c r="W126" s="34"/>
      <c r="X126" s="32"/>
      <c r="Y126" s="34"/>
      <c r="Z126" s="34">
        <f t="shared" si="36"/>
        <v>8816</v>
      </c>
      <c r="AA126" s="34">
        <f t="shared" si="37"/>
        <v>0</v>
      </c>
      <c r="AB126" s="7"/>
    </row>
    <row r="127" spans="1:28" ht="21">
      <c r="A127" s="1">
        <v>11</v>
      </c>
      <c r="B127" s="33" t="s">
        <v>37</v>
      </c>
      <c r="C127" s="1">
        <v>1146</v>
      </c>
      <c r="D127" s="34">
        <f>Table1[[#This Row],[Enrolment S.Y. 2025-2026 ]]*8</f>
        <v>8816</v>
      </c>
      <c r="E127" s="34"/>
      <c r="F127" s="32"/>
      <c r="G127" s="34"/>
      <c r="H127" s="34">
        <f t="shared" si="30"/>
        <v>8816</v>
      </c>
      <c r="I127" s="34">
        <f t="shared" si="31"/>
        <v>0</v>
      </c>
      <c r="J127" s="34">
        <f>Table1[[#This Row],[Enrolment S.Y. 2025-2026 ]]*8</f>
        <v>8816</v>
      </c>
      <c r="K127" s="34"/>
      <c r="L127" s="32"/>
      <c r="M127" s="34"/>
      <c r="N127" s="5">
        <f t="shared" si="32"/>
        <v>8816</v>
      </c>
      <c r="O127" s="5">
        <f t="shared" si="33"/>
        <v>0</v>
      </c>
      <c r="P127" s="5">
        <f>Table1[[#This Row],[Enrolment S.Y. 2025-2026 ]]*8</f>
        <v>8816</v>
      </c>
      <c r="Q127" s="34"/>
      <c r="R127" s="32"/>
      <c r="S127" s="34"/>
      <c r="T127" s="34">
        <f t="shared" si="34"/>
        <v>8816</v>
      </c>
      <c r="U127" s="34">
        <f t="shared" si="35"/>
        <v>0</v>
      </c>
      <c r="V127" s="34">
        <f>Table1[[#This Row],[Enrolment S.Y. 2025-2026 ]]*8</f>
        <v>8816</v>
      </c>
      <c r="W127" s="34"/>
      <c r="X127" s="32"/>
      <c r="Y127" s="34"/>
      <c r="Z127" s="34">
        <f t="shared" si="36"/>
        <v>8816</v>
      </c>
      <c r="AA127" s="34">
        <f t="shared" si="37"/>
        <v>0</v>
      </c>
      <c r="AB127" s="7"/>
    </row>
    <row r="128" spans="1:28" ht="21">
      <c r="A128" s="1">
        <v>11</v>
      </c>
      <c r="B128" s="33" t="s">
        <v>38</v>
      </c>
      <c r="C128" s="1">
        <v>1146</v>
      </c>
      <c r="D128" s="34">
        <f>Table1[[#This Row],[Enrolment S.Y. 2025-2026 ]]*8</f>
        <v>8816</v>
      </c>
      <c r="E128" s="34"/>
      <c r="F128" s="32"/>
      <c r="G128" s="34"/>
      <c r="H128" s="34">
        <f t="shared" si="30"/>
        <v>8816</v>
      </c>
      <c r="I128" s="34">
        <f t="shared" si="31"/>
        <v>0</v>
      </c>
      <c r="J128" s="34">
        <f>Table1[[#This Row],[Enrolment S.Y. 2025-2026 ]]*8</f>
        <v>8816</v>
      </c>
      <c r="K128" s="34"/>
      <c r="L128" s="32"/>
      <c r="M128" s="34"/>
      <c r="N128" s="5">
        <f t="shared" si="32"/>
        <v>8816</v>
      </c>
      <c r="O128" s="5">
        <f t="shared" si="33"/>
        <v>0</v>
      </c>
      <c r="P128" s="5">
        <f>Table1[[#This Row],[Enrolment S.Y. 2025-2026 ]]*8</f>
        <v>8816</v>
      </c>
      <c r="Q128" s="34"/>
      <c r="R128" s="32"/>
      <c r="S128" s="34"/>
      <c r="T128" s="34">
        <f t="shared" si="34"/>
        <v>8816</v>
      </c>
      <c r="U128" s="34">
        <f t="shared" si="35"/>
        <v>0</v>
      </c>
      <c r="V128" s="34">
        <f>Table1[[#This Row],[Enrolment S.Y. 2025-2026 ]]*8</f>
        <v>8816</v>
      </c>
      <c r="W128" s="34"/>
      <c r="X128" s="32"/>
      <c r="Y128" s="34"/>
      <c r="Z128" s="34">
        <f t="shared" si="36"/>
        <v>8816</v>
      </c>
      <c r="AA128" s="34">
        <f t="shared" si="37"/>
        <v>0</v>
      </c>
      <c r="AB128" s="7"/>
    </row>
    <row r="129" spans="1:28" ht="40.5">
      <c r="A129" s="1">
        <v>11</v>
      </c>
      <c r="B129" s="33" t="s">
        <v>39</v>
      </c>
      <c r="C129" s="1">
        <v>1146</v>
      </c>
      <c r="D129" s="34">
        <f>Table1[[#This Row],[Enrolment S.Y. 2025-2026 ]]*8</f>
        <v>8816</v>
      </c>
      <c r="E129" s="34"/>
      <c r="F129" s="32"/>
      <c r="G129" s="34"/>
      <c r="H129" s="34">
        <f t="shared" si="30"/>
        <v>8816</v>
      </c>
      <c r="I129" s="34">
        <f t="shared" si="31"/>
        <v>0</v>
      </c>
      <c r="J129" s="34">
        <f>Table1[[#This Row],[Enrolment S.Y. 2025-2026 ]]*8</f>
        <v>8816</v>
      </c>
      <c r="K129" s="34"/>
      <c r="L129" s="32"/>
      <c r="M129" s="34"/>
      <c r="N129" s="5">
        <f t="shared" si="32"/>
        <v>8816</v>
      </c>
      <c r="O129" s="5">
        <f t="shared" si="33"/>
        <v>0</v>
      </c>
      <c r="P129" s="5">
        <f>Table1[[#This Row],[Enrolment S.Y. 2025-2026 ]]*8</f>
        <v>8816</v>
      </c>
      <c r="Q129" s="34"/>
      <c r="R129" s="32"/>
      <c r="S129" s="34"/>
      <c r="T129" s="34">
        <f t="shared" si="34"/>
        <v>8816</v>
      </c>
      <c r="U129" s="34">
        <f t="shared" si="35"/>
        <v>0</v>
      </c>
      <c r="V129" s="34">
        <f>Table1[[#This Row],[Enrolment S.Y. 2025-2026 ]]*8</f>
        <v>8816</v>
      </c>
      <c r="W129" s="34"/>
      <c r="X129" s="32"/>
      <c r="Y129" s="34"/>
      <c r="Z129" s="34">
        <f t="shared" si="36"/>
        <v>8816</v>
      </c>
      <c r="AA129" s="34">
        <f t="shared" si="37"/>
        <v>0</v>
      </c>
      <c r="AB129" s="7"/>
    </row>
    <row r="130" spans="1:28" ht="21">
      <c r="A130" s="3">
        <v>11</v>
      </c>
      <c r="B130" s="33" t="s">
        <v>40</v>
      </c>
      <c r="C130" s="1">
        <v>1146</v>
      </c>
      <c r="D130" s="34">
        <f>Table1[[#This Row],[Enrolment S.Y. 2025-2026 ]]*8</f>
        <v>8816</v>
      </c>
      <c r="E130" s="34"/>
      <c r="F130" s="32"/>
      <c r="G130" s="34"/>
      <c r="H130" s="34">
        <f>IF((D130-E130)&lt;0,0,(D130-E130))</f>
        <v>8816</v>
      </c>
      <c r="I130" s="34">
        <f>IF((E130-D130)&lt;0,0,(E130-D130))</f>
        <v>0</v>
      </c>
      <c r="J130" s="34">
        <f>Table1[[#This Row],[Enrolment S.Y. 2025-2026 ]]*8</f>
        <v>8816</v>
      </c>
      <c r="K130" s="34"/>
      <c r="L130" s="32"/>
      <c r="M130" s="34"/>
      <c r="N130" s="5">
        <f t="shared" si="32"/>
        <v>8816</v>
      </c>
      <c r="O130" s="5">
        <f t="shared" si="33"/>
        <v>0</v>
      </c>
      <c r="P130" s="5">
        <f>Table1[[#This Row],[Enrolment S.Y. 2025-2026 ]]*8</f>
        <v>8816</v>
      </c>
      <c r="Q130" s="34"/>
      <c r="R130" s="32"/>
      <c r="S130" s="34"/>
      <c r="T130" s="34">
        <f>IF((P130-Q130)&lt;0,0,(P130-Q130))</f>
        <v>8816</v>
      </c>
      <c r="U130" s="34">
        <f>IF((Q130-P130)&lt;0,0,(Q130-P130))</f>
        <v>0</v>
      </c>
      <c r="V130" s="34">
        <f>Table1[[#This Row],[Enrolment S.Y. 2025-2026 ]]*8</f>
        <v>8816</v>
      </c>
      <c r="W130" s="34"/>
      <c r="X130" s="32"/>
      <c r="Y130" s="34"/>
      <c r="Z130" s="34">
        <f>IF((V130-W130)&lt;0,0,(V130-W130))</f>
        <v>8816</v>
      </c>
      <c r="AA130" s="34">
        <f>IF((W130-V130)&lt;0,0,(W130-V130))</f>
        <v>0</v>
      </c>
      <c r="AB130" s="7"/>
    </row>
    <row r="131" spans="1:28" ht="21">
      <c r="A131" s="1">
        <v>11</v>
      </c>
      <c r="B131" s="33" t="s">
        <v>41</v>
      </c>
      <c r="C131" s="1">
        <v>1146</v>
      </c>
      <c r="D131" s="34">
        <f>Table1[[#This Row],[Enrolment S.Y. 2025-2026 ]]*8</f>
        <v>8816</v>
      </c>
      <c r="E131" s="34"/>
      <c r="F131" s="32"/>
      <c r="G131" s="34"/>
      <c r="H131" s="34">
        <f t="shared" si="30"/>
        <v>8816</v>
      </c>
      <c r="I131" s="34">
        <f t="shared" si="31"/>
        <v>0</v>
      </c>
      <c r="J131" s="34">
        <f>Table1[[#This Row],[Enrolment S.Y. 2025-2026 ]]*8</f>
        <v>8816</v>
      </c>
      <c r="K131" s="34"/>
      <c r="L131" s="32"/>
      <c r="M131" s="34"/>
      <c r="N131" s="5">
        <f t="shared" si="32"/>
        <v>8816</v>
      </c>
      <c r="O131" s="5">
        <f t="shared" si="33"/>
        <v>0</v>
      </c>
      <c r="P131" s="5">
        <f>Table1[[#This Row],[Enrolment S.Y. 2025-2026 ]]*8</f>
        <v>8816</v>
      </c>
      <c r="Q131" s="34"/>
      <c r="R131" s="32"/>
      <c r="S131" s="34"/>
      <c r="T131" s="34">
        <f t="shared" si="34"/>
        <v>8816</v>
      </c>
      <c r="U131" s="34">
        <f t="shared" si="35"/>
        <v>0</v>
      </c>
      <c r="V131" s="34">
        <f>Table1[[#This Row],[Enrolment S.Y. 2025-2026 ]]*8</f>
        <v>8816</v>
      </c>
      <c r="W131" s="34"/>
      <c r="X131" s="32"/>
      <c r="Y131" s="34"/>
      <c r="Z131" s="34">
        <f t="shared" si="36"/>
        <v>8816</v>
      </c>
      <c r="AA131" s="34">
        <f t="shared" si="37"/>
        <v>0</v>
      </c>
      <c r="AB131" s="7"/>
    </row>
    <row r="132" spans="1:28" ht="61.5">
      <c r="A132" s="1">
        <v>11</v>
      </c>
      <c r="B132" s="33" t="s">
        <v>42</v>
      </c>
      <c r="C132" s="1">
        <v>1146</v>
      </c>
      <c r="D132" s="34">
        <f>Table1[[#This Row],[Enrolment S.Y. 2025-2026 ]]*8</f>
        <v>8816</v>
      </c>
      <c r="E132" s="34"/>
      <c r="F132" s="32"/>
      <c r="G132" s="34"/>
      <c r="H132" s="34">
        <f t="shared" si="30"/>
        <v>8816</v>
      </c>
      <c r="I132" s="34">
        <f t="shared" si="31"/>
        <v>0</v>
      </c>
      <c r="J132" s="34">
        <f>Table1[[#This Row],[Enrolment S.Y. 2025-2026 ]]*8</f>
        <v>8816</v>
      </c>
      <c r="K132" s="34"/>
      <c r="L132" s="32"/>
      <c r="M132" s="34"/>
      <c r="N132" s="5">
        <f t="shared" si="32"/>
        <v>8816</v>
      </c>
      <c r="O132" s="5">
        <f t="shared" si="33"/>
        <v>0</v>
      </c>
      <c r="P132" s="5">
        <f>Table1[[#This Row],[Enrolment S.Y. 2025-2026 ]]*8</f>
        <v>8816</v>
      </c>
      <c r="Q132" s="34"/>
      <c r="R132" s="32"/>
      <c r="S132" s="34"/>
      <c r="T132" s="34">
        <f t="shared" si="34"/>
        <v>8816</v>
      </c>
      <c r="U132" s="34">
        <f t="shared" si="35"/>
        <v>0</v>
      </c>
      <c r="V132" s="34">
        <f>Table1[[#This Row],[Enrolment S.Y. 2025-2026 ]]*8</f>
        <v>8816</v>
      </c>
      <c r="W132" s="34"/>
      <c r="X132" s="32"/>
      <c r="Y132" s="34"/>
      <c r="Z132" s="34">
        <f t="shared" si="36"/>
        <v>8816</v>
      </c>
      <c r="AA132" s="34">
        <f t="shared" si="37"/>
        <v>0</v>
      </c>
      <c r="AB132" s="7"/>
    </row>
    <row r="133" spans="1:28" ht="21">
      <c r="A133" s="1">
        <v>11</v>
      </c>
      <c r="B133" s="33" t="s">
        <v>43</v>
      </c>
      <c r="C133" s="1">
        <v>1146</v>
      </c>
      <c r="D133" s="34">
        <f>Table1[[#This Row],[Enrolment S.Y. 2025-2026 ]]*8</f>
        <v>8816</v>
      </c>
      <c r="E133" s="34"/>
      <c r="F133" s="32"/>
      <c r="G133" s="34"/>
      <c r="H133" s="34">
        <f t="shared" si="30"/>
        <v>8816</v>
      </c>
      <c r="I133" s="34">
        <f t="shared" si="31"/>
        <v>0</v>
      </c>
      <c r="J133" s="34">
        <f>Table1[[#This Row],[Enrolment S.Y. 2025-2026 ]]*8</f>
        <v>8816</v>
      </c>
      <c r="K133" s="34"/>
      <c r="L133" s="32"/>
      <c r="M133" s="34"/>
      <c r="N133" s="5">
        <f t="shared" si="32"/>
        <v>8816</v>
      </c>
      <c r="O133" s="5">
        <f t="shared" si="33"/>
        <v>0</v>
      </c>
      <c r="P133" s="5">
        <f>Table1[[#This Row],[Enrolment S.Y. 2025-2026 ]]*8</f>
        <v>8816</v>
      </c>
      <c r="Q133" s="34"/>
      <c r="R133" s="32"/>
      <c r="S133" s="34"/>
      <c r="T133" s="34">
        <f t="shared" si="34"/>
        <v>8816</v>
      </c>
      <c r="U133" s="34">
        <f t="shared" si="35"/>
        <v>0</v>
      </c>
      <c r="V133" s="34">
        <f>Table1[[#This Row],[Enrolment S.Y. 2025-2026 ]]*8</f>
        <v>8816</v>
      </c>
      <c r="W133" s="34"/>
      <c r="X133" s="32"/>
      <c r="Y133" s="34"/>
      <c r="Z133" s="34">
        <f t="shared" si="36"/>
        <v>8816</v>
      </c>
      <c r="AA133" s="34">
        <f t="shared" si="37"/>
        <v>0</v>
      </c>
      <c r="AB133" s="7"/>
    </row>
    <row r="134" spans="1:28" ht="40.5">
      <c r="A134" s="1">
        <v>11</v>
      </c>
      <c r="B134" s="33" t="s">
        <v>44</v>
      </c>
      <c r="C134" s="1">
        <v>1146</v>
      </c>
      <c r="D134" s="34">
        <f>Table1[[#This Row],[Enrolment S.Y. 2025-2026 ]]*8</f>
        <v>8816</v>
      </c>
      <c r="E134" s="34"/>
      <c r="F134" s="32"/>
      <c r="G134" s="34"/>
      <c r="H134" s="34">
        <f t="shared" si="30"/>
        <v>8816</v>
      </c>
      <c r="I134" s="34">
        <f t="shared" si="31"/>
        <v>0</v>
      </c>
      <c r="J134" s="34">
        <f>Table1[[#This Row],[Enrolment S.Y. 2025-2026 ]]*8</f>
        <v>8816</v>
      </c>
      <c r="K134" s="34"/>
      <c r="L134" s="32"/>
      <c r="M134" s="34"/>
      <c r="N134" s="5">
        <f t="shared" si="32"/>
        <v>8816</v>
      </c>
      <c r="O134" s="5">
        <f t="shared" si="33"/>
        <v>0</v>
      </c>
      <c r="P134" s="5">
        <f>Table1[[#This Row],[Enrolment S.Y. 2025-2026 ]]*8</f>
        <v>8816</v>
      </c>
      <c r="Q134" s="34"/>
      <c r="R134" s="32"/>
      <c r="S134" s="34"/>
      <c r="T134" s="34">
        <f t="shared" si="34"/>
        <v>8816</v>
      </c>
      <c r="U134" s="34">
        <f t="shared" si="35"/>
        <v>0</v>
      </c>
      <c r="V134" s="34">
        <f>Table1[[#This Row],[Enrolment S.Y. 2025-2026 ]]*8</f>
        <v>8816</v>
      </c>
      <c r="W134" s="34"/>
      <c r="X134" s="32"/>
      <c r="Y134" s="34"/>
      <c r="Z134" s="34">
        <f t="shared" si="36"/>
        <v>8816</v>
      </c>
      <c r="AA134" s="34">
        <f t="shared" si="37"/>
        <v>0</v>
      </c>
      <c r="AB134" s="7"/>
    </row>
    <row r="135" spans="1:28" ht="21">
      <c r="A135" s="1">
        <v>11</v>
      </c>
      <c r="B135" s="33" t="s">
        <v>45</v>
      </c>
      <c r="C135" s="1">
        <v>1146</v>
      </c>
      <c r="D135" s="34">
        <f>Table1[[#This Row],[Enrolment S.Y. 2025-2026 ]]*8</f>
        <v>0</v>
      </c>
      <c r="E135" s="34"/>
      <c r="F135" s="32"/>
      <c r="G135" s="34"/>
      <c r="H135" s="34">
        <f t="shared" si="30"/>
        <v>0</v>
      </c>
      <c r="I135" s="34">
        <f t="shared" si="31"/>
        <v>0</v>
      </c>
      <c r="J135" s="34">
        <f>Table1[[#This Row],[Enrolment S.Y. 2025-2026 ]]*8</f>
        <v>0</v>
      </c>
      <c r="K135" s="34"/>
      <c r="L135" s="32"/>
      <c r="M135" s="34"/>
      <c r="N135" s="5">
        <f t="shared" si="32"/>
        <v>0</v>
      </c>
      <c r="O135" s="5">
        <f t="shared" si="33"/>
        <v>0</v>
      </c>
      <c r="P135" s="5">
        <f>Table1[[#This Row],[Enrolment S.Y. 2025-2026 ]]*8</f>
        <v>0</v>
      </c>
      <c r="Q135" s="34"/>
      <c r="R135" s="32"/>
      <c r="S135" s="34"/>
      <c r="T135" s="34">
        <f t="shared" si="34"/>
        <v>0</v>
      </c>
      <c r="U135" s="34">
        <f t="shared" si="35"/>
        <v>0</v>
      </c>
      <c r="V135" s="34">
        <f>Table1[[#This Row],[Enrolment S.Y. 2025-2026 ]]*8</f>
        <v>0</v>
      </c>
      <c r="W135" s="34"/>
      <c r="X135" s="32"/>
      <c r="Y135" s="34"/>
      <c r="Z135" s="34">
        <f t="shared" si="36"/>
        <v>0</v>
      </c>
      <c r="AA135" s="34">
        <f t="shared" si="37"/>
        <v>0</v>
      </c>
      <c r="AB135" s="7"/>
    </row>
    <row r="136" spans="1:28" ht="40.5">
      <c r="A136" s="1">
        <v>11</v>
      </c>
      <c r="B136" s="33" t="s">
        <v>46</v>
      </c>
      <c r="C136" s="1">
        <v>1146</v>
      </c>
      <c r="D136" s="34">
        <f>Table1[[#This Row],[Enrolment S.Y. 2025-2026 ]]*8</f>
        <v>10992</v>
      </c>
      <c r="E136" s="34"/>
      <c r="F136" s="32"/>
      <c r="G136" s="34"/>
      <c r="H136" s="34">
        <f t="shared" si="30"/>
        <v>10992</v>
      </c>
      <c r="I136" s="34">
        <f t="shared" si="31"/>
        <v>0</v>
      </c>
      <c r="J136" s="34">
        <f>Table1[[#This Row],[Enrolment S.Y. 2025-2026 ]]*8</f>
        <v>10992</v>
      </c>
      <c r="K136" s="34"/>
      <c r="L136" s="32"/>
      <c r="M136" s="34"/>
      <c r="N136" s="5">
        <f t="shared" si="32"/>
        <v>10992</v>
      </c>
      <c r="O136" s="5">
        <f t="shared" si="33"/>
        <v>0</v>
      </c>
      <c r="P136" s="5">
        <f>Table1[[#This Row],[Enrolment S.Y. 2025-2026 ]]*8</f>
        <v>10992</v>
      </c>
      <c r="Q136" s="34"/>
      <c r="R136" s="32"/>
      <c r="S136" s="34"/>
      <c r="T136" s="34">
        <f t="shared" si="34"/>
        <v>10992</v>
      </c>
      <c r="U136" s="34">
        <f t="shared" si="35"/>
        <v>0</v>
      </c>
      <c r="V136" s="34">
        <f>Table1[[#This Row],[Enrolment S.Y. 2025-2026 ]]*8</f>
        <v>10992</v>
      </c>
      <c r="W136" s="34"/>
      <c r="X136" s="32"/>
      <c r="Y136" s="34"/>
      <c r="Z136" s="34">
        <f t="shared" si="36"/>
        <v>10992</v>
      </c>
      <c r="AA136" s="34">
        <f t="shared" si="37"/>
        <v>0</v>
      </c>
      <c r="AB136" s="7"/>
    </row>
    <row r="137" spans="1:28" ht="40.5">
      <c r="A137" s="1">
        <v>11</v>
      </c>
      <c r="B137" s="33" t="s">
        <v>47</v>
      </c>
      <c r="C137" s="1">
        <v>1146</v>
      </c>
      <c r="D137" s="34">
        <f>Table1[[#This Row],[Enrolment S.Y. 2025-2026 ]]*8</f>
        <v>10992</v>
      </c>
      <c r="E137" s="34"/>
      <c r="F137" s="32"/>
      <c r="G137" s="34"/>
      <c r="H137" s="34">
        <f t="shared" si="30"/>
        <v>10992</v>
      </c>
      <c r="I137" s="34">
        <f t="shared" si="31"/>
        <v>0</v>
      </c>
      <c r="J137" s="34">
        <f>Table1[[#This Row],[Enrolment S.Y. 2025-2026 ]]*8</f>
        <v>10992</v>
      </c>
      <c r="K137" s="34"/>
      <c r="L137" s="32"/>
      <c r="M137" s="34"/>
      <c r="N137" s="5">
        <f t="shared" si="32"/>
        <v>10992</v>
      </c>
      <c r="O137" s="5">
        <f t="shared" si="33"/>
        <v>0</v>
      </c>
      <c r="P137" s="5">
        <f>Table1[[#This Row],[Enrolment S.Y. 2025-2026 ]]*8</f>
        <v>10992</v>
      </c>
      <c r="Q137" s="34"/>
      <c r="R137" s="32"/>
      <c r="S137" s="34"/>
      <c r="T137" s="34">
        <f t="shared" si="34"/>
        <v>10992</v>
      </c>
      <c r="U137" s="34">
        <f t="shared" si="35"/>
        <v>0</v>
      </c>
      <c r="V137" s="34">
        <f>Table1[[#This Row],[Enrolment S.Y. 2025-2026 ]]*8</f>
        <v>10992</v>
      </c>
      <c r="W137" s="34"/>
      <c r="X137" s="32"/>
      <c r="Y137" s="34"/>
      <c r="Z137" s="34">
        <f t="shared" si="36"/>
        <v>10992</v>
      </c>
      <c r="AA137" s="34">
        <f t="shared" si="37"/>
        <v>0</v>
      </c>
      <c r="AB137" s="7"/>
    </row>
    <row r="138" spans="1:28" ht="21">
      <c r="A138" s="1">
        <v>11</v>
      </c>
      <c r="B138" s="33" t="s">
        <v>48</v>
      </c>
      <c r="C138" s="1">
        <v>1146</v>
      </c>
      <c r="D138" s="34">
        <f>Table1[[#This Row],[Enrolment S.Y. 2025-2026 ]]*8</f>
        <v>10992</v>
      </c>
      <c r="E138" s="34"/>
      <c r="F138" s="32"/>
      <c r="G138" s="34"/>
      <c r="H138" s="34">
        <f t="shared" si="30"/>
        <v>10992</v>
      </c>
      <c r="I138" s="34">
        <f t="shared" si="31"/>
        <v>0</v>
      </c>
      <c r="J138" s="34">
        <f>Table1[[#This Row],[Enrolment S.Y. 2025-2026 ]]*8</f>
        <v>10992</v>
      </c>
      <c r="K138" s="34"/>
      <c r="L138" s="32"/>
      <c r="M138" s="34"/>
      <c r="N138" s="5">
        <f t="shared" ref="N138:N145" si="38">IF((J138-K138)&lt;0,0,(J138-K138))</f>
        <v>10992</v>
      </c>
      <c r="O138" s="5">
        <f t="shared" ref="O138:O145" si="39">IF((K138-J138)&lt;0,0,(K138-J138))</f>
        <v>0</v>
      </c>
      <c r="P138" s="5">
        <f>Table1[[#This Row],[Enrolment S.Y. 2025-2026 ]]*8</f>
        <v>10992</v>
      </c>
      <c r="Q138" s="34"/>
      <c r="R138" s="32"/>
      <c r="S138" s="34"/>
      <c r="T138" s="34">
        <f t="shared" si="34"/>
        <v>10992</v>
      </c>
      <c r="U138" s="34">
        <f t="shared" si="35"/>
        <v>0</v>
      </c>
      <c r="V138" s="34">
        <f>Table1[[#This Row],[Enrolment S.Y. 2025-2026 ]]*8</f>
        <v>10992</v>
      </c>
      <c r="W138" s="34"/>
      <c r="X138" s="32"/>
      <c r="Y138" s="34"/>
      <c r="Z138" s="34">
        <f t="shared" si="36"/>
        <v>10992</v>
      </c>
      <c r="AA138" s="34">
        <f t="shared" si="37"/>
        <v>0</v>
      </c>
      <c r="AB138" s="7"/>
    </row>
    <row r="139" spans="1:28" ht="21">
      <c r="A139" s="1">
        <v>11</v>
      </c>
      <c r="B139" s="33" t="s">
        <v>49</v>
      </c>
      <c r="C139" s="1">
        <v>1146</v>
      </c>
      <c r="D139" s="34">
        <f>Table1[[#This Row],[Enrolment S.Y. 2025-2026 ]]*8</f>
        <v>10992</v>
      </c>
      <c r="E139" s="34"/>
      <c r="F139" s="32"/>
      <c r="G139" s="34"/>
      <c r="H139" s="34">
        <f t="shared" si="30"/>
        <v>10992</v>
      </c>
      <c r="I139" s="34">
        <f t="shared" si="31"/>
        <v>0</v>
      </c>
      <c r="J139" s="34">
        <f>Table1[[#This Row],[Enrolment S.Y. 2025-2026 ]]*8</f>
        <v>10992</v>
      </c>
      <c r="K139" s="34"/>
      <c r="L139" s="32"/>
      <c r="M139" s="34"/>
      <c r="N139" s="5">
        <f t="shared" si="38"/>
        <v>10992</v>
      </c>
      <c r="O139" s="5">
        <f t="shared" si="39"/>
        <v>0</v>
      </c>
      <c r="P139" s="5">
        <f>Table1[[#This Row],[Enrolment S.Y. 2025-2026 ]]*8</f>
        <v>10992</v>
      </c>
      <c r="Q139" s="34"/>
      <c r="R139" s="32"/>
      <c r="S139" s="34"/>
      <c r="T139" s="34">
        <f t="shared" si="34"/>
        <v>10992</v>
      </c>
      <c r="U139" s="34">
        <f t="shared" si="35"/>
        <v>0</v>
      </c>
      <c r="V139" s="34">
        <f>Table1[[#This Row],[Enrolment S.Y. 2025-2026 ]]*8</f>
        <v>10992</v>
      </c>
      <c r="W139" s="34"/>
      <c r="X139" s="32"/>
      <c r="Y139" s="34"/>
      <c r="Z139" s="34">
        <f t="shared" si="36"/>
        <v>10992</v>
      </c>
      <c r="AA139" s="34">
        <f t="shared" si="37"/>
        <v>0</v>
      </c>
      <c r="AB139" s="7"/>
    </row>
    <row r="140" spans="1:28" ht="21">
      <c r="A140" s="1">
        <v>11</v>
      </c>
      <c r="B140" s="33" t="s">
        <v>50</v>
      </c>
      <c r="C140" s="1">
        <v>1146</v>
      </c>
      <c r="D140" s="34">
        <f>Table1[[#This Row],[Enrolment S.Y. 2025-2026 ]]*8</f>
        <v>10992</v>
      </c>
      <c r="E140" s="34"/>
      <c r="F140" s="32"/>
      <c r="G140" s="34"/>
      <c r="H140" s="34">
        <f t="shared" si="30"/>
        <v>10992</v>
      </c>
      <c r="I140" s="34">
        <f t="shared" si="31"/>
        <v>0</v>
      </c>
      <c r="J140" s="34">
        <f>Table1[[#This Row],[Enrolment S.Y. 2025-2026 ]]*8</f>
        <v>10992</v>
      </c>
      <c r="K140" s="34"/>
      <c r="L140" s="32"/>
      <c r="M140" s="34"/>
      <c r="N140" s="5">
        <f t="shared" si="38"/>
        <v>10992</v>
      </c>
      <c r="O140" s="5">
        <f t="shared" si="39"/>
        <v>0</v>
      </c>
      <c r="P140" s="5">
        <f>Table1[[#This Row],[Enrolment S.Y. 2025-2026 ]]*8</f>
        <v>10992</v>
      </c>
      <c r="Q140" s="34"/>
      <c r="R140" s="32"/>
      <c r="S140" s="34"/>
      <c r="T140" s="34">
        <f t="shared" si="34"/>
        <v>10992</v>
      </c>
      <c r="U140" s="34">
        <f t="shared" si="35"/>
        <v>0</v>
      </c>
      <c r="V140" s="34">
        <f>Table1[[#This Row],[Enrolment S.Y. 2025-2026 ]]*8</f>
        <v>10992</v>
      </c>
      <c r="W140" s="34"/>
      <c r="X140" s="32"/>
      <c r="Y140" s="34"/>
      <c r="Z140" s="34">
        <f t="shared" si="36"/>
        <v>10992</v>
      </c>
      <c r="AA140" s="34">
        <f t="shared" si="37"/>
        <v>0</v>
      </c>
    </row>
    <row r="141" spans="1:28" ht="21">
      <c r="A141" s="1">
        <v>11</v>
      </c>
      <c r="B141" s="33" t="s">
        <v>51</v>
      </c>
      <c r="C141" s="1">
        <v>1146</v>
      </c>
      <c r="D141" s="34">
        <f>Table1[[#This Row],[Enrolment S.Y. 2025-2026 ]]*8</f>
        <v>10992</v>
      </c>
      <c r="E141" s="34"/>
      <c r="F141" s="32"/>
      <c r="G141" s="34"/>
      <c r="H141" s="34">
        <f t="shared" si="30"/>
        <v>10992</v>
      </c>
      <c r="I141" s="34">
        <f t="shared" si="31"/>
        <v>0</v>
      </c>
      <c r="J141" s="34">
        <f>Table1[[#This Row],[Enrolment S.Y. 2025-2026 ]]*8</f>
        <v>10992</v>
      </c>
      <c r="K141" s="34"/>
      <c r="L141" s="32"/>
      <c r="M141" s="34"/>
      <c r="N141" s="5">
        <f t="shared" si="38"/>
        <v>10992</v>
      </c>
      <c r="O141" s="5">
        <f t="shared" si="39"/>
        <v>0</v>
      </c>
      <c r="P141" s="5">
        <f>Table1[[#This Row],[Enrolment S.Y. 2025-2026 ]]*8</f>
        <v>10992</v>
      </c>
      <c r="Q141" s="34"/>
      <c r="R141" s="32"/>
      <c r="S141" s="34"/>
      <c r="T141" s="34">
        <f t="shared" si="34"/>
        <v>10992</v>
      </c>
      <c r="U141" s="34">
        <f t="shared" si="35"/>
        <v>0</v>
      </c>
      <c r="V141" s="34">
        <f>Table1[[#This Row],[Enrolment S.Y. 2025-2026 ]]*8</f>
        <v>10992</v>
      </c>
      <c r="W141" s="34"/>
      <c r="X141" s="32"/>
      <c r="Y141" s="34"/>
      <c r="Z141" s="34">
        <f t="shared" si="36"/>
        <v>10992</v>
      </c>
      <c r="AA141" s="34">
        <f t="shared" si="37"/>
        <v>0</v>
      </c>
    </row>
    <row r="142" spans="1:28" ht="81">
      <c r="A142" s="1">
        <v>11</v>
      </c>
      <c r="B142" s="33" t="s">
        <v>52</v>
      </c>
      <c r="C142" s="1">
        <v>1146</v>
      </c>
      <c r="D142" s="34">
        <f>Table1[[#This Row],[Enrolment S.Y. 2025-2026 ]]*8</f>
        <v>10992</v>
      </c>
      <c r="E142" s="34"/>
      <c r="F142" s="32"/>
      <c r="G142" s="34"/>
      <c r="H142" s="34">
        <f t="shared" si="30"/>
        <v>10992</v>
      </c>
      <c r="I142" s="34">
        <f t="shared" si="31"/>
        <v>0</v>
      </c>
      <c r="J142" s="34">
        <f>Table1[[#This Row],[Enrolment S.Y. 2025-2026 ]]*8</f>
        <v>10992</v>
      </c>
      <c r="K142" s="34"/>
      <c r="L142" s="32"/>
      <c r="M142" s="34"/>
      <c r="N142" s="5">
        <f t="shared" si="38"/>
        <v>10992</v>
      </c>
      <c r="O142" s="5">
        <f t="shared" si="39"/>
        <v>0</v>
      </c>
      <c r="P142" s="5">
        <f>Table1[[#This Row],[Enrolment S.Y. 2025-2026 ]]*8</f>
        <v>10992</v>
      </c>
      <c r="Q142" s="34"/>
      <c r="R142" s="32"/>
      <c r="S142" s="34"/>
      <c r="T142" s="34">
        <f t="shared" si="34"/>
        <v>10992</v>
      </c>
      <c r="U142" s="34">
        <f t="shared" si="35"/>
        <v>0</v>
      </c>
      <c r="V142" s="34">
        <f>Table1[[#This Row],[Enrolment S.Y. 2025-2026 ]]*8</f>
        <v>10992</v>
      </c>
      <c r="W142" s="34"/>
      <c r="X142" s="32"/>
      <c r="Y142" s="34"/>
      <c r="Z142" s="34">
        <f t="shared" si="36"/>
        <v>10992</v>
      </c>
      <c r="AA142" s="34">
        <f t="shared" si="37"/>
        <v>0</v>
      </c>
    </row>
    <row r="143" spans="1:28" ht="81">
      <c r="A143" s="1">
        <v>11</v>
      </c>
      <c r="B143" s="33" t="s">
        <v>53</v>
      </c>
      <c r="C143" s="1">
        <v>1146</v>
      </c>
      <c r="D143" s="34">
        <f>Table1[[#This Row],[Enrolment S.Y. 2025-2026 ]]*8</f>
        <v>10992</v>
      </c>
      <c r="E143" s="34"/>
      <c r="F143" s="32"/>
      <c r="G143" s="34"/>
      <c r="H143" s="34">
        <f t="shared" si="30"/>
        <v>10992</v>
      </c>
      <c r="I143" s="34">
        <f t="shared" si="31"/>
        <v>0</v>
      </c>
      <c r="J143" s="34">
        <f>Table1[[#This Row],[Enrolment S.Y. 2025-2026 ]]*8</f>
        <v>10992</v>
      </c>
      <c r="K143" s="34"/>
      <c r="L143" s="32"/>
      <c r="M143" s="34"/>
      <c r="N143" s="5">
        <f t="shared" si="38"/>
        <v>10992</v>
      </c>
      <c r="O143" s="5">
        <f t="shared" si="39"/>
        <v>0</v>
      </c>
      <c r="P143" s="5">
        <f>Table1[[#This Row],[Enrolment S.Y. 2025-2026 ]]*8</f>
        <v>10992</v>
      </c>
      <c r="Q143" s="34"/>
      <c r="R143" s="32"/>
      <c r="S143" s="34"/>
      <c r="T143" s="34">
        <f t="shared" si="34"/>
        <v>10992</v>
      </c>
      <c r="U143" s="34">
        <f t="shared" si="35"/>
        <v>0</v>
      </c>
      <c r="V143" s="34">
        <f>Table1[[#This Row],[Enrolment S.Y. 2025-2026 ]]*8</f>
        <v>10992</v>
      </c>
      <c r="W143" s="34"/>
      <c r="X143" s="32"/>
      <c r="Y143" s="34"/>
      <c r="Z143" s="34">
        <f t="shared" si="36"/>
        <v>10992</v>
      </c>
      <c r="AA143" s="34">
        <f t="shared" si="37"/>
        <v>0</v>
      </c>
    </row>
    <row r="144" spans="1:28" ht="21">
      <c r="A144" s="1">
        <v>11</v>
      </c>
      <c r="B144" s="33" t="s">
        <v>54</v>
      </c>
      <c r="C144" s="1">
        <v>1146</v>
      </c>
      <c r="D144" s="34">
        <f>Table1[[#This Row],[Enrolment S.Y. 2025-2026 ]]*8</f>
        <v>10992</v>
      </c>
      <c r="E144" s="34"/>
      <c r="F144" s="32"/>
      <c r="G144" s="34"/>
      <c r="H144" s="34">
        <f t="shared" si="30"/>
        <v>10992</v>
      </c>
      <c r="I144" s="34">
        <f t="shared" si="31"/>
        <v>0</v>
      </c>
      <c r="J144" s="34">
        <f>Table1[[#This Row],[Enrolment S.Y. 2025-2026 ]]*8</f>
        <v>10992</v>
      </c>
      <c r="K144" s="34"/>
      <c r="L144" s="32"/>
      <c r="M144" s="34"/>
      <c r="N144" s="5">
        <f t="shared" si="38"/>
        <v>10992</v>
      </c>
      <c r="O144" s="5">
        <f t="shared" si="39"/>
        <v>0</v>
      </c>
      <c r="P144" s="5">
        <f>Table1[[#This Row],[Enrolment S.Y. 2025-2026 ]]*8</f>
        <v>10992</v>
      </c>
      <c r="Q144" s="34"/>
      <c r="R144" s="32"/>
      <c r="S144" s="34"/>
      <c r="T144" s="34">
        <f t="shared" si="34"/>
        <v>10992</v>
      </c>
      <c r="U144" s="34">
        <f t="shared" si="35"/>
        <v>0</v>
      </c>
      <c r="V144" s="34">
        <f>Table1[[#This Row],[Enrolment S.Y. 2025-2026 ]]*8</f>
        <v>10992</v>
      </c>
      <c r="W144" s="34"/>
      <c r="X144" s="32"/>
      <c r="Y144" s="34"/>
      <c r="Z144" s="34">
        <f t="shared" si="36"/>
        <v>10992</v>
      </c>
      <c r="AA144" s="34">
        <f t="shared" si="37"/>
        <v>0</v>
      </c>
    </row>
    <row r="145" spans="1:27" ht="21">
      <c r="A145" s="1">
        <v>11</v>
      </c>
      <c r="B145" s="33" t="s">
        <v>55</v>
      </c>
      <c r="C145" s="1">
        <v>1146</v>
      </c>
      <c r="D145" s="34">
        <f>Table1[[#This Row],[Enrolment S.Y. 2025-2026 ]]*8</f>
        <v>10992</v>
      </c>
      <c r="E145" s="34"/>
      <c r="F145" s="32"/>
      <c r="G145" s="34"/>
      <c r="H145" s="34">
        <f>IF((D145-E145)&lt;0,0,(D145-E145))</f>
        <v>10992</v>
      </c>
      <c r="I145" s="34">
        <f>IF((E145-D145)&lt;0,0,(E145-D145))</f>
        <v>0</v>
      </c>
      <c r="J145" s="34">
        <f>Table1[[#This Row],[Enrolment S.Y. 2025-2026 ]]*8</f>
        <v>10992</v>
      </c>
      <c r="K145" s="34"/>
      <c r="L145" s="32"/>
      <c r="M145" s="34"/>
      <c r="N145" s="5">
        <f t="shared" si="38"/>
        <v>10992</v>
      </c>
      <c r="O145" s="5">
        <f t="shared" si="39"/>
        <v>0</v>
      </c>
      <c r="P145" s="5">
        <f>Table1[[#This Row],[Enrolment S.Y. 2025-2026 ]]*8</f>
        <v>10992</v>
      </c>
      <c r="Q145" s="34"/>
      <c r="R145" s="32"/>
      <c r="S145" s="34"/>
      <c r="T145" s="34">
        <f>IF((P145-Q145)&lt;0,0,(P145-Q145))</f>
        <v>10992</v>
      </c>
      <c r="U145" s="34">
        <f>IF((Q145-P145)&lt;0,0,(Q145-P145))</f>
        <v>0</v>
      </c>
      <c r="V145" s="34">
        <f>Table1[[#This Row],[Enrolment S.Y. 2025-2026 ]]*8</f>
        <v>10992</v>
      </c>
      <c r="W145" s="34"/>
      <c r="X145" s="32"/>
      <c r="Y145" s="34"/>
      <c r="Z145" s="34">
        <f>IF((V145-W145)&lt;0,0,(V145-W145))</f>
        <v>10992</v>
      </c>
      <c r="AA145" s="34">
        <f>IF((W145-V145)&lt;0,0,(W145-V145))</f>
        <v>0</v>
      </c>
    </row>
    <row r="146" spans="1:27" ht="19.5">
      <c r="A146" s="7"/>
      <c r="B146" s="7"/>
      <c r="C146" s="7"/>
      <c r="D146" s="7"/>
      <c r="E146" s="7"/>
      <c r="F146" s="7"/>
      <c r="G146" s="7"/>
      <c r="H146" s="7"/>
      <c r="I146" s="7"/>
      <c r="J146" s="13"/>
      <c r="K146" s="7"/>
      <c r="L146" s="7"/>
      <c r="M146" s="7"/>
      <c r="N146" s="13"/>
      <c r="O146" s="13"/>
      <c r="P146" s="13"/>
      <c r="Q146" s="7"/>
      <c r="R146" s="7"/>
      <c r="S146" s="7"/>
      <c r="T146" s="13"/>
      <c r="U146" s="13"/>
      <c r="V146" s="13"/>
      <c r="W146" s="7"/>
      <c r="X146" s="7"/>
      <c r="Y146" s="7"/>
      <c r="Z146" s="13"/>
      <c r="AA146" s="13"/>
    </row>
    <row r="147" spans="1:27" ht="57.75">
      <c r="A147" s="1">
        <v>12</v>
      </c>
      <c r="B147" s="9" t="s">
        <v>56</v>
      </c>
      <c r="C147" s="1">
        <v>1387</v>
      </c>
      <c r="D147" s="34">
        <f>Table1[[#This Row],[Enrolment S.Y. 2025-2026 ]]*8</f>
        <v>10992</v>
      </c>
      <c r="E147" s="5"/>
      <c r="F147" s="1"/>
      <c r="G147" s="5"/>
      <c r="H147" s="5">
        <f t="shared" si="30"/>
        <v>10992</v>
      </c>
      <c r="I147" s="5">
        <f t="shared" si="31"/>
        <v>0</v>
      </c>
      <c r="J147" s="5">
        <f>Table1[[#This Row],[Enrolment S.Y. 2025-2026 ]]*8</f>
        <v>10992</v>
      </c>
      <c r="K147" s="5"/>
      <c r="L147" s="1"/>
      <c r="M147" s="5"/>
      <c r="N147" s="5">
        <f t="shared" si="32"/>
        <v>10992</v>
      </c>
      <c r="O147" s="5">
        <f t="shared" si="33"/>
        <v>0</v>
      </c>
      <c r="P147" s="5">
        <f>Table1[[#This Row],[Enrolment S.Y. 2025-2026 ]]*8</f>
        <v>10992</v>
      </c>
      <c r="Q147" s="5"/>
      <c r="R147" s="1"/>
      <c r="S147" s="5"/>
      <c r="T147" s="5">
        <f t="shared" si="34"/>
        <v>10992</v>
      </c>
      <c r="U147" s="5">
        <f t="shared" si="35"/>
        <v>0</v>
      </c>
      <c r="V147" s="5">
        <f>Table1[[#This Row],[Enrolment S.Y. 2025-2026 ]]*8</f>
        <v>10992</v>
      </c>
      <c r="W147" s="5"/>
      <c r="X147" s="1"/>
      <c r="Y147" s="5"/>
      <c r="Z147" s="5">
        <f t="shared" si="36"/>
        <v>10992</v>
      </c>
      <c r="AA147" s="5">
        <f t="shared" si="37"/>
        <v>0</v>
      </c>
    </row>
    <row r="148" spans="1:27" ht="38.25">
      <c r="A148" s="1">
        <v>12</v>
      </c>
      <c r="B148" s="9" t="s">
        <v>57</v>
      </c>
      <c r="C148" s="1">
        <v>1387</v>
      </c>
      <c r="D148" s="34">
        <f>Table1[[#This Row],[Enrolment S.Y. 2025-2026 ]]*8</f>
        <v>10992</v>
      </c>
      <c r="E148" s="5"/>
      <c r="F148" s="1"/>
      <c r="G148" s="5"/>
      <c r="H148" s="5">
        <f t="shared" si="30"/>
        <v>10992</v>
      </c>
      <c r="I148" s="5">
        <f t="shared" si="31"/>
        <v>0</v>
      </c>
      <c r="J148" s="5">
        <f>Table1[[#This Row],[Enrolment S.Y. 2025-2026 ]]*8</f>
        <v>10992</v>
      </c>
      <c r="K148" s="5"/>
      <c r="L148" s="1"/>
      <c r="M148" s="5"/>
      <c r="N148" s="5">
        <f t="shared" si="32"/>
        <v>10992</v>
      </c>
      <c r="O148" s="5">
        <f t="shared" si="33"/>
        <v>0</v>
      </c>
      <c r="P148" s="5">
        <f>Table1[[#This Row],[Enrolment S.Y. 2025-2026 ]]*8</f>
        <v>10992</v>
      </c>
      <c r="Q148" s="5"/>
      <c r="R148" s="1"/>
      <c r="S148" s="5"/>
      <c r="T148" s="5">
        <f t="shared" si="34"/>
        <v>10992</v>
      </c>
      <c r="U148" s="5">
        <f t="shared" si="35"/>
        <v>0</v>
      </c>
      <c r="V148" s="5">
        <f>Table1[[#This Row],[Enrolment S.Y. 2025-2026 ]]*8</f>
        <v>10992</v>
      </c>
      <c r="W148" s="5"/>
      <c r="X148" s="1"/>
      <c r="Y148" s="5"/>
      <c r="Z148" s="5">
        <f t="shared" si="36"/>
        <v>10992</v>
      </c>
      <c r="AA148" s="5">
        <f t="shared" si="37"/>
        <v>0</v>
      </c>
    </row>
    <row r="149" spans="1:27" ht="57.75">
      <c r="A149" s="1">
        <v>12</v>
      </c>
      <c r="B149" s="9" t="s">
        <v>58</v>
      </c>
      <c r="C149" s="1">
        <v>1387</v>
      </c>
      <c r="D149" s="34">
        <f>Table1[[#This Row],[Enrolment S.Y. 2025-2026 ]]*8</f>
        <v>10992</v>
      </c>
      <c r="E149" s="5"/>
      <c r="F149" s="1"/>
      <c r="G149" s="5"/>
      <c r="H149" s="5">
        <f t="shared" si="30"/>
        <v>10992</v>
      </c>
      <c r="I149" s="5">
        <f t="shared" si="31"/>
        <v>0</v>
      </c>
      <c r="J149" s="5">
        <f>Table1[[#This Row],[Enrolment S.Y. 2025-2026 ]]*8</f>
        <v>10992</v>
      </c>
      <c r="K149" s="5"/>
      <c r="L149" s="1"/>
      <c r="M149" s="5"/>
      <c r="N149" s="5">
        <f t="shared" si="32"/>
        <v>10992</v>
      </c>
      <c r="O149" s="5">
        <f t="shared" si="33"/>
        <v>0</v>
      </c>
      <c r="P149" s="5">
        <f>Table1[[#This Row],[Enrolment S.Y. 2025-2026 ]]*8</f>
        <v>10992</v>
      </c>
      <c r="Q149" s="5"/>
      <c r="R149" s="1"/>
      <c r="S149" s="5"/>
      <c r="T149" s="5">
        <f t="shared" si="34"/>
        <v>10992</v>
      </c>
      <c r="U149" s="5">
        <f t="shared" si="35"/>
        <v>0</v>
      </c>
      <c r="V149" s="5">
        <f>Table1[[#This Row],[Enrolment S.Y. 2025-2026 ]]*8</f>
        <v>10992</v>
      </c>
      <c r="W149" s="5"/>
      <c r="X149" s="1"/>
      <c r="Y149" s="5"/>
      <c r="Z149" s="5">
        <f t="shared" si="36"/>
        <v>10992</v>
      </c>
      <c r="AA149" s="5">
        <f t="shared" si="37"/>
        <v>0</v>
      </c>
    </row>
    <row r="150" spans="1:27" ht="40.5">
      <c r="A150" s="1">
        <v>12</v>
      </c>
      <c r="B150" s="33" t="s">
        <v>59</v>
      </c>
      <c r="C150" s="1">
        <v>1387</v>
      </c>
      <c r="D150" s="34">
        <f>Table1[[#This Row],[Enrolment S.Y. 2025-2026 ]]*8</f>
        <v>10992</v>
      </c>
      <c r="E150" s="5"/>
      <c r="F150" s="1"/>
      <c r="G150" s="5"/>
      <c r="H150" s="5">
        <f t="shared" si="30"/>
        <v>10992</v>
      </c>
      <c r="I150" s="5">
        <f t="shared" si="31"/>
        <v>0</v>
      </c>
      <c r="J150" s="5">
        <f>Table1[[#This Row],[Enrolment S.Y. 2025-2026 ]]*8</f>
        <v>10992</v>
      </c>
      <c r="K150" s="5"/>
      <c r="L150" s="1"/>
      <c r="M150" s="5"/>
      <c r="N150" s="5">
        <f t="shared" si="32"/>
        <v>10992</v>
      </c>
      <c r="O150" s="5">
        <f t="shared" si="33"/>
        <v>0</v>
      </c>
      <c r="P150" s="5">
        <f>Table1[[#This Row],[Enrolment S.Y. 2025-2026 ]]*8</f>
        <v>10992</v>
      </c>
      <c r="Q150" s="5"/>
      <c r="R150" s="1"/>
      <c r="S150" s="5"/>
      <c r="T150" s="5">
        <f t="shared" si="34"/>
        <v>10992</v>
      </c>
      <c r="U150" s="5">
        <f t="shared" si="35"/>
        <v>0</v>
      </c>
      <c r="V150" s="5">
        <f>Table1[[#This Row],[Enrolment S.Y. 2025-2026 ]]*8</f>
        <v>10992</v>
      </c>
      <c r="W150" s="5"/>
      <c r="X150" s="1"/>
      <c r="Y150" s="5"/>
      <c r="Z150" s="5">
        <f t="shared" si="36"/>
        <v>10992</v>
      </c>
      <c r="AA150" s="5">
        <f t="shared" si="37"/>
        <v>0</v>
      </c>
    </row>
    <row r="151" spans="1:27" ht="21">
      <c r="A151" s="1">
        <v>12</v>
      </c>
      <c r="B151" s="33" t="s">
        <v>60</v>
      </c>
      <c r="C151" s="1">
        <v>1387</v>
      </c>
      <c r="D151" s="34">
        <f>Table1[[#This Row],[Enrolment S.Y. 2025-2026 ]]*8</f>
        <v>10992</v>
      </c>
      <c r="E151" s="5"/>
      <c r="F151" s="1"/>
      <c r="G151" s="5"/>
      <c r="H151" s="5">
        <f t="shared" si="30"/>
        <v>10992</v>
      </c>
      <c r="I151" s="5">
        <f t="shared" si="31"/>
        <v>0</v>
      </c>
      <c r="J151" s="5">
        <f>Table1[[#This Row],[Enrolment S.Y. 2025-2026 ]]*8</f>
        <v>10992</v>
      </c>
      <c r="K151" s="5"/>
      <c r="L151" s="1"/>
      <c r="M151" s="5"/>
      <c r="N151" s="5">
        <f t="shared" si="32"/>
        <v>10992</v>
      </c>
      <c r="O151" s="5">
        <f t="shared" si="33"/>
        <v>0</v>
      </c>
      <c r="P151" s="5">
        <f>Table1[[#This Row],[Enrolment S.Y. 2025-2026 ]]*8</f>
        <v>10992</v>
      </c>
      <c r="Q151" s="5"/>
      <c r="R151" s="1"/>
      <c r="S151" s="5"/>
      <c r="T151" s="5">
        <f t="shared" si="34"/>
        <v>10992</v>
      </c>
      <c r="U151" s="5">
        <f t="shared" si="35"/>
        <v>0</v>
      </c>
      <c r="V151" s="5">
        <f>Table1[[#This Row],[Enrolment S.Y. 2025-2026 ]]*8</f>
        <v>10992</v>
      </c>
      <c r="W151" s="5"/>
      <c r="X151" s="1"/>
      <c r="Y151" s="5"/>
      <c r="Z151" s="5">
        <f t="shared" si="36"/>
        <v>10992</v>
      </c>
      <c r="AA151" s="5">
        <f t="shared" si="37"/>
        <v>0</v>
      </c>
    </row>
    <row r="152" spans="1:27" ht="19.5">
      <c r="A152" s="1">
        <v>12</v>
      </c>
      <c r="B152" s="9" t="s">
        <v>61</v>
      </c>
      <c r="C152" s="1">
        <v>1387</v>
      </c>
      <c r="D152" s="34">
        <f>Table1[[#This Row],[Enrolment S.Y. 2025-2026 ]]*8</f>
        <v>10992</v>
      </c>
      <c r="E152" s="5"/>
      <c r="F152" s="1"/>
      <c r="G152" s="5"/>
      <c r="H152" s="5">
        <f t="shared" si="30"/>
        <v>10992</v>
      </c>
      <c r="I152" s="5">
        <f t="shared" si="31"/>
        <v>0</v>
      </c>
      <c r="J152" s="5">
        <f>Table1[[#This Row],[Enrolment S.Y. 2025-2026 ]]*8</f>
        <v>10992</v>
      </c>
      <c r="K152" s="5"/>
      <c r="L152" s="1"/>
      <c r="M152" s="5"/>
      <c r="N152" s="5">
        <f t="shared" si="32"/>
        <v>10992</v>
      </c>
      <c r="O152" s="5">
        <f t="shared" si="33"/>
        <v>0</v>
      </c>
      <c r="P152" s="5">
        <f>Table1[[#This Row],[Enrolment S.Y. 2025-2026 ]]*8</f>
        <v>10992</v>
      </c>
      <c r="Q152" s="5"/>
      <c r="R152" s="1"/>
      <c r="S152" s="5"/>
      <c r="T152" s="5">
        <f t="shared" si="34"/>
        <v>10992</v>
      </c>
      <c r="U152" s="5">
        <f t="shared" si="35"/>
        <v>0</v>
      </c>
      <c r="V152" s="5">
        <f>Table1[[#This Row],[Enrolment S.Y. 2025-2026 ]]*8</f>
        <v>10992</v>
      </c>
      <c r="W152" s="5"/>
      <c r="X152" s="1"/>
      <c r="Y152" s="5"/>
      <c r="Z152" s="5">
        <f t="shared" si="36"/>
        <v>10992</v>
      </c>
      <c r="AA152" s="5">
        <f t="shared" si="37"/>
        <v>0</v>
      </c>
    </row>
    <row r="153" spans="1:27" ht="38.25">
      <c r="A153" s="1">
        <v>12</v>
      </c>
      <c r="B153" s="9" t="s">
        <v>62</v>
      </c>
      <c r="C153" s="1">
        <v>1387</v>
      </c>
      <c r="D153" s="34">
        <f>Table1[[#This Row],[Enrolment S.Y. 2025-2026 ]]*8</f>
        <v>10992</v>
      </c>
      <c r="E153" s="5"/>
      <c r="F153" s="1"/>
      <c r="G153" s="5"/>
      <c r="H153" s="5">
        <f t="shared" si="30"/>
        <v>10992</v>
      </c>
      <c r="I153" s="5">
        <f t="shared" si="31"/>
        <v>0</v>
      </c>
      <c r="J153" s="5">
        <f>Table1[[#This Row],[Enrolment S.Y. 2025-2026 ]]*8</f>
        <v>10992</v>
      </c>
      <c r="K153" s="5"/>
      <c r="L153" s="1"/>
      <c r="M153" s="5"/>
      <c r="N153" s="5">
        <f t="shared" si="32"/>
        <v>10992</v>
      </c>
      <c r="O153" s="5">
        <f t="shared" si="33"/>
        <v>0</v>
      </c>
      <c r="P153" s="5">
        <f>Table1[[#This Row],[Enrolment S.Y. 2025-2026 ]]*8</f>
        <v>10992</v>
      </c>
      <c r="Q153" s="5"/>
      <c r="R153" s="1"/>
      <c r="S153" s="5"/>
      <c r="T153" s="5">
        <f t="shared" si="34"/>
        <v>10992</v>
      </c>
      <c r="U153" s="5">
        <f t="shared" si="35"/>
        <v>0</v>
      </c>
      <c r="V153" s="5">
        <f>Table1[[#This Row],[Enrolment S.Y. 2025-2026 ]]*8</f>
        <v>10992</v>
      </c>
      <c r="W153" s="5"/>
      <c r="X153" s="1"/>
      <c r="Y153" s="5"/>
      <c r="Z153" s="5">
        <f t="shared" si="36"/>
        <v>10992</v>
      </c>
      <c r="AA153" s="5">
        <f t="shared" si="37"/>
        <v>0</v>
      </c>
    </row>
    <row r="154" spans="1:27" ht="40.5">
      <c r="A154" s="1">
        <v>12</v>
      </c>
      <c r="B154" s="33" t="s">
        <v>63</v>
      </c>
      <c r="C154" s="1">
        <v>1387</v>
      </c>
      <c r="D154" s="34">
        <f>Table1[[#This Row],[Enrolment S.Y. 2025-2026 ]]*8</f>
        <v>10992</v>
      </c>
      <c r="E154" s="5"/>
      <c r="F154" s="1"/>
      <c r="G154" s="5"/>
      <c r="H154" s="5">
        <f t="shared" si="30"/>
        <v>10992</v>
      </c>
      <c r="I154" s="5">
        <f t="shared" si="31"/>
        <v>0</v>
      </c>
      <c r="J154" s="5">
        <f>Table1[[#This Row],[Enrolment S.Y. 2025-2026 ]]*8</f>
        <v>10992</v>
      </c>
      <c r="K154" s="5"/>
      <c r="L154" s="1"/>
      <c r="M154" s="5"/>
      <c r="N154" s="5">
        <f t="shared" si="32"/>
        <v>10992</v>
      </c>
      <c r="O154" s="5">
        <f t="shared" si="33"/>
        <v>0</v>
      </c>
      <c r="P154" s="5">
        <f>Table1[[#This Row],[Enrolment S.Y. 2025-2026 ]]*8</f>
        <v>10992</v>
      </c>
      <c r="Q154" s="5"/>
      <c r="R154" s="1"/>
      <c r="S154" s="5"/>
      <c r="T154" s="5">
        <f t="shared" si="34"/>
        <v>10992</v>
      </c>
      <c r="U154" s="5">
        <f t="shared" si="35"/>
        <v>0</v>
      </c>
      <c r="V154" s="5">
        <f>Table1[[#This Row],[Enrolment S.Y. 2025-2026 ]]*8</f>
        <v>10992</v>
      </c>
      <c r="W154" s="5"/>
      <c r="X154" s="1"/>
      <c r="Y154" s="5"/>
      <c r="Z154" s="5">
        <f t="shared" si="36"/>
        <v>10992</v>
      </c>
      <c r="AA154" s="5">
        <f t="shared" si="37"/>
        <v>0</v>
      </c>
    </row>
    <row r="155" spans="1:27" ht="40.5">
      <c r="A155" s="1">
        <v>12</v>
      </c>
      <c r="B155" s="33" t="s">
        <v>64</v>
      </c>
      <c r="C155" s="1">
        <v>1387</v>
      </c>
      <c r="D155" s="34">
        <f>Table1[[#This Row],[Enrolment S.Y. 2025-2026 ]]*8</f>
        <v>10992</v>
      </c>
      <c r="E155" s="5"/>
      <c r="F155" s="1"/>
      <c r="G155" s="5"/>
      <c r="H155" s="5">
        <f t="shared" si="30"/>
        <v>10992</v>
      </c>
      <c r="I155" s="5">
        <f t="shared" si="31"/>
        <v>0</v>
      </c>
      <c r="J155" s="5">
        <f>Table1[[#This Row],[Enrolment S.Y. 2025-2026 ]]*8</f>
        <v>10992</v>
      </c>
      <c r="K155" s="5"/>
      <c r="L155" s="1"/>
      <c r="M155" s="5"/>
      <c r="N155" s="5">
        <f t="shared" si="32"/>
        <v>10992</v>
      </c>
      <c r="O155" s="5">
        <f t="shared" si="33"/>
        <v>0</v>
      </c>
      <c r="P155" s="5">
        <f>Table1[[#This Row],[Enrolment S.Y. 2025-2026 ]]*8</f>
        <v>10992</v>
      </c>
      <c r="Q155" s="5"/>
      <c r="R155" s="1"/>
      <c r="S155" s="5"/>
      <c r="T155" s="5">
        <f t="shared" si="34"/>
        <v>10992</v>
      </c>
      <c r="U155" s="5">
        <f t="shared" si="35"/>
        <v>0</v>
      </c>
      <c r="V155" s="5">
        <f>Table1[[#This Row],[Enrolment S.Y. 2025-2026 ]]*8</f>
        <v>10992</v>
      </c>
      <c r="W155" s="5"/>
      <c r="X155" s="1"/>
      <c r="Y155" s="5"/>
      <c r="Z155" s="5">
        <f t="shared" si="36"/>
        <v>10992</v>
      </c>
      <c r="AA155" s="5">
        <f t="shared" si="37"/>
        <v>0</v>
      </c>
    </row>
    <row r="156" spans="1:27" ht="81">
      <c r="A156" s="1">
        <v>12</v>
      </c>
      <c r="B156" s="33" t="s">
        <v>65</v>
      </c>
      <c r="C156" s="1">
        <v>1387</v>
      </c>
      <c r="D156" s="34">
        <f>Table1[[#This Row],[Enrolment S.Y. 2025-2026 ]]*8</f>
        <v>10992</v>
      </c>
      <c r="E156" s="5"/>
      <c r="F156" s="1"/>
      <c r="G156" s="5"/>
      <c r="H156" s="5">
        <f t="shared" si="30"/>
        <v>10992</v>
      </c>
      <c r="I156" s="5">
        <f t="shared" si="31"/>
        <v>0</v>
      </c>
      <c r="J156" s="5">
        <f>Table1[[#This Row],[Enrolment S.Y. 2025-2026 ]]*8</f>
        <v>10992</v>
      </c>
      <c r="K156" s="5"/>
      <c r="L156" s="1"/>
      <c r="M156" s="5"/>
      <c r="N156" s="5">
        <f t="shared" si="32"/>
        <v>10992</v>
      </c>
      <c r="O156" s="5">
        <f t="shared" si="33"/>
        <v>0</v>
      </c>
      <c r="P156" s="5">
        <f>Table1[[#This Row],[Enrolment S.Y. 2025-2026 ]]*8</f>
        <v>10992</v>
      </c>
      <c r="Q156" s="5"/>
      <c r="R156" s="1"/>
      <c r="S156" s="5"/>
      <c r="T156" s="5">
        <f t="shared" si="34"/>
        <v>10992</v>
      </c>
      <c r="U156" s="5">
        <f t="shared" si="35"/>
        <v>0</v>
      </c>
      <c r="V156" s="5">
        <f>Table1[[#This Row],[Enrolment S.Y. 2025-2026 ]]*8</f>
        <v>10992</v>
      </c>
      <c r="W156" s="5"/>
      <c r="X156" s="1"/>
      <c r="Y156" s="5"/>
      <c r="Z156" s="5">
        <f t="shared" si="36"/>
        <v>10992</v>
      </c>
      <c r="AA156" s="5">
        <f t="shared" si="37"/>
        <v>0</v>
      </c>
    </row>
    <row r="157" spans="1:27" ht="19.5">
      <c r="A157" s="1">
        <v>12</v>
      </c>
      <c r="B157" s="9" t="s">
        <v>54</v>
      </c>
      <c r="C157" s="1">
        <v>1387</v>
      </c>
      <c r="D157" s="34">
        <f>Table1[[#This Row],[Enrolment S.Y. 2025-2026 ]]*8</f>
        <v>10992</v>
      </c>
      <c r="E157" s="5"/>
      <c r="F157" s="1"/>
      <c r="G157" s="5"/>
      <c r="H157" s="5">
        <f t="shared" si="30"/>
        <v>10992</v>
      </c>
      <c r="I157" s="5">
        <f t="shared" si="31"/>
        <v>0</v>
      </c>
      <c r="J157" s="5">
        <f>Table1[[#This Row],[Enrolment S.Y. 2025-2026 ]]*8</f>
        <v>10992</v>
      </c>
      <c r="K157" s="5"/>
      <c r="L157" s="1"/>
      <c r="M157" s="5"/>
      <c r="N157" s="5">
        <f t="shared" si="32"/>
        <v>10992</v>
      </c>
      <c r="O157" s="5">
        <f t="shared" si="33"/>
        <v>0</v>
      </c>
      <c r="P157" s="5">
        <f>Table1[[#This Row],[Enrolment S.Y. 2025-2026 ]]*8</f>
        <v>10992</v>
      </c>
      <c r="Q157" s="5"/>
      <c r="R157" s="1"/>
      <c r="S157" s="5"/>
      <c r="T157" s="5">
        <f t="shared" si="34"/>
        <v>10992</v>
      </c>
      <c r="U157" s="5">
        <f t="shared" si="35"/>
        <v>0</v>
      </c>
      <c r="V157" s="5">
        <f>Table1[[#This Row],[Enrolment S.Y. 2025-2026 ]]*8</f>
        <v>10992</v>
      </c>
      <c r="W157" s="5"/>
      <c r="X157" s="1"/>
      <c r="Y157" s="5"/>
      <c r="Z157" s="5">
        <f t="shared" si="36"/>
        <v>10992</v>
      </c>
      <c r="AA157" s="5">
        <f t="shared" si="37"/>
        <v>0</v>
      </c>
    </row>
    <row r="158" spans="1:27" ht="21">
      <c r="A158" s="1">
        <v>12</v>
      </c>
      <c r="B158" s="33" t="s">
        <v>66</v>
      </c>
      <c r="C158" s="1">
        <v>1387</v>
      </c>
      <c r="D158" s="34">
        <f>Table1[[#This Row],[Enrolment S.Y. 2025-2026 ]]*8</f>
        <v>10992</v>
      </c>
      <c r="E158" s="5"/>
      <c r="F158" s="1"/>
      <c r="G158" s="5"/>
      <c r="H158" s="5">
        <f t="shared" si="30"/>
        <v>10992</v>
      </c>
      <c r="I158" s="5">
        <f t="shared" si="31"/>
        <v>0</v>
      </c>
      <c r="J158" s="5">
        <f>Table1[[#This Row],[Enrolment S.Y. 2025-2026 ]]*8</f>
        <v>10992</v>
      </c>
      <c r="K158" s="5"/>
      <c r="L158" s="1"/>
      <c r="M158" s="5"/>
      <c r="N158" s="5">
        <f t="shared" si="32"/>
        <v>10992</v>
      </c>
      <c r="O158" s="5">
        <f t="shared" si="33"/>
        <v>0</v>
      </c>
      <c r="P158" s="5">
        <f>Table1[[#This Row],[Enrolment S.Y. 2025-2026 ]]*8</f>
        <v>10992</v>
      </c>
      <c r="Q158" s="5"/>
      <c r="R158" s="1"/>
      <c r="S158" s="5"/>
      <c r="T158" s="5">
        <f t="shared" si="34"/>
        <v>10992</v>
      </c>
      <c r="U158" s="5">
        <f t="shared" si="35"/>
        <v>0</v>
      </c>
      <c r="V158" s="5">
        <f>Table1[[#This Row],[Enrolment S.Y. 2025-2026 ]]*8</f>
        <v>10992</v>
      </c>
      <c r="W158" s="5"/>
      <c r="X158" s="1"/>
      <c r="Y158" s="5"/>
      <c r="Z158" s="5">
        <f t="shared" si="36"/>
        <v>10992</v>
      </c>
      <c r="AA158" s="5">
        <f t="shared" si="37"/>
        <v>0</v>
      </c>
    </row>
    <row r="159" spans="1:27" ht="21">
      <c r="A159" s="1">
        <v>12</v>
      </c>
      <c r="B159" s="33" t="s">
        <v>67</v>
      </c>
      <c r="C159" s="1">
        <v>1387</v>
      </c>
      <c r="D159" s="34">
        <f>Table1[[#This Row],[Enrolment S.Y. 2025-2026 ]]*8</f>
        <v>10992</v>
      </c>
      <c r="E159" s="5"/>
      <c r="F159" s="1"/>
      <c r="G159" s="5"/>
      <c r="H159" s="5">
        <f t="shared" si="30"/>
        <v>10992</v>
      </c>
      <c r="I159" s="5">
        <f t="shared" si="31"/>
        <v>0</v>
      </c>
      <c r="J159" s="5">
        <f>Table1[[#This Row],[Enrolment S.Y. 2025-2026 ]]*8</f>
        <v>10992</v>
      </c>
      <c r="K159" s="5"/>
      <c r="L159" s="1"/>
      <c r="M159" s="5"/>
      <c r="N159" s="5">
        <f t="shared" si="32"/>
        <v>10992</v>
      </c>
      <c r="O159" s="5">
        <f t="shared" si="33"/>
        <v>0</v>
      </c>
      <c r="P159" s="5">
        <f>Table1[[#This Row],[Enrolment S.Y. 2025-2026 ]]*8</f>
        <v>10992</v>
      </c>
      <c r="Q159" s="5"/>
      <c r="R159" s="1"/>
      <c r="S159" s="5"/>
      <c r="T159" s="5">
        <f t="shared" si="34"/>
        <v>10992</v>
      </c>
      <c r="U159" s="5">
        <f t="shared" si="35"/>
        <v>0</v>
      </c>
      <c r="V159" s="5">
        <f>Table1[[#This Row],[Enrolment S.Y. 2025-2026 ]]*8</f>
        <v>10992</v>
      </c>
      <c r="W159" s="5"/>
      <c r="X159" s="1"/>
      <c r="Y159" s="5"/>
      <c r="Z159" s="5">
        <f t="shared" si="36"/>
        <v>10992</v>
      </c>
      <c r="AA159" s="5">
        <f t="shared" si="37"/>
        <v>0</v>
      </c>
    </row>
    <row r="160" spans="1:27" ht="21">
      <c r="A160" s="1">
        <v>12</v>
      </c>
      <c r="B160" s="33" t="s">
        <v>68</v>
      </c>
      <c r="C160" s="1">
        <v>1387</v>
      </c>
      <c r="D160" s="34">
        <f>Table1[[#This Row],[Enrolment S.Y. 2025-2026 ]]*8</f>
        <v>10992</v>
      </c>
      <c r="E160" s="5"/>
      <c r="F160" s="1"/>
      <c r="G160" s="5"/>
      <c r="H160" s="5">
        <f t="shared" si="30"/>
        <v>10992</v>
      </c>
      <c r="I160" s="5">
        <f t="shared" si="31"/>
        <v>0</v>
      </c>
      <c r="J160" s="5">
        <f>Table1[[#This Row],[Enrolment S.Y. 2025-2026 ]]*8</f>
        <v>10992</v>
      </c>
      <c r="K160" s="5"/>
      <c r="L160" s="1"/>
      <c r="M160" s="5"/>
      <c r="N160" s="5">
        <f t="shared" si="32"/>
        <v>10992</v>
      </c>
      <c r="O160" s="5">
        <f t="shared" si="33"/>
        <v>0</v>
      </c>
      <c r="P160" s="5">
        <f>Table1[[#This Row],[Enrolment S.Y. 2025-2026 ]]*8</f>
        <v>10992</v>
      </c>
      <c r="Q160" s="5"/>
      <c r="R160" s="1"/>
      <c r="S160" s="5"/>
      <c r="T160" s="5">
        <f t="shared" si="34"/>
        <v>10992</v>
      </c>
      <c r="U160" s="5">
        <f t="shared" si="35"/>
        <v>0</v>
      </c>
      <c r="V160" s="5">
        <f>Table1[[#This Row],[Enrolment S.Y. 2025-2026 ]]*8</f>
        <v>10992</v>
      </c>
      <c r="W160" s="5"/>
      <c r="X160" s="1"/>
      <c r="Y160" s="5"/>
      <c r="Z160" s="5">
        <f t="shared" si="36"/>
        <v>10992</v>
      </c>
      <c r="AA160" s="5">
        <f t="shared" si="37"/>
        <v>0</v>
      </c>
    </row>
    <row r="161" spans="1:27" ht="42">
      <c r="A161" s="1">
        <v>12</v>
      </c>
      <c r="B161" s="43" t="s">
        <v>69</v>
      </c>
      <c r="C161" s="1">
        <v>1387</v>
      </c>
      <c r="D161" s="34">
        <f>Table1[[#This Row],[Enrolment S.Y. 2025-2026 ]]*8</f>
        <v>10992</v>
      </c>
      <c r="E161" s="5"/>
      <c r="F161" s="1"/>
      <c r="G161" s="5"/>
      <c r="H161" s="5">
        <f t="shared" si="30"/>
        <v>10992</v>
      </c>
      <c r="I161" s="5">
        <f t="shared" si="31"/>
        <v>0</v>
      </c>
      <c r="J161" s="5">
        <f>Table1[[#This Row],[Enrolment S.Y. 2025-2026 ]]*8</f>
        <v>10992</v>
      </c>
      <c r="K161" s="5"/>
      <c r="L161" s="1"/>
      <c r="M161" s="5"/>
      <c r="N161" s="5">
        <f t="shared" si="32"/>
        <v>10992</v>
      </c>
      <c r="O161" s="5">
        <f t="shared" si="33"/>
        <v>0</v>
      </c>
      <c r="P161" s="5">
        <f>Table1[[#This Row],[Enrolment S.Y. 2025-2026 ]]*8</f>
        <v>10992</v>
      </c>
      <c r="Q161" s="5"/>
      <c r="R161" s="1"/>
      <c r="S161" s="5"/>
      <c r="T161" s="5">
        <f t="shared" si="34"/>
        <v>10992</v>
      </c>
      <c r="U161" s="5">
        <f t="shared" si="35"/>
        <v>0</v>
      </c>
      <c r="V161" s="5">
        <f>Table1[[#This Row],[Enrolment S.Y. 2025-2026 ]]*8</f>
        <v>10992</v>
      </c>
      <c r="W161" s="5"/>
      <c r="X161" s="1"/>
      <c r="Y161" s="5"/>
      <c r="Z161" s="5">
        <f t="shared" si="36"/>
        <v>10992</v>
      </c>
      <c r="AA161" s="5">
        <f t="shared" si="37"/>
        <v>0</v>
      </c>
    </row>
    <row r="162" spans="1:27" ht="21">
      <c r="A162" s="3">
        <v>12</v>
      </c>
      <c r="B162" s="33" t="s">
        <v>70</v>
      </c>
      <c r="C162" s="1">
        <v>1387</v>
      </c>
      <c r="D162" s="34">
        <f>Table1[[#This Row],[Enrolment S.Y. 2025-2026 ]]*8</f>
        <v>10992</v>
      </c>
      <c r="E162" s="34"/>
      <c r="F162" s="32"/>
      <c r="G162" s="34"/>
      <c r="H162" s="34">
        <f t="shared" si="30"/>
        <v>10992</v>
      </c>
      <c r="I162" s="34">
        <f t="shared" si="31"/>
        <v>0</v>
      </c>
      <c r="J162" s="34">
        <f>Table1[[#This Row],[Enrolment S.Y. 2025-2026 ]]*8</f>
        <v>10992</v>
      </c>
      <c r="K162" s="34"/>
      <c r="L162" s="32"/>
      <c r="M162" s="34"/>
      <c r="N162" s="5">
        <f t="shared" ref="N162:N173" si="40">IF((J162-K162)&lt;0,0,(J162-K162))</f>
        <v>10992</v>
      </c>
      <c r="O162" s="5">
        <f t="shared" ref="O162:O173" si="41">IF((K162-J162)&lt;0,0,(K162-J162))</f>
        <v>0</v>
      </c>
      <c r="P162" s="5">
        <f>Table1[[#This Row],[Enrolment S.Y. 2025-2026 ]]*8</f>
        <v>10992</v>
      </c>
      <c r="Q162" s="34"/>
      <c r="R162" s="32"/>
      <c r="S162" s="34"/>
      <c r="T162" s="5">
        <f t="shared" ref="T162:T173" si="42">IF((P162-Q162)&lt;0,0,(P162-Q162))</f>
        <v>10992</v>
      </c>
      <c r="U162" s="5">
        <f t="shared" ref="U162:U173" si="43">IF((Q162-P162)&lt;0,0,(Q162-P162))</f>
        <v>0</v>
      </c>
      <c r="V162" s="5">
        <f>Table1[[#This Row],[Enrolment S.Y. 2025-2026 ]]*8</f>
        <v>10992</v>
      </c>
      <c r="W162" s="34"/>
      <c r="X162" s="32"/>
      <c r="Y162" s="34"/>
      <c r="Z162" s="34">
        <f t="shared" si="36"/>
        <v>10992</v>
      </c>
      <c r="AA162" s="34">
        <f t="shared" si="37"/>
        <v>0</v>
      </c>
    </row>
    <row r="163" spans="1:27" ht="40.5">
      <c r="A163" s="1">
        <v>12</v>
      </c>
      <c r="B163" s="33" t="s">
        <v>71</v>
      </c>
      <c r="C163" s="1">
        <v>1387</v>
      </c>
      <c r="D163" s="34">
        <f>Table1[[#This Row],[Enrolment S.Y. 2025-2026 ]]*8</f>
        <v>0</v>
      </c>
      <c r="E163" s="34"/>
      <c r="F163" s="32"/>
      <c r="G163" s="34"/>
      <c r="H163" s="34">
        <f t="shared" si="30"/>
        <v>0</v>
      </c>
      <c r="I163" s="34">
        <f t="shared" si="31"/>
        <v>0</v>
      </c>
      <c r="J163" s="34">
        <f>Table1[[#This Row],[Enrolment S.Y. 2025-2026 ]]*8</f>
        <v>0</v>
      </c>
      <c r="K163" s="34"/>
      <c r="L163" s="32"/>
      <c r="M163" s="34"/>
      <c r="N163" s="5">
        <f t="shared" si="40"/>
        <v>0</v>
      </c>
      <c r="O163" s="5">
        <f t="shared" si="41"/>
        <v>0</v>
      </c>
      <c r="P163" s="5">
        <f>Table1[[#This Row],[Enrolment S.Y. 2025-2026 ]]*8</f>
        <v>0</v>
      </c>
      <c r="Q163" s="34"/>
      <c r="R163" s="32"/>
      <c r="S163" s="34"/>
      <c r="T163" s="5">
        <f t="shared" si="42"/>
        <v>0</v>
      </c>
      <c r="U163" s="5">
        <f t="shared" si="43"/>
        <v>0</v>
      </c>
      <c r="V163" s="5">
        <f>Table1[[#This Row],[Enrolment S.Y. 2025-2026 ]]*8</f>
        <v>0</v>
      </c>
      <c r="W163" s="34"/>
      <c r="X163" s="32"/>
      <c r="Y163" s="34"/>
      <c r="Z163" s="34">
        <f t="shared" si="36"/>
        <v>0</v>
      </c>
      <c r="AA163" s="34">
        <f t="shared" si="37"/>
        <v>0</v>
      </c>
    </row>
    <row r="164" spans="1:27" ht="40.5">
      <c r="A164" s="1">
        <v>12</v>
      </c>
      <c r="B164" s="33" t="s">
        <v>72</v>
      </c>
      <c r="C164" s="1">
        <v>1387</v>
      </c>
      <c r="D164" s="34">
        <f>Table1[[#This Row],[Enrolment S.Y. 2025-2026 ]]*8</f>
        <v>0</v>
      </c>
      <c r="E164" s="34"/>
      <c r="F164" s="32"/>
      <c r="G164" s="34"/>
      <c r="H164" s="34">
        <f t="shared" si="30"/>
        <v>0</v>
      </c>
      <c r="I164" s="34">
        <f t="shared" si="31"/>
        <v>0</v>
      </c>
      <c r="J164" s="34">
        <f>Table1[[#This Row],[Enrolment S.Y. 2025-2026 ]]*8</f>
        <v>0</v>
      </c>
      <c r="K164" s="34"/>
      <c r="L164" s="32"/>
      <c r="M164" s="34"/>
      <c r="N164" s="5">
        <f t="shared" si="40"/>
        <v>0</v>
      </c>
      <c r="O164" s="5">
        <f t="shared" si="41"/>
        <v>0</v>
      </c>
      <c r="P164" s="5">
        <f>Table1[[#This Row],[Enrolment S.Y. 2025-2026 ]]*8</f>
        <v>0</v>
      </c>
      <c r="Q164" s="34"/>
      <c r="R164" s="32"/>
      <c r="S164" s="34"/>
      <c r="T164" s="5">
        <f t="shared" si="42"/>
        <v>0</v>
      </c>
      <c r="U164" s="5">
        <f t="shared" si="43"/>
        <v>0</v>
      </c>
      <c r="V164" s="5">
        <f>Table1[[#This Row],[Enrolment S.Y. 2025-2026 ]]*8</f>
        <v>0</v>
      </c>
      <c r="W164" s="34"/>
      <c r="X164" s="32"/>
      <c r="Y164" s="34"/>
      <c r="Z164" s="34">
        <f t="shared" si="36"/>
        <v>0</v>
      </c>
      <c r="AA164" s="34">
        <f t="shared" si="37"/>
        <v>0</v>
      </c>
    </row>
    <row r="165" spans="1:27" ht="40.5">
      <c r="A165" s="1">
        <v>12</v>
      </c>
      <c r="B165" s="42" t="s">
        <v>73</v>
      </c>
      <c r="C165" s="1">
        <v>1387</v>
      </c>
      <c r="D165" s="34">
        <f>Table1[[#This Row],[Enrolment S.Y. 2025-2026 ]]*8</f>
        <v>0</v>
      </c>
      <c r="E165" s="34"/>
      <c r="F165" s="32"/>
      <c r="G165" s="34"/>
      <c r="H165" s="34">
        <f t="shared" si="30"/>
        <v>0</v>
      </c>
      <c r="I165" s="34">
        <f t="shared" si="31"/>
        <v>0</v>
      </c>
      <c r="J165" s="34">
        <f>Table1[[#This Row],[Enrolment S.Y. 2025-2026 ]]*8</f>
        <v>0</v>
      </c>
      <c r="K165" s="34"/>
      <c r="L165" s="32"/>
      <c r="M165" s="34"/>
      <c r="N165" s="5">
        <f t="shared" si="40"/>
        <v>0</v>
      </c>
      <c r="O165" s="5">
        <f t="shared" si="41"/>
        <v>0</v>
      </c>
      <c r="P165" s="5">
        <f>Table1[[#This Row],[Enrolment S.Y. 2025-2026 ]]*8</f>
        <v>0</v>
      </c>
      <c r="Q165" s="34"/>
      <c r="R165" s="32"/>
      <c r="S165" s="34"/>
      <c r="T165" s="5">
        <f t="shared" si="42"/>
        <v>0</v>
      </c>
      <c r="U165" s="5">
        <f t="shared" si="43"/>
        <v>0</v>
      </c>
      <c r="V165" s="5">
        <f>Table1[[#This Row],[Enrolment S.Y. 2025-2026 ]]*8</f>
        <v>0</v>
      </c>
      <c r="W165" s="34"/>
      <c r="X165" s="32"/>
      <c r="Y165" s="34"/>
      <c r="Z165" s="34">
        <f t="shared" si="36"/>
        <v>0</v>
      </c>
      <c r="AA165" s="34">
        <f t="shared" si="37"/>
        <v>0</v>
      </c>
    </row>
    <row r="166" spans="1:27" ht="21">
      <c r="A166" s="1">
        <v>12</v>
      </c>
      <c r="B166" s="33" t="s">
        <v>74</v>
      </c>
      <c r="C166" s="1">
        <v>1387</v>
      </c>
      <c r="D166" s="34">
        <f>Table1[[#This Row],[Enrolment S.Y. 2025-2026 ]]*8</f>
        <v>0</v>
      </c>
      <c r="E166" s="34"/>
      <c r="F166" s="32"/>
      <c r="G166" s="34"/>
      <c r="H166" s="34">
        <f t="shared" si="30"/>
        <v>0</v>
      </c>
      <c r="I166" s="34">
        <f t="shared" si="31"/>
        <v>0</v>
      </c>
      <c r="J166" s="34">
        <f>Table1[[#This Row],[Enrolment S.Y. 2025-2026 ]]*8</f>
        <v>0</v>
      </c>
      <c r="K166" s="34"/>
      <c r="L166" s="32"/>
      <c r="M166" s="34"/>
      <c r="N166" s="5">
        <f t="shared" si="40"/>
        <v>0</v>
      </c>
      <c r="O166" s="5">
        <f t="shared" si="41"/>
        <v>0</v>
      </c>
      <c r="P166" s="5">
        <f>Table1[[#This Row],[Enrolment S.Y. 2025-2026 ]]*8</f>
        <v>0</v>
      </c>
      <c r="Q166" s="34"/>
      <c r="R166" s="32"/>
      <c r="S166" s="34"/>
      <c r="T166" s="5">
        <f t="shared" si="42"/>
        <v>0</v>
      </c>
      <c r="U166" s="5">
        <f t="shared" si="43"/>
        <v>0</v>
      </c>
      <c r="V166" s="5">
        <f>Table1[[#This Row],[Enrolment S.Y. 2025-2026 ]]*8</f>
        <v>0</v>
      </c>
      <c r="W166" s="34"/>
      <c r="X166" s="32"/>
      <c r="Y166" s="34"/>
      <c r="Z166" s="34">
        <f t="shared" si="36"/>
        <v>0</v>
      </c>
      <c r="AA166" s="34">
        <f t="shared" si="37"/>
        <v>0</v>
      </c>
    </row>
    <row r="167" spans="1:27" ht="21">
      <c r="A167" s="1">
        <v>12</v>
      </c>
      <c r="B167" s="33" t="s">
        <v>75</v>
      </c>
      <c r="C167" s="1">
        <v>1387</v>
      </c>
      <c r="D167" s="34">
        <f>Table1[[#This Row],[Enrolment S.Y. 2025-2026 ]]*8</f>
        <v>0</v>
      </c>
      <c r="E167" s="34"/>
      <c r="F167" s="32"/>
      <c r="G167" s="34"/>
      <c r="H167" s="34">
        <f t="shared" si="30"/>
        <v>0</v>
      </c>
      <c r="I167" s="34">
        <f t="shared" si="31"/>
        <v>0</v>
      </c>
      <c r="J167" s="34">
        <f>Table1[[#This Row],[Enrolment S.Y. 2025-2026 ]]*8</f>
        <v>0</v>
      </c>
      <c r="K167" s="34"/>
      <c r="L167" s="32"/>
      <c r="M167" s="34"/>
      <c r="N167" s="5">
        <f t="shared" si="40"/>
        <v>0</v>
      </c>
      <c r="O167" s="5">
        <f t="shared" si="41"/>
        <v>0</v>
      </c>
      <c r="P167" s="5">
        <f>Table1[[#This Row],[Enrolment S.Y. 2025-2026 ]]*8</f>
        <v>0</v>
      </c>
      <c r="Q167" s="34"/>
      <c r="R167" s="32"/>
      <c r="S167" s="34"/>
      <c r="T167" s="5">
        <f t="shared" si="42"/>
        <v>0</v>
      </c>
      <c r="U167" s="5">
        <f t="shared" si="43"/>
        <v>0</v>
      </c>
      <c r="V167" s="5">
        <f>Table1[[#This Row],[Enrolment S.Y. 2025-2026 ]]*8</f>
        <v>0</v>
      </c>
      <c r="W167" s="34"/>
      <c r="X167" s="32"/>
      <c r="Y167" s="34"/>
      <c r="Z167" s="34">
        <f t="shared" si="36"/>
        <v>0</v>
      </c>
      <c r="AA167" s="34">
        <f t="shared" si="37"/>
        <v>0</v>
      </c>
    </row>
    <row r="168" spans="1:27" ht="40.5">
      <c r="A168" s="1">
        <v>12</v>
      </c>
      <c r="B168" s="33" t="s">
        <v>76</v>
      </c>
      <c r="C168" s="1">
        <v>1387</v>
      </c>
      <c r="D168" s="34">
        <f>Table1[[#This Row],[Enrolment S.Y. 2025-2026 ]]*8</f>
        <v>0</v>
      </c>
      <c r="E168" s="34"/>
      <c r="F168" s="32"/>
      <c r="G168" s="34"/>
      <c r="H168" s="34">
        <f t="shared" si="30"/>
        <v>0</v>
      </c>
      <c r="I168" s="34">
        <f t="shared" si="31"/>
        <v>0</v>
      </c>
      <c r="J168" s="34">
        <f>Table1[[#This Row],[Enrolment S.Y. 2025-2026 ]]*8</f>
        <v>0</v>
      </c>
      <c r="K168" s="34"/>
      <c r="L168" s="32"/>
      <c r="M168" s="34"/>
      <c r="N168" s="5">
        <f t="shared" si="40"/>
        <v>0</v>
      </c>
      <c r="O168" s="5">
        <f t="shared" si="41"/>
        <v>0</v>
      </c>
      <c r="P168" s="5">
        <f>Table1[[#This Row],[Enrolment S.Y. 2025-2026 ]]*8</f>
        <v>0</v>
      </c>
      <c r="Q168" s="34"/>
      <c r="R168" s="32"/>
      <c r="S168" s="34"/>
      <c r="T168" s="5">
        <f t="shared" si="42"/>
        <v>0</v>
      </c>
      <c r="U168" s="5">
        <f t="shared" si="43"/>
        <v>0</v>
      </c>
      <c r="V168" s="5">
        <f>Table1[[#This Row],[Enrolment S.Y. 2025-2026 ]]*8</f>
        <v>0</v>
      </c>
      <c r="W168" s="34"/>
      <c r="X168" s="32"/>
      <c r="Y168" s="34"/>
      <c r="Z168" s="34">
        <f t="shared" si="36"/>
        <v>0</v>
      </c>
      <c r="AA168" s="34">
        <f t="shared" si="37"/>
        <v>0</v>
      </c>
    </row>
    <row r="169" spans="1:27" ht="21">
      <c r="A169" s="1">
        <v>12</v>
      </c>
      <c r="B169" s="33" t="s">
        <v>77</v>
      </c>
      <c r="C169" s="1">
        <v>1387</v>
      </c>
      <c r="D169" s="34">
        <f>Table1[[#This Row],[Enrolment S.Y. 2025-2026 ]]*8</f>
        <v>0</v>
      </c>
      <c r="E169" s="34"/>
      <c r="F169" s="32"/>
      <c r="G169" s="34"/>
      <c r="H169" s="34">
        <f t="shared" si="30"/>
        <v>0</v>
      </c>
      <c r="I169" s="34">
        <f t="shared" si="31"/>
        <v>0</v>
      </c>
      <c r="J169" s="34">
        <f>Table1[[#This Row],[Enrolment S.Y. 2025-2026 ]]*8</f>
        <v>0</v>
      </c>
      <c r="K169" s="34"/>
      <c r="L169" s="32"/>
      <c r="M169" s="34"/>
      <c r="N169" s="5">
        <f t="shared" si="40"/>
        <v>0</v>
      </c>
      <c r="O169" s="5">
        <f t="shared" si="41"/>
        <v>0</v>
      </c>
      <c r="P169" s="5">
        <f>Table1[[#This Row],[Enrolment S.Y. 2025-2026 ]]*8</f>
        <v>0</v>
      </c>
      <c r="Q169" s="34"/>
      <c r="R169" s="32"/>
      <c r="S169" s="34"/>
      <c r="T169" s="5">
        <f t="shared" si="42"/>
        <v>0</v>
      </c>
      <c r="U169" s="5">
        <f t="shared" si="43"/>
        <v>0</v>
      </c>
      <c r="V169" s="5">
        <f>Table1[[#This Row],[Enrolment S.Y. 2025-2026 ]]*8</f>
        <v>0</v>
      </c>
      <c r="W169" s="34"/>
      <c r="X169" s="32"/>
      <c r="Y169" s="34"/>
      <c r="Z169" s="34">
        <f t="shared" si="36"/>
        <v>0</v>
      </c>
      <c r="AA169" s="34">
        <f t="shared" si="37"/>
        <v>0</v>
      </c>
    </row>
    <row r="170" spans="1:27" ht="40.5">
      <c r="A170" s="1">
        <v>12</v>
      </c>
      <c r="B170" s="42" t="s">
        <v>78</v>
      </c>
      <c r="C170" s="1">
        <v>1387</v>
      </c>
      <c r="D170" s="34">
        <f>Table1[[#This Row],[Enrolment S.Y. 2025-2026 ]]*8</f>
        <v>0</v>
      </c>
      <c r="E170" s="34"/>
      <c r="F170" s="32"/>
      <c r="G170" s="34"/>
      <c r="H170" s="34">
        <f t="shared" si="30"/>
        <v>0</v>
      </c>
      <c r="I170" s="34">
        <f t="shared" si="31"/>
        <v>0</v>
      </c>
      <c r="J170" s="34">
        <f>Table1[[#This Row],[Enrolment S.Y. 2025-2026 ]]*8</f>
        <v>0</v>
      </c>
      <c r="K170" s="34"/>
      <c r="L170" s="32"/>
      <c r="M170" s="34"/>
      <c r="N170" s="5">
        <f t="shared" si="40"/>
        <v>0</v>
      </c>
      <c r="O170" s="5">
        <f t="shared" si="41"/>
        <v>0</v>
      </c>
      <c r="P170" s="5">
        <f>Table1[[#This Row],[Enrolment S.Y. 2025-2026 ]]*8</f>
        <v>0</v>
      </c>
      <c r="Q170" s="34"/>
      <c r="R170" s="32"/>
      <c r="S170" s="34"/>
      <c r="T170" s="5">
        <f t="shared" si="42"/>
        <v>0</v>
      </c>
      <c r="U170" s="5">
        <f t="shared" si="43"/>
        <v>0</v>
      </c>
      <c r="V170" s="5">
        <f>Table1[[#This Row],[Enrolment S.Y. 2025-2026 ]]*8</f>
        <v>0</v>
      </c>
      <c r="W170" s="34"/>
      <c r="X170" s="32"/>
      <c r="Y170" s="34"/>
      <c r="Z170" s="34">
        <f t="shared" si="36"/>
        <v>0</v>
      </c>
      <c r="AA170" s="34">
        <f t="shared" si="37"/>
        <v>0</v>
      </c>
    </row>
    <row r="171" spans="1:27" ht="40.5">
      <c r="A171" s="1">
        <v>12</v>
      </c>
      <c r="B171" s="33" t="s">
        <v>79</v>
      </c>
      <c r="C171" s="1">
        <v>1387</v>
      </c>
      <c r="D171" s="34">
        <f>Table1[[#This Row],[Enrolment S.Y. 2025-2026 ]]*8</f>
        <v>0</v>
      </c>
      <c r="E171" s="34"/>
      <c r="F171" s="32"/>
      <c r="G171" s="34"/>
      <c r="H171" s="34">
        <f t="shared" si="30"/>
        <v>0</v>
      </c>
      <c r="I171" s="34">
        <f t="shared" si="31"/>
        <v>0</v>
      </c>
      <c r="J171" s="34">
        <f>Table1[[#This Row],[Enrolment S.Y. 2025-2026 ]]*8</f>
        <v>0</v>
      </c>
      <c r="K171" s="34"/>
      <c r="L171" s="32"/>
      <c r="M171" s="34"/>
      <c r="N171" s="5">
        <f t="shared" si="40"/>
        <v>0</v>
      </c>
      <c r="O171" s="5">
        <f t="shared" si="41"/>
        <v>0</v>
      </c>
      <c r="P171" s="5">
        <f>Table1[[#This Row],[Enrolment S.Y. 2025-2026 ]]*8</f>
        <v>0</v>
      </c>
      <c r="Q171" s="34"/>
      <c r="R171" s="32"/>
      <c r="S171" s="34"/>
      <c r="T171" s="5">
        <f t="shared" si="42"/>
        <v>0</v>
      </c>
      <c r="U171" s="5">
        <f t="shared" si="43"/>
        <v>0</v>
      </c>
      <c r="V171" s="5">
        <f>Table1[[#This Row],[Enrolment S.Y. 2025-2026 ]]*8</f>
        <v>0</v>
      </c>
      <c r="W171" s="34"/>
      <c r="X171" s="32"/>
      <c r="Y171" s="34"/>
      <c r="Z171" s="34">
        <f t="shared" si="36"/>
        <v>0</v>
      </c>
      <c r="AA171" s="34">
        <f t="shared" si="37"/>
        <v>0</v>
      </c>
    </row>
    <row r="172" spans="1:27" ht="40.5">
      <c r="A172" s="1">
        <v>12</v>
      </c>
      <c r="B172" s="33" t="s">
        <v>80</v>
      </c>
      <c r="C172" s="1">
        <v>1387</v>
      </c>
      <c r="D172" s="34">
        <f>Table1[[#This Row],[Enrolment S.Y. 2025-2026 ]]*8</f>
        <v>0</v>
      </c>
      <c r="E172" s="34"/>
      <c r="F172" s="32"/>
      <c r="G172" s="34"/>
      <c r="H172" s="34">
        <f t="shared" si="30"/>
        <v>0</v>
      </c>
      <c r="I172" s="34">
        <f t="shared" si="31"/>
        <v>0</v>
      </c>
      <c r="J172" s="34">
        <f>Table1[[#This Row],[Enrolment S.Y. 2025-2026 ]]*8</f>
        <v>0</v>
      </c>
      <c r="K172" s="34"/>
      <c r="L172" s="32"/>
      <c r="M172" s="34"/>
      <c r="N172" s="5">
        <f t="shared" si="40"/>
        <v>0</v>
      </c>
      <c r="O172" s="5">
        <f t="shared" si="41"/>
        <v>0</v>
      </c>
      <c r="P172" s="5">
        <f>Table1[[#This Row],[Enrolment S.Y. 2025-2026 ]]*8</f>
        <v>0</v>
      </c>
      <c r="Q172" s="34"/>
      <c r="R172" s="32"/>
      <c r="S172" s="34"/>
      <c r="T172" s="5">
        <f t="shared" si="42"/>
        <v>0</v>
      </c>
      <c r="U172" s="5">
        <f t="shared" si="43"/>
        <v>0</v>
      </c>
      <c r="V172" s="5">
        <f>Table1[[#This Row],[Enrolment S.Y. 2025-2026 ]]*8</f>
        <v>0</v>
      </c>
      <c r="W172" s="34"/>
      <c r="X172" s="32"/>
      <c r="Y172" s="34"/>
      <c r="Z172" s="34">
        <f t="shared" si="36"/>
        <v>0</v>
      </c>
      <c r="AA172" s="34">
        <f t="shared" si="37"/>
        <v>0</v>
      </c>
    </row>
    <row r="173" spans="1:27" ht="21">
      <c r="A173" s="1">
        <v>12</v>
      </c>
      <c r="B173" s="33" t="s">
        <v>81</v>
      </c>
      <c r="C173" s="1">
        <v>1387</v>
      </c>
      <c r="D173" s="34">
        <f>Table1[[#This Row],[Enrolment S.Y. 2025-2026 ]]*8</f>
        <v>0</v>
      </c>
      <c r="E173" s="34"/>
      <c r="F173" s="32"/>
      <c r="G173" s="34"/>
      <c r="H173" s="34">
        <f t="shared" si="30"/>
        <v>0</v>
      </c>
      <c r="I173" s="34">
        <f t="shared" si="31"/>
        <v>0</v>
      </c>
      <c r="J173" s="34">
        <f>Table1[[#This Row],[Enrolment S.Y. 2025-2026 ]]*8</f>
        <v>0</v>
      </c>
      <c r="K173" s="34"/>
      <c r="L173" s="32"/>
      <c r="M173" s="34"/>
      <c r="N173" s="5">
        <f t="shared" si="40"/>
        <v>0</v>
      </c>
      <c r="O173" s="5">
        <f t="shared" si="41"/>
        <v>0</v>
      </c>
      <c r="P173" s="5">
        <f>Table1[[#This Row],[Enrolment S.Y. 2025-2026 ]]*8</f>
        <v>0</v>
      </c>
      <c r="Q173" s="34"/>
      <c r="R173" s="32"/>
      <c r="S173" s="34"/>
      <c r="T173" s="5">
        <f t="shared" si="42"/>
        <v>0</v>
      </c>
      <c r="U173" s="5">
        <f t="shared" si="43"/>
        <v>0</v>
      </c>
      <c r="V173" s="5">
        <f>Table1[[#This Row],[Enrolment S.Y. 2025-2026 ]]*8</f>
        <v>0</v>
      </c>
      <c r="W173" s="34"/>
      <c r="X173" s="32"/>
      <c r="Y173" s="34"/>
      <c r="Z173" s="34">
        <f t="shared" si="36"/>
        <v>0</v>
      </c>
      <c r="AA173" s="34">
        <f t="shared" si="37"/>
        <v>0</v>
      </c>
    </row>
    <row r="174" spans="1:27" ht="15"/>
    <row r="175" spans="1:27" ht="15"/>
    <row r="176" spans="1:27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</sheetData>
  <protectedRanges>
    <protectedRange sqref="C2:C10 C12:C19 C21:C29 C31:C41 C43:C53 C55:C65 C66:C76 C78:C88 C90:C100 C102:C112" name="Textbooks"/>
    <protectedRange sqref="J2:L2 D2:F10 D12:F19 D21:F29 D31:F41 D43:F53 D55:F65 D90:F100 P2:R10 N3:O10 V2:X10 T3:U10 N12:R19 T12:X19 H3:L10 Z3:AA10 Z12:AA19 H12:L19 N21:R29 T21:X29 Z21:AA29 H21:L29 T31:X41 Z31:AA41 H31:L41 T43:X53 Z43:AA53 H43:L53 T55:X65 Z55:AA65 H55:L65 T66:X76 Z66:AA76 H66:L76 T78:X88 Z78:AA88 H78:L88 T90:X100 Z90:AA100 H90:L100 T102:X112 Z102:AA112 H102:L112 D102:F112 N31:R41 N43:R53 N55:R65 N66:R76 N78:R88 N90:R100 N102:R112 D78:F88 D66:F76" name="LAS"/>
    <protectedRange sqref="G2:I2 M2:O2 S2:U2 Y2:AA2 G3:G10 M3:M10 S3:S10 Y3:Y10 Y12:Y19 G12:G19 M12:M19 S12:S19 Y21:Y29 G21:G29 M21:M29 S21:S29 Y31:Y41 G31:G41 M31:M41 S31:S41 Y43:Y53 G43:G53 M43:M53 S43:S53 Y55:Y65 G55:G65 M55:M65 S55:S65 Y66:Y76 G66:G76 M66:M76 S66:S76 Y78:Y88 G78:G88 M78:M88 S78:S88 Y90:Y100 G90:G100 M90:M100 S90:S100 Y102:Y112 G102:G112 M102:M112 S102:S112" name="SOURCE"/>
    <protectedRange sqref="C114:C145 C147:C173" name="Textbooks_1"/>
    <protectedRange sqref="D114:F145 H114:I145 Q114:R145 W114:X145 H147:I173 W147:X173 K114:L145 K147:L173 Q147:R173 J114:J173 Z114:AA173 N114:P173 T114:V173 D147:F173" name="LAS_1"/>
    <protectedRange sqref="S114:S145 M114:M145 Y114:Y145 G114:G145 Y147:Y173 S147:S173 M147:M173 G147:G173" name="SOURCE_1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Y102:Y112 S102:S112 M102:M112 Y3:Y10 S3:S10 M3:M10 G3:G10 G12:G19 Y12:Y19 S12:S19 M12:M19 M21:M29 G21:G29 Y21:Y29 S21:S29 S31:S41 M31:M41 G31:G41 Y31:Y41 Y43:Y53 S43:S53 M43:M53 G43:G53 G55:G65 Y55:Y65 S55:S65 M55:M65 M66:M76 G66:G76 Y66:Y76 S66:S76 S78:S88 M78:M88 G78:G88 Y78:Y88 Y90:Y100 S90:S100 M90:M100 G90:G100 G102:G112 M114:M145 Y114:Y145 S114:S145 G114:G145" xr:uid="{CBD486C7-A5DB-48F1-B496-5027CC51E830}">
      <formula1>"CO,RO,SDO,LGU,SCHOOL"</formula1>
    </dataValidation>
    <dataValidation type="list" allowBlank="1" showInputMessage="1" showErrorMessage="1" sqref="F147:F173 F114:F145 F102:F112 F90:F100 F78:F88 F55:F76 F43:F52 F31:F41 F21:F29 F12:F19 F3:F10 L147:L173 L114:L145 L102:L112 L90:L100 L78:L88 L55:L76 L43:L52 L31:L41 L21:L29 L12:L19 L3:L10 R147:R173 R114:R145 R102:R112 R90:R100 R78:R88 R55:R76 R43:R52 R31:R41 R21:R29 R12:R19 R3:R10 X147:X173 X114:X145 X102:X112 X90:X100 X78:X88 X55:X76 X43:X52 X31:X41 X21:X29 X12:X19 X3:X10 L53 R53 X53 F53" xr:uid="{77F72D89-8371-4D0C-A323-BD25723C617C}">
      <formula1>"2024,2025,2026"</formula1>
    </dataValidation>
    <dataValidation type="list" allowBlank="1" showInputMessage="1" showErrorMessage="1" sqref="S147:S173 M147:M173 Y147:Y173 G147:G173" xr:uid="{92810BB6-F517-408D-95CA-B44BE055EBD3}">
      <formula1>"CO,RO,SDO"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2026-03-26T08:32:39Z</dcterms:modified>
  <cp:category/>
  <cp:contentStatus/>
</cp:coreProperties>
</file>