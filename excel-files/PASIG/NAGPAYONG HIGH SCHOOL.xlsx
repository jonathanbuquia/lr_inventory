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3" documentId="13_ncr:1_{BFB59F67-F0DC-4675-A682-EB0734A8026A}" xr6:coauthVersionLast="47" xr6:coauthVersionMax="47" xr10:uidLastSave="{4F94E0BC-551C-4F05-9FC2-288A86ED960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5" l="1"/>
  <c r="D100" i="5"/>
  <c r="D101" i="5"/>
  <c r="D102" i="5"/>
  <c r="D103" i="5"/>
  <c r="D104" i="5"/>
  <c r="D105" i="5"/>
  <c r="D106" i="5"/>
  <c r="D107" i="5"/>
  <c r="D108" i="5"/>
  <c r="D109" i="5"/>
  <c r="D110" i="5"/>
  <c r="P91" i="4"/>
  <c r="P92" i="4"/>
  <c r="P93" i="4"/>
  <c r="P94" i="4"/>
  <c r="P95" i="4"/>
  <c r="P96" i="4"/>
  <c r="P97" i="4"/>
  <c r="P98" i="4"/>
  <c r="P99" i="4"/>
  <c r="P100" i="4"/>
  <c r="P101" i="4"/>
  <c r="P102" i="4"/>
  <c r="D4" i="5"/>
  <c r="D25" i="5"/>
  <c r="D17" i="5"/>
  <c r="D18" i="5"/>
  <c r="D19" i="5"/>
  <c r="D20" i="5"/>
  <c r="D21" i="5"/>
  <c r="D22" i="5"/>
  <c r="D23" i="5"/>
  <c r="D24" i="5"/>
  <c r="D5" i="5"/>
  <c r="D6" i="5"/>
  <c r="D7" i="5"/>
  <c r="D8" i="5"/>
  <c r="D9" i="5"/>
  <c r="D10" i="5"/>
  <c r="D11" i="5"/>
  <c r="D12" i="5"/>
  <c r="D13" i="5"/>
  <c r="D3" i="5"/>
  <c r="H3" i="5" s="1"/>
  <c r="V99" i="5"/>
  <c r="V100" i="5"/>
  <c r="V101" i="5"/>
  <c r="V102" i="5"/>
  <c r="V103" i="5"/>
  <c r="V104" i="5"/>
  <c r="V105" i="5"/>
  <c r="V106" i="5"/>
  <c r="V107" i="5"/>
  <c r="V108" i="5"/>
  <c r="V109" i="5"/>
  <c r="V110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75" i="5"/>
  <c r="P76" i="5"/>
  <c r="P77" i="5"/>
  <c r="P78" i="5"/>
  <c r="P79" i="5"/>
  <c r="P80" i="5"/>
  <c r="P81" i="5"/>
  <c r="P82" i="5"/>
  <c r="G2" i="1"/>
  <c r="H2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D42" i="1"/>
  <c r="H42" i="1"/>
  <c r="I91" i="1"/>
  <c r="J91" i="1"/>
  <c r="N91" i="1"/>
  <c r="O91" i="1"/>
  <c r="P91" i="1"/>
  <c r="T91" i="1"/>
  <c r="U91" i="1"/>
  <c r="V91" i="1"/>
  <c r="Z91" i="1"/>
  <c r="AA91" i="1"/>
  <c r="D43" i="1"/>
  <c r="H43" i="1"/>
  <c r="I92" i="1"/>
  <c r="J92" i="1"/>
  <c r="N92" i="1"/>
  <c r="O92" i="1"/>
  <c r="P92" i="1"/>
  <c r="T92" i="1"/>
  <c r="U92" i="1"/>
  <c r="V92" i="1"/>
  <c r="Z92" i="1"/>
  <c r="AA92" i="1"/>
  <c r="D44" i="1"/>
  <c r="H44" i="1"/>
  <c r="I93" i="1"/>
  <c r="J93" i="1"/>
  <c r="N93" i="1"/>
  <c r="O93" i="1"/>
  <c r="P93" i="1"/>
  <c r="T93" i="1"/>
  <c r="U93" i="1"/>
  <c r="V93" i="1"/>
  <c r="Z93" i="1"/>
  <c r="AA93" i="1"/>
  <c r="D45" i="1"/>
  <c r="H45" i="1"/>
  <c r="I94" i="1"/>
  <c r="J94" i="1"/>
  <c r="N94" i="1"/>
  <c r="O94" i="1"/>
  <c r="P94" i="1"/>
  <c r="T94" i="1"/>
  <c r="U94" i="1"/>
  <c r="V94" i="1"/>
  <c r="Z94" i="1"/>
  <c r="AA94" i="1"/>
  <c r="D46" i="1"/>
  <c r="H46" i="1"/>
  <c r="I95" i="1"/>
  <c r="J95" i="1"/>
  <c r="N95" i="1"/>
  <c r="O95" i="1"/>
  <c r="P95" i="1"/>
  <c r="T95" i="1"/>
  <c r="U95" i="1"/>
  <c r="V95" i="1"/>
  <c r="Z95" i="1"/>
  <c r="AA95" i="1"/>
  <c r="D47" i="1"/>
  <c r="H47" i="1"/>
  <c r="I96" i="1"/>
  <c r="J96" i="1"/>
  <c r="N96" i="1"/>
  <c r="O96" i="1"/>
  <c r="P96" i="1"/>
  <c r="T96" i="1"/>
  <c r="U96" i="1"/>
  <c r="V96" i="1"/>
  <c r="Z96" i="1"/>
  <c r="AA96" i="1"/>
  <c r="D48" i="1"/>
  <c r="H48" i="1"/>
  <c r="I97" i="1"/>
  <c r="J97" i="1"/>
  <c r="N97" i="1"/>
  <c r="O97" i="1"/>
  <c r="P97" i="1"/>
  <c r="T97" i="1"/>
  <c r="U97" i="1"/>
  <c r="V97" i="1"/>
  <c r="Z97" i="1"/>
  <c r="AA97" i="1"/>
  <c r="D49" i="1"/>
  <c r="H49" i="1"/>
  <c r="I98" i="1"/>
  <c r="J98" i="1"/>
  <c r="N98" i="1"/>
  <c r="O98" i="1"/>
  <c r="P98" i="1"/>
  <c r="T98" i="1"/>
  <c r="U98" i="1"/>
  <c r="V98" i="1"/>
  <c r="Z98" i="1"/>
  <c r="AA98" i="1"/>
  <c r="D50" i="1"/>
  <c r="H50" i="1"/>
  <c r="I99" i="1"/>
  <c r="J99" i="1"/>
  <c r="N99" i="1"/>
  <c r="O99" i="1"/>
  <c r="P99" i="1"/>
  <c r="T99" i="1"/>
  <c r="U99" i="1"/>
  <c r="V99" i="1"/>
  <c r="Z99" i="1"/>
  <c r="AA99" i="1"/>
  <c r="D51" i="1"/>
  <c r="H51" i="1"/>
  <c r="I100" i="1"/>
  <c r="J100" i="1"/>
  <c r="N100" i="1"/>
  <c r="O100" i="1"/>
  <c r="P100" i="1"/>
  <c r="T100" i="1"/>
  <c r="U100" i="1"/>
  <c r="V100" i="1"/>
  <c r="Z100" i="1"/>
  <c r="AA100" i="1"/>
  <c r="D52" i="1"/>
  <c r="H52" i="1"/>
  <c r="I101" i="1"/>
  <c r="J101" i="1"/>
  <c r="N101" i="1"/>
  <c r="O101" i="1"/>
  <c r="P101" i="1"/>
  <c r="T101" i="1"/>
  <c r="U101" i="1"/>
  <c r="V101" i="1"/>
  <c r="Z101" i="1"/>
  <c r="AA101" i="1"/>
  <c r="D53" i="1"/>
  <c r="H53" i="1"/>
  <c r="I102" i="1"/>
  <c r="J102" i="1"/>
  <c r="N102" i="1"/>
  <c r="O102" i="1"/>
  <c r="P102" i="1"/>
  <c r="T102" i="1"/>
  <c r="U102" i="1"/>
  <c r="V102" i="1"/>
  <c r="Z102" i="1"/>
  <c r="AA102" i="1"/>
  <c r="D54" i="1"/>
  <c r="H54" i="1"/>
  <c r="I103" i="1"/>
  <c r="J103" i="1"/>
  <c r="N103" i="1"/>
  <c r="O103" i="1"/>
  <c r="P103" i="1"/>
  <c r="T103" i="1"/>
  <c r="U103" i="1"/>
  <c r="V103" i="1"/>
  <c r="Z103" i="1"/>
  <c r="AA103" i="1"/>
  <c r="D55" i="1"/>
  <c r="H55" i="1"/>
  <c r="I104" i="1"/>
  <c r="J104" i="1"/>
  <c r="N104" i="1"/>
  <c r="O104" i="1"/>
  <c r="P104" i="1"/>
  <c r="T104" i="1"/>
  <c r="U104" i="1"/>
  <c r="V104" i="1"/>
  <c r="Z104" i="1"/>
  <c r="AA104" i="1"/>
  <c r="D56" i="1"/>
  <c r="H56" i="1"/>
  <c r="I105" i="1"/>
  <c r="J105" i="1"/>
  <c r="N105" i="1"/>
  <c r="O105" i="1"/>
  <c r="P105" i="1"/>
  <c r="T105" i="1"/>
  <c r="U105" i="1"/>
  <c r="V105" i="1"/>
  <c r="Z105" i="1"/>
  <c r="AA105" i="1"/>
  <c r="D57" i="1"/>
  <c r="H57" i="1"/>
  <c r="I106" i="1"/>
  <c r="J106" i="1"/>
  <c r="N106" i="1"/>
  <c r="O106" i="1"/>
  <c r="P106" i="1"/>
  <c r="T106" i="1"/>
  <c r="U106" i="1"/>
  <c r="V106" i="1"/>
  <c r="Z106" i="1"/>
  <c r="AA106" i="1"/>
  <c r="D58" i="1"/>
  <c r="H58" i="1"/>
  <c r="I107" i="1"/>
  <c r="J107" i="1"/>
  <c r="N107" i="1"/>
  <c r="O107" i="1"/>
  <c r="P107" i="1"/>
  <c r="T107" i="1"/>
  <c r="U107" i="1"/>
  <c r="V107" i="1"/>
  <c r="Z107" i="1"/>
  <c r="AA107" i="1"/>
  <c r="D59" i="1"/>
  <c r="H59" i="1"/>
  <c r="I108" i="1"/>
  <c r="J108" i="1"/>
  <c r="N108" i="1"/>
  <c r="O108" i="1"/>
  <c r="P108" i="1"/>
  <c r="T108" i="1"/>
  <c r="U108" i="1"/>
  <c r="V108" i="1"/>
  <c r="Z108" i="1"/>
  <c r="AA108" i="1"/>
  <c r="D60" i="1"/>
  <c r="H60" i="1"/>
  <c r="I109" i="1"/>
  <c r="J109" i="1"/>
  <c r="N109" i="1"/>
  <c r="O109" i="1"/>
  <c r="P109" i="1"/>
  <c r="T109" i="1"/>
  <c r="U109" i="1"/>
  <c r="V109" i="1"/>
  <c r="Z109" i="1"/>
  <c r="AA109" i="1"/>
  <c r="D61" i="1"/>
  <c r="H61" i="1"/>
  <c r="I110" i="1"/>
  <c r="J110" i="1"/>
  <c r="N110" i="1"/>
  <c r="O110" i="1"/>
  <c r="P110" i="1"/>
  <c r="T110" i="1"/>
  <c r="U110" i="1"/>
  <c r="V110" i="1"/>
  <c r="Z110" i="1"/>
  <c r="AA110" i="1"/>
  <c r="D62" i="1"/>
  <c r="H62" i="1"/>
  <c r="I111" i="1"/>
  <c r="J111" i="1"/>
  <c r="N111" i="1"/>
  <c r="O111" i="1"/>
  <c r="P111" i="1"/>
  <c r="T111" i="1"/>
  <c r="U111" i="1"/>
  <c r="V111" i="1"/>
  <c r="Z111" i="1"/>
  <c r="AA111" i="1"/>
  <c r="D63" i="1"/>
  <c r="H63" i="1"/>
  <c r="I112" i="1"/>
  <c r="J112" i="1"/>
  <c r="N112" i="1"/>
  <c r="O112" i="1"/>
  <c r="P112" i="1"/>
  <c r="T112" i="1"/>
  <c r="U112" i="1"/>
  <c r="V112" i="1"/>
  <c r="Z112" i="1"/>
  <c r="AA112" i="1"/>
  <c r="D64" i="1"/>
  <c r="H64" i="1"/>
  <c r="I113" i="1"/>
  <c r="J113" i="1"/>
  <c r="N113" i="1"/>
  <c r="O113" i="1"/>
  <c r="P113" i="1"/>
  <c r="T113" i="1"/>
  <c r="U113" i="1"/>
  <c r="V113" i="1"/>
  <c r="Z113" i="1"/>
  <c r="AA113" i="1"/>
  <c r="D65" i="1"/>
  <c r="H65" i="1"/>
  <c r="I114" i="1"/>
  <c r="J114" i="1"/>
  <c r="N114" i="1"/>
  <c r="O114" i="1"/>
  <c r="P114" i="1"/>
  <c r="T114" i="1"/>
  <c r="U114" i="1"/>
  <c r="V114" i="1"/>
  <c r="Z114" i="1"/>
  <c r="AA114" i="1"/>
  <c r="D66" i="1"/>
  <c r="H66" i="1"/>
  <c r="I115" i="1"/>
  <c r="J115" i="1"/>
  <c r="P115" i="1"/>
  <c r="T115" i="1"/>
  <c r="U115" i="1"/>
  <c r="V115" i="1"/>
  <c r="Z115" i="1"/>
  <c r="AA115" i="1"/>
  <c r="D67" i="1"/>
  <c r="H67" i="1"/>
  <c r="I116" i="1"/>
  <c r="J116" i="1"/>
  <c r="P116" i="1"/>
  <c r="T116" i="1"/>
  <c r="U116" i="1"/>
  <c r="V116" i="1"/>
  <c r="Z116" i="1"/>
  <c r="AA116" i="1"/>
  <c r="D68" i="1"/>
  <c r="H68" i="1"/>
  <c r="I117" i="1"/>
  <c r="J117" i="1"/>
  <c r="P117" i="1"/>
  <c r="T117" i="1"/>
  <c r="U117" i="1"/>
  <c r="V117" i="1"/>
  <c r="Z117" i="1"/>
  <c r="AA117" i="1"/>
  <c r="D69" i="1"/>
  <c r="H69" i="1"/>
  <c r="I118" i="1"/>
  <c r="J118" i="1"/>
  <c r="P118" i="1"/>
  <c r="T118" i="1"/>
  <c r="U118" i="1"/>
  <c r="V118" i="1"/>
  <c r="Z118" i="1"/>
  <c r="AA118" i="1"/>
  <c r="D70" i="1"/>
  <c r="H70" i="1"/>
  <c r="I119" i="1"/>
  <c r="J119" i="1"/>
  <c r="P119" i="1"/>
  <c r="T119" i="1"/>
  <c r="U119" i="1"/>
  <c r="V119" i="1"/>
  <c r="Z119" i="1"/>
  <c r="AA119" i="1"/>
  <c r="D71" i="1"/>
  <c r="H71" i="1"/>
  <c r="I120" i="1"/>
  <c r="J120" i="1"/>
  <c r="P120" i="1"/>
  <c r="T120" i="1"/>
  <c r="U120" i="1"/>
  <c r="V120" i="1"/>
  <c r="Z120" i="1"/>
  <c r="AA120" i="1"/>
  <c r="D72" i="1"/>
  <c r="H72" i="1"/>
  <c r="I121" i="1"/>
  <c r="J121" i="1"/>
  <c r="P121" i="1"/>
  <c r="T121" i="1"/>
  <c r="U121" i="1"/>
  <c r="V121" i="1"/>
  <c r="Z121" i="1"/>
  <c r="AA121" i="1"/>
  <c r="D73" i="1"/>
  <c r="H73" i="1"/>
  <c r="I122" i="1"/>
  <c r="J122" i="1"/>
  <c r="P122" i="1"/>
  <c r="T122" i="1"/>
  <c r="U122" i="1"/>
  <c r="V122" i="1"/>
  <c r="Z122" i="1"/>
  <c r="AA122" i="1"/>
  <c r="D75" i="1"/>
  <c r="H75" i="1"/>
  <c r="I124" i="1"/>
  <c r="J124" i="1"/>
  <c r="N124" i="1"/>
  <c r="O124" i="1"/>
  <c r="P124" i="1"/>
  <c r="T124" i="1"/>
  <c r="U124" i="1"/>
  <c r="V124" i="1"/>
  <c r="Z124" i="1"/>
  <c r="AA124" i="1"/>
  <c r="D76" i="1"/>
  <c r="H76" i="1"/>
  <c r="I125" i="1"/>
  <c r="J125" i="1"/>
  <c r="N125" i="1"/>
  <c r="O125" i="1"/>
  <c r="P125" i="1"/>
  <c r="T125" i="1"/>
  <c r="U125" i="1"/>
  <c r="V125" i="1"/>
  <c r="Z125" i="1"/>
  <c r="AA125" i="1"/>
  <c r="D77" i="1"/>
  <c r="H77" i="1"/>
  <c r="I126" i="1"/>
  <c r="J126" i="1"/>
  <c r="N126" i="1"/>
  <c r="O126" i="1"/>
  <c r="P126" i="1"/>
  <c r="T126" i="1"/>
  <c r="U126" i="1"/>
  <c r="V126" i="1"/>
  <c r="Z126" i="1"/>
  <c r="AA126" i="1"/>
  <c r="D78" i="1"/>
  <c r="H78" i="1"/>
  <c r="I127" i="1"/>
  <c r="J127" i="1"/>
  <c r="N127" i="1"/>
  <c r="O127" i="1"/>
  <c r="P127" i="1"/>
  <c r="T127" i="1"/>
  <c r="U127" i="1"/>
  <c r="V127" i="1"/>
  <c r="Z127" i="1"/>
  <c r="AA127" i="1"/>
  <c r="D79" i="1"/>
  <c r="H79" i="1"/>
  <c r="I128" i="1"/>
  <c r="J128" i="1"/>
  <c r="N128" i="1"/>
  <c r="O128" i="1"/>
  <c r="P128" i="1"/>
  <c r="T128" i="1"/>
  <c r="U128" i="1"/>
  <c r="V128" i="1"/>
  <c r="Z128" i="1"/>
  <c r="AA128" i="1"/>
  <c r="D80" i="1"/>
  <c r="H80" i="1"/>
  <c r="I129" i="1"/>
  <c r="J129" i="1"/>
  <c r="N129" i="1"/>
  <c r="O129" i="1"/>
  <c r="P129" i="1"/>
  <c r="T129" i="1"/>
  <c r="U129" i="1"/>
  <c r="V129" i="1"/>
  <c r="Z129" i="1"/>
  <c r="AA129" i="1"/>
  <c r="D81" i="1"/>
  <c r="H81" i="1"/>
  <c r="I130" i="1"/>
  <c r="J130" i="1"/>
  <c r="N130" i="1"/>
  <c r="O130" i="1"/>
  <c r="P130" i="1"/>
  <c r="T130" i="1"/>
  <c r="U130" i="1"/>
  <c r="V130" i="1"/>
  <c r="Z130" i="1"/>
  <c r="AA130" i="1"/>
  <c r="D82" i="1"/>
  <c r="H82" i="1"/>
  <c r="I131" i="1"/>
  <c r="J131" i="1"/>
  <c r="N131" i="1"/>
  <c r="O131" i="1"/>
  <c r="P131" i="1"/>
  <c r="T131" i="1"/>
  <c r="U131" i="1"/>
  <c r="V131" i="1"/>
  <c r="Z131" i="1"/>
  <c r="AA131" i="1"/>
  <c r="D83" i="1"/>
  <c r="H83" i="1"/>
  <c r="I132" i="1"/>
  <c r="J132" i="1"/>
  <c r="N132" i="1"/>
  <c r="O132" i="1"/>
  <c r="P132" i="1"/>
  <c r="T132" i="1"/>
  <c r="U132" i="1"/>
  <c r="V132" i="1"/>
  <c r="Z132" i="1"/>
  <c r="AA132" i="1"/>
  <c r="D84" i="1"/>
  <c r="H84" i="1"/>
  <c r="I133" i="1"/>
  <c r="J133" i="1"/>
  <c r="N133" i="1"/>
  <c r="O133" i="1"/>
  <c r="P133" i="1"/>
  <c r="T133" i="1"/>
  <c r="U133" i="1"/>
  <c r="V133" i="1"/>
  <c r="Z133" i="1"/>
  <c r="AA133" i="1"/>
  <c r="D85" i="1"/>
  <c r="H85" i="1"/>
  <c r="I134" i="1"/>
  <c r="J134" i="1"/>
  <c r="N134" i="1"/>
  <c r="O134" i="1"/>
  <c r="P134" i="1"/>
  <c r="T134" i="1"/>
  <c r="U134" i="1"/>
  <c r="V134" i="1"/>
  <c r="Z134" i="1"/>
  <c r="AA134" i="1"/>
  <c r="D86" i="1"/>
  <c r="H86" i="1"/>
  <c r="I135" i="1"/>
  <c r="J135" i="1"/>
  <c r="N135" i="1"/>
  <c r="O135" i="1"/>
  <c r="P135" i="1"/>
  <c r="T135" i="1"/>
  <c r="U135" i="1"/>
  <c r="V135" i="1"/>
  <c r="Z135" i="1"/>
  <c r="AA135" i="1"/>
  <c r="D87" i="1"/>
  <c r="H87" i="1"/>
  <c r="I136" i="1"/>
  <c r="J136" i="1"/>
  <c r="N136" i="1"/>
  <c r="O136" i="1"/>
  <c r="P136" i="1"/>
  <c r="T136" i="1"/>
  <c r="U136" i="1"/>
  <c r="V136" i="1"/>
  <c r="Z136" i="1"/>
  <c r="AA136" i="1"/>
  <c r="D88" i="1"/>
  <c r="H88" i="1"/>
  <c r="I137" i="1"/>
  <c r="J137" i="1"/>
  <c r="N137" i="1"/>
  <c r="O137" i="1"/>
  <c r="P137" i="1"/>
  <c r="T137" i="1"/>
  <c r="U137" i="1"/>
  <c r="V137" i="1"/>
  <c r="Z137" i="1"/>
  <c r="AA137" i="1"/>
  <c r="D89" i="1"/>
  <c r="H89" i="1"/>
  <c r="I138" i="1"/>
  <c r="J138" i="1"/>
  <c r="N138" i="1"/>
  <c r="O138" i="1"/>
  <c r="P138" i="1"/>
  <c r="T138" i="1"/>
  <c r="U138" i="1"/>
  <c r="V138" i="1"/>
  <c r="Z138" i="1"/>
  <c r="AA138" i="1"/>
  <c r="D90" i="1"/>
  <c r="H90" i="1"/>
  <c r="I139" i="1"/>
  <c r="J139" i="1"/>
  <c r="P139" i="1"/>
  <c r="T139" i="1"/>
  <c r="U139" i="1"/>
  <c r="V139" i="1"/>
  <c r="Z139" i="1"/>
  <c r="AA139" i="1"/>
  <c r="D91" i="1"/>
  <c r="H91" i="1"/>
  <c r="I140" i="1"/>
  <c r="J140" i="1"/>
  <c r="P140" i="1"/>
  <c r="T140" i="1"/>
  <c r="U140" i="1"/>
  <c r="V140" i="1"/>
  <c r="Z140" i="1"/>
  <c r="AA140" i="1"/>
  <c r="D92" i="1"/>
  <c r="H92" i="1"/>
  <c r="I141" i="1"/>
  <c r="J141" i="1"/>
  <c r="P141" i="1"/>
  <c r="T141" i="1"/>
  <c r="U141" i="1"/>
  <c r="V141" i="1"/>
  <c r="Z141" i="1"/>
  <c r="AA141" i="1"/>
  <c r="D93" i="1"/>
  <c r="H93" i="1"/>
  <c r="I142" i="1"/>
  <c r="J142" i="1"/>
  <c r="P142" i="1"/>
  <c r="T142" i="1"/>
  <c r="U142" i="1"/>
  <c r="V142" i="1"/>
  <c r="Z142" i="1"/>
  <c r="AA142" i="1"/>
  <c r="D94" i="1"/>
  <c r="H94" i="1"/>
  <c r="I143" i="1"/>
  <c r="J143" i="1"/>
  <c r="P143" i="1"/>
  <c r="T143" i="1"/>
  <c r="U143" i="1"/>
  <c r="V143" i="1"/>
  <c r="Z143" i="1"/>
  <c r="AA143" i="1"/>
  <c r="D95" i="1"/>
  <c r="H95" i="1"/>
  <c r="I144" i="1"/>
  <c r="J144" i="1"/>
  <c r="P144" i="1"/>
  <c r="T144" i="1"/>
  <c r="U144" i="1"/>
  <c r="V144" i="1"/>
  <c r="Z144" i="1"/>
  <c r="AA144" i="1"/>
  <c r="D96" i="1"/>
  <c r="H96" i="1"/>
  <c r="I145" i="1"/>
  <c r="J145" i="1"/>
  <c r="P145" i="1"/>
  <c r="T145" i="1"/>
  <c r="U145" i="1"/>
  <c r="V145" i="1"/>
  <c r="Z145" i="1"/>
  <c r="AA145" i="1"/>
  <c r="D97" i="1"/>
  <c r="H97" i="1"/>
  <c r="I146" i="1"/>
  <c r="J146" i="1"/>
  <c r="P146" i="1"/>
  <c r="T146" i="1"/>
  <c r="U146" i="1"/>
  <c r="V146" i="1"/>
  <c r="Z146" i="1"/>
  <c r="AA146" i="1"/>
  <c r="D98" i="1"/>
  <c r="H98" i="1"/>
  <c r="I147" i="1"/>
  <c r="J147" i="1"/>
  <c r="P147" i="1"/>
  <c r="T147" i="1"/>
  <c r="U147" i="1"/>
  <c r="V147" i="1"/>
  <c r="Z147" i="1"/>
  <c r="AA147" i="1"/>
  <c r="D99" i="1"/>
  <c r="H99" i="1"/>
  <c r="I148" i="1"/>
  <c r="J148" i="1"/>
  <c r="P148" i="1"/>
  <c r="T148" i="1"/>
  <c r="U148" i="1"/>
  <c r="V148" i="1"/>
  <c r="Z148" i="1"/>
  <c r="AA148" i="1"/>
  <c r="D100" i="1"/>
  <c r="H100" i="1"/>
  <c r="I149" i="1"/>
  <c r="J149" i="1"/>
  <c r="P149" i="1"/>
  <c r="T149" i="1"/>
  <c r="U149" i="1"/>
  <c r="V149" i="1"/>
  <c r="Z149" i="1"/>
  <c r="AA149" i="1"/>
  <c r="D101" i="1"/>
  <c r="H101" i="1"/>
  <c r="I150" i="1"/>
  <c r="J150" i="1"/>
  <c r="P150" i="1"/>
  <c r="T150" i="1"/>
  <c r="U150" i="1"/>
  <c r="V150" i="1"/>
  <c r="Z150" i="1"/>
  <c r="AA150" i="1"/>
  <c r="J110" i="5"/>
  <c r="J109" i="5"/>
  <c r="J108" i="5"/>
  <c r="J107" i="5"/>
  <c r="J106" i="5"/>
  <c r="J105" i="5"/>
  <c r="J104" i="5"/>
  <c r="J103" i="5"/>
  <c r="J102" i="5"/>
  <c r="J101" i="5"/>
  <c r="J100" i="5"/>
  <c r="J99" i="5"/>
  <c r="V98" i="5"/>
  <c r="P98" i="5"/>
  <c r="J98" i="5"/>
  <c r="D98" i="5"/>
  <c r="V97" i="5"/>
  <c r="P97" i="5"/>
  <c r="J97" i="5"/>
  <c r="D97" i="5"/>
  <c r="V96" i="5"/>
  <c r="P96" i="5"/>
  <c r="J96" i="5"/>
  <c r="D96" i="5"/>
  <c r="V95" i="5"/>
  <c r="P95" i="5"/>
  <c r="J95" i="5"/>
  <c r="D95" i="5"/>
  <c r="V94" i="5"/>
  <c r="P94" i="5"/>
  <c r="J94" i="5"/>
  <c r="D94" i="5"/>
  <c r="V93" i="5"/>
  <c r="P93" i="5"/>
  <c r="J93" i="5"/>
  <c r="D93" i="5"/>
  <c r="V92" i="5"/>
  <c r="P92" i="5"/>
  <c r="J92" i="5"/>
  <c r="D92" i="5"/>
  <c r="V91" i="5"/>
  <c r="P91" i="5"/>
  <c r="J91" i="5"/>
  <c r="D91" i="5"/>
  <c r="V90" i="5"/>
  <c r="P90" i="5"/>
  <c r="J90" i="5"/>
  <c r="D90" i="5"/>
  <c r="V89" i="5"/>
  <c r="P89" i="5"/>
  <c r="J89" i="5"/>
  <c r="D89" i="5"/>
  <c r="V88" i="5"/>
  <c r="P88" i="5"/>
  <c r="J88" i="5"/>
  <c r="D88" i="5"/>
  <c r="V87" i="5"/>
  <c r="P87" i="5"/>
  <c r="J87" i="5"/>
  <c r="D87" i="5"/>
  <c r="V86" i="5"/>
  <c r="P86" i="5"/>
  <c r="J86" i="5"/>
  <c r="D86" i="5"/>
  <c r="V85" i="5"/>
  <c r="P85" i="5"/>
  <c r="J85" i="5"/>
  <c r="D85" i="5"/>
  <c r="V84" i="5"/>
  <c r="P84" i="5"/>
  <c r="J84" i="5"/>
  <c r="D84" i="5"/>
  <c r="V82" i="5"/>
  <c r="J82" i="5"/>
  <c r="D82" i="5"/>
  <c r="V81" i="5"/>
  <c r="J81" i="5"/>
  <c r="D81" i="5"/>
  <c r="V80" i="5"/>
  <c r="J80" i="5"/>
  <c r="D80" i="5"/>
  <c r="V79" i="5"/>
  <c r="J79" i="5"/>
  <c r="D79" i="5"/>
  <c r="V78" i="5"/>
  <c r="J78" i="5"/>
  <c r="D78" i="5"/>
  <c r="V77" i="5"/>
  <c r="J77" i="5"/>
  <c r="D77" i="5"/>
  <c r="V76" i="5"/>
  <c r="J76" i="5"/>
  <c r="D76" i="5"/>
  <c r="V75" i="5"/>
  <c r="J75" i="5"/>
  <c r="D75" i="5"/>
  <c r="V74" i="5"/>
  <c r="P74" i="5"/>
  <c r="J74" i="5"/>
  <c r="D74" i="5"/>
  <c r="V73" i="5"/>
  <c r="P73" i="5"/>
  <c r="J73" i="5"/>
  <c r="D73" i="5"/>
  <c r="V72" i="5"/>
  <c r="P72" i="5"/>
  <c r="J72" i="5"/>
  <c r="D72" i="5"/>
  <c r="V71" i="5"/>
  <c r="P71" i="5"/>
  <c r="J71" i="5"/>
  <c r="D71" i="5"/>
  <c r="V70" i="5"/>
  <c r="P70" i="5"/>
  <c r="J70" i="5"/>
  <c r="D70" i="5"/>
  <c r="V69" i="5"/>
  <c r="P69" i="5"/>
  <c r="J69" i="5"/>
  <c r="D69" i="5"/>
  <c r="V68" i="5"/>
  <c r="P68" i="5"/>
  <c r="J68" i="5"/>
  <c r="D68" i="5"/>
  <c r="V67" i="5"/>
  <c r="P67" i="5"/>
  <c r="J67" i="5"/>
  <c r="D67" i="5"/>
  <c r="V66" i="5"/>
  <c r="P66" i="5"/>
  <c r="J66" i="5"/>
  <c r="D66" i="5"/>
  <c r="V65" i="5"/>
  <c r="P65" i="5"/>
  <c r="J65" i="5"/>
  <c r="D65" i="5"/>
  <c r="V64" i="5"/>
  <c r="P64" i="5"/>
  <c r="J64" i="5"/>
  <c r="D64" i="5"/>
  <c r="V63" i="5"/>
  <c r="P63" i="5"/>
  <c r="J63" i="5"/>
  <c r="D63" i="5"/>
  <c r="V62" i="5"/>
  <c r="P62" i="5"/>
  <c r="J62" i="5"/>
  <c r="D62" i="5"/>
  <c r="V61" i="5"/>
  <c r="P61" i="5"/>
  <c r="J61" i="5"/>
  <c r="D61" i="5"/>
  <c r="V60" i="5"/>
  <c r="P60" i="5"/>
  <c r="J60" i="5"/>
  <c r="D60" i="5"/>
  <c r="V59" i="5"/>
  <c r="P59" i="5"/>
  <c r="J59" i="5"/>
  <c r="D59" i="5"/>
  <c r="V58" i="5"/>
  <c r="P58" i="5"/>
  <c r="J58" i="5"/>
  <c r="D58" i="5"/>
  <c r="V57" i="5"/>
  <c r="P57" i="5"/>
  <c r="J57" i="5"/>
  <c r="D57" i="5"/>
  <c r="V56" i="5"/>
  <c r="P56" i="5"/>
  <c r="J56" i="5"/>
  <c r="D56" i="5"/>
  <c r="V55" i="5"/>
  <c r="P55" i="5"/>
  <c r="J55" i="5"/>
  <c r="D55" i="5"/>
  <c r="V54" i="5"/>
  <c r="P54" i="5"/>
  <c r="J54" i="5"/>
  <c r="D54" i="5"/>
  <c r="V53" i="5"/>
  <c r="P53" i="5"/>
  <c r="J53" i="5"/>
  <c r="D53" i="5"/>
  <c r="V52" i="5"/>
  <c r="P52" i="5"/>
  <c r="J52" i="5"/>
  <c r="D52" i="5"/>
  <c r="V51" i="5"/>
  <c r="P51" i="5"/>
  <c r="J51" i="5"/>
  <c r="D51" i="5"/>
  <c r="V121" i="4"/>
  <c r="V120" i="4"/>
  <c r="V119" i="4"/>
  <c r="V118" i="4"/>
  <c r="V117" i="4"/>
  <c r="V116" i="4"/>
  <c r="V115" i="4"/>
  <c r="V114" i="4"/>
  <c r="V113" i="4"/>
  <c r="V112" i="4"/>
  <c r="P121" i="4"/>
  <c r="P120" i="4"/>
  <c r="P119" i="4"/>
  <c r="P118" i="4"/>
  <c r="P117" i="4"/>
  <c r="P116" i="4"/>
  <c r="P115" i="4"/>
  <c r="P114" i="4"/>
  <c r="P113" i="4"/>
  <c r="P112" i="4"/>
  <c r="J121" i="4"/>
  <c r="J120" i="4"/>
  <c r="J119" i="4"/>
  <c r="J118" i="4"/>
  <c r="J117" i="4"/>
  <c r="J116" i="4"/>
  <c r="J115" i="4"/>
  <c r="J114" i="4"/>
  <c r="J113" i="4"/>
  <c r="J112" i="4"/>
  <c r="D121" i="4"/>
  <c r="D120" i="4"/>
  <c r="D119" i="4"/>
  <c r="D118" i="4"/>
  <c r="D117" i="4"/>
  <c r="D116" i="4"/>
  <c r="D115" i="4"/>
  <c r="D114" i="4"/>
  <c r="D113" i="4"/>
  <c r="D112" i="4"/>
  <c r="V111" i="4"/>
  <c r="V110" i="4"/>
  <c r="V109" i="4"/>
  <c r="V108" i="4"/>
  <c r="V107" i="4"/>
  <c r="P111" i="4"/>
  <c r="P110" i="4"/>
  <c r="P109" i="4"/>
  <c r="P108" i="4"/>
  <c r="P107" i="4"/>
  <c r="J111" i="4"/>
  <c r="J110" i="4"/>
  <c r="J109" i="4"/>
  <c r="J108" i="4"/>
  <c r="J107" i="4"/>
  <c r="D111" i="4"/>
  <c r="D110" i="4"/>
  <c r="D109" i="4"/>
  <c r="D108" i="4"/>
  <c r="D107" i="4"/>
  <c r="V106" i="4"/>
  <c r="V105" i="4"/>
  <c r="V104" i="4"/>
  <c r="P106" i="4"/>
  <c r="P105" i="4"/>
  <c r="P104" i="4"/>
  <c r="J106" i="4"/>
  <c r="J105" i="4"/>
  <c r="J104" i="4"/>
  <c r="D106" i="4"/>
  <c r="D105" i="4"/>
  <c r="D104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H91" i="4"/>
  <c r="H92" i="4"/>
  <c r="H93" i="4"/>
  <c r="H94" i="4"/>
  <c r="H95" i="4"/>
  <c r="H96" i="4"/>
  <c r="H97" i="4"/>
  <c r="H98" i="4"/>
  <c r="H99" i="4"/>
  <c r="H100" i="4"/>
  <c r="H101" i="4"/>
  <c r="H102" i="4"/>
  <c r="I91" i="4"/>
  <c r="I92" i="4"/>
  <c r="I93" i="4"/>
  <c r="I94" i="4"/>
  <c r="I95" i="4"/>
  <c r="I96" i="4"/>
  <c r="I97" i="4"/>
  <c r="I98" i="4"/>
  <c r="I99" i="4"/>
  <c r="I100" i="4"/>
  <c r="I101" i="4"/>
  <c r="I102" i="4"/>
  <c r="J91" i="4"/>
  <c r="J92" i="4"/>
  <c r="J93" i="4"/>
  <c r="J94" i="4"/>
  <c r="J95" i="4"/>
  <c r="J96" i="4"/>
  <c r="J97" i="4"/>
  <c r="J98" i="4"/>
  <c r="J99" i="4"/>
  <c r="J100" i="4"/>
  <c r="J101" i="4"/>
  <c r="J102" i="4"/>
  <c r="T91" i="4"/>
  <c r="T92" i="4"/>
  <c r="T93" i="4"/>
  <c r="T94" i="4"/>
  <c r="T95" i="4"/>
  <c r="T96" i="4"/>
  <c r="T97" i="4"/>
  <c r="T98" i="4"/>
  <c r="T99" i="4"/>
  <c r="T100" i="4"/>
  <c r="T101" i="4"/>
  <c r="T102" i="4"/>
  <c r="U91" i="4"/>
  <c r="U92" i="4"/>
  <c r="U93" i="4"/>
  <c r="U94" i="4"/>
  <c r="U95" i="4"/>
  <c r="U96" i="4"/>
  <c r="U97" i="4"/>
  <c r="U98" i="4"/>
  <c r="U99" i="4"/>
  <c r="U100" i="4"/>
  <c r="U101" i="4"/>
  <c r="U102" i="4"/>
  <c r="V91" i="4"/>
  <c r="V92" i="4"/>
  <c r="V93" i="4"/>
  <c r="V94" i="4"/>
  <c r="V95" i="4"/>
  <c r="V96" i="4"/>
  <c r="V97" i="4"/>
  <c r="V98" i="4"/>
  <c r="V99" i="4"/>
  <c r="V100" i="4"/>
  <c r="V101" i="4"/>
  <c r="V102" i="4"/>
  <c r="Z91" i="4"/>
  <c r="Z92" i="4"/>
  <c r="Z93" i="4"/>
  <c r="Z94" i="4"/>
  <c r="Z95" i="4"/>
  <c r="Z96" i="4"/>
  <c r="Z97" i="4"/>
  <c r="Z98" i="4"/>
  <c r="Z99" i="4"/>
  <c r="Z100" i="4"/>
  <c r="Z101" i="4"/>
  <c r="Z102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D74" i="4"/>
  <c r="H74" i="4"/>
  <c r="I74" i="4"/>
  <c r="J74" i="4"/>
  <c r="P74" i="4"/>
  <c r="T74" i="4"/>
  <c r="U74" i="4"/>
  <c r="V74" i="4"/>
  <c r="Z74" i="4"/>
  <c r="AA74" i="4"/>
  <c r="D67" i="4"/>
  <c r="D68" i="4"/>
  <c r="D69" i="4"/>
  <c r="D70" i="4"/>
  <c r="D71" i="4"/>
  <c r="D72" i="4"/>
  <c r="D73" i="4"/>
  <c r="H67" i="4"/>
  <c r="H68" i="4"/>
  <c r="H69" i="4"/>
  <c r="H70" i="4"/>
  <c r="H71" i="4"/>
  <c r="H72" i="4"/>
  <c r="H73" i="4"/>
  <c r="I67" i="4"/>
  <c r="I68" i="4"/>
  <c r="I69" i="4"/>
  <c r="I70" i="4"/>
  <c r="I71" i="4"/>
  <c r="I72" i="4"/>
  <c r="I73" i="4"/>
  <c r="J67" i="4"/>
  <c r="J68" i="4"/>
  <c r="J69" i="4"/>
  <c r="J70" i="4"/>
  <c r="J71" i="4"/>
  <c r="J72" i="4"/>
  <c r="J73" i="4"/>
  <c r="P67" i="4"/>
  <c r="P68" i="4"/>
  <c r="P69" i="4"/>
  <c r="P70" i="4"/>
  <c r="P71" i="4"/>
  <c r="P72" i="4"/>
  <c r="P73" i="4"/>
  <c r="T67" i="4"/>
  <c r="T68" i="4"/>
  <c r="T69" i="4"/>
  <c r="T70" i="4"/>
  <c r="T71" i="4"/>
  <c r="T72" i="4"/>
  <c r="T73" i="4"/>
  <c r="U67" i="4"/>
  <c r="U68" i="4"/>
  <c r="U69" i="4"/>
  <c r="U70" i="4"/>
  <c r="U71" i="4"/>
  <c r="U72" i="4"/>
  <c r="U73" i="4"/>
  <c r="V67" i="4"/>
  <c r="V68" i="4"/>
  <c r="V69" i="4"/>
  <c r="V70" i="4"/>
  <c r="V71" i="4"/>
  <c r="V72" i="4"/>
  <c r="V73" i="4"/>
  <c r="Z67" i="4"/>
  <c r="Z68" i="4"/>
  <c r="Z69" i="4"/>
  <c r="Z70" i="4"/>
  <c r="Z71" i="4"/>
  <c r="Z72" i="4"/>
  <c r="Z73" i="4"/>
  <c r="AA67" i="4"/>
  <c r="AA68" i="4"/>
  <c r="AA69" i="4"/>
  <c r="AA70" i="4"/>
  <c r="AA71" i="4"/>
  <c r="AA72" i="4"/>
  <c r="AA73" i="4"/>
  <c r="D43" i="5"/>
  <c r="D3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D59" i="4"/>
  <c r="H59" i="4"/>
  <c r="I59" i="4"/>
  <c r="J59" i="4"/>
  <c r="T59" i="4"/>
  <c r="U59" i="4"/>
  <c r="V59" i="4"/>
  <c r="Z59" i="4"/>
  <c r="AA59" i="4"/>
  <c r="D55" i="4"/>
  <c r="D56" i="4"/>
  <c r="D57" i="4"/>
  <c r="D58" i="4"/>
  <c r="D60" i="4"/>
  <c r="D61" i="4"/>
  <c r="D62" i="4"/>
  <c r="D63" i="4"/>
  <c r="D64" i="4"/>
  <c r="D65" i="4"/>
  <c r="D66" i="4"/>
  <c r="H55" i="4"/>
  <c r="H56" i="4"/>
  <c r="H57" i="4"/>
  <c r="H58" i="4"/>
  <c r="H60" i="4"/>
  <c r="H61" i="4"/>
  <c r="H62" i="4"/>
  <c r="H63" i="4"/>
  <c r="H64" i="4"/>
  <c r="H65" i="4"/>
  <c r="H66" i="4"/>
  <c r="I55" i="4"/>
  <c r="I56" i="4"/>
  <c r="I57" i="4"/>
  <c r="I58" i="4"/>
  <c r="I60" i="4"/>
  <c r="I61" i="4"/>
  <c r="I62" i="4"/>
  <c r="I63" i="4"/>
  <c r="I64" i="4"/>
  <c r="I65" i="4"/>
  <c r="I66" i="4"/>
  <c r="J55" i="4"/>
  <c r="J56" i="4"/>
  <c r="J57" i="4"/>
  <c r="J58" i="4"/>
  <c r="J60" i="4"/>
  <c r="J61" i="4"/>
  <c r="J62" i="4"/>
  <c r="J63" i="4"/>
  <c r="J64" i="4"/>
  <c r="J65" i="4"/>
  <c r="J66" i="4"/>
  <c r="T55" i="4"/>
  <c r="T56" i="4"/>
  <c r="T57" i="4"/>
  <c r="T58" i="4"/>
  <c r="T60" i="4"/>
  <c r="T61" i="4"/>
  <c r="T62" i="4"/>
  <c r="T63" i="4"/>
  <c r="T64" i="4"/>
  <c r="T65" i="4"/>
  <c r="T66" i="4"/>
  <c r="U55" i="4"/>
  <c r="U56" i="4"/>
  <c r="U57" i="4"/>
  <c r="U58" i="4"/>
  <c r="U60" i="4"/>
  <c r="U61" i="4"/>
  <c r="U62" i="4"/>
  <c r="U63" i="4"/>
  <c r="U64" i="4"/>
  <c r="U65" i="4"/>
  <c r="U66" i="4"/>
  <c r="V55" i="4"/>
  <c r="V56" i="4"/>
  <c r="V57" i="4"/>
  <c r="V58" i="4"/>
  <c r="V60" i="4"/>
  <c r="V61" i="4"/>
  <c r="V62" i="4"/>
  <c r="V63" i="4"/>
  <c r="V64" i="4"/>
  <c r="V65" i="4"/>
  <c r="V66" i="4"/>
  <c r="Z55" i="4"/>
  <c r="Z56" i="4"/>
  <c r="Z57" i="4"/>
  <c r="Z58" i="4"/>
  <c r="Z60" i="4"/>
  <c r="Z61" i="4"/>
  <c r="Z62" i="4"/>
  <c r="Z63" i="4"/>
  <c r="Z64" i="4"/>
  <c r="Z65" i="4"/>
  <c r="Z66" i="4"/>
  <c r="AA55" i="4"/>
  <c r="AA56" i="4"/>
  <c r="AA57" i="4"/>
  <c r="AA58" i="4"/>
  <c r="AA60" i="4"/>
  <c r="AA61" i="4"/>
  <c r="AA62" i="4"/>
  <c r="AA63" i="4"/>
  <c r="AA64" i="4"/>
  <c r="AA65" i="4"/>
  <c r="AA66" i="4"/>
  <c r="D50" i="4"/>
  <c r="H50" i="4"/>
  <c r="I50" i="4"/>
  <c r="J50" i="4"/>
  <c r="T50" i="4"/>
  <c r="U50" i="4"/>
  <c r="V50" i="4"/>
  <c r="Z50" i="4"/>
  <c r="AA50" i="4"/>
  <c r="D52" i="4"/>
  <c r="D53" i="4"/>
  <c r="D54" i="4"/>
  <c r="H52" i="4"/>
  <c r="H53" i="4"/>
  <c r="H54" i="4"/>
  <c r="I52" i="4"/>
  <c r="I53" i="4"/>
  <c r="I54" i="4"/>
  <c r="J52" i="4"/>
  <c r="J53" i="4"/>
  <c r="J54" i="4"/>
  <c r="T52" i="4"/>
  <c r="T53" i="4"/>
  <c r="T54" i="4"/>
  <c r="U52" i="4"/>
  <c r="U53" i="4"/>
  <c r="U54" i="4"/>
  <c r="V52" i="4"/>
  <c r="V53" i="4"/>
  <c r="V54" i="4"/>
  <c r="Z52" i="4"/>
  <c r="Z53" i="4"/>
  <c r="Z54" i="4"/>
  <c r="AA52" i="4"/>
  <c r="AA53" i="4"/>
  <c r="AA54" i="4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H24" i="5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H21" i="5"/>
  <c r="J21" i="5"/>
  <c r="T21" i="5"/>
  <c r="V21" i="5"/>
  <c r="Z21" i="5" s="1"/>
  <c r="H12" i="5"/>
  <c r="J12" i="5"/>
  <c r="T12" i="5"/>
  <c r="V12" i="5"/>
  <c r="Z12" i="5" s="1"/>
  <c r="H9" i="5"/>
  <c r="J9" i="5"/>
  <c r="T9" i="5"/>
  <c r="V9" i="5"/>
  <c r="Z9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I43" i="5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I25" i="5"/>
  <c r="V23" i="5"/>
  <c r="AA23" i="5" s="1"/>
  <c r="J23" i="5"/>
  <c r="I23" i="5"/>
  <c r="V22" i="5"/>
  <c r="AA22" i="5" s="1"/>
  <c r="U22" i="5"/>
  <c r="J22" i="5"/>
  <c r="I22" i="5"/>
  <c r="V20" i="5"/>
  <c r="AA20" i="5" s="1"/>
  <c r="J20" i="5"/>
  <c r="I20" i="5"/>
  <c r="V19" i="5"/>
  <c r="AA19" i="5" s="1"/>
  <c r="P19" i="5"/>
  <c r="U19" i="5" s="1"/>
  <c r="J19" i="5"/>
  <c r="O19" i="5" s="1"/>
  <c r="I19" i="5"/>
  <c r="V18" i="5"/>
  <c r="Z18" i="5" s="1"/>
  <c r="P18" i="5"/>
  <c r="J18" i="5"/>
  <c r="N18" i="5" s="1"/>
  <c r="I18" i="5"/>
  <c r="V17" i="5"/>
  <c r="AA17" i="5" s="1"/>
  <c r="P17" i="5"/>
  <c r="U17" i="5" s="1"/>
  <c r="J17" i="5"/>
  <c r="O17" i="5" s="1"/>
  <c r="I17" i="5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I13" i="5"/>
  <c r="V11" i="5"/>
  <c r="AA11" i="5" s="1"/>
  <c r="U11" i="5"/>
  <c r="J11" i="5"/>
  <c r="H11" i="5"/>
  <c r="V10" i="5"/>
  <c r="Z10" i="5" s="1"/>
  <c r="U10" i="5"/>
  <c r="J10" i="5"/>
  <c r="I10" i="5"/>
  <c r="V8" i="5"/>
  <c r="Z8" i="5" s="1"/>
  <c r="U8" i="5"/>
  <c r="J8" i="5"/>
  <c r="I8" i="5"/>
  <c r="V7" i="5"/>
  <c r="AA7" i="5" s="1"/>
  <c r="U7" i="5"/>
  <c r="J7" i="5"/>
  <c r="H7" i="5"/>
  <c r="V6" i="5"/>
  <c r="AA6" i="5" s="1"/>
  <c r="P6" i="5"/>
  <c r="U6" i="5" s="1"/>
  <c r="J6" i="5"/>
  <c r="H6" i="5"/>
  <c r="V5" i="5"/>
  <c r="AA5" i="5" s="1"/>
  <c r="P5" i="5"/>
  <c r="U5" i="5" s="1"/>
  <c r="J5" i="5"/>
  <c r="N5" i="5" s="1"/>
  <c r="I5" i="5"/>
  <c r="V4" i="5"/>
  <c r="AA4" i="5" s="1"/>
  <c r="P4" i="5"/>
  <c r="U4" i="5" s="1"/>
  <c r="J4" i="5"/>
  <c r="I4" i="5"/>
  <c r="V3" i="5"/>
  <c r="AA3" i="5" s="1"/>
  <c r="P3" i="5"/>
  <c r="U3" i="5" s="1"/>
  <c r="J3" i="5"/>
  <c r="N3" i="5" s="1"/>
  <c r="I3" i="5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1" i="4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2" i="4"/>
  <c r="AA82" i="4" s="1"/>
  <c r="V83" i="4"/>
  <c r="V84" i="4"/>
  <c r="Z84" i="4" s="1"/>
  <c r="V85" i="4"/>
  <c r="Z85" i="4" s="1"/>
  <c r="V86" i="4"/>
  <c r="AA86" i="4" s="1"/>
  <c r="V87" i="4"/>
  <c r="Z87" i="4" s="1"/>
  <c r="V88" i="4"/>
  <c r="Z88" i="4" s="1"/>
  <c r="V89" i="4"/>
  <c r="Z89" i="4" s="1"/>
  <c r="V90" i="4"/>
  <c r="AA90" i="4" s="1"/>
  <c r="T103" i="4"/>
  <c r="U103" i="4"/>
  <c r="V103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T51" i="4"/>
  <c r="P76" i="4"/>
  <c r="P77" i="4"/>
  <c r="T77" i="4" s="1"/>
  <c r="P78" i="4"/>
  <c r="T78" i="4" s="1"/>
  <c r="P79" i="4"/>
  <c r="T79" i="4" s="1"/>
  <c r="P80" i="4"/>
  <c r="P81" i="4"/>
  <c r="U81" i="4" s="1"/>
  <c r="P82" i="4"/>
  <c r="T82" i="4" s="1"/>
  <c r="P83" i="4"/>
  <c r="T83" i="4" s="1"/>
  <c r="P84" i="4"/>
  <c r="P85" i="4"/>
  <c r="T85" i="4" s="1"/>
  <c r="P86" i="4"/>
  <c r="T86" i="4" s="1"/>
  <c r="P87" i="4"/>
  <c r="T87" i="4" s="1"/>
  <c r="P88" i="4"/>
  <c r="P89" i="4"/>
  <c r="U89" i="4" s="1"/>
  <c r="P90" i="4"/>
  <c r="T9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1" i="4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2" i="4"/>
  <c r="O82" i="4" s="1"/>
  <c r="J83" i="4"/>
  <c r="N83" i="4" s="1"/>
  <c r="J84" i="4"/>
  <c r="N84" i="4" s="1"/>
  <c r="J85" i="4"/>
  <c r="N85" i="4" s="1"/>
  <c r="J86" i="4"/>
  <c r="O86" i="4" s="1"/>
  <c r="J87" i="4"/>
  <c r="N87" i="4" s="1"/>
  <c r="J88" i="4"/>
  <c r="N88" i="4" s="1"/>
  <c r="J89" i="4"/>
  <c r="O89" i="4" s="1"/>
  <c r="J90" i="4"/>
  <c r="O90" i="4" s="1"/>
  <c r="J103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103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103" i="4"/>
  <c r="H3" i="4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1" i="4"/>
  <c r="I51" i="4" s="1"/>
  <c r="N102" i="4" l="1"/>
  <c r="O102" i="4"/>
  <c r="N101" i="4"/>
  <c r="O101" i="4"/>
  <c r="N100" i="4"/>
  <c r="O100" i="4"/>
  <c r="N99" i="4"/>
  <c r="O99" i="4"/>
  <c r="N98" i="4"/>
  <c r="O98" i="4"/>
  <c r="N97" i="4"/>
  <c r="O97" i="4"/>
  <c r="N96" i="4"/>
  <c r="O96" i="4"/>
  <c r="N95" i="4"/>
  <c r="O95" i="4"/>
  <c r="N94" i="4"/>
  <c r="O94" i="4"/>
  <c r="N93" i="4"/>
  <c r="O93" i="4"/>
  <c r="N92" i="4"/>
  <c r="O92" i="4"/>
  <c r="N91" i="4"/>
  <c r="O91" i="4"/>
  <c r="N75" i="5"/>
  <c r="O75" i="5"/>
  <c r="N76" i="5"/>
  <c r="O76" i="5"/>
  <c r="N77" i="5"/>
  <c r="O77" i="5"/>
  <c r="N78" i="5"/>
  <c r="O78" i="5"/>
  <c r="N79" i="5"/>
  <c r="O79" i="5"/>
  <c r="N80" i="5"/>
  <c r="O80" i="5"/>
  <c r="N81" i="5"/>
  <c r="O81" i="5"/>
  <c r="N82" i="5"/>
  <c r="O82" i="5"/>
  <c r="N99" i="5"/>
  <c r="O99" i="5"/>
  <c r="N100" i="5"/>
  <c r="O100" i="5"/>
  <c r="N101" i="5"/>
  <c r="O101" i="5"/>
  <c r="N102" i="5"/>
  <c r="O102" i="5"/>
  <c r="N103" i="5"/>
  <c r="O103" i="5"/>
  <c r="N104" i="5"/>
  <c r="O104" i="5"/>
  <c r="N105" i="5"/>
  <c r="O105" i="5"/>
  <c r="N106" i="5"/>
  <c r="O106" i="5"/>
  <c r="N107" i="5"/>
  <c r="O107" i="5"/>
  <c r="N108" i="5"/>
  <c r="O108" i="5"/>
  <c r="N109" i="5"/>
  <c r="O109" i="5"/>
  <c r="N110" i="5"/>
  <c r="O110" i="5"/>
  <c r="T110" i="5"/>
  <c r="U110" i="5"/>
  <c r="T109" i="5"/>
  <c r="U109" i="5"/>
  <c r="T108" i="5"/>
  <c r="U108" i="5"/>
  <c r="T107" i="5"/>
  <c r="U107" i="5"/>
  <c r="T106" i="5"/>
  <c r="U106" i="5"/>
  <c r="T105" i="5"/>
  <c r="U105" i="5"/>
  <c r="T104" i="5"/>
  <c r="U104" i="5"/>
  <c r="T103" i="5"/>
  <c r="U103" i="5"/>
  <c r="T102" i="5"/>
  <c r="U102" i="5"/>
  <c r="T101" i="5"/>
  <c r="U101" i="5"/>
  <c r="T100" i="5"/>
  <c r="U100" i="5"/>
  <c r="T99" i="5"/>
  <c r="U99" i="5"/>
  <c r="I51" i="5"/>
  <c r="H51" i="5"/>
  <c r="O51" i="5"/>
  <c r="N51" i="5"/>
  <c r="U51" i="5"/>
  <c r="T51" i="5"/>
  <c r="AA51" i="5"/>
  <c r="Z51" i="5"/>
  <c r="I52" i="5"/>
  <c r="H52" i="5"/>
  <c r="O52" i="5"/>
  <c r="N52" i="5"/>
  <c r="U52" i="5"/>
  <c r="T52" i="5"/>
  <c r="AA52" i="5"/>
  <c r="Z52" i="5"/>
  <c r="I53" i="5"/>
  <c r="H53" i="5"/>
  <c r="O53" i="5"/>
  <c r="N53" i="5"/>
  <c r="U53" i="5"/>
  <c r="T53" i="5"/>
  <c r="AA53" i="5"/>
  <c r="Z53" i="5"/>
  <c r="I54" i="5"/>
  <c r="H54" i="5"/>
  <c r="O54" i="5"/>
  <c r="N54" i="5"/>
  <c r="U54" i="5"/>
  <c r="T54" i="5"/>
  <c r="AA54" i="5"/>
  <c r="Z54" i="5"/>
  <c r="I55" i="5"/>
  <c r="H55" i="5"/>
  <c r="O55" i="5"/>
  <c r="N55" i="5"/>
  <c r="U55" i="5"/>
  <c r="T55" i="5"/>
  <c r="AA55" i="5"/>
  <c r="Z55" i="5"/>
  <c r="I56" i="5"/>
  <c r="H56" i="5"/>
  <c r="O56" i="5"/>
  <c r="N56" i="5"/>
  <c r="U56" i="5"/>
  <c r="T56" i="5"/>
  <c r="AA56" i="5"/>
  <c r="Z56" i="5"/>
  <c r="I57" i="5"/>
  <c r="H57" i="5"/>
  <c r="O57" i="5"/>
  <c r="N57" i="5"/>
  <c r="U57" i="5"/>
  <c r="T57" i="5"/>
  <c r="AA57" i="5"/>
  <c r="Z57" i="5"/>
  <c r="I58" i="5"/>
  <c r="H58" i="5"/>
  <c r="O58" i="5"/>
  <c r="N58" i="5"/>
  <c r="U58" i="5"/>
  <c r="T58" i="5"/>
  <c r="AA58" i="5"/>
  <c r="Z58" i="5"/>
  <c r="I59" i="5"/>
  <c r="H59" i="5"/>
  <c r="O59" i="5"/>
  <c r="N59" i="5"/>
  <c r="U59" i="5"/>
  <c r="T59" i="5"/>
  <c r="AA59" i="5"/>
  <c r="Z59" i="5"/>
  <c r="I60" i="5"/>
  <c r="H60" i="5"/>
  <c r="O60" i="5"/>
  <c r="N60" i="5"/>
  <c r="U60" i="5"/>
  <c r="T60" i="5"/>
  <c r="AA60" i="5"/>
  <c r="Z60" i="5"/>
  <c r="I61" i="5"/>
  <c r="H61" i="5"/>
  <c r="O61" i="5"/>
  <c r="N61" i="5"/>
  <c r="U61" i="5"/>
  <c r="T61" i="5"/>
  <c r="AA61" i="5"/>
  <c r="Z61" i="5"/>
  <c r="I62" i="5"/>
  <c r="H62" i="5"/>
  <c r="O62" i="5"/>
  <c r="N62" i="5"/>
  <c r="U62" i="5"/>
  <c r="T62" i="5"/>
  <c r="AA62" i="5"/>
  <c r="Z62" i="5"/>
  <c r="I63" i="5"/>
  <c r="H63" i="5"/>
  <c r="O63" i="5"/>
  <c r="N63" i="5"/>
  <c r="U63" i="5"/>
  <c r="T63" i="5"/>
  <c r="AA63" i="5"/>
  <c r="Z63" i="5"/>
  <c r="I64" i="5"/>
  <c r="H64" i="5"/>
  <c r="O64" i="5"/>
  <c r="N64" i="5"/>
  <c r="U64" i="5"/>
  <c r="T64" i="5"/>
  <c r="AA64" i="5"/>
  <c r="Z64" i="5"/>
  <c r="I65" i="5"/>
  <c r="H65" i="5"/>
  <c r="O65" i="5"/>
  <c r="N65" i="5"/>
  <c r="U65" i="5"/>
  <c r="T65" i="5"/>
  <c r="AA65" i="5"/>
  <c r="Z65" i="5"/>
  <c r="I66" i="5"/>
  <c r="H66" i="5"/>
  <c r="O66" i="5"/>
  <c r="N66" i="5"/>
  <c r="U66" i="5"/>
  <c r="T66" i="5"/>
  <c r="AA66" i="5"/>
  <c r="Z66" i="5"/>
  <c r="I67" i="5"/>
  <c r="H67" i="5"/>
  <c r="O67" i="5"/>
  <c r="N67" i="5"/>
  <c r="U67" i="5"/>
  <c r="T67" i="5"/>
  <c r="AA67" i="5"/>
  <c r="Z67" i="5"/>
  <c r="I68" i="5"/>
  <c r="H68" i="5"/>
  <c r="O68" i="5"/>
  <c r="N68" i="5"/>
  <c r="U68" i="5"/>
  <c r="T68" i="5"/>
  <c r="AA68" i="5"/>
  <c r="Z68" i="5"/>
  <c r="I69" i="5"/>
  <c r="H69" i="5"/>
  <c r="O69" i="5"/>
  <c r="N69" i="5"/>
  <c r="U69" i="5"/>
  <c r="T69" i="5"/>
  <c r="AA69" i="5"/>
  <c r="Z69" i="5"/>
  <c r="I70" i="5"/>
  <c r="H70" i="5"/>
  <c r="O70" i="5"/>
  <c r="N70" i="5"/>
  <c r="U70" i="5"/>
  <c r="T70" i="5"/>
  <c r="AA70" i="5"/>
  <c r="Z70" i="5"/>
  <c r="I71" i="5"/>
  <c r="H71" i="5"/>
  <c r="O71" i="5"/>
  <c r="N71" i="5"/>
  <c r="U71" i="5"/>
  <c r="T71" i="5"/>
  <c r="AA71" i="5"/>
  <c r="Z71" i="5"/>
  <c r="I72" i="5"/>
  <c r="H72" i="5"/>
  <c r="O72" i="5"/>
  <c r="N72" i="5"/>
  <c r="U72" i="5"/>
  <c r="T72" i="5"/>
  <c r="AA72" i="5"/>
  <c r="Z72" i="5"/>
  <c r="I73" i="5"/>
  <c r="H73" i="5"/>
  <c r="O73" i="5"/>
  <c r="N73" i="5"/>
  <c r="U73" i="5"/>
  <c r="T73" i="5"/>
  <c r="AA73" i="5"/>
  <c r="Z73" i="5"/>
  <c r="I74" i="5"/>
  <c r="H74" i="5"/>
  <c r="O74" i="5"/>
  <c r="N74" i="5"/>
  <c r="U74" i="5"/>
  <c r="T74" i="5"/>
  <c r="AA74" i="5"/>
  <c r="Z74" i="5"/>
  <c r="I75" i="5"/>
  <c r="H75" i="5"/>
  <c r="U75" i="5"/>
  <c r="T75" i="5"/>
  <c r="AA75" i="5"/>
  <c r="Z75" i="5"/>
  <c r="I76" i="5"/>
  <c r="H76" i="5"/>
  <c r="U76" i="5"/>
  <c r="T76" i="5"/>
  <c r="AA76" i="5"/>
  <c r="Z76" i="5"/>
  <c r="I77" i="5"/>
  <c r="H77" i="5"/>
  <c r="U77" i="5"/>
  <c r="T77" i="5"/>
  <c r="AA77" i="5"/>
  <c r="Z77" i="5"/>
  <c r="I78" i="5"/>
  <c r="H78" i="5"/>
  <c r="U78" i="5"/>
  <c r="T78" i="5"/>
  <c r="AA78" i="5"/>
  <c r="Z78" i="5"/>
  <c r="I79" i="5"/>
  <c r="H79" i="5"/>
  <c r="U79" i="5"/>
  <c r="T79" i="5"/>
  <c r="AA79" i="5"/>
  <c r="Z79" i="5"/>
  <c r="I80" i="5"/>
  <c r="H80" i="5"/>
  <c r="U80" i="5"/>
  <c r="T80" i="5"/>
  <c r="AA80" i="5"/>
  <c r="Z80" i="5"/>
  <c r="I81" i="5"/>
  <c r="H81" i="5"/>
  <c r="U81" i="5"/>
  <c r="T81" i="5"/>
  <c r="AA81" i="5"/>
  <c r="Z81" i="5"/>
  <c r="I82" i="5"/>
  <c r="H82" i="5"/>
  <c r="U82" i="5"/>
  <c r="T82" i="5"/>
  <c r="AA82" i="5"/>
  <c r="Z82" i="5"/>
  <c r="I84" i="5"/>
  <c r="H84" i="5"/>
  <c r="O84" i="5"/>
  <c r="N84" i="5"/>
  <c r="U84" i="5"/>
  <c r="T84" i="5"/>
  <c r="AA84" i="5"/>
  <c r="Z84" i="5"/>
  <c r="I85" i="5"/>
  <c r="H85" i="5"/>
  <c r="O85" i="5"/>
  <c r="N85" i="5"/>
  <c r="U85" i="5"/>
  <c r="T85" i="5"/>
  <c r="AA85" i="5"/>
  <c r="Z85" i="5"/>
  <c r="I86" i="5"/>
  <c r="H86" i="5"/>
  <c r="O86" i="5"/>
  <c r="N86" i="5"/>
  <c r="U86" i="5"/>
  <c r="T86" i="5"/>
  <c r="AA86" i="5"/>
  <c r="Z86" i="5"/>
  <c r="I87" i="5"/>
  <c r="H87" i="5"/>
  <c r="O87" i="5"/>
  <c r="N87" i="5"/>
  <c r="U87" i="5"/>
  <c r="T87" i="5"/>
  <c r="AA87" i="5"/>
  <c r="Z87" i="5"/>
  <c r="I88" i="5"/>
  <c r="H88" i="5"/>
  <c r="O88" i="5"/>
  <c r="N88" i="5"/>
  <c r="U88" i="5"/>
  <c r="T88" i="5"/>
  <c r="AA88" i="5"/>
  <c r="Z88" i="5"/>
  <c r="I89" i="5"/>
  <c r="H89" i="5"/>
  <c r="O89" i="5"/>
  <c r="N89" i="5"/>
  <c r="U89" i="5"/>
  <c r="T89" i="5"/>
  <c r="AA89" i="5"/>
  <c r="Z89" i="5"/>
  <c r="I90" i="5"/>
  <c r="H90" i="5"/>
  <c r="O90" i="5"/>
  <c r="N90" i="5"/>
  <c r="U90" i="5"/>
  <c r="T90" i="5"/>
  <c r="AA90" i="5"/>
  <c r="Z90" i="5"/>
  <c r="I91" i="5"/>
  <c r="H91" i="5"/>
  <c r="O91" i="5"/>
  <c r="N91" i="5"/>
  <c r="U91" i="5"/>
  <c r="T91" i="5"/>
  <c r="AA91" i="5"/>
  <c r="Z91" i="5"/>
  <c r="I92" i="5"/>
  <c r="H92" i="5"/>
  <c r="O92" i="5"/>
  <c r="N92" i="5"/>
  <c r="U92" i="5"/>
  <c r="T92" i="5"/>
  <c r="AA92" i="5"/>
  <c r="Z92" i="5"/>
  <c r="I93" i="5"/>
  <c r="H93" i="5"/>
  <c r="O93" i="5"/>
  <c r="N93" i="5"/>
  <c r="U93" i="5"/>
  <c r="T93" i="5"/>
  <c r="AA93" i="5"/>
  <c r="Z93" i="5"/>
  <c r="I94" i="5"/>
  <c r="H94" i="5"/>
  <c r="O94" i="5"/>
  <c r="N94" i="5"/>
  <c r="U94" i="5"/>
  <c r="T94" i="5"/>
  <c r="AA94" i="5"/>
  <c r="Z94" i="5"/>
  <c r="I95" i="5"/>
  <c r="H95" i="5"/>
  <c r="O95" i="5"/>
  <c r="N95" i="5"/>
  <c r="U95" i="5"/>
  <c r="T95" i="5"/>
  <c r="AA95" i="5"/>
  <c r="Z95" i="5"/>
  <c r="I96" i="5"/>
  <c r="H96" i="5"/>
  <c r="O96" i="5"/>
  <c r="N96" i="5"/>
  <c r="U96" i="5"/>
  <c r="T96" i="5"/>
  <c r="AA96" i="5"/>
  <c r="Z96" i="5"/>
  <c r="I97" i="5"/>
  <c r="H97" i="5"/>
  <c r="O97" i="5"/>
  <c r="N97" i="5"/>
  <c r="U97" i="5"/>
  <c r="T97" i="5"/>
  <c r="AA97" i="5"/>
  <c r="Z97" i="5"/>
  <c r="I98" i="5"/>
  <c r="H98" i="5"/>
  <c r="O98" i="5"/>
  <c r="N98" i="5"/>
  <c r="U98" i="5"/>
  <c r="T98" i="5"/>
  <c r="AA98" i="5"/>
  <c r="Z98" i="5"/>
  <c r="I99" i="5"/>
  <c r="H99" i="5"/>
  <c r="AA99" i="5"/>
  <c r="Z99" i="5"/>
  <c r="I100" i="5"/>
  <c r="H100" i="5"/>
  <c r="AA100" i="5"/>
  <c r="Z100" i="5"/>
  <c r="I101" i="5"/>
  <c r="H101" i="5"/>
  <c r="AA101" i="5"/>
  <c r="Z101" i="5"/>
  <c r="I102" i="5"/>
  <c r="H102" i="5"/>
  <c r="AA102" i="5"/>
  <c r="Z102" i="5"/>
  <c r="I103" i="5"/>
  <c r="H103" i="5"/>
  <c r="AA103" i="5"/>
  <c r="Z103" i="5"/>
  <c r="I104" i="5"/>
  <c r="H104" i="5"/>
  <c r="AA104" i="5"/>
  <c r="Z104" i="5"/>
  <c r="I105" i="5"/>
  <c r="H105" i="5"/>
  <c r="AA105" i="5"/>
  <c r="Z105" i="5"/>
  <c r="I106" i="5"/>
  <c r="H106" i="5"/>
  <c r="AA106" i="5"/>
  <c r="Z106" i="5"/>
  <c r="I107" i="5"/>
  <c r="H107" i="5"/>
  <c r="AA107" i="5"/>
  <c r="Z107" i="5"/>
  <c r="I108" i="5"/>
  <c r="H108" i="5"/>
  <c r="AA108" i="5"/>
  <c r="Z108" i="5"/>
  <c r="I109" i="5"/>
  <c r="H109" i="5"/>
  <c r="AA109" i="5"/>
  <c r="Z109" i="5"/>
  <c r="I110" i="5"/>
  <c r="H110" i="5"/>
  <c r="AA110" i="5"/>
  <c r="Z110" i="5"/>
  <c r="I112" i="4"/>
  <c r="H112" i="4"/>
  <c r="I113" i="4"/>
  <c r="H113" i="4"/>
  <c r="I114" i="4"/>
  <c r="H114" i="4"/>
  <c r="I115" i="4"/>
  <c r="H115" i="4"/>
  <c r="I116" i="4"/>
  <c r="H116" i="4"/>
  <c r="I117" i="4"/>
  <c r="H117" i="4"/>
  <c r="I118" i="4"/>
  <c r="H118" i="4"/>
  <c r="I119" i="4"/>
  <c r="H119" i="4"/>
  <c r="I120" i="4"/>
  <c r="H120" i="4"/>
  <c r="I121" i="4"/>
  <c r="H121" i="4"/>
  <c r="U112" i="4"/>
  <c r="T112" i="4"/>
  <c r="U113" i="4"/>
  <c r="T113" i="4"/>
  <c r="U114" i="4"/>
  <c r="T114" i="4"/>
  <c r="U115" i="4"/>
  <c r="T115" i="4"/>
  <c r="U116" i="4"/>
  <c r="T116" i="4"/>
  <c r="U117" i="4"/>
  <c r="T117" i="4"/>
  <c r="U118" i="4"/>
  <c r="T118" i="4"/>
  <c r="U119" i="4"/>
  <c r="T119" i="4"/>
  <c r="U120" i="4"/>
  <c r="T120" i="4"/>
  <c r="U121" i="4"/>
  <c r="T121" i="4"/>
  <c r="AA112" i="4"/>
  <c r="Z112" i="4"/>
  <c r="AA113" i="4"/>
  <c r="Z113" i="4"/>
  <c r="AA114" i="4"/>
  <c r="Z114" i="4"/>
  <c r="AA115" i="4"/>
  <c r="Z115" i="4"/>
  <c r="AA116" i="4"/>
  <c r="Z116" i="4"/>
  <c r="AA117" i="4"/>
  <c r="Z117" i="4"/>
  <c r="AA118" i="4"/>
  <c r="Z118" i="4"/>
  <c r="AA119" i="4"/>
  <c r="Z119" i="4"/>
  <c r="AA120" i="4"/>
  <c r="Z120" i="4"/>
  <c r="AA121" i="4"/>
  <c r="Z121" i="4"/>
  <c r="I107" i="4"/>
  <c r="H107" i="4"/>
  <c r="I108" i="4"/>
  <c r="H108" i="4"/>
  <c r="I109" i="4"/>
  <c r="H109" i="4"/>
  <c r="I110" i="4"/>
  <c r="H110" i="4"/>
  <c r="I111" i="4"/>
  <c r="H111" i="4"/>
  <c r="U107" i="4"/>
  <c r="T107" i="4"/>
  <c r="U108" i="4"/>
  <c r="T108" i="4"/>
  <c r="U109" i="4"/>
  <c r="T109" i="4"/>
  <c r="U110" i="4"/>
  <c r="T110" i="4"/>
  <c r="U111" i="4"/>
  <c r="T111" i="4"/>
  <c r="AA107" i="4"/>
  <c r="Z107" i="4"/>
  <c r="AA108" i="4"/>
  <c r="Z108" i="4"/>
  <c r="AA109" i="4"/>
  <c r="Z109" i="4"/>
  <c r="AA110" i="4"/>
  <c r="Z110" i="4"/>
  <c r="AA111" i="4"/>
  <c r="Z111" i="4"/>
  <c r="I104" i="4"/>
  <c r="H104" i="4"/>
  <c r="I105" i="4"/>
  <c r="H105" i="4"/>
  <c r="I106" i="4"/>
  <c r="H106" i="4"/>
  <c r="U104" i="4"/>
  <c r="T104" i="4"/>
  <c r="U105" i="4"/>
  <c r="T105" i="4"/>
  <c r="U106" i="4"/>
  <c r="T106" i="4"/>
  <c r="AA104" i="4"/>
  <c r="Z104" i="4"/>
  <c r="AA105" i="4"/>
  <c r="Z105" i="4"/>
  <c r="AA106" i="4"/>
  <c r="Z106" i="4"/>
  <c r="N51" i="4"/>
  <c r="O51" i="4"/>
  <c r="N54" i="4"/>
  <c r="O54" i="4"/>
  <c r="N53" i="4"/>
  <c r="O53" i="4"/>
  <c r="N52" i="4"/>
  <c r="O52" i="4"/>
  <c r="N50" i="4"/>
  <c r="O50" i="4"/>
  <c r="N66" i="4"/>
  <c r="O66" i="4"/>
  <c r="N65" i="4"/>
  <c r="O65" i="4"/>
  <c r="N64" i="4"/>
  <c r="O64" i="4"/>
  <c r="N63" i="4"/>
  <c r="O63" i="4"/>
  <c r="N62" i="4"/>
  <c r="O62" i="4"/>
  <c r="N61" i="4"/>
  <c r="O61" i="4"/>
  <c r="N60" i="4"/>
  <c r="O60" i="4"/>
  <c r="N58" i="4"/>
  <c r="O58" i="4"/>
  <c r="N57" i="4"/>
  <c r="O57" i="4"/>
  <c r="N56" i="4"/>
  <c r="O56" i="4"/>
  <c r="N55" i="4"/>
  <c r="O55" i="4"/>
  <c r="N59" i="4"/>
  <c r="O59" i="4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90" i="4"/>
  <c r="Z80" i="4"/>
  <c r="T21" i="4"/>
  <c r="U5" i="4"/>
  <c r="U78" i="4"/>
  <c r="O28" i="4"/>
  <c r="AA43" i="4"/>
  <c r="Z20" i="4"/>
  <c r="AA7" i="4"/>
  <c r="O83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I6" i="5"/>
  <c r="T7" i="5"/>
  <c r="H17" i="5"/>
  <c r="AA18" i="5"/>
  <c r="H23" i="5"/>
  <c r="H32" i="5"/>
  <c r="O46" i="4"/>
  <c r="O15" i="4"/>
  <c r="T48" i="4"/>
  <c r="U31" i="4"/>
  <c r="U26" i="4"/>
  <c r="U9" i="4"/>
  <c r="AA88" i="4"/>
  <c r="Z78" i="4"/>
  <c r="AA29" i="4"/>
  <c r="Z18" i="4"/>
  <c r="N89" i="4"/>
  <c r="N39" i="4"/>
  <c r="O33" i="4"/>
  <c r="U82" i="4"/>
  <c r="U77" i="4"/>
  <c r="U36" i="4"/>
  <c r="T4" i="4"/>
  <c r="AA76" i="4"/>
  <c r="Z40" i="4"/>
  <c r="AA16" i="4"/>
  <c r="Z5" i="4"/>
  <c r="N21" i="4"/>
  <c r="O87" i="4"/>
  <c r="N81" i="4"/>
  <c r="N45" i="4"/>
  <c r="O19" i="4"/>
  <c r="U86" i="4"/>
  <c r="T30" i="4"/>
  <c r="U14" i="4"/>
  <c r="U8" i="4"/>
  <c r="Z86" i="4"/>
  <c r="AA38" i="4"/>
  <c r="Z27" i="4"/>
  <c r="AA3" i="4"/>
  <c r="Z31" i="4"/>
  <c r="N13" i="4"/>
  <c r="O6" i="4"/>
  <c r="T81" i="4"/>
  <c r="U40" i="4"/>
  <c r="U35" i="4"/>
  <c r="U18" i="4"/>
  <c r="AA84" i="4"/>
  <c r="Z49" i="4"/>
  <c r="AA25" i="4"/>
  <c r="Z14" i="4"/>
  <c r="O37" i="4"/>
  <c r="N30" i="4"/>
  <c r="O24" i="4"/>
  <c r="N18" i="4"/>
  <c r="U90" i="4"/>
  <c r="U85" i="4"/>
  <c r="U45" i="4"/>
  <c r="T13" i="4"/>
  <c r="AA47" i="4"/>
  <c r="Z36" i="4"/>
  <c r="AA11" i="4"/>
  <c r="N90" i="4"/>
  <c r="O79" i="4"/>
  <c r="N48" i="4"/>
  <c r="T39" i="4"/>
  <c r="U23" i="4"/>
  <c r="U17" i="4"/>
  <c r="Z82" i="4"/>
  <c r="AA34" i="4"/>
  <c r="Z23" i="4"/>
  <c r="O41" i="4"/>
  <c r="O10" i="4"/>
  <c r="N4" i="4"/>
  <c r="T89" i="4"/>
  <c r="U49" i="4"/>
  <c r="U27" i="4"/>
  <c r="Z45" i="4"/>
  <c r="Z9" i="4"/>
  <c r="T11" i="4"/>
  <c r="U11" i="4"/>
  <c r="T76" i="4"/>
  <c r="U76" i="4"/>
  <c r="N36" i="4"/>
  <c r="N14" i="4"/>
  <c r="T3" i="4"/>
  <c r="U3" i="4"/>
  <c r="Z103" i="4"/>
  <c r="AA103" i="4"/>
  <c r="N86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80" i="4"/>
  <c r="U80" i="4"/>
  <c r="T34" i="4"/>
  <c r="U34" i="4"/>
  <c r="T84" i="4"/>
  <c r="U84" i="4"/>
  <c r="T88" i="4"/>
  <c r="U88" i="4"/>
  <c r="T43" i="4"/>
  <c r="U43" i="4"/>
  <c r="N27" i="4"/>
  <c r="N5" i="4"/>
  <c r="Z83" i="4"/>
  <c r="AA83" i="4"/>
  <c r="N78" i="4"/>
  <c r="N31" i="4"/>
  <c r="T20" i="4"/>
  <c r="U20" i="4"/>
  <c r="N82" i="4"/>
  <c r="T47" i="4"/>
  <c r="U47" i="4"/>
  <c r="T25" i="4"/>
  <c r="U25" i="4"/>
  <c r="N9" i="4"/>
  <c r="Z51" i="4"/>
  <c r="AA51" i="4"/>
  <c r="O88" i="4"/>
  <c r="O80" i="4"/>
  <c r="O47" i="4"/>
  <c r="O38" i="4"/>
  <c r="O29" i="4"/>
  <c r="O20" i="4"/>
  <c r="O11" i="4"/>
  <c r="O3" i="4"/>
  <c r="U87" i="4"/>
  <c r="U79" i="4"/>
  <c r="U46" i="4"/>
  <c r="U37" i="4"/>
  <c r="U28" i="4"/>
  <c r="U19" i="4"/>
  <c r="U10" i="4"/>
  <c r="AA87" i="4"/>
  <c r="AA79" i="4"/>
  <c r="AA46" i="4"/>
  <c r="AA37" i="4"/>
  <c r="AA28" i="4"/>
  <c r="AA24" i="4"/>
  <c r="AA19" i="4"/>
  <c r="AA15" i="4"/>
  <c r="AA10" i="4"/>
  <c r="AA6" i="4"/>
  <c r="O85" i="4"/>
  <c r="O77" i="4"/>
  <c r="O44" i="4"/>
  <c r="O35" i="4"/>
  <c r="O26" i="4"/>
  <c r="O17" i="4"/>
  <c r="O8" i="4"/>
  <c r="O84" i="4"/>
  <c r="O76" i="4"/>
  <c r="O43" i="4"/>
  <c r="O34" i="4"/>
  <c r="O25" i="4"/>
  <c r="O16" i="4"/>
  <c r="O7" i="4"/>
  <c r="U83" i="4"/>
  <c r="U51" i="4"/>
  <c r="U41" i="4"/>
  <c r="U33" i="4"/>
  <c r="U24" i="4"/>
  <c r="U15" i="4"/>
  <c r="U6" i="4"/>
  <c r="AA89" i="4"/>
  <c r="AA85" i="4"/>
  <c r="AA81" i="4"/>
  <c r="AA77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4" i="5"/>
  <c r="T13" i="5"/>
  <c r="Z22" i="5"/>
  <c r="O27" i="5"/>
  <c r="T39" i="5"/>
  <c r="O18" i="5"/>
  <c r="Z20" i="5"/>
  <c r="T30" i="5"/>
  <c r="Z31" i="5"/>
  <c r="H34" i="5"/>
  <c r="T35" i="5"/>
  <c r="Z40" i="5"/>
  <c r="O3" i="5"/>
  <c r="T4" i="5"/>
  <c r="T25" i="5"/>
  <c r="Z27" i="5"/>
  <c r="Z35" i="5"/>
  <c r="Z37" i="5"/>
  <c r="Z39" i="5"/>
  <c r="O44" i="5"/>
  <c r="T49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H41" i="5"/>
  <c r="Z43" i="5"/>
  <c r="H46" i="5"/>
  <c r="T11" i="5"/>
  <c r="H25" i="5"/>
  <c r="H28" i="5"/>
  <c r="H29" i="5"/>
  <c r="Z34" i="5"/>
  <c r="H42" i="5"/>
  <c r="H43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U29" i="5"/>
  <c r="T29" i="5"/>
  <c r="U40" i="5"/>
  <c r="T40" i="5"/>
  <c r="U47" i="5"/>
  <c r="T47" i="5"/>
  <c r="Z25" i="5"/>
  <c r="U44" i="5"/>
  <c r="T4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20" i="5"/>
  <c r="T20" i="5"/>
  <c r="O6" i="5"/>
  <c r="N6" i="5"/>
  <c r="Z17" i="5"/>
  <c r="U23" i="5"/>
  <c r="T23" i="5"/>
  <c r="Z32" i="5"/>
  <c r="U37" i="5"/>
  <c r="T37" i="5"/>
  <c r="O15" i="5"/>
  <c r="N15" i="5"/>
  <c r="Z19" i="5"/>
  <c r="U27" i="5"/>
  <c r="T27" i="5"/>
  <c r="N17" i="5"/>
  <c r="N19" i="5"/>
  <c r="N28" i="5"/>
  <c r="N30" i="5"/>
  <c r="N32" i="5"/>
  <c r="N39" i="5"/>
  <c r="N41" i="5"/>
  <c r="N43" i="5"/>
  <c r="H44" i="5"/>
  <c r="H4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103" i="4"/>
  <c r="N103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1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<sst xmlns="http://schemas.openxmlformats.org/spreadsheetml/2006/main" count="377" uniqueCount="133">
  <si>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</si>
  <si>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</si>
  <si>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</si>
  <si>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</si>
  <si>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</si>
  <si>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</si>
  <si>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</si>
  <si>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</si>
  <si>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</si>
  <si>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</si>
  <si>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</si>
  <si>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</si>
  <si>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</si>
  <si>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</si>
  <si>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</si>
  <si>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</si>
  <si>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</si>
  <si>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</si>
  <si>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</si>
  <si>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Komunikasyon at Pananaliksik sa Wika at Kulturang Pilipino</t>
  </si>
  <si>
    <t>Reading and Writing</t>
  </si>
  <si>
    <t>Understanding Culture, Society and Politics</t>
  </si>
  <si>
    <t>Statistics and Probability</t>
  </si>
  <si>
    <t>Earth Science</t>
  </si>
  <si>
    <t>Health Optimizing Physical Education 1</t>
  </si>
  <si>
    <t>Practical Research 1 (Qualitative Research)</t>
  </si>
  <si>
    <t>Pre-Calculus</t>
  </si>
  <si>
    <t>General Chemistry 1</t>
  </si>
  <si>
    <t>Organization and Management</t>
  </si>
  <si>
    <t>Business Math</t>
  </si>
  <si>
    <t>Into to World Religion and Belief Systems</t>
  </si>
  <si>
    <t>DISS</t>
  </si>
  <si>
    <t>CSS 1</t>
  </si>
  <si>
    <t>ILLUSTRATION</t>
  </si>
  <si>
    <t>Earth and Life Science</t>
  </si>
  <si>
    <t>PPG</t>
  </si>
  <si>
    <t>DIASS</t>
  </si>
  <si>
    <t>Introduction to Philosophy of the Human Person</t>
  </si>
  <si>
    <t>Physical Science</t>
  </si>
  <si>
    <t>General Chemistry 2</t>
  </si>
  <si>
    <t>DRRR</t>
  </si>
  <si>
    <t>Practical Research 2</t>
  </si>
  <si>
    <t>General Mathematics</t>
  </si>
  <si>
    <t>Basic Calculus</t>
  </si>
  <si>
    <t>Illustration</t>
  </si>
  <si>
    <t>CSS 11</t>
  </si>
  <si>
    <t>HOPE 2</t>
  </si>
  <si>
    <t>Pagbasa at Pagsusuri ng Iba't-ibang Uri ng Teksto</t>
  </si>
  <si>
    <t>21st Century Literature from the Philippines and the World</t>
  </si>
  <si>
    <t>Applied Economics</t>
  </si>
  <si>
    <t>FABM1</t>
  </si>
  <si>
    <t>Health Optimizing Physical Education 3</t>
  </si>
  <si>
    <t>Oral Communication</t>
  </si>
  <si>
    <t>Media and Information Literacy</t>
  </si>
  <si>
    <t>Filipino sa Piling Larang</t>
  </si>
  <si>
    <t>General Biology 1</t>
  </si>
  <si>
    <t>General Physics 1</t>
  </si>
  <si>
    <t>Fundamentals of ABM 2</t>
  </si>
  <si>
    <t>Principles of Marketing</t>
  </si>
  <si>
    <t>Creative Writing (Fiction)</t>
  </si>
  <si>
    <t>Community Engagement, Solidarity and Citizenship</t>
  </si>
  <si>
    <t>Entrepreneurship</t>
  </si>
  <si>
    <t>CSS3</t>
  </si>
  <si>
    <t>ANIMATION1</t>
  </si>
  <si>
    <t>Personal Development</t>
  </si>
  <si>
    <t>TRENDS</t>
  </si>
  <si>
    <t>GENERAL PHYSICS 2</t>
  </si>
  <si>
    <t>GENERAL BIOLOGY 2</t>
  </si>
  <si>
    <t>EMPOWERMENT TECHNOLOGY</t>
  </si>
  <si>
    <t>HOPE 4</t>
  </si>
  <si>
    <t>CPAR</t>
  </si>
  <si>
    <t>FILIPINO SA PILING LARANG</t>
  </si>
  <si>
    <t>EAPP</t>
  </si>
  <si>
    <t>CREATIVE NON-FICTION</t>
  </si>
  <si>
    <t>PRINCIPLES OF MARKETING</t>
  </si>
  <si>
    <t xml:space="preserve">ENTREPRENEURSHIP </t>
  </si>
  <si>
    <t>BESR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</si>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</sst>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01" totalsRowShown="0" headerRowDxfId="62" headerRowBorderDxfId="60" tableBorderDxfId="61">
  <autoFilter ref="A1:H10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1" totalsRowShown="0" dataDxfId="59" headerRowBorderDxfId="57" tableBorderDxfId="58">
  <autoFilter ref="A2:AA12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10" totalsRowShown="0" dataDxfId="29" headerRowBorderDxfId="27" tableBorderDxfId="28">
  <autoFilter ref="A2:AA11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0"/>
  <sheetViews>
    <sheetView zoomScale="85" zoomScaleNormal="85" workbookViewId="0">
      <pane xSplit="2" topLeftCell="C99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1.710937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1912</v>
      </c>
      <c r="D2" s="8">
        <v>2252</v>
      </c>
      <c r="E2" s="8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340</v>
      </c>
    </row>
    <row r="3" spans="1:8" ht="29.25" customHeight="1">
      <c r="A3" s="8">
        <v>7</v>
      </c>
      <c r="B3" s="9" t="s">
        <v>10</v>
      </c>
      <c r="C3" s="8">
        <v>1912</v>
      </c>
      <c r="D3" s="8"/>
      <c r="E3" s="8"/>
      <c r="F3" s="10"/>
      <c r="G3" s="2">
        <f t="shared" si="0"/>
        <v>1912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1912</v>
      </c>
      <c r="D4" s="8">
        <v>2252</v>
      </c>
      <c r="E4" s="8">
        <v>2024</v>
      </c>
      <c r="F4" s="10" t="s">
        <v>9</v>
      </c>
      <c r="G4" s="2">
        <f t="shared" si="0"/>
        <v>0</v>
      </c>
      <c r="H4" s="3">
        <f t="shared" si="1"/>
        <v>340</v>
      </c>
    </row>
    <row r="5" spans="1:8" ht="25.5" customHeight="1">
      <c r="A5" s="8">
        <v>7</v>
      </c>
      <c r="B5" s="9" t="s">
        <v>12</v>
      </c>
      <c r="C5" s="8">
        <v>1912</v>
      </c>
      <c r="D5" s="8"/>
      <c r="E5" s="8"/>
      <c r="F5" s="10"/>
      <c r="G5" s="2">
        <f t="shared" si="0"/>
        <v>1912</v>
      </c>
      <c r="H5" s="3">
        <f t="shared" si="1"/>
        <v>0</v>
      </c>
    </row>
    <row r="6" spans="1:8" ht="19.5" customHeight="1">
      <c r="A6" s="8">
        <v>7</v>
      </c>
      <c r="B6" s="9" t="s">
        <v>13</v>
      </c>
      <c r="C6" s="8">
        <v>1912</v>
      </c>
      <c r="D6" s="8">
        <v>2252</v>
      </c>
      <c r="E6" s="8">
        <v>2024</v>
      </c>
      <c r="F6" s="10" t="s">
        <v>9</v>
      </c>
      <c r="G6" s="2">
        <f t="shared" si="0"/>
        <v>0</v>
      </c>
      <c r="H6" s="3">
        <f t="shared" si="1"/>
        <v>340</v>
      </c>
    </row>
    <row r="7" spans="1:8" ht="19.5" customHeight="1">
      <c r="A7" s="8">
        <v>7</v>
      </c>
      <c r="B7" s="9" t="s">
        <v>14</v>
      </c>
      <c r="C7" s="8">
        <v>1912</v>
      </c>
      <c r="D7" s="8">
        <v>2252</v>
      </c>
      <c r="E7" s="8">
        <v>2024</v>
      </c>
      <c r="F7" s="10" t="s">
        <v>9</v>
      </c>
      <c r="G7" s="2">
        <f t="shared" si="0"/>
        <v>0</v>
      </c>
      <c r="H7" s="3">
        <f t="shared" si="1"/>
        <v>340</v>
      </c>
    </row>
    <row r="8" spans="1:8" ht="39.75" customHeight="1">
      <c r="A8" s="8">
        <v>7</v>
      </c>
      <c r="B8" s="9" t="s">
        <v>15</v>
      </c>
      <c r="C8" s="8">
        <v>1912</v>
      </c>
      <c r="D8" s="8">
        <v>2252</v>
      </c>
      <c r="E8" s="8">
        <v>2024</v>
      </c>
      <c r="F8" s="10" t="s">
        <v>9</v>
      </c>
      <c r="G8" s="2">
        <f t="shared" si="0"/>
        <v>0</v>
      </c>
      <c r="H8" s="3">
        <f t="shared" si="1"/>
        <v>340</v>
      </c>
    </row>
    <row r="9" spans="1:8" ht="29.25" customHeight="1">
      <c r="A9" s="8">
        <v>7</v>
      </c>
      <c r="B9" s="9" t="s">
        <v>16</v>
      </c>
      <c r="C9" s="8">
        <v>1912</v>
      </c>
      <c r="D9" s="8"/>
      <c r="E9" s="8"/>
      <c r="F9" s="10"/>
      <c r="G9" s="2">
        <f t="shared" si="0"/>
        <v>1912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1912</v>
      </c>
      <c r="D10" s="8">
        <v>2252</v>
      </c>
      <c r="E10" s="8">
        <v>2024</v>
      </c>
      <c r="F10" s="10" t="s">
        <v>9</v>
      </c>
      <c r="G10" s="2">
        <f t="shared" si="0"/>
        <v>0</v>
      </c>
      <c r="H10" s="3">
        <f t="shared" si="1"/>
        <v>340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 customHeight="1">
      <c r="A12" s="8">
        <v>8</v>
      </c>
      <c r="B12" s="9" t="s">
        <v>8</v>
      </c>
      <c r="C12" s="8">
        <v>1970</v>
      </c>
      <c r="D12" s="8"/>
      <c r="E12" s="8"/>
      <c r="F12" s="10"/>
      <c r="G12" s="2">
        <f t="shared" ref="G12:G20" si="2">IF((C12-D12)&lt;0,0,C12-D12)</f>
        <v>1970</v>
      </c>
      <c r="H12" s="3">
        <f t="shared" ref="H12:H20" si="3">IF((D12-C12)&lt;0,0,D12-C12)</f>
        <v>0</v>
      </c>
    </row>
    <row r="13" spans="1:8" ht="19.5" customHeight="1">
      <c r="A13" s="8">
        <v>8</v>
      </c>
      <c r="B13" s="9" t="s">
        <v>10</v>
      </c>
      <c r="C13" s="8">
        <v>1970</v>
      </c>
      <c r="D13" s="8"/>
      <c r="E13" s="8"/>
      <c r="F13" s="10"/>
      <c r="G13" s="2">
        <f t="shared" si="2"/>
        <v>1970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1970</v>
      </c>
      <c r="D14" s="8">
        <v>1926</v>
      </c>
      <c r="E14" s="8">
        <v>2025</v>
      </c>
      <c r="F14" s="10" t="s">
        <v>9</v>
      </c>
      <c r="G14" s="2">
        <f t="shared" si="2"/>
        <v>44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1970</v>
      </c>
      <c r="D15" s="8">
        <v>1926</v>
      </c>
      <c r="E15" s="8">
        <v>2025</v>
      </c>
      <c r="F15" s="10" t="s">
        <v>9</v>
      </c>
      <c r="G15" s="2">
        <f t="shared" si="2"/>
        <v>44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1970</v>
      </c>
      <c r="D16" s="8"/>
      <c r="E16" s="8"/>
      <c r="F16" s="10"/>
      <c r="G16" s="2">
        <f t="shared" si="2"/>
        <v>1970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1970</v>
      </c>
      <c r="D17" s="8"/>
      <c r="E17" s="8"/>
      <c r="F17" s="10"/>
      <c r="G17" s="2">
        <f t="shared" si="2"/>
        <v>1970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1970</v>
      </c>
      <c r="D18" s="8"/>
      <c r="E18" s="8"/>
      <c r="F18" s="10"/>
      <c r="G18" s="2">
        <f t="shared" si="2"/>
        <v>1970</v>
      </c>
      <c r="H18" s="3">
        <f t="shared" si="3"/>
        <v>0</v>
      </c>
    </row>
    <row r="19" spans="1:8" ht="19.5" customHeight="1">
      <c r="A19" s="8">
        <v>8</v>
      </c>
      <c r="B19" s="9" t="s">
        <v>16</v>
      </c>
      <c r="C19" s="8">
        <v>1970</v>
      </c>
      <c r="D19" s="8"/>
      <c r="E19" s="8"/>
      <c r="F19" s="10"/>
      <c r="G19" s="2">
        <f t="shared" si="2"/>
        <v>1970</v>
      </c>
      <c r="H19" s="3">
        <f t="shared" si="3"/>
        <v>0</v>
      </c>
    </row>
    <row r="20" spans="1:8" ht="19.5" customHeight="1">
      <c r="A20" s="8">
        <v>8</v>
      </c>
      <c r="B20" s="9" t="s">
        <v>17</v>
      </c>
      <c r="C20" s="8">
        <v>1970</v>
      </c>
      <c r="D20" s="8"/>
      <c r="E20" s="8"/>
      <c r="F20" s="10"/>
      <c r="G20" s="2">
        <f t="shared" si="2"/>
        <v>1970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1599</v>
      </c>
      <c r="D22" s="8"/>
      <c r="E22" s="8"/>
      <c r="F22" s="10"/>
      <c r="G22" s="2">
        <f t="shared" ref="G22:G30" si="4">IF((C22-D22)&lt;0,0,C22-D22)</f>
        <v>1599</v>
      </c>
      <c r="H22" s="3">
        <f t="shared" ref="H22:H30" si="5">IF((D22-C22)&lt;0,0,D22-C22)</f>
        <v>0</v>
      </c>
    </row>
    <row r="23" spans="1:8" ht="38.25" customHeight="1">
      <c r="A23" s="8">
        <v>9</v>
      </c>
      <c r="B23" s="9" t="s">
        <v>10</v>
      </c>
      <c r="C23" s="8">
        <v>1599</v>
      </c>
      <c r="D23" s="8"/>
      <c r="E23" s="8"/>
      <c r="F23" s="10"/>
      <c r="G23" s="2">
        <f t="shared" si="4"/>
        <v>1599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1599</v>
      </c>
      <c r="D24" s="8"/>
      <c r="E24" s="8"/>
      <c r="F24" s="10"/>
      <c r="G24" s="2">
        <f t="shared" si="4"/>
        <v>1599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1599</v>
      </c>
      <c r="D25" s="8"/>
      <c r="E25" s="8"/>
      <c r="F25" s="10"/>
      <c r="G25" s="2">
        <f t="shared" si="4"/>
        <v>1599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1599</v>
      </c>
      <c r="D26" s="8"/>
      <c r="E26" s="8"/>
      <c r="F26" s="10"/>
      <c r="G26" s="2">
        <f t="shared" si="4"/>
        <v>1599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1599</v>
      </c>
      <c r="D27" s="8"/>
      <c r="E27" s="8"/>
      <c r="F27" s="10"/>
      <c r="G27" s="2">
        <f t="shared" si="4"/>
        <v>1599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1599</v>
      </c>
      <c r="D28" s="8"/>
      <c r="E28" s="8"/>
      <c r="F28" s="10"/>
      <c r="G28" s="2">
        <f t="shared" si="4"/>
        <v>1599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1599</v>
      </c>
      <c r="D29" s="8"/>
      <c r="E29" s="8"/>
      <c r="F29" s="10"/>
      <c r="G29" s="2">
        <f t="shared" si="4"/>
        <v>1599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1599</v>
      </c>
      <c r="D30" s="8"/>
      <c r="E30" s="8"/>
      <c r="F30" s="10"/>
      <c r="G30" s="2">
        <f t="shared" si="4"/>
        <v>1599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1633</v>
      </c>
      <c r="D32" s="8"/>
      <c r="E32" s="8"/>
      <c r="F32" s="10"/>
      <c r="G32" s="2">
        <f t="shared" ref="G32:G40" si="6">IF((C32-D32)&lt;0,0,C32-D32)</f>
        <v>1633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1633</v>
      </c>
      <c r="D33" s="8"/>
      <c r="E33" s="8"/>
      <c r="F33" s="10"/>
      <c r="G33" s="2">
        <f t="shared" si="6"/>
        <v>1633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1633</v>
      </c>
      <c r="D34" s="8"/>
      <c r="E34" s="8"/>
      <c r="F34" s="10"/>
      <c r="G34" s="2">
        <f t="shared" si="6"/>
        <v>1633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1633</v>
      </c>
      <c r="D35" s="8"/>
      <c r="E35" s="8"/>
      <c r="F35" s="10"/>
      <c r="G35" s="2">
        <f t="shared" si="6"/>
        <v>1633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1633</v>
      </c>
      <c r="D36" s="8"/>
      <c r="E36" s="8"/>
      <c r="F36" s="10"/>
      <c r="G36" s="2">
        <f t="shared" si="6"/>
        <v>1633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1633</v>
      </c>
      <c r="D37" s="8"/>
      <c r="E37" s="8"/>
      <c r="F37" s="10"/>
      <c r="G37" s="2">
        <f t="shared" si="6"/>
        <v>1633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1633</v>
      </c>
      <c r="D38" s="8"/>
      <c r="E38" s="8"/>
      <c r="F38" s="10"/>
      <c r="G38" s="2">
        <f t="shared" si="6"/>
        <v>1633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1633</v>
      </c>
      <c r="D39" s="8"/>
      <c r="E39" s="8"/>
      <c r="F39" s="10"/>
      <c r="G39" s="2">
        <f t="shared" si="6"/>
        <v>1633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1633</v>
      </c>
      <c r="D40" s="8"/>
      <c r="E40" s="8"/>
      <c r="F40" s="10"/>
      <c r="G40" s="2">
        <f t="shared" si="6"/>
        <v>1633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>
        <v>11</v>
      </c>
      <c r="B42" s="7" t="s">
        <v>19</v>
      </c>
      <c r="C42" s="1">
        <v>1102</v>
      </c>
      <c r="D42" s="4">
        <f>Table1[[#This Row],[Enrolment S.Y. 2025-2026 ]]*8</f>
        <v>0</v>
      </c>
      <c r="E42" s="4"/>
      <c r="F42" s="1"/>
      <c r="G42" s="4"/>
      <c r="H42" s="4">
        <f t="shared" ref="H42:H101" si="8">IF((D42-E42)&lt;0,0,(D42-E42))</f>
        <v>0</v>
      </c>
    </row>
    <row r="43" spans="1:8" ht="27.75" customHeight="1">
      <c r="A43" s="1">
        <v>11</v>
      </c>
      <c r="B43" s="7" t="s">
        <v>20</v>
      </c>
      <c r="C43" s="1">
        <v>1102</v>
      </c>
      <c r="D43" s="4">
        <f>Table1[[#This Row],[Enrolment S.Y. 2025-2026 ]]*8</f>
        <v>8816</v>
      </c>
      <c r="E43" s="4"/>
      <c r="F43" s="1"/>
      <c r="G43" s="4"/>
      <c r="H43" s="4">
        <f t="shared" si="8"/>
        <v>8816</v>
      </c>
    </row>
    <row r="44" spans="1:8" ht="27.75" customHeight="1">
      <c r="A44" s="1">
        <v>11</v>
      </c>
      <c r="B44" s="7" t="s">
        <v>21</v>
      </c>
      <c r="C44" s="1">
        <v>1102</v>
      </c>
      <c r="D44" s="4">
        <f>Table1[[#This Row],[Enrolment S.Y. 2025-2026 ]]*8</f>
        <v>8816</v>
      </c>
      <c r="E44" s="4"/>
      <c r="F44" s="1"/>
      <c r="G44" s="4"/>
      <c r="H44" s="4">
        <f t="shared" si="8"/>
        <v>8816</v>
      </c>
    </row>
    <row r="45" spans="1:8" ht="36.75" customHeight="1">
      <c r="A45" s="1">
        <v>11</v>
      </c>
      <c r="B45" s="7" t="s">
        <v>22</v>
      </c>
      <c r="C45" s="1">
        <v>1102</v>
      </c>
      <c r="D45" s="4">
        <f>Table1[[#This Row],[Enrolment S.Y. 2025-2026 ]]*8</f>
        <v>8816</v>
      </c>
      <c r="E45" s="4"/>
      <c r="F45" s="1"/>
      <c r="G45" s="4"/>
      <c r="H45" s="4">
        <f t="shared" si="8"/>
        <v>8816</v>
      </c>
    </row>
    <row r="46" spans="1:8" ht="27.75" customHeight="1">
      <c r="A46" s="1">
        <v>11</v>
      </c>
      <c r="B46" s="7" t="s">
        <v>23</v>
      </c>
      <c r="C46" s="1">
        <v>1102</v>
      </c>
      <c r="D46" s="4">
        <f>Table1[[#This Row],[Enrolment S.Y. 2025-2026 ]]*8</f>
        <v>8816</v>
      </c>
      <c r="E46" s="4"/>
      <c r="F46" s="1"/>
      <c r="G46" s="4"/>
      <c r="H46" s="4">
        <f t="shared" si="8"/>
        <v>8816</v>
      </c>
    </row>
    <row r="47" spans="1:8" ht="27.75" customHeight="1">
      <c r="A47" s="1">
        <v>11</v>
      </c>
      <c r="B47" s="7" t="s">
        <v>24</v>
      </c>
      <c r="C47" s="1">
        <v>1102</v>
      </c>
      <c r="D47" s="4">
        <f>Table1[[#This Row],[Enrolment S.Y. 2025-2026 ]]*8</f>
        <v>8816</v>
      </c>
      <c r="E47" s="4"/>
      <c r="F47" s="1"/>
      <c r="G47" s="4"/>
      <c r="H47" s="4">
        <f t="shared" si="8"/>
        <v>8816</v>
      </c>
    </row>
    <row r="48" spans="1:8" ht="27.75" customHeight="1">
      <c r="A48" s="1">
        <v>11</v>
      </c>
      <c r="B48" s="7" t="s">
        <v>25</v>
      </c>
      <c r="C48" s="1">
        <v>1102</v>
      </c>
      <c r="D48" s="4">
        <f>Table1[[#This Row],[Enrolment S.Y. 2025-2026 ]]*8</f>
        <v>8816</v>
      </c>
      <c r="E48" s="4"/>
      <c r="F48" s="1"/>
      <c r="G48" s="4"/>
      <c r="H48" s="4">
        <f t="shared" si="8"/>
        <v>8816</v>
      </c>
    </row>
    <row r="49" spans="1:8" ht="27.75" customHeight="1">
      <c r="A49" s="30">
        <v>11</v>
      </c>
      <c r="B49" s="31" t="s">
        <v>26</v>
      </c>
      <c r="C49" s="1">
        <v>1102</v>
      </c>
      <c r="D49" s="32">
        <f>Table1[[#This Row],[Enrolment S.Y. 2025-2026 ]]*8</f>
        <v>8816</v>
      </c>
      <c r="E49" s="32"/>
      <c r="F49" s="30"/>
      <c r="G49" s="32"/>
      <c r="H49" s="32">
        <f>IF((D49-E49)&lt;0,0,(D49-E49))</f>
        <v>8816</v>
      </c>
    </row>
    <row r="50" spans="1:8" ht="27.75" customHeight="1">
      <c r="A50" s="1">
        <v>11</v>
      </c>
      <c r="B50" s="7" t="s">
        <v>27</v>
      </c>
      <c r="C50" s="1">
        <v>1102</v>
      </c>
      <c r="D50" s="4">
        <f>Table1[[#This Row],[Enrolment S.Y. 2025-2026 ]]*8</f>
        <v>8816</v>
      </c>
      <c r="E50" s="4"/>
      <c r="F50" s="1"/>
      <c r="G50" s="4"/>
      <c r="H50" s="4">
        <f t="shared" si="8"/>
        <v>8816</v>
      </c>
    </row>
    <row r="51" spans="1:8" ht="27.75" customHeight="1">
      <c r="A51" s="1">
        <v>11</v>
      </c>
      <c r="B51" s="31" t="s">
        <v>28</v>
      </c>
      <c r="C51" s="1">
        <v>1102</v>
      </c>
      <c r="D51" s="32">
        <f>Table1[[#This Row],[Enrolment S.Y. 2025-2026 ]]*8</f>
        <v>8816</v>
      </c>
      <c r="E51" s="32"/>
      <c r="F51" s="30"/>
      <c r="G51" s="32"/>
      <c r="H51" s="32">
        <f t="shared" si="8"/>
        <v>8816</v>
      </c>
    </row>
    <row r="52" spans="1:8" ht="27.75" customHeight="1">
      <c r="A52" s="1">
        <v>11</v>
      </c>
      <c r="B52" s="31" t="s">
        <v>29</v>
      </c>
      <c r="C52" s="1">
        <v>1102</v>
      </c>
      <c r="D52" s="32">
        <f>Table1[[#This Row],[Enrolment S.Y. 2025-2026 ]]*8</f>
        <v>8816</v>
      </c>
      <c r="E52" s="32"/>
      <c r="F52" s="30"/>
      <c r="G52" s="32"/>
      <c r="H52" s="32">
        <f t="shared" si="8"/>
        <v>8816</v>
      </c>
    </row>
    <row r="53" spans="1:8" ht="27.75" customHeight="1">
      <c r="A53" s="1">
        <v>11</v>
      </c>
      <c r="B53" s="31" t="s">
        <v>30</v>
      </c>
      <c r="C53" s="1">
        <v>1102</v>
      </c>
      <c r="D53" s="32">
        <f>Table1[[#This Row],[Enrolment S.Y. 2025-2026 ]]*8</f>
        <v>8816</v>
      </c>
      <c r="E53" s="32"/>
      <c r="F53" s="30"/>
      <c r="G53" s="32"/>
      <c r="H53" s="32">
        <f t="shared" si="8"/>
        <v>8816</v>
      </c>
    </row>
    <row r="54" spans="1:8" ht="27.75" customHeight="1">
      <c r="A54" s="1">
        <v>11</v>
      </c>
      <c r="B54" s="31" t="s">
        <v>31</v>
      </c>
      <c r="C54" s="1">
        <v>1102</v>
      </c>
      <c r="D54" s="32">
        <f>Table1[[#This Row],[Enrolment S.Y. 2025-2026 ]]*8</f>
        <v>8816</v>
      </c>
      <c r="E54" s="32"/>
      <c r="F54" s="30"/>
      <c r="G54" s="32"/>
      <c r="H54" s="32">
        <f t="shared" si="8"/>
        <v>8816</v>
      </c>
    </row>
    <row r="55" spans="1:8" ht="39" customHeight="1">
      <c r="A55" s="1">
        <v>11</v>
      </c>
      <c r="B55" s="31" t="s">
        <v>32</v>
      </c>
      <c r="C55" s="1">
        <v>1102</v>
      </c>
      <c r="D55" s="32">
        <f>Table1[[#This Row],[Enrolment S.Y. 2025-2026 ]]*8</f>
        <v>8816</v>
      </c>
      <c r="E55" s="32"/>
      <c r="F55" s="30"/>
      <c r="G55" s="32"/>
      <c r="H55" s="32">
        <f t="shared" si="8"/>
        <v>8816</v>
      </c>
    </row>
    <row r="56" spans="1:8" ht="27.75" customHeight="1">
      <c r="A56" s="1">
        <v>11</v>
      </c>
      <c r="B56" s="31" t="s">
        <v>33</v>
      </c>
      <c r="C56" s="1">
        <v>1102</v>
      </c>
      <c r="D56" s="32">
        <f>Table1[[#This Row],[Enrolment S.Y. 2025-2026 ]]*8</f>
        <v>8816</v>
      </c>
      <c r="E56" s="32"/>
      <c r="F56" s="30"/>
      <c r="G56" s="32"/>
      <c r="H56" s="32">
        <f t="shared" si="8"/>
        <v>8816</v>
      </c>
    </row>
    <row r="57" spans="1:8" ht="27.75" customHeight="1">
      <c r="A57" s="1">
        <v>11</v>
      </c>
      <c r="B57" s="31" t="s">
        <v>34</v>
      </c>
      <c r="C57" s="1">
        <v>1102</v>
      </c>
      <c r="D57" s="32">
        <f>Table1[[#This Row],[Enrolment S.Y. 2025-2026 ]]*8</f>
        <v>8816</v>
      </c>
      <c r="E57" s="32"/>
      <c r="F57" s="30"/>
      <c r="G57" s="32"/>
      <c r="H57" s="32">
        <f t="shared" si="8"/>
        <v>8816</v>
      </c>
    </row>
    <row r="58" spans="1:8" ht="27.75" customHeight="1">
      <c r="A58" s="2">
        <v>11</v>
      </c>
      <c r="B58" s="31" t="s">
        <v>35</v>
      </c>
      <c r="C58" s="1">
        <v>1102</v>
      </c>
      <c r="D58" s="32">
        <f>Table1[[#This Row],[Enrolment S.Y. 2025-2026 ]]*8</f>
        <v>8816</v>
      </c>
      <c r="E58" s="32"/>
      <c r="F58" s="30"/>
      <c r="G58" s="32"/>
      <c r="H58" s="32">
        <f>IF((D58-E58)&lt;0,0,(D58-E58))</f>
        <v>8816</v>
      </c>
    </row>
    <row r="59" spans="1:8" ht="27.75" customHeight="1">
      <c r="A59" s="1">
        <v>11</v>
      </c>
      <c r="B59" s="31" t="s">
        <v>36</v>
      </c>
      <c r="C59" s="1">
        <v>1102</v>
      </c>
      <c r="D59" s="32">
        <f>Table1[[#This Row],[Enrolment S.Y. 2025-2026 ]]*8</f>
        <v>8816</v>
      </c>
      <c r="E59" s="32"/>
      <c r="F59" s="30"/>
      <c r="G59" s="32"/>
      <c r="H59" s="32">
        <f t="shared" si="8"/>
        <v>8816</v>
      </c>
    </row>
    <row r="60" spans="1:8" ht="27.75" customHeight="1">
      <c r="A60" s="1">
        <v>11</v>
      </c>
      <c r="B60" s="31" t="s">
        <v>37</v>
      </c>
      <c r="C60" s="1">
        <v>1102</v>
      </c>
      <c r="D60" s="32">
        <f>Table1[[#This Row],[Enrolment S.Y. 2025-2026 ]]*8</f>
        <v>8816</v>
      </c>
      <c r="E60" s="32"/>
      <c r="F60" s="30"/>
      <c r="G60" s="32"/>
      <c r="H60" s="32">
        <f t="shared" si="8"/>
        <v>8816</v>
      </c>
    </row>
    <row r="61" spans="1:8" ht="27.75" customHeight="1">
      <c r="A61" s="1">
        <v>11</v>
      </c>
      <c r="B61" s="31" t="s">
        <v>38</v>
      </c>
      <c r="C61" s="1">
        <v>1102</v>
      </c>
      <c r="D61" s="32">
        <f>Table1[[#This Row],[Enrolment S.Y. 2025-2026 ]]*8</f>
        <v>8816</v>
      </c>
      <c r="E61" s="32"/>
      <c r="F61" s="30"/>
      <c r="G61" s="32"/>
      <c r="H61" s="32">
        <f t="shared" si="8"/>
        <v>8816</v>
      </c>
    </row>
    <row r="62" spans="1:8" ht="27.75" customHeight="1">
      <c r="A62" s="1">
        <v>11</v>
      </c>
      <c r="B62" s="31" t="s">
        <v>39</v>
      </c>
      <c r="C62" s="1">
        <v>1102</v>
      </c>
      <c r="D62" s="32">
        <f>Table1[[#This Row],[Enrolment S.Y. 2025-2026 ]]*8</f>
        <v>8816</v>
      </c>
      <c r="E62" s="32"/>
      <c r="F62" s="30"/>
      <c r="G62" s="32"/>
      <c r="H62" s="32">
        <f t="shared" si="8"/>
        <v>8816</v>
      </c>
    </row>
    <row r="63" spans="1:8" ht="27.75" customHeight="1">
      <c r="A63" s="1">
        <v>11</v>
      </c>
      <c r="B63" s="31" t="s">
        <v>40</v>
      </c>
      <c r="C63" s="1">
        <v>1102</v>
      </c>
      <c r="D63" s="32">
        <f>Table1[[#This Row],[Enrolment S.Y. 2025-2026 ]]*8</f>
        <v>8816</v>
      </c>
      <c r="E63" s="32"/>
      <c r="F63" s="30"/>
      <c r="G63" s="32"/>
      <c r="H63" s="32">
        <f t="shared" si="8"/>
        <v>8816</v>
      </c>
    </row>
    <row r="64" spans="1:8" ht="27.75" customHeight="1">
      <c r="A64" s="1">
        <v>11</v>
      </c>
      <c r="B64" s="31" t="s">
        <v>41</v>
      </c>
      <c r="C64" s="1">
        <v>1102</v>
      </c>
      <c r="D64" s="32">
        <f>Table1[[#This Row],[Enrolment S.Y. 2025-2026 ]]*8</f>
        <v>8816</v>
      </c>
      <c r="E64" s="32"/>
      <c r="F64" s="30"/>
      <c r="G64" s="32"/>
      <c r="H64" s="32">
        <f t="shared" si="8"/>
        <v>8816</v>
      </c>
    </row>
    <row r="65" spans="1:8" ht="27.75" customHeight="1">
      <c r="A65" s="1">
        <v>11</v>
      </c>
      <c r="B65" s="31" t="s">
        <v>42</v>
      </c>
      <c r="C65" s="1">
        <v>1102</v>
      </c>
      <c r="D65" s="32">
        <f>Table1[[#This Row],[Enrolment S.Y. 2025-2026 ]]*8</f>
        <v>8816</v>
      </c>
      <c r="E65" s="32"/>
      <c r="F65" s="30"/>
      <c r="G65" s="32"/>
      <c r="H65" s="32">
        <f t="shared" si="8"/>
        <v>8816</v>
      </c>
    </row>
    <row r="66" spans="1:8" ht="27.75" customHeight="1">
      <c r="A66" s="1">
        <v>11</v>
      </c>
      <c r="B66" s="31" t="s">
        <v>43</v>
      </c>
      <c r="C66" s="1">
        <v>1102</v>
      </c>
      <c r="D66" s="32">
        <f>Table1[[#This Row],[Enrolment S.Y. 2025-2026 ]]*8</f>
        <v>8816</v>
      </c>
      <c r="E66" s="32"/>
      <c r="F66" s="30"/>
      <c r="G66" s="32"/>
      <c r="H66" s="32">
        <f t="shared" si="8"/>
        <v>8816</v>
      </c>
    </row>
    <row r="67" spans="1:8" ht="27.75" customHeight="1">
      <c r="A67" s="1">
        <v>11</v>
      </c>
      <c r="B67" s="31" t="s">
        <v>44</v>
      </c>
      <c r="C67" s="1">
        <v>1102</v>
      </c>
      <c r="D67" s="32">
        <f>Table1[[#This Row],[Enrolment S.Y. 2025-2026 ]]*8</f>
        <v>8816</v>
      </c>
      <c r="E67" s="32"/>
      <c r="F67" s="30"/>
      <c r="G67" s="32"/>
      <c r="H67" s="32">
        <f t="shared" si="8"/>
        <v>8816</v>
      </c>
    </row>
    <row r="68" spans="1:8" ht="27.75" customHeight="1">
      <c r="A68" s="1">
        <v>11</v>
      </c>
      <c r="B68" s="31" t="s">
        <v>45</v>
      </c>
      <c r="C68" s="1">
        <v>1102</v>
      </c>
      <c r="D68" s="32">
        <f>Table1[[#This Row],[Enrolment S.Y. 2025-2026 ]]*8</f>
        <v>8816</v>
      </c>
      <c r="E68" s="32"/>
      <c r="F68" s="30"/>
      <c r="G68" s="32"/>
      <c r="H68" s="32">
        <f t="shared" si="8"/>
        <v>8816</v>
      </c>
    </row>
    <row r="69" spans="1:8" ht="27.75" customHeight="1">
      <c r="A69" s="1">
        <v>11</v>
      </c>
      <c r="B69" s="31" t="s">
        <v>46</v>
      </c>
      <c r="C69" s="1">
        <v>1102</v>
      </c>
      <c r="D69" s="32">
        <f>Table1[[#This Row],[Enrolment S.Y. 2025-2026 ]]*8</f>
        <v>8816</v>
      </c>
      <c r="E69" s="32"/>
      <c r="F69" s="30"/>
      <c r="G69" s="32"/>
      <c r="H69" s="32">
        <f t="shared" si="8"/>
        <v>8816</v>
      </c>
    </row>
    <row r="70" spans="1:8" ht="27.75" customHeight="1">
      <c r="A70" s="1">
        <v>11</v>
      </c>
      <c r="B70" s="31" t="s">
        <v>47</v>
      </c>
      <c r="C70" s="1">
        <v>1102</v>
      </c>
      <c r="D70" s="32">
        <f>Table1[[#This Row],[Enrolment S.Y. 2025-2026 ]]*8</f>
        <v>8816</v>
      </c>
      <c r="E70" s="32"/>
      <c r="F70" s="30"/>
      <c r="G70" s="32"/>
      <c r="H70" s="32">
        <f t="shared" si="8"/>
        <v>8816</v>
      </c>
    </row>
    <row r="71" spans="1:8" ht="27.75" customHeight="1">
      <c r="A71" s="1">
        <v>11</v>
      </c>
      <c r="B71" s="31" t="s">
        <v>48</v>
      </c>
      <c r="C71" s="1">
        <v>1102</v>
      </c>
      <c r="D71" s="32">
        <f>Table1[[#This Row],[Enrolment S.Y. 2025-2026 ]]*8</f>
        <v>8816</v>
      </c>
      <c r="E71" s="32"/>
      <c r="F71" s="30"/>
      <c r="G71" s="32"/>
      <c r="H71" s="32">
        <f t="shared" si="8"/>
        <v>8816</v>
      </c>
    </row>
    <row r="72" spans="1:8" ht="27.75" customHeight="1">
      <c r="A72" s="1">
        <v>11</v>
      </c>
      <c r="B72" s="31" t="s">
        <v>49</v>
      </c>
      <c r="C72" s="1">
        <v>1102</v>
      </c>
      <c r="D72" s="32">
        <f>Table1[[#This Row],[Enrolment S.Y. 2025-2026 ]]*8</f>
        <v>8816</v>
      </c>
      <c r="E72" s="32"/>
      <c r="F72" s="30"/>
      <c r="G72" s="32"/>
      <c r="H72" s="32">
        <f t="shared" si="8"/>
        <v>8816</v>
      </c>
    </row>
    <row r="73" spans="1:8" ht="27.75" customHeight="1">
      <c r="A73" s="1">
        <v>11</v>
      </c>
      <c r="B73" s="31" t="s">
        <v>50</v>
      </c>
      <c r="C73" s="1">
        <v>1102</v>
      </c>
      <c r="D73" s="32">
        <f>Table1[[#This Row],[Enrolment S.Y. 2025-2026 ]]*8</f>
        <v>8816</v>
      </c>
      <c r="E73" s="32"/>
      <c r="F73" s="30"/>
      <c r="G73" s="32"/>
      <c r="H73" s="32">
        <f>IF((D73-E73)&lt;0,0,(D73-E73))</f>
        <v>8816</v>
      </c>
    </row>
    <row r="74" spans="1:8" ht="27.75" customHeight="1">
      <c r="A74" s="5"/>
      <c r="B74" s="5"/>
      <c r="C74" s="5"/>
      <c r="D74" s="5"/>
      <c r="E74" s="5"/>
      <c r="F74" s="5"/>
      <c r="G74" s="5"/>
      <c r="H74" s="5"/>
    </row>
    <row r="75" spans="1:8" ht="27.75" customHeight="1">
      <c r="A75" s="1">
        <v>12</v>
      </c>
      <c r="B75" s="7" t="s">
        <v>51</v>
      </c>
      <c r="C75" s="1">
        <v>1374</v>
      </c>
      <c r="D75" s="32">
        <f>Table1[[#This Row],[Enrolment S.Y. 2025-2026 ]]*8</f>
        <v>0</v>
      </c>
      <c r="E75" s="4"/>
      <c r="F75" s="1"/>
      <c r="G75" s="4"/>
      <c r="H75" s="4">
        <f t="shared" si="8"/>
        <v>0</v>
      </c>
    </row>
    <row r="76" spans="1:8" ht="27.75" customHeight="1">
      <c r="A76" s="1">
        <v>12</v>
      </c>
      <c r="B76" s="7" t="s">
        <v>52</v>
      </c>
      <c r="C76" s="1">
        <v>1374</v>
      </c>
      <c r="D76" s="32">
        <f>Table1[[#This Row],[Enrolment S.Y. 2025-2026 ]]*8</f>
        <v>10992</v>
      </c>
      <c r="E76" s="4"/>
      <c r="F76" s="1"/>
      <c r="G76" s="4"/>
      <c r="H76" s="4">
        <f t="shared" si="8"/>
        <v>10992</v>
      </c>
    </row>
    <row r="77" spans="1:8" ht="27.75" customHeight="1">
      <c r="A77" s="1">
        <v>12</v>
      </c>
      <c r="B77" s="7" t="s">
        <v>53</v>
      </c>
      <c r="C77" s="1">
        <v>1374</v>
      </c>
      <c r="D77" s="32">
        <f>Table1[[#This Row],[Enrolment S.Y. 2025-2026 ]]*8</f>
        <v>10992</v>
      </c>
      <c r="E77" s="4"/>
      <c r="F77" s="1"/>
      <c r="G77" s="4"/>
      <c r="H77" s="4">
        <f t="shared" si="8"/>
        <v>10992</v>
      </c>
    </row>
    <row r="78" spans="1:8" ht="27.75" customHeight="1">
      <c r="A78" s="1">
        <v>12</v>
      </c>
      <c r="B78" s="31" t="s">
        <v>54</v>
      </c>
      <c r="C78" s="1">
        <v>1374</v>
      </c>
      <c r="D78" s="32">
        <f>Table1[[#This Row],[Enrolment S.Y. 2025-2026 ]]*8</f>
        <v>10992</v>
      </c>
      <c r="E78" s="4"/>
      <c r="F78" s="1"/>
      <c r="G78" s="4"/>
      <c r="H78" s="4">
        <f t="shared" si="8"/>
        <v>10992</v>
      </c>
    </row>
    <row r="79" spans="1:8" ht="27.75" customHeight="1">
      <c r="A79" s="1">
        <v>12</v>
      </c>
      <c r="B79" s="31" t="s">
        <v>55</v>
      </c>
      <c r="C79" s="1">
        <v>1374</v>
      </c>
      <c r="D79" s="32">
        <f>Table1[[#This Row],[Enrolment S.Y. 2025-2026 ]]*8</f>
        <v>10992</v>
      </c>
      <c r="E79" s="4"/>
      <c r="F79" s="1"/>
      <c r="G79" s="4"/>
      <c r="H79" s="4">
        <f t="shared" si="8"/>
        <v>10992</v>
      </c>
    </row>
    <row r="80" spans="1:8" ht="27.75" customHeight="1">
      <c r="A80" s="1">
        <v>12</v>
      </c>
      <c r="B80" s="7" t="s">
        <v>56</v>
      </c>
      <c r="C80" s="1">
        <v>1374</v>
      </c>
      <c r="D80" s="32">
        <f>Table1[[#This Row],[Enrolment S.Y. 2025-2026 ]]*8</f>
        <v>10992</v>
      </c>
      <c r="E80" s="4"/>
      <c r="F80" s="1"/>
      <c r="G80" s="4"/>
      <c r="H80" s="4">
        <f t="shared" si="8"/>
        <v>10992</v>
      </c>
    </row>
    <row r="81" spans="1:27" ht="27.75" customHeight="1">
      <c r="A81" s="1">
        <v>12</v>
      </c>
      <c r="B81" s="7" t="s">
        <v>57</v>
      </c>
      <c r="C81" s="1">
        <v>1374</v>
      </c>
      <c r="D81" s="32">
        <f>Table1[[#This Row],[Enrolment S.Y. 2025-2026 ]]*8</f>
        <v>10992</v>
      </c>
      <c r="E81" s="4"/>
      <c r="F81" s="1"/>
      <c r="G81" s="4"/>
      <c r="H81" s="4">
        <f t="shared" si="8"/>
        <v>10992</v>
      </c>
    </row>
    <row r="82" spans="1:27" ht="27.75" customHeight="1">
      <c r="A82" s="1">
        <v>12</v>
      </c>
      <c r="B82" s="31" t="s">
        <v>58</v>
      </c>
      <c r="C82" s="1">
        <v>1374</v>
      </c>
      <c r="D82" s="32">
        <f>Table1[[#This Row],[Enrolment S.Y. 2025-2026 ]]*8</f>
        <v>10992</v>
      </c>
      <c r="E82" s="4"/>
      <c r="F82" s="1"/>
      <c r="G82" s="4"/>
      <c r="H82" s="4">
        <f t="shared" si="8"/>
        <v>10992</v>
      </c>
    </row>
    <row r="83" spans="1:27" ht="27.75" customHeight="1">
      <c r="A83" s="1">
        <v>12</v>
      </c>
      <c r="B83" s="31" t="s">
        <v>59</v>
      </c>
      <c r="C83" s="1">
        <v>1374</v>
      </c>
      <c r="D83" s="32">
        <f>Table1[[#This Row],[Enrolment S.Y. 2025-2026 ]]*8</f>
        <v>10992</v>
      </c>
      <c r="E83" s="4"/>
      <c r="F83" s="1"/>
      <c r="G83" s="4"/>
      <c r="H83" s="4">
        <f t="shared" si="8"/>
        <v>10992</v>
      </c>
    </row>
    <row r="84" spans="1:27" ht="27.75" customHeight="1">
      <c r="A84" s="1">
        <v>12</v>
      </c>
      <c r="B84" s="31" t="s">
        <v>60</v>
      </c>
      <c r="C84" s="1">
        <v>1374</v>
      </c>
      <c r="D84" s="32">
        <f>Table1[[#This Row],[Enrolment S.Y. 2025-2026 ]]*8</f>
        <v>10992</v>
      </c>
      <c r="E84" s="4"/>
      <c r="F84" s="1"/>
      <c r="G84" s="4"/>
      <c r="H84" s="4">
        <f t="shared" si="8"/>
        <v>10992</v>
      </c>
    </row>
    <row r="85" spans="1:27" ht="27.75" customHeight="1">
      <c r="A85" s="1">
        <v>12</v>
      </c>
      <c r="B85" s="7" t="s">
        <v>49</v>
      </c>
      <c r="C85" s="1">
        <v>1374</v>
      </c>
      <c r="D85" s="32">
        <f>Table1[[#This Row],[Enrolment S.Y. 2025-2026 ]]*8</f>
        <v>10992</v>
      </c>
      <c r="E85" s="4"/>
      <c r="F85" s="1"/>
      <c r="G85" s="4"/>
      <c r="H85" s="4">
        <f t="shared" si="8"/>
        <v>10992</v>
      </c>
    </row>
    <row r="86" spans="1:27" ht="27.75" customHeight="1">
      <c r="A86" s="1">
        <v>12</v>
      </c>
      <c r="B86" s="31" t="s">
        <v>61</v>
      </c>
      <c r="C86" s="1">
        <v>1374</v>
      </c>
      <c r="D86" s="32">
        <f>Table1[[#This Row],[Enrolment S.Y. 2025-2026 ]]*8</f>
        <v>10992</v>
      </c>
      <c r="E86" s="4"/>
      <c r="F86" s="1"/>
      <c r="G86" s="4"/>
      <c r="H86" s="4">
        <f t="shared" si="8"/>
        <v>10992</v>
      </c>
    </row>
    <row r="87" spans="1:27" ht="27.75" customHeight="1">
      <c r="A87" s="1">
        <v>12</v>
      </c>
      <c r="B87" s="31" t="s">
        <v>62</v>
      </c>
      <c r="C87" s="1">
        <v>1374</v>
      </c>
      <c r="D87" s="32">
        <f>Table1[[#This Row],[Enrolment S.Y. 2025-2026 ]]*8</f>
        <v>10992</v>
      </c>
      <c r="E87" s="4"/>
      <c r="F87" s="1"/>
      <c r="G87" s="4"/>
      <c r="H87" s="4">
        <f t="shared" si="8"/>
        <v>10992</v>
      </c>
    </row>
    <row r="88" spans="1:27" ht="27.75" customHeight="1">
      <c r="A88" s="1">
        <v>12</v>
      </c>
      <c r="B88" s="31" t="s">
        <v>63</v>
      </c>
      <c r="C88" s="1">
        <v>1374</v>
      </c>
      <c r="D88" s="32">
        <f>Table1[[#This Row],[Enrolment S.Y. 2025-2026 ]]*8</f>
        <v>10992</v>
      </c>
      <c r="E88" s="4"/>
      <c r="F88" s="1"/>
      <c r="G88" s="4"/>
      <c r="H88" s="4">
        <f t="shared" si="8"/>
        <v>10992</v>
      </c>
    </row>
    <row r="89" spans="1:27" ht="27.75" customHeight="1">
      <c r="A89" s="1">
        <v>12</v>
      </c>
      <c r="B89" s="39" t="s">
        <v>64</v>
      </c>
      <c r="C89" s="1">
        <v>1374</v>
      </c>
      <c r="D89" s="32">
        <f>Table1[[#This Row],[Enrolment S.Y. 2025-2026 ]]*8</f>
        <v>10992</v>
      </c>
      <c r="E89" s="4"/>
      <c r="F89" s="1"/>
      <c r="G89" s="4"/>
      <c r="H89" s="4">
        <f t="shared" si="8"/>
        <v>10992</v>
      </c>
    </row>
    <row r="90" spans="1:27" ht="27.75" customHeight="1">
      <c r="A90" s="2">
        <v>12</v>
      </c>
      <c r="B90" s="31" t="s">
        <v>65</v>
      </c>
      <c r="C90" s="1">
        <v>1374</v>
      </c>
      <c r="D90" s="32">
        <f>Table1[[#This Row],[Enrolment S.Y. 2025-2026 ]]*8</f>
        <v>10992</v>
      </c>
      <c r="E90" s="32"/>
      <c r="F90" s="30"/>
      <c r="G90" s="32"/>
      <c r="H90" s="32">
        <f t="shared" si="8"/>
        <v>10992</v>
      </c>
    </row>
    <row r="91" spans="1:27" ht="39.75" customHeight="1">
      <c r="A91" s="1">
        <v>12</v>
      </c>
      <c r="B91" s="31" t="s">
        <v>66</v>
      </c>
      <c r="C91" s="1">
        <v>1374</v>
      </c>
      <c r="D91" s="32">
        <f>Table1[[#This Row],[Enrolment S.Y. 2025-2026 ]]*8</f>
        <v>10992</v>
      </c>
      <c r="E91" s="32"/>
      <c r="F91" s="30"/>
      <c r="G91" s="32"/>
      <c r="H91" s="32">
        <f t="shared" si="8"/>
        <v>10992</v>
      </c>
      <c r="I91" s="4">
        <f t="shared" ref="I91:I150" si="9">IF((E42-D42)&lt;0,0,(E42-D42))</f>
        <v>0</v>
      </c>
      <c r="J91" s="4">
        <f>Table1[[#This Row],[Enrolment S.Y. 2025-2026 ]]*8</f>
        <v>10992</v>
      </c>
      <c r="K91" s="4"/>
      <c r="L91" s="1"/>
      <c r="M91" s="4"/>
      <c r="N91" s="4">
        <f t="shared" ref="N91:N138" si="10">IF((J91-K91)&lt;0,0,(J91-K91))</f>
        <v>10992</v>
      </c>
      <c r="O91" s="4">
        <f t="shared" ref="O91:O138" si="11">IF((K91-J91)&lt;0,0,(K91-J91))</f>
        <v>0</v>
      </c>
      <c r="P91" s="4">
        <f>Table1[[#This Row],[Enrolment S.Y. 2025-2026 ]]*8</f>
        <v>10992</v>
      </c>
      <c r="Q91" s="4"/>
      <c r="R91" s="1"/>
      <c r="S91" s="4"/>
      <c r="T91" s="4">
        <f t="shared" ref="T91:T150" si="12">IF((P91-Q91)&lt;0,0,(P91-Q91))</f>
        <v>10992</v>
      </c>
      <c r="U91" s="4">
        <f t="shared" ref="U91:U150" si="13">IF((Q91-P91)&lt;0,0,(Q91-P91))</f>
        <v>0</v>
      </c>
      <c r="V91" s="4">
        <f>Table1[[#This Row],[Enrolment S.Y. 2025-2026 ]]*8</f>
        <v>10992</v>
      </c>
      <c r="W91" s="4"/>
      <c r="X91" s="1"/>
      <c r="Y91" s="4"/>
      <c r="Z91" s="4">
        <f t="shared" ref="Z91:Z150" si="14">IF((V91-W91)&lt;0,0,(V91-W91))</f>
        <v>10992</v>
      </c>
      <c r="AA91" s="4">
        <f t="shared" ref="AA91:AA150" si="15">IF((W91-V91)&lt;0,0,(W91-V91))</f>
        <v>0</v>
      </c>
    </row>
    <row r="92" spans="1:27" ht="27.75" customHeight="1">
      <c r="A92" s="1">
        <v>12</v>
      </c>
      <c r="B92" s="31" t="s">
        <v>67</v>
      </c>
      <c r="C92" s="1">
        <v>1374</v>
      </c>
      <c r="D92" s="32">
        <f>Table1[[#This Row],[Enrolment S.Y. 2025-2026 ]]*8</f>
        <v>10992</v>
      </c>
      <c r="E92" s="32"/>
      <c r="F92" s="30"/>
      <c r="G92" s="32"/>
      <c r="H92" s="32">
        <f t="shared" si="8"/>
        <v>10992</v>
      </c>
      <c r="I92" s="4">
        <f t="shared" si="9"/>
        <v>0</v>
      </c>
      <c r="J92" s="4">
        <f>Table1[[#This Row],[Enrolment S.Y. 2025-2026 ]]*8</f>
        <v>10992</v>
      </c>
      <c r="K92" s="4"/>
      <c r="L92" s="1"/>
      <c r="M92" s="4"/>
      <c r="N92" s="4">
        <f t="shared" si="10"/>
        <v>10992</v>
      </c>
      <c r="O92" s="4">
        <f t="shared" si="11"/>
        <v>0</v>
      </c>
      <c r="P92" s="4">
        <f>Table1[[#This Row],[Enrolment S.Y. 2025-2026 ]]*8</f>
        <v>10992</v>
      </c>
      <c r="Q92" s="4"/>
      <c r="R92" s="1"/>
      <c r="S92" s="4"/>
      <c r="T92" s="4">
        <f t="shared" si="12"/>
        <v>10992</v>
      </c>
      <c r="U92" s="4">
        <f t="shared" si="13"/>
        <v>0</v>
      </c>
      <c r="V92" s="4">
        <f>Table1[[#This Row],[Enrolment S.Y. 2025-2026 ]]*8</f>
        <v>10992</v>
      </c>
      <c r="W92" s="4"/>
      <c r="X92" s="1"/>
      <c r="Y92" s="4"/>
      <c r="Z92" s="4">
        <f t="shared" si="14"/>
        <v>10992</v>
      </c>
      <c r="AA92" s="4">
        <f t="shared" si="15"/>
        <v>0</v>
      </c>
    </row>
    <row r="93" spans="1:27" ht="27.75" customHeight="1">
      <c r="A93" s="1">
        <v>12</v>
      </c>
      <c r="B93" s="38" t="s">
        <v>68</v>
      </c>
      <c r="C93" s="1">
        <v>1374</v>
      </c>
      <c r="D93" s="32">
        <f>Table1[[#This Row],[Enrolment S.Y. 2025-2026 ]]*8</f>
        <v>10992</v>
      </c>
      <c r="E93" s="32"/>
      <c r="F93" s="30"/>
      <c r="G93" s="32"/>
      <c r="H93" s="32">
        <f t="shared" si="8"/>
        <v>10992</v>
      </c>
      <c r="I93" s="4">
        <f t="shared" si="9"/>
        <v>0</v>
      </c>
      <c r="J93" s="4">
        <f>Table1[[#This Row],[Enrolment S.Y. 2025-2026 ]]*8</f>
        <v>10992</v>
      </c>
      <c r="K93" s="4"/>
      <c r="L93" s="1"/>
      <c r="M93" s="4"/>
      <c r="N93" s="4">
        <f t="shared" si="10"/>
        <v>10992</v>
      </c>
      <c r="O93" s="4">
        <f t="shared" si="11"/>
        <v>0</v>
      </c>
      <c r="P93" s="4">
        <f>Table1[[#This Row],[Enrolment S.Y. 2025-2026 ]]*8</f>
        <v>10992</v>
      </c>
      <c r="Q93" s="4"/>
      <c r="R93" s="1"/>
      <c r="S93" s="4"/>
      <c r="T93" s="4">
        <f t="shared" si="12"/>
        <v>10992</v>
      </c>
      <c r="U93" s="4">
        <f t="shared" si="13"/>
        <v>0</v>
      </c>
      <c r="V93" s="4">
        <f>Table1[[#This Row],[Enrolment S.Y. 2025-2026 ]]*8</f>
        <v>10992</v>
      </c>
      <c r="W93" s="4"/>
      <c r="X93" s="1"/>
      <c r="Y93" s="4"/>
      <c r="Z93" s="4">
        <f t="shared" si="14"/>
        <v>10992</v>
      </c>
      <c r="AA93" s="4">
        <f t="shared" si="15"/>
        <v>0</v>
      </c>
    </row>
    <row r="94" spans="1:27" ht="27.75" customHeight="1">
      <c r="A94" s="1">
        <v>12</v>
      </c>
      <c r="B94" s="31" t="s">
        <v>69</v>
      </c>
      <c r="C94" s="1">
        <v>1374</v>
      </c>
      <c r="D94" s="32">
        <f>Table1[[#This Row],[Enrolment S.Y. 2025-2026 ]]*8</f>
        <v>10992</v>
      </c>
      <c r="E94" s="32"/>
      <c r="F94" s="30"/>
      <c r="G94" s="32"/>
      <c r="H94" s="32">
        <f t="shared" si="8"/>
        <v>10992</v>
      </c>
      <c r="I94" s="4">
        <f t="shared" si="9"/>
        <v>0</v>
      </c>
      <c r="J94" s="4">
        <f>Table1[[#This Row],[Enrolment S.Y. 2025-2026 ]]*8</f>
        <v>10992</v>
      </c>
      <c r="K94" s="4"/>
      <c r="L94" s="1"/>
      <c r="M94" s="4"/>
      <c r="N94" s="4">
        <f t="shared" si="10"/>
        <v>10992</v>
      </c>
      <c r="O94" s="4">
        <f t="shared" si="11"/>
        <v>0</v>
      </c>
      <c r="P94" s="4">
        <f>Table1[[#This Row],[Enrolment S.Y. 2025-2026 ]]*8</f>
        <v>10992</v>
      </c>
      <c r="Q94" s="4"/>
      <c r="R94" s="1"/>
      <c r="S94" s="4"/>
      <c r="T94" s="4">
        <f t="shared" si="12"/>
        <v>10992</v>
      </c>
      <c r="U94" s="4">
        <f t="shared" si="13"/>
        <v>0</v>
      </c>
      <c r="V94" s="4">
        <f>Table1[[#This Row],[Enrolment S.Y. 2025-2026 ]]*8</f>
        <v>10992</v>
      </c>
      <c r="W94" s="4"/>
      <c r="X94" s="1"/>
      <c r="Y94" s="4"/>
      <c r="Z94" s="4">
        <f t="shared" si="14"/>
        <v>10992</v>
      </c>
      <c r="AA94" s="4">
        <f t="shared" si="15"/>
        <v>0</v>
      </c>
    </row>
    <row r="95" spans="1:27" ht="40.5" customHeight="1">
      <c r="A95" s="1">
        <v>12</v>
      </c>
      <c r="B95" s="31" t="s">
        <v>70</v>
      </c>
      <c r="C95" s="1">
        <v>1374</v>
      </c>
      <c r="D95" s="32">
        <f>Table1[[#This Row],[Enrolment S.Y. 2025-2026 ]]*8</f>
        <v>10992</v>
      </c>
      <c r="E95" s="32"/>
      <c r="F95" s="30"/>
      <c r="G95" s="32"/>
      <c r="H95" s="32">
        <f t="shared" si="8"/>
        <v>10992</v>
      </c>
      <c r="I95" s="4">
        <f t="shared" si="9"/>
        <v>0</v>
      </c>
      <c r="J95" s="4">
        <f>Table1[[#This Row],[Enrolment S.Y. 2025-2026 ]]*8</f>
        <v>10992</v>
      </c>
      <c r="K95" s="4"/>
      <c r="L95" s="1"/>
      <c r="M95" s="4"/>
      <c r="N95" s="4">
        <f t="shared" si="10"/>
        <v>10992</v>
      </c>
      <c r="O95" s="4">
        <f t="shared" si="11"/>
        <v>0</v>
      </c>
      <c r="P95" s="4">
        <f>Table1[[#This Row],[Enrolment S.Y. 2025-2026 ]]*8</f>
        <v>10992</v>
      </c>
      <c r="Q95" s="4"/>
      <c r="R95" s="1"/>
      <c r="S95" s="4"/>
      <c r="T95" s="4">
        <f t="shared" si="12"/>
        <v>10992</v>
      </c>
      <c r="U95" s="4">
        <f t="shared" si="13"/>
        <v>0</v>
      </c>
      <c r="V95" s="4">
        <f>Table1[[#This Row],[Enrolment S.Y. 2025-2026 ]]*8</f>
        <v>10992</v>
      </c>
      <c r="W95" s="4"/>
      <c r="X95" s="1"/>
      <c r="Y95" s="4"/>
      <c r="Z95" s="4">
        <f t="shared" si="14"/>
        <v>10992</v>
      </c>
      <c r="AA95" s="4">
        <f t="shared" si="15"/>
        <v>0</v>
      </c>
    </row>
    <row r="96" spans="1:27" ht="38.25" customHeight="1">
      <c r="A96" s="1">
        <v>12</v>
      </c>
      <c r="B96" s="31" t="s">
        <v>71</v>
      </c>
      <c r="C96" s="1">
        <v>1374</v>
      </c>
      <c r="D96" s="32">
        <f>Table1[[#This Row],[Enrolment S.Y. 2025-2026 ]]*8</f>
        <v>10992</v>
      </c>
      <c r="E96" s="32"/>
      <c r="F96" s="30"/>
      <c r="G96" s="32"/>
      <c r="H96" s="32">
        <f t="shared" si="8"/>
        <v>10992</v>
      </c>
      <c r="I96" s="4">
        <f t="shared" si="9"/>
        <v>0</v>
      </c>
      <c r="J96" s="4">
        <f>Table1[[#This Row],[Enrolment S.Y. 2025-2026 ]]*8</f>
        <v>10992</v>
      </c>
      <c r="K96" s="4"/>
      <c r="L96" s="1"/>
      <c r="M96" s="4"/>
      <c r="N96" s="4">
        <f t="shared" si="10"/>
        <v>10992</v>
      </c>
      <c r="O96" s="4">
        <f t="shared" si="11"/>
        <v>0</v>
      </c>
      <c r="P96" s="4">
        <f>Table1[[#This Row],[Enrolment S.Y. 2025-2026 ]]*8</f>
        <v>10992</v>
      </c>
      <c r="Q96" s="4"/>
      <c r="R96" s="1"/>
      <c r="S96" s="4"/>
      <c r="T96" s="4">
        <f t="shared" si="12"/>
        <v>10992</v>
      </c>
      <c r="U96" s="4">
        <f t="shared" si="13"/>
        <v>0</v>
      </c>
      <c r="V96" s="4">
        <f>Table1[[#This Row],[Enrolment S.Y. 2025-2026 ]]*8</f>
        <v>10992</v>
      </c>
      <c r="W96" s="4"/>
      <c r="X96" s="1"/>
      <c r="Y96" s="4"/>
      <c r="Z96" s="4">
        <f t="shared" si="14"/>
        <v>10992</v>
      </c>
      <c r="AA96" s="4">
        <f t="shared" si="15"/>
        <v>0</v>
      </c>
    </row>
    <row r="97" spans="1:27" ht="27.75" customHeight="1">
      <c r="A97" s="1">
        <v>12</v>
      </c>
      <c r="B97" s="31" t="s">
        <v>72</v>
      </c>
      <c r="C97" s="1">
        <v>1374</v>
      </c>
      <c r="D97" s="32">
        <f>Table1[[#This Row],[Enrolment S.Y. 2025-2026 ]]*8</f>
        <v>10992</v>
      </c>
      <c r="E97" s="32"/>
      <c r="F97" s="30"/>
      <c r="G97" s="32"/>
      <c r="H97" s="32">
        <f t="shared" si="8"/>
        <v>10992</v>
      </c>
      <c r="I97" s="4">
        <f t="shared" si="9"/>
        <v>0</v>
      </c>
      <c r="J97" s="4">
        <f>Table1[[#This Row],[Enrolment S.Y. 2025-2026 ]]*8</f>
        <v>10992</v>
      </c>
      <c r="K97" s="4"/>
      <c r="L97" s="1"/>
      <c r="M97" s="4"/>
      <c r="N97" s="4">
        <f t="shared" si="10"/>
        <v>10992</v>
      </c>
      <c r="O97" s="4">
        <f t="shared" si="11"/>
        <v>0</v>
      </c>
      <c r="P97" s="4">
        <f>Table1[[#This Row],[Enrolment S.Y. 2025-2026 ]]*8</f>
        <v>10992</v>
      </c>
      <c r="Q97" s="4"/>
      <c r="R97" s="1"/>
      <c r="S97" s="4"/>
      <c r="T97" s="4">
        <f t="shared" si="12"/>
        <v>10992</v>
      </c>
      <c r="U97" s="4">
        <f t="shared" si="13"/>
        <v>0</v>
      </c>
      <c r="V97" s="4">
        <f>Table1[[#This Row],[Enrolment S.Y. 2025-2026 ]]*8</f>
        <v>10992</v>
      </c>
      <c r="W97" s="4"/>
      <c r="X97" s="1"/>
      <c r="Y97" s="4"/>
      <c r="Z97" s="4">
        <f t="shared" si="14"/>
        <v>10992</v>
      </c>
      <c r="AA97" s="4">
        <f t="shared" si="15"/>
        <v>0</v>
      </c>
    </row>
    <row r="98" spans="1:27" ht="47.25" customHeight="1">
      <c r="A98" s="1">
        <v>12</v>
      </c>
      <c r="B98" s="38" t="s">
        <v>73</v>
      </c>
      <c r="C98" s="1">
        <v>1374</v>
      </c>
      <c r="D98" s="32">
        <f>Table1[[#This Row],[Enrolment S.Y. 2025-2026 ]]*8</f>
        <v>10992</v>
      </c>
      <c r="E98" s="32"/>
      <c r="F98" s="30"/>
      <c r="G98" s="32"/>
      <c r="H98" s="32">
        <f t="shared" si="8"/>
        <v>10992</v>
      </c>
      <c r="I98" s="32">
        <f>IF((E49-D49)&lt;0,0,(E49-D49))</f>
        <v>0</v>
      </c>
      <c r="J98" s="32">
        <f>Table1[[#This Row],[Enrolment S.Y. 2025-2026 ]]*8</f>
        <v>10992</v>
      </c>
      <c r="K98" s="32"/>
      <c r="L98" s="30"/>
      <c r="M98" s="32"/>
      <c r="N98" s="4">
        <f t="shared" si="10"/>
        <v>10992</v>
      </c>
      <c r="O98" s="4">
        <f t="shared" si="11"/>
        <v>0</v>
      </c>
      <c r="P98" s="4">
        <f>Table1[[#This Row],[Enrolment S.Y. 2025-2026 ]]*8</f>
        <v>10992</v>
      </c>
      <c r="Q98" s="32"/>
      <c r="R98" s="30"/>
      <c r="S98" s="32"/>
      <c r="T98" s="32">
        <f>IF((P98-Q98)&lt;0,0,(P98-Q98))</f>
        <v>10992</v>
      </c>
      <c r="U98" s="32">
        <f>IF((Q98-P98)&lt;0,0,(Q98-P98))</f>
        <v>0</v>
      </c>
      <c r="V98" s="32">
        <f>Table1[[#This Row],[Enrolment S.Y. 2025-2026 ]]*8</f>
        <v>10992</v>
      </c>
      <c r="W98" s="32"/>
      <c r="X98" s="30"/>
      <c r="Y98" s="32"/>
      <c r="Z98" s="32">
        <f>IF((V98-W98)&lt;0,0,(V98-W98))</f>
        <v>10992</v>
      </c>
      <c r="AA98" s="32">
        <f>IF((W98-V98)&lt;0,0,(W98-V98))</f>
        <v>0</v>
      </c>
    </row>
    <row r="99" spans="1:27" ht="40.5">
      <c r="A99" s="1">
        <v>12</v>
      </c>
      <c r="B99" s="31" t="s">
        <v>74</v>
      </c>
      <c r="C99" s="1">
        <v>1374</v>
      </c>
      <c r="D99" s="32">
        <f>Table1[[#This Row],[Enrolment S.Y. 2025-2026 ]]*8</f>
        <v>10992</v>
      </c>
      <c r="E99" s="32"/>
      <c r="F99" s="30"/>
      <c r="G99" s="32"/>
      <c r="H99" s="32">
        <f t="shared" si="8"/>
        <v>10992</v>
      </c>
      <c r="I99" s="4">
        <f t="shared" si="9"/>
        <v>0</v>
      </c>
      <c r="J99" s="4">
        <f>Table1[[#This Row],[Enrolment S.Y. 2025-2026 ]]*8</f>
        <v>10992</v>
      </c>
      <c r="K99" s="4"/>
      <c r="L99" s="1"/>
      <c r="M99" s="4"/>
      <c r="N99" s="4">
        <f t="shared" si="10"/>
        <v>10992</v>
      </c>
      <c r="O99" s="4">
        <f t="shared" si="11"/>
        <v>0</v>
      </c>
      <c r="P99" s="4">
        <f>Table1[[#This Row],[Enrolment S.Y. 2025-2026 ]]*8</f>
        <v>10992</v>
      </c>
      <c r="Q99" s="4"/>
      <c r="R99" s="1"/>
      <c r="S99" s="4"/>
      <c r="T99" s="4">
        <f t="shared" si="12"/>
        <v>10992</v>
      </c>
      <c r="U99" s="4">
        <f t="shared" si="13"/>
        <v>0</v>
      </c>
      <c r="V99" s="4">
        <f>Table1[[#This Row],[Enrolment S.Y. 2025-2026 ]]*8</f>
        <v>10992</v>
      </c>
      <c r="W99" s="4"/>
      <c r="X99" s="1"/>
      <c r="Y99" s="4"/>
      <c r="Z99" s="4">
        <f t="shared" si="14"/>
        <v>10992</v>
      </c>
      <c r="AA99" s="4">
        <f t="shared" si="15"/>
        <v>0</v>
      </c>
    </row>
    <row r="100" spans="1:27" ht="40.5">
      <c r="A100" s="1">
        <v>12</v>
      </c>
      <c r="B100" s="31" t="s">
        <v>75</v>
      </c>
      <c r="C100" s="1">
        <v>1374</v>
      </c>
      <c r="D100" s="32">
        <f>Table1[[#This Row],[Enrolment S.Y. 2025-2026 ]]*8</f>
        <v>10992</v>
      </c>
      <c r="E100" s="32"/>
      <c r="F100" s="30"/>
      <c r="G100" s="32"/>
      <c r="H100" s="32">
        <f t="shared" si="8"/>
        <v>10992</v>
      </c>
      <c r="I100" s="32">
        <f t="shared" si="9"/>
        <v>0</v>
      </c>
      <c r="J100" s="32">
        <f>Table1[[#This Row],[Enrolment S.Y. 2025-2026 ]]*8</f>
        <v>10992</v>
      </c>
      <c r="K100" s="32"/>
      <c r="L100" s="30"/>
      <c r="M100" s="32"/>
      <c r="N100" s="4">
        <f t="shared" si="10"/>
        <v>10992</v>
      </c>
      <c r="O100" s="4">
        <f t="shared" si="11"/>
        <v>0</v>
      </c>
      <c r="P100" s="4">
        <f>Table1[[#This Row],[Enrolment S.Y. 2025-2026 ]]*8</f>
        <v>10992</v>
      </c>
      <c r="Q100" s="32"/>
      <c r="R100" s="30"/>
      <c r="S100" s="32"/>
      <c r="T100" s="32">
        <f t="shared" si="12"/>
        <v>10992</v>
      </c>
      <c r="U100" s="32">
        <f t="shared" si="13"/>
        <v>0</v>
      </c>
      <c r="V100" s="32">
        <f>Table1[[#This Row],[Enrolment S.Y. 2025-2026 ]]*8</f>
        <v>10992</v>
      </c>
      <c r="W100" s="32"/>
      <c r="X100" s="30"/>
      <c r="Y100" s="32"/>
      <c r="Z100" s="32">
        <f t="shared" si="14"/>
        <v>10992</v>
      </c>
      <c r="AA100" s="32">
        <f t="shared" si="15"/>
        <v>0</v>
      </c>
    </row>
    <row r="101" spans="1:27" ht="21">
      <c r="A101" s="1">
        <v>12</v>
      </c>
      <c r="B101" s="31" t="s">
        <v>76</v>
      </c>
      <c r="C101" s="1">
        <v>1374</v>
      </c>
      <c r="D101" s="32">
        <f>Table1[[#This Row],[Enrolment S.Y. 2025-2026 ]]*8</f>
        <v>10992</v>
      </c>
      <c r="E101" s="32"/>
      <c r="F101" s="30"/>
      <c r="G101" s="32"/>
      <c r="H101" s="32">
        <f t="shared" si="8"/>
        <v>10992</v>
      </c>
      <c r="I101" s="32">
        <f t="shared" si="9"/>
        <v>0</v>
      </c>
      <c r="J101" s="32">
        <f>Table1[[#This Row],[Enrolment S.Y. 2025-2026 ]]*8</f>
        <v>10992</v>
      </c>
      <c r="K101" s="32"/>
      <c r="L101" s="30"/>
      <c r="M101" s="32"/>
      <c r="N101" s="4">
        <f t="shared" si="10"/>
        <v>10992</v>
      </c>
      <c r="O101" s="4">
        <f t="shared" si="11"/>
        <v>0</v>
      </c>
      <c r="P101" s="4">
        <f>Table1[[#This Row],[Enrolment S.Y. 2025-2026 ]]*8</f>
        <v>10992</v>
      </c>
      <c r="Q101" s="32"/>
      <c r="R101" s="30"/>
      <c r="S101" s="32"/>
      <c r="T101" s="32">
        <f t="shared" si="12"/>
        <v>10992</v>
      </c>
      <c r="U101" s="32">
        <f t="shared" si="13"/>
        <v>0</v>
      </c>
      <c r="V101" s="32">
        <f>Table1[[#This Row],[Enrolment S.Y. 2025-2026 ]]*8</f>
        <v>10992</v>
      </c>
      <c r="W101" s="32"/>
      <c r="X101" s="30"/>
      <c r="Y101" s="32"/>
      <c r="Z101" s="32">
        <f t="shared" si="14"/>
        <v>10992</v>
      </c>
      <c r="AA101" s="32">
        <f t="shared" si="15"/>
        <v>0</v>
      </c>
    </row>
    <row r="102" spans="1:27" ht="19.5">
      <c r="I102" s="32">
        <f t="shared" si="9"/>
        <v>0</v>
      </c>
      <c r="J102" s="32">
        <f>Table1[[#This Row],[Enrolment S.Y. 2025-2026 ]]*8</f>
        <v>10992</v>
      </c>
      <c r="K102" s="32"/>
      <c r="L102" s="30"/>
      <c r="M102" s="32"/>
      <c r="N102" s="4">
        <f t="shared" si="10"/>
        <v>10992</v>
      </c>
      <c r="O102" s="4">
        <f t="shared" si="11"/>
        <v>0</v>
      </c>
      <c r="P102" s="4">
        <f>Table1[[#This Row],[Enrolment S.Y. 2025-2026 ]]*8</f>
        <v>10992</v>
      </c>
      <c r="Q102" s="32"/>
      <c r="R102" s="30"/>
      <c r="S102" s="32"/>
      <c r="T102" s="32">
        <f t="shared" si="12"/>
        <v>10992</v>
      </c>
      <c r="U102" s="32">
        <f t="shared" si="13"/>
        <v>0</v>
      </c>
      <c r="V102" s="32">
        <f>Table1[[#This Row],[Enrolment S.Y. 2025-2026 ]]*8</f>
        <v>10992</v>
      </c>
      <c r="W102" s="32"/>
      <c r="X102" s="30"/>
      <c r="Y102" s="32"/>
      <c r="Z102" s="32">
        <f t="shared" si="14"/>
        <v>10992</v>
      </c>
      <c r="AA102" s="32">
        <f t="shared" si="15"/>
        <v>0</v>
      </c>
    </row>
    <row r="103" spans="1:27" ht="19.5">
      <c r="I103" s="32">
        <f t="shared" si="9"/>
        <v>0</v>
      </c>
      <c r="J103" s="32">
        <f>Table1[[#This Row],[Enrolment S.Y. 2025-2026 ]]*8</f>
        <v>0</v>
      </c>
      <c r="K103" s="32"/>
      <c r="L103" s="30"/>
      <c r="M103" s="32"/>
      <c r="N103" s="4">
        <f t="shared" si="10"/>
        <v>0</v>
      </c>
      <c r="O103" s="4">
        <f t="shared" si="11"/>
        <v>0</v>
      </c>
      <c r="P103" s="4">
        <f>Table1[[#This Row],[Enrolment S.Y. 2025-2026 ]]*8</f>
        <v>0</v>
      </c>
      <c r="Q103" s="32"/>
      <c r="R103" s="30"/>
      <c r="S103" s="32"/>
      <c r="T103" s="32">
        <f t="shared" si="12"/>
        <v>0</v>
      </c>
      <c r="U103" s="32">
        <f t="shared" si="13"/>
        <v>0</v>
      </c>
      <c r="V103" s="32">
        <f>Table1[[#This Row],[Enrolment S.Y. 2025-2026 ]]*8</f>
        <v>0</v>
      </c>
      <c r="W103" s="32"/>
      <c r="X103" s="30"/>
      <c r="Y103" s="32"/>
      <c r="Z103" s="32">
        <f t="shared" si="14"/>
        <v>0</v>
      </c>
      <c r="AA103" s="32">
        <f t="shared" si="15"/>
        <v>0</v>
      </c>
    </row>
    <row r="104" spans="1:27" ht="19.5">
      <c r="I104" s="32">
        <f t="shared" si="9"/>
        <v>0</v>
      </c>
      <c r="J104" s="32">
        <f>Table1[[#This Row],[Enrolment S.Y. 2025-2026 ]]*8</f>
        <v>0</v>
      </c>
      <c r="K104" s="32"/>
      <c r="L104" s="30"/>
      <c r="M104" s="32"/>
      <c r="N104" s="4">
        <f t="shared" si="10"/>
        <v>0</v>
      </c>
      <c r="O104" s="4">
        <f t="shared" si="11"/>
        <v>0</v>
      </c>
      <c r="P104" s="4">
        <f>Table1[[#This Row],[Enrolment S.Y. 2025-2026 ]]*8</f>
        <v>0</v>
      </c>
      <c r="Q104" s="32"/>
      <c r="R104" s="30"/>
      <c r="S104" s="32"/>
      <c r="T104" s="32">
        <f t="shared" si="12"/>
        <v>0</v>
      </c>
      <c r="U104" s="32">
        <f t="shared" si="13"/>
        <v>0</v>
      </c>
      <c r="V104" s="32">
        <f>Table1[[#This Row],[Enrolment S.Y. 2025-2026 ]]*8</f>
        <v>0</v>
      </c>
      <c r="W104" s="32"/>
      <c r="X104" s="30"/>
      <c r="Y104" s="32"/>
      <c r="Z104" s="32">
        <f t="shared" si="14"/>
        <v>0</v>
      </c>
      <c r="AA104" s="32">
        <f t="shared" si="15"/>
        <v>0</v>
      </c>
    </row>
    <row r="105" spans="1:27" ht="19.5">
      <c r="I105" s="32">
        <f t="shared" si="9"/>
        <v>0</v>
      </c>
      <c r="J105" s="32">
        <f>Table1[[#This Row],[Enrolment S.Y. 2025-2026 ]]*8</f>
        <v>0</v>
      </c>
      <c r="K105" s="32"/>
      <c r="L105" s="30"/>
      <c r="M105" s="32"/>
      <c r="N105" s="4">
        <f t="shared" si="10"/>
        <v>0</v>
      </c>
      <c r="O105" s="4">
        <f t="shared" si="11"/>
        <v>0</v>
      </c>
      <c r="P105" s="4">
        <f>Table1[[#This Row],[Enrolment S.Y. 2025-2026 ]]*8</f>
        <v>0</v>
      </c>
      <c r="Q105" s="32"/>
      <c r="R105" s="30"/>
      <c r="S105" s="32"/>
      <c r="T105" s="32">
        <f t="shared" si="12"/>
        <v>0</v>
      </c>
      <c r="U105" s="32">
        <f t="shared" si="13"/>
        <v>0</v>
      </c>
      <c r="V105" s="32">
        <f>Table1[[#This Row],[Enrolment S.Y. 2025-2026 ]]*8</f>
        <v>0</v>
      </c>
      <c r="W105" s="32"/>
      <c r="X105" s="30"/>
      <c r="Y105" s="32"/>
      <c r="Z105" s="32">
        <f t="shared" si="14"/>
        <v>0</v>
      </c>
      <c r="AA105" s="32">
        <f t="shared" si="15"/>
        <v>0</v>
      </c>
    </row>
    <row r="106" spans="1:27" ht="19.5">
      <c r="I106" s="32">
        <f t="shared" si="9"/>
        <v>0</v>
      </c>
      <c r="J106" s="32">
        <f>Table1[[#This Row],[Enrolment S.Y. 2025-2026 ]]*8</f>
        <v>0</v>
      </c>
      <c r="K106" s="32"/>
      <c r="L106" s="30"/>
      <c r="M106" s="32"/>
      <c r="N106" s="4">
        <f t="shared" si="10"/>
        <v>0</v>
      </c>
      <c r="O106" s="4">
        <f t="shared" si="11"/>
        <v>0</v>
      </c>
      <c r="P106" s="4">
        <f>Table1[[#This Row],[Enrolment S.Y. 2025-2026 ]]*8</f>
        <v>0</v>
      </c>
      <c r="Q106" s="32"/>
      <c r="R106" s="30"/>
      <c r="S106" s="32"/>
      <c r="T106" s="32">
        <f t="shared" si="12"/>
        <v>0</v>
      </c>
      <c r="U106" s="32">
        <f t="shared" si="13"/>
        <v>0</v>
      </c>
      <c r="V106" s="32">
        <f>Table1[[#This Row],[Enrolment S.Y. 2025-2026 ]]*8</f>
        <v>0</v>
      </c>
      <c r="W106" s="32"/>
      <c r="X106" s="30"/>
      <c r="Y106" s="32"/>
      <c r="Z106" s="32">
        <f t="shared" si="14"/>
        <v>0</v>
      </c>
      <c r="AA106" s="32">
        <f t="shared" si="15"/>
        <v>0</v>
      </c>
    </row>
    <row r="107" spans="1:27" ht="19.5">
      <c r="I107" s="32">
        <f>IF((E58-D58)&lt;0,0,(E58-D58))</f>
        <v>0</v>
      </c>
      <c r="J107" s="32">
        <f>Table1[[#This Row],[Enrolment S.Y. 2025-2026 ]]*8</f>
        <v>0</v>
      </c>
      <c r="K107" s="32"/>
      <c r="L107" s="30"/>
      <c r="M107" s="32"/>
      <c r="N107" s="4">
        <f t="shared" si="10"/>
        <v>0</v>
      </c>
      <c r="O107" s="4">
        <f t="shared" si="11"/>
        <v>0</v>
      </c>
      <c r="P107" s="4">
        <f>Table1[[#This Row],[Enrolment S.Y. 2025-2026 ]]*8</f>
        <v>0</v>
      </c>
      <c r="Q107" s="32"/>
      <c r="R107" s="30"/>
      <c r="S107" s="32"/>
      <c r="T107" s="32">
        <f>IF((P107-Q107)&lt;0,0,(P107-Q107))</f>
        <v>0</v>
      </c>
      <c r="U107" s="32">
        <f>IF((Q107-P107)&lt;0,0,(Q107-P107))</f>
        <v>0</v>
      </c>
      <c r="V107" s="32">
        <f>Table1[[#This Row],[Enrolment S.Y. 2025-2026 ]]*8</f>
        <v>0</v>
      </c>
      <c r="W107" s="32"/>
      <c r="X107" s="30"/>
      <c r="Y107" s="32"/>
      <c r="Z107" s="32">
        <f>IF((V107-W107)&lt;0,0,(V107-W107))</f>
        <v>0</v>
      </c>
      <c r="AA107" s="32">
        <f>IF((W107-V107)&lt;0,0,(W107-V107))</f>
        <v>0</v>
      </c>
    </row>
    <row r="108" spans="1:27" ht="19.5">
      <c r="I108" s="32">
        <f t="shared" si="9"/>
        <v>0</v>
      </c>
      <c r="J108" s="32">
        <f>Table1[[#This Row],[Enrolment S.Y. 2025-2026 ]]*8</f>
        <v>0</v>
      </c>
      <c r="K108" s="32"/>
      <c r="L108" s="30"/>
      <c r="M108" s="32"/>
      <c r="N108" s="4">
        <f t="shared" si="10"/>
        <v>0</v>
      </c>
      <c r="O108" s="4">
        <f t="shared" si="11"/>
        <v>0</v>
      </c>
      <c r="P108" s="4">
        <f>Table1[[#This Row],[Enrolment S.Y. 2025-2026 ]]*8</f>
        <v>0</v>
      </c>
      <c r="Q108" s="32"/>
      <c r="R108" s="30"/>
      <c r="S108" s="32"/>
      <c r="T108" s="32">
        <f t="shared" si="12"/>
        <v>0</v>
      </c>
      <c r="U108" s="32">
        <f t="shared" si="13"/>
        <v>0</v>
      </c>
      <c r="V108" s="32">
        <f>Table1[[#This Row],[Enrolment S.Y. 2025-2026 ]]*8</f>
        <v>0</v>
      </c>
      <c r="W108" s="32"/>
      <c r="X108" s="30"/>
      <c r="Y108" s="32"/>
      <c r="Z108" s="32">
        <f t="shared" si="14"/>
        <v>0</v>
      </c>
      <c r="AA108" s="32">
        <f t="shared" si="15"/>
        <v>0</v>
      </c>
    </row>
    <row r="109" spans="1:27" ht="19.5">
      <c r="I109" s="32">
        <f t="shared" si="9"/>
        <v>0</v>
      </c>
      <c r="J109" s="32">
        <f>Table1[[#This Row],[Enrolment S.Y. 2025-2026 ]]*8</f>
        <v>0</v>
      </c>
      <c r="K109" s="32"/>
      <c r="L109" s="30"/>
      <c r="M109" s="32"/>
      <c r="N109" s="4">
        <f t="shared" si="10"/>
        <v>0</v>
      </c>
      <c r="O109" s="4">
        <f t="shared" si="11"/>
        <v>0</v>
      </c>
      <c r="P109" s="4">
        <f>Table1[[#This Row],[Enrolment S.Y. 2025-2026 ]]*8</f>
        <v>0</v>
      </c>
      <c r="Q109" s="32"/>
      <c r="R109" s="30"/>
      <c r="S109" s="32"/>
      <c r="T109" s="32">
        <f t="shared" si="12"/>
        <v>0</v>
      </c>
      <c r="U109" s="32">
        <f t="shared" si="13"/>
        <v>0</v>
      </c>
      <c r="V109" s="32">
        <f>Table1[[#This Row],[Enrolment S.Y. 2025-2026 ]]*8</f>
        <v>0</v>
      </c>
      <c r="W109" s="32"/>
      <c r="X109" s="30"/>
      <c r="Y109" s="32"/>
      <c r="Z109" s="32">
        <f t="shared" si="14"/>
        <v>0</v>
      </c>
      <c r="AA109" s="32">
        <f t="shared" si="15"/>
        <v>0</v>
      </c>
    </row>
    <row r="110" spans="1:27" ht="19.5">
      <c r="I110" s="32">
        <f t="shared" si="9"/>
        <v>0</v>
      </c>
      <c r="J110" s="32">
        <f>Table1[[#This Row],[Enrolment S.Y. 2025-2026 ]]*8</f>
        <v>0</v>
      </c>
      <c r="K110" s="32"/>
      <c r="L110" s="30"/>
      <c r="M110" s="32"/>
      <c r="N110" s="4">
        <f t="shared" si="10"/>
        <v>0</v>
      </c>
      <c r="O110" s="4">
        <f t="shared" si="11"/>
        <v>0</v>
      </c>
      <c r="P110" s="4">
        <f>Table1[[#This Row],[Enrolment S.Y. 2025-2026 ]]*8</f>
        <v>0</v>
      </c>
      <c r="Q110" s="32"/>
      <c r="R110" s="30"/>
      <c r="S110" s="32"/>
      <c r="T110" s="32">
        <f t="shared" si="12"/>
        <v>0</v>
      </c>
      <c r="U110" s="32">
        <f t="shared" si="13"/>
        <v>0</v>
      </c>
      <c r="V110" s="32">
        <f>Table1[[#This Row],[Enrolment S.Y. 2025-2026 ]]*8</f>
        <v>0</v>
      </c>
      <c r="W110" s="32"/>
      <c r="X110" s="30"/>
      <c r="Y110" s="32"/>
      <c r="Z110" s="32">
        <f t="shared" si="14"/>
        <v>0</v>
      </c>
      <c r="AA110" s="32">
        <f t="shared" si="15"/>
        <v>0</v>
      </c>
    </row>
    <row r="111" spans="1:27" ht="19.5">
      <c r="I111" s="32">
        <f t="shared" si="9"/>
        <v>0</v>
      </c>
      <c r="J111" s="32">
        <f>Table1[[#This Row],[Enrolment S.Y. 2025-2026 ]]*8</f>
        <v>0</v>
      </c>
      <c r="K111" s="32"/>
      <c r="L111" s="30"/>
      <c r="M111" s="32"/>
      <c r="N111" s="4">
        <f t="shared" si="10"/>
        <v>0</v>
      </c>
      <c r="O111" s="4">
        <f t="shared" si="11"/>
        <v>0</v>
      </c>
      <c r="P111" s="4">
        <f>Table1[[#This Row],[Enrolment S.Y. 2025-2026 ]]*8</f>
        <v>0</v>
      </c>
      <c r="Q111" s="32"/>
      <c r="R111" s="30"/>
      <c r="S111" s="32"/>
      <c r="T111" s="32">
        <f t="shared" si="12"/>
        <v>0</v>
      </c>
      <c r="U111" s="32">
        <f t="shared" si="13"/>
        <v>0</v>
      </c>
      <c r="V111" s="32">
        <f>Table1[[#This Row],[Enrolment S.Y. 2025-2026 ]]*8</f>
        <v>0</v>
      </c>
      <c r="W111" s="32"/>
      <c r="X111" s="30"/>
      <c r="Y111" s="32"/>
      <c r="Z111" s="32">
        <f t="shared" si="14"/>
        <v>0</v>
      </c>
      <c r="AA111" s="32">
        <f t="shared" si="15"/>
        <v>0</v>
      </c>
    </row>
    <row r="112" spans="1:27" ht="19.5">
      <c r="I112" s="32">
        <f t="shared" si="9"/>
        <v>0</v>
      </c>
      <c r="J112" s="32">
        <f>Table1[[#This Row],[Enrolment S.Y. 2025-2026 ]]*8</f>
        <v>0</v>
      </c>
      <c r="K112" s="32"/>
      <c r="L112" s="30"/>
      <c r="M112" s="32"/>
      <c r="N112" s="4">
        <f t="shared" si="10"/>
        <v>0</v>
      </c>
      <c r="O112" s="4">
        <f t="shared" si="11"/>
        <v>0</v>
      </c>
      <c r="P112" s="4">
        <f>Table1[[#This Row],[Enrolment S.Y. 2025-2026 ]]*8</f>
        <v>0</v>
      </c>
      <c r="Q112" s="32"/>
      <c r="R112" s="30"/>
      <c r="S112" s="32"/>
      <c r="T112" s="32">
        <f t="shared" si="12"/>
        <v>0</v>
      </c>
      <c r="U112" s="32">
        <f t="shared" si="13"/>
        <v>0</v>
      </c>
      <c r="V112" s="32">
        <f>Table1[[#This Row],[Enrolment S.Y. 2025-2026 ]]*8</f>
        <v>0</v>
      </c>
      <c r="W112" s="32"/>
      <c r="X112" s="30"/>
      <c r="Y112" s="32"/>
      <c r="Z112" s="32">
        <f t="shared" si="14"/>
        <v>0</v>
      </c>
      <c r="AA112" s="32">
        <f t="shared" si="15"/>
        <v>0</v>
      </c>
    </row>
    <row r="113" spans="9:27" ht="19.5">
      <c r="I113" s="32">
        <f t="shared" si="9"/>
        <v>0</v>
      </c>
      <c r="J113" s="32">
        <f>Table1[[#This Row],[Enrolment S.Y. 2025-2026 ]]*8</f>
        <v>0</v>
      </c>
      <c r="K113" s="32"/>
      <c r="L113" s="30"/>
      <c r="M113" s="32"/>
      <c r="N113" s="4">
        <f t="shared" si="10"/>
        <v>0</v>
      </c>
      <c r="O113" s="4">
        <f t="shared" si="11"/>
        <v>0</v>
      </c>
      <c r="P113" s="4">
        <f>Table1[[#This Row],[Enrolment S.Y. 2025-2026 ]]*8</f>
        <v>0</v>
      </c>
      <c r="Q113" s="32"/>
      <c r="R113" s="30"/>
      <c r="S113" s="32"/>
      <c r="T113" s="32">
        <f t="shared" si="12"/>
        <v>0</v>
      </c>
      <c r="U113" s="32">
        <f t="shared" si="13"/>
        <v>0</v>
      </c>
      <c r="V113" s="32">
        <f>Table1[[#This Row],[Enrolment S.Y. 2025-2026 ]]*8</f>
        <v>0</v>
      </c>
      <c r="W113" s="32"/>
      <c r="X113" s="30"/>
      <c r="Y113" s="32"/>
      <c r="Z113" s="32">
        <f t="shared" si="14"/>
        <v>0</v>
      </c>
      <c r="AA113" s="32">
        <f t="shared" si="15"/>
        <v>0</v>
      </c>
    </row>
    <row r="114" spans="9:27" ht="19.5">
      <c r="I114" s="32">
        <f t="shared" si="9"/>
        <v>0</v>
      </c>
      <c r="J114" s="32">
        <f>Table1[[#This Row],[Enrolment S.Y. 2025-2026 ]]*8</f>
        <v>0</v>
      </c>
      <c r="K114" s="32"/>
      <c r="L114" s="30"/>
      <c r="M114" s="32"/>
      <c r="N114" s="4">
        <f t="shared" si="10"/>
        <v>0</v>
      </c>
      <c r="O114" s="4">
        <f t="shared" si="11"/>
        <v>0</v>
      </c>
      <c r="P114" s="4">
        <f>Table1[[#This Row],[Enrolment S.Y. 2025-2026 ]]*8</f>
        <v>0</v>
      </c>
      <c r="Q114" s="32"/>
      <c r="R114" s="30"/>
      <c r="S114" s="32"/>
      <c r="T114" s="32">
        <f t="shared" si="12"/>
        <v>0</v>
      </c>
      <c r="U114" s="32">
        <f t="shared" si="13"/>
        <v>0</v>
      </c>
      <c r="V114" s="32">
        <f>Table1[[#This Row],[Enrolment S.Y. 2025-2026 ]]*8</f>
        <v>0</v>
      </c>
      <c r="W114" s="32"/>
      <c r="X114" s="30"/>
      <c r="Y114" s="32"/>
      <c r="Z114" s="32">
        <f t="shared" si="14"/>
        <v>0</v>
      </c>
      <c r="AA114" s="32">
        <f t="shared" si="15"/>
        <v>0</v>
      </c>
    </row>
    <row r="115" spans="9:27" ht="18">
      <c r="I115" s="32">
        <f t="shared" si="9"/>
        <v>0</v>
      </c>
      <c r="J115" s="32">
        <f>Table1[[#This Row],[Enrolment S.Y. 2025-2026 ]]*8</f>
        <v>0</v>
      </c>
      <c r="K115" s="32"/>
      <c r="L115" s="30"/>
      <c r="M115" s="32"/>
      <c r="N115" s="32"/>
      <c r="O115" s="32"/>
      <c r="P115" s="32" t="e">
        <f>#REF!*8</f>
        <v>#REF!</v>
      </c>
      <c r="Q115" s="32"/>
      <c r="R115" s="30"/>
      <c r="S115" s="32"/>
      <c r="T115" s="32" t="e">
        <f t="shared" si="12"/>
        <v>#REF!</v>
      </c>
      <c r="U115" s="32" t="e">
        <f t="shared" si="13"/>
        <v>#REF!</v>
      </c>
      <c r="V115" s="32">
        <f>Table1[[#This Row],[Enrolment S.Y. 2025-2026 ]]*8</f>
        <v>0</v>
      </c>
      <c r="W115" s="32"/>
      <c r="X115" s="30"/>
      <c r="Y115" s="32"/>
      <c r="Z115" s="32">
        <f t="shared" si="14"/>
        <v>0</v>
      </c>
      <c r="AA115" s="32">
        <f t="shared" si="15"/>
        <v>0</v>
      </c>
    </row>
    <row r="116" spans="9:27" ht="18">
      <c r="I116" s="32">
        <f t="shared" si="9"/>
        <v>0</v>
      </c>
      <c r="J116" s="32">
        <f>Table1[[#This Row],[Enrolment S.Y. 2025-2026 ]]*8</f>
        <v>0</v>
      </c>
      <c r="K116" s="32"/>
      <c r="L116" s="30"/>
      <c r="M116" s="32"/>
      <c r="N116" s="32"/>
      <c r="O116" s="32"/>
      <c r="P116" s="32" t="e">
        <f>#REF!*8</f>
        <v>#REF!</v>
      </c>
      <c r="Q116" s="32"/>
      <c r="R116" s="30"/>
      <c r="S116" s="32"/>
      <c r="T116" s="32" t="e">
        <f t="shared" si="12"/>
        <v>#REF!</v>
      </c>
      <c r="U116" s="32" t="e">
        <f t="shared" si="13"/>
        <v>#REF!</v>
      </c>
      <c r="V116" s="32">
        <f>Table1[[#This Row],[Enrolment S.Y. 2025-2026 ]]*8</f>
        <v>0</v>
      </c>
      <c r="W116" s="32"/>
      <c r="X116" s="30"/>
      <c r="Y116" s="32"/>
      <c r="Z116" s="32">
        <f t="shared" si="14"/>
        <v>0</v>
      </c>
      <c r="AA116" s="32">
        <f t="shared" si="15"/>
        <v>0</v>
      </c>
    </row>
    <row r="117" spans="9:27" ht="18">
      <c r="I117" s="32">
        <f t="shared" si="9"/>
        <v>0</v>
      </c>
      <c r="J117" s="32">
        <f>Table1[[#This Row],[Enrolment S.Y. 2025-2026 ]]*8</f>
        <v>0</v>
      </c>
      <c r="K117" s="32"/>
      <c r="L117" s="30"/>
      <c r="M117" s="32"/>
      <c r="N117" s="32"/>
      <c r="O117" s="32"/>
      <c r="P117" s="32" t="e">
        <f>#REF!*8</f>
        <v>#REF!</v>
      </c>
      <c r="Q117" s="32"/>
      <c r="R117" s="30"/>
      <c r="S117" s="32"/>
      <c r="T117" s="32" t="e">
        <f t="shared" si="12"/>
        <v>#REF!</v>
      </c>
      <c r="U117" s="32" t="e">
        <f t="shared" si="13"/>
        <v>#REF!</v>
      </c>
      <c r="V117" s="32">
        <f>Table1[[#This Row],[Enrolment S.Y. 2025-2026 ]]*8</f>
        <v>0</v>
      </c>
      <c r="W117" s="32"/>
      <c r="X117" s="30"/>
      <c r="Y117" s="32"/>
      <c r="Z117" s="32">
        <f t="shared" si="14"/>
        <v>0</v>
      </c>
      <c r="AA117" s="32">
        <f t="shared" si="15"/>
        <v>0</v>
      </c>
    </row>
    <row r="118" spans="9:27" ht="18">
      <c r="I118" s="32">
        <f t="shared" si="9"/>
        <v>0</v>
      </c>
      <c r="J118" s="32">
        <f>Table1[[#This Row],[Enrolment S.Y. 2025-2026 ]]*8</f>
        <v>0</v>
      </c>
      <c r="K118" s="32"/>
      <c r="L118" s="30"/>
      <c r="M118" s="32"/>
      <c r="N118" s="32"/>
      <c r="O118" s="32"/>
      <c r="P118" s="32" t="e">
        <f>#REF!*8</f>
        <v>#REF!</v>
      </c>
      <c r="Q118" s="32"/>
      <c r="R118" s="30"/>
      <c r="S118" s="32"/>
      <c r="T118" s="32" t="e">
        <f t="shared" si="12"/>
        <v>#REF!</v>
      </c>
      <c r="U118" s="32" t="e">
        <f t="shared" si="13"/>
        <v>#REF!</v>
      </c>
      <c r="V118" s="32">
        <f>Table1[[#This Row],[Enrolment S.Y. 2025-2026 ]]*8</f>
        <v>0</v>
      </c>
      <c r="W118" s="32"/>
      <c r="X118" s="30"/>
      <c r="Y118" s="32"/>
      <c r="Z118" s="32">
        <f t="shared" si="14"/>
        <v>0</v>
      </c>
      <c r="AA118" s="32">
        <f t="shared" si="15"/>
        <v>0</v>
      </c>
    </row>
    <row r="119" spans="9:27" ht="18">
      <c r="I119" s="32">
        <f t="shared" si="9"/>
        <v>0</v>
      </c>
      <c r="J119" s="32">
        <f>Table1[[#This Row],[Enrolment S.Y. 2025-2026 ]]*8</f>
        <v>0</v>
      </c>
      <c r="K119" s="32"/>
      <c r="L119" s="30"/>
      <c r="M119" s="32"/>
      <c r="N119" s="32"/>
      <c r="O119" s="32"/>
      <c r="P119" s="32" t="e">
        <f>#REF!*8</f>
        <v>#REF!</v>
      </c>
      <c r="Q119" s="32"/>
      <c r="R119" s="30"/>
      <c r="S119" s="32"/>
      <c r="T119" s="32" t="e">
        <f t="shared" si="12"/>
        <v>#REF!</v>
      </c>
      <c r="U119" s="32" t="e">
        <f t="shared" si="13"/>
        <v>#REF!</v>
      </c>
      <c r="V119" s="32">
        <f>Table1[[#This Row],[Enrolment S.Y. 2025-2026 ]]*8</f>
        <v>0</v>
      </c>
      <c r="W119" s="32"/>
      <c r="X119" s="30"/>
      <c r="Y119" s="32"/>
      <c r="Z119" s="32">
        <f t="shared" si="14"/>
        <v>0</v>
      </c>
      <c r="AA119" s="32">
        <f t="shared" si="15"/>
        <v>0</v>
      </c>
    </row>
    <row r="120" spans="9:27" ht="18">
      <c r="I120" s="32">
        <f t="shared" si="9"/>
        <v>0</v>
      </c>
      <c r="J120" s="32">
        <f>Table1[[#This Row],[Enrolment S.Y. 2025-2026 ]]*8</f>
        <v>0</v>
      </c>
      <c r="K120" s="32"/>
      <c r="L120" s="30"/>
      <c r="M120" s="32"/>
      <c r="N120" s="32"/>
      <c r="O120" s="32"/>
      <c r="P120" s="32" t="e">
        <f>#REF!*8</f>
        <v>#REF!</v>
      </c>
      <c r="Q120" s="32"/>
      <c r="R120" s="30"/>
      <c r="S120" s="32"/>
      <c r="T120" s="32" t="e">
        <f t="shared" si="12"/>
        <v>#REF!</v>
      </c>
      <c r="U120" s="32" t="e">
        <f t="shared" si="13"/>
        <v>#REF!</v>
      </c>
      <c r="V120" s="32">
        <f>Table1[[#This Row],[Enrolment S.Y. 2025-2026 ]]*8</f>
        <v>0</v>
      </c>
      <c r="W120" s="32"/>
      <c r="X120" s="30"/>
      <c r="Y120" s="32"/>
      <c r="Z120" s="32">
        <f t="shared" si="14"/>
        <v>0</v>
      </c>
      <c r="AA120" s="32">
        <f t="shared" si="15"/>
        <v>0</v>
      </c>
    </row>
    <row r="121" spans="9:27" ht="18">
      <c r="I121" s="32">
        <f t="shared" si="9"/>
        <v>0</v>
      </c>
      <c r="J121" s="32">
        <f>Table1[[#This Row],[Enrolment S.Y. 2025-2026 ]]*8</f>
        <v>0</v>
      </c>
      <c r="K121" s="32"/>
      <c r="L121" s="30"/>
      <c r="M121" s="32"/>
      <c r="N121" s="32"/>
      <c r="O121" s="32"/>
      <c r="P121" s="32" t="e">
        <f>#REF!*8</f>
        <v>#REF!</v>
      </c>
      <c r="Q121" s="32"/>
      <c r="R121" s="30"/>
      <c r="S121" s="32"/>
      <c r="T121" s="32" t="e">
        <f t="shared" si="12"/>
        <v>#REF!</v>
      </c>
      <c r="U121" s="32" t="e">
        <f t="shared" si="13"/>
        <v>#REF!</v>
      </c>
      <c r="V121" s="32">
        <f>Table1[[#This Row],[Enrolment S.Y. 2025-2026 ]]*8</f>
        <v>0</v>
      </c>
      <c r="W121" s="32"/>
      <c r="X121" s="30"/>
      <c r="Y121" s="32"/>
      <c r="Z121" s="32">
        <f t="shared" si="14"/>
        <v>0</v>
      </c>
      <c r="AA121" s="32">
        <f t="shared" si="15"/>
        <v>0</v>
      </c>
    </row>
    <row r="122" spans="9:27" ht="18">
      <c r="I122" s="32">
        <f>IF((E73-D73)&lt;0,0,(E73-D73))</f>
        <v>0</v>
      </c>
      <c r="J122" s="32" t="e">
        <f>Table1[[#This Row],[Enrolment S.Y. 2025-2026 ]]*8</f>
        <v>#VALUE!</v>
      </c>
      <c r="K122" s="32"/>
      <c r="L122" s="30"/>
      <c r="M122" s="32"/>
      <c r="N122" s="32"/>
      <c r="O122" s="32"/>
      <c r="P122" s="32" t="e">
        <f>#REF!*8</f>
        <v>#REF!</v>
      </c>
      <c r="Q122" s="32"/>
      <c r="R122" s="30"/>
      <c r="S122" s="32"/>
      <c r="T122" s="32" t="e">
        <f>IF((P122-Q122)&lt;0,0,(P122-Q122))</f>
        <v>#REF!</v>
      </c>
      <c r="U122" s="32" t="e">
        <f>IF((Q122-P122)&lt;0,0,(Q122-P122))</f>
        <v>#REF!</v>
      </c>
      <c r="V122" s="32" t="e">
        <f>Table1[[#This Row],[Enrolment S.Y. 2025-2026 ]]*8</f>
        <v>#VALUE!</v>
      </c>
      <c r="W122" s="32"/>
      <c r="X122" s="30"/>
      <c r="Y122" s="32"/>
      <c r="Z122" s="32" t="e">
        <f>IF((V122-W122)&lt;0,0,(V122-W122))</f>
        <v>#VALUE!</v>
      </c>
      <c r="AA122" s="32" t="e">
        <f>IF((W122-V122)&lt;0,0,(W122-V122))</f>
        <v>#VALUE!</v>
      </c>
    </row>
    <row r="123" spans="9:27" ht="19.5">
      <c r="I123" s="5"/>
      <c r="J123" s="11"/>
      <c r="K123" s="5"/>
      <c r="L123" s="5"/>
      <c r="M123" s="5"/>
      <c r="N123" s="11"/>
      <c r="O123" s="11"/>
      <c r="P123" s="11"/>
      <c r="Q123" s="5"/>
      <c r="R123" s="5"/>
      <c r="S123" s="5"/>
      <c r="T123" s="11"/>
      <c r="U123" s="11"/>
      <c r="V123" s="11"/>
      <c r="W123" s="5"/>
      <c r="X123" s="5"/>
      <c r="Y123" s="5"/>
      <c r="Z123" s="11"/>
      <c r="AA123" s="11"/>
    </row>
    <row r="124" spans="9:27" ht="19.5">
      <c r="I124" s="4">
        <f t="shared" si="9"/>
        <v>0</v>
      </c>
      <c r="J124" s="4" t="e">
        <f>Table1[[#This Row],[Enrolment S.Y. 2025-2026 ]]*8</f>
        <v>#VALUE!</v>
      </c>
      <c r="K124" s="4"/>
      <c r="L124" s="1"/>
      <c r="M124" s="4"/>
      <c r="N124" s="4" t="e">
        <f t="shared" si="10"/>
        <v>#VALUE!</v>
      </c>
      <c r="O124" s="4" t="e">
        <f t="shared" si="11"/>
        <v>#VALUE!</v>
      </c>
      <c r="P124" s="4" t="e">
        <f>Table1[[#This Row],[Enrolment S.Y. 2025-2026 ]]*8</f>
        <v>#VALUE!</v>
      </c>
      <c r="Q124" s="4"/>
      <c r="R124" s="1"/>
      <c r="S124" s="4"/>
      <c r="T124" s="4" t="e">
        <f t="shared" si="12"/>
        <v>#VALUE!</v>
      </c>
      <c r="U124" s="4" t="e">
        <f t="shared" si="13"/>
        <v>#VALUE!</v>
      </c>
      <c r="V124" s="4" t="e">
        <f>Table1[[#This Row],[Enrolment S.Y. 2025-2026 ]]*8</f>
        <v>#VALUE!</v>
      </c>
      <c r="W124" s="4"/>
      <c r="X124" s="1"/>
      <c r="Y124" s="4"/>
      <c r="Z124" s="4" t="e">
        <f t="shared" si="14"/>
        <v>#VALUE!</v>
      </c>
      <c r="AA124" s="4" t="e">
        <f t="shared" si="15"/>
        <v>#VALUE!</v>
      </c>
    </row>
    <row r="125" spans="9:27" ht="19.5">
      <c r="I125" s="4">
        <f t="shared" si="9"/>
        <v>0</v>
      </c>
      <c r="J125" s="4" t="e">
        <f>Table1[[#This Row],[Enrolment S.Y. 2025-2026 ]]*8</f>
        <v>#VALUE!</v>
      </c>
      <c r="K125" s="4"/>
      <c r="L125" s="1"/>
      <c r="M125" s="4"/>
      <c r="N125" s="4" t="e">
        <f t="shared" si="10"/>
        <v>#VALUE!</v>
      </c>
      <c r="O125" s="4" t="e">
        <f t="shared" si="11"/>
        <v>#VALUE!</v>
      </c>
      <c r="P125" s="4" t="e">
        <f>Table1[[#This Row],[Enrolment S.Y. 2025-2026 ]]*8</f>
        <v>#VALUE!</v>
      </c>
      <c r="Q125" s="4"/>
      <c r="R125" s="1"/>
      <c r="S125" s="4"/>
      <c r="T125" s="4" t="e">
        <f t="shared" si="12"/>
        <v>#VALUE!</v>
      </c>
      <c r="U125" s="4" t="e">
        <f t="shared" si="13"/>
        <v>#VALUE!</v>
      </c>
      <c r="V125" s="4" t="e">
        <f>Table1[[#This Row],[Enrolment S.Y. 2025-2026 ]]*8</f>
        <v>#VALUE!</v>
      </c>
      <c r="W125" s="4"/>
      <c r="X125" s="1"/>
      <c r="Y125" s="4"/>
      <c r="Z125" s="4" t="e">
        <f t="shared" si="14"/>
        <v>#VALUE!</v>
      </c>
      <c r="AA125" s="4" t="e">
        <f t="shared" si="15"/>
        <v>#VALUE!</v>
      </c>
    </row>
    <row r="126" spans="9:27" ht="19.5">
      <c r="I126" s="4">
        <f t="shared" si="9"/>
        <v>0</v>
      </c>
      <c r="J126" s="4" t="e">
        <f>Table1[[#This Row],[Enrolment S.Y. 2025-2026 ]]*8</f>
        <v>#VALUE!</v>
      </c>
      <c r="K126" s="4"/>
      <c r="L126" s="1"/>
      <c r="M126" s="4"/>
      <c r="N126" s="4" t="e">
        <f t="shared" si="10"/>
        <v>#VALUE!</v>
      </c>
      <c r="O126" s="4" t="e">
        <f t="shared" si="11"/>
        <v>#VALUE!</v>
      </c>
      <c r="P126" s="4" t="e">
        <f>Table1[[#This Row],[Enrolment S.Y. 2025-2026 ]]*8</f>
        <v>#VALUE!</v>
      </c>
      <c r="Q126" s="4"/>
      <c r="R126" s="1"/>
      <c r="S126" s="4"/>
      <c r="T126" s="4" t="e">
        <f t="shared" si="12"/>
        <v>#VALUE!</v>
      </c>
      <c r="U126" s="4" t="e">
        <f t="shared" si="13"/>
        <v>#VALUE!</v>
      </c>
      <c r="V126" s="4" t="e">
        <f>Table1[[#This Row],[Enrolment S.Y. 2025-2026 ]]*8</f>
        <v>#VALUE!</v>
      </c>
      <c r="W126" s="4"/>
      <c r="X126" s="1"/>
      <c r="Y126" s="4"/>
      <c r="Z126" s="4" t="e">
        <f t="shared" si="14"/>
        <v>#VALUE!</v>
      </c>
      <c r="AA126" s="4" t="e">
        <f t="shared" si="15"/>
        <v>#VALUE!</v>
      </c>
    </row>
    <row r="127" spans="9:27" ht="19.5">
      <c r="I127" s="4">
        <f t="shared" si="9"/>
        <v>0</v>
      </c>
      <c r="J127" s="4" t="e">
        <f>Table1[[#This Row],[Enrolment S.Y. 2025-2026 ]]*8</f>
        <v>#VALUE!</v>
      </c>
      <c r="K127" s="4"/>
      <c r="L127" s="1"/>
      <c r="M127" s="4"/>
      <c r="N127" s="4" t="e">
        <f t="shared" si="10"/>
        <v>#VALUE!</v>
      </c>
      <c r="O127" s="4" t="e">
        <f t="shared" si="11"/>
        <v>#VALUE!</v>
      </c>
      <c r="P127" s="4" t="e">
        <f>Table1[[#This Row],[Enrolment S.Y. 2025-2026 ]]*8</f>
        <v>#VALUE!</v>
      </c>
      <c r="Q127" s="4"/>
      <c r="R127" s="1"/>
      <c r="S127" s="4"/>
      <c r="T127" s="4" t="e">
        <f t="shared" si="12"/>
        <v>#VALUE!</v>
      </c>
      <c r="U127" s="4" t="e">
        <f t="shared" si="13"/>
        <v>#VALUE!</v>
      </c>
      <c r="V127" s="4" t="e">
        <f>Table1[[#This Row],[Enrolment S.Y. 2025-2026 ]]*8</f>
        <v>#VALUE!</v>
      </c>
      <c r="W127" s="4"/>
      <c r="X127" s="1"/>
      <c r="Y127" s="4"/>
      <c r="Z127" s="4" t="e">
        <f t="shared" si="14"/>
        <v>#VALUE!</v>
      </c>
      <c r="AA127" s="4" t="e">
        <f t="shared" si="15"/>
        <v>#VALUE!</v>
      </c>
    </row>
    <row r="128" spans="9:27" ht="19.5">
      <c r="I128" s="4">
        <f t="shared" si="9"/>
        <v>0</v>
      </c>
      <c r="J128" s="4" t="e">
        <f>Table1[[#This Row],[Enrolment S.Y. 2025-2026 ]]*8</f>
        <v>#VALUE!</v>
      </c>
      <c r="K128" s="4"/>
      <c r="L128" s="1"/>
      <c r="M128" s="4"/>
      <c r="N128" s="4" t="e">
        <f t="shared" si="10"/>
        <v>#VALUE!</v>
      </c>
      <c r="O128" s="4" t="e">
        <f t="shared" si="11"/>
        <v>#VALUE!</v>
      </c>
      <c r="P128" s="4" t="e">
        <f>Table1[[#This Row],[Enrolment S.Y. 2025-2026 ]]*8</f>
        <v>#VALUE!</v>
      </c>
      <c r="Q128" s="4"/>
      <c r="R128" s="1"/>
      <c r="S128" s="4"/>
      <c r="T128" s="4" t="e">
        <f t="shared" si="12"/>
        <v>#VALUE!</v>
      </c>
      <c r="U128" s="4" t="e">
        <f t="shared" si="13"/>
        <v>#VALUE!</v>
      </c>
      <c r="V128" s="4" t="e">
        <f>Table1[[#This Row],[Enrolment S.Y. 2025-2026 ]]*8</f>
        <v>#VALUE!</v>
      </c>
      <c r="W128" s="4"/>
      <c r="X128" s="1"/>
      <c r="Y128" s="4"/>
      <c r="Z128" s="4" t="e">
        <f t="shared" si="14"/>
        <v>#VALUE!</v>
      </c>
      <c r="AA128" s="4" t="e">
        <f t="shared" si="15"/>
        <v>#VALUE!</v>
      </c>
    </row>
    <row r="129" spans="9:27" ht="19.5">
      <c r="I129" s="4">
        <f t="shared" si="9"/>
        <v>0</v>
      </c>
      <c r="J129" s="4" t="e">
        <f>Table1[[#This Row],[Enrolment S.Y. 2025-2026 ]]*8</f>
        <v>#VALUE!</v>
      </c>
      <c r="K129" s="4"/>
      <c r="L129" s="1"/>
      <c r="M129" s="4"/>
      <c r="N129" s="4" t="e">
        <f t="shared" si="10"/>
        <v>#VALUE!</v>
      </c>
      <c r="O129" s="4" t="e">
        <f t="shared" si="11"/>
        <v>#VALUE!</v>
      </c>
      <c r="P129" s="4" t="e">
        <f>Table1[[#This Row],[Enrolment S.Y. 2025-2026 ]]*8</f>
        <v>#VALUE!</v>
      </c>
      <c r="Q129" s="4"/>
      <c r="R129" s="1"/>
      <c r="S129" s="4"/>
      <c r="T129" s="4" t="e">
        <f t="shared" si="12"/>
        <v>#VALUE!</v>
      </c>
      <c r="U129" s="4" t="e">
        <f t="shared" si="13"/>
        <v>#VALUE!</v>
      </c>
      <c r="V129" s="4" t="e">
        <f>Table1[[#This Row],[Enrolment S.Y. 2025-2026 ]]*8</f>
        <v>#VALUE!</v>
      </c>
      <c r="W129" s="4"/>
      <c r="X129" s="1"/>
      <c r="Y129" s="4"/>
      <c r="Z129" s="4" t="e">
        <f t="shared" si="14"/>
        <v>#VALUE!</v>
      </c>
      <c r="AA129" s="4" t="e">
        <f t="shared" si="15"/>
        <v>#VALUE!</v>
      </c>
    </row>
    <row r="130" spans="9:27" ht="19.5">
      <c r="I130" s="4">
        <f t="shared" si="9"/>
        <v>0</v>
      </c>
      <c r="J130" s="4" t="e">
        <f>Table1[[#This Row],[Enrolment S.Y. 2025-2026 ]]*8</f>
        <v>#VALUE!</v>
      </c>
      <c r="K130" s="4"/>
      <c r="L130" s="1"/>
      <c r="M130" s="4"/>
      <c r="N130" s="4" t="e">
        <f t="shared" si="10"/>
        <v>#VALUE!</v>
      </c>
      <c r="O130" s="4" t="e">
        <f t="shared" si="11"/>
        <v>#VALUE!</v>
      </c>
      <c r="P130" s="4" t="e">
        <f>Table1[[#This Row],[Enrolment S.Y. 2025-2026 ]]*8</f>
        <v>#VALUE!</v>
      </c>
      <c r="Q130" s="4"/>
      <c r="R130" s="1"/>
      <c r="S130" s="4"/>
      <c r="T130" s="4" t="e">
        <f t="shared" si="12"/>
        <v>#VALUE!</v>
      </c>
      <c r="U130" s="4" t="e">
        <f t="shared" si="13"/>
        <v>#VALUE!</v>
      </c>
      <c r="V130" s="4" t="e">
        <f>Table1[[#This Row],[Enrolment S.Y. 2025-2026 ]]*8</f>
        <v>#VALUE!</v>
      </c>
      <c r="W130" s="4"/>
      <c r="X130" s="1"/>
      <c r="Y130" s="4"/>
      <c r="Z130" s="4" t="e">
        <f t="shared" si="14"/>
        <v>#VALUE!</v>
      </c>
      <c r="AA130" s="4" t="e">
        <f t="shared" si="15"/>
        <v>#VALUE!</v>
      </c>
    </row>
    <row r="131" spans="9:27" ht="19.5">
      <c r="I131" s="4">
        <f t="shared" si="9"/>
        <v>0</v>
      </c>
      <c r="J131" s="4" t="e">
        <f>Table1[[#This Row],[Enrolment S.Y. 2025-2026 ]]*8</f>
        <v>#VALUE!</v>
      </c>
      <c r="K131" s="4"/>
      <c r="L131" s="1"/>
      <c r="M131" s="4"/>
      <c r="N131" s="4" t="e">
        <f t="shared" si="10"/>
        <v>#VALUE!</v>
      </c>
      <c r="O131" s="4" t="e">
        <f t="shared" si="11"/>
        <v>#VALUE!</v>
      </c>
      <c r="P131" s="4" t="e">
        <f>Table1[[#This Row],[Enrolment S.Y. 2025-2026 ]]*8</f>
        <v>#VALUE!</v>
      </c>
      <c r="Q131" s="4"/>
      <c r="R131" s="1"/>
      <c r="S131" s="4"/>
      <c r="T131" s="4" t="e">
        <f t="shared" si="12"/>
        <v>#VALUE!</v>
      </c>
      <c r="U131" s="4" t="e">
        <f t="shared" si="13"/>
        <v>#VALUE!</v>
      </c>
      <c r="V131" s="4" t="e">
        <f>Table1[[#This Row],[Enrolment S.Y. 2025-2026 ]]*8</f>
        <v>#VALUE!</v>
      </c>
      <c r="W131" s="4"/>
      <c r="X131" s="1"/>
      <c r="Y131" s="4"/>
      <c r="Z131" s="4" t="e">
        <f t="shared" si="14"/>
        <v>#VALUE!</v>
      </c>
      <c r="AA131" s="4" t="e">
        <f t="shared" si="15"/>
        <v>#VALUE!</v>
      </c>
    </row>
    <row r="132" spans="9:27" ht="19.5">
      <c r="I132" s="4">
        <f t="shared" si="9"/>
        <v>0</v>
      </c>
      <c r="J132" s="4" t="e">
        <f>Table1[[#This Row],[Enrolment S.Y. 2025-2026 ]]*8</f>
        <v>#VALUE!</v>
      </c>
      <c r="K132" s="4"/>
      <c r="L132" s="1"/>
      <c r="M132" s="4"/>
      <c r="N132" s="4" t="e">
        <f t="shared" si="10"/>
        <v>#VALUE!</v>
      </c>
      <c r="O132" s="4" t="e">
        <f t="shared" si="11"/>
        <v>#VALUE!</v>
      </c>
      <c r="P132" s="4" t="e">
        <f>Table1[[#This Row],[Enrolment S.Y. 2025-2026 ]]*8</f>
        <v>#VALUE!</v>
      </c>
      <c r="Q132" s="4"/>
      <c r="R132" s="1"/>
      <c r="S132" s="4"/>
      <c r="T132" s="4" t="e">
        <f t="shared" si="12"/>
        <v>#VALUE!</v>
      </c>
      <c r="U132" s="4" t="e">
        <f t="shared" si="13"/>
        <v>#VALUE!</v>
      </c>
      <c r="V132" s="4" t="e">
        <f>Table1[[#This Row],[Enrolment S.Y. 2025-2026 ]]*8</f>
        <v>#VALUE!</v>
      </c>
      <c r="W132" s="4"/>
      <c r="X132" s="1"/>
      <c r="Y132" s="4"/>
      <c r="Z132" s="4" t="e">
        <f t="shared" si="14"/>
        <v>#VALUE!</v>
      </c>
      <c r="AA132" s="4" t="e">
        <f t="shared" si="15"/>
        <v>#VALUE!</v>
      </c>
    </row>
    <row r="133" spans="9:27" ht="19.5">
      <c r="I133" s="4">
        <f t="shared" si="9"/>
        <v>0</v>
      </c>
      <c r="J133" s="4" t="e">
        <f>Table1[[#This Row],[Enrolment S.Y. 2025-2026 ]]*8</f>
        <v>#VALUE!</v>
      </c>
      <c r="K133" s="4"/>
      <c r="L133" s="1"/>
      <c r="M133" s="4"/>
      <c r="N133" s="4" t="e">
        <f t="shared" si="10"/>
        <v>#VALUE!</v>
      </c>
      <c r="O133" s="4" t="e">
        <f t="shared" si="11"/>
        <v>#VALUE!</v>
      </c>
      <c r="P133" s="4" t="e">
        <f>Table1[[#This Row],[Enrolment S.Y. 2025-2026 ]]*8</f>
        <v>#VALUE!</v>
      </c>
      <c r="Q133" s="4"/>
      <c r="R133" s="1"/>
      <c r="S133" s="4"/>
      <c r="T133" s="4" t="e">
        <f t="shared" si="12"/>
        <v>#VALUE!</v>
      </c>
      <c r="U133" s="4" t="e">
        <f t="shared" si="13"/>
        <v>#VALUE!</v>
      </c>
      <c r="V133" s="4" t="e">
        <f>Table1[[#This Row],[Enrolment S.Y. 2025-2026 ]]*8</f>
        <v>#VALUE!</v>
      </c>
      <c r="W133" s="4"/>
      <c r="X133" s="1"/>
      <c r="Y133" s="4"/>
      <c r="Z133" s="4" t="e">
        <f t="shared" si="14"/>
        <v>#VALUE!</v>
      </c>
      <c r="AA133" s="4" t="e">
        <f t="shared" si="15"/>
        <v>#VALUE!</v>
      </c>
    </row>
    <row r="134" spans="9:27" ht="19.5">
      <c r="I134" s="4">
        <f t="shared" si="9"/>
        <v>0</v>
      </c>
      <c r="J134" s="4" t="e">
        <f>Table1[[#This Row],[Enrolment S.Y. 2025-2026 ]]*8</f>
        <v>#VALUE!</v>
      </c>
      <c r="K134" s="4"/>
      <c r="L134" s="1"/>
      <c r="M134" s="4"/>
      <c r="N134" s="4" t="e">
        <f t="shared" si="10"/>
        <v>#VALUE!</v>
      </c>
      <c r="O134" s="4" t="e">
        <f t="shared" si="11"/>
        <v>#VALUE!</v>
      </c>
      <c r="P134" s="4" t="e">
        <f>Table1[[#This Row],[Enrolment S.Y. 2025-2026 ]]*8</f>
        <v>#VALUE!</v>
      </c>
      <c r="Q134" s="4"/>
      <c r="R134" s="1"/>
      <c r="S134" s="4"/>
      <c r="T134" s="4" t="e">
        <f t="shared" si="12"/>
        <v>#VALUE!</v>
      </c>
      <c r="U134" s="4" t="e">
        <f t="shared" si="13"/>
        <v>#VALUE!</v>
      </c>
      <c r="V134" s="4" t="e">
        <f>Table1[[#This Row],[Enrolment S.Y. 2025-2026 ]]*8</f>
        <v>#VALUE!</v>
      </c>
      <c r="W134" s="4"/>
      <c r="X134" s="1"/>
      <c r="Y134" s="4"/>
      <c r="Z134" s="4" t="e">
        <f t="shared" si="14"/>
        <v>#VALUE!</v>
      </c>
      <c r="AA134" s="4" t="e">
        <f t="shared" si="15"/>
        <v>#VALUE!</v>
      </c>
    </row>
    <row r="135" spans="9:27" ht="19.5">
      <c r="I135" s="4">
        <f t="shared" si="9"/>
        <v>0</v>
      </c>
      <c r="J135" s="4" t="e">
        <f>Table1[[#This Row],[Enrolment S.Y. 2025-2026 ]]*8</f>
        <v>#VALUE!</v>
      </c>
      <c r="K135" s="4"/>
      <c r="L135" s="1"/>
      <c r="M135" s="4"/>
      <c r="N135" s="4" t="e">
        <f t="shared" si="10"/>
        <v>#VALUE!</v>
      </c>
      <c r="O135" s="4" t="e">
        <f t="shared" si="11"/>
        <v>#VALUE!</v>
      </c>
      <c r="P135" s="4" t="e">
        <f>Table1[[#This Row],[Enrolment S.Y. 2025-2026 ]]*8</f>
        <v>#VALUE!</v>
      </c>
      <c r="Q135" s="4"/>
      <c r="R135" s="1"/>
      <c r="S135" s="4"/>
      <c r="T135" s="4" t="e">
        <f t="shared" si="12"/>
        <v>#VALUE!</v>
      </c>
      <c r="U135" s="4" t="e">
        <f t="shared" si="13"/>
        <v>#VALUE!</v>
      </c>
      <c r="V135" s="4" t="e">
        <f>Table1[[#This Row],[Enrolment S.Y. 2025-2026 ]]*8</f>
        <v>#VALUE!</v>
      </c>
      <c r="W135" s="4"/>
      <c r="X135" s="1"/>
      <c r="Y135" s="4"/>
      <c r="Z135" s="4" t="e">
        <f t="shared" si="14"/>
        <v>#VALUE!</v>
      </c>
      <c r="AA135" s="4" t="e">
        <f t="shared" si="15"/>
        <v>#VALUE!</v>
      </c>
    </row>
    <row r="136" spans="9:27" ht="19.5">
      <c r="I136" s="4">
        <f t="shared" si="9"/>
        <v>0</v>
      </c>
      <c r="J136" s="4" t="e">
        <f>Table1[[#This Row],[Enrolment S.Y. 2025-2026 ]]*8</f>
        <v>#VALUE!</v>
      </c>
      <c r="K136" s="4"/>
      <c r="L136" s="1"/>
      <c r="M136" s="4"/>
      <c r="N136" s="4" t="e">
        <f t="shared" si="10"/>
        <v>#VALUE!</v>
      </c>
      <c r="O136" s="4" t="e">
        <f t="shared" si="11"/>
        <v>#VALUE!</v>
      </c>
      <c r="P136" s="4" t="e">
        <f>Table1[[#This Row],[Enrolment S.Y. 2025-2026 ]]*8</f>
        <v>#VALUE!</v>
      </c>
      <c r="Q136" s="4"/>
      <c r="R136" s="1"/>
      <c r="S136" s="4"/>
      <c r="T136" s="4" t="e">
        <f t="shared" si="12"/>
        <v>#VALUE!</v>
      </c>
      <c r="U136" s="4" t="e">
        <f t="shared" si="13"/>
        <v>#VALUE!</v>
      </c>
      <c r="V136" s="4" t="e">
        <f>Table1[[#This Row],[Enrolment S.Y. 2025-2026 ]]*8</f>
        <v>#VALUE!</v>
      </c>
      <c r="W136" s="4"/>
      <c r="X136" s="1"/>
      <c r="Y136" s="4"/>
      <c r="Z136" s="4" t="e">
        <f t="shared" si="14"/>
        <v>#VALUE!</v>
      </c>
      <c r="AA136" s="4" t="e">
        <f t="shared" si="15"/>
        <v>#VALUE!</v>
      </c>
    </row>
    <row r="137" spans="9:27" ht="19.5">
      <c r="I137" s="4">
        <f t="shared" si="9"/>
        <v>0</v>
      </c>
      <c r="J137" s="4" t="e">
        <f>Table1[[#This Row],[Enrolment S.Y. 2025-2026 ]]*8</f>
        <v>#VALUE!</v>
      </c>
      <c r="K137" s="4"/>
      <c r="L137" s="1"/>
      <c r="M137" s="4"/>
      <c r="N137" s="4" t="e">
        <f t="shared" si="10"/>
        <v>#VALUE!</v>
      </c>
      <c r="O137" s="4" t="e">
        <f t="shared" si="11"/>
        <v>#VALUE!</v>
      </c>
      <c r="P137" s="4" t="e">
        <f>Table1[[#This Row],[Enrolment S.Y. 2025-2026 ]]*8</f>
        <v>#VALUE!</v>
      </c>
      <c r="Q137" s="4"/>
      <c r="R137" s="1"/>
      <c r="S137" s="4"/>
      <c r="T137" s="4" t="e">
        <f t="shared" si="12"/>
        <v>#VALUE!</v>
      </c>
      <c r="U137" s="4" t="e">
        <f t="shared" si="13"/>
        <v>#VALUE!</v>
      </c>
      <c r="V137" s="4" t="e">
        <f>Table1[[#This Row],[Enrolment S.Y. 2025-2026 ]]*8</f>
        <v>#VALUE!</v>
      </c>
      <c r="W137" s="4"/>
      <c r="X137" s="1"/>
      <c r="Y137" s="4"/>
      <c r="Z137" s="4" t="e">
        <f t="shared" si="14"/>
        <v>#VALUE!</v>
      </c>
      <c r="AA137" s="4" t="e">
        <f t="shared" si="15"/>
        <v>#VALUE!</v>
      </c>
    </row>
    <row r="138" spans="9:27" ht="19.5">
      <c r="I138" s="4">
        <f t="shared" si="9"/>
        <v>0</v>
      </c>
      <c r="J138" s="4" t="e">
        <f>Table1[[#This Row],[Enrolment S.Y. 2025-2026 ]]*8</f>
        <v>#VALUE!</v>
      </c>
      <c r="K138" s="4"/>
      <c r="L138" s="1"/>
      <c r="M138" s="4"/>
      <c r="N138" s="4" t="e">
        <f t="shared" si="10"/>
        <v>#VALUE!</v>
      </c>
      <c r="O138" s="4" t="e">
        <f t="shared" si="11"/>
        <v>#VALUE!</v>
      </c>
      <c r="P138" s="4" t="e">
        <f>Table1[[#This Row],[Enrolment S.Y. 2025-2026 ]]*8</f>
        <v>#VALUE!</v>
      </c>
      <c r="Q138" s="4"/>
      <c r="R138" s="1"/>
      <c r="S138" s="4"/>
      <c r="T138" s="4" t="e">
        <f t="shared" si="12"/>
        <v>#VALUE!</v>
      </c>
      <c r="U138" s="4" t="e">
        <f t="shared" si="13"/>
        <v>#VALUE!</v>
      </c>
      <c r="V138" s="4" t="e">
        <f>Table1[[#This Row],[Enrolment S.Y. 2025-2026 ]]*8</f>
        <v>#VALUE!</v>
      </c>
      <c r="W138" s="4"/>
      <c r="X138" s="1"/>
      <c r="Y138" s="4"/>
      <c r="Z138" s="4" t="e">
        <f t="shared" si="14"/>
        <v>#VALUE!</v>
      </c>
      <c r="AA138" s="4" t="e">
        <f t="shared" si="15"/>
        <v>#VALUE!</v>
      </c>
    </row>
    <row r="139" spans="9:27" ht="18">
      <c r="I139" s="32">
        <f t="shared" si="9"/>
        <v>0</v>
      </c>
      <c r="J139" s="32" t="e">
        <f>Table1[[#This Row],[Enrolment S.Y. 2025-2026 ]]*8</f>
        <v>#VALUE!</v>
      </c>
      <c r="K139" s="32"/>
      <c r="L139" s="30"/>
      <c r="M139" s="32"/>
      <c r="N139" s="32"/>
      <c r="O139" s="32"/>
      <c r="P139" s="32" t="e">
        <f>#REF!*8</f>
        <v>#REF!</v>
      </c>
      <c r="Q139" s="32"/>
      <c r="R139" s="30"/>
      <c r="S139" s="32"/>
      <c r="T139" s="32" t="e">
        <f t="shared" si="12"/>
        <v>#REF!</v>
      </c>
      <c r="U139" s="32" t="e">
        <f t="shared" si="13"/>
        <v>#REF!</v>
      </c>
      <c r="V139" s="32" t="e">
        <f>Table1[[#This Row],[Enrolment S.Y. 2025-2026 ]]*8</f>
        <v>#VALUE!</v>
      </c>
      <c r="W139" s="32"/>
      <c r="X139" s="30"/>
      <c r="Y139" s="32"/>
      <c r="Z139" s="32" t="e">
        <f t="shared" si="14"/>
        <v>#VALUE!</v>
      </c>
      <c r="AA139" s="32" t="e">
        <f t="shared" si="15"/>
        <v>#VALUE!</v>
      </c>
    </row>
    <row r="140" spans="9:27" ht="18">
      <c r="I140" s="32">
        <f t="shared" si="9"/>
        <v>0</v>
      </c>
      <c r="J140" s="32" t="e">
        <f>Table1[[#This Row],[Enrolment S.Y. 2025-2026 ]]*8</f>
        <v>#VALUE!</v>
      </c>
      <c r="K140" s="32"/>
      <c r="L140" s="30"/>
      <c r="M140" s="32"/>
      <c r="N140" s="32"/>
      <c r="O140" s="32"/>
      <c r="P140" s="32" t="e">
        <f>#REF!*8</f>
        <v>#REF!</v>
      </c>
      <c r="Q140" s="32"/>
      <c r="R140" s="30"/>
      <c r="S140" s="32"/>
      <c r="T140" s="32" t="e">
        <f t="shared" si="12"/>
        <v>#REF!</v>
      </c>
      <c r="U140" s="32" t="e">
        <f t="shared" si="13"/>
        <v>#REF!</v>
      </c>
      <c r="V140" s="32" t="e">
        <f>Table1[[#This Row],[Enrolment S.Y. 2025-2026 ]]*8</f>
        <v>#VALUE!</v>
      </c>
      <c r="W140" s="32"/>
      <c r="X140" s="30"/>
      <c r="Y140" s="32"/>
      <c r="Z140" s="32" t="e">
        <f t="shared" si="14"/>
        <v>#VALUE!</v>
      </c>
      <c r="AA140" s="32" t="e">
        <f t="shared" si="15"/>
        <v>#VALUE!</v>
      </c>
    </row>
    <row r="141" spans="9:27" ht="18">
      <c r="I141" s="32">
        <f t="shared" si="9"/>
        <v>0</v>
      </c>
      <c r="J141" s="32" t="e">
        <f>Table1[[#This Row],[Enrolment S.Y. 2025-2026 ]]*8</f>
        <v>#VALUE!</v>
      </c>
      <c r="K141" s="32"/>
      <c r="L141" s="30"/>
      <c r="M141" s="32"/>
      <c r="N141" s="32"/>
      <c r="O141" s="32"/>
      <c r="P141" s="32" t="e">
        <f>#REF!*8</f>
        <v>#REF!</v>
      </c>
      <c r="Q141" s="32"/>
      <c r="R141" s="30"/>
      <c r="S141" s="32"/>
      <c r="T141" s="32" t="e">
        <f t="shared" si="12"/>
        <v>#REF!</v>
      </c>
      <c r="U141" s="32" t="e">
        <f t="shared" si="13"/>
        <v>#REF!</v>
      </c>
      <c r="V141" s="32" t="e">
        <f>Table1[[#This Row],[Enrolment S.Y. 2025-2026 ]]*8</f>
        <v>#VALUE!</v>
      </c>
      <c r="W141" s="32"/>
      <c r="X141" s="30"/>
      <c r="Y141" s="32"/>
      <c r="Z141" s="32" t="e">
        <f t="shared" si="14"/>
        <v>#VALUE!</v>
      </c>
      <c r="AA141" s="32" t="e">
        <f t="shared" si="15"/>
        <v>#VALUE!</v>
      </c>
    </row>
    <row r="142" spans="9:27" ht="18">
      <c r="I142" s="32">
        <f t="shared" si="9"/>
        <v>0</v>
      </c>
      <c r="J142" s="32" t="e">
        <f>Table1[[#This Row],[Enrolment S.Y. 2025-2026 ]]*8</f>
        <v>#VALUE!</v>
      </c>
      <c r="K142" s="32"/>
      <c r="L142" s="30"/>
      <c r="M142" s="32"/>
      <c r="N142" s="32"/>
      <c r="O142" s="32"/>
      <c r="P142" s="32" t="e">
        <f>#REF!*8</f>
        <v>#REF!</v>
      </c>
      <c r="Q142" s="32"/>
      <c r="R142" s="30"/>
      <c r="S142" s="32"/>
      <c r="T142" s="32" t="e">
        <f t="shared" si="12"/>
        <v>#REF!</v>
      </c>
      <c r="U142" s="32" t="e">
        <f t="shared" si="13"/>
        <v>#REF!</v>
      </c>
      <c r="V142" s="32" t="e">
        <f>Table1[[#This Row],[Enrolment S.Y. 2025-2026 ]]*8</f>
        <v>#VALUE!</v>
      </c>
      <c r="W142" s="32"/>
      <c r="X142" s="30"/>
      <c r="Y142" s="32"/>
      <c r="Z142" s="32" t="e">
        <f t="shared" si="14"/>
        <v>#VALUE!</v>
      </c>
      <c r="AA142" s="32" t="e">
        <f t="shared" si="15"/>
        <v>#VALUE!</v>
      </c>
    </row>
    <row r="143" spans="9:27" ht="18">
      <c r="I143" s="32">
        <f t="shared" si="9"/>
        <v>0</v>
      </c>
      <c r="J143" s="32" t="e">
        <f>Table1[[#This Row],[Enrolment S.Y. 2025-2026 ]]*8</f>
        <v>#VALUE!</v>
      </c>
      <c r="K143" s="32"/>
      <c r="L143" s="30"/>
      <c r="M143" s="32"/>
      <c r="N143" s="32"/>
      <c r="O143" s="32"/>
      <c r="P143" s="32" t="e">
        <f>#REF!*8</f>
        <v>#REF!</v>
      </c>
      <c r="Q143" s="32"/>
      <c r="R143" s="30"/>
      <c r="S143" s="32"/>
      <c r="T143" s="32" t="e">
        <f t="shared" si="12"/>
        <v>#REF!</v>
      </c>
      <c r="U143" s="32" t="e">
        <f t="shared" si="13"/>
        <v>#REF!</v>
      </c>
      <c r="V143" s="32" t="e">
        <f>Table1[[#This Row],[Enrolment S.Y. 2025-2026 ]]*8</f>
        <v>#VALUE!</v>
      </c>
      <c r="W143" s="32"/>
      <c r="X143" s="30"/>
      <c r="Y143" s="32"/>
      <c r="Z143" s="32" t="e">
        <f t="shared" si="14"/>
        <v>#VALUE!</v>
      </c>
      <c r="AA143" s="32" t="e">
        <f t="shared" si="15"/>
        <v>#VALUE!</v>
      </c>
    </row>
    <row r="144" spans="9:27" ht="18">
      <c r="I144" s="32">
        <f t="shared" si="9"/>
        <v>0</v>
      </c>
      <c r="J144" s="32" t="e">
        <f>Table1[[#This Row],[Enrolment S.Y. 2025-2026 ]]*8</f>
        <v>#VALUE!</v>
      </c>
      <c r="K144" s="32"/>
      <c r="L144" s="30"/>
      <c r="M144" s="32"/>
      <c r="N144" s="32"/>
      <c r="O144" s="32"/>
      <c r="P144" s="32" t="e">
        <f>#REF!*8</f>
        <v>#REF!</v>
      </c>
      <c r="Q144" s="32"/>
      <c r="R144" s="30"/>
      <c r="S144" s="32"/>
      <c r="T144" s="32" t="e">
        <f t="shared" si="12"/>
        <v>#REF!</v>
      </c>
      <c r="U144" s="32" t="e">
        <f t="shared" si="13"/>
        <v>#REF!</v>
      </c>
      <c r="V144" s="32" t="e">
        <f>Table1[[#This Row],[Enrolment S.Y. 2025-2026 ]]*8</f>
        <v>#VALUE!</v>
      </c>
      <c r="W144" s="32"/>
      <c r="X144" s="30"/>
      <c r="Y144" s="32"/>
      <c r="Z144" s="32" t="e">
        <f t="shared" si="14"/>
        <v>#VALUE!</v>
      </c>
      <c r="AA144" s="32" t="e">
        <f t="shared" si="15"/>
        <v>#VALUE!</v>
      </c>
    </row>
    <row r="145" spans="9:27" ht="18">
      <c r="I145" s="32">
        <f t="shared" si="9"/>
        <v>0</v>
      </c>
      <c r="J145" s="32" t="e">
        <f>Table1[[#This Row],[Enrolment S.Y. 2025-2026 ]]*8</f>
        <v>#VALUE!</v>
      </c>
      <c r="K145" s="32"/>
      <c r="L145" s="30"/>
      <c r="M145" s="32"/>
      <c r="N145" s="32"/>
      <c r="O145" s="32"/>
      <c r="P145" s="32" t="e">
        <f>#REF!*8</f>
        <v>#REF!</v>
      </c>
      <c r="Q145" s="32"/>
      <c r="R145" s="30"/>
      <c r="S145" s="32"/>
      <c r="T145" s="32" t="e">
        <f t="shared" si="12"/>
        <v>#REF!</v>
      </c>
      <c r="U145" s="32" t="e">
        <f t="shared" si="13"/>
        <v>#REF!</v>
      </c>
      <c r="V145" s="32" t="e">
        <f>Table1[[#This Row],[Enrolment S.Y. 2025-2026 ]]*8</f>
        <v>#VALUE!</v>
      </c>
      <c r="W145" s="32"/>
      <c r="X145" s="30"/>
      <c r="Y145" s="32"/>
      <c r="Z145" s="32" t="e">
        <f t="shared" si="14"/>
        <v>#VALUE!</v>
      </c>
      <c r="AA145" s="32" t="e">
        <f t="shared" si="15"/>
        <v>#VALUE!</v>
      </c>
    </row>
    <row r="146" spans="9:27" ht="18">
      <c r="I146" s="32">
        <f t="shared" si="9"/>
        <v>0</v>
      </c>
      <c r="J146" s="32" t="e">
        <f>Table1[[#This Row],[Enrolment S.Y. 2025-2026 ]]*8</f>
        <v>#VALUE!</v>
      </c>
      <c r="K146" s="32"/>
      <c r="L146" s="30"/>
      <c r="M146" s="32"/>
      <c r="N146" s="32"/>
      <c r="O146" s="32"/>
      <c r="P146" s="32" t="e">
        <f>#REF!*8</f>
        <v>#REF!</v>
      </c>
      <c r="Q146" s="32"/>
      <c r="R146" s="30"/>
      <c r="S146" s="32"/>
      <c r="T146" s="32" t="e">
        <f t="shared" si="12"/>
        <v>#REF!</v>
      </c>
      <c r="U146" s="32" t="e">
        <f t="shared" si="13"/>
        <v>#REF!</v>
      </c>
      <c r="V146" s="32" t="e">
        <f>Table1[[#This Row],[Enrolment S.Y. 2025-2026 ]]*8</f>
        <v>#VALUE!</v>
      </c>
      <c r="W146" s="32"/>
      <c r="X146" s="30"/>
      <c r="Y146" s="32"/>
      <c r="Z146" s="32" t="e">
        <f t="shared" si="14"/>
        <v>#VALUE!</v>
      </c>
      <c r="AA146" s="32" t="e">
        <f t="shared" si="15"/>
        <v>#VALUE!</v>
      </c>
    </row>
    <row r="147" spans="9:27" ht="18">
      <c r="I147" s="32">
        <f t="shared" si="9"/>
        <v>0</v>
      </c>
      <c r="J147" s="32" t="e">
        <f>Table1[[#This Row],[Enrolment S.Y. 2025-2026 ]]*8</f>
        <v>#VALUE!</v>
      </c>
      <c r="K147" s="32"/>
      <c r="L147" s="30"/>
      <c r="M147" s="32"/>
      <c r="N147" s="32"/>
      <c r="O147" s="32"/>
      <c r="P147" s="32" t="e">
        <f>#REF!*8</f>
        <v>#REF!</v>
      </c>
      <c r="Q147" s="32"/>
      <c r="R147" s="30"/>
      <c r="S147" s="32"/>
      <c r="T147" s="32" t="e">
        <f t="shared" si="12"/>
        <v>#REF!</v>
      </c>
      <c r="U147" s="32" t="e">
        <f t="shared" si="13"/>
        <v>#REF!</v>
      </c>
      <c r="V147" s="32" t="e">
        <f>Table1[[#This Row],[Enrolment S.Y. 2025-2026 ]]*8</f>
        <v>#VALUE!</v>
      </c>
      <c r="W147" s="32"/>
      <c r="X147" s="30"/>
      <c r="Y147" s="32"/>
      <c r="Z147" s="32" t="e">
        <f t="shared" si="14"/>
        <v>#VALUE!</v>
      </c>
      <c r="AA147" s="32" t="e">
        <f t="shared" si="15"/>
        <v>#VALUE!</v>
      </c>
    </row>
    <row r="148" spans="9:27" ht="18">
      <c r="I148" s="32">
        <f t="shared" si="9"/>
        <v>0</v>
      </c>
      <c r="J148" s="32" t="e">
        <f>Table1[[#This Row],[Enrolment S.Y. 2025-2026 ]]*8</f>
        <v>#VALUE!</v>
      </c>
      <c r="K148" s="32"/>
      <c r="L148" s="30"/>
      <c r="M148" s="32"/>
      <c r="N148" s="32"/>
      <c r="O148" s="32"/>
      <c r="P148" s="32" t="e">
        <f>#REF!*8</f>
        <v>#REF!</v>
      </c>
      <c r="Q148" s="32"/>
      <c r="R148" s="30"/>
      <c r="S148" s="32"/>
      <c r="T148" s="32" t="e">
        <f t="shared" si="12"/>
        <v>#REF!</v>
      </c>
      <c r="U148" s="32" t="e">
        <f t="shared" si="13"/>
        <v>#REF!</v>
      </c>
      <c r="V148" s="32" t="e">
        <f>Table1[[#This Row],[Enrolment S.Y. 2025-2026 ]]*8</f>
        <v>#VALUE!</v>
      </c>
      <c r="W148" s="32"/>
      <c r="X148" s="30"/>
      <c r="Y148" s="32"/>
      <c r="Z148" s="32" t="e">
        <f t="shared" si="14"/>
        <v>#VALUE!</v>
      </c>
      <c r="AA148" s="32" t="e">
        <f t="shared" si="15"/>
        <v>#VALUE!</v>
      </c>
    </row>
    <row r="149" spans="9:27" ht="18">
      <c r="I149" s="32">
        <f t="shared" si="9"/>
        <v>0</v>
      </c>
      <c r="J149" s="32" t="e">
        <f>Table1[[#This Row],[Enrolment S.Y. 2025-2026 ]]*8</f>
        <v>#VALUE!</v>
      </c>
      <c r="K149" s="32"/>
      <c r="L149" s="30"/>
      <c r="M149" s="32"/>
      <c r="N149" s="32"/>
      <c r="O149" s="32"/>
      <c r="P149" s="32" t="e">
        <f>#REF!*8</f>
        <v>#REF!</v>
      </c>
      <c r="Q149" s="32"/>
      <c r="R149" s="30"/>
      <c r="S149" s="32"/>
      <c r="T149" s="32" t="e">
        <f t="shared" si="12"/>
        <v>#REF!</v>
      </c>
      <c r="U149" s="32" t="e">
        <f t="shared" si="13"/>
        <v>#REF!</v>
      </c>
      <c r="V149" s="32" t="e">
        <f>Table1[[#This Row],[Enrolment S.Y. 2025-2026 ]]*8</f>
        <v>#VALUE!</v>
      </c>
      <c r="W149" s="32"/>
      <c r="X149" s="30"/>
      <c r="Y149" s="32"/>
      <c r="Z149" s="32" t="e">
        <f t="shared" si="14"/>
        <v>#VALUE!</v>
      </c>
      <c r="AA149" s="32" t="e">
        <f t="shared" si="15"/>
        <v>#VALUE!</v>
      </c>
    </row>
    <row r="150" spans="9:27" ht="18">
      <c r="I150" s="32">
        <f t="shared" si="9"/>
        <v>0</v>
      </c>
      <c r="J150" s="32" t="e">
        <f>Table1[[#This Row],[Enrolment S.Y. 2025-2026 ]]*8</f>
        <v>#VALUE!</v>
      </c>
      <c r="K150" s="32"/>
      <c r="L150" s="30"/>
      <c r="M150" s="32"/>
      <c r="N150" s="32"/>
      <c r="O150" s="32"/>
      <c r="P150" s="32" t="e">
        <f>#REF!*8</f>
        <v>#REF!</v>
      </c>
      <c r="Q150" s="32"/>
      <c r="R150" s="30"/>
      <c r="S150" s="32"/>
      <c r="T150" s="32" t="e">
        <f t="shared" si="12"/>
        <v>#REF!</v>
      </c>
      <c r="U150" s="32" t="e">
        <f t="shared" si="13"/>
        <v>#REF!</v>
      </c>
      <c r="V150" s="32" t="e">
        <f>Table1[[#This Row],[Enrolment S.Y. 2025-2026 ]]*8</f>
        <v>#VALUE!</v>
      </c>
      <c r="W150" s="32"/>
      <c r="X150" s="30"/>
      <c r="Y150" s="32"/>
      <c r="Z150" s="32" t="e">
        <f t="shared" si="14"/>
        <v>#VALUE!</v>
      </c>
      <c r="AA150" s="32" t="e">
        <f t="shared" si="15"/>
        <v>#VALUE!</v>
      </c>
    </row>
  </sheetData>
  <protectedRanges>
    <protectedRange sqref="C1:E41" name="Textbooks"/>
    <protectedRange sqref="F1:F41" name="SOURCE"/>
    <protectedRange sqref="D42:F73 H42:H73 Q91:R122 W91:X122 H75:H101 W124:X150 K91:L122 K124:L150 Q124:R150 T91:V150 J91:J150 N91:P150 D75:F101 Z91:AA150 I124:I150 I91:I122" name="LAS"/>
    <protectedRange sqref="S91:S122 M91:M122 Y91:Y122 G42:G73 Y124:Y150 S124:S150 M124:M150 G75:G101" name="SOURCE_1"/>
    <protectedRange sqref="C42:C73" name="Textbooks_1"/>
    <protectedRange sqref="C75:C101" name="Textbooks_2"/>
  </protectedRanges>
  <phoneticPr fontId="8" type="noConversion"/>
  <dataValidations count="4">
    <dataValidation type="list" allowBlank="1" showInputMessage="1" showErrorMessage="1" sqref="F42:F73 R91:R122 L91:L122 L124:L150 R124:R150 X91:X122 X124:X150 F75:F101" xr:uid="{1E841372-844C-48F7-A0CD-EBBF3436C3A1}">
      <formula1>"2024,2025"</formula1>
    </dataValidation>
    <dataValidation type="list" allowBlank="1" showInputMessage="1" showErrorMessage="1" sqref="F2:F10 F12:F20 F22:F30 F32:F40 S124:S150 M124:M150 Y124:Y150 G75:G101" xr:uid="{3F7B9B36-E418-4119-845D-A7CDAA91A4D5}">
      <formula1>"CO,RO,SDO"</formula1>
    </dataValidation>
    <dataValidation type="list" allowBlank="1" showInputMessage="1" showErrorMessage="1" sqref="M91:M122 Y91:Y122 S91:S122 G42:G73" xr:uid="{B95D4ACB-7131-4FD8-BEAD-B28C0A31BBCB}">
      <formula1>"CO,RO,SDO,LGU,SCHOOL"</formula1>
    </dataValidation>
    <dataValidation type="list" allowBlank="1" showInputMessage="1" showErrorMessage="1" sqref="E75:E101 E42:E73 E32:E40 E22:E30 E12:E20 E2:E10 L56" xr:uid="{058D07C4-D803-40DA-A35D-F087ACA720A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81"/>
  <sheetViews>
    <sheetView zoomScale="70" zoomScaleNormal="70" workbookViewId="0">
      <selection activeCell="AC63" sqref="AC63"/>
    </sheetView>
  </sheetViews>
  <sheetFormatPr defaultRowHeight="15"/>
  <cols>
    <col min="1" max="1" width="9.42578125" customWidth="1"/>
    <col min="2" max="2" width="36.1406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0" t="s">
        <v>77</v>
      </c>
      <c r="E1" s="40"/>
      <c r="F1" s="40"/>
      <c r="G1" s="40"/>
      <c r="H1" s="40"/>
      <c r="I1" s="40"/>
      <c r="J1" s="41" t="s">
        <v>78</v>
      </c>
      <c r="K1" s="41"/>
      <c r="L1" s="41"/>
      <c r="M1" s="41"/>
      <c r="N1" s="41"/>
      <c r="O1" s="41"/>
      <c r="P1" s="42" t="s">
        <v>79</v>
      </c>
      <c r="Q1" s="42"/>
      <c r="R1" s="42"/>
      <c r="S1" s="42"/>
      <c r="T1" s="42"/>
      <c r="U1" s="42"/>
      <c r="V1" s="43" t="s">
        <v>80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81</v>
      </c>
      <c r="E2" s="18" t="s">
        <v>82</v>
      </c>
      <c r="F2" s="19" t="s">
        <v>83</v>
      </c>
      <c r="G2" s="22" t="s">
        <v>84</v>
      </c>
      <c r="H2" s="15" t="s">
        <v>85</v>
      </c>
      <c r="I2" s="22" t="s">
        <v>86</v>
      </c>
      <c r="J2" s="20" t="s">
        <v>87</v>
      </c>
      <c r="K2" s="20" t="s">
        <v>88</v>
      </c>
      <c r="L2" s="21" t="s">
        <v>89</v>
      </c>
      <c r="M2" s="36" t="s">
        <v>90</v>
      </c>
      <c r="N2" s="36" t="s">
        <v>91</v>
      </c>
      <c r="O2" s="20" t="s">
        <v>92</v>
      </c>
      <c r="P2" s="22" t="s">
        <v>93</v>
      </c>
      <c r="Q2" s="22" t="s">
        <v>94</v>
      </c>
      <c r="R2" s="23" t="s">
        <v>95</v>
      </c>
      <c r="S2" s="15" t="s">
        <v>96</v>
      </c>
      <c r="T2" s="15" t="s">
        <v>97</v>
      </c>
      <c r="U2" s="22" t="s">
        <v>98</v>
      </c>
      <c r="V2" s="24" t="s">
        <v>99</v>
      </c>
      <c r="W2" s="24" t="s">
        <v>100</v>
      </c>
      <c r="X2" s="25" t="s">
        <v>101</v>
      </c>
      <c r="Y2" s="37" t="s">
        <v>102</v>
      </c>
      <c r="Z2" s="37" t="s">
        <v>103</v>
      </c>
      <c r="AA2" s="24" t="s">
        <v>104</v>
      </c>
    </row>
    <row r="3" spans="1:27" ht="30.6" customHeight="1">
      <c r="A3" s="8">
        <v>7</v>
      </c>
      <c r="B3" s="9" t="s">
        <v>8</v>
      </c>
      <c r="C3" s="8">
        <v>1912</v>
      </c>
      <c r="D3" s="10">
        <f>Table1[[#This Row],[Enrolment S.Y. 2025-2026 ]]*8</f>
        <v>15296</v>
      </c>
      <c r="E3" s="10">
        <v>2434</v>
      </c>
      <c r="F3" s="8">
        <v>2024</v>
      </c>
      <c r="G3" s="10" t="s">
        <v>9</v>
      </c>
      <c r="H3" s="10">
        <f t="shared" ref="H3:H17" si="0">IF((D3-E3)&lt;0,0,(D3-E3))</f>
        <v>12862</v>
      </c>
      <c r="I3" s="10">
        <f t="shared" ref="I3:I17" si="1">IF((E3-D3)&lt;0,0,(E3-D3))</f>
        <v>0</v>
      </c>
      <c r="J3" s="10">
        <f>Table1[[#This Row],[Enrolment S.Y. 2025-2026 ]]*8</f>
        <v>15296</v>
      </c>
      <c r="K3" s="10"/>
      <c r="L3" s="8"/>
      <c r="M3" s="10"/>
      <c r="N3" s="10">
        <f t="shared" ref="N3:N9" si="2">IF((J3-K3)&lt;0,0,(J3-K3))</f>
        <v>15296</v>
      </c>
      <c r="O3" s="10">
        <f t="shared" ref="O3:O9" si="3">IF((K3-J3)&lt;0,0,(K3-J3))</f>
        <v>0</v>
      </c>
      <c r="P3" s="10">
        <f>Table1[[#This Row],[Enrolment S.Y. 2025-2026 ]]*8</f>
        <v>15296</v>
      </c>
      <c r="Q3" s="10"/>
      <c r="R3" s="8"/>
      <c r="S3" s="10"/>
      <c r="T3" s="10">
        <f t="shared" ref="T3:T9" si="4">IF((P3-Q3)&lt;0,0,(P3-Q3))</f>
        <v>15296</v>
      </c>
      <c r="U3" s="10">
        <f t="shared" ref="U3:U9" si="5">IF((Q3-P3)&lt;0,0,(Q3-P3))</f>
        <v>0</v>
      </c>
      <c r="V3" s="10">
        <f>Table1[[#This Row],[Enrolment S.Y. 2025-2026 ]]*8</f>
        <v>15296</v>
      </c>
      <c r="W3" s="10"/>
      <c r="X3" s="8"/>
      <c r="Y3" s="10"/>
      <c r="Z3" s="10">
        <f t="shared" ref="Z3:Z9" si="6">IF((V3-W3)&lt;0,0,(V3-W3))</f>
        <v>15296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1912</v>
      </c>
      <c r="D4" s="10">
        <f>Table1[[#This Row],[Enrolment S.Y. 2025-2026 ]]*8</f>
        <v>15296</v>
      </c>
      <c r="E4" s="10">
        <v>7085</v>
      </c>
      <c r="F4" s="8">
        <v>2024</v>
      </c>
      <c r="G4" s="10" t="s">
        <v>9</v>
      </c>
      <c r="H4" s="10">
        <f t="shared" si="0"/>
        <v>8211</v>
      </c>
      <c r="I4" s="10">
        <f t="shared" si="1"/>
        <v>0</v>
      </c>
      <c r="J4" s="10">
        <f>Table1[[#This Row],[Enrolment S.Y. 2025-2026 ]]*8</f>
        <v>15296</v>
      </c>
      <c r="K4" s="10"/>
      <c r="L4" s="8"/>
      <c r="M4" s="10"/>
      <c r="N4" s="10">
        <f t="shared" si="2"/>
        <v>15296</v>
      </c>
      <c r="O4" s="10">
        <f t="shared" si="3"/>
        <v>0</v>
      </c>
      <c r="P4" s="10">
        <f>Table1[[#This Row],[Enrolment S.Y. 2025-2026 ]]*8</f>
        <v>15296</v>
      </c>
      <c r="Q4" s="10"/>
      <c r="R4" s="8"/>
      <c r="S4" s="10"/>
      <c r="T4" s="10">
        <f t="shared" si="4"/>
        <v>15296</v>
      </c>
      <c r="U4" s="10">
        <f t="shared" si="5"/>
        <v>0</v>
      </c>
      <c r="V4" s="10">
        <f>Table1[[#This Row],[Enrolment S.Y. 2025-2026 ]]*8</f>
        <v>15296</v>
      </c>
      <c r="W4" s="10"/>
      <c r="X4" s="8"/>
      <c r="Y4" s="10"/>
      <c r="Z4" s="10">
        <f t="shared" si="6"/>
        <v>15296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1912</v>
      </c>
      <c r="D5" s="10">
        <f>Table1[[#This Row],[Enrolment S.Y. 2025-2026 ]]*8</f>
        <v>15296</v>
      </c>
      <c r="E5" s="10"/>
      <c r="F5" s="8"/>
      <c r="G5" s="10"/>
      <c r="H5" s="10">
        <f t="shared" si="0"/>
        <v>15296</v>
      </c>
      <c r="I5" s="10">
        <f t="shared" si="1"/>
        <v>0</v>
      </c>
      <c r="J5" s="10">
        <f>Table1[[#This Row],[Enrolment S.Y. 2025-2026 ]]*8</f>
        <v>15296</v>
      </c>
      <c r="K5" s="10"/>
      <c r="L5" s="8"/>
      <c r="M5" s="10"/>
      <c r="N5" s="10">
        <f t="shared" si="2"/>
        <v>15296</v>
      </c>
      <c r="O5" s="10">
        <f t="shared" si="3"/>
        <v>0</v>
      </c>
      <c r="P5" s="10">
        <f>Table1[[#This Row],[Enrolment S.Y. 2025-2026 ]]*8</f>
        <v>15296</v>
      </c>
      <c r="Q5" s="10"/>
      <c r="R5" s="8"/>
      <c r="S5" s="10"/>
      <c r="T5" s="10">
        <f t="shared" si="4"/>
        <v>15296</v>
      </c>
      <c r="U5" s="10">
        <f t="shared" si="5"/>
        <v>0</v>
      </c>
      <c r="V5" s="10">
        <f>Table1[[#This Row],[Enrolment S.Y. 2025-2026 ]]*8</f>
        <v>15296</v>
      </c>
      <c r="W5" s="10"/>
      <c r="X5" s="8"/>
      <c r="Y5" s="10"/>
      <c r="Z5" s="10">
        <f t="shared" si="6"/>
        <v>15296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1912</v>
      </c>
      <c r="D6" s="10">
        <f>Table1[[#This Row],[Enrolment S.Y. 2025-2026 ]]*8</f>
        <v>15296</v>
      </c>
      <c r="E6" s="10">
        <v>3351</v>
      </c>
      <c r="F6" s="8">
        <v>2024</v>
      </c>
      <c r="G6" s="10" t="s">
        <v>9</v>
      </c>
      <c r="H6" s="10">
        <f t="shared" si="0"/>
        <v>11945</v>
      </c>
      <c r="I6" s="10">
        <f t="shared" si="1"/>
        <v>0</v>
      </c>
      <c r="J6" s="10">
        <f>Table1[[#This Row],[Enrolment S.Y. 2025-2026 ]]*8</f>
        <v>15296</v>
      </c>
      <c r="K6" s="10"/>
      <c r="L6" s="8"/>
      <c r="M6" s="10"/>
      <c r="N6" s="10">
        <f t="shared" si="2"/>
        <v>15296</v>
      </c>
      <c r="O6" s="10">
        <f t="shared" si="3"/>
        <v>0</v>
      </c>
      <c r="P6" s="10">
        <f>Table1[[#This Row],[Enrolment S.Y. 2025-2026 ]]*8</f>
        <v>15296</v>
      </c>
      <c r="Q6" s="10"/>
      <c r="R6" s="8"/>
      <c r="S6" s="10"/>
      <c r="T6" s="10">
        <f t="shared" si="4"/>
        <v>15296</v>
      </c>
      <c r="U6" s="10">
        <f t="shared" si="5"/>
        <v>0</v>
      </c>
      <c r="V6" s="10">
        <f>Table1[[#This Row],[Enrolment S.Y. 2025-2026 ]]*8</f>
        <v>15296</v>
      </c>
      <c r="W6" s="10"/>
      <c r="X6" s="8"/>
      <c r="Y6" s="10"/>
      <c r="Z6" s="10">
        <f t="shared" si="6"/>
        <v>15296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>
        <v>1912</v>
      </c>
      <c r="D7" s="10">
        <f>Table1[[#This Row],[Enrolment S.Y. 2025-2026 ]]*8</f>
        <v>15296</v>
      </c>
      <c r="E7" s="10">
        <v>4868</v>
      </c>
      <c r="F7" s="8">
        <v>2024</v>
      </c>
      <c r="G7" s="10" t="s">
        <v>9</v>
      </c>
      <c r="H7" s="10">
        <f t="shared" si="0"/>
        <v>10428</v>
      </c>
      <c r="I7" s="10">
        <f t="shared" si="1"/>
        <v>0</v>
      </c>
      <c r="J7" s="10">
        <f>Table1[[#This Row],[Enrolment S.Y. 2025-2026 ]]*8</f>
        <v>15296</v>
      </c>
      <c r="K7" s="10"/>
      <c r="L7" s="8"/>
      <c r="M7" s="10"/>
      <c r="N7" s="10">
        <f t="shared" si="2"/>
        <v>15296</v>
      </c>
      <c r="O7" s="10">
        <f t="shared" si="3"/>
        <v>0</v>
      </c>
      <c r="P7" s="10">
        <f>Table1[[#This Row],[Enrolment S.Y. 2025-2026 ]]*8</f>
        <v>15296</v>
      </c>
      <c r="Q7" s="10"/>
      <c r="R7" s="8"/>
      <c r="S7" s="10"/>
      <c r="T7" s="10">
        <f t="shared" si="4"/>
        <v>15296</v>
      </c>
      <c r="U7" s="10">
        <f t="shared" si="5"/>
        <v>0</v>
      </c>
      <c r="V7" s="10">
        <f>Table1[[#This Row],[Enrolment S.Y. 2025-2026 ]]*8</f>
        <v>15296</v>
      </c>
      <c r="W7" s="10"/>
      <c r="X7" s="8"/>
      <c r="Y7" s="10"/>
      <c r="Z7" s="10">
        <f t="shared" si="6"/>
        <v>15296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1912</v>
      </c>
      <c r="D8" s="10">
        <f>Table1[[#This Row],[Enrolment S.Y. 2025-2026 ]]*8</f>
        <v>15296</v>
      </c>
      <c r="E8" s="10"/>
      <c r="F8" s="8"/>
      <c r="G8" s="10"/>
      <c r="H8" s="10">
        <f t="shared" si="0"/>
        <v>15296</v>
      </c>
      <c r="I8" s="10">
        <f t="shared" si="1"/>
        <v>0</v>
      </c>
      <c r="J8" s="10">
        <f>Table1[[#This Row],[Enrolment S.Y. 2025-2026 ]]*8</f>
        <v>15296</v>
      </c>
      <c r="K8" s="10"/>
      <c r="L8" s="8"/>
      <c r="M8" s="10"/>
      <c r="N8" s="10">
        <f t="shared" si="2"/>
        <v>15296</v>
      </c>
      <c r="O8" s="10">
        <f t="shared" si="3"/>
        <v>0</v>
      </c>
      <c r="P8" s="10">
        <f>Table1[[#This Row],[Enrolment S.Y. 2025-2026 ]]*8</f>
        <v>15296</v>
      </c>
      <c r="Q8" s="10"/>
      <c r="R8" s="8"/>
      <c r="S8" s="10"/>
      <c r="T8" s="10">
        <f t="shared" si="4"/>
        <v>15296</v>
      </c>
      <c r="U8" s="10">
        <f t="shared" si="5"/>
        <v>0</v>
      </c>
      <c r="V8" s="10">
        <f>Table1[[#This Row],[Enrolment S.Y. 2025-2026 ]]*8</f>
        <v>15296</v>
      </c>
      <c r="W8" s="10"/>
      <c r="X8" s="8"/>
      <c r="Y8" s="10"/>
      <c r="Z8" s="10">
        <f t="shared" si="6"/>
        <v>15296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1912</v>
      </c>
      <c r="D9" s="10">
        <f>Table1[[#This Row],[Enrolment S.Y. 2025-2026 ]]*8</f>
        <v>15296</v>
      </c>
      <c r="E9" s="10"/>
      <c r="F9" s="8"/>
      <c r="G9" s="10"/>
      <c r="H9" s="10">
        <f t="shared" si="0"/>
        <v>15296</v>
      </c>
      <c r="I9" s="10">
        <f t="shared" si="1"/>
        <v>0</v>
      </c>
      <c r="J9" s="10">
        <f>Table1[[#This Row],[Enrolment S.Y. 2025-2026 ]]*8</f>
        <v>15296</v>
      </c>
      <c r="K9" s="10"/>
      <c r="L9" s="8"/>
      <c r="M9" s="10"/>
      <c r="N9" s="10">
        <f t="shared" si="2"/>
        <v>15296</v>
      </c>
      <c r="O9" s="10">
        <f t="shared" si="3"/>
        <v>0</v>
      </c>
      <c r="P9" s="10">
        <f>Table1[[#This Row],[Enrolment S.Y. 2025-2026 ]]*8</f>
        <v>15296</v>
      </c>
      <c r="Q9" s="10"/>
      <c r="R9" s="8"/>
      <c r="S9" s="10"/>
      <c r="T9" s="10">
        <f t="shared" si="4"/>
        <v>15296</v>
      </c>
      <c r="U9" s="10">
        <f t="shared" si="5"/>
        <v>0</v>
      </c>
      <c r="V9" s="10">
        <f>Table1[[#This Row],[Enrolment S.Y. 2025-2026 ]]*8</f>
        <v>15296</v>
      </c>
      <c r="W9" s="10"/>
      <c r="X9" s="8"/>
      <c r="Y9" s="10"/>
      <c r="Z9" s="10">
        <f t="shared" si="6"/>
        <v>15296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1912</v>
      </c>
      <c r="D10" s="10">
        <f>Table1[[#This Row],[Enrolment S.Y. 2025-2026 ]]*8</f>
        <v>15296</v>
      </c>
      <c r="E10" s="10">
        <v>4868</v>
      </c>
      <c r="F10" s="8">
        <v>2024</v>
      </c>
      <c r="G10" s="10" t="s">
        <v>9</v>
      </c>
      <c r="H10" s="10">
        <f t="shared" si="0"/>
        <v>10428</v>
      </c>
      <c r="I10" s="10">
        <f t="shared" si="1"/>
        <v>0</v>
      </c>
      <c r="J10" s="10">
        <f>Table1[[#This Row],[Enrolment S.Y. 2025-2026 ]]*8</f>
        <v>15296</v>
      </c>
      <c r="K10" s="10"/>
      <c r="L10" s="8"/>
      <c r="M10" s="10"/>
      <c r="N10" s="10">
        <f t="shared" ref="N10:N90" si="8">IF((J10-K10)&lt;0,0,(J10-K10))</f>
        <v>15296</v>
      </c>
      <c r="O10" s="10">
        <f t="shared" ref="O10:O90" si="9">IF((K10-J10)&lt;0,0,(K10-J10))</f>
        <v>0</v>
      </c>
      <c r="P10" s="10">
        <f>Table1[[#This Row],[Enrolment S.Y. 2025-2026 ]]*8</f>
        <v>15296</v>
      </c>
      <c r="Q10" s="10"/>
      <c r="R10" s="8"/>
      <c r="S10" s="10"/>
      <c r="T10" s="10">
        <f t="shared" ref="T10:T103" si="10">IF((P10-Q10)&lt;0,0,(P10-Q10))</f>
        <v>15296</v>
      </c>
      <c r="U10" s="10">
        <f t="shared" ref="U10:U103" si="11">IF((Q10-P10)&lt;0,0,(Q10-P10))</f>
        <v>0</v>
      </c>
      <c r="V10" s="10">
        <f>Table1[[#This Row],[Enrolment S.Y. 2025-2026 ]]*8</f>
        <v>15296</v>
      </c>
      <c r="W10" s="10"/>
      <c r="X10" s="8"/>
      <c r="Y10" s="10"/>
      <c r="Z10" s="10">
        <f t="shared" ref="Z10:Z103" si="12">IF((V10-W10)&lt;0,0,(V10-W10))</f>
        <v>15296</v>
      </c>
      <c r="AA10" s="10">
        <f t="shared" ref="AA10:AA103" si="13">IF((W10-V10)&lt;0,0,(W10-V10))</f>
        <v>0</v>
      </c>
    </row>
    <row r="11" spans="1:27" ht="19.5">
      <c r="A11" s="8">
        <v>7</v>
      </c>
      <c r="B11" s="9" t="s">
        <v>17</v>
      </c>
      <c r="C11" s="8">
        <v>1912</v>
      </c>
      <c r="D11" s="10">
        <f>Table1[[#This Row],[Enrolment S.Y. 2025-2026 ]]*8</f>
        <v>15296</v>
      </c>
      <c r="E11" s="10">
        <v>3651</v>
      </c>
      <c r="F11" s="8">
        <v>2024</v>
      </c>
      <c r="G11" s="10" t="s">
        <v>9</v>
      </c>
      <c r="H11" s="10">
        <f t="shared" si="0"/>
        <v>11645</v>
      </c>
      <c r="I11" s="10">
        <f t="shared" si="1"/>
        <v>0</v>
      </c>
      <c r="J11" s="10">
        <f>Table1[[#This Row],[Enrolment S.Y. 2025-2026 ]]*8</f>
        <v>15296</v>
      </c>
      <c r="K11" s="10"/>
      <c r="L11" s="8"/>
      <c r="M11" s="10"/>
      <c r="N11" s="10">
        <f t="shared" si="8"/>
        <v>15296</v>
      </c>
      <c r="O11" s="10">
        <f t="shared" si="9"/>
        <v>0</v>
      </c>
      <c r="P11" s="10">
        <f>Table1[[#This Row],[Enrolment S.Y. 2025-2026 ]]*8</f>
        <v>15296</v>
      </c>
      <c r="Q11" s="10"/>
      <c r="R11" s="8"/>
      <c r="S11" s="10"/>
      <c r="T11" s="10">
        <f t="shared" si="10"/>
        <v>15296</v>
      </c>
      <c r="U11" s="10">
        <f t="shared" si="11"/>
        <v>0</v>
      </c>
      <c r="V11" s="10">
        <f>Table1[[#This Row],[Enrolment S.Y. 2025-2026 ]]*8</f>
        <v>15296</v>
      </c>
      <c r="W11" s="10"/>
      <c r="X11" s="8"/>
      <c r="Y11" s="10"/>
      <c r="Z11" s="10">
        <f t="shared" si="12"/>
        <v>15296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1970</v>
      </c>
      <c r="D13" s="10">
        <f>Table1[[#This Row],[Enrolment S.Y. 2025-2026 ]]*8</f>
        <v>15760</v>
      </c>
      <c r="E13" s="10"/>
      <c r="F13" s="8"/>
      <c r="G13" s="10"/>
      <c r="H13" s="10">
        <f t="shared" si="0"/>
        <v>15760</v>
      </c>
      <c r="I13" s="10">
        <f t="shared" si="1"/>
        <v>0</v>
      </c>
      <c r="J13" s="10">
        <f>Table1[[#This Row],[Enrolment S.Y. 2025-2026 ]]*8</f>
        <v>15760</v>
      </c>
      <c r="K13" s="10"/>
      <c r="L13" s="8"/>
      <c r="M13" s="10"/>
      <c r="N13" s="10">
        <f t="shared" si="8"/>
        <v>15760</v>
      </c>
      <c r="O13" s="10">
        <f t="shared" si="9"/>
        <v>0</v>
      </c>
      <c r="P13" s="10">
        <f>Table1[[#This Row],[Enrolment S.Y. 2025-2026 ]]*8</f>
        <v>15760</v>
      </c>
      <c r="Q13" s="10"/>
      <c r="R13" s="8"/>
      <c r="S13" s="10"/>
      <c r="T13" s="10">
        <f t="shared" si="10"/>
        <v>15760</v>
      </c>
      <c r="U13" s="10">
        <f t="shared" si="11"/>
        <v>0</v>
      </c>
      <c r="V13" s="10">
        <f>Table1[[#This Row],[Enrolment S.Y. 2025-2026 ]]*8</f>
        <v>15760</v>
      </c>
      <c r="W13" s="10"/>
      <c r="X13" s="8"/>
      <c r="Y13" s="10"/>
      <c r="Z13" s="10">
        <f t="shared" si="12"/>
        <v>15760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1970</v>
      </c>
      <c r="D14" s="10">
        <f>Table1[[#This Row],[Enrolment S.Y. 2025-2026 ]]*8</f>
        <v>15760</v>
      </c>
      <c r="E14" s="10"/>
      <c r="F14" s="8"/>
      <c r="G14" s="10"/>
      <c r="H14" s="10">
        <f t="shared" si="0"/>
        <v>15760</v>
      </c>
      <c r="I14" s="10">
        <f t="shared" si="1"/>
        <v>0</v>
      </c>
      <c r="J14" s="10">
        <f>Table1[[#This Row],[Enrolment S.Y. 2025-2026 ]]*8</f>
        <v>15760</v>
      </c>
      <c r="K14" s="10"/>
      <c r="L14" s="8"/>
      <c r="M14" s="10"/>
      <c r="N14" s="10">
        <f t="shared" si="8"/>
        <v>15760</v>
      </c>
      <c r="O14" s="10">
        <f t="shared" si="9"/>
        <v>0</v>
      </c>
      <c r="P14" s="10">
        <f>Table1[[#This Row],[Enrolment S.Y. 2025-2026 ]]*8</f>
        <v>15760</v>
      </c>
      <c r="Q14" s="10"/>
      <c r="R14" s="8"/>
      <c r="S14" s="10"/>
      <c r="T14" s="10">
        <f t="shared" si="10"/>
        <v>15760</v>
      </c>
      <c r="U14" s="10">
        <f t="shared" si="11"/>
        <v>0</v>
      </c>
      <c r="V14" s="10">
        <f>Table1[[#This Row],[Enrolment S.Y. 2025-2026 ]]*8</f>
        <v>15760</v>
      </c>
      <c r="W14" s="10"/>
      <c r="X14" s="8"/>
      <c r="Y14" s="10"/>
      <c r="Z14" s="10">
        <f t="shared" si="12"/>
        <v>15760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1970</v>
      </c>
      <c r="D15" s="10">
        <f>Table1[[#This Row],[Enrolment S.Y. 2025-2026 ]]*8</f>
        <v>15760</v>
      </c>
      <c r="E15" s="10"/>
      <c r="F15" s="8"/>
      <c r="G15" s="10"/>
      <c r="H15" s="10">
        <f t="shared" si="0"/>
        <v>15760</v>
      </c>
      <c r="I15" s="10">
        <f t="shared" si="1"/>
        <v>0</v>
      </c>
      <c r="J15" s="10">
        <f>Table1[[#This Row],[Enrolment S.Y. 2025-2026 ]]*8</f>
        <v>15760</v>
      </c>
      <c r="K15" s="10"/>
      <c r="L15" s="8"/>
      <c r="M15" s="10"/>
      <c r="N15" s="10">
        <f t="shared" si="8"/>
        <v>15760</v>
      </c>
      <c r="O15" s="10">
        <f t="shared" si="9"/>
        <v>0</v>
      </c>
      <c r="P15" s="10">
        <f>Table1[[#This Row],[Enrolment S.Y. 2025-2026 ]]*8</f>
        <v>15760</v>
      </c>
      <c r="Q15" s="10"/>
      <c r="R15" s="8"/>
      <c r="S15" s="10"/>
      <c r="T15" s="10">
        <f t="shared" si="10"/>
        <v>15760</v>
      </c>
      <c r="U15" s="10">
        <f t="shared" si="11"/>
        <v>0</v>
      </c>
      <c r="V15" s="10">
        <f>Table1[[#This Row],[Enrolment S.Y. 2025-2026 ]]*8</f>
        <v>15760</v>
      </c>
      <c r="W15" s="10"/>
      <c r="X15" s="8"/>
      <c r="Y15" s="10"/>
      <c r="Z15" s="10">
        <f t="shared" si="12"/>
        <v>15760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1970</v>
      </c>
      <c r="D16" s="10">
        <f>Table1[[#This Row],[Enrolment S.Y. 2025-2026 ]]*8</f>
        <v>15760</v>
      </c>
      <c r="E16" s="10"/>
      <c r="F16" s="8"/>
      <c r="G16" s="10"/>
      <c r="H16" s="10">
        <f t="shared" si="0"/>
        <v>15760</v>
      </c>
      <c r="I16" s="10">
        <f t="shared" si="1"/>
        <v>0</v>
      </c>
      <c r="J16" s="10">
        <f>Table1[[#This Row],[Enrolment S.Y. 2025-2026 ]]*8</f>
        <v>15760</v>
      </c>
      <c r="K16" s="10"/>
      <c r="L16" s="8"/>
      <c r="M16" s="10"/>
      <c r="N16" s="10">
        <f t="shared" si="8"/>
        <v>15760</v>
      </c>
      <c r="O16" s="10">
        <f t="shared" si="9"/>
        <v>0</v>
      </c>
      <c r="P16" s="10">
        <f>Table1[[#This Row],[Enrolment S.Y. 2025-2026 ]]*8</f>
        <v>15760</v>
      </c>
      <c r="Q16" s="10"/>
      <c r="R16" s="8"/>
      <c r="S16" s="10"/>
      <c r="T16" s="10">
        <f t="shared" si="10"/>
        <v>15760</v>
      </c>
      <c r="U16" s="10">
        <f t="shared" si="11"/>
        <v>0</v>
      </c>
      <c r="V16" s="10">
        <f>Table1[[#This Row],[Enrolment S.Y. 2025-2026 ]]*8</f>
        <v>15760</v>
      </c>
      <c r="W16" s="10"/>
      <c r="X16" s="8"/>
      <c r="Y16" s="10"/>
      <c r="Z16" s="10">
        <f t="shared" si="12"/>
        <v>15760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1970</v>
      </c>
      <c r="D17" s="10">
        <f>Table1[[#This Row],[Enrolment S.Y. 2025-2026 ]]*8</f>
        <v>15760</v>
      </c>
      <c r="E17" s="10"/>
      <c r="F17" s="8"/>
      <c r="G17" s="10"/>
      <c r="H17" s="10">
        <f t="shared" si="0"/>
        <v>15760</v>
      </c>
      <c r="I17" s="10">
        <f t="shared" si="1"/>
        <v>0</v>
      </c>
      <c r="J17" s="10">
        <f>Table1[[#This Row],[Enrolment S.Y. 2025-2026 ]]*8</f>
        <v>15760</v>
      </c>
      <c r="K17" s="10"/>
      <c r="L17" s="8"/>
      <c r="M17" s="10"/>
      <c r="N17" s="10">
        <f t="shared" si="8"/>
        <v>15760</v>
      </c>
      <c r="O17" s="10">
        <f t="shared" si="9"/>
        <v>0</v>
      </c>
      <c r="P17" s="10">
        <f>Table1[[#This Row],[Enrolment S.Y. 2025-2026 ]]*8</f>
        <v>15760</v>
      </c>
      <c r="Q17" s="10"/>
      <c r="R17" s="8"/>
      <c r="S17" s="10"/>
      <c r="T17" s="10">
        <f t="shared" si="10"/>
        <v>15760</v>
      </c>
      <c r="U17" s="10">
        <f t="shared" si="11"/>
        <v>0</v>
      </c>
      <c r="V17" s="10">
        <f>Table1[[#This Row],[Enrolment S.Y. 2025-2026 ]]*8</f>
        <v>15760</v>
      </c>
      <c r="W17" s="10"/>
      <c r="X17" s="8"/>
      <c r="Y17" s="10"/>
      <c r="Z17" s="10">
        <f t="shared" si="12"/>
        <v>15760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1970</v>
      </c>
      <c r="D18" s="10">
        <f>Table1[[#This Row],[Enrolment S.Y. 2025-2026 ]]*8</f>
        <v>15760</v>
      </c>
      <c r="E18" s="10"/>
      <c r="F18" s="8"/>
      <c r="G18" s="10"/>
      <c r="H18" s="10">
        <f t="shared" ref="H18:H103" si="14">IF((D18-E18)&lt;0,0,(D18-E18))</f>
        <v>15760</v>
      </c>
      <c r="I18" s="10">
        <f t="shared" ref="I18:I103" si="15">IF((E18-D18)&lt;0,0,(E18-D18))</f>
        <v>0</v>
      </c>
      <c r="J18" s="10">
        <f>Table1[[#This Row],[Enrolment S.Y. 2025-2026 ]]*8</f>
        <v>15760</v>
      </c>
      <c r="K18" s="10"/>
      <c r="L18" s="8"/>
      <c r="M18" s="10"/>
      <c r="N18" s="10">
        <f t="shared" si="8"/>
        <v>15760</v>
      </c>
      <c r="O18" s="10">
        <f t="shared" si="9"/>
        <v>0</v>
      </c>
      <c r="P18" s="10">
        <f>Table1[[#This Row],[Enrolment S.Y. 2025-2026 ]]*8</f>
        <v>15760</v>
      </c>
      <c r="Q18" s="10"/>
      <c r="R18" s="8"/>
      <c r="S18" s="10"/>
      <c r="T18" s="10">
        <f t="shared" si="10"/>
        <v>15760</v>
      </c>
      <c r="U18" s="10">
        <f t="shared" si="11"/>
        <v>0</v>
      </c>
      <c r="V18" s="10">
        <f>Table1[[#This Row],[Enrolment S.Y. 2025-2026 ]]*8</f>
        <v>15760</v>
      </c>
      <c r="W18" s="10"/>
      <c r="X18" s="8"/>
      <c r="Y18" s="10"/>
      <c r="Z18" s="10">
        <f t="shared" si="12"/>
        <v>15760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1970</v>
      </c>
      <c r="D19" s="10">
        <f>Table1[[#This Row],[Enrolment S.Y. 2025-2026 ]]*8</f>
        <v>15760</v>
      </c>
      <c r="E19" s="10"/>
      <c r="F19" s="8"/>
      <c r="G19" s="10"/>
      <c r="H19" s="10">
        <f t="shared" si="14"/>
        <v>15760</v>
      </c>
      <c r="I19" s="10">
        <f t="shared" si="15"/>
        <v>0</v>
      </c>
      <c r="J19" s="10">
        <f>Table1[[#This Row],[Enrolment S.Y. 2025-2026 ]]*8</f>
        <v>15760</v>
      </c>
      <c r="K19" s="10"/>
      <c r="L19" s="8"/>
      <c r="M19" s="10"/>
      <c r="N19" s="10">
        <f t="shared" si="8"/>
        <v>15760</v>
      </c>
      <c r="O19" s="10">
        <f t="shared" si="9"/>
        <v>0</v>
      </c>
      <c r="P19" s="10">
        <f>Table1[[#This Row],[Enrolment S.Y. 2025-2026 ]]*8</f>
        <v>15760</v>
      </c>
      <c r="Q19" s="10"/>
      <c r="R19" s="8"/>
      <c r="S19" s="10"/>
      <c r="T19" s="10">
        <f t="shared" si="10"/>
        <v>15760</v>
      </c>
      <c r="U19" s="10">
        <f t="shared" si="11"/>
        <v>0</v>
      </c>
      <c r="V19" s="10">
        <f>Table1[[#This Row],[Enrolment S.Y. 2025-2026 ]]*8</f>
        <v>15760</v>
      </c>
      <c r="W19" s="10"/>
      <c r="X19" s="8"/>
      <c r="Y19" s="10"/>
      <c r="Z19" s="10">
        <f t="shared" si="12"/>
        <v>15760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1970</v>
      </c>
      <c r="D20" s="10">
        <f>Table1[[#This Row],[Enrolment S.Y. 2025-2026 ]]*8</f>
        <v>15760</v>
      </c>
      <c r="E20" s="10"/>
      <c r="F20" s="8"/>
      <c r="G20" s="10"/>
      <c r="H20" s="10">
        <f t="shared" si="14"/>
        <v>15760</v>
      </c>
      <c r="I20" s="10">
        <f t="shared" si="15"/>
        <v>0</v>
      </c>
      <c r="J20" s="10">
        <f>Table1[[#This Row],[Enrolment S.Y. 2025-2026 ]]*8</f>
        <v>15760</v>
      </c>
      <c r="K20" s="10"/>
      <c r="L20" s="8"/>
      <c r="M20" s="10"/>
      <c r="N20" s="10">
        <f t="shared" si="8"/>
        <v>15760</v>
      </c>
      <c r="O20" s="10">
        <f t="shared" si="9"/>
        <v>0</v>
      </c>
      <c r="P20" s="10">
        <f>Table1[[#This Row],[Enrolment S.Y. 2025-2026 ]]*8</f>
        <v>15760</v>
      </c>
      <c r="Q20" s="10"/>
      <c r="R20" s="8"/>
      <c r="S20" s="10"/>
      <c r="T20" s="10">
        <f t="shared" si="10"/>
        <v>15760</v>
      </c>
      <c r="U20" s="10">
        <f t="shared" si="11"/>
        <v>0</v>
      </c>
      <c r="V20" s="10">
        <f>Table1[[#This Row],[Enrolment S.Y. 2025-2026 ]]*8</f>
        <v>15760</v>
      </c>
      <c r="W20" s="10"/>
      <c r="X20" s="8"/>
      <c r="Y20" s="10"/>
      <c r="Z20" s="10">
        <f t="shared" si="12"/>
        <v>15760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1970</v>
      </c>
      <c r="D21" s="10">
        <f>Table1[[#This Row],[Enrolment S.Y. 2025-2026 ]]*8</f>
        <v>15760</v>
      </c>
      <c r="E21" s="10"/>
      <c r="F21" s="8"/>
      <c r="G21" s="10"/>
      <c r="H21" s="10">
        <f t="shared" si="14"/>
        <v>15760</v>
      </c>
      <c r="I21" s="10">
        <f t="shared" si="15"/>
        <v>0</v>
      </c>
      <c r="J21" s="10">
        <f>Table1[[#This Row],[Enrolment S.Y. 2025-2026 ]]*8</f>
        <v>15760</v>
      </c>
      <c r="K21" s="10"/>
      <c r="L21" s="8"/>
      <c r="M21" s="10"/>
      <c r="N21" s="10">
        <f t="shared" si="8"/>
        <v>15760</v>
      </c>
      <c r="O21" s="10">
        <f t="shared" si="9"/>
        <v>0</v>
      </c>
      <c r="P21" s="10">
        <f>Table1[[#This Row],[Enrolment S.Y. 2025-2026 ]]*8</f>
        <v>15760</v>
      </c>
      <c r="Q21" s="10"/>
      <c r="R21" s="8"/>
      <c r="S21" s="10"/>
      <c r="T21" s="10">
        <f t="shared" si="10"/>
        <v>15760</v>
      </c>
      <c r="U21" s="10">
        <f t="shared" si="11"/>
        <v>0</v>
      </c>
      <c r="V21" s="10">
        <f>Table1[[#This Row],[Enrolment S.Y. 2025-2026 ]]*8</f>
        <v>15760</v>
      </c>
      <c r="W21" s="10"/>
      <c r="X21" s="8"/>
      <c r="Y21" s="10"/>
      <c r="Z21" s="10">
        <f t="shared" si="12"/>
        <v>15760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1599</v>
      </c>
      <c r="D23" s="10">
        <f>Table1[[#This Row],[Enrolment S.Y. 2025-2026 ]]*8</f>
        <v>12792</v>
      </c>
      <c r="E23" s="10"/>
      <c r="F23" s="8"/>
      <c r="G23" s="10"/>
      <c r="H23" s="10">
        <f t="shared" si="14"/>
        <v>12792</v>
      </c>
      <c r="I23" s="10">
        <f t="shared" si="15"/>
        <v>0</v>
      </c>
      <c r="J23" s="10">
        <f>Table1[[#This Row],[Enrolment S.Y. 2025-2026 ]]*8</f>
        <v>12792</v>
      </c>
      <c r="K23" s="10"/>
      <c r="L23" s="8"/>
      <c r="M23" s="10"/>
      <c r="N23" s="10">
        <f t="shared" si="8"/>
        <v>12792</v>
      </c>
      <c r="O23" s="10">
        <f t="shared" si="9"/>
        <v>0</v>
      </c>
      <c r="P23" s="10">
        <f>Table1[[#This Row],[Enrolment S.Y. 2025-2026 ]]*8</f>
        <v>12792</v>
      </c>
      <c r="Q23" s="10"/>
      <c r="R23" s="8"/>
      <c r="S23" s="10"/>
      <c r="T23" s="10">
        <f t="shared" si="10"/>
        <v>12792</v>
      </c>
      <c r="U23" s="10">
        <f t="shared" si="11"/>
        <v>0</v>
      </c>
      <c r="V23" s="10">
        <f>Table1[[#This Row],[Enrolment S.Y. 2025-2026 ]]*8</f>
        <v>12792</v>
      </c>
      <c r="W23" s="10"/>
      <c r="X23" s="8"/>
      <c r="Y23" s="10"/>
      <c r="Z23" s="10">
        <f t="shared" si="12"/>
        <v>12792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1599</v>
      </c>
      <c r="D24" s="10">
        <f>Table1[[#This Row],[Enrolment S.Y. 2025-2026 ]]*8</f>
        <v>12792</v>
      </c>
      <c r="E24" s="10"/>
      <c r="F24" s="8"/>
      <c r="G24" s="10"/>
      <c r="H24" s="10">
        <f t="shared" si="14"/>
        <v>12792</v>
      </c>
      <c r="I24" s="10">
        <f t="shared" si="15"/>
        <v>0</v>
      </c>
      <c r="J24" s="10">
        <f>Table1[[#This Row],[Enrolment S.Y. 2025-2026 ]]*8</f>
        <v>12792</v>
      </c>
      <c r="K24" s="10"/>
      <c r="L24" s="8"/>
      <c r="M24" s="10"/>
      <c r="N24" s="10">
        <f t="shared" si="8"/>
        <v>12792</v>
      </c>
      <c r="O24" s="10">
        <f t="shared" si="9"/>
        <v>0</v>
      </c>
      <c r="P24" s="10">
        <f>Table1[[#This Row],[Enrolment S.Y. 2025-2026 ]]*8</f>
        <v>12792</v>
      </c>
      <c r="Q24" s="10"/>
      <c r="R24" s="8"/>
      <c r="S24" s="10"/>
      <c r="T24" s="10">
        <f t="shared" si="10"/>
        <v>12792</v>
      </c>
      <c r="U24" s="10">
        <f t="shared" si="11"/>
        <v>0</v>
      </c>
      <c r="V24" s="10">
        <f>Table1[[#This Row],[Enrolment S.Y. 2025-2026 ]]*8</f>
        <v>12792</v>
      </c>
      <c r="W24" s="10"/>
      <c r="X24" s="8"/>
      <c r="Y24" s="10"/>
      <c r="Z24" s="10">
        <f t="shared" si="12"/>
        <v>12792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1599</v>
      </c>
      <c r="D25" s="10">
        <f>Table1[[#This Row],[Enrolment S.Y. 2025-2026 ]]*8</f>
        <v>12792</v>
      </c>
      <c r="E25" s="10"/>
      <c r="F25" s="8"/>
      <c r="G25" s="10"/>
      <c r="H25" s="10">
        <f t="shared" si="14"/>
        <v>12792</v>
      </c>
      <c r="I25" s="10">
        <f t="shared" si="15"/>
        <v>0</v>
      </c>
      <c r="J25" s="10">
        <f>Table1[[#This Row],[Enrolment S.Y. 2025-2026 ]]*8</f>
        <v>12792</v>
      </c>
      <c r="K25" s="10"/>
      <c r="L25" s="8"/>
      <c r="M25" s="10"/>
      <c r="N25" s="10">
        <f t="shared" si="8"/>
        <v>12792</v>
      </c>
      <c r="O25" s="10">
        <f t="shared" si="9"/>
        <v>0</v>
      </c>
      <c r="P25" s="10">
        <f>Table1[[#This Row],[Enrolment S.Y. 2025-2026 ]]*8</f>
        <v>12792</v>
      </c>
      <c r="Q25" s="10"/>
      <c r="R25" s="8"/>
      <c r="S25" s="10"/>
      <c r="T25" s="10">
        <f t="shared" si="10"/>
        <v>12792</v>
      </c>
      <c r="U25" s="10">
        <f t="shared" si="11"/>
        <v>0</v>
      </c>
      <c r="V25" s="10">
        <f>Table1[[#This Row],[Enrolment S.Y. 2025-2026 ]]*8</f>
        <v>12792</v>
      </c>
      <c r="W25" s="10"/>
      <c r="X25" s="8"/>
      <c r="Y25" s="10"/>
      <c r="Z25" s="10">
        <f t="shared" si="12"/>
        <v>12792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1599</v>
      </c>
      <c r="D26" s="10">
        <f>Table1[[#This Row],[Enrolment S.Y. 2025-2026 ]]*8</f>
        <v>12792</v>
      </c>
      <c r="E26" s="10"/>
      <c r="F26" s="8"/>
      <c r="G26" s="10"/>
      <c r="H26" s="10">
        <f t="shared" si="14"/>
        <v>12792</v>
      </c>
      <c r="I26" s="10">
        <f t="shared" si="15"/>
        <v>0</v>
      </c>
      <c r="J26" s="10">
        <f>Table1[[#This Row],[Enrolment S.Y. 2025-2026 ]]*8</f>
        <v>12792</v>
      </c>
      <c r="K26" s="10"/>
      <c r="L26" s="8"/>
      <c r="M26" s="10"/>
      <c r="N26" s="10">
        <f t="shared" si="8"/>
        <v>12792</v>
      </c>
      <c r="O26" s="10">
        <f t="shared" si="9"/>
        <v>0</v>
      </c>
      <c r="P26" s="10">
        <f>Table1[[#This Row],[Enrolment S.Y. 2025-2026 ]]*8</f>
        <v>12792</v>
      </c>
      <c r="Q26" s="10"/>
      <c r="R26" s="8"/>
      <c r="S26" s="10"/>
      <c r="T26" s="10">
        <f t="shared" si="10"/>
        <v>12792</v>
      </c>
      <c r="U26" s="10">
        <f t="shared" si="11"/>
        <v>0</v>
      </c>
      <c r="V26" s="10">
        <f>Table1[[#This Row],[Enrolment S.Y. 2025-2026 ]]*8</f>
        <v>12792</v>
      </c>
      <c r="W26" s="10"/>
      <c r="X26" s="8"/>
      <c r="Y26" s="10"/>
      <c r="Z26" s="10">
        <f t="shared" si="12"/>
        <v>12792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1599</v>
      </c>
      <c r="D27" s="10">
        <f>Table1[[#This Row],[Enrolment S.Y. 2025-2026 ]]*8</f>
        <v>12792</v>
      </c>
      <c r="E27" s="10"/>
      <c r="F27" s="8"/>
      <c r="G27" s="10"/>
      <c r="H27" s="10">
        <f t="shared" si="14"/>
        <v>12792</v>
      </c>
      <c r="I27" s="10">
        <f t="shared" si="15"/>
        <v>0</v>
      </c>
      <c r="J27" s="10">
        <f>Table1[[#This Row],[Enrolment S.Y. 2025-2026 ]]*8</f>
        <v>12792</v>
      </c>
      <c r="K27" s="10"/>
      <c r="L27" s="8"/>
      <c r="M27" s="10"/>
      <c r="N27" s="10">
        <f t="shared" si="8"/>
        <v>12792</v>
      </c>
      <c r="O27" s="10">
        <f t="shared" si="9"/>
        <v>0</v>
      </c>
      <c r="P27" s="10">
        <f>Table1[[#This Row],[Enrolment S.Y. 2025-2026 ]]*8</f>
        <v>12792</v>
      </c>
      <c r="Q27" s="10"/>
      <c r="R27" s="8"/>
      <c r="S27" s="10"/>
      <c r="T27" s="10">
        <f t="shared" si="10"/>
        <v>12792</v>
      </c>
      <c r="U27" s="10">
        <f t="shared" si="11"/>
        <v>0</v>
      </c>
      <c r="V27" s="10">
        <f>Table1[[#This Row],[Enrolment S.Y. 2025-2026 ]]*8</f>
        <v>12792</v>
      </c>
      <c r="W27" s="10"/>
      <c r="X27" s="8"/>
      <c r="Y27" s="10"/>
      <c r="Z27" s="10">
        <f t="shared" si="12"/>
        <v>12792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1599</v>
      </c>
      <c r="D28" s="10">
        <f>Table1[[#This Row],[Enrolment S.Y. 2025-2026 ]]*8</f>
        <v>12792</v>
      </c>
      <c r="E28" s="10"/>
      <c r="F28" s="8"/>
      <c r="G28" s="10"/>
      <c r="H28" s="10">
        <f t="shared" si="14"/>
        <v>12792</v>
      </c>
      <c r="I28" s="10">
        <f t="shared" si="15"/>
        <v>0</v>
      </c>
      <c r="J28" s="10">
        <f>Table1[[#This Row],[Enrolment S.Y. 2025-2026 ]]*8</f>
        <v>12792</v>
      </c>
      <c r="K28" s="10"/>
      <c r="L28" s="8"/>
      <c r="M28" s="10"/>
      <c r="N28" s="10">
        <f t="shared" si="8"/>
        <v>12792</v>
      </c>
      <c r="O28" s="10">
        <f t="shared" si="9"/>
        <v>0</v>
      </c>
      <c r="P28" s="10">
        <f>Table1[[#This Row],[Enrolment S.Y. 2025-2026 ]]*8</f>
        <v>12792</v>
      </c>
      <c r="Q28" s="10"/>
      <c r="R28" s="8"/>
      <c r="S28" s="10"/>
      <c r="T28" s="10">
        <f t="shared" si="10"/>
        <v>12792</v>
      </c>
      <c r="U28" s="10">
        <f t="shared" si="11"/>
        <v>0</v>
      </c>
      <c r="V28" s="10">
        <f>Table1[[#This Row],[Enrolment S.Y. 2025-2026 ]]*8</f>
        <v>12792</v>
      </c>
      <c r="W28" s="10"/>
      <c r="X28" s="8"/>
      <c r="Y28" s="10"/>
      <c r="Z28" s="10">
        <f t="shared" si="12"/>
        <v>12792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1599</v>
      </c>
      <c r="D29" s="10">
        <f>Table1[[#This Row],[Enrolment S.Y. 2025-2026 ]]*8</f>
        <v>12792</v>
      </c>
      <c r="E29" s="10"/>
      <c r="F29" s="8"/>
      <c r="G29" s="10"/>
      <c r="H29" s="10">
        <f t="shared" si="14"/>
        <v>12792</v>
      </c>
      <c r="I29" s="10">
        <f t="shared" si="15"/>
        <v>0</v>
      </c>
      <c r="J29" s="10">
        <f>Table1[[#This Row],[Enrolment S.Y. 2025-2026 ]]*8</f>
        <v>12792</v>
      </c>
      <c r="K29" s="10"/>
      <c r="L29" s="8"/>
      <c r="M29" s="10"/>
      <c r="N29" s="10">
        <f t="shared" si="8"/>
        <v>12792</v>
      </c>
      <c r="O29" s="10">
        <f t="shared" si="9"/>
        <v>0</v>
      </c>
      <c r="P29" s="10">
        <f>Table1[[#This Row],[Enrolment S.Y. 2025-2026 ]]*8</f>
        <v>12792</v>
      </c>
      <c r="Q29" s="10"/>
      <c r="R29" s="8"/>
      <c r="S29" s="10"/>
      <c r="T29" s="10">
        <f t="shared" si="10"/>
        <v>12792</v>
      </c>
      <c r="U29" s="10">
        <f t="shared" si="11"/>
        <v>0</v>
      </c>
      <c r="V29" s="10">
        <f>Table1[[#This Row],[Enrolment S.Y. 2025-2026 ]]*8</f>
        <v>12792</v>
      </c>
      <c r="W29" s="10"/>
      <c r="X29" s="8"/>
      <c r="Y29" s="10"/>
      <c r="Z29" s="10">
        <f t="shared" si="12"/>
        <v>12792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1599</v>
      </c>
      <c r="D30" s="10">
        <f>Table1[[#This Row],[Enrolment S.Y. 2025-2026 ]]*8</f>
        <v>12792</v>
      </c>
      <c r="E30" s="10"/>
      <c r="F30" s="8"/>
      <c r="G30" s="10"/>
      <c r="H30" s="10">
        <f t="shared" si="14"/>
        <v>12792</v>
      </c>
      <c r="I30" s="10">
        <f t="shared" si="15"/>
        <v>0</v>
      </c>
      <c r="J30" s="10">
        <f>Table1[[#This Row],[Enrolment S.Y. 2025-2026 ]]*8</f>
        <v>12792</v>
      </c>
      <c r="K30" s="10"/>
      <c r="L30" s="8"/>
      <c r="M30" s="10"/>
      <c r="N30" s="10">
        <f t="shared" si="8"/>
        <v>12792</v>
      </c>
      <c r="O30" s="10">
        <f t="shared" si="9"/>
        <v>0</v>
      </c>
      <c r="P30" s="10">
        <f>Table1[[#This Row],[Enrolment S.Y. 2025-2026 ]]*8</f>
        <v>12792</v>
      </c>
      <c r="Q30" s="10"/>
      <c r="R30" s="8"/>
      <c r="S30" s="10"/>
      <c r="T30" s="10">
        <f t="shared" si="10"/>
        <v>12792</v>
      </c>
      <c r="U30" s="10">
        <f t="shared" si="11"/>
        <v>0</v>
      </c>
      <c r="V30" s="10">
        <f>Table1[[#This Row],[Enrolment S.Y. 2025-2026 ]]*8</f>
        <v>12792</v>
      </c>
      <c r="W30" s="10"/>
      <c r="X30" s="8"/>
      <c r="Y30" s="10"/>
      <c r="Z30" s="10">
        <f t="shared" si="12"/>
        <v>12792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1599</v>
      </c>
      <c r="D31" s="10">
        <f>Table1[[#This Row],[Enrolment S.Y. 2025-2026 ]]*8</f>
        <v>12792</v>
      </c>
      <c r="E31" s="10"/>
      <c r="F31" s="8"/>
      <c r="G31" s="10"/>
      <c r="H31" s="10">
        <f t="shared" si="14"/>
        <v>12792</v>
      </c>
      <c r="I31" s="10">
        <f t="shared" si="15"/>
        <v>0</v>
      </c>
      <c r="J31" s="10">
        <f>Table1[[#This Row],[Enrolment S.Y. 2025-2026 ]]*8</f>
        <v>12792</v>
      </c>
      <c r="K31" s="10"/>
      <c r="L31" s="8"/>
      <c r="M31" s="10"/>
      <c r="N31" s="10">
        <f t="shared" si="8"/>
        <v>12792</v>
      </c>
      <c r="O31" s="10">
        <f t="shared" si="9"/>
        <v>0</v>
      </c>
      <c r="P31" s="10">
        <f>Table1[[#This Row],[Enrolment S.Y. 2025-2026 ]]*8</f>
        <v>12792</v>
      </c>
      <c r="Q31" s="10"/>
      <c r="R31" s="8"/>
      <c r="S31" s="10"/>
      <c r="T31" s="10">
        <f t="shared" si="10"/>
        <v>12792</v>
      </c>
      <c r="U31" s="10">
        <f t="shared" si="11"/>
        <v>0</v>
      </c>
      <c r="V31" s="10">
        <f>Table1[[#This Row],[Enrolment S.Y. 2025-2026 ]]*8</f>
        <v>12792</v>
      </c>
      <c r="W31" s="10"/>
      <c r="X31" s="8"/>
      <c r="Y31" s="10"/>
      <c r="Z31" s="10">
        <f t="shared" si="12"/>
        <v>12792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1633</v>
      </c>
      <c r="D33" s="10">
        <f>Table1[[#This Row],[Enrolment S.Y. 2025-2026 ]]*8</f>
        <v>13064</v>
      </c>
      <c r="E33" s="10"/>
      <c r="F33" s="8"/>
      <c r="G33" s="10"/>
      <c r="H33" s="10">
        <f>IF((D33-E33)&lt;0,0,(D33-E33))</f>
        <v>13064</v>
      </c>
      <c r="I33" s="10">
        <f>IF((E33-D33)&lt;0,0,(E33-D33))</f>
        <v>0</v>
      </c>
      <c r="J33" s="10">
        <f>Table1[[#This Row],[Enrolment S.Y. 2025-2026 ]]*8</f>
        <v>13064</v>
      </c>
      <c r="K33" s="10"/>
      <c r="L33" s="8"/>
      <c r="M33" s="10"/>
      <c r="N33" s="10">
        <f>IF((J33-K33)&lt;0,0,(J33-K33))</f>
        <v>13064</v>
      </c>
      <c r="O33" s="10">
        <f>IF((K33-J33)&lt;0,0,(K33-J33))</f>
        <v>0</v>
      </c>
      <c r="P33" s="10">
        <f>Table1[[#This Row],[Enrolment S.Y. 2025-2026 ]]*8</f>
        <v>13064</v>
      </c>
      <c r="Q33" s="10"/>
      <c r="R33" s="8"/>
      <c r="S33" s="10"/>
      <c r="T33" s="10">
        <f>IF((P33-Q33)&lt;0,0,(P33-Q33))</f>
        <v>13064</v>
      </c>
      <c r="U33" s="10">
        <f>IF((Q33-P33)&lt;0,0,(Q33-P33))</f>
        <v>0</v>
      </c>
      <c r="V33" s="10">
        <f>Table1[[#This Row],[Enrolment S.Y. 2025-2026 ]]*8</f>
        <v>13064</v>
      </c>
      <c r="W33" s="10"/>
      <c r="X33" s="8"/>
      <c r="Y33" s="10"/>
      <c r="Z33" s="10">
        <f>IF((V33-W33)&lt;0,0,(V33-W33))</f>
        <v>13064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1633</v>
      </c>
      <c r="D34" s="10">
        <f>Table1[[#This Row],[Enrolment S.Y. 2025-2026 ]]*8</f>
        <v>13064</v>
      </c>
      <c r="E34" s="10"/>
      <c r="F34" s="8"/>
      <c r="G34" s="10"/>
      <c r="H34" s="10">
        <f>IF((D34-E34)&lt;0,0,(D34-E34))</f>
        <v>13064</v>
      </c>
      <c r="I34" s="10">
        <f>IF((E34-D34)&lt;0,0,(E34-D34))</f>
        <v>0</v>
      </c>
      <c r="J34" s="10">
        <f>Table1[[#This Row],[Enrolment S.Y. 2025-2026 ]]*8</f>
        <v>13064</v>
      </c>
      <c r="K34" s="10"/>
      <c r="L34" s="8"/>
      <c r="M34" s="10"/>
      <c r="N34" s="10">
        <f>IF((J34-K34)&lt;0,0,(J34-K34))</f>
        <v>13064</v>
      </c>
      <c r="O34" s="10">
        <f>IF((K34-J34)&lt;0,0,(K34-J34))</f>
        <v>0</v>
      </c>
      <c r="P34" s="10">
        <f>Table1[[#This Row],[Enrolment S.Y. 2025-2026 ]]*8</f>
        <v>13064</v>
      </c>
      <c r="Q34" s="10"/>
      <c r="R34" s="8"/>
      <c r="S34" s="10"/>
      <c r="T34" s="10">
        <f>IF((P34-Q34)&lt;0,0,(P34-Q34))</f>
        <v>13064</v>
      </c>
      <c r="U34" s="10">
        <f>IF((Q34-P34)&lt;0,0,(Q34-P34))</f>
        <v>0</v>
      </c>
      <c r="V34" s="10">
        <f>Table1[[#This Row],[Enrolment S.Y. 2025-2026 ]]*8</f>
        <v>13064</v>
      </c>
      <c r="W34" s="10"/>
      <c r="X34" s="8"/>
      <c r="Y34" s="10"/>
      <c r="Z34" s="10">
        <f>IF((V34-W34)&lt;0,0,(V34-W34))</f>
        <v>13064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1633</v>
      </c>
      <c r="D35" s="10">
        <f>Table1[[#This Row],[Enrolment S.Y. 2025-2026 ]]*8</f>
        <v>13064</v>
      </c>
      <c r="E35" s="10"/>
      <c r="F35" s="8"/>
      <c r="G35" s="10"/>
      <c r="H35" s="10">
        <f>IF((D35-E35)&lt;0,0,(D35-E35))</f>
        <v>13064</v>
      </c>
      <c r="I35" s="10">
        <f>IF((E35-D35)&lt;0,0,(E35-D35))</f>
        <v>0</v>
      </c>
      <c r="J35" s="10">
        <f>Table1[[#This Row],[Enrolment S.Y. 2025-2026 ]]*8</f>
        <v>13064</v>
      </c>
      <c r="K35" s="10"/>
      <c r="L35" s="8"/>
      <c r="M35" s="10"/>
      <c r="N35" s="10">
        <f>IF((J35-K35)&lt;0,0,(J35-K35))</f>
        <v>13064</v>
      </c>
      <c r="O35" s="10">
        <f>IF((K35-J35)&lt;0,0,(K35-J35))</f>
        <v>0</v>
      </c>
      <c r="P35" s="10">
        <f>Table1[[#This Row],[Enrolment S.Y. 2025-2026 ]]*8</f>
        <v>13064</v>
      </c>
      <c r="Q35" s="10"/>
      <c r="R35" s="8"/>
      <c r="S35" s="10"/>
      <c r="T35" s="10">
        <f>IF((P35-Q35)&lt;0,0,(P35-Q35))</f>
        <v>13064</v>
      </c>
      <c r="U35" s="10">
        <f>IF((Q35-P35)&lt;0,0,(Q35-P35))</f>
        <v>0</v>
      </c>
      <c r="V35" s="10">
        <f>Table1[[#This Row],[Enrolment S.Y. 2025-2026 ]]*8</f>
        <v>13064</v>
      </c>
      <c r="W35" s="10"/>
      <c r="X35" s="8"/>
      <c r="Y35" s="10"/>
      <c r="Z35" s="10">
        <f>IF((V35-W35)&lt;0,0,(V35-W35))</f>
        <v>13064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1633</v>
      </c>
      <c r="D36" s="10">
        <f>Table1[[#This Row],[Enrolment S.Y. 2025-2026 ]]*8</f>
        <v>13064</v>
      </c>
      <c r="E36" s="10"/>
      <c r="F36" s="8"/>
      <c r="G36" s="10"/>
      <c r="H36" s="10">
        <f>IF((D36-E36)&lt;0,0,(D36-E36))</f>
        <v>13064</v>
      </c>
      <c r="I36" s="10">
        <f>IF((E36-D36)&lt;0,0,(E36-D36))</f>
        <v>0</v>
      </c>
      <c r="J36" s="10">
        <f>Table1[[#This Row],[Enrolment S.Y. 2025-2026 ]]*8</f>
        <v>13064</v>
      </c>
      <c r="K36" s="10"/>
      <c r="L36" s="8"/>
      <c r="M36" s="10"/>
      <c r="N36" s="10">
        <f>IF((J36-K36)&lt;0,0,(J36-K36))</f>
        <v>13064</v>
      </c>
      <c r="O36" s="10">
        <f>IF((K36-J36)&lt;0,0,(K36-J36))</f>
        <v>0</v>
      </c>
      <c r="P36" s="10">
        <f>Table1[[#This Row],[Enrolment S.Y. 2025-2026 ]]*8</f>
        <v>13064</v>
      </c>
      <c r="Q36" s="10"/>
      <c r="R36" s="8"/>
      <c r="S36" s="10"/>
      <c r="T36" s="10">
        <f>IF((P36-Q36)&lt;0,0,(P36-Q36))</f>
        <v>13064</v>
      </c>
      <c r="U36" s="10">
        <f>IF((Q36-P36)&lt;0,0,(Q36-P36))</f>
        <v>0</v>
      </c>
      <c r="V36" s="10">
        <f>Table1[[#This Row],[Enrolment S.Y. 2025-2026 ]]*8</f>
        <v>13064</v>
      </c>
      <c r="W36" s="10"/>
      <c r="X36" s="8"/>
      <c r="Y36" s="10"/>
      <c r="Z36" s="10">
        <f>IF((V36-W36)&lt;0,0,(V36-W36))</f>
        <v>13064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1633</v>
      </c>
      <c r="D37" s="10">
        <f>Table1[[#This Row],[Enrolment S.Y. 2025-2026 ]]*8</f>
        <v>13064</v>
      </c>
      <c r="E37" s="10"/>
      <c r="F37" s="8"/>
      <c r="G37" s="10"/>
      <c r="H37" s="10">
        <f>IF((D37-E37)&lt;0,0,(D37-E37))</f>
        <v>13064</v>
      </c>
      <c r="I37" s="10">
        <f>IF((E37-D37)&lt;0,0,(E37-D37))</f>
        <v>0</v>
      </c>
      <c r="J37" s="10">
        <f>Table1[[#This Row],[Enrolment S.Y. 2025-2026 ]]*8</f>
        <v>13064</v>
      </c>
      <c r="K37" s="10"/>
      <c r="L37" s="8"/>
      <c r="M37" s="10"/>
      <c r="N37" s="10">
        <f>IF((J37-K37)&lt;0,0,(J37-K37))</f>
        <v>13064</v>
      </c>
      <c r="O37" s="10">
        <f>IF((K37-J37)&lt;0,0,(K37-J37))</f>
        <v>0</v>
      </c>
      <c r="P37" s="10">
        <f>Table1[[#This Row],[Enrolment S.Y. 2025-2026 ]]*8</f>
        <v>13064</v>
      </c>
      <c r="Q37" s="10"/>
      <c r="R37" s="8"/>
      <c r="S37" s="10"/>
      <c r="T37" s="10">
        <f>IF((P37-Q37)&lt;0,0,(P37-Q37))</f>
        <v>13064</v>
      </c>
      <c r="U37" s="10">
        <f>IF((Q37-P37)&lt;0,0,(Q37-P37))</f>
        <v>0</v>
      </c>
      <c r="V37" s="10">
        <f>Table1[[#This Row],[Enrolment S.Y. 2025-2026 ]]*8</f>
        <v>13064</v>
      </c>
      <c r="W37" s="10"/>
      <c r="X37" s="8"/>
      <c r="Y37" s="10"/>
      <c r="Z37" s="10">
        <f>IF((V37-W37)&lt;0,0,(V37-W37))</f>
        <v>13064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1633</v>
      </c>
      <c r="D38" s="10">
        <f>Table1[[#This Row],[Enrolment S.Y. 2025-2026 ]]*8</f>
        <v>13064</v>
      </c>
      <c r="E38" s="10"/>
      <c r="F38" s="8"/>
      <c r="G38" s="10"/>
      <c r="H38" s="10">
        <f>IF((D38-E38)&lt;0,0,(D38-E38))</f>
        <v>13064</v>
      </c>
      <c r="I38" s="10">
        <f>IF((E38-D38)&lt;0,0,(E38-D38))</f>
        <v>0</v>
      </c>
      <c r="J38" s="10">
        <f>Table1[[#This Row],[Enrolment S.Y. 2025-2026 ]]*8</f>
        <v>13064</v>
      </c>
      <c r="K38" s="10"/>
      <c r="L38" s="8"/>
      <c r="M38" s="10"/>
      <c r="N38" s="10">
        <f>IF((J38-K38)&lt;0,0,(J38-K38))</f>
        <v>13064</v>
      </c>
      <c r="O38" s="10">
        <f>IF((K38-J38)&lt;0,0,(K38-J38))</f>
        <v>0</v>
      </c>
      <c r="P38" s="10">
        <f>Table1[[#This Row],[Enrolment S.Y. 2025-2026 ]]*8</f>
        <v>13064</v>
      </c>
      <c r="Q38" s="10"/>
      <c r="R38" s="8"/>
      <c r="S38" s="10"/>
      <c r="T38" s="10">
        <f>IF((P38-Q38)&lt;0,0,(P38-Q38))</f>
        <v>13064</v>
      </c>
      <c r="U38" s="10">
        <f>IF((Q38-P38)&lt;0,0,(Q38-P38))</f>
        <v>0</v>
      </c>
      <c r="V38" s="10">
        <f>Table1[[#This Row],[Enrolment S.Y. 2025-2026 ]]*8</f>
        <v>13064</v>
      </c>
      <c r="W38" s="10"/>
      <c r="X38" s="8"/>
      <c r="Y38" s="10"/>
      <c r="Z38" s="10">
        <f>IF((V38-W38)&lt;0,0,(V38-W38))</f>
        <v>13064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1633</v>
      </c>
      <c r="D39" s="10">
        <f>Table1[[#This Row],[Enrolment S.Y. 2025-2026 ]]*8</f>
        <v>13064</v>
      </c>
      <c r="E39" s="10"/>
      <c r="F39" s="8"/>
      <c r="G39" s="10"/>
      <c r="H39" s="10">
        <f>IF((D39-E39)&lt;0,0,(D39-E39))</f>
        <v>13064</v>
      </c>
      <c r="I39" s="10">
        <f>IF((E39-D39)&lt;0,0,(E39-D39))</f>
        <v>0</v>
      </c>
      <c r="J39" s="10">
        <f>Table1[[#This Row],[Enrolment S.Y. 2025-2026 ]]*8</f>
        <v>13064</v>
      </c>
      <c r="K39" s="10"/>
      <c r="L39" s="8"/>
      <c r="M39" s="10"/>
      <c r="N39" s="10">
        <f>IF((J39-K39)&lt;0,0,(J39-K39))</f>
        <v>13064</v>
      </c>
      <c r="O39" s="10">
        <f>IF((K39-J39)&lt;0,0,(K39-J39))</f>
        <v>0</v>
      </c>
      <c r="P39" s="10">
        <f>Table1[[#This Row],[Enrolment S.Y. 2025-2026 ]]*8</f>
        <v>13064</v>
      </c>
      <c r="Q39" s="10"/>
      <c r="R39" s="8"/>
      <c r="S39" s="10"/>
      <c r="T39" s="10">
        <f>IF((P39-Q39)&lt;0,0,(P39-Q39))</f>
        <v>13064</v>
      </c>
      <c r="U39" s="10">
        <f>IF((Q39-P39)&lt;0,0,(Q39-P39))</f>
        <v>0</v>
      </c>
      <c r="V39" s="10">
        <f>Table1[[#This Row],[Enrolment S.Y. 2025-2026 ]]*8</f>
        <v>13064</v>
      </c>
      <c r="W39" s="10"/>
      <c r="X39" s="8"/>
      <c r="Y39" s="10"/>
      <c r="Z39" s="10">
        <f>IF((V39-W39)&lt;0,0,(V39-W39))</f>
        <v>13064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1633</v>
      </c>
      <c r="D40" s="10">
        <f>Table1[[#This Row],[Enrolment S.Y. 2025-2026 ]]*8</f>
        <v>13064</v>
      </c>
      <c r="E40" s="10"/>
      <c r="F40" s="8"/>
      <c r="G40" s="10"/>
      <c r="H40" s="10">
        <f>IF((D40-E40)&lt;0,0,(D40-E40))</f>
        <v>13064</v>
      </c>
      <c r="I40" s="10">
        <f>IF((E40-D40)&lt;0,0,(E40-D40))</f>
        <v>0</v>
      </c>
      <c r="J40" s="10">
        <f>Table1[[#This Row],[Enrolment S.Y. 2025-2026 ]]*8</f>
        <v>13064</v>
      </c>
      <c r="K40" s="10"/>
      <c r="L40" s="8"/>
      <c r="M40" s="10"/>
      <c r="N40" s="10">
        <f>IF((J40-K40)&lt;0,0,(J40-K40))</f>
        <v>13064</v>
      </c>
      <c r="O40" s="10">
        <f>IF((K40-J40)&lt;0,0,(K40-J40))</f>
        <v>0</v>
      </c>
      <c r="P40" s="10">
        <f>Table1[[#This Row],[Enrolment S.Y. 2025-2026 ]]*8</f>
        <v>13064</v>
      </c>
      <c r="Q40" s="10"/>
      <c r="R40" s="8"/>
      <c r="S40" s="10"/>
      <c r="T40" s="10">
        <f>IF((P40-Q40)&lt;0,0,(P40-Q40))</f>
        <v>13064</v>
      </c>
      <c r="U40" s="10">
        <f>IF((Q40-P40)&lt;0,0,(Q40-P40))</f>
        <v>0</v>
      </c>
      <c r="V40" s="10">
        <f>Table1[[#This Row],[Enrolment S.Y. 2025-2026 ]]*8</f>
        <v>13064</v>
      </c>
      <c r="W40" s="10"/>
      <c r="X40" s="8"/>
      <c r="Y40" s="10"/>
      <c r="Z40" s="10">
        <f>IF((V40-W40)&lt;0,0,(V40-W40))</f>
        <v>13064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1633</v>
      </c>
      <c r="D41" s="10">
        <f>Table1[[#This Row],[Enrolment S.Y. 2025-2026 ]]*8</f>
        <v>13064</v>
      </c>
      <c r="E41" s="10"/>
      <c r="F41" s="8"/>
      <c r="G41" s="10"/>
      <c r="H41" s="10">
        <f>IF((D41-E41)&lt;0,0,(D41-E41))</f>
        <v>13064</v>
      </c>
      <c r="I41" s="10">
        <f>IF((E41-D41)&lt;0,0,(E41-D41))</f>
        <v>0</v>
      </c>
      <c r="J41" s="10">
        <f>Table1[[#This Row],[Enrolment S.Y. 2025-2026 ]]*8</f>
        <v>13064</v>
      </c>
      <c r="K41" s="10"/>
      <c r="L41" s="8"/>
      <c r="M41" s="10"/>
      <c r="N41" s="10">
        <f>IF((J41-K41)&lt;0,0,(J41-K41))</f>
        <v>13064</v>
      </c>
      <c r="O41" s="10">
        <f>IF((K41-J41)&lt;0,0,(K41-J41))</f>
        <v>0</v>
      </c>
      <c r="P41" s="10">
        <f>Table1[[#This Row],[Enrolment S.Y. 2025-2026 ]]*8</f>
        <v>13064</v>
      </c>
      <c r="Q41" s="10"/>
      <c r="R41" s="8"/>
      <c r="S41" s="10"/>
      <c r="T41" s="10">
        <f>IF((P41-Q41)&lt;0,0,(P41-Q41))</f>
        <v>13064</v>
      </c>
      <c r="U41" s="10">
        <f>IF((Q41-P41)&lt;0,0,(Q41-P41))</f>
        <v>0</v>
      </c>
      <c r="V41" s="10">
        <f>Table1[[#This Row],[Enrolment S.Y. 2025-2026 ]]*8</f>
        <v>13064</v>
      </c>
      <c r="W41" s="10"/>
      <c r="X41" s="8"/>
      <c r="Y41" s="10"/>
      <c r="Z41" s="10">
        <f>IF((V41-W41)&lt;0,0,(V41-W41))</f>
        <v>13064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57.75">
      <c r="A43" s="1">
        <v>11</v>
      </c>
      <c r="B43" s="7" t="s">
        <v>19</v>
      </c>
      <c r="C43" s="1">
        <v>1102</v>
      </c>
      <c r="D43" s="4">
        <f>Table1[[#This Row],[Enrolment S.Y. 2025-2026 ]]*8</f>
        <v>8816</v>
      </c>
      <c r="E43" s="4"/>
      <c r="F43" s="1"/>
      <c r="G43" s="4"/>
      <c r="H43" s="4">
        <f t="shared" si="14"/>
        <v>8816</v>
      </c>
      <c r="I43" s="4">
        <f t="shared" si="15"/>
        <v>0</v>
      </c>
      <c r="J43" s="4">
        <f>Table1[[#This Row],[Enrolment S.Y. 2025-2026 ]]*8</f>
        <v>8816</v>
      </c>
      <c r="K43" s="4"/>
      <c r="L43" s="1"/>
      <c r="M43" s="4"/>
      <c r="N43" s="4">
        <f t="shared" si="8"/>
        <v>8816</v>
      </c>
      <c r="O43" s="4">
        <f t="shared" si="9"/>
        <v>0</v>
      </c>
      <c r="P43" s="4">
        <f>Table1[[#This Row],[Enrolment S.Y. 2025-2026 ]]*8</f>
        <v>8816</v>
      </c>
      <c r="Q43" s="4"/>
      <c r="R43" s="1"/>
      <c r="S43" s="4"/>
      <c r="T43" s="4">
        <f t="shared" si="10"/>
        <v>8816</v>
      </c>
      <c r="U43" s="4">
        <f t="shared" si="11"/>
        <v>0</v>
      </c>
      <c r="V43" s="4">
        <f>Table1[[#This Row],[Enrolment S.Y. 2025-2026 ]]*8</f>
        <v>8816</v>
      </c>
      <c r="W43" s="4"/>
      <c r="X43" s="1"/>
      <c r="Y43" s="4"/>
      <c r="Z43" s="4">
        <f t="shared" si="12"/>
        <v>8816</v>
      </c>
      <c r="AA43" s="4">
        <f t="shared" si="13"/>
        <v>0</v>
      </c>
    </row>
    <row r="44" spans="1:27" ht="19.5">
      <c r="A44" s="1">
        <v>11</v>
      </c>
      <c r="B44" s="7" t="s">
        <v>20</v>
      </c>
      <c r="C44" s="1">
        <v>1102</v>
      </c>
      <c r="D44" s="4">
        <f>Table1[[#This Row],[Enrolment S.Y. 2025-2026 ]]*8</f>
        <v>8816</v>
      </c>
      <c r="E44" s="4"/>
      <c r="F44" s="1"/>
      <c r="G44" s="4"/>
      <c r="H44" s="4">
        <f t="shared" si="14"/>
        <v>8816</v>
      </c>
      <c r="I44" s="4">
        <f t="shared" si="15"/>
        <v>0</v>
      </c>
      <c r="J44" s="4">
        <f>Table1[[#This Row],[Enrolment S.Y. 2025-2026 ]]*8</f>
        <v>8816</v>
      </c>
      <c r="K44" s="4"/>
      <c r="L44" s="1"/>
      <c r="M44" s="4"/>
      <c r="N44" s="4">
        <f t="shared" si="8"/>
        <v>8816</v>
      </c>
      <c r="O44" s="4">
        <f t="shared" si="9"/>
        <v>0</v>
      </c>
      <c r="P44" s="4">
        <f>Table1[[#This Row],[Enrolment S.Y. 2025-2026 ]]*8</f>
        <v>8816</v>
      </c>
      <c r="Q44" s="4"/>
      <c r="R44" s="1"/>
      <c r="S44" s="4"/>
      <c r="T44" s="4">
        <f t="shared" si="10"/>
        <v>8816</v>
      </c>
      <c r="U44" s="4">
        <f t="shared" si="11"/>
        <v>0</v>
      </c>
      <c r="V44" s="4">
        <f>Table1[[#This Row],[Enrolment S.Y. 2025-2026 ]]*8</f>
        <v>8816</v>
      </c>
      <c r="W44" s="4"/>
      <c r="X44" s="1"/>
      <c r="Y44" s="4"/>
      <c r="Z44" s="4">
        <f t="shared" si="12"/>
        <v>8816</v>
      </c>
      <c r="AA44" s="4">
        <f t="shared" si="13"/>
        <v>0</v>
      </c>
    </row>
    <row r="45" spans="1:27" ht="38.25">
      <c r="A45" s="1">
        <v>11</v>
      </c>
      <c r="B45" s="7" t="s">
        <v>21</v>
      </c>
      <c r="C45" s="1">
        <v>1102</v>
      </c>
      <c r="D45" s="4">
        <f>Table1[[#This Row],[Enrolment S.Y. 2025-2026 ]]*8</f>
        <v>8816</v>
      </c>
      <c r="E45" s="4"/>
      <c r="F45" s="1"/>
      <c r="G45" s="4"/>
      <c r="H45" s="4">
        <f t="shared" si="14"/>
        <v>8816</v>
      </c>
      <c r="I45" s="4">
        <f t="shared" si="15"/>
        <v>0</v>
      </c>
      <c r="J45" s="4">
        <f>Table1[[#This Row],[Enrolment S.Y. 2025-2026 ]]*8</f>
        <v>8816</v>
      </c>
      <c r="K45" s="4"/>
      <c r="L45" s="1"/>
      <c r="M45" s="4"/>
      <c r="N45" s="4">
        <f t="shared" si="8"/>
        <v>8816</v>
      </c>
      <c r="O45" s="4">
        <f t="shared" si="9"/>
        <v>0</v>
      </c>
      <c r="P45" s="4">
        <f>Table1[[#This Row],[Enrolment S.Y. 2025-2026 ]]*8</f>
        <v>8816</v>
      </c>
      <c r="Q45" s="4"/>
      <c r="R45" s="1"/>
      <c r="S45" s="4"/>
      <c r="T45" s="4">
        <f t="shared" si="10"/>
        <v>8816</v>
      </c>
      <c r="U45" s="4">
        <f t="shared" si="11"/>
        <v>0</v>
      </c>
      <c r="V45" s="4">
        <f>Table1[[#This Row],[Enrolment S.Y. 2025-2026 ]]*8</f>
        <v>8816</v>
      </c>
      <c r="W45" s="4"/>
      <c r="X45" s="1"/>
      <c r="Y45" s="4"/>
      <c r="Z45" s="4">
        <f t="shared" si="12"/>
        <v>8816</v>
      </c>
      <c r="AA45" s="4">
        <f t="shared" si="13"/>
        <v>0</v>
      </c>
    </row>
    <row r="46" spans="1:27" ht="19.5">
      <c r="A46" s="1">
        <v>11</v>
      </c>
      <c r="B46" s="7" t="s">
        <v>22</v>
      </c>
      <c r="C46" s="1">
        <v>1102</v>
      </c>
      <c r="D46" s="4">
        <f>Table1[[#This Row],[Enrolment S.Y. 2025-2026 ]]*8</f>
        <v>8816</v>
      </c>
      <c r="E46" s="4"/>
      <c r="F46" s="1"/>
      <c r="G46" s="4"/>
      <c r="H46" s="4">
        <f t="shared" si="14"/>
        <v>8816</v>
      </c>
      <c r="I46" s="4">
        <f t="shared" si="15"/>
        <v>0</v>
      </c>
      <c r="J46" s="4">
        <f>Table1[[#This Row],[Enrolment S.Y. 2025-2026 ]]*8</f>
        <v>8816</v>
      </c>
      <c r="K46" s="4"/>
      <c r="L46" s="1"/>
      <c r="M46" s="4"/>
      <c r="N46" s="4">
        <f t="shared" si="8"/>
        <v>8816</v>
      </c>
      <c r="O46" s="4">
        <f t="shared" si="9"/>
        <v>0</v>
      </c>
      <c r="P46" s="4">
        <f>Table1[[#This Row],[Enrolment S.Y. 2025-2026 ]]*8</f>
        <v>8816</v>
      </c>
      <c r="Q46" s="4"/>
      <c r="R46" s="1"/>
      <c r="S46" s="4"/>
      <c r="T46" s="4">
        <f t="shared" si="10"/>
        <v>8816</v>
      </c>
      <c r="U46" s="4">
        <f t="shared" si="11"/>
        <v>0</v>
      </c>
      <c r="V46" s="4">
        <f>Table1[[#This Row],[Enrolment S.Y. 2025-2026 ]]*8</f>
        <v>8816</v>
      </c>
      <c r="W46" s="4"/>
      <c r="X46" s="1"/>
      <c r="Y46" s="4"/>
      <c r="Z46" s="4">
        <f t="shared" si="12"/>
        <v>8816</v>
      </c>
      <c r="AA46" s="4">
        <f t="shared" si="13"/>
        <v>0</v>
      </c>
    </row>
    <row r="47" spans="1:27" ht="19.5">
      <c r="A47" s="1">
        <v>11</v>
      </c>
      <c r="B47" s="7" t="s">
        <v>23</v>
      </c>
      <c r="C47" s="1">
        <v>1102</v>
      </c>
      <c r="D47" s="4">
        <f>Table1[[#This Row],[Enrolment S.Y. 2025-2026 ]]*8</f>
        <v>8816</v>
      </c>
      <c r="E47" s="4"/>
      <c r="F47" s="1"/>
      <c r="G47" s="4"/>
      <c r="H47" s="4">
        <f t="shared" si="14"/>
        <v>8816</v>
      </c>
      <c r="I47" s="4">
        <f t="shared" si="15"/>
        <v>0</v>
      </c>
      <c r="J47" s="4">
        <f>Table1[[#This Row],[Enrolment S.Y. 2025-2026 ]]*8</f>
        <v>8816</v>
      </c>
      <c r="K47" s="4"/>
      <c r="L47" s="1"/>
      <c r="M47" s="4"/>
      <c r="N47" s="4">
        <f t="shared" si="8"/>
        <v>8816</v>
      </c>
      <c r="O47" s="4">
        <f t="shared" si="9"/>
        <v>0</v>
      </c>
      <c r="P47" s="4">
        <f>Table1[[#This Row],[Enrolment S.Y. 2025-2026 ]]*8</f>
        <v>8816</v>
      </c>
      <c r="Q47" s="4"/>
      <c r="R47" s="1"/>
      <c r="S47" s="4"/>
      <c r="T47" s="4">
        <f t="shared" si="10"/>
        <v>8816</v>
      </c>
      <c r="U47" s="4">
        <f t="shared" si="11"/>
        <v>0</v>
      </c>
      <c r="V47" s="4">
        <f>Table1[[#This Row],[Enrolment S.Y. 2025-2026 ]]*8</f>
        <v>8816</v>
      </c>
      <c r="W47" s="4"/>
      <c r="X47" s="1"/>
      <c r="Y47" s="4"/>
      <c r="Z47" s="4">
        <f t="shared" si="12"/>
        <v>8816</v>
      </c>
      <c r="AA47" s="4">
        <f t="shared" si="13"/>
        <v>0</v>
      </c>
    </row>
    <row r="48" spans="1:27" ht="38.25">
      <c r="A48" s="1">
        <v>11</v>
      </c>
      <c r="B48" s="7" t="s">
        <v>24</v>
      </c>
      <c r="C48" s="1">
        <v>1102</v>
      </c>
      <c r="D48" s="4">
        <f>Table1[[#This Row],[Enrolment S.Y. 2025-2026 ]]*8</f>
        <v>8816</v>
      </c>
      <c r="E48" s="4"/>
      <c r="F48" s="1"/>
      <c r="G48" s="4"/>
      <c r="H48" s="4">
        <f t="shared" si="14"/>
        <v>8816</v>
      </c>
      <c r="I48" s="4">
        <f t="shared" si="15"/>
        <v>0</v>
      </c>
      <c r="J48" s="4">
        <f>Table1[[#This Row],[Enrolment S.Y. 2025-2026 ]]*8</f>
        <v>8816</v>
      </c>
      <c r="K48" s="4"/>
      <c r="L48" s="1"/>
      <c r="M48" s="4"/>
      <c r="N48" s="4">
        <f t="shared" si="8"/>
        <v>8816</v>
      </c>
      <c r="O48" s="4">
        <f t="shared" si="9"/>
        <v>0</v>
      </c>
      <c r="P48" s="4">
        <f>Table1[[#This Row],[Enrolment S.Y. 2025-2026 ]]*8</f>
        <v>8816</v>
      </c>
      <c r="Q48" s="4"/>
      <c r="R48" s="1"/>
      <c r="S48" s="4"/>
      <c r="T48" s="4">
        <f t="shared" si="10"/>
        <v>8816</v>
      </c>
      <c r="U48" s="4">
        <f t="shared" si="11"/>
        <v>0</v>
      </c>
      <c r="V48" s="4">
        <f>Table1[[#This Row],[Enrolment S.Y. 2025-2026 ]]*8</f>
        <v>8816</v>
      </c>
      <c r="W48" s="4"/>
      <c r="X48" s="1"/>
      <c r="Y48" s="4"/>
      <c r="Z48" s="4">
        <f t="shared" si="12"/>
        <v>8816</v>
      </c>
      <c r="AA48" s="4">
        <f t="shared" si="13"/>
        <v>0</v>
      </c>
    </row>
    <row r="49" spans="1:27" ht="38.25">
      <c r="A49" s="1">
        <v>11</v>
      </c>
      <c r="B49" s="7" t="s">
        <v>25</v>
      </c>
      <c r="C49" s="1">
        <v>1102</v>
      </c>
      <c r="D49" s="4">
        <f>Table1[[#This Row],[Enrolment S.Y. 2025-2026 ]]*8</f>
        <v>8816</v>
      </c>
      <c r="E49" s="4"/>
      <c r="F49" s="1"/>
      <c r="G49" s="4"/>
      <c r="H49" s="4">
        <f t="shared" si="14"/>
        <v>8816</v>
      </c>
      <c r="I49" s="4">
        <f t="shared" si="15"/>
        <v>0</v>
      </c>
      <c r="J49" s="4">
        <f>Table1[[#This Row],[Enrolment S.Y. 2025-2026 ]]*8</f>
        <v>8816</v>
      </c>
      <c r="K49" s="4"/>
      <c r="L49" s="1"/>
      <c r="M49" s="4"/>
      <c r="N49" s="4">
        <f t="shared" si="8"/>
        <v>8816</v>
      </c>
      <c r="O49" s="4">
        <f t="shared" si="9"/>
        <v>0</v>
      </c>
      <c r="P49" s="4">
        <f>Table1[[#This Row],[Enrolment S.Y. 2025-2026 ]]*8</f>
        <v>8816</v>
      </c>
      <c r="Q49" s="4"/>
      <c r="R49" s="1"/>
      <c r="S49" s="4"/>
      <c r="T49" s="4">
        <f t="shared" si="10"/>
        <v>8816</v>
      </c>
      <c r="U49" s="4">
        <f t="shared" si="11"/>
        <v>0</v>
      </c>
      <c r="V49" s="4">
        <f>Table1[[#This Row],[Enrolment S.Y. 2025-2026 ]]*8</f>
        <v>8816</v>
      </c>
      <c r="W49" s="4"/>
      <c r="X49" s="1"/>
      <c r="Y49" s="4"/>
      <c r="Z49" s="4">
        <f t="shared" si="12"/>
        <v>8816</v>
      </c>
      <c r="AA49" s="4">
        <f t="shared" si="13"/>
        <v>0</v>
      </c>
    </row>
    <row r="50" spans="1:27" ht="21">
      <c r="A50" s="30">
        <v>11</v>
      </c>
      <c r="B50" s="31" t="s">
        <v>26</v>
      </c>
      <c r="C50" s="1">
        <v>1102</v>
      </c>
      <c r="D50" s="32">
        <f>Table1[[#This Row],[Enrolment S.Y. 2025-2026 ]]*8</f>
        <v>8816</v>
      </c>
      <c r="E50" s="32"/>
      <c r="F50" s="30"/>
      <c r="G50" s="32"/>
      <c r="H50" s="32">
        <f>IF((D50-E50)&lt;0,0,(D50-E50))</f>
        <v>8816</v>
      </c>
      <c r="I50" s="32">
        <f>IF((E50-D50)&lt;0,0,(E50-D50))</f>
        <v>0</v>
      </c>
      <c r="J50" s="32">
        <f>Table1[[#This Row],[Enrolment S.Y. 2025-2026 ]]*8</f>
        <v>8816</v>
      </c>
      <c r="K50" s="32"/>
      <c r="L50" s="30"/>
      <c r="M50" s="32"/>
      <c r="N50" s="4">
        <f t="shared" ref="N50:N66" si="16">IF((J50-K50)&lt;0,0,(J50-K50))</f>
        <v>8816</v>
      </c>
      <c r="O50" s="4">
        <f t="shared" ref="O50:O66" si="17">IF((K50-J50)&lt;0,0,(K50-J50))</f>
        <v>0</v>
      </c>
      <c r="P50" s="4">
        <f>Table1[[#This Row],[Enrolment S.Y. 2025-2026 ]]*8</f>
        <v>8816</v>
      </c>
      <c r="Q50" s="32"/>
      <c r="R50" s="30"/>
      <c r="S50" s="32"/>
      <c r="T50" s="32">
        <f>IF((P50-Q50)&lt;0,0,(P50-Q50))</f>
        <v>8816</v>
      </c>
      <c r="U50" s="32">
        <f>IF((Q50-P50)&lt;0,0,(Q50-P50))</f>
        <v>0</v>
      </c>
      <c r="V50" s="32">
        <f>Table1[[#This Row],[Enrolment S.Y. 2025-2026 ]]*8</f>
        <v>8816</v>
      </c>
      <c r="W50" s="32"/>
      <c r="X50" s="30"/>
      <c r="Y50" s="32"/>
      <c r="Z50" s="32">
        <f>IF((V50-W50)&lt;0,0,(V50-W50))</f>
        <v>8816</v>
      </c>
      <c r="AA50" s="32">
        <f>IF((W50-V50)&lt;0,0,(W50-V50))</f>
        <v>0</v>
      </c>
    </row>
    <row r="51" spans="1:27" ht="19.5">
      <c r="A51" s="1">
        <v>11</v>
      </c>
      <c r="B51" s="7" t="s">
        <v>27</v>
      </c>
      <c r="C51" s="1">
        <v>1102</v>
      </c>
      <c r="D51" s="4">
        <f>Table1[[#This Row],[Enrolment S.Y. 2025-2026 ]]*8</f>
        <v>8816</v>
      </c>
      <c r="E51" s="4"/>
      <c r="F51" s="1"/>
      <c r="G51" s="4"/>
      <c r="H51" s="4">
        <f t="shared" si="14"/>
        <v>8816</v>
      </c>
      <c r="I51" s="4">
        <f t="shared" si="15"/>
        <v>0</v>
      </c>
      <c r="J51" s="4">
        <f>Table1[[#This Row],[Enrolment S.Y. 2025-2026 ]]*8</f>
        <v>8816</v>
      </c>
      <c r="K51" s="4"/>
      <c r="L51" s="1"/>
      <c r="M51" s="4"/>
      <c r="N51" s="4">
        <f t="shared" si="16"/>
        <v>8816</v>
      </c>
      <c r="O51" s="4">
        <f t="shared" si="17"/>
        <v>0</v>
      </c>
      <c r="P51" s="4">
        <f>Table1[[#This Row],[Enrolment S.Y. 2025-2026 ]]*8</f>
        <v>8816</v>
      </c>
      <c r="Q51" s="4"/>
      <c r="R51" s="1"/>
      <c r="S51" s="4"/>
      <c r="T51" s="4">
        <f t="shared" si="10"/>
        <v>8816</v>
      </c>
      <c r="U51" s="4">
        <f t="shared" si="11"/>
        <v>0</v>
      </c>
      <c r="V51" s="4">
        <f>Table1[[#This Row],[Enrolment S.Y. 2025-2026 ]]*8</f>
        <v>8816</v>
      </c>
      <c r="W51" s="4"/>
      <c r="X51" s="1"/>
      <c r="Y51" s="4"/>
      <c r="Z51" s="4">
        <f t="shared" si="12"/>
        <v>8816</v>
      </c>
      <c r="AA51" s="4">
        <f t="shared" si="13"/>
        <v>0</v>
      </c>
    </row>
    <row r="52" spans="1:27" s="5" customFormat="1" ht="40.5">
      <c r="A52" s="1">
        <v>11</v>
      </c>
      <c r="B52" s="31" t="s">
        <v>28</v>
      </c>
      <c r="C52" s="1">
        <v>1102</v>
      </c>
      <c r="D52" s="32">
        <f>Table1[[#This Row],[Enrolment S.Y. 2025-2026 ]]*8</f>
        <v>8816</v>
      </c>
      <c r="E52" s="32"/>
      <c r="F52" s="30"/>
      <c r="G52" s="32"/>
      <c r="H52" s="32">
        <f t="shared" ref="H52:H54" si="18">IF((D52-E52)&lt;0,0,(D52-E52))</f>
        <v>8816</v>
      </c>
      <c r="I52" s="32">
        <f t="shared" ref="I52:I54" si="19">IF((E52-D52)&lt;0,0,(E52-D52))</f>
        <v>0</v>
      </c>
      <c r="J52" s="32">
        <f>Table1[[#This Row],[Enrolment S.Y. 2025-2026 ]]*8</f>
        <v>8816</v>
      </c>
      <c r="K52" s="32"/>
      <c r="L52" s="30"/>
      <c r="M52" s="32"/>
      <c r="N52" s="4">
        <f t="shared" si="16"/>
        <v>8816</v>
      </c>
      <c r="O52" s="4">
        <f t="shared" si="17"/>
        <v>0</v>
      </c>
      <c r="P52" s="4">
        <f>Table1[[#This Row],[Enrolment S.Y. 2025-2026 ]]*8</f>
        <v>8816</v>
      </c>
      <c r="Q52" s="32"/>
      <c r="R52" s="30"/>
      <c r="S52" s="32"/>
      <c r="T52" s="32">
        <f t="shared" ref="T52:T54" si="20">IF((P52-Q52)&lt;0,0,(P52-Q52))</f>
        <v>8816</v>
      </c>
      <c r="U52" s="32">
        <f t="shared" ref="U52:U54" si="21">IF((Q52-P52)&lt;0,0,(Q52-P52))</f>
        <v>0</v>
      </c>
      <c r="V52" s="32">
        <f>Table1[[#This Row],[Enrolment S.Y. 2025-2026 ]]*8</f>
        <v>8816</v>
      </c>
      <c r="W52" s="32"/>
      <c r="X52" s="30"/>
      <c r="Y52" s="32"/>
      <c r="Z52" s="32">
        <f t="shared" ref="Z52:Z54" si="22">IF((V52-W52)&lt;0,0,(V52-W52))</f>
        <v>8816</v>
      </c>
      <c r="AA52" s="32">
        <f t="shared" ref="AA52:AA54" si="23">IF((W52-V52)&lt;0,0,(W52-V52))</f>
        <v>0</v>
      </c>
    </row>
    <row r="53" spans="1:27" ht="21">
      <c r="A53" s="1">
        <v>11</v>
      </c>
      <c r="B53" s="31" t="s">
        <v>29</v>
      </c>
      <c r="C53" s="1">
        <v>1102</v>
      </c>
      <c r="D53" s="32">
        <f>Table1[[#This Row],[Enrolment S.Y. 2025-2026 ]]*8</f>
        <v>8816</v>
      </c>
      <c r="E53" s="32"/>
      <c r="F53" s="30"/>
      <c r="G53" s="32"/>
      <c r="H53" s="32">
        <f t="shared" si="18"/>
        <v>8816</v>
      </c>
      <c r="I53" s="32">
        <f t="shared" si="19"/>
        <v>0</v>
      </c>
      <c r="J53" s="32">
        <f>Table1[[#This Row],[Enrolment S.Y. 2025-2026 ]]*8</f>
        <v>8816</v>
      </c>
      <c r="K53" s="32"/>
      <c r="L53" s="30"/>
      <c r="M53" s="32"/>
      <c r="N53" s="4">
        <f t="shared" si="16"/>
        <v>8816</v>
      </c>
      <c r="O53" s="4">
        <f t="shared" si="17"/>
        <v>0</v>
      </c>
      <c r="P53" s="4">
        <f>Table1[[#This Row],[Enrolment S.Y. 2025-2026 ]]*8</f>
        <v>8816</v>
      </c>
      <c r="Q53" s="32"/>
      <c r="R53" s="30"/>
      <c r="S53" s="32"/>
      <c r="T53" s="32">
        <f t="shared" si="20"/>
        <v>8816</v>
      </c>
      <c r="U53" s="32">
        <f t="shared" si="21"/>
        <v>0</v>
      </c>
      <c r="V53" s="32">
        <f>Table1[[#This Row],[Enrolment S.Y. 2025-2026 ]]*8</f>
        <v>8816</v>
      </c>
      <c r="W53" s="32"/>
      <c r="X53" s="30"/>
      <c r="Y53" s="32"/>
      <c r="Z53" s="32">
        <f t="shared" si="22"/>
        <v>8816</v>
      </c>
      <c r="AA53" s="32">
        <f t="shared" si="23"/>
        <v>0</v>
      </c>
    </row>
    <row r="54" spans="1:27" ht="40.5">
      <c r="A54" s="1">
        <v>11</v>
      </c>
      <c r="B54" s="31" t="s">
        <v>30</v>
      </c>
      <c r="C54" s="1">
        <v>1102</v>
      </c>
      <c r="D54" s="32">
        <f>Table1[[#This Row],[Enrolment S.Y. 2025-2026 ]]*8</f>
        <v>8816</v>
      </c>
      <c r="E54" s="32"/>
      <c r="F54" s="30"/>
      <c r="G54" s="32"/>
      <c r="H54" s="32">
        <f t="shared" si="18"/>
        <v>8816</v>
      </c>
      <c r="I54" s="32">
        <f t="shared" si="19"/>
        <v>0</v>
      </c>
      <c r="J54" s="32">
        <f>Table1[[#This Row],[Enrolment S.Y. 2025-2026 ]]*8</f>
        <v>8816</v>
      </c>
      <c r="K54" s="32"/>
      <c r="L54" s="30"/>
      <c r="M54" s="32"/>
      <c r="N54" s="4">
        <f t="shared" si="16"/>
        <v>8816</v>
      </c>
      <c r="O54" s="4">
        <f t="shared" si="17"/>
        <v>0</v>
      </c>
      <c r="P54" s="4">
        <f>Table1[[#This Row],[Enrolment S.Y. 2025-2026 ]]*8</f>
        <v>8816</v>
      </c>
      <c r="Q54" s="32"/>
      <c r="R54" s="30"/>
      <c r="S54" s="32"/>
      <c r="T54" s="32">
        <f t="shared" si="20"/>
        <v>8816</v>
      </c>
      <c r="U54" s="32">
        <f t="shared" si="21"/>
        <v>0</v>
      </c>
      <c r="V54" s="32">
        <f>Table1[[#This Row],[Enrolment S.Y. 2025-2026 ]]*8</f>
        <v>8816</v>
      </c>
      <c r="W54" s="32"/>
      <c r="X54" s="30"/>
      <c r="Y54" s="32"/>
      <c r="Z54" s="32">
        <f t="shared" si="22"/>
        <v>8816</v>
      </c>
      <c r="AA54" s="32">
        <f t="shared" si="23"/>
        <v>0</v>
      </c>
    </row>
    <row r="55" spans="1:27" ht="21">
      <c r="A55" s="1">
        <v>11</v>
      </c>
      <c r="B55" s="31" t="s">
        <v>31</v>
      </c>
      <c r="C55" s="1">
        <v>1102</v>
      </c>
      <c r="D55" s="32">
        <f>Table1[[#This Row],[Enrolment S.Y. 2025-2026 ]]*8</f>
        <v>8816</v>
      </c>
      <c r="E55" s="32"/>
      <c r="F55" s="30"/>
      <c r="G55" s="32"/>
      <c r="H55" s="32">
        <f t="shared" ref="H55:H66" si="24">IF((D55-E55)&lt;0,0,(D55-E55))</f>
        <v>8816</v>
      </c>
      <c r="I55" s="32">
        <f t="shared" ref="I55:I66" si="25">IF((E55-D55)&lt;0,0,(E55-D55))</f>
        <v>0</v>
      </c>
      <c r="J55" s="32">
        <f>Table1[[#This Row],[Enrolment S.Y. 2025-2026 ]]*8</f>
        <v>8816</v>
      </c>
      <c r="K55" s="32"/>
      <c r="L55" s="30"/>
      <c r="M55" s="32"/>
      <c r="N55" s="4">
        <f t="shared" si="16"/>
        <v>8816</v>
      </c>
      <c r="O55" s="4">
        <f t="shared" si="17"/>
        <v>0</v>
      </c>
      <c r="P55" s="4">
        <f>Table1[[#This Row],[Enrolment S.Y. 2025-2026 ]]*8</f>
        <v>8816</v>
      </c>
      <c r="Q55" s="32"/>
      <c r="R55" s="30"/>
      <c r="S55" s="32"/>
      <c r="T55" s="32">
        <f t="shared" ref="T55:T66" si="26">IF((P55-Q55)&lt;0,0,(P55-Q55))</f>
        <v>8816</v>
      </c>
      <c r="U55" s="32">
        <f t="shared" ref="U55:U66" si="27">IF((Q55-P55)&lt;0,0,(Q55-P55))</f>
        <v>0</v>
      </c>
      <c r="V55" s="32">
        <f>Table1[[#This Row],[Enrolment S.Y. 2025-2026 ]]*8</f>
        <v>8816</v>
      </c>
      <c r="W55" s="32"/>
      <c r="X55" s="30"/>
      <c r="Y55" s="32"/>
      <c r="Z55" s="32">
        <f t="shared" ref="Z55:Z66" si="28">IF((V55-W55)&lt;0,0,(V55-W55))</f>
        <v>8816</v>
      </c>
      <c r="AA55" s="32">
        <f t="shared" ref="AA55:AA66" si="29">IF((W55-V55)&lt;0,0,(W55-V55))</f>
        <v>0</v>
      </c>
    </row>
    <row r="56" spans="1:27" ht="21">
      <c r="A56" s="1">
        <v>11</v>
      </c>
      <c r="B56" s="31" t="s">
        <v>32</v>
      </c>
      <c r="C56" s="1">
        <v>1102</v>
      </c>
      <c r="D56" s="32">
        <f>Table1[[#This Row],[Enrolment S.Y. 2025-2026 ]]*8</f>
        <v>8816</v>
      </c>
      <c r="E56" s="32"/>
      <c r="F56" s="30"/>
      <c r="G56" s="32"/>
      <c r="H56" s="32">
        <f t="shared" si="24"/>
        <v>8816</v>
      </c>
      <c r="I56" s="32">
        <f t="shared" si="25"/>
        <v>0</v>
      </c>
      <c r="J56" s="32">
        <f>Table1[[#This Row],[Enrolment S.Y. 2025-2026 ]]*8</f>
        <v>8816</v>
      </c>
      <c r="K56" s="32"/>
      <c r="L56" s="30"/>
      <c r="M56" s="32"/>
      <c r="N56" s="4">
        <f t="shared" si="16"/>
        <v>8816</v>
      </c>
      <c r="O56" s="4">
        <f t="shared" si="17"/>
        <v>0</v>
      </c>
      <c r="P56" s="4">
        <f>Table1[[#This Row],[Enrolment S.Y. 2025-2026 ]]*8</f>
        <v>8816</v>
      </c>
      <c r="Q56" s="32"/>
      <c r="R56" s="30"/>
      <c r="S56" s="32"/>
      <c r="T56" s="32">
        <f t="shared" si="26"/>
        <v>8816</v>
      </c>
      <c r="U56" s="32">
        <f t="shared" si="27"/>
        <v>0</v>
      </c>
      <c r="V56" s="32">
        <f>Table1[[#This Row],[Enrolment S.Y. 2025-2026 ]]*8</f>
        <v>8816</v>
      </c>
      <c r="W56" s="32"/>
      <c r="X56" s="30"/>
      <c r="Y56" s="32"/>
      <c r="Z56" s="32">
        <f t="shared" si="28"/>
        <v>8816</v>
      </c>
      <c r="AA56" s="32">
        <f t="shared" si="29"/>
        <v>0</v>
      </c>
    </row>
    <row r="57" spans="1:27" ht="21">
      <c r="A57" s="1">
        <v>11</v>
      </c>
      <c r="B57" s="31" t="s">
        <v>33</v>
      </c>
      <c r="C57" s="1">
        <v>1102</v>
      </c>
      <c r="D57" s="32">
        <f>Table1[[#This Row],[Enrolment S.Y. 2025-2026 ]]*8</f>
        <v>8816</v>
      </c>
      <c r="E57" s="32"/>
      <c r="F57" s="30"/>
      <c r="G57" s="32"/>
      <c r="H57" s="32">
        <f t="shared" si="24"/>
        <v>8816</v>
      </c>
      <c r="I57" s="32">
        <f t="shared" si="25"/>
        <v>0</v>
      </c>
      <c r="J57" s="32">
        <f>Table1[[#This Row],[Enrolment S.Y. 2025-2026 ]]*8</f>
        <v>8816</v>
      </c>
      <c r="K57" s="32"/>
      <c r="L57" s="30"/>
      <c r="M57" s="32"/>
      <c r="N57" s="4">
        <f t="shared" si="16"/>
        <v>8816</v>
      </c>
      <c r="O57" s="4">
        <f t="shared" si="17"/>
        <v>0</v>
      </c>
      <c r="P57" s="4">
        <f>Table1[[#This Row],[Enrolment S.Y. 2025-2026 ]]*8</f>
        <v>8816</v>
      </c>
      <c r="Q57" s="32"/>
      <c r="R57" s="30"/>
      <c r="S57" s="32"/>
      <c r="T57" s="32">
        <f t="shared" si="26"/>
        <v>8816</v>
      </c>
      <c r="U57" s="32">
        <f t="shared" si="27"/>
        <v>0</v>
      </c>
      <c r="V57" s="32">
        <f>Table1[[#This Row],[Enrolment S.Y. 2025-2026 ]]*8</f>
        <v>8816</v>
      </c>
      <c r="W57" s="32"/>
      <c r="X57" s="30"/>
      <c r="Y57" s="32"/>
      <c r="Z57" s="32">
        <f t="shared" si="28"/>
        <v>8816</v>
      </c>
      <c r="AA57" s="32">
        <f t="shared" si="29"/>
        <v>0</v>
      </c>
    </row>
    <row r="58" spans="1:27" ht="21">
      <c r="A58" s="1">
        <v>11</v>
      </c>
      <c r="B58" s="31" t="s">
        <v>34</v>
      </c>
      <c r="C58" s="1">
        <v>1102</v>
      </c>
      <c r="D58" s="32">
        <f>Table1[[#This Row],[Enrolment S.Y. 2025-2026 ]]*8</f>
        <v>8816</v>
      </c>
      <c r="E58" s="32"/>
      <c r="F58" s="30"/>
      <c r="G58" s="32"/>
      <c r="H58" s="32">
        <f t="shared" si="24"/>
        <v>8816</v>
      </c>
      <c r="I58" s="32">
        <f t="shared" si="25"/>
        <v>0</v>
      </c>
      <c r="J58" s="32">
        <f>Table1[[#This Row],[Enrolment S.Y. 2025-2026 ]]*8</f>
        <v>8816</v>
      </c>
      <c r="K58" s="32"/>
      <c r="L58" s="30"/>
      <c r="M58" s="32"/>
      <c r="N58" s="4">
        <f t="shared" si="16"/>
        <v>8816</v>
      </c>
      <c r="O58" s="4">
        <f t="shared" si="17"/>
        <v>0</v>
      </c>
      <c r="P58" s="4">
        <f>Table1[[#This Row],[Enrolment S.Y. 2025-2026 ]]*8</f>
        <v>8816</v>
      </c>
      <c r="Q58" s="32"/>
      <c r="R58" s="30"/>
      <c r="S58" s="32"/>
      <c r="T58" s="32">
        <f t="shared" si="26"/>
        <v>8816</v>
      </c>
      <c r="U58" s="32">
        <f t="shared" si="27"/>
        <v>0</v>
      </c>
      <c r="V58" s="32">
        <f>Table1[[#This Row],[Enrolment S.Y. 2025-2026 ]]*8</f>
        <v>8816</v>
      </c>
      <c r="W58" s="32"/>
      <c r="X58" s="30"/>
      <c r="Y58" s="32"/>
      <c r="Z58" s="32">
        <f t="shared" si="28"/>
        <v>8816</v>
      </c>
      <c r="AA58" s="32">
        <f t="shared" si="29"/>
        <v>0</v>
      </c>
    </row>
    <row r="59" spans="1:27" ht="21">
      <c r="A59" s="2">
        <v>11</v>
      </c>
      <c r="B59" s="31" t="s">
        <v>35</v>
      </c>
      <c r="C59" s="1">
        <v>1102</v>
      </c>
      <c r="D59" s="32">
        <f>Table1[[#This Row],[Enrolment S.Y. 2025-2026 ]]*8</f>
        <v>8816</v>
      </c>
      <c r="E59" s="32"/>
      <c r="F59" s="30"/>
      <c r="G59" s="32"/>
      <c r="H59" s="32">
        <f>IF((D59-E59)&lt;0,0,(D59-E59))</f>
        <v>8816</v>
      </c>
      <c r="I59" s="32">
        <f>IF((E59-D59)&lt;0,0,(E59-D59))</f>
        <v>0</v>
      </c>
      <c r="J59" s="32">
        <f>Table1[[#This Row],[Enrolment S.Y. 2025-2026 ]]*8</f>
        <v>8816</v>
      </c>
      <c r="K59" s="32"/>
      <c r="L59" s="30"/>
      <c r="M59" s="32"/>
      <c r="N59" s="4">
        <f t="shared" si="16"/>
        <v>8816</v>
      </c>
      <c r="O59" s="4">
        <f t="shared" si="17"/>
        <v>0</v>
      </c>
      <c r="P59" s="4">
        <f>Table1[[#This Row],[Enrolment S.Y. 2025-2026 ]]*8</f>
        <v>8816</v>
      </c>
      <c r="Q59" s="32"/>
      <c r="R59" s="30"/>
      <c r="S59" s="32"/>
      <c r="T59" s="32">
        <f>IF((P59-Q59)&lt;0,0,(P59-Q59))</f>
        <v>8816</v>
      </c>
      <c r="U59" s="32">
        <f>IF((Q59-P59)&lt;0,0,(Q59-P59))</f>
        <v>0</v>
      </c>
      <c r="V59" s="32">
        <f>Table1[[#This Row],[Enrolment S.Y. 2025-2026 ]]*8</f>
        <v>8816</v>
      </c>
      <c r="W59" s="32"/>
      <c r="X59" s="30"/>
      <c r="Y59" s="32"/>
      <c r="Z59" s="32">
        <f>IF((V59-W59)&lt;0,0,(V59-W59))</f>
        <v>8816</v>
      </c>
      <c r="AA59" s="32">
        <f>IF((W59-V59)&lt;0,0,(W59-V59))</f>
        <v>0</v>
      </c>
    </row>
    <row r="60" spans="1:27" ht="21">
      <c r="A60" s="1">
        <v>11</v>
      </c>
      <c r="B60" s="31" t="s">
        <v>36</v>
      </c>
      <c r="C60" s="1">
        <v>1102</v>
      </c>
      <c r="D60" s="32">
        <f>Table1[[#This Row],[Enrolment S.Y. 2025-2026 ]]*8</f>
        <v>8816</v>
      </c>
      <c r="E60" s="32"/>
      <c r="F60" s="30"/>
      <c r="G60" s="32"/>
      <c r="H60" s="32">
        <f t="shared" si="24"/>
        <v>8816</v>
      </c>
      <c r="I60" s="32">
        <f t="shared" si="25"/>
        <v>0</v>
      </c>
      <c r="J60" s="32">
        <f>Table1[[#This Row],[Enrolment S.Y. 2025-2026 ]]*8</f>
        <v>8816</v>
      </c>
      <c r="K60" s="32"/>
      <c r="L60" s="30"/>
      <c r="M60" s="32"/>
      <c r="N60" s="4">
        <f t="shared" si="16"/>
        <v>8816</v>
      </c>
      <c r="O60" s="4">
        <f t="shared" si="17"/>
        <v>0</v>
      </c>
      <c r="P60" s="4">
        <f>Table1[[#This Row],[Enrolment S.Y. 2025-2026 ]]*8</f>
        <v>8816</v>
      </c>
      <c r="Q60" s="32"/>
      <c r="R60" s="30"/>
      <c r="S60" s="32"/>
      <c r="T60" s="32">
        <f t="shared" si="26"/>
        <v>8816</v>
      </c>
      <c r="U60" s="32">
        <f t="shared" si="27"/>
        <v>0</v>
      </c>
      <c r="V60" s="32">
        <f>Table1[[#This Row],[Enrolment S.Y. 2025-2026 ]]*8</f>
        <v>8816</v>
      </c>
      <c r="W60" s="32"/>
      <c r="X60" s="30"/>
      <c r="Y60" s="32"/>
      <c r="Z60" s="32">
        <f t="shared" si="28"/>
        <v>8816</v>
      </c>
      <c r="AA60" s="32">
        <f t="shared" si="29"/>
        <v>0</v>
      </c>
    </row>
    <row r="61" spans="1:27" ht="61.5">
      <c r="A61" s="1">
        <v>11</v>
      </c>
      <c r="B61" s="31" t="s">
        <v>37</v>
      </c>
      <c r="C61" s="1">
        <v>1102</v>
      </c>
      <c r="D61" s="32">
        <f>Table1[[#This Row],[Enrolment S.Y. 2025-2026 ]]*8</f>
        <v>8816</v>
      </c>
      <c r="E61" s="32"/>
      <c r="F61" s="30"/>
      <c r="G61" s="32"/>
      <c r="H61" s="32">
        <f t="shared" si="24"/>
        <v>8816</v>
      </c>
      <c r="I61" s="32">
        <f t="shared" si="25"/>
        <v>0</v>
      </c>
      <c r="J61" s="32">
        <f>Table1[[#This Row],[Enrolment S.Y. 2025-2026 ]]*8</f>
        <v>8816</v>
      </c>
      <c r="K61" s="32"/>
      <c r="L61" s="30"/>
      <c r="M61" s="32"/>
      <c r="N61" s="4">
        <f t="shared" si="16"/>
        <v>8816</v>
      </c>
      <c r="O61" s="4">
        <f t="shared" si="17"/>
        <v>0</v>
      </c>
      <c r="P61" s="4">
        <f>Table1[[#This Row],[Enrolment S.Y. 2025-2026 ]]*8</f>
        <v>8816</v>
      </c>
      <c r="Q61" s="32"/>
      <c r="R61" s="30"/>
      <c r="S61" s="32"/>
      <c r="T61" s="32">
        <f t="shared" si="26"/>
        <v>8816</v>
      </c>
      <c r="U61" s="32">
        <f t="shared" si="27"/>
        <v>0</v>
      </c>
      <c r="V61" s="32">
        <f>Table1[[#This Row],[Enrolment S.Y. 2025-2026 ]]*8</f>
        <v>8816</v>
      </c>
      <c r="W61" s="32"/>
      <c r="X61" s="30"/>
      <c r="Y61" s="32"/>
      <c r="Z61" s="32">
        <f t="shared" si="28"/>
        <v>8816</v>
      </c>
      <c r="AA61" s="32">
        <f t="shared" si="29"/>
        <v>0</v>
      </c>
    </row>
    <row r="62" spans="1:27" s="5" customFormat="1" ht="21">
      <c r="A62" s="1">
        <v>11</v>
      </c>
      <c r="B62" s="31" t="s">
        <v>38</v>
      </c>
      <c r="C62" s="1">
        <v>1102</v>
      </c>
      <c r="D62" s="32">
        <f>Table1[[#This Row],[Enrolment S.Y. 2025-2026 ]]*8</f>
        <v>8816</v>
      </c>
      <c r="E62" s="32"/>
      <c r="F62" s="30"/>
      <c r="G62" s="32"/>
      <c r="H62" s="32">
        <f t="shared" si="24"/>
        <v>8816</v>
      </c>
      <c r="I62" s="32">
        <f t="shared" si="25"/>
        <v>0</v>
      </c>
      <c r="J62" s="32">
        <f>Table1[[#This Row],[Enrolment S.Y. 2025-2026 ]]*8</f>
        <v>8816</v>
      </c>
      <c r="K62" s="32"/>
      <c r="L62" s="30"/>
      <c r="M62" s="32"/>
      <c r="N62" s="4">
        <f t="shared" si="16"/>
        <v>8816</v>
      </c>
      <c r="O62" s="4">
        <f t="shared" si="17"/>
        <v>0</v>
      </c>
      <c r="P62" s="4">
        <f>Table1[[#This Row],[Enrolment S.Y. 2025-2026 ]]*8</f>
        <v>8816</v>
      </c>
      <c r="Q62" s="32"/>
      <c r="R62" s="30"/>
      <c r="S62" s="32"/>
      <c r="T62" s="32">
        <f t="shared" si="26"/>
        <v>8816</v>
      </c>
      <c r="U62" s="32">
        <f t="shared" si="27"/>
        <v>0</v>
      </c>
      <c r="V62" s="32">
        <f>Table1[[#This Row],[Enrolment S.Y. 2025-2026 ]]*8</f>
        <v>8816</v>
      </c>
      <c r="W62" s="32"/>
      <c r="X62" s="30"/>
      <c r="Y62" s="32"/>
      <c r="Z62" s="32">
        <f t="shared" si="28"/>
        <v>8816</v>
      </c>
      <c r="AA62" s="32">
        <f t="shared" si="29"/>
        <v>0</v>
      </c>
    </row>
    <row r="63" spans="1:27" ht="21">
      <c r="A63" s="1">
        <v>11</v>
      </c>
      <c r="B63" s="31" t="s">
        <v>39</v>
      </c>
      <c r="C63" s="1">
        <v>1102</v>
      </c>
      <c r="D63" s="32">
        <f>Table1[[#This Row],[Enrolment S.Y. 2025-2026 ]]*8</f>
        <v>8816</v>
      </c>
      <c r="E63" s="32"/>
      <c r="F63" s="30"/>
      <c r="G63" s="32"/>
      <c r="H63" s="32">
        <f t="shared" si="24"/>
        <v>8816</v>
      </c>
      <c r="I63" s="32">
        <f t="shared" si="25"/>
        <v>0</v>
      </c>
      <c r="J63" s="32">
        <f>Table1[[#This Row],[Enrolment S.Y. 2025-2026 ]]*8</f>
        <v>8816</v>
      </c>
      <c r="K63" s="32"/>
      <c r="L63" s="30"/>
      <c r="M63" s="32"/>
      <c r="N63" s="4">
        <f t="shared" si="16"/>
        <v>8816</v>
      </c>
      <c r="O63" s="4">
        <f t="shared" si="17"/>
        <v>0</v>
      </c>
      <c r="P63" s="4">
        <f>Table1[[#This Row],[Enrolment S.Y. 2025-2026 ]]*8</f>
        <v>8816</v>
      </c>
      <c r="Q63" s="32"/>
      <c r="R63" s="30"/>
      <c r="S63" s="32"/>
      <c r="T63" s="32">
        <f t="shared" si="26"/>
        <v>8816</v>
      </c>
      <c r="U63" s="32">
        <f t="shared" si="27"/>
        <v>0</v>
      </c>
      <c r="V63" s="32">
        <f>Table1[[#This Row],[Enrolment S.Y. 2025-2026 ]]*8</f>
        <v>8816</v>
      </c>
      <c r="W63" s="32"/>
      <c r="X63" s="30"/>
      <c r="Y63" s="32"/>
      <c r="Z63" s="32">
        <f t="shared" si="28"/>
        <v>8816</v>
      </c>
      <c r="AA63" s="32">
        <f t="shared" si="29"/>
        <v>0</v>
      </c>
    </row>
    <row r="64" spans="1:27" ht="21">
      <c r="A64" s="1">
        <v>11</v>
      </c>
      <c r="B64" s="31" t="s">
        <v>40</v>
      </c>
      <c r="C64" s="1">
        <v>1102</v>
      </c>
      <c r="D64" s="32">
        <f>Table1[[#This Row],[Enrolment S.Y. 2025-2026 ]]*8</f>
        <v>8816</v>
      </c>
      <c r="E64" s="32"/>
      <c r="F64" s="30"/>
      <c r="G64" s="32"/>
      <c r="H64" s="32">
        <f t="shared" si="24"/>
        <v>8816</v>
      </c>
      <c r="I64" s="32">
        <f t="shared" si="25"/>
        <v>0</v>
      </c>
      <c r="J64" s="32">
        <f>Table1[[#This Row],[Enrolment S.Y. 2025-2026 ]]*8</f>
        <v>8816</v>
      </c>
      <c r="K64" s="32"/>
      <c r="L64" s="30"/>
      <c r="M64" s="32"/>
      <c r="N64" s="4">
        <f t="shared" si="16"/>
        <v>8816</v>
      </c>
      <c r="O64" s="4">
        <f t="shared" si="17"/>
        <v>0</v>
      </c>
      <c r="P64" s="4">
        <f>Table1[[#This Row],[Enrolment S.Y. 2025-2026 ]]*8</f>
        <v>8816</v>
      </c>
      <c r="Q64" s="32"/>
      <c r="R64" s="30"/>
      <c r="S64" s="32"/>
      <c r="T64" s="32">
        <f t="shared" si="26"/>
        <v>8816</v>
      </c>
      <c r="U64" s="32">
        <f t="shared" si="27"/>
        <v>0</v>
      </c>
      <c r="V64" s="32">
        <f>Table1[[#This Row],[Enrolment S.Y. 2025-2026 ]]*8</f>
        <v>8816</v>
      </c>
      <c r="W64" s="32"/>
      <c r="X64" s="30"/>
      <c r="Y64" s="32"/>
      <c r="Z64" s="32">
        <f t="shared" si="28"/>
        <v>8816</v>
      </c>
      <c r="AA64" s="32">
        <f t="shared" si="29"/>
        <v>0</v>
      </c>
    </row>
    <row r="65" spans="1:27" ht="21">
      <c r="A65" s="1">
        <v>11</v>
      </c>
      <c r="B65" s="31" t="s">
        <v>41</v>
      </c>
      <c r="C65" s="1">
        <v>1102</v>
      </c>
      <c r="D65" s="32">
        <f>Table1[[#This Row],[Enrolment S.Y. 2025-2026 ]]*8</f>
        <v>8816</v>
      </c>
      <c r="E65" s="32"/>
      <c r="F65" s="30"/>
      <c r="G65" s="32"/>
      <c r="H65" s="32">
        <f t="shared" si="24"/>
        <v>8816</v>
      </c>
      <c r="I65" s="32">
        <f t="shared" si="25"/>
        <v>0</v>
      </c>
      <c r="J65" s="32">
        <f>Table1[[#This Row],[Enrolment S.Y. 2025-2026 ]]*8</f>
        <v>8816</v>
      </c>
      <c r="K65" s="32"/>
      <c r="L65" s="30"/>
      <c r="M65" s="32"/>
      <c r="N65" s="4">
        <f t="shared" si="16"/>
        <v>8816</v>
      </c>
      <c r="O65" s="4">
        <f t="shared" si="17"/>
        <v>0</v>
      </c>
      <c r="P65" s="4">
        <f>Table1[[#This Row],[Enrolment S.Y. 2025-2026 ]]*8</f>
        <v>8816</v>
      </c>
      <c r="Q65" s="32"/>
      <c r="R65" s="30"/>
      <c r="S65" s="32"/>
      <c r="T65" s="32">
        <f t="shared" si="26"/>
        <v>8816</v>
      </c>
      <c r="U65" s="32">
        <f t="shared" si="27"/>
        <v>0</v>
      </c>
      <c r="V65" s="32">
        <f>Table1[[#This Row],[Enrolment S.Y. 2025-2026 ]]*8</f>
        <v>8816</v>
      </c>
      <c r="W65" s="32"/>
      <c r="X65" s="30"/>
      <c r="Y65" s="32"/>
      <c r="Z65" s="32">
        <f t="shared" si="28"/>
        <v>8816</v>
      </c>
      <c r="AA65" s="32">
        <f t="shared" si="29"/>
        <v>0</v>
      </c>
    </row>
    <row r="66" spans="1:27" ht="21">
      <c r="A66" s="1">
        <v>11</v>
      </c>
      <c r="B66" s="31" t="s">
        <v>42</v>
      </c>
      <c r="C66" s="1">
        <v>1102</v>
      </c>
      <c r="D66" s="32">
        <f>Table1[[#This Row],[Enrolment S.Y. 2025-2026 ]]*8</f>
        <v>8816</v>
      </c>
      <c r="E66" s="32"/>
      <c r="F66" s="30"/>
      <c r="G66" s="32"/>
      <c r="H66" s="32">
        <f t="shared" si="24"/>
        <v>8816</v>
      </c>
      <c r="I66" s="32">
        <f t="shared" si="25"/>
        <v>0</v>
      </c>
      <c r="J66" s="32">
        <f>Table1[[#This Row],[Enrolment S.Y. 2025-2026 ]]*8</f>
        <v>8816</v>
      </c>
      <c r="K66" s="32"/>
      <c r="L66" s="30"/>
      <c r="M66" s="32"/>
      <c r="N66" s="4">
        <f t="shared" si="16"/>
        <v>8816</v>
      </c>
      <c r="O66" s="4">
        <f t="shared" si="17"/>
        <v>0</v>
      </c>
      <c r="P66" s="4">
        <f>Table1[[#This Row],[Enrolment S.Y. 2025-2026 ]]*8</f>
        <v>8816</v>
      </c>
      <c r="Q66" s="32"/>
      <c r="R66" s="30"/>
      <c r="S66" s="32"/>
      <c r="T66" s="32">
        <f t="shared" si="26"/>
        <v>8816</v>
      </c>
      <c r="U66" s="32">
        <f t="shared" si="27"/>
        <v>0</v>
      </c>
      <c r="V66" s="32">
        <f>Table1[[#This Row],[Enrolment S.Y. 2025-2026 ]]*8</f>
        <v>8816</v>
      </c>
      <c r="W66" s="32"/>
      <c r="X66" s="30"/>
      <c r="Y66" s="32"/>
      <c r="Z66" s="32">
        <f t="shared" si="28"/>
        <v>8816</v>
      </c>
      <c r="AA66" s="32">
        <f t="shared" si="29"/>
        <v>0</v>
      </c>
    </row>
    <row r="67" spans="1:27" ht="21">
      <c r="A67" s="1">
        <v>11</v>
      </c>
      <c r="B67" s="31" t="s">
        <v>43</v>
      </c>
      <c r="C67" s="1">
        <v>1102</v>
      </c>
      <c r="D67" s="32">
        <f>Table1[[#This Row],[Enrolment S.Y. 2025-2026 ]]*8</f>
        <v>8816</v>
      </c>
      <c r="E67" s="32"/>
      <c r="F67" s="30"/>
      <c r="G67" s="32"/>
      <c r="H67" s="32">
        <f t="shared" ref="H67:H73" si="30">IF((D67-E67)&lt;0,0,(D67-E67))</f>
        <v>8816</v>
      </c>
      <c r="I67" s="32">
        <f t="shared" ref="I67:I73" si="31">IF((E67-D67)&lt;0,0,(E67-D67))</f>
        <v>0</v>
      </c>
      <c r="J67" s="32">
        <f>Table1[[#This Row],[Enrolment S.Y. 2025-2026 ]]*8</f>
        <v>8816</v>
      </c>
      <c r="K67" s="32"/>
      <c r="L67" s="30"/>
      <c r="M67" s="32"/>
      <c r="N67" s="32"/>
      <c r="O67" s="32"/>
      <c r="P67" s="32" t="e">
        <f>#REF!*8</f>
        <v>#REF!</v>
      </c>
      <c r="Q67" s="32"/>
      <c r="R67" s="30"/>
      <c r="S67" s="32"/>
      <c r="T67" s="32" t="e">
        <f t="shared" ref="T67:T73" si="32">IF((P67-Q67)&lt;0,0,(P67-Q67))</f>
        <v>#REF!</v>
      </c>
      <c r="U67" s="32" t="e">
        <f t="shared" ref="U67:U73" si="33">IF((Q67-P67)&lt;0,0,(Q67-P67))</f>
        <v>#REF!</v>
      </c>
      <c r="V67" s="32">
        <f>Table1[[#This Row],[Enrolment S.Y. 2025-2026 ]]*8</f>
        <v>8816</v>
      </c>
      <c r="W67" s="32"/>
      <c r="X67" s="30"/>
      <c r="Y67" s="32"/>
      <c r="Z67" s="32">
        <f t="shared" ref="Z67:Z73" si="34">IF((V67-W67)&lt;0,0,(V67-W67))</f>
        <v>8816</v>
      </c>
      <c r="AA67" s="32">
        <f t="shared" ref="AA67:AA73" si="35">IF((W67-V67)&lt;0,0,(W67-V67))</f>
        <v>0</v>
      </c>
    </row>
    <row r="68" spans="1:27" ht="21">
      <c r="A68" s="1">
        <v>11</v>
      </c>
      <c r="B68" s="31" t="s">
        <v>44</v>
      </c>
      <c r="C68" s="1">
        <v>1102</v>
      </c>
      <c r="D68" s="32">
        <f>Table1[[#This Row],[Enrolment S.Y. 2025-2026 ]]*8</f>
        <v>8816</v>
      </c>
      <c r="E68" s="32"/>
      <c r="F68" s="30"/>
      <c r="G68" s="32"/>
      <c r="H68" s="32">
        <f t="shared" si="30"/>
        <v>8816</v>
      </c>
      <c r="I68" s="32">
        <f t="shared" si="31"/>
        <v>0</v>
      </c>
      <c r="J68" s="32">
        <f>Table1[[#This Row],[Enrolment S.Y. 2025-2026 ]]*8</f>
        <v>8816</v>
      </c>
      <c r="K68" s="32"/>
      <c r="L68" s="30"/>
      <c r="M68" s="32"/>
      <c r="N68" s="32"/>
      <c r="O68" s="32"/>
      <c r="P68" s="32" t="e">
        <f>#REF!*8</f>
        <v>#REF!</v>
      </c>
      <c r="Q68" s="32"/>
      <c r="R68" s="30"/>
      <c r="S68" s="32"/>
      <c r="T68" s="32" t="e">
        <f t="shared" si="32"/>
        <v>#REF!</v>
      </c>
      <c r="U68" s="32" t="e">
        <f t="shared" si="33"/>
        <v>#REF!</v>
      </c>
      <c r="V68" s="32">
        <f>Table1[[#This Row],[Enrolment S.Y. 2025-2026 ]]*8</f>
        <v>8816</v>
      </c>
      <c r="W68" s="32"/>
      <c r="X68" s="30"/>
      <c r="Y68" s="32"/>
      <c r="Z68" s="32">
        <f t="shared" si="34"/>
        <v>8816</v>
      </c>
      <c r="AA68" s="32">
        <f t="shared" si="35"/>
        <v>0</v>
      </c>
    </row>
    <row r="69" spans="1:27" ht="21">
      <c r="A69" s="1">
        <v>11</v>
      </c>
      <c r="B69" s="31" t="s">
        <v>45</v>
      </c>
      <c r="C69" s="1">
        <v>1102</v>
      </c>
      <c r="D69" s="32">
        <f>Table1[[#This Row],[Enrolment S.Y. 2025-2026 ]]*8</f>
        <v>8816</v>
      </c>
      <c r="E69" s="32"/>
      <c r="F69" s="30"/>
      <c r="G69" s="32"/>
      <c r="H69" s="32">
        <f t="shared" si="30"/>
        <v>8816</v>
      </c>
      <c r="I69" s="32">
        <f t="shared" si="31"/>
        <v>0</v>
      </c>
      <c r="J69" s="32">
        <f>Table1[[#This Row],[Enrolment S.Y. 2025-2026 ]]*8</f>
        <v>8816</v>
      </c>
      <c r="K69" s="32"/>
      <c r="L69" s="30"/>
      <c r="M69" s="32"/>
      <c r="N69" s="32"/>
      <c r="O69" s="32"/>
      <c r="P69" s="32" t="e">
        <f>#REF!*8</f>
        <v>#REF!</v>
      </c>
      <c r="Q69" s="32"/>
      <c r="R69" s="30"/>
      <c r="S69" s="32"/>
      <c r="T69" s="32" t="e">
        <f t="shared" si="32"/>
        <v>#REF!</v>
      </c>
      <c r="U69" s="32" t="e">
        <f t="shared" si="33"/>
        <v>#REF!</v>
      </c>
      <c r="V69" s="32">
        <f>Table1[[#This Row],[Enrolment S.Y. 2025-2026 ]]*8</f>
        <v>8816</v>
      </c>
      <c r="W69" s="32"/>
      <c r="X69" s="30"/>
      <c r="Y69" s="32"/>
      <c r="Z69" s="32">
        <f t="shared" si="34"/>
        <v>8816</v>
      </c>
      <c r="AA69" s="32">
        <f t="shared" si="35"/>
        <v>0</v>
      </c>
    </row>
    <row r="70" spans="1:27" ht="21">
      <c r="A70" s="1">
        <v>11</v>
      </c>
      <c r="B70" s="31" t="s">
        <v>46</v>
      </c>
      <c r="C70" s="1">
        <v>1102</v>
      </c>
      <c r="D70" s="32">
        <f>Table1[[#This Row],[Enrolment S.Y. 2025-2026 ]]*8</f>
        <v>8816</v>
      </c>
      <c r="E70" s="32"/>
      <c r="F70" s="30"/>
      <c r="G70" s="32"/>
      <c r="H70" s="32">
        <f t="shared" si="30"/>
        <v>8816</v>
      </c>
      <c r="I70" s="32">
        <f t="shared" si="31"/>
        <v>0</v>
      </c>
      <c r="J70" s="32">
        <f>Table1[[#This Row],[Enrolment S.Y. 2025-2026 ]]*8</f>
        <v>8816</v>
      </c>
      <c r="K70" s="32"/>
      <c r="L70" s="30"/>
      <c r="M70" s="32"/>
      <c r="N70" s="32"/>
      <c r="O70" s="32"/>
      <c r="P70" s="32" t="e">
        <f>#REF!*8</f>
        <v>#REF!</v>
      </c>
      <c r="Q70" s="32"/>
      <c r="R70" s="30"/>
      <c r="S70" s="32"/>
      <c r="T70" s="32" t="e">
        <f t="shared" si="32"/>
        <v>#REF!</v>
      </c>
      <c r="U70" s="32" t="e">
        <f t="shared" si="33"/>
        <v>#REF!</v>
      </c>
      <c r="V70" s="32">
        <f>Table1[[#This Row],[Enrolment S.Y. 2025-2026 ]]*8</f>
        <v>8816</v>
      </c>
      <c r="W70" s="32"/>
      <c r="X70" s="30"/>
      <c r="Y70" s="32"/>
      <c r="Z70" s="32">
        <f t="shared" si="34"/>
        <v>8816</v>
      </c>
      <c r="AA70" s="32">
        <f t="shared" si="35"/>
        <v>0</v>
      </c>
    </row>
    <row r="71" spans="1:27" ht="40.5">
      <c r="A71" s="1">
        <v>11</v>
      </c>
      <c r="B71" s="31" t="s">
        <v>47</v>
      </c>
      <c r="C71" s="1">
        <v>1102</v>
      </c>
      <c r="D71" s="32">
        <f>Table1[[#This Row],[Enrolment S.Y. 2025-2026 ]]*8</f>
        <v>8816</v>
      </c>
      <c r="E71" s="32"/>
      <c r="F71" s="30"/>
      <c r="G71" s="32"/>
      <c r="H71" s="32">
        <f t="shared" si="30"/>
        <v>8816</v>
      </c>
      <c r="I71" s="32">
        <f t="shared" si="31"/>
        <v>0</v>
      </c>
      <c r="J71" s="32">
        <f>Table1[[#This Row],[Enrolment S.Y. 2025-2026 ]]*8</f>
        <v>8816</v>
      </c>
      <c r="K71" s="32"/>
      <c r="L71" s="30"/>
      <c r="M71" s="32"/>
      <c r="N71" s="32"/>
      <c r="O71" s="32"/>
      <c r="P71" s="32" t="e">
        <f>#REF!*8</f>
        <v>#REF!</v>
      </c>
      <c r="Q71" s="32"/>
      <c r="R71" s="30"/>
      <c r="S71" s="32"/>
      <c r="T71" s="32" t="e">
        <f t="shared" si="32"/>
        <v>#REF!</v>
      </c>
      <c r="U71" s="32" t="e">
        <f t="shared" si="33"/>
        <v>#REF!</v>
      </c>
      <c r="V71" s="32">
        <f>Table1[[#This Row],[Enrolment S.Y. 2025-2026 ]]*8</f>
        <v>8816</v>
      </c>
      <c r="W71" s="32"/>
      <c r="X71" s="30"/>
      <c r="Y71" s="32"/>
      <c r="Z71" s="32">
        <f t="shared" si="34"/>
        <v>8816</v>
      </c>
      <c r="AA71" s="32">
        <f t="shared" si="35"/>
        <v>0</v>
      </c>
    </row>
    <row r="72" spans="1:27" s="5" customFormat="1" ht="61.5">
      <c r="A72" s="1">
        <v>11</v>
      </c>
      <c r="B72" s="31" t="s">
        <v>48</v>
      </c>
      <c r="C72" s="1">
        <v>1102</v>
      </c>
      <c r="D72" s="32">
        <f>Table1[[#This Row],[Enrolment S.Y. 2025-2026 ]]*8</f>
        <v>8816</v>
      </c>
      <c r="E72" s="32"/>
      <c r="F72" s="30"/>
      <c r="G72" s="32"/>
      <c r="H72" s="32">
        <f t="shared" si="30"/>
        <v>8816</v>
      </c>
      <c r="I72" s="32">
        <f t="shared" si="31"/>
        <v>0</v>
      </c>
      <c r="J72" s="32">
        <f>Table1[[#This Row],[Enrolment S.Y. 2025-2026 ]]*8</f>
        <v>8816</v>
      </c>
      <c r="K72" s="32"/>
      <c r="L72" s="30"/>
      <c r="M72" s="32"/>
      <c r="N72" s="32"/>
      <c r="O72" s="32"/>
      <c r="P72" s="32" t="e">
        <f>#REF!*8</f>
        <v>#REF!</v>
      </c>
      <c r="Q72" s="32"/>
      <c r="R72" s="30"/>
      <c r="S72" s="32"/>
      <c r="T72" s="32" t="e">
        <f t="shared" si="32"/>
        <v>#REF!</v>
      </c>
      <c r="U72" s="32" t="e">
        <f t="shared" si="33"/>
        <v>#REF!</v>
      </c>
      <c r="V72" s="32">
        <f>Table1[[#This Row],[Enrolment S.Y. 2025-2026 ]]*8</f>
        <v>8816</v>
      </c>
      <c r="W72" s="32"/>
      <c r="X72" s="30"/>
      <c r="Y72" s="32"/>
      <c r="Z72" s="32">
        <f t="shared" si="34"/>
        <v>8816</v>
      </c>
      <c r="AA72" s="32">
        <f t="shared" si="35"/>
        <v>0</v>
      </c>
    </row>
    <row r="73" spans="1:27" ht="21">
      <c r="A73" s="1">
        <v>11</v>
      </c>
      <c r="B73" s="31" t="s">
        <v>49</v>
      </c>
      <c r="C73" s="1">
        <v>1102</v>
      </c>
      <c r="D73" s="32">
        <f>Table1[[#This Row],[Enrolment S.Y. 2025-2026 ]]*8</f>
        <v>8816</v>
      </c>
      <c r="E73" s="32"/>
      <c r="F73" s="30"/>
      <c r="G73" s="32"/>
      <c r="H73" s="32">
        <f t="shared" si="30"/>
        <v>8816</v>
      </c>
      <c r="I73" s="32">
        <f t="shared" si="31"/>
        <v>0</v>
      </c>
      <c r="J73" s="32">
        <f>Table1[[#This Row],[Enrolment S.Y. 2025-2026 ]]*8</f>
        <v>8816</v>
      </c>
      <c r="K73" s="32"/>
      <c r="L73" s="30"/>
      <c r="M73" s="32"/>
      <c r="N73" s="32"/>
      <c r="O73" s="32"/>
      <c r="P73" s="32" t="e">
        <f>#REF!*8</f>
        <v>#REF!</v>
      </c>
      <c r="Q73" s="32"/>
      <c r="R73" s="30"/>
      <c r="S73" s="32"/>
      <c r="T73" s="32" t="e">
        <f t="shared" si="32"/>
        <v>#REF!</v>
      </c>
      <c r="U73" s="32" t="e">
        <f t="shared" si="33"/>
        <v>#REF!</v>
      </c>
      <c r="V73" s="32">
        <f>Table1[[#This Row],[Enrolment S.Y. 2025-2026 ]]*8</f>
        <v>8816</v>
      </c>
      <c r="W73" s="32"/>
      <c r="X73" s="30"/>
      <c r="Y73" s="32"/>
      <c r="Z73" s="32">
        <f t="shared" si="34"/>
        <v>8816</v>
      </c>
      <c r="AA73" s="32">
        <f t="shared" si="35"/>
        <v>0</v>
      </c>
    </row>
    <row r="74" spans="1:27" ht="21">
      <c r="A74" s="1">
        <v>11</v>
      </c>
      <c r="B74" s="31" t="s">
        <v>50</v>
      </c>
      <c r="C74" s="1">
        <v>1102</v>
      </c>
      <c r="D74" s="32">
        <f>Table1[[#This Row],[Enrolment S.Y. 2025-2026 ]]*8</f>
        <v>8816</v>
      </c>
      <c r="E74" s="32"/>
      <c r="F74" s="30"/>
      <c r="G74" s="32"/>
      <c r="H74" s="32">
        <f>IF((D74-E74)&lt;0,0,(D74-E74))</f>
        <v>8816</v>
      </c>
      <c r="I74" s="32">
        <f>IF((E74-D74)&lt;0,0,(E74-D74))</f>
        <v>0</v>
      </c>
      <c r="J74" s="32">
        <f>Table1[[#This Row],[Enrolment S.Y. 2025-2026 ]]*8</f>
        <v>8816</v>
      </c>
      <c r="K74" s="32"/>
      <c r="L74" s="30"/>
      <c r="M74" s="32"/>
      <c r="N74" s="32"/>
      <c r="O74" s="32"/>
      <c r="P74" s="32" t="e">
        <f>#REF!*8</f>
        <v>#REF!</v>
      </c>
      <c r="Q74" s="32"/>
      <c r="R74" s="30"/>
      <c r="S74" s="32"/>
      <c r="T74" s="32" t="e">
        <f>IF((P74-Q74)&lt;0,0,(P74-Q74))</f>
        <v>#REF!</v>
      </c>
      <c r="U74" s="32" t="e">
        <f>IF((Q74-P74)&lt;0,0,(Q74-P74))</f>
        <v>#REF!</v>
      </c>
      <c r="V74" s="32">
        <f>Table1[[#This Row],[Enrolment S.Y. 2025-2026 ]]*8</f>
        <v>8816</v>
      </c>
      <c r="W74" s="32"/>
      <c r="X74" s="30"/>
      <c r="Y74" s="32"/>
      <c r="Z74" s="32">
        <f>IF((V74-W74)&lt;0,0,(V74-W74))</f>
        <v>8816</v>
      </c>
      <c r="AA74" s="32">
        <f>IF((W74-V74)&lt;0,0,(W74-V74))</f>
        <v>0</v>
      </c>
    </row>
    <row r="75" spans="1:27" ht="19.5">
      <c r="A75" s="5"/>
      <c r="B75" s="5"/>
      <c r="C75" s="5"/>
      <c r="D75" s="5"/>
      <c r="E75" s="5"/>
      <c r="F75" s="5"/>
      <c r="G75" s="5"/>
      <c r="H75" s="5"/>
      <c r="I75" s="5"/>
      <c r="J75" s="11"/>
      <c r="K75" s="5"/>
      <c r="L75" s="5"/>
      <c r="M75" s="5"/>
      <c r="N75" s="11"/>
      <c r="O75" s="11"/>
      <c r="P75" s="11"/>
      <c r="Q75" s="5"/>
      <c r="R75" s="5"/>
      <c r="S75" s="5"/>
      <c r="T75" s="11"/>
      <c r="U75" s="11"/>
      <c r="V75" s="11"/>
      <c r="W75" s="5"/>
      <c r="X75" s="5"/>
      <c r="Y75" s="5"/>
      <c r="Z75" s="11"/>
      <c r="AA75" s="11"/>
    </row>
    <row r="76" spans="1:27" ht="38.25">
      <c r="A76" s="1">
        <v>12</v>
      </c>
      <c r="B76" s="7" t="s">
        <v>51</v>
      </c>
      <c r="C76" s="1">
        <v>1374</v>
      </c>
      <c r="D76" s="32">
        <f>Table1[[#This Row],[Enrolment S.Y. 2025-2026 ]]*8</f>
        <v>10992</v>
      </c>
      <c r="E76" s="4"/>
      <c r="F76" s="1"/>
      <c r="G76" s="4"/>
      <c r="H76" s="4">
        <f t="shared" si="14"/>
        <v>10992</v>
      </c>
      <c r="I76" s="4">
        <f t="shared" si="15"/>
        <v>0</v>
      </c>
      <c r="J76" s="4">
        <f>Table1[[#This Row],[Enrolment S.Y. 2025-2026 ]]*8</f>
        <v>10992</v>
      </c>
      <c r="K76" s="4"/>
      <c r="L76" s="1"/>
      <c r="M76" s="4"/>
      <c r="N76" s="4">
        <f t="shared" si="8"/>
        <v>10992</v>
      </c>
      <c r="O76" s="4">
        <f t="shared" si="9"/>
        <v>0</v>
      </c>
      <c r="P76" s="4">
        <f>Table1[[#This Row],[Enrolment S.Y. 2025-2026 ]]*8</f>
        <v>10992</v>
      </c>
      <c r="Q76" s="4"/>
      <c r="R76" s="1"/>
      <c r="S76" s="4"/>
      <c r="T76" s="4">
        <f t="shared" si="10"/>
        <v>10992</v>
      </c>
      <c r="U76" s="4">
        <f t="shared" si="11"/>
        <v>0</v>
      </c>
      <c r="V76" s="4">
        <f>Table1[[#This Row],[Enrolment S.Y. 2025-2026 ]]*8</f>
        <v>10992</v>
      </c>
      <c r="W76" s="4"/>
      <c r="X76" s="1"/>
      <c r="Y76" s="4"/>
      <c r="Z76" s="4">
        <f t="shared" si="12"/>
        <v>10992</v>
      </c>
      <c r="AA76" s="4">
        <f t="shared" si="13"/>
        <v>0</v>
      </c>
    </row>
    <row r="77" spans="1:27" ht="19.5">
      <c r="A77" s="1">
        <v>12</v>
      </c>
      <c r="B77" s="7" t="s">
        <v>52</v>
      </c>
      <c r="C77" s="1">
        <v>1374</v>
      </c>
      <c r="D77" s="32">
        <f>Table1[[#This Row],[Enrolment S.Y. 2025-2026 ]]*8</f>
        <v>10992</v>
      </c>
      <c r="E77" s="4"/>
      <c r="F77" s="1"/>
      <c r="G77" s="4"/>
      <c r="H77" s="4">
        <f t="shared" si="14"/>
        <v>10992</v>
      </c>
      <c r="I77" s="4">
        <f t="shared" si="15"/>
        <v>0</v>
      </c>
      <c r="J77" s="4">
        <f>Table1[[#This Row],[Enrolment S.Y. 2025-2026 ]]*8</f>
        <v>10992</v>
      </c>
      <c r="K77" s="4"/>
      <c r="L77" s="1"/>
      <c r="M77" s="4"/>
      <c r="N77" s="4">
        <f t="shared" si="8"/>
        <v>10992</v>
      </c>
      <c r="O77" s="4">
        <f t="shared" si="9"/>
        <v>0</v>
      </c>
      <c r="P77" s="4">
        <f>Table1[[#This Row],[Enrolment S.Y. 2025-2026 ]]*8</f>
        <v>10992</v>
      </c>
      <c r="Q77" s="4"/>
      <c r="R77" s="1"/>
      <c r="S77" s="4"/>
      <c r="T77" s="4">
        <f t="shared" si="10"/>
        <v>10992</v>
      </c>
      <c r="U77" s="4">
        <f t="shared" si="11"/>
        <v>0</v>
      </c>
      <c r="V77" s="4">
        <f>Table1[[#This Row],[Enrolment S.Y. 2025-2026 ]]*8</f>
        <v>10992</v>
      </c>
      <c r="W77" s="4"/>
      <c r="X77" s="1"/>
      <c r="Y77" s="4"/>
      <c r="Z77" s="4">
        <f t="shared" si="12"/>
        <v>10992</v>
      </c>
      <c r="AA77" s="4">
        <f t="shared" si="13"/>
        <v>0</v>
      </c>
    </row>
    <row r="78" spans="1:27" ht="38.25">
      <c r="A78" s="1">
        <v>12</v>
      </c>
      <c r="B78" s="7" t="s">
        <v>53</v>
      </c>
      <c r="C78" s="1">
        <v>1374</v>
      </c>
      <c r="D78" s="32">
        <f>Table1[[#This Row],[Enrolment S.Y. 2025-2026 ]]*8</f>
        <v>10992</v>
      </c>
      <c r="E78" s="4"/>
      <c r="F78" s="1"/>
      <c r="G78" s="4"/>
      <c r="H78" s="4">
        <f t="shared" si="14"/>
        <v>10992</v>
      </c>
      <c r="I78" s="4">
        <f t="shared" si="15"/>
        <v>0</v>
      </c>
      <c r="J78" s="4">
        <f>Table1[[#This Row],[Enrolment S.Y. 2025-2026 ]]*8</f>
        <v>10992</v>
      </c>
      <c r="K78" s="4"/>
      <c r="L78" s="1"/>
      <c r="M78" s="4"/>
      <c r="N78" s="4">
        <f t="shared" si="8"/>
        <v>10992</v>
      </c>
      <c r="O78" s="4">
        <f t="shared" si="9"/>
        <v>0</v>
      </c>
      <c r="P78" s="4">
        <f>Table1[[#This Row],[Enrolment S.Y. 2025-2026 ]]*8</f>
        <v>10992</v>
      </c>
      <c r="Q78" s="4"/>
      <c r="R78" s="1"/>
      <c r="S78" s="4"/>
      <c r="T78" s="4">
        <f t="shared" si="10"/>
        <v>10992</v>
      </c>
      <c r="U78" s="4">
        <f t="shared" si="11"/>
        <v>0</v>
      </c>
      <c r="V78" s="4">
        <f>Table1[[#This Row],[Enrolment S.Y. 2025-2026 ]]*8</f>
        <v>10992</v>
      </c>
      <c r="W78" s="4"/>
      <c r="X78" s="1"/>
      <c r="Y78" s="4"/>
      <c r="Z78" s="4">
        <f t="shared" si="12"/>
        <v>10992</v>
      </c>
      <c r="AA78" s="4">
        <f t="shared" si="13"/>
        <v>0</v>
      </c>
    </row>
    <row r="79" spans="1:27" ht="21">
      <c r="A79" s="1">
        <v>12</v>
      </c>
      <c r="B79" s="31" t="s">
        <v>54</v>
      </c>
      <c r="C79" s="1">
        <v>1374</v>
      </c>
      <c r="D79" s="32">
        <f>Table1[[#This Row],[Enrolment S.Y. 2025-2026 ]]*8</f>
        <v>10992</v>
      </c>
      <c r="E79" s="4"/>
      <c r="F79" s="1"/>
      <c r="G79" s="4"/>
      <c r="H79" s="4">
        <f t="shared" si="14"/>
        <v>10992</v>
      </c>
      <c r="I79" s="4">
        <f t="shared" si="15"/>
        <v>0</v>
      </c>
      <c r="J79" s="4">
        <f>Table1[[#This Row],[Enrolment S.Y. 2025-2026 ]]*8</f>
        <v>10992</v>
      </c>
      <c r="K79" s="4"/>
      <c r="L79" s="1"/>
      <c r="M79" s="4"/>
      <c r="N79" s="4">
        <f t="shared" si="8"/>
        <v>10992</v>
      </c>
      <c r="O79" s="4">
        <f t="shared" si="9"/>
        <v>0</v>
      </c>
      <c r="P79" s="4">
        <f>Table1[[#This Row],[Enrolment S.Y. 2025-2026 ]]*8</f>
        <v>10992</v>
      </c>
      <c r="Q79" s="4"/>
      <c r="R79" s="1"/>
      <c r="S79" s="4"/>
      <c r="T79" s="4">
        <f t="shared" si="10"/>
        <v>10992</v>
      </c>
      <c r="U79" s="4">
        <f t="shared" si="11"/>
        <v>0</v>
      </c>
      <c r="V79" s="4">
        <f>Table1[[#This Row],[Enrolment S.Y. 2025-2026 ]]*8</f>
        <v>10992</v>
      </c>
      <c r="W79" s="4"/>
      <c r="X79" s="1"/>
      <c r="Y79" s="4"/>
      <c r="Z79" s="4">
        <f t="shared" si="12"/>
        <v>10992</v>
      </c>
      <c r="AA79" s="4">
        <f t="shared" si="13"/>
        <v>0</v>
      </c>
    </row>
    <row r="80" spans="1:27" ht="21">
      <c r="A80" s="1">
        <v>12</v>
      </c>
      <c r="B80" s="31" t="s">
        <v>55</v>
      </c>
      <c r="C80" s="1">
        <v>1374</v>
      </c>
      <c r="D80" s="32">
        <f>Table1[[#This Row],[Enrolment S.Y. 2025-2026 ]]*8</f>
        <v>10992</v>
      </c>
      <c r="E80" s="4"/>
      <c r="F80" s="1"/>
      <c r="G80" s="4"/>
      <c r="H80" s="4">
        <f t="shared" si="14"/>
        <v>10992</v>
      </c>
      <c r="I80" s="4">
        <f t="shared" si="15"/>
        <v>0</v>
      </c>
      <c r="J80" s="4">
        <f>Table1[[#This Row],[Enrolment S.Y. 2025-2026 ]]*8</f>
        <v>10992</v>
      </c>
      <c r="K80" s="4"/>
      <c r="L80" s="1"/>
      <c r="M80" s="4"/>
      <c r="N80" s="4">
        <f t="shared" si="8"/>
        <v>10992</v>
      </c>
      <c r="O80" s="4">
        <f t="shared" si="9"/>
        <v>0</v>
      </c>
      <c r="P80" s="4">
        <f>Table1[[#This Row],[Enrolment S.Y. 2025-2026 ]]*8</f>
        <v>10992</v>
      </c>
      <c r="Q80" s="4"/>
      <c r="R80" s="1"/>
      <c r="S80" s="4"/>
      <c r="T80" s="4">
        <f t="shared" si="10"/>
        <v>10992</v>
      </c>
      <c r="U80" s="4">
        <f t="shared" si="11"/>
        <v>0</v>
      </c>
      <c r="V80" s="4">
        <f>Table1[[#This Row],[Enrolment S.Y. 2025-2026 ]]*8</f>
        <v>10992</v>
      </c>
      <c r="W80" s="4"/>
      <c r="X80" s="1"/>
      <c r="Y80" s="4"/>
      <c r="Z80" s="4">
        <f t="shared" si="12"/>
        <v>10992</v>
      </c>
      <c r="AA80" s="4">
        <f t="shared" si="13"/>
        <v>0</v>
      </c>
    </row>
    <row r="81" spans="1:27" ht="19.5">
      <c r="A81" s="1">
        <v>12</v>
      </c>
      <c r="B81" s="7" t="s">
        <v>56</v>
      </c>
      <c r="C81" s="1">
        <v>1374</v>
      </c>
      <c r="D81" s="32">
        <f>Table1[[#This Row],[Enrolment S.Y. 2025-2026 ]]*8</f>
        <v>10992</v>
      </c>
      <c r="E81" s="4"/>
      <c r="F81" s="1"/>
      <c r="G81" s="4"/>
      <c r="H81" s="4">
        <f t="shared" si="14"/>
        <v>10992</v>
      </c>
      <c r="I81" s="4">
        <f t="shared" si="15"/>
        <v>0</v>
      </c>
      <c r="J81" s="4">
        <f>Table1[[#This Row],[Enrolment S.Y. 2025-2026 ]]*8</f>
        <v>10992</v>
      </c>
      <c r="K81" s="4"/>
      <c r="L81" s="1"/>
      <c r="M81" s="4"/>
      <c r="N81" s="4">
        <f t="shared" si="8"/>
        <v>10992</v>
      </c>
      <c r="O81" s="4">
        <f t="shared" si="9"/>
        <v>0</v>
      </c>
      <c r="P81" s="4">
        <f>Table1[[#This Row],[Enrolment S.Y. 2025-2026 ]]*8</f>
        <v>10992</v>
      </c>
      <c r="Q81" s="4"/>
      <c r="R81" s="1"/>
      <c r="S81" s="4"/>
      <c r="T81" s="4">
        <f t="shared" si="10"/>
        <v>10992</v>
      </c>
      <c r="U81" s="4">
        <f t="shared" si="11"/>
        <v>0</v>
      </c>
      <c r="V81" s="4">
        <f>Table1[[#This Row],[Enrolment S.Y. 2025-2026 ]]*8</f>
        <v>10992</v>
      </c>
      <c r="W81" s="4"/>
      <c r="X81" s="1"/>
      <c r="Y81" s="4"/>
      <c r="Z81" s="4">
        <f t="shared" si="12"/>
        <v>10992</v>
      </c>
      <c r="AA81" s="4">
        <f t="shared" si="13"/>
        <v>0</v>
      </c>
    </row>
    <row r="82" spans="1:27" s="5" customFormat="1" ht="19.5">
      <c r="A82" s="1">
        <v>12</v>
      </c>
      <c r="B82" s="7" t="s">
        <v>57</v>
      </c>
      <c r="C82" s="1">
        <v>1374</v>
      </c>
      <c r="D82" s="32">
        <f>Table1[[#This Row],[Enrolment S.Y. 2025-2026 ]]*8</f>
        <v>10992</v>
      </c>
      <c r="E82" s="4"/>
      <c r="F82" s="1"/>
      <c r="G82" s="4"/>
      <c r="H82" s="4">
        <f t="shared" si="14"/>
        <v>10992</v>
      </c>
      <c r="I82" s="4">
        <f t="shared" si="15"/>
        <v>0</v>
      </c>
      <c r="J82" s="4">
        <f>Table1[[#This Row],[Enrolment S.Y. 2025-2026 ]]*8</f>
        <v>10992</v>
      </c>
      <c r="K82" s="4"/>
      <c r="L82" s="1"/>
      <c r="M82" s="4"/>
      <c r="N82" s="4">
        <f t="shared" si="8"/>
        <v>10992</v>
      </c>
      <c r="O82" s="4">
        <f t="shared" si="9"/>
        <v>0</v>
      </c>
      <c r="P82" s="4">
        <f>Table1[[#This Row],[Enrolment S.Y. 2025-2026 ]]*8</f>
        <v>10992</v>
      </c>
      <c r="Q82" s="4"/>
      <c r="R82" s="1"/>
      <c r="S82" s="4"/>
      <c r="T82" s="4">
        <f t="shared" si="10"/>
        <v>10992</v>
      </c>
      <c r="U82" s="4">
        <f t="shared" si="11"/>
        <v>0</v>
      </c>
      <c r="V82" s="4">
        <f>Table1[[#This Row],[Enrolment S.Y. 2025-2026 ]]*8</f>
        <v>10992</v>
      </c>
      <c r="W82" s="4"/>
      <c r="X82" s="1"/>
      <c r="Y82" s="4"/>
      <c r="Z82" s="4">
        <f t="shared" si="12"/>
        <v>10992</v>
      </c>
      <c r="AA82" s="4">
        <f t="shared" si="13"/>
        <v>0</v>
      </c>
    </row>
    <row r="83" spans="1:27" ht="21">
      <c r="A83" s="1">
        <v>12</v>
      </c>
      <c r="B83" s="31" t="s">
        <v>58</v>
      </c>
      <c r="C83" s="1">
        <v>1374</v>
      </c>
      <c r="D83" s="32">
        <f>Table1[[#This Row],[Enrolment S.Y. 2025-2026 ]]*8</f>
        <v>10992</v>
      </c>
      <c r="E83" s="4"/>
      <c r="F83" s="1"/>
      <c r="G83" s="4"/>
      <c r="H83" s="4">
        <f t="shared" si="14"/>
        <v>10992</v>
      </c>
      <c r="I83" s="4">
        <f t="shared" si="15"/>
        <v>0</v>
      </c>
      <c r="J83" s="4">
        <f>Table1[[#This Row],[Enrolment S.Y. 2025-2026 ]]*8</f>
        <v>10992</v>
      </c>
      <c r="K83" s="4"/>
      <c r="L83" s="1"/>
      <c r="M83" s="4"/>
      <c r="N83" s="4">
        <f t="shared" si="8"/>
        <v>10992</v>
      </c>
      <c r="O83" s="4">
        <f t="shared" si="9"/>
        <v>0</v>
      </c>
      <c r="P83" s="4">
        <f>Table1[[#This Row],[Enrolment S.Y. 2025-2026 ]]*8</f>
        <v>10992</v>
      </c>
      <c r="Q83" s="4"/>
      <c r="R83" s="1"/>
      <c r="S83" s="4"/>
      <c r="T83" s="4">
        <f t="shared" si="10"/>
        <v>10992</v>
      </c>
      <c r="U83" s="4">
        <f t="shared" si="11"/>
        <v>0</v>
      </c>
      <c r="V83" s="4">
        <f>Table1[[#This Row],[Enrolment S.Y. 2025-2026 ]]*8</f>
        <v>10992</v>
      </c>
      <c r="W83" s="4"/>
      <c r="X83" s="1"/>
      <c r="Y83" s="4"/>
      <c r="Z83" s="4">
        <f t="shared" si="12"/>
        <v>10992</v>
      </c>
      <c r="AA83" s="4">
        <f t="shared" si="13"/>
        <v>0</v>
      </c>
    </row>
    <row r="84" spans="1:27" ht="21">
      <c r="A84" s="1">
        <v>12</v>
      </c>
      <c r="B84" s="31" t="s">
        <v>59</v>
      </c>
      <c r="C84" s="1">
        <v>1374</v>
      </c>
      <c r="D84" s="32">
        <f>Table1[[#This Row],[Enrolment S.Y. 2025-2026 ]]*8</f>
        <v>10992</v>
      </c>
      <c r="E84" s="4"/>
      <c r="F84" s="1"/>
      <c r="G84" s="4"/>
      <c r="H84" s="4">
        <f t="shared" si="14"/>
        <v>10992</v>
      </c>
      <c r="I84" s="4">
        <f t="shared" si="15"/>
        <v>0</v>
      </c>
      <c r="J84" s="4">
        <f>Table1[[#This Row],[Enrolment S.Y. 2025-2026 ]]*8</f>
        <v>10992</v>
      </c>
      <c r="K84" s="4"/>
      <c r="L84" s="1"/>
      <c r="M84" s="4"/>
      <c r="N84" s="4">
        <f t="shared" si="8"/>
        <v>10992</v>
      </c>
      <c r="O84" s="4">
        <f t="shared" si="9"/>
        <v>0</v>
      </c>
      <c r="P84" s="4">
        <f>Table1[[#This Row],[Enrolment S.Y. 2025-2026 ]]*8</f>
        <v>10992</v>
      </c>
      <c r="Q84" s="4"/>
      <c r="R84" s="1"/>
      <c r="S84" s="4"/>
      <c r="T84" s="4">
        <f t="shared" si="10"/>
        <v>10992</v>
      </c>
      <c r="U84" s="4">
        <f t="shared" si="11"/>
        <v>0</v>
      </c>
      <c r="V84" s="4">
        <f>Table1[[#This Row],[Enrolment S.Y. 2025-2026 ]]*8</f>
        <v>10992</v>
      </c>
      <c r="W84" s="4"/>
      <c r="X84" s="1"/>
      <c r="Y84" s="4"/>
      <c r="Z84" s="4">
        <f t="shared" si="12"/>
        <v>10992</v>
      </c>
      <c r="AA84" s="4">
        <f t="shared" si="13"/>
        <v>0</v>
      </c>
    </row>
    <row r="85" spans="1:27" ht="61.5">
      <c r="A85" s="1">
        <v>12</v>
      </c>
      <c r="B85" s="31" t="s">
        <v>60</v>
      </c>
      <c r="C85" s="1">
        <v>1374</v>
      </c>
      <c r="D85" s="32">
        <f>Table1[[#This Row],[Enrolment S.Y. 2025-2026 ]]*8</f>
        <v>10992</v>
      </c>
      <c r="E85" s="4"/>
      <c r="F85" s="1"/>
      <c r="G85" s="4"/>
      <c r="H85" s="4">
        <f t="shared" si="14"/>
        <v>10992</v>
      </c>
      <c r="I85" s="4">
        <f t="shared" si="15"/>
        <v>0</v>
      </c>
      <c r="J85" s="4">
        <f>Table1[[#This Row],[Enrolment S.Y. 2025-2026 ]]*8</f>
        <v>10992</v>
      </c>
      <c r="K85" s="4"/>
      <c r="L85" s="1"/>
      <c r="M85" s="4"/>
      <c r="N85" s="4">
        <f t="shared" si="8"/>
        <v>10992</v>
      </c>
      <c r="O85" s="4">
        <f t="shared" si="9"/>
        <v>0</v>
      </c>
      <c r="P85" s="4">
        <f>Table1[[#This Row],[Enrolment S.Y. 2025-2026 ]]*8</f>
        <v>10992</v>
      </c>
      <c r="Q85" s="4"/>
      <c r="R85" s="1"/>
      <c r="S85" s="4"/>
      <c r="T85" s="4">
        <f t="shared" si="10"/>
        <v>10992</v>
      </c>
      <c r="U85" s="4">
        <f t="shared" si="11"/>
        <v>0</v>
      </c>
      <c r="V85" s="4">
        <f>Table1[[#This Row],[Enrolment S.Y. 2025-2026 ]]*8</f>
        <v>10992</v>
      </c>
      <c r="W85" s="4"/>
      <c r="X85" s="1"/>
      <c r="Y85" s="4"/>
      <c r="Z85" s="4">
        <f t="shared" si="12"/>
        <v>10992</v>
      </c>
      <c r="AA85" s="4">
        <f t="shared" si="13"/>
        <v>0</v>
      </c>
    </row>
    <row r="86" spans="1:27" ht="19.5">
      <c r="A86" s="1">
        <v>12</v>
      </c>
      <c r="B86" s="7" t="s">
        <v>49</v>
      </c>
      <c r="C86" s="1">
        <v>1374</v>
      </c>
      <c r="D86" s="32">
        <f>Table1[[#This Row],[Enrolment S.Y. 2025-2026 ]]*8</f>
        <v>10992</v>
      </c>
      <c r="E86" s="4"/>
      <c r="F86" s="1"/>
      <c r="G86" s="4"/>
      <c r="H86" s="4">
        <f t="shared" si="14"/>
        <v>10992</v>
      </c>
      <c r="I86" s="4">
        <f t="shared" si="15"/>
        <v>0</v>
      </c>
      <c r="J86" s="4">
        <f>Table1[[#This Row],[Enrolment S.Y. 2025-2026 ]]*8</f>
        <v>10992</v>
      </c>
      <c r="K86" s="4"/>
      <c r="L86" s="1"/>
      <c r="M86" s="4"/>
      <c r="N86" s="4">
        <f t="shared" si="8"/>
        <v>10992</v>
      </c>
      <c r="O86" s="4">
        <f t="shared" si="9"/>
        <v>0</v>
      </c>
      <c r="P86" s="4">
        <f>Table1[[#This Row],[Enrolment S.Y. 2025-2026 ]]*8</f>
        <v>10992</v>
      </c>
      <c r="Q86" s="4"/>
      <c r="R86" s="1"/>
      <c r="S86" s="4"/>
      <c r="T86" s="4">
        <f t="shared" si="10"/>
        <v>10992</v>
      </c>
      <c r="U86" s="4">
        <f t="shared" si="11"/>
        <v>0</v>
      </c>
      <c r="V86" s="4">
        <f>Table1[[#This Row],[Enrolment S.Y. 2025-2026 ]]*8</f>
        <v>10992</v>
      </c>
      <c r="W86" s="4"/>
      <c r="X86" s="1"/>
      <c r="Y86" s="4"/>
      <c r="Z86" s="4">
        <f t="shared" si="12"/>
        <v>10992</v>
      </c>
      <c r="AA86" s="4">
        <f t="shared" si="13"/>
        <v>0</v>
      </c>
    </row>
    <row r="87" spans="1:27" ht="21">
      <c r="A87" s="1">
        <v>12</v>
      </c>
      <c r="B87" s="31" t="s">
        <v>61</v>
      </c>
      <c r="C87" s="1">
        <v>1374</v>
      </c>
      <c r="D87" s="32">
        <f>Table1[[#This Row],[Enrolment S.Y. 2025-2026 ]]*8</f>
        <v>10992</v>
      </c>
      <c r="E87" s="4"/>
      <c r="F87" s="1"/>
      <c r="G87" s="4"/>
      <c r="H87" s="4">
        <f t="shared" si="14"/>
        <v>10992</v>
      </c>
      <c r="I87" s="4">
        <f t="shared" si="15"/>
        <v>0</v>
      </c>
      <c r="J87" s="4">
        <f>Table1[[#This Row],[Enrolment S.Y. 2025-2026 ]]*8</f>
        <v>10992</v>
      </c>
      <c r="K87" s="4"/>
      <c r="L87" s="1"/>
      <c r="M87" s="4"/>
      <c r="N87" s="4">
        <f t="shared" si="8"/>
        <v>10992</v>
      </c>
      <c r="O87" s="4">
        <f t="shared" si="9"/>
        <v>0</v>
      </c>
      <c r="P87" s="4">
        <f>Table1[[#This Row],[Enrolment S.Y. 2025-2026 ]]*8</f>
        <v>10992</v>
      </c>
      <c r="Q87" s="4"/>
      <c r="R87" s="1"/>
      <c r="S87" s="4"/>
      <c r="T87" s="4">
        <f t="shared" si="10"/>
        <v>10992</v>
      </c>
      <c r="U87" s="4">
        <f t="shared" si="11"/>
        <v>0</v>
      </c>
      <c r="V87" s="4">
        <f>Table1[[#This Row],[Enrolment S.Y. 2025-2026 ]]*8</f>
        <v>10992</v>
      </c>
      <c r="W87" s="4"/>
      <c r="X87" s="1"/>
      <c r="Y87" s="4"/>
      <c r="Z87" s="4">
        <f t="shared" si="12"/>
        <v>10992</v>
      </c>
      <c r="AA87" s="4">
        <f t="shared" si="13"/>
        <v>0</v>
      </c>
    </row>
    <row r="88" spans="1:27" ht="21">
      <c r="A88" s="1">
        <v>12</v>
      </c>
      <c r="B88" s="31" t="s">
        <v>62</v>
      </c>
      <c r="C88" s="1">
        <v>1374</v>
      </c>
      <c r="D88" s="32">
        <f>Table1[[#This Row],[Enrolment S.Y. 2025-2026 ]]*8</f>
        <v>10992</v>
      </c>
      <c r="E88" s="4"/>
      <c r="F88" s="1"/>
      <c r="G88" s="4"/>
      <c r="H88" s="4">
        <f t="shared" si="14"/>
        <v>10992</v>
      </c>
      <c r="I88" s="4">
        <f t="shared" si="15"/>
        <v>0</v>
      </c>
      <c r="J88" s="4">
        <f>Table1[[#This Row],[Enrolment S.Y. 2025-2026 ]]*8</f>
        <v>10992</v>
      </c>
      <c r="K88" s="4"/>
      <c r="L88" s="1"/>
      <c r="M88" s="4"/>
      <c r="N88" s="4">
        <f t="shared" si="8"/>
        <v>10992</v>
      </c>
      <c r="O88" s="4">
        <f t="shared" si="9"/>
        <v>0</v>
      </c>
      <c r="P88" s="4">
        <f>Table1[[#This Row],[Enrolment S.Y. 2025-2026 ]]*8</f>
        <v>10992</v>
      </c>
      <c r="Q88" s="4"/>
      <c r="R88" s="1"/>
      <c r="S88" s="4"/>
      <c r="T88" s="4">
        <f t="shared" si="10"/>
        <v>10992</v>
      </c>
      <c r="U88" s="4">
        <f t="shared" si="11"/>
        <v>0</v>
      </c>
      <c r="V88" s="4">
        <f>Table1[[#This Row],[Enrolment S.Y. 2025-2026 ]]*8</f>
        <v>10992</v>
      </c>
      <c r="W88" s="4"/>
      <c r="X88" s="1"/>
      <c r="Y88" s="4"/>
      <c r="Z88" s="4">
        <f t="shared" si="12"/>
        <v>10992</v>
      </c>
      <c r="AA88" s="4">
        <f t="shared" si="13"/>
        <v>0</v>
      </c>
    </row>
    <row r="89" spans="1:27" ht="21">
      <c r="A89" s="1">
        <v>12</v>
      </c>
      <c r="B89" s="31" t="s">
        <v>63</v>
      </c>
      <c r="C89" s="1">
        <v>1374</v>
      </c>
      <c r="D89" s="32">
        <f>Table1[[#This Row],[Enrolment S.Y. 2025-2026 ]]*8</f>
        <v>10992</v>
      </c>
      <c r="E89" s="4"/>
      <c r="F89" s="1"/>
      <c r="G89" s="4"/>
      <c r="H89" s="4">
        <f t="shared" si="14"/>
        <v>10992</v>
      </c>
      <c r="I89" s="4">
        <f t="shared" si="15"/>
        <v>0</v>
      </c>
      <c r="J89" s="4">
        <f>Table1[[#This Row],[Enrolment S.Y. 2025-2026 ]]*8</f>
        <v>10992</v>
      </c>
      <c r="K89" s="4"/>
      <c r="L89" s="1"/>
      <c r="M89" s="4"/>
      <c r="N89" s="4">
        <f t="shared" si="8"/>
        <v>10992</v>
      </c>
      <c r="O89" s="4">
        <f t="shared" si="9"/>
        <v>0</v>
      </c>
      <c r="P89" s="4">
        <f>Table1[[#This Row],[Enrolment S.Y. 2025-2026 ]]*8</f>
        <v>10992</v>
      </c>
      <c r="Q89" s="4"/>
      <c r="R89" s="1"/>
      <c r="S89" s="4"/>
      <c r="T89" s="4">
        <f t="shared" si="10"/>
        <v>10992</v>
      </c>
      <c r="U89" s="4">
        <f t="shared" si="11"/>
        <v>0</v>
      </c>
      <c r="V89" s="4">
        <f>Table1[[#This Row],[Enrolment S.Y. 2025-2026 ]]*8</f>
        <v>10992</v>
      </c>
      <c r="W89" s="4"/>
      <c r="X89" s="1"/>
      <c r="Y89" s="4"/>
      <c r="Z89" s="4">
        <f t="shared" si="12"/>
        <v>10992</v>
      </c>
      <c r="AA89" s="4">
        <f t="shared" si="13"/>
        <v>0</v>
      </c>
    </row>
    <row r="90" spans="1:27" ht="21.75">
      <c r="A90" s="1">
        <v>12</v>
      </c>
      <c r="B90" s="39" t="s">
        <v>64</v>
      </c>
      <c r="C90" s="1">
        <v>1374</v>
      </c>
      <c r="D90" s="32">
        <f>Table1[[#This Row],[Enrolment S.Y. 2025-2026 ]]*8</f>
        <v>10992</v>
      </c>
      <c r="E90" s="4"/>
      <c r="F90" s="1"/>
      <c r="G90" s="4"/>
      <c r="H90" s="4">
        <f t="shared" si="14"/>
        <v>10992</v>
      </c>
      <c r="I90" s="4">
        <f t="shared" si="15"/>
        <v>0</v>
      </c>
      <c r="J90" s="4">
        <f>Table1[[#This Row],[Enrolment S.Y. 2025-2026 ]]*8</f>
        <v>10992</v>
      </c>
      <c r="K90" s="4"/>
      <c r="L90" s="1"/>
      <c r="M90" s="4"/>
      <c r="N90" s="4">
        <f t="shared" si="8"/>
        <v>10992</v>
      </c>
      <c r="O90" s="4">
        <f t="shared" si="9"/>
        <v>0</v>
      </c>
      <c r="P90" s="4">
        <f>Table1[[#This Row],[Enrolment S.Y. 2025-2026 ]]*8</f>
        <v>10992</v>
      </c>
      <c r="Q90" s="4"/>
      <c r="R90" s="1"/>
      <c r="S90" s="4"/>
      <c r="T90" s="4">
        <f t="shared" si="10"/>
        <v>10992</v>
      </c>
      <c r="U90" s="4">
        <f t="shared" si="11"/>
        <v>0</v>
      </c>
      <c r="V90" s="4">
        <f>Table1[[#This Row],[Enrolment S.Y. 2025-2026 ]]*8</f>
        <v>10992</v>
      </c>
      <c r="W90" s="4"/>
      <c r="X90" s="1"/>
      <c r="Y90" s="4"/>
      <c r="Z90" s="4">
        <f t="shared" si="12"/>
        <v>10992</v>
      </c>
      <c r="AA90" s="4">
        <f t="shared" si="13"/>
        <v>0</v>
      </c>
    </row>
    <row r="91" spans="1:27" ht="21">
      <c r="A91" s="2">
        <v>12</v>
      </c>
      <c r="B91" s="31" t="s">
        <v>65</v>
      </c>
      <c r="C91" s="1">
        <v>1374</v>
      </c>
      <c r="D91" s="32">
        <f>Table1[[#This Row],[Enrolment S.Y. 2025-2026 ]]*8</f>
        <v>10992</v>
      </c>
      <c r="E91" s="32"/>
      <c r="F91" s="30"/>
      <c r="G91" s="32"/>
      <c r="H91" s="32">
        <f t="shared" ref="H91:H102" si="36">IF((D91-E91)&lt;0,0,(D91-E91))</f>
        <v>10992</v>
      </c>
      <c r="I91" s="32">
        <f t="shared" ref="I91:I102" si="37">IF((E91-D91)&lt;0,0,(E91-D91))</f>
        <v>0</v>
      </c>
      <c r="J91" s="32">
        <f>Table1[[#This Row],[Enrolment S.Y. 2025-2026 ]]*8</f>
        <v>10992</v>
      </c>
      <c r="K91" s="32"/>
      <c r="L91" s="30"/>
      <c r="M91" s="32"/>
      <c r="N91" s="4">
        <f>IF((J91-K91)&lt;0,0,(J91-K91))</f>
        <v>10992</v>
      </c>
      <c r="O91" s="4">
        <f>IF((K91-J91)&lt;0,0,(K91-J91))</f>
        <v>0</v>
      </c>
      <c r="P91" s="4">
        <f>Table1[[#This Row],[Enrolment S.Y. 2025-2026 ]]*8</f>
        <v>10992</v>
      </c>
      <c r="Q91" s="32"/>
      <c r="R91" s="30"/>
      <c r="S91" s="32"/>
      <c r="T91" s="32">
        <f t="shared" ref="T91:T102" si="38">IF((P91-Q91)&lt;0,0,(P91-Q91))</f>
        <v>10992</v>
      </c>
      <c r="U91" s="32">
        <f t="shared" ref="U91:U102" si="39">IF((Q91-P91)&lt;0,0,(Q91-P91))</f>
        <v>0</v>
      </c>
      <c r="V91" s="32">
        <f>Table1[[#This Row],[Enrolment S.Y. 2025-2026 ]]*8</f>
        <v>10992</v>
      </c>
      <c r="W91" s="32"/>
      <c r="X91" s="30"/>
      <c r="Y91" s="32"/>
      <c r="Z91" s="32">
        <f t="shared" ref="Z91:Z102" si="40">IF((V91-W91)&lt;0,0,(V91-W91))</f>
        <v>10992</v>
      </c>
      <c r="AA91" s="32">
        <f t="shared" ref="AA91:AA102" si="41">IF((W91-V91)&lt;0,0,(W91-V91))</f>
        <v>0</v>
      </c>
    </row>
    <row r="92" spans="1:27" s="5" customFormat="1" ht="21">
      <c r="A92" s="1">
        <v>12</v>
      </c>
      <c r="B92" s="31" t="s">
        <v>66</v>
      </c>
      <c r="C92" s="1">
        <v>1374</v>
      </c>
      <c r="D92" s="32">
        <f>Table1[[#This Row],[Enrolment S.Y. 2025-2026 ]]*8</f>
        <v>10992</v>
      </c>
      <c r="E92" s="32"/>
      <c r="F92" s="30"/>
      <c r="G92" s="32"/>
      <c r="H92" s="32">
        <f t="shared" si="36"/>
        <v>10992</v>
      </c>
      <c r="I92" s="32">
        <f t="shared" si="37"/>
        <v>0</v>
      </c>
      <c r="J92" s="32">
        <f>Table1[[#This Row],[Enrolment S.Y. 2025-2026 ]]*8</f>
        <v>10992</v>
      </c>
      <c r="K92" s="32"/>
      <c r="L92" s="30"/>
      <c r="M92" s="32"/>
      <c r="N92" s="4">
        <f>IF((J92-K92)&lt;0,0,(J92-K92))</f>
        <v>10992</v>
      </c>
      <c r="O92" s="4">
        <f>IF((K92-J92)&lt;0,0,(K92-J92))</f>
        <v>0</v>
      </c>
      <c r="P92" s="4">
        <f>Table1[[#This Row],[Enrolment S.Y. 2025-2026 ]]*8</f>
        <v>10992</v>
      </c>
      <c r="Q92" s="32"/>
      <c r="R92" s="30"/>
      <c r="S92" s="32"/>
      <c r="T92" s="32">
        <f t="shared" si="38"/>
        <v>10992</v>
      </c>
      <c r="U92" s="32">
        <f t="shared" si="39"/>
        <v>0</v>
      </c>
      <c r="V92" s="32">
        <f>Table1[[#This Row],[Enrolment S.Y. 2025-2026 ]]*8</f>
        <v>10992</v>
      </c>
      <c r="W92" s="32"/>
      <c r="X92" s="30"/>
      <c r="Y92" s="32"/>
      <c r="Z92" s="32">
        <f t="shared" si="40"/>
        <v>10992</v>
      </c>
      <c r="AA92" s="32">
        <f t="shared" si="41"/>
        <v>0</v>
      </c>
    </row>
    <row r="93" spans="1:27" ht="21">
      <c r="A93" s="1">
        <v>12</v>
      </c>
      <c r="B93" s="31" t="s">
        <v>67</v>
      </c>
      <c r="C93" s="1">
        <v>1374</v>
      </c>
      <c r="D93" s="32">
        <f>Table1[[#This Row],[Enrolment S.Y. 2025-2026 ]]*8</f>
        <v>10992</v>
      </c>
      <c r="E93" s="32"/>
      <c r="F93" s="30"/>
      <c r="G93" s="32"/>
      <c r="H93" s="32">
        <f t="shared" si="36"/>
        <v>10992</v>
      </c>
      <c r="I93" s="32">
        <f t="shared" si="37"/>
        <v>0</v>
      </c>
      <c r="J93" s="32">
        <f>Table1[[#This Row],[Enrolment S.Y. 2025-2026 ]]*8</f>
        <v>10992</v>
      </c>
      <c r="K93" s="32"/>
      <c r="L93" s="30"/>
      <c r="M93" s="32"/>
      <c r="N93" s="4">
        <f>IF((J93-K93)&lt;0,0,(J93-K93))</f>
        <v>10992</v>
      </c>
      <c r="O93" s="4">
        <f>IF((K93-J93)&lt;0,0,(K93-J93))</f>
        <v>0</v>
      </c>
      <c r="P93" s="4">
        <f>Table1[[#This Row],[Enrolment S.Y. 2025-2026 ]]*8</f>
        <v>10992</v>
      </c>
      <c r="Q93" s="32"/>
      <c r="R93" s="30"/>
      <c r="S93" s="32"/>
      <c r="T93" s="32">
        <f t="shared" si="38"/>
        <v>10992</v>
      </c>
      <c r="U93" s="32">
        <f t="shared" si="39"/>
        <v>0</v>
      </c>
      <c r="V93" s="32">
        <f>Table1[[#This Row],[Enrolment S.Y. 2025-2026 ]]*8</f>
        <v>10992</v>
      </c>
      <c r="W93" s="32"/>
      <c r="X93" s="30"/>
      <c r="Y93" s="32"/>
      <c r="Z93" s="32">
        <f t="shared" si="40"/>
        <v>10992</v>
      </c>
      <c r="AA93" s="32">
        <f t="shared" si="41"/>
        <v>0</v>
      </c>
    </row>
    <row r="94" spans="1:27" ht="40.5">
      <c r="A94" s="1">
        <v>12</v>
      </c>
      <c r="B94" s="38" t="s">
        <v>68</v>
      </c>
      <c r="C94" s="1">
        <v>1374</v>
      </c>
      <c r="D94" s="32">
        <f>Table1[[#This Row],[Enrolment S.Y. 2025-2026 ]]*8</f>
        <v>10992</v>
      </c>
      <c r="E94" s="32"/>
      <c r="F94" s="30"/>
      <c r="G94" s="32"/>
      <c r="H94" s="32">
        <f t="shared" si="36"/>
        <v>10992</v>
      </c>
      <c r="I94" s="32">
        <f t="shared" si="37"/>
        <v>0</v>
      </c>
      <c r="J94" s="32">
        <f>Table1[[#This Row],[Enrolment S.Y. 2025-2026 ]]*8</f>
        <v>10992</v>
      </c>
      <c r="K94" s="32"/>
      <c r="L94" s="30"/>
      <c r="M94" s="32"/>
      <c r="N94" s="4">
        <f>IF((J94-K94)&lt;0,0,(J94-K94))</f>
        <v>10992</v>
      </c>
      <c r="O94" s="4">
        <f>IF((K94-J94)&lt;0,0,(K94-J94))</f>
        <v>0</v>
      </c>
      <c r="P94" s="4">
        <f>Table1[[#This Row],[Enrolment S.Y. 2025-2026 ]]*8</f>
        <v>10992</v>
      </c>
      <c r="Q94" s="32"/>
      <c r="R94" s="30"/>
      <c r="S94" s="32"/>
      <c r="T94" s="32">
        <f t="shared" si="38"/>
        <v>10992</v>
      </c>
      <c r="U94" s="32">
        <f t="shared" si="39"/>
        <v>0</v>
      </c>
      <c r="V94" s="32">
        <f>Table1[[#This Row],[Enrolment S.Y. 2025-2026 ]]*8</f>
        <v>10992</v>
      </c>
      <c r="W94" s="32"/>
      <c r="X94" s="30"/>
      <c r="Y94" s="32"/>
      <c r="Z94" s="32">
        <f t="shared" si="40"/>
        <v>10992</v>
      </c>
      <c r="AA94" s="32">
        <f t="shared" si="41"/>
        <v>0</v>
      </c>
    </row>
    <row r="95" spans="1:27" ht="21">
      <c r="A95" s="1">
        <v>12</v>
      </c>
      <c r="B95" s="31" t="s">
        <v>69</v>
      </c>
      <c r="C95" s="1">
        <v>1374</v>
      </c>
      <c r="D95" s="32">
        <f>Table1[[#This Row],[Enrolment S.Y. 2025-2026 ]]*8</f>
        <v>10992</v>
      </c>
      <c r="E95" s="32"/>
      <c r="F95" s="30"/>
      <c r="G95" s="32"/>
      <c r="H95" s="32">
        <f t="shared" si="36"/>
        <v>10992</v>
      </c>
      <c r="I95" s="32">
        <f t="shared" si="37"/>
        <v>0</v>
      </c>
      <c r="J95" s="32">
        <f>Table1[[#This Row],[Enrolment S.Y. 2025-2026 ]]*8</f>
        <v>10992</v>
      </c>
      <c r="K95" s="32"/>
      <c r="L95" s="30"/>
      <c r="M95" s="32"/>
      <c r="N95" s="4">
        <f>IF((J95-K95)&lt;0,0,(J95-K95))</f>
        <v>10992</v>
      </c>
      <c r="O95" s="4">
        <f>IF((K95-J95)&lt;0,0,(K95-J95))</f>
        <v>0</v>
      </c>
      <c r="P95" s="4">
        <f>Table1[[#This Row],[Enrolment S.Y. 2025-2026 ]]*8</f>
        <v>10992</v>
      </c>
      <c r="Q95" s="32"/>
      <c r="R95" s="30"/>
      <c r="S95" s="32"/>
      <c r="T95" s="32">
        <f t="shared" si="38"/>
        <v>10992</v>
      </c>
      <c r="U95" s="32">
        <f t="shared" si="39"/>
        <v>0</v>
      </c>
      <c r="V95" s="32">
        <f>Table1[[#This Row],[Enrolment S.Y. 2025-2026 ]]*8</f>
        <v>10992</v>
      </c>
      <c r="W95" s="32"/>
      <c r="X95" s="30"/>
      <c r="Y95" s="32"/>
      <c r="Z95" s="32">
        <f t="shared" si="40"/>
        <v>10992</v>
      </c>
      <c r="AA95" s="32">
        <f t="shared" si="41"/>
        <v>0</v>
      </c>
    </row>
    <row r="96" spans="1:27" ht="21">
      <c r="A96" s="1">
        <v>12</v>
      </c>
      <c r="B96" s="31" t="s">
        <v>70</v>
      </c>
      <c r="C96" s="1">
        <v>1374</v>
      </c>
      <c r="D96" s="32">
        <f>Table1[[#This Row],[Enrolment S.Y. 2025-2026 ]]*8</f>
        <v>10992</v>
      </c>
      <c r="E96" s="32"/>
      <c r="F96" s="30"/>
      <c r="G96" s="32"/>
      <c r="H96" s="32">
        <f t="shared" si="36"/>
        <v>10992</v>
      </c>
      <c r="I96" s="32">
        <f t="shared" si="37"/>
        <v>0</v>
      </c>
      <c r="J96" s="32">
        <f>Table1[[#This Row],[Enrolment S.Y. 2025-2026 ]]*8</f>
        <v>10992</v>
      </c>
      <c r="K96" s="32"/>
      <c r="L96" s="30"/>
      <c r="M96" s="32"/>
      <c r="N96" s="4">
        <f>IF((J96-K96)&lt;0,0,(J96-K96))</f>
        <v>10992</v>
      </c>
      <c r="O96" s="4">
        <f>IF((K96-J96)&lt;0,0,(K96-J96))</f>
        <v>0</v>
      </c>
      <c r="P96" s="4">
        <f>Table1[[#This Row],[Enrolment S.Y. 2025-2026 ]]*8</f>
        <v>10992</v>
      </c>
      <c r="Q96" s="32"/>
      <c r="R96" s="30"/>
      <c r="S96" s="32"/>
      <c r="T96" s="32">
        <f t="shared" si="38"/>
        <v>10992</v>
      </c>
      <c r="U96" s="32">
        <f t="shared" si="39"/>
        <v>0</v>
      </c>
      <c r="V96" s="32">
        <f>Table1[[#This Row],[Enrolment S.Y. 2025-2026 ]]*8</f>
        <v>10992</v>
      </c>
      <c r="W96" s="32"/>
      <c r="X96" s="30"/>
      <c r="Y96" s="32"/>
      <c r="Z96" s="32">
        <f t="shared" si="40"/>
        <v>10992</v>
      </c>
      <c r="AA96" s="32">
        <f t="shared" si="41"/>
        <v>0</v>
      </c>
    </row>
    <row r="97" spans="1:27" ht="40.5">
      <c r="A97" s="1">
        <v>12</v>
      </c>
      <c r="B97" s="31" t="s">
        <v>71</v>
      </c>
      <c r="C97" s="1">
        <v>1374</v>
      </c>
      <c r="D97" s="32">
        <f>Table1[[#This Row],[Enrolment S.Y. 2025-2026 ]]*8</f>
        <v>10992</v>
      </c>
      <c r="E97" s="32"/>
      <c r="F97" s="30"/>
      <c r="G97" s="32"/>
      <c r="H97" s="32">
        <f t="shared" si="36"/>
        <v>10992</v>
      </c>
      <c r="I97" s="32">
        <f t="shared" si="37"/>
        <v>0</v>
      </c>
      <c r="J97" s="32">
        <f>Table1[[#This Row],[Enrolment S.Y. 2025-2026 ]]*8</f>
        <v>10992</v>
      </c>
      <c r="K97" s="32"/>
      <c r="L97" s="30"/>
      <c r="M97" s="32"/>
      <c r="N97" s="4">
        <f>IF((J97-K97)&lt;0,0,(J97-K97))</f>
        <v>10992</v>
      </c>
      <c r="O97" s="4">
        <f>IF((K97-J97)&lt;0,0,(K97-J97))</f>
        <v>0</v>
      </c>
      <c r="P97" s="4">
        <f>Table1[[#This Row],[Enrolment S.Y. 2025-2026 ]]*8</f>
        <v>10992</v>
      </c>
      <c r="Q97" s="32"/>
      <c r="R97" s="30"/>
      <c r="S97" s="32"/>
      <c r="T97" s="32">
        <f t="shared" si="38"/>
        <v>10992</v>
      </c>
      <c r="U97" s="32">
        <f t="shared" si="39"/>
        <v>0</v>
      </c>
      <c r="V97" s="32">
        <f>Table1[[#This Row],[Enrolment S.Y. 2025-2026 ]]*8</f>
        <v>10992</v>
      </c>
      <c r="W97" s="32"/>
      <c r="X97" s="30"/>
      <c r="Y97" s="32"/>
      <c r="Z97" s="32">
        <f t="shared" si="40"/>
        <v>10992</v>
      </c>
      <c r="AA97" s="32">
        <f t="shared" si="41"/>
        <v>0</v>
      </c>
    </row>
    <row r="98" spans="1:27" ht="21">
      <c r="A98" s="1">
        <v>12</v>
      </c>
      <c r="B98" s="31" t="s">
        <v>72</v>
      </c>
      <c r="C98" s="1">
        <v>1374</v>
      </c>
      <c r="D98" s="32">
        <f>Table1[[#This Row],[Enrolment S.Y. 2025-2026 ]]*8</f>
        <v>10992</v>
      </c>
      <c r="E98" s="32"/>
      <c r="F98" s="30"/>
      <c r="G98" s="32"/>
      <c r="H98" s="32">
        <f t="shared" si="36"/>
        <v>10992</v>
      </c>
      <c r="I98" s="32">
        <f t="shared" si="37"/>
        <v>0</v>
      </c>
      <c r="J98" s="32">
        <f>Table1[[#This Row],[Enrolment S.Y. 2025-2026 ]]*8</f>
        <v>10992</v>
      </c>
      <c r="K98" s="32"/>
      <c r="L98" s="30"/>
      <c r="M98" s="32"/>
      <c r="N98" s="4">
        <f>IF((J98-K98)&lt;0,0,(J98-K98))</f>
        <v>10992</v>
      </c>
      <c r="O98" s="4">
        <f>IF((K98-J98)&lt;0,0,(K98-J98))</f>
        <v>0</v>
      </c>
      <c r="P98" s="4">
        <f>Table1[[#This Row],[Enrolment S.Y. 2025-2026 ]]*8</f>
        <v>10992</v>
      </c>
      <c r="Q98" s="32"/>
      <c r="R98" s="30"/>
      <c r="S98" s="32"/>
      <c r="T98" s="32">
        <f t="shared" si="38"/>
        <v>10992</v>
      </c>
      <c r="U98" s="32">
        <f t="shared" si="39"/>
        <v>0</v>
      </c>
      <c r="V98" s="32">
        <f>Table1[[#This Row],[Enrolment S.Y. 2025-2026 ]]*8</f>
        <v>10992</v>
      </c>
      <c r="W98" s="32"/>
      <c r="X98" s="30"/>
      <c r="Y98" s="32"/>
      <c r="Z98" s="32">
        <f t="shared" si="40"/>
        <v>10992</v>
      </c>
      <c r="AA98" s="32">
        <f t="shared" si="41"/>
        <v>0</v>
      </c>
    </row>
    <row r="99" spans="1:27" ht="40.5">
      <c r="A99" s="1">
        <v>12</v>
      </c>
      <c r="B99" s="38" t="s">
        <v>73</v>
      </c>
      <c r="C99" s="1">
        <v>1374</v>
      </c>
      <c r="D99" s="32">
        <f>Table1[[#This Row],[Enrolment S.Y. 2025-2026 ]]*8</f>
        <v>10992</v>
      </c>
      <c r="E99" s="32"/>
      <c r="F99" s="30"/>
      <c r="G99" s="32"/>
      <c r="H99" s="32">
        <f t="shared" si="36"/>
        <v>10992</v>
      </c>
      <c r="I99" s="32">
        <f t="shared" si="37"/>
        <v>0</v>
      </c>
      <c r="J99" s="32">
        <f>Table1[[#This Row],[Enrolment S.Y. 2025-2026 ]]*8</f>
        <v>10992</v>
      </c>
      <c r="K99" s="32"/>
      <c r="L99" s="30"/>
      <c r="M99" s="32"/>
      <c r="N99" s="4">
        <f>IF((J99-K99)&lt;0,0,(J99-K99))</f>
        <v>10992</v>
      </c>
      <c r="O99" s="4">
        <f>IF((K99-J99)&lt;0,0,(K99-J99))</f>
        <v>0</v>
      </c>
      <c r="P99" s="4">
        <f>Table1[[#This Row],[Enrolment S.Y. 2025-2026 ]]*8</f>
        <v>10992</v>
      </c>
      <c r="Q99" s="32"/>
      <c r="R99" s="30"/>
      <c r="S99" s="32"/>
      <c r="T99" s="32">
        <f t="shared" si="38"/>
        <v>10992</v>
      </c>
      <c r="U99" s="32">
        <f t="shared" si="39"/>
        <v>0</v>
      </c>
      <c r="V99" s="32">
        <f>Table1[[#This Row],[Enrolment S.Y. 2025-2026 ]]*8</f>
        <v>10992</v>
      </c>
      <c r="W99" s="32"/>
      <c r="X99" s="30"/>
      <c r="Y99" s="32"/>
      <c r="Z99" s="32">
        <f t="shared" si="40"/>
        <v>10992</v>
      </c>
      <c r="AA99" s="32">
        <f t="shared" si="41"/>
        <v>0</v>
      </c>
    </row>
    <row r="100" spans="1:27" ht="40.5">
      <c r="A100" s="1">
        <v>12</v>
      </c>
      <c r="B100" s="31" t="s">
        <v>74</v>
      </c>
      <c r="C100" s="1">
        <v>1374</v>
      </c>
      <c r="D100" s="32">
        <f>Table1[[#This Row],[Enrolment S.Y. 2025-2026 ]]*8</f>
        <v>10992</v>
      </c>
      <c r="E100" s="32"/>
      <c r="F100" s="30"/>
      <c r="G100" s="32"/>
      <c r="H100" s="32">
        <f t="shared" si="36"/>
        <v>10992</v>
      </c>
      <c r="I100" s="32">
        <f t="shared" si="37"/>
        <v>0</v>
      </c>
      <c r="J100" s="32">
        <f>Table1[[#This Row],[Enrolment S.Y. 2025-2026 ]]*8</f>
        <v>10992</v>
      </c>
      <c r="K100" s="32"/>
      <c r="L100" s="30"/>
      <c r="M100" s="32"/>
      <c r="N100" s="4">
        <f>IF((J100-K100)&lt;0,0,(J100-K100))</f>
        <v>10992</v>
      </c>
      <c r="O100" s="4">
        <f>IF((K100-J100)&lt;0,0,(K100-J100))</f>
        <v>0</v>
      </c>
      <c r="P100" s="4">
        <f>Table1[[#This Row],[Enrolment S.Y. 2025-2026 ]]*8</f>
        <v>10992</v>
      </c>
      <c r="Q100" s="32"/>
      <c r="R100" s="30"/>
      <c r="S100" s="32"/>
      <c r="T100" s="32">
        <f t="shared" si="38"/>
        <v>10992</v>
      </c>
      <c r="U100" s="32">
        <f t="shared" si="39"/>
        <v>0</v>
      </c>
      <c r="V100" s="32">
        <f>Table1[[#This Row],[Enrolment S.Y. 2025-2026 ]]*8</f>
        <v>10992</v>
      </c>
      <c r="W100" s="32"/>
      <c r="X100" s="30"/>
      <c r="Y100" s="32"/>
      <c r="Z100" s="32">
        <f t="shared" si="40"/>
        <v>10992</v>
      </c>
      <c r="AA100" s="32">
        <f t="shared" si="41"/>
        <v>0</v>
      </c>
    </row>
    <row r="101" spans="1:27" ht="21">
      <c r="A101" s="1">
        <v>12</v>
      </c>
      <c r="B101" s="31" t="s">
        <v>75</v>
      </c>
      <c r="C101" s="1">
        <v>1374</v>
      </c>
      <c r="D101" s="32">
        <f>Table1[[#This Row],[Enrolment S.Y. 2025-2026 ]]*8</f>
        <v>10992</v>
      </c>
      <c r="E101" s="32"/>
      <c r="F101" s="30"/>
      <c r="G101" s="32"/>
      <c r="H101" s="32">
        <f t="shared" si="36"/>
        <v>10992</v>
      </c>
      <c r="I101" s="32">
        <f t="shared" si="37"/>
        <v>0</v>
      </c>
      <c r="J101" s="32">
        <f>Table1[[#This Row],[Enrolment S.Y. 2025-2026 ]]*8</f>
        <v>10992</v>
      </c>
      <c r="K101" s="32"/>
      <c r="L101" s="30"/>
      <c r="M101" s="32"/>
      <c r="N101" s="4">
        <f>IF((J101-K101)&lt;0,0,(J101-K101))</f>
        <v>10992</v>
      </c>
      <c r="O101" s="4">
        <f>IF((K101-J101)&lt;0,0,(K101-J101))</f>
        <v>0</v>
      </c>
      <c r="P101" s="4">
        <f>Table1[[#This Row],[Enrolment S.Y. 2025-2026 ]]*8</f>
        <v>10992</v>
      </c>
      <c r="Q101" s="32"/>
      <c r="R101" s="30"/>
      <c r="S101" s="32"/>
      <c r="T101" s="32">
        <f t="shared" si="38"/>
        <v>10992</v>
      </c>
      <c r="U101" s="32">
        <f t="shared" si="39"/>
        <v>0</v>
      </c>
      <c r="V101" s="32">
        <f>Table1[[#This Row],[Enrolment S.Y. 2025-2026 ]]*8</f>
        <v>10992</v>
      </c>
      <c r="W101" s="32"/>
      <c r="X101" s="30"/>
      <c r="Y101" s="32"/>
      <c r="Z101" s="32">
        <f t="shared" si="40"/>
        <v>10992</v>
      </c>
      <c r="AA101" s="32">
        <f t="shared" si="41"/>
        <v>0</v>
      </c>
    </row>
    <row r="102" spans="1:27" s="5" customFormat="1" ht="21">
      <c r="A102" s="1">
        <v>12</v>
      </c>
      <c r="B102" s="31" t="s">
        <v>76</v>
      </c>
      <c r="C102" s="1">
        <v>1374</v>
      </c>
      <c r="D102" s="32">
        <f>Table1[[#This Row],[Enrolment S.Y. 2025-2026 ]]*8</f>
        <v>10992</v>
      </c>
      <c r="E102" s="32"/>
      <c r="F102" s="30"/>
      <c r="G102" s="32"/>
      <c r="H102" s="32">
        <f t="shared" si="36"/>
        <v>10992</v>
      </c>
      <c r="I102" s="32">
        <f t="shared" si="37"/>
        <v>0</v>
      </c>
      <c r="J102" s="32">
        <f>Table1[[#This Row],[Enrolment S.Y. 2025-2026 ]]*8</f>
        <v>10992</v>
      </c>
      <c r="K102" s="32"/>
      <c r="L102" s="30"/>
      <c r="M102" s="32"/>
      <c r="N102" s="4">
        <f>IF((J102-K102)&lt;0,0,(J102-K102))</f>
        <v>10992</v>
      </c>
      <c r="O102" s="4">
        <f>IF((K102-J102)&lt;0,0,(K102-J102))</f>
        <v>0</v>
      </c>
      <c r="P102" s="4">
        <f>Table1[[#This Row],[Enrolment S.Y. 2025-2026 ]]*8</f>
        <v>10992</v>
      </c>
      <c r="Q102" s="32"/>
      <c r="R102" s="30"/>
      <c r="S102" s="32"/>
      <c r="T102" s="32">
        <f t="shared" si="38"/>
        <v>10992</v>
      </c>
      <c r="U102" s="32">
        <f t="shared" si="39"/>
        <v>0</v>
      </c>
      <c r="V102" s="32">
        <f>Table1[[#This Row],[Enrolment S.Y. 2025-2026 ]]*8</f>
        <v>10992</v>
      </c>
      <c r="W102" s="32"/>
      <c r="X102" s="30"/>
      <c r="Y102" s="32"/>
      <c r="Z102" s="32">
        <f t="shared" si="40"/>
        <v>10992</v>
      </c>
      <c r="AA102" s="32">
        <f t="shared" si="41"/>
        <v>0</v>
      </c>
    </row>
    <row r="103" spans="1:27" ht="19.5">
      <c r="A103" s="1">
        <v>12</v>
      </c>
      <c r="B103" s="28"/>
      <c r="C103" s="27"/>
      <c r="D103" s="4"/>
      <c r="E103" s="29"/>
      <c r="F103" s="27"/>
      <c r="G103" s="29"/>
      <c r="H103" s="4">
        <f t="shared" si="14"/>
        <v>0</v>
      </c>
      <c r="I103" s="4">
        <f t="shared" si="15"/>
        <v>0</v>
      </c>
      <c r="J103" s="4">
        <f>Table1[[#This Row],[Enrolment S.Y. 2025-2026 ]]*8</f>
        <v>0</v>
      </c>
      <c r="K103" s="29"/>
      <c r="L103" s="27"/>
      <c r="M103" s="29"/>
      <c r="N103" s="4">
        <f t="shared" ref="N103" si="42">IF((J103-K103)&lt;0,0,(J103-K103))</f>
        <v>0</v>
      </c>
      <c r="O103" s="4">
        <f t="shared" ref="O103" si="43">IF((K103-J103)&lt;0,0,(K103-J103))</f>
        <v>0</v>
      </c>
      <c r="P103" s="4"/>
      <c r="Q103" s="29"/>
      <c r="R103" s="27"/>
      <c r="S103" s="29"/>
      <c r="T103" s="4">
        <f t="shared" si="10"/>
        <v>0</v>
      </c>
      <c r="U103" s="4">
        <f t="shared" si="11"/>
        <v>0</v>
      </c>
      <c r="V103" s="4">
        <f>Table1[[#This Row],[Enrolment S.Y. 2025-2026 ]]*8</f>
        <v>0</v>
      </c>
      <c r="W103" s="29"/>
      <c r="X103" s="27"/>
      <c r="Y103" s="29"/>
      <c r="Z103" s="4">
        <f t="shared" si="12"/>
        <v>0</v>
      </c>
      <c r="AA103" s="4">
        <f t="shared" si="13"/>
        <v>0</v>
      </c>
    </row>
    <row r="104" spans="1:27" ht="18">
      <c r="A104" s="30"/>
      <c r="B104" s="31"/>
      <c r="C104" s="30"/>
      <c r="D104" s="32">
        <f>Table1[[#This Row],[Enrolment S.Y. 2025-2026 ]]*8</f>
        <v>0</v>
      </c>
      <c r="E104" s="32"/>
      <c r="F104" s="30"/>
      <c r="G104" s="32"/>
      <c r="H104" s="32">
        <f t="shared" ref="H104:H106" si="44">IF((D104-E104)&lt;0,0,(D104-E104))</f>
        <v>0</v>
      </c>
      <c r="I104" s="32">
        <f t="shared" ref="I104:I106" si="45">IF((E104-D104)&lt;0,0,(E104-D104))</f>
        <v>0</v>
      </c>
      <c r="J104" s="32">
        <f>Table1[[#This Row],[Enrolment S.Y. 2025-2026 ]]*8</f>
        <v>0</v>
      </c>
      <c r="K104" s="32"/>
      <c r="L104" s="30"/>
      <c r="M104" s="32"/>
      <c r="N104" s="32"/>
      <c r="O104" s="32"/>
      <c r="P104" s="32" t="e">
        <f>#REF!*8</f>
        <v>#REF!</v>
      </c>
      <c r="Q104" s="32"/>
      <c r="R104" s="30"/>
      <c r="S104" s="32"/>
      <c r="T104" s="32" t="e">
        <f t="shared" ref="T104:T106" si="46">IF((P104-Q104)&lt;0,0,(P104-Q104))</f>
        <v>#REF!</v>
      </c>
      <c r="U104" s="32" t="e">
        <f t="shared" ref="U104:U106" si="47">IF((Q104-P104)&lt;0,0,(Q104-P104))</f>
        <v>#REF!</v>
      </c>
      <c r="V104" s="32">
        <f>Table1[[#This Row],[Enrolment S.Y. 2025-2026 ]]*8</f>
        <v>0</v>
      </c>
      <c r="W104" s="32"/>
      <c r="X104" s="30"/>
      <c r="Y104" s="32"/>
      <c r="Z104" s="32">
        <f t="shared" ref="Z104:Z106" si="48">IF((V104-W104)&lt;0,0,(V104-W104))</f>
        <v>0</v>
      </c>
      <c r="AA104" s="32">
        <f t="shared" ref="AA104:AA106" si="49">IF((W104-V104)&lt;0,0,(W104-V104))</f>
        <v>0</v>
      </c>
    </row>
    <row r="105" spans="1:27" ht="18">
      <c r="A105" s="30"/>
      <c r="B105" s="31"/>
      <c r="C105" s="30"/>
      <c r="D105" s="32">
        <f>Table1[[#This Row],[Enrolment S.Y. 2025-2026 ]]*8</f>
        <v>0</v>
      </c>
      <c r="E105" s="32"/>
      <c r="F105" s="30"/>
      <c r="G105" s="32"/>
      <c r="H105" s="32">
        <f t="shared" si="44"/>
        <v>0</v>
      </c>
      <c r="I105" s="32">
        <f t="shared" si="45"/>
        <v>0</v>
      </c>
      <c r="J105" s="32">
        <f>Table1[[#This Row],[Enrolment S.Y. 2025-2026 ]]*8</f>
        <v>0</v>
      </c>
      <c r="K105" s="32"/>
      <c r="L105" s="30"/>
      <c r="M105" s="32"/>
      <c r="N105" s="32"/>
      <c r="O105" s="32"/>
      <c r="P105" s="32" t="e">
        <f>#REF!*8</f>
        <v>#REF!</v>
      </c>
      <c r="Q105" s="32"/>
      <c r="R105" s="30"/>
      <c r="S105" s="32"/>
      <c r="T105" s="32" t="e">
        <f t="shared" si="46"/>
        <v>#REF!</v>
      </c>
      <c r="U105" s="32" t="e">
        <f t="shared" si="47"/>
        <v>#REF!</v>
      </c>
      <c r="V105" s="32">
        <f>Table1[[#This Row],[Enrolment S.Y. 2025-2026 ]]*8</f>
        <v>0</v>
      </c>
      <c r="W105" s="32"/>
      <c r="X105" s="30"/>
      <c r="Y105" s="32"/>
      <c r="Z105" s="32">
        <f t="shared" si="48"/>
        <v>0</v>
      </c>
      <c r="AA105" s="32">
        <f t="shared" si="49"/>
        <v>0</v>
      </c>
    </row>
    <row r="106" spans="1:27" ht="18">
      <c r="A106" s="30"/>
      <c r="B106" s="31"/>
      <c r="C106" s="30"/>
      <c r="D106" s="32">
        <f>Table1[[#This Row],[Enrolment S.Y. 2025-2026 ]]*8</f>
        <v>0</v>
      </c>
      <c r="E106" s="32"/>
      <c r="F106" s="30"/>
      <c r="G106" s="32"/>
      <c r="H106" s="32">
        <f t="shared" si="44"/>
        <v>0</v>
      </c>
      <c r="I106" s="32">
        <f t="shared" si="45"/>
        <v>0</v>
      </c>
      <c r="J106" s="32">
        <f>Table1[[#This Row],[Enrolment S.Y. 2025-2026 ]]*8</f>
        <v>0</v>
      </c>
      <c r="K106" s="32"/>
      <c r="L106" s="30"/>
      <c r="M106" s="32"/>
      <c r="N106" s="32"/>
      <c r="O106" s="32"/>
      <c r="P106" s="32" t="e">
        <f>#REF!*8</f>
        <v>#REF!</v>
      </c>
      <c r="Q106" s="32"/>
      <c r="R106" s="30"/>
      <c r="S106" s="32"/>
      <c r="T106" s="32" t="e">
        <f t="shared" si="46"/>
        <v>#REF!</v>
      </c>
      <c r="U106" s="32" t="e">
        <f t="shared" si="47"/>
        <v>#REF!</v>
      </c>
      <c r="V106" s="32">
        <f>Table1[[#This Row],[Enrolment S.Y. 2025-2026 ]]*8</f>
        <v>0</v>
      </c>
      <c r="W106" s="32"/>
      <c r="X106" s="30"/>
      <c r="Y106" s="32"/>
      <c r="Z106" s="32">
        <f t="shared" si="48"/>
        <v>0</v>
      </c>
      <c r="AA106" s="32">
        <f t="shared" si="49"/>
        <v>0</v>
      </c>
    </row>
    <row r="107" spans="1:27" ht="18">
      <c r="A107" s="30"/>
      <c r="B107" s="31"/>
      <c r="C107" s="30"/>
      <c r="D107" s="32">
        <f>Table1[[#This Row],[Enrolment S.Y. 2025-2026 ]]*8</f>
        <v>0</v>
      </c>
      <c r="E107" s="32"/>
      <c r="F107" s="30"/>
      <c r="G107" s="32"/>
      <c r="H107" s="32">
        <f t="shared" ref="H107:H111" si="50">IF((D107-E107)&lt;0,0,(D107-E107))</f>
        <v>0</v>
      </c>
      <c r="I107" s="32">
        <f t="shared" ref="I107:I111" si="51">IF((E107-D107)&lt;0,0,(E107-D107))</f>
        <v>0</v>
      </c>
      <c r="J107" s="32">
        <f>Table1[[#This Row],[Enrolment S.Y. 2025-2026 ]]*8</f>
        <v>0</v>
      </c>
      <c r="K107" s="32"/>
      <c r="L107" s="30"/>
      <c r="M107" s="32"/>
      <c r="N107" s="32"/>
      <c r="O107" s="32"/>
      <c r="P107" s="32" t="e">
        <f>#REF!*8</f>
        <v>#REF!</v>
      </c>
      <c r="Q107" s="32"/>
      <c r="R107" s="30"/>
      <c r="S107" s="32"/>
      <c r="T107" s="32" t="e">
        <f t="shared" ref="T107:T111" si="52">IF((P107-Q107)&lt;0,0,(P107-Q107))</f>
        <v>#REF!</v>
      </c>
      <c r="U107" s="32" t="e">
        <f t="shared" ref="U107:U111" si="53">IF((Q107-P107)&lt;0,0,(Q107-P107))</f>
        <v>#REF!</v>
      </c>
      <c r="V107" s="32">
        <f>Table1[[#This Row],[Enrolment S.Y. 2025-2026 ]]*8</f>
        <v>0</v>
      </c>
      <c r="W107" s="32"/>
      <c r="X107" s="30"/>
      <c r="Y107" s="32"/>
      <c r="Z107" s="32">
        <f t="shared" ref="Z107:Z111" si="54">IF((V107-W107)&lt;0,0,(V107-W107))</f>
        <v>0</v>
      </c>
      <c r="AA107" s="32">
        <f t="shared" ref="AA107:AA111" si="55">IF((W107-V107)&lt;0,0,(W107-V107))</f>
        <v>0</v>
      </c>
    </row>
    <row r="108" spans="1:27" ht="18">
      <c r="A108" s="30"/>
      <c r="B108" s="31"/>
      <c r="C108" s="30"/>
      <c r="D108" s="32">
        <f>Table1[[#This Row],[Enrolment S.Y. 2025-2026 ]]*8</f>
        <v>0</v>
      </c>
      <c r="E108" s="32"/>
      <c r="F108" s="30"/>
      <c r="G108" s="32"/>
      <c r="H108" s="32">
        <f t="shared" si="50"/>
        <v>0</v>
      </c>
      <c r="I108" s="32">
        <f t="shared" si="51"/>
        <v>0</v>
      </c>
      <c r="J108" s="32">
        <f>Table1[[#This Row],[Enrolment S.Y. 2025-2026 ]]*8</f>
        <v>0</v>
      </c>
      <c r="K108" s="32"/>
      <c r="L108" s="30"/>
      <c r="M108" s="32"/>
      <c r="N108" s="32"/>
      <c r="O108" s="32"/>
      <c r="P108" s="32" t="e">
        <f>#REF!*8</f>
        <v>#REF!</v>
      </c>
      <c r="Q108" s="32"/>
      <c r="R108" s="30"/>
      <c r="S108" s="32"/>
      <c r="T108" s="32" t="e">
        <f t="shared" si="52"/>
        <v>#REF!</v>
      </c>
      <c r="U108" s="32" t="e">
        <f t="shared" si="53"/>
        <v>#REF!</v>
      </c>
      <c r="V108" s="32">
        <f>Table1[[#This Row],[Enrolment S.Y. 2025-2026 ]]*8</f>
        <v>0</v>
      </c>
      <c r="W108" s="32"/>
      <c r="X108" s="30"/>
      <c r="Y108" s="32"/>
      <c r="Z108" s="32">
        <f t="shared" si="54"/>
        <v>0</v>
      </c>
      <c r="AA108" s="32">
        <f t="shared" si="55"/>
        <v>0</v>
      </c>
    </row>
    <row r="109" spans="1:27" ht="18">
      <c r="A109" s="30"/>
      <c r="B109" s="31"/>
      <c r="C109" s="30"/>
      <c r="D109" s="32">
        <f>Table1[[#This Row],[Enrolment S.Y. 2025-2026 ]]*8</f>
        <v>0</v>
      </c>
      <c r="E109" s="32"/>
      <c r="F109" s="30"/>
      <c r="G109" s="32"/>
      <c r="H109" s="32">
        <f t="shared" si="50"/>
        <v>0</v>
      </c>
      <c r="I109" s="32">
        <f t="shared" si="51"/>
        <v>0</v>
      </c>
      <c r="J109" s="32">
        <f>Table1[[#This Row],[Enrolment S.Y. 2025-2026 ]]*8</f>
        <v>0</v>
      </c>
      <c r="K109" s="32"/>
      <c r="L109" s="30"/>
      <c r="M109" s="32"/>
      <c r="N109" s="32"/>
      <c r="O109" s="32"/>
      <c r="P109" s="32" t="e">
        <f>#REF!*8</f>
        <v>#REF!</v>
      </c>
      <c r="Q109" s="32"/>
      <c r="R109" s="30"/>
      <c r="S109" s="32"/>
      <c r="T109" s="32" t="e">
        <f t="shared" si="52"/>
        <v>#REF!</v>
      </c>
      <c r="U109" s="32" t="e">
        <f t="shared" si="53"/>
        <v>#REF!</v>
      </c>
      <c r="V109" s="32">
        <f>Table1[[#This Row],[Enrolment S.Y. 2025-2026 ]]*8</f>
        <v>0</v>
      </c>
      <c r="W109" s="32"/>
      <c r="X109" s="30"/>
      <c r="Y109" s="32"/>
      <c r="Z109" s="32">
        <f t="shared" si="54"/>
        <v>0</v>
      </c>
      <c r="AA109" s="32">
        <f t="shared" si="55"/>
        <v>0</v>
      </c>
    </row>
    <row r="110" spans="1:27" ht="18">
      <c r="A110" s="30"/>
      <c r="B110" s="31"/>
      <c r="C110" s="30"/>
      <c r="D110" s="32">
        <f>Table1[[#This Row],[Enrolment S.Y. 2025-2026 ]]*8</f>
        <v>0</v>
      </c>
      <c r="E110" s="32"/>
      <c r="F110" s="30"/>
      <c r="G110" s="32"/>
      <c r="H110" s="32">
        <f t="shared" si="50"/>
        <v>0</v>
      </c>
      <c r="I110" s="32">
        <f t="shared" si="51"/>
        <v>0</v>
      </c>
      <c r="J110" s="32">
        <f>Table1[[#This Row],[Enrolment S.Y. 2025-2026 ]]*8</f>
        <v>0</v>
      </c>
      <c r="K110" s="32"/>
      <c r="L110" s="30"/>
      <c r="M110" s="32"/>
      <c r="N110" s="32"/>
      <c r="O110" s="32"/>
      <c r="P110" s="32" t="e">
        <f>#REF!*8</f>
        <v>#REF!</v>
      </c>
      <c r="Q110" s="32"/>
      <c r="R110" s="30"/>
      <c r="S110" s="32"/>
      <c r="T110" s="32" t="e">
        <f t="shared" si="52"/>
        <v>#REF!</v>
      </c>
      <c r="U110" s="32" t="e">
        <f t="shared" si="53"/>
        <v>#REF!</v>
      </c>
      <c r="V110" s="32">
        <f>Table1[[#This Row],[Enrolment S.Y. 2025-2026 ]]*8</f>
        <v>0</v>
      </c>
      <c r="W110" s="32"/>
      <c r="X110" s="30"/>
      <c r="Y110" s="32"/>
      <c r="Z110" s="32">
        <f t="shared" si="54"/>
        <v>0</v>
      </c>
      <c r="AA110" s="32">
        <f t="shared" si="55"/>
        <v>0</v>
      </c>
    </row>
    <row r="111" spans="1:27" ht="18">
      <c r="A111" s="30"/>
      <c r="B111" s="31"/>
      <c r="C111" s="30"/>
      <c r="D111" s="32">
        <f>Table1[[#This Row],[Enrolment S.Y. 2025-2026 ]]*8</f>
        <v>0</v>
      </c>
      <c r="E111" s="32"/>
      <c r="F111" s="30"/>
      <c r="G111" s="32"/>
      <c r="H111" s="32">
        <f t="shared" si="50"/>
        <v>0</v>
      </c>
      <c r="I111" s="32">
        <f t="shared" si="51"/>
        <v>0</v>
      </c>
      <c r="J111" s="32">
        <f>Table1[[#This Row],[Enrolment S.Y. 2025-2026 ]]*8</f>
        <v>0</v>
      </c>
      <c r="K111" s="32"/>
      <c r="L111" s="30"/>
      <c r="M111" s="32"/>
      <c r="N111" s="32"/>
      <c r="O111" s="32"/>
      <c r="P111" s="32" t="e">
        <f>#REF!*8</f>
        <v>#REF!</v>
      </c>
      <c r="Q111" s="32"/>
      <c r="R111" s="30"/>
      <c r="S111" s="32"/>
      <c r="T111" s="32" t="e">
        <f t="shared" si="52"/>
        <v>#REF!</v>
      </c>
      <c r="U111" s="32" t="e">
        <f t="shared" si="53"/>
        <v>#REF!</v>
      </c>
      <c r="V111" s="32">
        <f>Table1[[#This Row],[Enrolment S.Y. 2025-2026 ]]*8</f>
        <v>0</v>
      </c>
      <c r="W111" s="32"/>
      <c r="X111" s="30"/>
      <c r="Y111" s="32"/>
      <c r="Z111" s="32">
        <f t="shared" si="54"/>
        <v>0</v>
      </c>
      <c r="AA111" s="32">
        <f t="shared" si="55"/>
        <v>0</v>
      </c>
    </row>
    <row r="112" spans="1:27" ht="18">
      <c r="A112" s="30"/>
      <c r="B112" s="31"/>
      <c r="C112" s="30"/>
      <c r="D112" s="32">
        <f>Table1[[#This Row],[Enrolment S.Y. 2025-2026 ]]*8</f>
        <v>0</v>
      </c>
      <c r="E112" s="32"/>
      <c r="F112" s="30"/>
      <c r="G112" s="32"/>
      <c r="H112" s="32">
        <f t="shared" ref="H112:H121" si="56">IF((D112-E112)&lt;0,0,(D112-E112))</f>
        <v>0</v>
      </c>
      <c r="I112" s="32">
        <f t="shared" ref="I112:I121" si="57">IF((E112-D112)&lt;0,0,(E112-D112))</f>
        <v>0</v>
      </c>
      <c r="J112" s="32">
        <f>Table1[[#This Row],[Enrolment S.Y. 2025-2026 ]]*8</f>
        <v>0</v>
      </c>
      <c r="K112" s="32"/>
      <c r="L112" s="30"/>
      <c r="M112" s="32"/>
      <c r="N112" s="32"/>
      <c r="O112" s="32"/>
      <c r="P112" s="32" t="e">
        <f>#REF!*8</f>
        <v>#REF!</v>
      </c>
      <c r="Q112" s="32"/>
      <c r="R112" s="30"/>
      <c r="S112" s="32"/>
      <c r="T112" s="32" t="e">
        <f t="shared" ref="T112:T121" si="58">IF((P112-Q112)&lt;0,0,(P112-Q112))</f>
        <v>#REF!</v>
      </c>
      <c r="U112" s="32" t="e">
        <f t="shared" ref="U112:U121" si="59">IF((Q112-P112)&lt;0,0,(Q112-P112))</f>
        <v>#REF!</v>
      </c>
      <c r="V112" s="32">
        <f>Table1[[#This Row],[Enrolment S.Y. 2025-2026 ]]*8</f>
        <v>0</v>
      </c>
      <c r="W112" s="32"/>
      <c r="X112" s="30"/>
      <c r="Y112" s="32"/>
      <c r="Z112" s="32">
        <f t="shared" ref="Z112:Z121" si="60">IF((V112-W112)&lt;0,0,(V112-W112))</f>
        <v>0</v>
      </c>
      <c r="AA112" s="32">
        <f t="shared" ref="AA112:AA121" si="61">IF((W112-V112)&lt;0,0,(W112-V112))</f>
        <v>0</v>
      </c>
    </row>
    <row r="113" spans="1:27" ht="18">
      <c r="A113" s="30"/>
      <c r="B113" s="31"/>
      <c r="C113" s="30"/>
      <c r="D113" s="32">
        <f>Table1[[#This Row],[Enrolment S.Y. 2025-2026 ]]*8</f>
        <v>0</v>
      </c>
      <c r="E113" s="32"/>
      <c r="F113" s="30"/>
      <c r="G113" s="32"/>
      <c r="H113" s="32">
        <f t="shared" si="56"/>
        <v>0</v>
      </c>
      <c r="I113" s="32">
        <f t="shared" si="57"/>
        <v>0</v>
      </c>
      <c r="J113" s="32">
        <f>Table1[[#This Row],[Enrolment S.Y. 2025-2026 ]]*8</f>
        <v>0</v>
      </c>
      <c r="K113" s="32"/>
      <c r="L113" s="30"/>
      <c r="M113" s="32"/>
      <c r="N113" s="32"/>
      <c r="O113" s="32"/>
      <c r="P113" s="32" t="e">
        <f>#REF!*8</f>
        <v>#REF!</v>
      </c>
      <c r="Q113" s="32"/>
      <c r="R113" s="30"/>
      <c r="S113" s="32"/>
      <c r="T113" s="32" t="e">
        <f t="shared" si="58"/>
        <v>#REF!</v>
      </c>
      <c r="U113" s="32" t="e">
        <f t="shared" si="59"/>
        <v>#REF!</v>
      </c>
      <c r="V113" s="32">
        <f>Table1[[#This Row],[Enrolment S.Y. 2025-2026 ]]*8</f>
        <v>0</v>
      </c>
      <c r="W113" s="32"/>
      <c r="X113" s="30"/>
      <c r="Y113" s="32"/>
      <c r="Z113" s="32">
        <f t="shared" si="60"/>
        <v>0</v>
      </c>
      <c r="AA113" s="32">
        <f t="shared" si="61"/>
        <v>0</v>
      </c>
    </row>
    <row r="114" spans="1:27" ht="18">
      <c r="A114" s="30"/>
      <c r="B114" s="31"/>
      <c r="C114" s="30"/>
      <c r="D114" s="32">
        <f>Table1[[#This Row],[Enrolment S.Y. 2025-2026 ]]*8</f>
        <v>0</v>
      </c>
      <c r="E114" s="32"/>
      <c r="F114" s="30"/>
      <c r="G114" s="32"/>
      <c r="H114" s="32">
        <f t="shared" si="56"/>
        <v>0</v>
      </c>
      <c r="I114" s="32">
        <f t="shared" si="57"/>
        <v>0</v>
      </c>
      <c r="J114" s="32">
        <f>Table1[[#This Row],[Enrolment S.Y. 2025-2026 ]]*8</f>
        <v>0</v>
      </c>
      <c r="K114" s="32"/>
      <c r="L114" s="30"/>
      <c r="M114" s="32"/>
      <c r="N114" s="32"/>
      <c r="O114" s="32"/>
      <c r="P114" s="32" t="e">
        <f>#REF!*8</f>
        <v>#REF!</v>
      </c>
      <c r="Q114" s="32"/>
      <c r="R114" s="30"/>
      <c r="S114" s="32"/>
      <c r="T114" s="32" t="e">
        <f t="shared" si="58"/>
        <v>#REF!</v>
      </c>
      <c r="U114" s="32" t="e">
        <f t="shared" si="59"/>
        <v>#REF!</v>
      </c>
      <c r="V114" s="32">
        <f>Table1[[#This Row],[Enrolment S.Y. 2025-2026 ]]*8</f>
        <v>0</v>
      </c>
      <c r="W114" s="32"/>
      <c r="X114" s="30"/>
      <c r="Y114" s="32"/>
      <c r="Z114" s="32">
        <f t="shared" si="60"/>
        <v>0</v>
      </c>
      <c r="AA114" s="32">
        <f t="shared" si="61"/>
        <v>0</v>
      </c>
    </row>
    <row r="115" spans="1:27" ht="18">
      <c r="A115" s="30"/>
      <c r="B115" s="31"/>
      <c r="C115" s="30"/>
      <c r="D115" s="32">
        <f>Table1[[#This Row],[Enrolment S.Y. 2025-2026 ]]*8</f>
        <v>0</v>
      </c>
      <c r="E115" s="32"/>
      <c r="F115" s="30"/>
      <c r="G115" s="32"/>
      <c r="H115" s="32">
        <f t="shared" si="56"/>
        <v>0</v>
      </c>
      <c r="I115" s="32">
        <f t="shared" si="57"/>
        <v>0</v>
      </c>
      <c r="J115" s="32">
        <f>Table1[[#This Row],[Enrolment S.Y. 2025-2026 ]]*8</f>
        <v>0</v>
      </c>
      <c r="K115" s="32"/>
      <c r="L115" s="30"/>
      <c r="M115" s="32"/>
      <c r="N115" s="32"/>
      <c r="O115" s="32"/>
      <c r="P115" s="32" t="e">
        <f>#REF!*8</f>
        <v>#REF!</v>
      </c>
      <c r="Q115" s="32"/>
      <c r="R115" s="30"/>
      <c r="S115" s="32"/>
      <c r="T115" s="32" t="e">
        <f t="shared" si="58"/>
        <v>#REF!</v>
      </c>
      <c r="U115" s="32" t="e">
        <f t="shared" si="59"/>
        <v>#REF!</v>
      </c>
      <c r="V115" s="32">
        <f>Table1[[#This Row],[Enrolment S.Y. 2025-2026 ]]*8</f>
        <v>0</v>
      </c>
      <c r="W115" s="32"/>
      <c r="X115" s="30"/>
      <c r="Y115" s="32"/>
      <c r="Z115" s="32">
        <f t="shared" si="60"/>
        <v>0</v>
      </c>
      <c r="AA115" s="32">
        <f t="shared" si="61"/>
        <v>0</v>
      </c>
    </row>
    <row r="116" spans="1:27" ht="18">
      <c r="A116" s="30"/>
      <c r="B116" s="31"/>
      <c r="C116" s="30"/>
      <c r="D116" s="32">
        <f>Table1[[#This Row],[Enrolment S.Y. 2025-2026 ]]*8</f>
        <v>0</v>
      </c>
      <c r="E116" s="32"/>
      <c r="F116" s="30"/>
      <c r="G116" s="32"/>
      <c r="H116" s="32">
        <f t="shared" si="56"/>
        <v>0</v>
      </c>
      <c r="I116" s="32">
        <f t="shared" si="57"/>
        <v>0</v>
      </c>
      <c r="J116" s="32">
        <f>Table1[[#This Row],[Enrolment S.Y. 2025-2026 ]]*8</f>
        <v>0</v>
      </c>
      <c r="K116" s="32"/>
      <c r="L116" s="30"/>
      <c r="M116" s="32"/>
      <c r="N116" s="32"/>
      <c r="O116" s="32"/>
      <c r="P116" s="32" t="e">
        <f>#REF!*8</f>
        <v>#REF!</v>
      </c>
      <c r="Q116" s="32"/>
      <c r="R116" s="30"/>
      <c r="S116" s="32"/>
      <c r="T116" s="32" t="e">
        <f t="shared" si="58"/>
        <v>#REF!</v>
      </c>
      <c r="U116" s="32" t="e">
        <f t="shared" si="59"/>
        <v>#REF!</v>
      </c>
      <c r="V116" s="32">
        <f>Table1[[#This Row],[Enrolment S.Y. 2025-2026 ]]*8</f>
        <v>0</v>
      </c>
      <c r="W116" s="32"/>
      <c r="X116" s="30"/>
      <c r="Y116" s="32"/>
      <c r="Z116" s="32">
        <f t="shared" si="60"/>
        <v>0</v>
      </c>
      <c r="AA116" s="32">
        <f t="shared" si="61"/>
        <v>0</v>
      </c>
    </row>
    <row r="117" spans="1:27" ht="18">
      <c r="A117" s="30"/>
      <c r="B117" s="31"/>
      <c r="C117" s="30"/>
      <c r="D117" s="32">
        <f>Table1[[#This Row],[Enrolment S.Y. 2025-2026 ]]*8</f>
        <v>0</v>
      </c>
      <c r="E117" s="32"/>
      <c r="F117" s="30"/>
      <c r="G117" s="32"/>
      <c r="H117" s="32">
        <f t="shared" si="56"/>
        <v>0</v>
      </c>
      <c r="I117" s="32">
        <f t="shared" si="57"/>
        <v>0</v>
      </c>
      <c r="J117" s="32">
        <f>Table1[[#This Row],[Enrolment S.Y. 2025-2026 ]]*8</f>
        <v>0</v>
      </c>
      <c r="K117" s="32"/>
      <c r="L117" s="30"/>
      <c r="M117" s="32"/>
      <c r="N117" s="32"/>
      <c r="O117" s="32"/>
      <c r="P117" s="32" t="e">
        <f>#REF!*8</f>
        <v>#REF!</v>
      </c>
      <c r="Q117" s="32"/>
      <c r="R117" s="30"/>
      <c r="S117" s="32"/>
      <c r="T117" s="32" t="e">
        <f t="shared" si="58"/>
        <v>#REF!</v>
      </c>
      <c r="U117" s="32" t="e">
        <f t="shared" si="59"/>
        <v>#REF!</v>
      </c>
      <c r="V117" s="32">
        <f>Table1[[#This Row],[Enrolment S.Y. 2025-2026 ]]*8</f>
        <v>0</v>
      </c>
      <c r="W117" s="32"/>
      <c r="X117" s="30"/>
      <c r="Y117" s="32"/>
      <c r="Z117" s="32">
        <f t="shared" si="60"/>
        <v>0</v>
      </c>
      <c r="AA117" s="32">
        <f t="shared" si="61"/>
        <v>0</v>
      </c>
    </row>
    <row r="118" spans="1:27" ht="18">
      <c r="A118" s="30"/>
      <c r="B118" s="31"/>
      <c r="C118" s="30"/>
      <c r="D118" s="32">
        <f>Table1[[#This Row],[Enrolment S.Y. 2025-2026 ]]*8</f>
        <v>0</v>
      </c>
      <c r="E118" s="32"/>
      <c r="F118" s="30"/>
      <c r="G118" s="32"/>
      <c r="H118" s="32">
        <f t="shared" si="56"/>
        <v>0</v>
      </c>
      <c r="I118" s="32">
        <f t="shared" si="57"/>
        <v>0</v>
      </c>
      <c r="J118" s="32">
        <f>Table1[[#This Row],[Enrolment S.Y. 2025-2026 ]]*8</f>
        <v>0</v>
      </c>
      <c r="K118" s="32"/>
      <c r="L118" s="30"/>
      <c r="M118" s="32"/>
      <c r="N118" s="32"/>
      <c r="O118" s="32"/>
      <c r="P118" s="32" t="e">
        <f>#REF!*8</f>
        <v>#REF!</v>
      </c>
      <c r="Q118" s="32"/>
      <c r="R118" s="30"/>
      <c r="S118" s="32"/>
      <c r="T118" s="32" t="e">
        <f t="shared" si="58"/>
        <v>#REF!</v>
      </c>
      <c r="U118" s="32" t="e">
        <f t="shared" si="59"/>
        <v>#REF!</v>
      </c>
      <c r="V118" s="32">
        <f>Table1[[#This Row],[Enrolment S.Y. 2025-2026 ]]*8</f>
        <v>0</v>
      </c>
      <c r="W118" s="32"/>
      <c r="X118" s="30"/>
      <c r="Y118" s="32"/>
      <c r="Z118" s="32">
        <f t="shared" si="60"/>
        <v>0</v>
      </c>
      <c r="AA118" s="32">
        <f t="shared" si="61"/>
        <v>0</v>
      </c>
    </row>
    <row r="119" spans="1:27" ht="18">
      <c r="A119" s="30"/>
      <c r="B119" s="31"/>
      <c r="C119" s="30"/>
      <c r="D119" s="32">
        <f>Table1[[#This Row],[Enrolment S.Y. 2025-2026 ]]*8</f>
        <v>0</v>
      </c>
      <c r="E119" s="32"/>
      <c r="F119" s="30"/>
      <c r="G119" s="32"/>
      <c r="H119" s="32">
        <f t="shared" si="56"/>
        <v>0</v>
      </c>
      <c r="I119" s="32">
        <f t="shared" si="57"/>
        <v>0</v>
      </c>
      <c r="J119" s="32">
        <f>Table1[[#This Row],[Enrolment S.Y. 2025-2026 ]]*8</f>
        <v>0</v>
      </c>
      <c r="K119" s="32"/>
      <c r="L119" s="30"/>
      <c r="M119" s="32"/>
      <c r="N119" s="32"/>
      <c r="O119" s="32"/>
      <c r="P119" s="32" t="e">
        <f>#REF!*8</f>
        <v>#REF!</v>
      </c>
      <c r="Q119" s="32"/>
      <c r="R119" s="30"/>
      <c r="S119" s="32"/>
      <c r="T119" s="32" t="e">
        <f t="shared" si="58"/>
        <v>#REF!</v>
      </c>
      <c r="U119" s="32" t="e">
        <f t="shared" si="59"/>
        <v>#REF!</v>
      </c>
      <c r="V119" s="32">
        <f>Table1[[#This Row],[Enrolment S.Y. 2025-2026 ]]*8</f>
        <v>0</v>
      </c>
      <c r="W119" s="32"/>
      <c r="X119" s="30"/>
      <c r="Y119" s="32"/>
      <c r="Z119" s="32">
        <f t="shared" si="60"/>
        <v>0</v>
      </c>
      <c r="AA119" s="32">
        <f t="shared" si="61"/>
        <v>0</v>
      </c>
    </row>
    <row r="120" spans="1:27" ht="18">
      <c r="A120" s="30"/>
      <c r="B120" s="31"/>
      <c r="C120" s="30"/>
      <c r="D120" s="32">
        <f>Table1[[#This Row],[Enrolment S.Y. 2025-2026 ]]*8</f>
        <v>0</v>
      </c>
      <c r="E120" s="32"/>
      <c r="F120" s="30"/>
      <c r="G120" s="32"/>
      <c r="H120" s="32">
        <f t="shared" si="56"/>
        <v>0</v>
      </c>
      <c r="I120" s="32">
        <f t="shared" si="57"/>
        <v>0</v>
      </c>
      <c r="J120" s="32">
        <f>Table1[[#This Row],[Enrolment S.Y. 2025-2026 ]]*8</f>
        <v>0</v>
      </c>
      <c r="K120" s="32"/>
      <c r="L120" s="30"/>
      <c r="M120" s="32"/>
      <c r="N120" s="32"/>
      <c r="O120" s="32"/>
      <c r="P120" s="32" t="e">
        <f>#REF!*8</f>
        <v>#REF!</v>
      </c>
      <c r="Q120" s="32"/>
      <c r="R120" s="30"/>
      <c r="S120" s="32"/>
      <c r="T120" s="32" t="e">
        <f t="shared" si="58"/>
        <v>#REF!</v>
      </c>
      <c r="U120" s="32" t="e">
        <f t="shared" si="59"/>
        <v>#REF!</v>
      </c>
      <c r="V120" s="32">
        <f>Table1[[#This Row],[Enrolment S.Y. 2025-2026 ]]*8</f>
        <v>0</v>
      </c>
      <c r="W120" s="32"/>
      <c r="X120" s="30"/>
      <c r="Y120" s="32"/>
      <c r="Z120" s="32">
        <f t="shared" si="60"/>
        <v>0</v>
      </c>
      <c r="AA120" s="32">
        <f t="shared" si="61"/>
        <v>0</v>
      </c>
    </row>
    <row r="121" spans="1:27" ht="18">
      <c r="A121" s="30"/>
      <c r="B121" s="38"/>
      <c r="C121" s="30"/>
      <c r="D121" s="32">
        <f>Table1[[#This Row],[Enrolment S.Y. 2025-2026 ]]*8</f>
        <v>0</v>
      </c>
      <c r="E121" s="32"/>
      <c r="F121" s="30"/>
      <c r="G121" s="32"/>
      <c r="H121" s="32">
        <f t="shared" si="56"/>
        <v>0</v>
      </c>
      <c r="I121" s="32">
        <f t="shared" si="57"/>
        <v>0</v>
      </c>
      <c r="J121" s="32">
        <f>Table1[[#This Row],[Enrolment S.Y. 2025-2026 ]]*8</f>
        <v>0</v>
      </c>
      <c r="K121" s="32"/>
      <c r="L121" s="30"/>
      <c r="M121" s="32"/>
      <c r="N121" s="32"/>
      <c r="O121" s="32"/>
      <c r="P121" s="32" t="e">
        <f>#REF!*8</f>
        <v>#REF!</v>
      </c>
      <c r="Q121" s="32"/>
      <c r="R121" s="30"/>
      <c r="S121" s="32"/>
      <c r="T121" s="32" t="e">
        <f t="shared" si="58"/>
        <v>#REF!</v>
      </c>
      <c r="U121" s="32" t="e">
        <f t="shared" si="59"/>
        <v>#REF!</v>
      </c>
      <c r="V121" s="32">
        <f>Table1[[#This Row],[Enrolment S.Y. 2025-2026 ]]*8</f>
        <v>0</v>
      </c>
      <c r="W121" s="32"/>
      <c r="X121" s="30"/>
      <c r="Y121" s="32"/>
      <c r="Z121" s="32">
        <f t="shared" si="60"/>
        <v>0</v>
      </c>
      <c r="AA121" s="32">
        <f t="shared" si="61"/>
        <v>0</v>
      </c>
    </row>
    <row r="135" spans="1:27" s="5" customForma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</row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</sheetData>
  <protectedRanges>
    <protectedRange sqref="C76:C121 C33:C41 C23:C31 C13:C21 C43:C74 C2:C11" name="Textbooks"/>
    <protectedRange sqref="W43:X74 H76:I103 W76:X103 N103:R121 T3:V103 J3:J103 H104:L121 N3:P102 D76:F121 Z3:AA121 K3:L11 K13:L21 K23:L31 K33:L41 K43:L74 K76:L103 T104:X121 V2:X2 Q76:R102 P2:R2 D2:F11 H3:I11 Q3:R11 W3:X11 D13:F21 H13:I21 Q13:R21 W13:X21 D23:F31 H23:I31 Q23:R31 W23:X31 D33:F41 H33:I41 Q33:R41 W33:X41 D43:F74 H43:I74 Q43:R74 J2:L2" name="LAS"/>
    <protectedRange sqref="S2:U2 M2:O2 Y2:AA2 G76:G121 G3:G11 G13:G21 S3:S74 G23:G31 G33:G41 M3:M74 G43:G74 Y3:Y74 Y76:Y121 S76:S121 M76:M12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76:S121 M76:M121 Y76:Y121 G76:G121" xr:uid="{8289B4A9-982E-4C7E-A8E2-4BF3404561DB}">
      <formula1>"CO,RO,SDO"</formula1>
    </dataValidation>
    <dataValidation type="list" allowBlank="1" showInputMessage="1" showErrorMessage="1" sqref="X103:X121 R103:R121 F103:F121 L103:L121" xr:uid="{4ECCD083-8EC4-42EE-B46C-B614411F330D}">
      <formula1>"2024,2025"</formula1>
    </dataValidation>
    <dataValidation type="list" allowBlank="1" showInputMessage="1" showErrorMessage="1" sqref="G3:G11 G13:G21 G23:G31 G33:G41 G43:G74 S3:S74 Y3:Y74 M3:M74" xr:uid="{5129D80C-83DF-45BE-B6AD-F21CA596CBA5}">
      <formula1>"CO,RO,SDO,LGU,SCHOOL"</formula1>
    </dataValidation>
    <dataValidation type="list" allowBlank="1" showInputMessage="1" showErrorMessage="1" sqref="D29 F76:F102 F43:F74 F33:F41 F23:F31 F13:F21 F3:F11 L76:L102 L43:L74 L33:L41 L23:L31 L13:L21 L3:L11 R76:R102 R43:R74 R33:R41 R23:R31 R13:R21 R3:R11 X76:X102 X43:X74 X33:X41 X23:X31 X13:X21 X3:X11" xr:uid="{110B16F3-FB37-42EF-BB42-8FC56A78F3A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203"/>
  <sheetViews>
    <sheetView tabSelected="1" zoomScale="55" zoomScaleNormal="55" workbookViewId="0">
      <pane xSplit="2" topLeftCell="R1" activePane="topRight" state="frozen"/>
      <selection pane="topRight" activeCell="AD6" sqref="AD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40" t="s">
        <v>77</v>
      </c>
      <c r="E1" s="40"/>
      <c r="F1" s="40"/>
      <c r="G1" s="40"/>
      <c r="H1" s="40"/>
      <c r="I1" s="40"/>
      <c r="J1" s="41" t="s">
        <v>78</v>
      </c>
      <c r="K1" s="41"/>
      <c r="L1" s="41"/>
      <c r="M1" s="41"/>
      <c r="N1" s="41"/>
      <c r="O1" s="41"/>
      <c r="P1" s="42" t="s">
        <v>79</v>
      </c>
      <c r="Q1" s="42"/>
      <c r="R1" s="42"/>
      <c r="S1" s="42"/>
      <c r="T1" s="42"/>
      <c r="U1" s="42"/>
      <c r="V1" s="43" t="s">
        <v>80</v>
      </c>
      <c r="W1" s="43"/>
      <c r="X1" s="43"/>
      <c r="Y1" s="43"/>
      <c r="Z1" s="43"/>
      <c r="AA1" s="43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105</v>
      </c>
      <c r="E2" s="18" t="s">
        <v>106</v>
      </c>
      <c r="F2" s="19" t="s">
        <v>107</v>
      </c>
      <c r="G2" s="22" t="s">
        <v>108</v>
      </c>
      <c r="H2" s="15" t="s">
        <v>109</v>
      </c>
      <c r="I2" s="22" t="s">
        <v>110</v>
      </c>
      <c r="J2" s="20" t="s">
        <v>111</v>
      </c>
      <c r="K2" s="20" t="s">
        <v>112</v>
      </c>
      <c r="L2" s="21" t="s">
        <v>113</v>
      </c>
      <c r="M2" s="36" t="s">
        <v>114</v>
      </c>
      <c r="N2" s="36" t="s">
        <v>115</v>
      </c>
      <c r="O2" s="20" t="s">
        <v>116</v>
      </c>
      <c r="P2" s="22" t="s">
        <v>117</v>
      </c>
      <c r="Q2" s="22" t="s">
        <v>118</v>
      </c>
      <c r="R2" s="23" t="s">
        <v>119</v>
      </c>
      <c r="S2" s="15" t="s">
        <v>120</v>
      </c>
      <c r="T2" s="15" t="s">
        <v>121</v>
      </c>
      <c r="U2" s="22" t="s">
        <v>122</v>
      </c>
      <c r="V2" s="24" t="s">
        <v>123</v>
      </c>
      <c r="W2" s="24" t="s">
        <v>124</v>
      </c>
      <c r="X2" s="25" t="s">
        <v>125</v>
      </c>
      <c r="Y2" s="37" t="s">
        <v>126</v>
      </c>
      <c r="Z2" s="37" t="s">
        <v>127</v>
      </c>
      <c r="AA2" s="24" t="s">
        <v>128</v>
      </c>
    </row>
    <row r="3" spans="1:27" ht="19.5">
      <c r="A3" s="8">
        <v>7</v>
      </c>
      <c r="B3" s="9" t="s">
        <v>8</v>
      </c>
      <c r="C3" s="8">
        <v>1912</v>
      </c>
      <c r="D3" s="10">
        <f>Table14[[#This Row],[Enrolment S.Y. 2025-2026 ]]*8</f>
        <v>15296</v>
      </c>
      <c r="E3" s="10"/>
      <c r="F3" s="8"/>
      <c r="G3" s="10"/>
      <c r="H3" s="10">
        <f>IF((D3-E3)&lt;0,0,(D3-E3))</f>
        <v>15296</v>
      </c>
      <c r="I3" s="10">
        <f t="shared" ref="I3:I19" si="0">IF((E3-D3)&lt;0,0,(E3-D3))</f>
        <v>0</v>
      </c>
      <c r="J3" s="10">
        <f>Table14[[#This Row],[Enrolment S.Y. 2025-2026 ]]*8</f>
        <v>15296</v>
      </c>
      <c r="K3" s="10"/>
      <c r="L3" s="8"/>
      <c r="M3" s="10"/>
      <c r="N3" s="10">
        <f t="shared" ref="N3:N6" si="1">IF((J3-K3)&lt;0,0,(J3-K3))</f>
        <v>15296</v>
      </c>
      <c r="O3" s="10">
        <f t="shared" ref="O3:O6" si="2">IF((K3-J3)&lt;0,0,(K3-J3))</f>
        <v>0</v>
      </c>
      <c r="P3" s="10">
        <f>Table14[[#This Row],[Enrolment S.Y. 2025-2026 ]]*8</f>
        <v>15296</v>
      </c>
      <c r="Q3" s="10"/>
      <c r="R3" s="8"/>
      <c r="S3" s="10"/>
      <c r="T3" s="10">
        <f t="shared" ref="T3:T8" si="3">IF((P3-Q3)&lt;0,0,(P3-Q3))</f>
        <v>15296</v>
      </c>
      <c r="U3" s="10">
        <f t="shared" ref="U3:U8" si="4">IF((Q3-P3)&lt;0,0,(Q3-P3))</f>
        <v>0</v>
      </c>
      <c r="V3" s="10">
        <f>Table14[[#This Row],[Enrolment S.Y. 2025-2026 ]]*8</f>
        <v>15296</v>
      </c>
      <c r="W3" s="10"/>
      <c r="X3" s="8"/>
      <c r="Y3" s="10"/>
      <c r="Z3" s="10">
        <f t="shared" ref="Z3:Z8" si="5">IF((V3-W3)&lt;0,0,(V3-W3))</f>
        <v>15296</v>
      </c>
      <c r="AA3" s="10">
        <f t="shared" ref="AA3:AA8" si="6">IF((W3-V3)&lt;0,0,(W3-V3))</f>
        <v>0</v>
      </c>
    </row>
    <row r="4" spans="1:27" ht="19.5">
      <c r="A4" s="8">
        <v>7</v>
      </c>
      <c r="B4" s="9" t="s">
        <v>10</v>
      </c>
      <c r="C4" s="8">
        <v>1912</v>
      </c>
      <c r="D4" s="10">
        <f>Table14[[#This Row],[Enrolment S.Y. 2025-2026 ]]*8</f>
        <v>15296</v>
      </c>
      <c r="E4" s="10"/>
      <c r="F4" s="8"/>
      <c r="G4" s="10"/>
      <c r="H4" s="10">
        <f t="shared" ref="H4:H19" si="7">IF((D4-E4)&lt;0,0,(D4-E4))</f>
        <v>15296</v>
      </c>
      <c r="I4" s="10">
        <f t="shared" si="0"/>
        <v>0</v>
      </c>
      <c r="J4" s="10">
        <f>Table14[[#This Row],[Enrolment S.Y. 2025-2026 ]]*8</f>
        <v>15296</v>
      </c>
      <c r="K4" s="10"/>
      <c r="L4" s="8"/>
      <c r="M4" s="10"/>
      <c r="N4" s="10">
        <f t="shared" si="1"/>
        <v>15296</v>
      </c>
      <c r="O4" s="10">
        <f t="shared" si="2"/>
        <v>0</v>
      </c>
      <c r="P4" s="10">
        <f>Table14[[#This Row],[Enrolment S.Y. 2025-2026 ]]*8</f>
        <v>15296</v>
      </c>
      <c r="Q4" s="10"/>
      <c r="R4" s="8"/>
      <c r="S4" s="10"/>
      <c r="T4" s="10">
        <f t="shared" si="3"/>
        <v>15296</v>
      </c>
      <c r="U4" s="10">
        <f t="shared" si="4"/>
        <v>0</v>
      </c>
      <c r="V4" s="10">
        <f>Table14[[#This Row],[Enrolment S.Y. 2025-2026 ]]*8</f>
        <v>15296</v>
      </c>
      <c r="W4" s="10"/>
      <c r="X4" s="8"/>
      <c r="Y4" s="10"/>
      <c r="Z4" s="10">
        <f t="shared" si="5"/>
        <v>15296</v>
      </c>
      <c r="AA4" s="10">
        <f t="shared" si="6"/>
        <v>0</v>
      </c>
    </row>
    <row r="5" spans="1:27" ht="19.5">
      <c r="A5" s="8">
        <v>7</v>
      </c>
      <c r="B5" s="9" t="s">
        <v>11</v>
      </c>
      <c r="C5" s="8">
        <v>1912</v>
      </c>
      <c r="D5" s="10">
        <f>Table14[[#This Row],[Enrolment S.Y. 2025-2026 ]]*8</f>
        <v>15296</v>
      </c>
      <c r="E5" s="10"/>
      <c r="F5" s="8"/>
      <c r="G5" s="10"/>
      <c r="H5" s="10">
        <f t="shared" si="7"/>
        <v>15296</v>
      </c>
      <c r="I5" s="10">
        <f t="shared" si="0"/>
        <v>0</v>
      </c>
      <c r="J5" s="10">
        <f>Table14[[#This Row],[Enrolment S.Y. 2025-2026 ]]*8</f>
        <v>15296</v>
      </c>
      <c r="K5" s="10"/>
      <c r="L5" s="8"/>
      <c r="M5" s="10"/>
      <c r="N5" s="10">
        <f t="shared" si="1"/>
        <v>15296</v>
      </c>
      <c r="O5" s="10">
        <f t="shared" si="2"/>
        <v>0</v>
      </c>
      <c r="P5" s="10">
        <f>Table14[[#This Row],[Enrolment S.Y. 2025-2026 ]]*8</f>
        <v>15296</v>
      </c>
      <c r="Q5" s="10"/>
      <c r="R5" s="8"/>
      <c r="S5" s="10"/>
      <c r="T5" s="10">
        <f t="shared" si="3"/>
        <v>15296</v>
      </c>
      <c r="U5" s="10">
        <f t="shared" si="4"/>
        <v>0</v>
      </c>
      <c r="V5" s="10">
        <f>Table14[[#This Row],[Enrolment S.Y. 2025-2026 ]]*8</f>
        <v>15296</v>
      </c>
      <c r="W5" s="10"/>
      <c r="X5" s="8"/>
      <c r="Y5" s="10"/>
      <c r="Z5" s="10">
        <f t="shared" si="5"/>
        <v>15296</v>
      </c>
      <c r="AA5" s="10">
        <f t="shared" si="6"/>
        <v>0</v>
      </c>
    </row>
    <row r="6" spans="1:27" ht="19.5">
      <c r="A6" s="8">
        <v>7</v>
      </c>
      <c r="B6" s="9" t="s">
        <v>12</v>
      </c>
      <c r="C6" s="8">
        <v>1912</v>
      </c>
      <c r="D6" s="10">
        <f>Table14[[#This Row],[Enrolment S.Y. 2025-2026 ]]*8</f>
        <v>15296</v>
      </c>
      <c r="E6" s="10"/>
      <c r="F6" s="8"/>
      <c r="G6" s="10"/>
      <c r="H6" s="10">
        <f t="shared" si="7"/>
        <v>15296</v>
      </c>
      <c r="I6" s="10">
        <f t="shared" si="0"/>
        <v>0</v>
      </c>
      <c r="J6" s="10">
        <f>Table14[[#This Row],[Enrolment S.Y. 2025-2026 ]]*8</f>
        <v>15296</v>
      </c>
      <c r="K6" s="10"/>
      <c r="L6" s="8"/>
      <c r="M6" s="10"/>
      <c r="N6" s="10">
        <f t="shared" si="1"/>
        <v>15296</v>
      </c>
      <c r="O6" s="10">
        <f t="shared" si="2"/>
        <v>0</v>
      </c>
      <c r="P6" s="10">
        <f>Table14[[#This Row],[Enrolment S.Y. 2025-2026 ]]*8</f>
        <v>15296</v>
      </c>
      <c r="Q6" s="10"/>
      <c r="R6" s="8"/>
      <c r="S6" s="10"/>
      <c r="T6" s="10">
        <f t="shared" si="3"/>
        <v>15296</v>
      </c>
      <c r="U6" s="10">
        <f t="shared" si="4"/>
        <v>0</v>
      </c>
      <c r="V6" s="10">
        <f>Table14[[#This Row],[Enrolment S.Y. 2025-2026 ]]*8</f>
        <v>15296</v>
      </c>
      <c r="W6" s="10"/>
      <c r="X6" s="8"/>
      <c r="Y6" s="10"/>
      <c r="Z6" s="10">
        <f t="shared" si="5"/>
        <v>15296</v>
      </c>
      <c r="AA6" s="10">
        <f t="shared" si="6"/>
        <v>0</v>
      </c>
    </row>
    <row r="7" spans="1:27" ht="38.25">
      <c r="A7" s="8">
        <v>7</v>
      </c>
      <c r="B7" s="9" t="s">
        <v>13</v>
      </c>
      <c r="C7" s="8">
        <v>1912</v>
      </c>
      <c r="D7" s="10">
        <f>Table14[[#This Row],[Enrolment S.Y. 2025-2026 ]]*8</f>
        <v>15296</v>
      </c>
      <c r="E7" s="10"/>
      <c r="F7" s="8"/>
      <c r="G7" s="10"/>
      <c r="H7" s="10">
        <f t="shared" si="7"/>
        <v>15296</v>
      </c>
      <c r="I7" s="10">
        <f t="shared" si="0"/>
        <v>0</v>
      </c>
      <c r="J7" s="10">
        <f>Table14[[#This Row],[Enrolment S.Y. 2025-2026 ]]*8</f>
        <v>15296</v>
      </c>
      <c r="K7" s="10"/>
      <c r="L7" s="8"/>
      <c r="M7" s="10"/>
      <c r="N7" s="10">
        <f t="shared" ref="N7:N13" si="8">IF((J7-K7)&lt;0,0,(J7-K7))</f>
        <v>15296</v>
      </c>
      <c r="O7" s="10">
        <f t="shared" ref="O7:O13" si="9">IF((K7-J7)&lt;0,0,(K7-J7))</f>
        <v>0</v>
      </c>
      <c r="P7" s="10">
        <f>Table14[[#This Row],[Enrolment S.Y. 2025-2026 ]]*8</f>
        <v>15296</v>
      </c>
      <c r="Q7" s="10"/>
      <c r="R7" s="8"/>
      <c r="S7" s="10"/>
      <c r="T7" s="10">
        <f t="shared" si="3"/>
        <v>15296</v>
      </c>
      <c r="U7" s="10">
        <f t="shared" si="4"/>
        <v>0</v>
      </c>
      <c r="V7" s="10">
        <f>Table14[[#This Row],[Enrolment S.Y. 2025-2026 ]]*8</f>
        <v>15296</v>
      </c>
      <c r="W7" s="10"/>
      <c r="X7" s="8"/>
      <c r="Y7" s="10"/>
      <c r="Z7" s="10">
        <f t="shared" si="5"/>
        <v>15296</v>
      </c>
      <c r="AA7" s="10">
        <f t="shared" si="6"/>
        <v>0</v>
      </c>
    </row>
    <row r="8" spans="1:27" ht="19.5">
      <c r="A8" s="8">
        <v>7</v>
      </c>
      <c r="B8" s="9" t="s">
        <v>14</v>
      </c>
      <c r="C8" s="8">
        <v>1912</v>
      </c>
      <c r="D8" s="10">
        <f>Table14[[#This Row],[Enrolment S.Y. 2025-2026 ]]*8</f>
        <v>15296</v>
      </c>
      <c r="E8" s="10"/>
      <c r="F8" s="8"/>
      <c r="G8" s="10"/>
      <c r="H8" s="10">
        <f t="shared" si="7"/>
        <v>15296</v>
      </c>
      <c r="I8" s="10">
        <f t="shared" si="0"/>
        <v>0</v>
      </c>
      <c r="J8" s="10">
        <f>Table14[[#This Row],[Enrolment S.Y. 2025-2026 ]]*8</f>
        <v>15296</v>
      </c>
      <c r="K8" s="10"/>
      <c r="L8" s="8"/>
      <c r="M8" s="10"/>
      <c r="N8" s="10">
        <f t="shared" si="8"/>
        <v>15296</v>
      </c>
      <c r="O8" s="10">
        <f t="shared" si="9"/>
        <v>0</v>
      </c>
      <c r="P8" s="10">
        <f>Table14[[#This Row],[Enrolment S.Y. 2025-2026 ]]*8</f>
        <v>15296</v>
      </c>
      <c r="Q8" s="10"/>
      <c r="R8" s="8"/>
      <c r="S8" s="10"/>
      <c r="T8" s="10">
        <f t="shared" si="3"/>
        <v>15296</v>
      </c>
      <c r="U8" s="10">
        <f t="shared" si="4"/>
        <v>0</v>
      </c>
      <c r="V8" s="10">
        <f>Table14[[#This Row],[Enrolment S.Y. 2025-2026 ]]*8</f>
        <v>15296</v>
      </c>
      <c r="W8" s="10"/>
      <c r="X8" s="8"/>
      <c r="Y8" s="10"/>
      <c r="Z8" s="10">
        <f t="shared" si="5"/>
        <v>15296</v>
      </c>
      <c r="AA8" s="10">
        <f t="shared" si="6"/>
        <v>0</v>
      </c>
    </row>
    <row r="9" spans="1:27" ht="19.5">
      <c r="A9" s="35">
        <v>7</v>
      </c>
      <c r="B9" s="9" t="s">
        <v>129</v>
      </c>
      <c r="C9" s="8">
        <v>1912</v>
      </c>
      <c r="D9" s="10">
        <f>Table14[[#This Row],[Enrolment S.Y. 2025-2026 ]]*8</f>
        <v>15296</v>
      </c>
      <c r="E9" s="10"/>
      <c r="F9" s="8"/>
      <c r="G9" s="10"/>
      <c r="H9" s="10">
        <f>IF((D9-E9)&lt;0,0,(D9-E9))</f>
        <v>15296</v>
      </c>
      <c r="I9" s="10">
        <f>IF((E9-D9)&lt;0,0,(E9-D9))</f>
        <v>0</v>
      </c>
      <c r="J9" s="10">
        <f>Table14[[#This Row],[Enrolment S.Y. 2025-2026 ]]*8</f>
        <v>15296</v>
      </c>
      <c r="K9" s="10"/>
      <c r="L9" s="8"/>
      <c r="M9" s="10"/>
      <c r="N9" s="10">
        <f t="shared" si="8"/>
        <v>15296</v>
      </c>
      <c r="O9" s="10">
        <f t="shared" si="9"/>
        <v>0</v>
      </c>
      <c r="P9" s="10">
        <f>Table14[[#This Row],[Enrolment S.Y. 2025-2026 ]]*8</f>
        <v>15296</v>
      </c>
      <c r="Q9" s="10"/>
      <c r="R9" s="8"/>
      <c r="S9" s="10"/>
      <c r="T9" s="10">
        <f>IF((P9-Q9)&lt;0,0,(P9-Q9))</f>
        <v>15296</v>
      </c>
      <c r="U9" s="10">
        <f>IF((Q9-P9)&lt;0,0,(Q9-P9))</f>
        <v>0</v>
      </c>
      <c r="V9" s="10">
        <f>Table14[[#This Row],[Enrolment S.Y. 2025-2026 ]]*8</f>
        <v>15296</v>
      </c>
      <c r="W9" s="10"/>
      <c r="X9" s="8"/>
      <c r="Y9" s="10"/>
      <c r="Z9" s="10">
        <f>IF((V9-W9)&lt;0,0,(V9-W9))</f>
        <v>15296</v>
      </c>
      <c r="AA9" s="10">
        <f>IF((W9-V9)&lt;0,0,(W9-V9))</f>
        <v>0</v>
      </c>
    </row>
    <row r="10" spans="1:27" ht="19.5">
      <c r="A10" s="8">
        <v>7</v>
      </c>
      <c r="B10" s="9" t="s">
        <v>130</v>
      </c>
      <c r="C10" s="8">
        <v>1912</v>
      </c>
      <c r="D10" s="10">
        <f>Table14[[#This Row],[Enrolment S.Y. 2025-2026 ]]*8</f>
        <v>15296</v>
      </c>
      <c r="E10" s="10"/>
      <c r="F10" s="8"/>
      <c r="G10" s="10"/>
      <c r="H10" s="10">
        <f t="shared" si="7"/>
        <v>15296</v>
      </c>
      <c r="I10" s="10">
        <f t="shared" si="0"/>
        <v>0</v>
      </c>
      <c r="J10" s="10">
        <f>Table14[[#This Row],[Enrolment S.Y. 2025-2026 ]]*8</f>
        <v>15296</v>
      </c>
      <c r="K10" s="10"/>
      <c r="L10" s="8"/>
      <c r="M10" s="10"/>
      <c r="N10" s="10">
        <f t="shared" si="8"/>
        <v>15296</v>
      </c>
      <c r="O10" s="10">
        <f t="shared" si="9"/>
        <v>0</v>
      </c>
      <c r="P10" s="10">
        <f>Table14[[#This Row],[Enrolment S.Y. 2025-2026 ]]*8</f>
        <v>15296</v>
      </c>
      <c r="Q10" s="10"/>
      <c r="R10" s="8"/>
      <c r="S10" s="10"/>
      <c r="T10" s="10">
        <f t="shared" ref="T10:T58" si="10">IF((P10-Q10)&lt;0,0,(P10-Q10))</f>
        <v>15296</v>
      </c>
      <c r="U10" s="10">
        <f t="shared" ref="U10:U58" si="11">IF((Q10-P10)&lt;0,0,(Q10-P10))</f>
        <v>0</v>
      </c>
      <c r="V10" s="10">
        <f>Table14[[#This Row],[Enrolment S.Y. 2025-2026 ]]*8</f>
        <v>15296</v>
      </c>
      <c r="W10" s="10"/>
      <c r="X10" s="8"/>
      <c r="Y10" s="10"/>
      <c r="Z10" s="10">
        <f t="shared" ref="Z10:Z58" si="12">IF((V10-W10)&lt;0,0,(V10-W10))</f>
        <v>15296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1912</v>
      </c>
      <c r="D11" s="10">
        <f>Table14[[#This Row],[Enrolment S.Y. 2025-2026 ]]*8</f>
        <v>15296</v>
      </c>
      <c r="E11" s="10"/>
      <c r="F11" s="8"/>
      <c r="G11" s="10"/>
      <c r="H11" s="10">
        <f t="shared" si="7"/>
        <v>15296</v>
      </c>
      <c r="I11" s="10">
        <f t="shared" si="0"/>
        <v>0</v>
      </c>
      <c r="J11" s="10">
        <f>Table14[[#This Row],[Enrolment S.Y. 2025-2026 ]]*8</f>
        <v>15296</v>
      </c>
      <c r="K11" s="10"/>
      <c r="L11" s="8"/>
      <c r="M11" s="10"/>
      <c r="N11" s="10">
        <f t="shared" si="8"/>
        <v>15296</v>
      </c>
      <c r="O11" s="10">
        <f t="shared" si="9"/>
        <v>0</v>
      </c>
      <c r="P11" s="10">
        <f>Table14[[#This Row],[Enrolment S.Y. 2025-2026 ]]*8</f>
        <v>15296</v>
      </c>
      <c r="Q11" s="10"/>
      <c r="R11" s="8"/>
      <c r="S11" s="10"/>
      <c r="T11" s="10">
        <f t="shared" si="10"/>
        <v>15296</v>
      </c>
      <c r="U11" s="10">
        <f t="shared" si="11"/>
        <v>0</v>
      </c>
      <c r="V11" s="10">
        <f>Table14[[#This Row],[Enrolment S.Y. 2025-2026 ]]*8</f>
        <v>15296</v>
      </c>
      <c r="W11" s="10"/>
      <c r="X11" s="8"/>
      <c r="Y11" s="10"/>
      <c r="Z11" s="10">
        <f t="shared" si="12"/>
        <v>15296</v>
      </c>
      <c r="AA11" s="10">
        <f t="shared" si="13"/>
        <v>0</v>
      </c>
    </row>
    <row r="12" spans="1:27" ht="19.5">
      <c r="A12" s="35">
        <v>7</v>
      </c>
      <c r="B12" s="9" t="s">
        <v>131</v>
      </c>
      <c r="C12" s="8">
        <v>1912</v>
      </c>
      <c r="D12" s="10">
        <f>Table14[[#This Row],[Enrolment S.Y. 2025-2026 ]]*8</f>
        <v>15296</v>
      </c>
      <c r="E12" s="10"/>
      <c r="F12" s="8"/>
      <c r="G12" s="10"/>
      <c r="H12" s="10">
        <f>IF((D12-E12)&lt;0,0,(D12-E12))</f>
        <v>15296</v>
      </c>
      <c r="I12" s="10">
        <f>IF((E12-D12)&lt;0,0,(E12-D12))</f>
        <v>0</v>
      </c>
      <c r="J12" s="10">
        <f>Table14[[#This Row],[Enrolment S.Y. 2025-2026 ]]*8</f>
        <v>15296</v>
      </c>
      <c r="K12" s="10"/>
      <c r="L12" s="8"/>
      <c r="M12" s="10"/>
      <c r="N12" s="10">
        <f t="shared" si="8"/>
        <v>15296</v>
      </c>
      <c r="O12" s="10">
        <f t="shared" si="9"/>
        <v>0</v>
      </c>
      <c r="P12" s="10">
        <f>Table14[[#This Row],[Enrolment S.Y. 2025-2026 ]]*8</f>
        <v>15296</v>
      </c>
      <c r="Q12" s="10"/>
      <c r="R12" s="8"/>
      <c r="S12" s="10"/>
      <c r="T12" s="10">
        <f>IF((P12-Q12)&lt;0,0,(P12-Q12))</f>
        <v>15296</v>
      </c>
      <c r="U12" s="10">
        <f>IF((Q12-P12)&lt;0,0,(Q12-P12))</f>
        <v>0</v>
      </c>
      <c r="V12" s="10">
        <f>Table14[[#This Row],[Enrolment S.Y. 2025-2026 ]]*8</f>
        <v>15296</v>
      </c>
      <c r="W12" s="10"/>
      <c r="X12" s="8"/>
      <c r="Y12" s="10"/>
      <c r="Z12" s="10">
        <f>IF((V12-W12)&lt;0,0,(V12-W12))</f>
        <v>15296</v>
      </c>
      <c r="AA12" s="10">
        <f>IF((W12-V12)&lt;0,0,(W12-V12))</f>
        <v>0</v>
      </c>
    </row>
    <row r="13" spans="1:27" ht="19.5">
      <c r="A13" s="8">
        <v>7</v>
      </c>
      <c r="B13" s="9" t="s">
        <v>132</v>
      </c>
      <c r="C13" s="8">
        <v>1912</v>
      </c>
      <c r="D13" s="10">
        <f>Table14[[#This Row],[Enrolment S.Y. 2025-2026 ]]*8</f>
        <v>15296</v>
      </c>
      <c r="E13" s="10"/>
      <c r="F13" s="8"/>
      <c r="G13" s="10"/>
      <c r="H13" s="10">
        <f t="shared" si="7"/>
        <v>15296</v>
      </c>
      <c r="I13" s="10">
        <f t="shared" si="0"/>
        <v>0</v>
      </c>
      <c r="J13" s="10">
        <f>Table14[[#This Row],[Enrolment S.Y. 2025-2026 ]]*8</f>
        <v>15296</v>
      </c>
      <c r="K13" s="10"/>
      <c r="L13" s="8"/>
      <c r="M13" s="10"/>
      <c r="N13" s="10">
        <f t="shared" si="8"/>
        <v>15296</v>
      </c>
      <c r="O13" s="10">
        <f t="shared" si="9"/>
        <v>0</v>
      </c>
      <c r="P13" s="10">
        <f>Table14[[#This Row],[Enrolment S.Y. 2025-2026 ]]*8</f>
        <v>15296</v>
      </c>
      <c r="Q13" s="10"/>
      <c r="R13" s="8"/>
      <c r="S13" s="10"/>
      <c r="T13" s="10">
        <f t="shared" si="10"/>
        <v>15296</v>
      </c>
      <c r="U13" s="10">
        <f t="shared" si="11"/>
        <v>0</v>
      </c>
      <c r="V13" s="10">
        <f>Table14[[#This Row],[Enrolment S.Y. 2025-2026 ]]*8</f>
        <v>15296</v>
      </c>
      <c r="W13" s="10"/>
      <c r="X13" s="8"/>
      <c r="Y13" s="10"/>
      <c r="Z13" s="10">
        <f t="shared" si="12"/>
        <v>15296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1970</v>
      </c>
      <c r="D15" s="10">
        <f>Table14[[#This Row],[Enrolment S.Y. 2025-2026 ]]*8</f>
        <v>15760</v>
      </c>
      <c r="E15" s="10"/>
      <c r="F15" s="8"/>
      <c r="G15" s="10"/>
      <c r="H15" s="10">
        <f t="shared" si="7"/>
        <v>15760</v>
      </c>
      <c r="I15" s="10">
        <f t="shared" si="0"/>
        <v>0</v>
      </c>
      <c r="J15" s="10">
        <f>Table14[[#This Row],[Enrolment S.Y. 2025-2026 ]]*8</f>
        <v>15760</v>
      </c>
      <c r="K15" s="10"/>
      <c r="L15" s="8"/>
      <c r="M15" s="10"/>
      <c r="N15" s="10">
        <f t="shared" ref="N10:N58" si="14">IF((J15-K15)&lt;0,0,(J15-K15))</f>
        <v>15760</v>
      </c>
      <c r="O15" s="10">
        <f t="shared" ref="O10:O58" si="15">IF((K15-J15)&lt;0,0,(K15-J15))</f>
        <v>0</v>
      </c>
      <c r="P15" s="10">
        <f>Table14[[#This Row],[Enrolment S.Y. 2025-2026 ]]*8</f>
        <v>15760</v>
      </c>
      <c r="Q15" s="10"/>
      <c r="R15" s="8"/>
      <c r="S15" s="10"/>
      <c r="T15" s="10">
        <f t="shared" si="10"/>
        <v>15760</v>
      </c>
      <c r="U15" s="10">
        <f t="shared" si="11"/>
        <v>0</v>
      </c>
      <c r="V15" s="10">
        <f>Table14[[#This Row],[Enrolment S.Y. 2025-2026 ]]*8</f>
        <v>15760</v>
      </c>
      <c r="W15" s="10"/>
      <c r="X15" s="8"/>
      <c r="Y15" s="10"/>
      <c r="Z15" s="10">
        <f t="shared" si="12"/>
        <v>15760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1970</v>
      </c>
      <c r="D16" s="10">
        <f>Table14[[#This Row],[Enrolment S.Y. 2025-2026 ]]*8</f>
        <v>15760</v>
      </c>
      <c r="E16" s="10"/>
      <c r="F16" s="8"/>
      <c r="G16" s="10"/>
      <c r="H16" s="10">
        <f t="shared" si="7"/>
        <v>15760</v>
      </c>
      <c r="I16" s="10">
        <f t="shared" si="0"/>
        <v>0</v>
      </c>
      <c r="J16" s="10">
        <f>Table14[[#This Row],[Enrolment S.Y. 2025-2026 ]]*8</f>
        <v>15760</v>
      </c>
      <c r="K16" s="10"/>
      <c r="L16" s="8"/>
      <c r="M16" s="10"/>
      <c r="N16" s="10">
        <f t="shared" si="14"/>
        <v>15760</v>
      </c>
      <c r="O16" s="10">
        <f t="shared" si="15"/>
        <v>0</v>
      </c>
      <c r="P16" s="10">
        <f>Table14[[#This Row],[Enrolment S.Y. 2025-2026 ]]*8</f>
        <v>15760</v>
      </c>
      <c r="Q16" s="10"/>
      <c r="R16" s="8"/>
      <c r="S16" s="10"/>
      <c r="T16" s="10">
        <f t="shared" si="10"/>
        <v>15760</v>
      </c>
      <c r="U16" s="10">
        <f t="shared" si="11"/>
        <v>0</v>
      </c>
      <c r="V16" s="10">
        <f>Table14[[#This Row],[Enrolment S.Y. 2025-2026 ]]*8</f>
        <v>15760</v>
      </c>
      <c r="W16" s="10"/>
      <c r="X16" s="8"/>
      <c r="Y16" s="10"/>
      <c r="Z16" s="10">
        <f t="shared" si="12"/>
        <v>15760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1970</v>
      </c>
      <c r="D17" s="10">
        <f>Table14[[#This Row],[Enrolment S.Y. 2025-2026 ]]*8</f>
        <v>15760</v>
      </c>
      <c r="E17" s="10"/>
      <c r="F17" s="8"/>
      <c r="G17" s="10"/>
      <c r="H17" s="10">
        <f t="shared" si="7"/>
        <v>15760</v>
      </c>
      <c r="I17" s="10">
        <f t="shared" si="0"/>
        <v>0</v>
      </c>
      <c r="J17" s="10">
        <f>Table14[[#This Row],[Enrolment S.Y. 2025-2026 ]]*8</f>
        <v>15760</v>
      </c>
      <c r="K17" s="10"/>
      <c r="L17" s="8"/>
      <c r="M17" s="10"/>
      <c r="N17" s="10">
        <f t="shared" si="14"/>
        <v>15760</v>
      </c>
      <c r="O17" s="10">
        <f t="shared" si="15"/>
        <v>0</v>
      </c>
      <c r="P17" s="10">
        <f>Table14[[#This Row],[Enrolment S.Y. 2025-2026 ]]*8</f>
        <v>15760</v>
      </c>
      <c r="Q17" s="10"/>
      <c r="R17" s="8"/>
      <c r="S17" s="10"/>
      <c r="T17" s="10">
        <f t="shared" si="10"/>
        <v>15760</v>
      </c>
      <c r="U17" s="10">
        <f t="shared" si="11"/>
        <v>0</v>
      </c>
      <c r="V17" s="10">
        <f>Table14[[#This Row],[Enrolment S.Y. 2025-2026 ]]*8</f>
        <v>15760</v>
      </c>
      <c r="W17" s="10"/>
      <c r="X17" s="8"/>
      <c r="Y17" s="10"/>
      <c r="Z17" s="10">
        <f t="shared" si="12"/>
        <v>15760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1970</v>
      </c>
      <c r="D18" s="10">
        <f>Table14[[#This Row],[Enrolment S.Y. 2025-2026 ]]*8</f>
        <v>15760</v>
      </c>
      <c r="E18" s="10"/>
      <c r="F18" s="8"/>
      <c r="G18" s="10"/>
      <c r="H18" s="10">
        <f t="shared" si="7"/>
        <v>15760</v>
      </c>
      <c r="I18" s="10">
        <f t="shared" si="0"/>
        <v>0</v>
      </c>
      <c r="J18" s="10">
        <f>Table14[[#This Row],[Enrolment S.Y. 2025-2026 ]]*8</f>
        <v>15760</v>
      </c>
      <c r="K18" s="10"/>
      <c r="L18" s="8"/>
      <c r="M18" s="10"/>
      <c r="N18" s="10">
        <f t="shared" si="14"/>
        <v>15760</v>
      </c>
      <c r="O18" s="10">
        <f t="shared" si="15"/>
        <v>0</v>
      </c>
      <c r="P18" s="10">
        <f>Table14[[#This Row],[Enrolment S.Y. 2025-2026 ]]*8</f>
        <v>15760</v>
      </c>
      <c r="Q18" s="10"/>
      <c r="R18" s="8"/>
      <c r="S18" s="10"/>
      <c r="T18" s="10">
        <f t="shared" si="10"/>
        <v>15760</v>
      </c>
      <c r="U18" s="10">
        <f t="shared" si="11"/>
        <v>0</v>
      </c>
      <c r="V18" s="10">
        <f>Table14[[#This Row],[Enrolment S.Y. 2025-2026 ]]*8</f>
        <v>15760</v>
      </c>
      <c r="W18" s="10"/>
      <c r="X18" s="8"/>
      <c r="Y18" s="10"/>
      <c r="Z18" s="10">
        <f t="shared" si="12"/>
        <v>15760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1970</v>
      </c>
      <c r="D19" s="10">
        <f>Table14[[#This Row],[Enrolment S.Y. 2025-2026 ]]*8</f>
        <v>15760</v>
      </c>
      <c r="E19" s="10"/>
      <c r="F19" s="8"/>
      <c r="G19" s="10"/>
      <c r="H19" s="10">
        <f t="shared" si="7"/>
        <v>15760</v>
      </c>
      <c r="I19" s="10">
        <f t="shared" si="0"/>
        <v>0</v>
      </c>
      <c r="J19" s="10">
        <f>Table14[[#This Row],[Enrolment S.Y. 2025-2026 ]]*8</f>
        <v>15760</v>
      </c>
      <c r="K19" s="10"/>
      <c r="L19" s="8"/>
      <c r="M19" s="10"/>
      <c r="N19" s="10">
        <f t="shared" si="14"/>
        <v>15760</v>
      </c>
      <c r="O19" s="10">
        <f t="shared" si="15"/>
        <v>0</v>
      </c>
      <c r="P19" s="10">
        <f>Table14[[#This Row],[Enrolment S.Y. 2025-2026 ]]*8</f>
        <v>15760</v>
      </c>
      <c r="Q19" s="10"/>
      <c r="R19" s="8"/>
      <c r="S19" s="10"/>
      <c r="T19" s="10">
        <f t="shared" si="10"/>
        <v>15760</v>
      </c>
      <c r="U19" s="10">
        <f t="shared" si="11"/>
        <v>0</v>
      </c>
      <c r="V19" s="10">
        <f>Table14[[#This Row],[Enrolment S.Y. 2025-2026 ]]*8</f>
        <v>15760</v>
      </c>
      <c r="W19" s="10"/>
      <c r="X19" s="8"/>
      <c r="Y19" s="10"/>
      <c r="Z19" s="10">
        <f t="shared" si="12"/>
        <v>15760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1970</v>
      </c>
      <c r="D20" s="10">
        <f>Table14[[#This Row],[Enrolment S.Y. 2025-2026 ]]*8</f>
        <v>15760</v>
      </c>
      <c r="E20" s="10"/>
      <c r="F20" s="8"/>
      <c r="G20" s="10"/>
      <c r="H20" s="10">
        <f t="shared" ref="H20:H58" si="16">IF((D20-E20)&lt;0,0,(D20-E20))</f>
        <v>15760</v>
      </c>
      <c r="I20" s="10">
        <f t="shared" ref="I20:I58" si="17">IF((E20-D20)&lt;0,0,(E20-D20))</f>
        <v>0</v>
      </c>
      <c r="J20" s="10">
        <f>Table14[[#This Row],[Enrolment S.Y. 2025-2026 ]]*8</f>
        <v>15760</v>
      </c>
      <c r="K20" s="10"/>
      <c r="L20" s="8"/>
      <c r="M20" s="10"/>
      <c r="N20" s="10">
        <f t="shared" ref="N20:N25" si="18">IF((J20-K20)&lt;0,0,(J20-K20))</f>
        <v>15760</v>
      </c>
      <c r="O20" s="10">
        <f t="shared" ref="O20:O25" si="19">IF((K20-J20)&lt;0,0,(K20-J20))</f>
        <v>0</v>
      </c>
      <c r="P20" s="10">
        <f>Table14[[#This Row],[Enrolment S.Y. 2025-2026 ]]*8</f>
        <v>15760</v>
      </c>
      <c r="Q20" s="10"/>
      <c r="R20" s="8"/>
      <c r="S20" s="10"/>
      <c r="T20" s="10">
        <f t="shared" si="10"/>
        <v>15760</v>
      </c>
      <c r="U20" s="10">
        <f t="shared" si="11"/>
        <v>0</v>
      </c>
      <c r="V20" s="10">
        <f>Table14[[#This Row],[Enrolment S.Y. 2025-2026 ]]*8</f>
        <v>15760</v>
      </c>
      <c r="W20" s="10"/>
      <c r="X20" s="8"/>
      <c r="Y20" s="10"/>
      <c r="Z20" s="10">
        <f t="shared" si="12"/>
        <v>15760</v>
      </c>
      <c r="AA20" s="10">
        <f t="shared" si="13"/>
        <v>0</v>
      </c>
    </row>
    <row r="21" spans="1:27" ht="19.5">
      <c r="A21" s="35">
        <v>8</v>
      </c>
      <c r="B21" s="9" t="s">
        <v>129</v>
      </c>
      <c r="C21" s="8">
        <v>1970</v>
      </c>
      <c r="D21" s="10">
        <f>Table14[[#This Row],[Enrolment S.Y. 2025-2026 ]]*8</f>
        <v>15760</v>
      </c>
      <c r="E21" s="10"/>
      <c r="F21" s="8"/>
      <c r="G21" s="10"/>
      <c r="H21" s="10">
        <f>IF((D21-E21)&lt;0,0,(D21-E21))</f>
        <v>15760</v>
      </c>
      <c r="I21" s="10">
        <f>IF((E21-D21)&lt;0,0,(E21-D21))</f>
        <v>0</v>
      </c>
      <c r="J21" s="10">
        <f>Table14[[#This Row],[Enrolment S.Y. 2025-2026 ]]*8</f>
        <v>15760</v>
      </c>
      <c r="K21" s="10"/>
      <c r="L21" s="8"/>
      <c r="M21" s="10"/>
      <c r="N21" s="10">
        <f t="shared" si="18"/>
        <v>15760</v>
      </c>
      <c r="O21" s="10">
        <f t="shared" si="19"/>
        <v>0</v>
      </c>
      <c r="P21" s="10">
        <f>Table14[[#This Row],[Enrolment S.Y. 2025-2026 ]]*8</f>
        <v>15760</v>
      </c>
      <c r="Q21" s="10"/>
      <c r="R21" s="8"/>
      <c r="S21" s="10"/>
      <c r="T21" s="10">
        <f>IF((P21-Q21)&lt;0,0,(P21-Q21))</f>
        <v>15760</v>
      </c>
      <c r="U21" s="10">
        <f>IF((Q21-P21)&lt;0,0,(Q21-P21))</f>
        <v>0</v>
      </c>
      <c r="V21" s="10">
        <f>Table14[[#This Row],[Enrolment S.Y. 2025-2026 ]]*8</f>
        <v>15760</v>
      </c>
      <c r="W21" s="10"/>
      <c r="X21" s="8"/>
      <c r="Y21" s="10"/>
      <c r="Z21" s="10">
        <f>IF((V21-W21)&lt;0,0,(V21-W21))</f>
        <v>15760</v>
      </c>
      <c r="AA21" s="10">
        <f>IF((W21-V21)&lt;0,0,(W21-V21))</f>
        <v>0</v>
      </c>
    </row>
    <row r="22" spans="1:27" ht="19.5">
      <c r="A22" s="8">
        <v>8</v>
      </c>
      <c r="B22" s="9" t="s">
        <v>130</v>
      </c>
      <c r="C22" s="8">
        <v>1970</v>
      </c>
      <c r="D22" s="10">
        <f>Table14[[#This Row],[Enrolment S.Y. 2025-2026 ]]*8</f>
        <v>15760</v>
      </c>
      <c r="E22" s="10"/>
      <c r="F22" s="8"/>
      <c r="G22" s="10"/>
      <c r="H22" s="10">
        <f t="shared" si="16"/>
        <v>15760</v>
      </c>
      <c r="I22" s="10">
        <f t="shared" si="17"/>
        <v>0</v>
      </c>
      <c r="J22" s="10">
        <f>Table14[[#This Row],[Enrolment S.Y. 2025-2026 ]]*8</f>
        <v>15760</v>
      </c>
      <c r="K22" s="10"/>
      <c r="L22" s="8"/>
      <c r="M22" s="10"/>
      <c r="N22" s="10">
        <f t="shared" si="18"/>
        <v>15760</v>
      </c>
      <c r="O22" s="10">
        <f t="shared" si="19"/>
        <v>0</v>
      </c>
      <c r="P22" s="10">
        <f>Table14[[#This Row],[Enrolment S.Y. 2025-2026 ]]*8</f>
        <v>15760</v>
      </c>
      <c r="Q22" s="10"/>
      <c r="R22" s="8"/>
      <c r="S22" s="10"/>
      <c r="T22" s="10">
        <f t="shared" si="10"/>
        <v>15760</v>
      </c>
      <c r="U22" s="10">
        <f t="shared" si="11"/>
        <v>0</v>
      </c>
      <c r="V22" s="10">
        <f>Table14[[#This Row],[Enrolment S.Y. 2025-2026 ]]*8</f>
        <v>15760</v>
      </c>
      <c r="W22" s="10"/>
      <c r="X22" s="8"/>
      <c r="Y22" s="10"/>
      <c r="Z22" s="10">
        <f t="shared" si="12"/>
        <v>15760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1970</v>
      </c>
      <c r="D23" s="10">
        <f>Table14[[#This Row],[Enrolment S.Y. 2025-2026 ]]*8</f>
        <v>15760</v>
      </c>
      <c r="E23" s="10"/>
      <c r="F23" s="8"/>
      <c r="G23" s="10"/>
      <c r="H23" s="10">
        <f t="shared" si="16"/>
        <v>15760</v>
      </c>
      <c r="I23" s="10">
        <f t="shared" si="17"/>
        <v>0</v>
      </c>
      <c r="J23" s="10">
        <f>Table14[[#This Row],[Enrolment S.Y. 2025-2026 ]]*8</f>
        <v>15760</v>
      </c>
      <c r="K23" s="10"/>
      <c r="L23" s="8"/>
      <c r="M23" s="10"/>
      <c r="N23" s="10">
        <f t="shared" si="18"/>
        <v>15760</v>
      </c>
      <c r="O23" s="10">
        <f t="shared" si="19"/>
        <v>0</v>
      </c>
      <c r="P23" s="10">
        <f>Table14[[#This Row],[Enrolment S.Y. 2025-2026 ]]*8</f>
        <v>15760</v>
      </c>
      <c r="Q23" s="10"/>
      <c r="R23" s="8"/>
      <c r="S23" s="10"/>
      <c r="T23" s="10">
        <f t="shared" si="10"/>
        <v>15760</v>
      </c>
      <c r="U23" s="10">
        <f t="shared" si="11"/>
        <v>0</v>
      </c>
      <c r="V23" s="10">
        <f>Table14[[#This Row],[Enrolment S.Y. 2025-2026 ]]*8</f>
        <v>15760</v>
      </c>
      <c r="W23" s="10"/>
      <c r="X23" s="8"/>
      <c r="Y23" s="10"/>
      <c r="Z23" s="10">
        <f t="shared" si="12"/>
        <v>15760</v>
      </c>
      <c r="AA23" s="10">
        <f t="shared" si="13"/>
        <v>0</v>
      </c>
    </row>
    <row r="24" spans="1:27" ht="19.5">
      <c r="A24" s="35">
        <v>8</v>
      </c>
      <c r="B24" s="9" t="s">
        <v>131</v>
      </c>
      <c r="C24" s="8">
        <v>1970</v>
      </c>
      <c r="D24" s="10">
        <f>Table14[[#This Row],[Enrolment S.Y. 2025-2026 ]]*8</f>
        <v>15760</v>
      </c>
      <c r="E24" s="10"/>
      <c r="F24" s="8"/>
      <c r="G24" s="10"/>
      <c r="H24" s="10">
        <f>IF((D24-E24)&lt;0,0,(D24-E24))</f>
        <v>15760</v>
      </c>
      <c r="I24" s="10">
        <f>IF((E24-D24)&lt;0,0,(E24-D24))</f>
        <v>0</v>
      </c>
      <c r="J24" s="10">
        <f>Table14[[#This Row],[Enrolment S.Y. 2025-2026 ]]*8</f>
        <v>15760</v>
      </c>
      <c r="K24" s="10"/>
      <c r="L24" s="8"/>
      <c r="M24" s="10"/>
      <c r="N24" s="10">
        <f t="shared" si="18"/>
        <v>15760</v>
      </c>
      <c r="O24" s="10">
        <f t="shared" si="19"/>
        <v>0</v>
      </c>
      <c r="P24" s="10">
        <f>Table14[[#This Row],[Enrolment S.Y. 2025-2026 ]]*8</f>
        <v>15760</v>
      </c>
      <c r="Q24" s="10"/>
      <c r="R24" s="8"/>
      <c r="S24" s="10"/>
      <c r="T24" s="10">
        <f>IF((P24-Q24)&lt;0,0,(P24-Q24))</f>
        <v>15760</v>
      </c>
      <c r="U24" s="10">
        <f>IF((Q24-P24)&lt;0,0,(Q24-P24))</f>
        <v>0</v>
      </c>
      <c r="V24" s="10">
        <f>Table14[[#This Row],[Enrolment S.Y. 2025-2026 ]]*8</f>
        <v>15760</v>
      </c>
      <c r="W24" s="10"/>
      <c r="X24" s="8"/>
      <c r="Y24" s="10"/>
      <c r="Z24" s="10">
        <f>IF((V24-W24)&lt;0,0,(V24-W24))</f>
        <v>15760</v>
      </c>
      <c r="AA24" s="10">
        <f>IF((W24-V24)&lt;0,0,(W24-V24))</f>
        <v>0</v>
      </c>
    </row>
    <row r="25" spans="1:27" ht="19.5">
      <c r="A25" s="8">
        <v>8</v>
      </c>
      <c r="B25" s="9" t="s">
        <v>132</v>
      </c>
      <c r="C25" s="8">
        <v>1970</v>
      </c>
      <c r="D25" s="10">
        <f>Table14[[#This Row],[Enrolment S.Y. 2025-2026 ]]*8</f>
        <v>15760</v>
      </c>
      <c r="E25" s="10"/>
      <c r="F25" s="8"/>
      <c r="G25" s="10"/>
      <c r="H25" s="10">
        <f t="shared" si="16"/>
        <v>15760</v>
      </c>
      <c r="I25" s="10">
        <f t="shared" si="17"/>
        <v>0</v>
      </c>
      <c r="J25" s="10">
        <f>Table14[[#This Row],[Enrolment S.Y. 2025-2026 ]]*8</f>
        <v>15760</v>
      </c>
      <c r="K25" s="10"/>
      <c r="L25" s="8"/>
      <c r="M25" s="10"/>
      <c r="N25" s="10">
        <f t="shared" si="18"/>
        <v>15760</v>
      </c>
      <c r="O25" s="10">
        <f t="shared" si="19"/>
        <v>0</v>
      </c>
      <c r="P25" s="10">
        <f>Table14[[#This Row],[Enrolment S.Y. 2025-2026 ]]*8</f>
        <v>15760</v>
      </c>
      <c r="Q25" s="10"/>
      <c r="R25" s="8"/>
      <c r="S25" s="10"/>
      <c r="T25" s="10">
        <f t="shared" si="10"/>
        <v>15760</v>
      </c>
      <c r="U25" s="10">
        <f t="shared" si="11"/>
        <v>0</v>
      </c>
      <c r="V25" s="10">
        <f>Table14[[#This Row],[Enrolment S.Y. 2025-2026 ]]*8</f>
        <v>15760</v>
      </c>
      <c r="W25" s="10"/>
      <c r="X25" s="8"/>
      <c r="Y25" s="10"/>
      <c r="Z25" s="10">
        <f t="shared" si="12"/>
        <v>15760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1599</v>
      </c>
      <c r="D27" s="10">
        <f>Table14[[#This Row],[Enrolment S.Y. 2025-2026 ]]*8</f>
        <v>12792</v>
      </c>
      <c r="E27" s="10"/>
      <c r="F27" s="8"/>
      <c r="G27" s="10"/>
      <c r="H27" s="10">
        <f t="shared" si="16"/>
        <v>12792</v>
      </c>
      <c r="I27" s="10">
        <f t="shared" si="17"/>
        <v>0</v>
      </c>
      <c r="J27" s="10">
        <f>Table14[[#This Row],[Enrolment S.Y. 2025-2026 ]]*8</f>
        <v>12792</v>
      </c>
      <c r="K27" s="10"/>
      <c r="L27" s="8"/>
      <c r="M27" s="10"/>
      <c r="N27" s="10">
        <f t="shared" si="14"/>
        <v>12792</v>
      </c>
      <c r="O27" s="10">
        <f t="shared" si="15"/>
        <v>0</v>
      </c>
      <c r="P27" s="10">
        <f>Table14[[#This Row],[Enrolment S.Y. 2025-2026 ]]*8</f>
        <v>12792</v>
      </c>
      <c r="Q27" s="10"/>
      <c r="R27" s="8"/>
      <c r="S27" s="10"/>
      <c r="T27" s="10">
        <f t="shared" si="10"/>
        <v>12792</v>
      </c>
      <c r="U27" s="10">
        <f t="shared" si="11"/>
        <v>0</v>
      </c>
      <c r="V27" s="10">
        <f>Table14[[#This Row],[Enrolment S.Y. 2025-2026 ]]*8</f>
        <v>12792</v>
      </c>
      <c r="W27" s="10"/>
      <c r="X27" s="8"/>
      <c r="Y27" s="10"/>
      <c r="Z27" s="10">
        <f t="shared" si="12"/>
        <v>12792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1599</v>
      </c>
      <c r="D28" s="10">
        <f>Table14[[#This Row],[Enrolment S.Y. 2025-2026 ]]*8</f>
        <v>12792</v>
      </c>
      <c r="E28" s="10"/>
      <c r="F28" s="8"/>
      <c r="G28" s="10"/>
      <c r="H28" s="10">
        <f t="shared" si="16"/>
        <v>12792</v>
      </c>
      <c r="I28" s="10">
        <f t="shared" si="17"/>
        <v>0</v>
      </c>
      <c r="J28" s="10">
        <f>Table14[[#This Row],[Enrolment S.Y. 2025-2026 ]]*8</f>
        <v>12792</v>
      </c>
      <c r="K28" s="10"/>
      <c r="L28" s="8"/>
      <c r="M28" s="10"/>
      <c r="N28" s="10">
        <f t="shared" si="14"/>
        <v>12792</v>
      </c>
      <c r="O28" s="10">
        <f t="shared" si="15"/>
        <v>0</v>
      </c>
      <c r="P28" s="10">
        <f>Table14[[#This Row],[Enrolment S.Y. 2025-2026 ]]*8</f>
        <v>12792</v>
      </c>
      <c r="Q28" s="10">
        <v>250</v>
      </c>
      <c r="R28" s="8">
        <v>2025</v>
      </c>
      <c r="S28" s="10"/>
      <c r="T28" s="10">
        <f t="shared" si="10"/>
        <v>12542</v>
      </c>
      <c r="U28" s="10">
        <f t="shared" si="11"/>
        <v>0</v>
      </c>
      <c r="V28" s="10">
        <f>Table14[[#This Row],[Enrolment S.Y. 2025-2026 ]]*8</f>
        <v>12792</v>
      </c>
      <c r="W28" s="10"/>
      <c r="X28" s="8"/>
      <c r="Y28" s="10"/>
      <c r="Z28" s="10">
        <f t="shared" si="12"/>
        <v>12792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1599</v>
      </c>
      <c r="D29" s="10">
        <f>Table14[[#This Row],[Enrolment S.Y. 2025-2026 ]]*8</f>
        <v>12792</v>
      </c>
      <c r="E29" s="10"/>
      <c r="F29" s="8"/>
      <c r="G29" s="10"/>
      <c r="H29" s="10">
        <f t="shared" si="16"/>
        <v>12792</v>
      </c>
      <c r="I29" s="10">
        <f t="shared" si="17"/>
        <v>0</v>
      </c>
      <c r="J29" s="10">
        <f>Table14[[#This Row],[Enrolment S.Y. 2025-2026 ]]*8</f>
        <v>12792</v>
      </c>
      <c r="K29" s="10"/>
      <c r="L29" s="8"/>
      <c r="M29" s="10"/>
      <c r="N29" s="10">
        <f t="shared" si="14"/>
        <v>12792</v>
      </c>
      <c r="O29" s="10">
        <f t="shared" si="15"/>
        <v>0</v>
      </c>
      <c r="P29" s="10">
        <f>Table14[[#This Row],[Enrolment S.Y. 2025-2026 ]]*8</f>
        <v>12792</v>
      </c>
      <c r="Q29" s="10">
        <v>250</v>
      </c>
      <c r="R29" s="8">
        <v>2025</v>
      </c>
      <c r="S29" s="10"/>
      <c r="T29" s="10">
        <f t="shared" si="10"/>
        <v>12542</v>
      </c>
      <c r="U29" s="10">
        <f t="shared" si="11"/>
        <v>0</v>
      </c>
      <c r="V29" s="10">
        <f>Table14[[#This Row],[Enrolment S.Y. 2025-2026 ]]*8</f>
        <v>12792</v>
      </c>
      <c r="W29" s="10"/>
      <c r="X29" s="8"/>
      <c r="Y29" s="10"/>
      <c r="Z29" s="10">
        <f t="shared" si="12"/>
        <v>12792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1599</v>
      </c>
      <c r="D30" s="10">
        <f>Table14[[#This Row],[Enrolment S.Y. 2025-2026 ]]*8</f>
        <v>12792</v>
      </c>
      <c r="E30" s="10"/>
      <c r="F30" s="8"/>
      <c r="G30" s="10"/>
      <c r="H30" s="10">
        <f t="shared" si="16"/>
        <v>12792</v>
      </c>
      <c r="I30" s="10">
        <f t="shared" si="17"/>
        <v>0</v>
      </c>
      <c r="J30" s="10">
        <f>Table14[[#This Row],[Enrolment S.Y. 2025-2026 ]]*8</f>
        <v>12792</v>
      </c>
      <c r="K30" s="10"/>
      <c r="L30" s="8"/>
      <c r="M30" s="10"/>
      <c r="N30" s="10">
        <f t="shared" si="14"/>
        <v>12792</v>
      </c>
      <c r="O30" s="10">
        <f t="shared" si="15"/>
        <v>0</v>
      </c>
      <c r="P30" s="10">
        <f>Table14[[#This Row],[Enrolment S.Y. 2025-2026 ]]*8</f>
        <v>12792</v>
      </c>
      <c r="Q30" s="10">
        <v>250</v>
      </c>
      <c r="R30" s="8">
        <v>2025</v>
      </c>
      <c r="S30" s="10"/>
      <c r="T30" s="10">
        <f t="shared" si="10"/>
        <v>12542</v>
      </c>
      <c r="U30" s="10">
        <f t="shared" si="11"/>
        <v>0</v>
      </c>
      <c r="V30" s="10">
        <f>Table14[[#This Row],[Enrolment S.Y. 2025-2026 ]]*8</f>
        <v>12792</v>
      </c>
      <c r="W30" s="10"/>
      <c r="X30" s="8"/>
      <c r="Y30" s="10"/>
      <c r="Z30" s="10">
        <f t="shared" si="12"/>
        <v>12792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1599</v>
      </c>
      <c r="D31" s="10">
        <f>Table14[[#This Row],[Enrolment S.Y. 2025-2026 ]]*8</f>
        <v>12792</v>
      </c>
      <c r="E31" s="10"/>
      <c r="F31" s="8"/>
      <c r="G31" s="10"/>
      <c r="H31" s="10">
        <f t="shared" si="16"/>
        <v>12792</v>
      </c>
      <c r="I31" s="10">
        <f t="shared" si="17"/>
        <v>0</v>
      </c>
      <c r="J31" s="10">
        <f>Table14[[#This Row],[Enrolment S.Y. 2025-2026 ]]*8</f>
        <v>12792</v>
      </c>
      <c r="K31" s="10"/>
      <c r="L31" s="8"/>
      <c r="M31" s="10"/>
      <c r="N31" s="10">
        <f t="shared" si="14"/>
        <v>12792</v>
      </c>
      <c r="O31" s="10">
        <f t="shared" si="15"/>
        <v>0</v>
      </c>
      <c r="P31" s="10">
        <f>Table14[[#This Row],[Enrolment S.Y. 2025-2026 ]]*8</f>
        <v>12792</v>
      </c>
      <c r="Q31" s="10">
        <v>250</v>
      </c>
      <c r="R31" s="8">
        <v>2025</v>
      </c>
      <c r="S31" s="10"/>
      <c r="T31" s="10">
        <f t="shared" si="10"/>
        <v>12542</v>
      </c>
      <c r="U31" s="10">
        <f t="shared" si="11"/>
        <v>0</v>
      </c>
      <c r="V31" s="10">
        <f>Table14[[#This Row],[Enrolment S.Y. 2025-2026 ]]*8</f>
        <v>12792</v>
      </c>
      <c r="W31" s="10"/>
      <c r="X31" s="8"/>
      <c r="Y31" s="10"/>
      <c r="Z31" s="10">
        <f t="shared" si="12"/>
        <v>12792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1599</v>
      </c>
      <c r="D32" s="10">
        <f>Table14[[#This Row],[Enrolment S.Y. 2025-2026 ]]*8</f>
        <v>12792</v>
      </c>
      <c r="E32" s="10"/>
      <c r="F32" s="8"/>
      <c r="G32" s="10"/>
      <c r="H32" s="10">
        <f t="shared" si="16"/>
        <v>12792</v>
      </c>
      <c r="I32" s="10">
        <f t="shared" si="17"/>
        <v>0</v>
      </c>
      <c r="J32" s="10">
        <f>Table14[[#This Row],[Enrolment S.Y. 2025-2026 ]]*8</f>
        <v>12792</v>
      </c>
      <c r="K32" s="10"/>
      <c r="L32" s="8"/>
      <c r="M32" s="10"/>
      <c r="N32" s="10">
        <f t="shared" si="14"/>
        <v>12792</v>
      </c>
      <c r="O32" s="10">
        <f t="shared" si="15"/>
        <v>0</v>
      </c>
      <c r="P32" s="10">
        <f>Table14[[#This Row],[Enrolment S.Y. 2025-2026 ]]*8</f>
        <v>12792</v>
      </c>
      <c r="Q32" s="10">
        <v>250</v>
      </c>
      <c r="R32" s="8">
        <v>2025</v>
      </c>
      <c r="S32" s="10"/>
      <c r="T32" s="10">
        <f t="shared" si="10"/>
        <v>12542</v>
      </c>
      <c r="U32" s="10">
        <f t="shared" si="11"/>
        <v>0</v>
      </c>
      <c r="V32" s="10">
        <f>Table14[[#This Row],[Enrolment S.Y. 2025-2026 ]]*8</f>
        <v>12792</v>
      </c>
      <c r="W32" s="10"/>
      <c r="X32" s="8"/>
      <c r="Y32" s="10"/>
      <c r="Z32" s="10">
        <f t="shared" si="12"/>
        <v>12792</v>
      </c>
      <c r="AA32" s="10">
        <f t="shared" si="13"/>
        <v>0</v>
      </c>
    </row>
    <row r="33" spans="1:27" ht="19.5">
      <c r="A33" s="35">
        <v>9</v>
      </c>
      <c r="B33" s="9" t="s">
        <v>129</v>
      </c>
      <c r="C33" s="8">
        <v>1599</v>
      </c>
      <c r="D33" s="10">
        <f>Table14[[#This Row],[Enrolment S.Y. 2025-2026 ]]*8</f>
        <v>12792</v>
      </c>
      <c r="E33" s="10"/>
      <c r="F33" s="8"/>
      <c r="G33" s="10"/>
      <c r="H33" s="10">
        <f>IF((D33-E33)&lt;0,0,(D33-E33))</f>
        <v>12792</v>
      </c>
      <c r="I33" s="10">
        <f>IF((E33-D33)&lt;0,0,(E33-D33))</f>
        <v>0</v>
      </c>
      <c r="J33" s="10">
        <f>Table14[[#This Row],[Enrolment S.Y. 2025-2026 ]]*8</f>
        <v>12792</v>
      </c>
      <c r="K33" s="10"/>
      <c r="L33" s="8"/>
      <c r="M33" s="10"/>
      <c r="N33" s="10">
        <f t="shared" ref="N33:N37" si="20">IF((J33-K33)&lt;0,0,(J33-K33))</f>
        <v>12792</v>
      </c>
      <c r="O33" s="10">
        <f t="shared" ref="O33:O37" si="21">IF((K33-J33)&lt;0,0,(K33-J33))</f>
        <v>0</v>
      </c>
      <c r="P33" s="10">
        <f>Table14[[#This Row],[Enrolment S.Y. 2025-2026 ]]*8</f>
        <v>12792</v>
      </c>
      <c r="Q33" s="10"/>
      <c r="R33" s="8"/>
      <c r="S33" s="10"/>
      <c r="T33" s="10">
        <f>IF((P33-Q33)&lt;0,0,(P33-Q33))</f>
        <v>12792</v>
      </c>
      <c r="U33" s="10">
        <f>IF((Q33-P33)&lt;0,0,(Q33-P33))</f>
        <v>0</v>
      </c>
      <c r="V33" s="10">
        <f>Table14[[#This Row],[Enrolment S.Y. 2025-2026 ]]*8</f>
        <v>12792</v>
      </c>
      <c r="W33" s="10"/>
      <c r="X33" s="8"/>
      <c r="Y33" s="10"/>
      <c r="Z33" s="10">
        <f>IF((V33-W33)&lt;0,0,(V33-W33))</f>
        <v>12792</v>
      </c>
      <c r="AA33" s="10">
        <f>IF((W33-V33)&lt;0,0,(W33-V33))</f>
        <v>0</v>
      </c>
    </row>
    <row r="34" spans="1:27" ht="19.5">
      <c r="A34" s="8">
        <v>9</v>
      </c>
      <c r="B34" s="9" t="s">
        <v>130</v>
      </c>
      <c r="C34" s="8">
        <v>1599</v>
      </c>
      <c r="D34" s="10">
        <f>Table14[[#This Row],[Enrolment S.Y. 2025-2026 ]]*8</f>
        <v>12792</v>
      </c>
      <c r="E34" s="10"/>
      <c r="F34" s="8"/>
      <c r="G34" s="10"/>
      <c r="H34" s="10">
        <f t="shared" si="16"/>
        <v>12792</v>
      </c>
      <c r="I34" s="10">
        <f t="shared" si="17"/>
        <v>0</v>
      </c>
      <c r="J34" s="10">
        <f>Table14[[#This Row],[Enrolment S.Y. 2025-2026 ]]*8</f>
        <v>12792</v>
      </c>
      <c r="K34" s="10"/>
      <c r="L34" s="8"/>
      <c r="M34" s="10"/>
      <c r="N34" s="10">
        <f t="shared" si="20"/>
        <v>12792</v>
      </c>
      <c r="O34" s="10">
        <f t="shared" si="21"/>
        <v>0</v>
      </c>
      <c r="P34" s="10">
        <f>Table14[[#This Row],[Enrolment S.Y. 2025-2026 ]]*8</f>
        <v>12792</v>
      </c>
      <c r="Q34" s="10"/>
      <c r="R34" s="8"/>
      <c r="S34" s="10"/>
      <c r="T34" s="10">
        <f t="shared" si="10"/>
        <v>12792</v>
      </c>
      <c r="U34" s="10">
        <f t="shared" si="11"/>
        <v>0</v>
      </c>
      <c r="V34" s="10">
        <f>Table14[[#This Row],[Enrolment S.Y. 2025-2026 ]]*8</f>
        <v>12792</v>
      </c>
      <c r="W34" s="10"/>
      <c r="X34" s="8"/>
      <c r="Y34" s="10"/>
      <c r="Z34" s="10">
        <f t="shared" si="12"/>
        <v>12792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1599</v>
      </c>
      <c r="D35" s="10">
        <f>Table14[[#This Row],[Enrolment S.Y. 2025-2026 ]]*8</f>
        <v>12792</v>
      </c>
      <c r="E35" s="10"/>
      <c r="F35" s="8"/>
      <c r="G35" s="10"/>
      <c r="H35" s="10">
        <f t="shared" si="16"/>
        <v>12792</v>
      </c>
      <c r="I35" s="10">
        <f t="shared" si="17"/>
        <v>0</v>
      </c>
      <c r="J35" s="10">
        <f>Table14[[#This Row],[Enrolment S.Y. 2025-2026 ]]*8</f>
        <v>12792</v>
      </c>
      <c r="K35" s="10"/>
      <c r="L35" s="8"/>
      <c r="M35" s="10"/>
      <c r="N35" s="10">
        <f t="shared" si="20"/>
        <v>12792</v>
      </c>
      <c r="O35" s="10">
        <f t="shared" si="21"/>
        <v>0</v>
      </c>
      <c r="P35" s="10">
        <f>Table14[[#This Row],[Enrolment S.Y. 2025-2026 ]]*8</f>
        <v>12792</v>
      </c>
      <c r="Q35" s="10"/>
      <c r="R35" s="8"/>
      <c r="S35" s="10"/>
      <c r="T35" s="10">
        <f t="shared" si="10"/>
        <v>12792</v>
      </c>
      <c r="U35" s="10">
        <f t="shared" si="11"/>
        <v>0</v>
      </c>
      <c r="V35" s="10">
        <f>Table14[[#This Row],[Enrolment S.Y. 2025-2026 ]]*8</f>
        <v>12792</v>
      </c>
      <c r="W35" s="10"/>
      <c r="X35" s="8"/>
      <c r="Y35" s="10"/>
      <c r="Z35" s="10">
        <f t="shared" si="12"/>
        <v>12792</v>
      </c>
      <c r="AA35" s="10">
        <f t="shared" si="13"/>
        <v>0</v>
      </c>
    </row>
    <row r="36" spans="1:27" ht="19.5">
      <c r="A36" s="35">
        <v>9</v>
      </c>
      <c r="B36" s="9" t="s">
        <v>131</v>
      </c>
      <c r="C36" s="8">
        <v>1599</v>
      </c>
      <c r="D36" s="10">
        <f>Table14[[#This Row],[Enrolment S.Y. 2025-2026 ]]*8</f>
        <v>12792</v>
      </c>
      <c r="E36" s="10"/>
      <c r="F36" s="8"/>
      <c r="G36" s="10"/>
      <c r="H36" s="10">
        <f>IF((D36-E36)&lt;0,0,(D36-E36))</f>
        <v>12792</v>
      </c>
      <c r="I36" s="10">
        <f>IF((E36-D36)&lt;0,0,(E36-D36))</f>
        <v>0</v>
      </c>
      <c r="J36" s="10">
        <f>Table14[[#This Row],[Enrolment S.Y. 2025-2026 ]]*8</f>
        <v>12792</v>
      </c>
      <c r="K36" s="10"/>
      <c r="L36" s="8"/>
      <c r="M36" s="10"/>
      <c r="N36" s="10">
        <f t="shared" si="20"/>
        <v>12792</v>
      </c>
      <c r="O36" s="10">
        <f t="shared" si="21"/>
        <v>0</v>
      </c>
      <c r="P36" s="10">
        <f>Table14[[#This Row],[Enrolment S.Y. 2025-2026 ]]*8</f>
        <v>12792</v>
      </c>
      <c r="Q36" s="10">
        <v>100</v>
      </c>
      <c r="R36" s="8">
        <v>2025</v>
      </c>
      <c r="S36" s="10"/>
      <c r="T36" s="10">
        <f>IF((P36-Q36)&lt;0,0,(P36-Q36))</f>
        <v>12692</v>
      </c>
      <c r="U36" s="10">
        <f>IF((Q36-P36)&lt;0,0,(Q36-P36))</f>
        <v>0</v>
      </c>
      <c r="V36" s="10">
        <f>Table14[[#This Row],[Enrolment S.Y. 2025-2026 ]]*8</f>
        <v>12792</v>
      </c>
      <c r="W36" s="10"/>
      <c r="X36" s="8"/>
      <c r="Y36" s="10"/>
      <c r="Z36" s="10">
        <f>IF((V36-W36)&lt;0,0,(V36-W36))</f>
        <v>12792</v>
      </c>
      <c r="AA36" s="10">
        <f>IF((W36-V36)&lt;0,0,(W36-V36))</f>
        <v>0</v>
      </c>
    </row>
    <row r="37" spans="1:27" ht="19.5">
      <c r="A37" s="8">
        <v>9</v>
      </c>
      <c r="B37" s="9" t="s">
        <v>132</v>
      </c>
      <c r="C37" s="8">
        <v>1599</v>
      </c>
      <c r="D37" s="10">
        <f>Table14[[#This Row],[Enrolment S.Y. 2025-2026 ]]*8</f>
        <v>12792</v>
      </c>
      <c r="E37" s="10"/>
      <c r="F37" s="8"/>
      <c r="G37" s="10"/>
      <c r="H37" s="10">
        <f t="shared" si="16"/>
        <v>12792</v>
      </c>
      <c r="I37" s="10">
        <f t="shared" si="17"/>
        <v>0</v>
      </c>
      <c r="J37" s="10">
        <f>Table14[[#This Row],[Enrolment S.Y. 2025-2026 ]]*8</f>
        <v>12792</v>
      </c>
      <c r="K37" s="10"/>
      <c r="L37" s="8"/>
      <c r="M37" s="10"/>
      <c r="N37" s="10">
        <f t="shared" si="20"/>
        <v>12792</v>
      </c>
      <c r="O37" s="10">
        <f t="shared" si="21"/>
        <v>0</v>
      </c>
      <c r="P37" s="10">
        <f>Table14[[#This Row],[Enrolment S.Y. 2025-2026 ]]*8</f>
        <v>12792</v>
      </c>
      <c r="Q37" s="10">
        <v>150</v>
      </c>
      <c r="R37" s="8">
        <v>2025</v>
      </c>
      <c r="S37" s="10"/>
      <c r="T37" s="10">
        <f t="shared" si="10"/>
        <v>12642</v>
      </c>
      <c r="U37" s="10">
        <f t="shared" si="11"/>
        <v>0</v>
      </c>
      <c r="V37" s="10">
        <f>Table14[[#This Row],[Enrolment S.Y. 2025-2026 ]]*8</f>
        <v>12792</v>
      </c>
      <c r="W37" s="10"/>
      <c r="X37" s="8"/>
      <c r="Y37" s="10"/>
      <c r="Z37" s="10">
        <f t="shared" si="12"/>
        <v>12792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1633</v>
      </c>
      <c r="D39" s="10">
        <f>Table14[[#This Row],[Enrolment S.Y. 2025-2026 ]]*8</f>
        <v>13064</v>
      </c>
      <c r="E39" s="10"/>
      <c r="F39" s="8"/>
      <c r="G39" s="10"/>
      <c r="H39" s="10">
        <f t="shared" si="16"/>
        <v>13064</v>
      </c>
      <c r="I39" s="10">
        <f t="shared" si="17"/>
        <v>0</v>
      </c>
      <c r="J39" s="10">
        <f>Table14[[#This Row],[Enrolment S.Y. 2025-2026 ]]*8</f>
        <v>13064</v>
      </c>
      <c r="K39" s="10"/>
      <c r="L39" s="8"/>
      <c r="M39" s="10"/>
      <c r="N39" s="10">
        <f t="shared" si="14"/>
        <v>13064</v>
      </c>
      <c r="O39" s="10">
        <f t="shared" si="15"/>
        <v>0</v>
      </c>
      <c r="P39" s="10">
        <f>Table14[[#This Row],[Enrolment S.Y. 2025-2026 ]]*8</f>
        <v>13064</v>
      </c>
      <c r="Q39" s="10"/>
      <c r="R39" s="8"/>
      <c r="S39" s="10"/>
      <c r="T39" s="10">
        <f t="shared" si="10"/>
        <v>13064</v>
      </c>
      <c r="U39" s="10">
        <f t="shared" si="11"/>
        <v>0</v>
      </c>
      <c r="V39" s="10">
        <f>Table14[[#This Row],[Enrolment S.Y. 2025-2026 ]]*8</f>
        <v>13064</v>
      </c>
      <c r="W39" s="10"/>
      <c r="X39" s="8"/>
      <c r="Y39" s="10"/>
      <c r="Z39" s="10">
        <f t="shared" si="12"/>
        <v>13064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1633</v>
      </c>
      <c r="D40" s="10">
        <f>Table14[[#This Row],[Enrolment S.Y. 2025-2026 ]]*8</f>
        <v>13064</v>
      </c>
      <c r="E40" s="10"/>
      <c r="F40" s="8"/>
      <c r="G40" s="10"/>
      <c r="H40" s="10">
        <f t="shared" si="16"/>
        <v>13064</v>
      </c>
      <c r="I40" s="10">
        <f t="shared" si="17"/>
        <v>0</v>
      </c>
      <c r="J40" s="10">
        <f>Table14[[#This Row],[Enrolment S.Y. 2025-2026 ]]*8</f>
        <v>13064</v>
      </c>
      <c r="K40" s="10"/>
      <c r="L40" s="8"/>
      <c r="M40" s="10"/>
      <c r="N40" s="10">
        <f t="shared" si="14"/>
        <v>13064</v>
      </c>
      <c r="O40" s="10">
        <f t="shared" si="15"/>
        <v>0</v>
      </c>
      <c r="P40" s="10">
        <f>Table14[[#This Row],[Enrolment S.Y. 2025-2026 ]]*8</f>
        <v>13064</v>
      </c>
      <c r="Q40" s="10"/>
      <c r="R40" s="8"/>
      <c r="S40" s="10"/>
      <c r="T40" s="10">
        <f t="shared" si="10"/>
        <v>13064</v>
      </c>
      <c r="U40" s="10">
        <f t="shared" si="11"/>
        <v>0</v>
      </c>
      <c r="V40" s="10">
        <f>Table14[[#This Row],[Enrolment S.Y. 2025-2026 ]]*8</f>
        <v>13064</v>
      </c>
      <c r="W40" s="10"/>
      <c r="X40" s="8"/>
      <c r="Y40" s="10"/>
      <c r="Z40" s="10">
        <f t="shared" si="12"/>
        <v>13064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1633</v>
      </c>
      <c r="D41" s="10">
        <f>Table14[[#This Row],[Enrolment S.Y. 2025-2026 ]]*8</f>
        <v>13064</v>
      </c>
      <c r="E41" s="10"/>
      <c r="F41" s="8"/>
      <c r="G41" s="10"/>
      <c r="H41" s="10">
        <f t="shared" si="16"/>
        <v>13064</v>
      </c>
      <c r="I41" s="10">
        <f t="shared" si="17"/>
        <v>0</v>
      </c>
      <c r="J41" s="10">
        <f>Table14[[#This Row],[Enrolment S.Y. 2025-2026 ]]*8</f>
        <v>13064</v>
      </c>
      <c r="K41" s="10"/>
      <c r="L41" s="8"/>
      <c r="M41" s="10"/>
      <c r="N41" s="10">
        <f t="shared" si="14"/>
        <v>13064</v>
      </c>
      <c r="O41" s="10">
        <f t="shared" si="15"/>
        <v>0</v>
      </c>
      <c r="P41" s="10">
        <f>Table14[[#This Row],[Enrolment S.Y. 2025-2026 ]]*8</f>
        <v>13064</v>
      </c>
      <c r="Q41" s="10"/>
      <c r="R41" s="8"/>
      <c r="S41" s="10"/>
      <c r="T41" s="10">
        <f t="shared" si="10"/>
        <v>13064</v>
      </c>
      <c r="U41" s="10">
        <f t="shared" si="11"/>
        <v>0</v>
      </c>
      <c r="V41" s="10">
        <f>Table14[[#This Row],[Enrolment S.Y. 2025-2026 ]]*8</f>
        <v>13064</v>
      </c>
      <c r="W41" s="10"/>
      <c r="X41" s="8"/>
      <c r="Y41" s="10"/>
      <c r="Z41" s="10">
        <f t="shared" si="12"/>
        <v>13064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1633</v>
      </c>
      <c r="D42" s="10">
        <f>Table14[[#This Row],[Enrolment S.Y. 2025-2026 ]]*8</f>
        <v>13064</v>
      </c>
      <c r="E42" s="10"/>
      <c r="F42" s="8"/>
      <c r="G42" s="10"/>
      <c r="H42" s="10">
        <f t="shared" si="16"/>
        <v>13064</v>
      </c>
      <c r="I42" s="10">
        <f t="shared" si="17"/>
        <v>0</v>
      </c>
      <c r="J42" s="10">
        <f>Table14[[#This Row],[Enrolment S.Y. 2025-2026 ]]*8</f>
        <v>13064</v>
      </c>
      <c r="K42" s="10"/>
      <c r="L42" s="8"/>
      <c r="M42" s="10"/>
      <c r="N42" s="10">
        <f t="shared" si="14"/>
        <v>13064</v>
      </c>
      <c r="O42" s="10">
        <f t="shared" si="15"/>
        <v>0</v>
      </c>
      <c r="P42" s="10">
        <f>Table14[[#This Row],[Enrolment S.Y. 2025-2026 ]]*8</f>
        <v>13064</v>
      </c>
      <c r="Q42" s="10"/>
      <c r="R42" s="8"/>
      <c r="S42" s="10"/>
      <c r="T42" s="10">
        <f t="shared" si="10"/>
        <v>13064</v>
      </c>
      <c r="U42" s="10">
        <f t="shared" si="11"/>
        <v>0</v>
      </c>
      <c r="V42" s="10">
        <f>Table14[[#This Row],[Enrolment S.Y. 2025-2026 ]]*8</f>
        <v>13064</v>
      </c>
      <c r="W42" s="10"/>
      <c r="X42" s="8"/>
      <c r="Y42" s="10"/>
      <c r="Z42" s="10">
        <f t="shared" si="12"/>
        <v>13064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1633</v>
      </c>
      <c r="D43" s="10">
        <f>Table14[[#This Row],[Enrolment S.Y. 2025-2026 ]]*8</f>
        <v>13064</v>
      </c>
      <c r="E43" s="10"/>
      <c r="F43" s="8"/>
      <c r="G43" s="10"/>
      <c r="H43" s="10">
        <f t="shared" si="16"/>
        <v>13064</v>
      </c>
      <c r="I43" s="10">
        <f t="shared" si="17"/>
        <v>0</v>
      </c>
      <c r="J43" s="10">
        <f>Table14[[#This Row],[Enrolment S.Y. 2025-2026 ]]*8</f>
        <v>13064</v>
      </c>
      <c r="K43" s="10"/>
      <c r="L43" s="8"/>
      <c r="M43" s="10"/>
      <c r="N43" s="10">
        <f t="shared" si="14"/>
        <v>13064</v>
      </c>
      <c r="O43" s="10">
        <f t="shared" si="15"/>
        <v>0</v>
      </c>
      <c r="P43" s="10">
        <f>Table14[[#This Row],[Enrolment S.Y. 2025-2026 ]]*8</f>
        <v>13064</v>
      </c>
      <c r="Q43" s="10"/>
      <c r="R43" s="8"/>
      <c r="S43" s="10"/>
      <c r="T43" s="10">
        <f t="shared" si="10"/>
        <v>13064</v>
      </c>
      <c r="U43" s="10">
        <f t="shared" si="11"/>
        <v>0</v>
      </c>
      <c r="V43" s="10">
        <f>Table14[[#This Row],[Enrolment S.Y. 2025-2026 ]]*8</f>
        <v>13064</v>
      </c>
      <c r="W43" s="10"/>
      <c r="X43" s="8"/>
      <c r="Y43" s="10"/>
      <c r="Z43" s="10">
        <f t="shared" si="12"/>
        <v>13064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1633</v>
      </c>
      <c r="D44" s="10">
        <f>Table14[[#This Row],[Enrolment S.Y. 2025-2026 ]]*8</f>
        <v>13064</v>
      </c>
      <c r="E44" s="10"/>
      <c r="F44" s="8"/>
      <c r="G44" s="10"/>
      <c r="H44" s="10">
        <f t="shared" si="16"/>
        <v>13064</v>
      </c>
      <c r="I44" s="10">
        <f t="shared" si="17"/>
        <v>0</v>
      </c>
      <c r="J44" s="10">
        <f>Table14[[#This Row],[Enrolment S.Y. 2025-2026 ]]*8</f>
        <v>13064</v>
      </c>
      <c r="K44" s="10"/>
      <c r="L44" s="8"/>
      <c r="M44" s="10"/>
      <c r="N44" s="10">
        <f t="shared" si="14"/>
        <v>13064</v>
      </c>
      <c r="O44" s="10">
        <f t="shared" si="15"/>
        <v>0</v>
      </c>
      <c r="P44" s="10">
        <f>Table14[[#This Row],[Enrolment S.Y. 2025-2026 ]]*8</f>
        <v>13064</v>
      </c>
      <c r="Q44" s="10"/>
      <c r="R44" s="8"/>
      <c r="S44" s="10"/>
      <c r="T44" s="10">
        <f t="shared" si="10"/>
        <v>13064</v>
      </c>
      <c r="U44" s="10">
        <f t="shared" si="11"/>
        <v>0</v>
      </c>
      <c r="V44" s="10">
        <f>Table14[[#This Row],[Enrolment S.Y. 2025-2026 ]]*8</f>
        <v>13064</v>
      </c>
      <c r="W44" s="10"/>
      <c r="X44" s="8"/>
      <c r="Y44" s="10"/>
      <c r="Z44" s="10">
        <f t="shared" si="12"/>
        <v>13064</v>
      </c>
      <c r="AA44" s="10">
        <f t="shared" si="13"/>
        <v>0</v>
      </c>
    </row>
    <row r="45" spans="1:27" ht="19.5">
      <c r="A45" s="35">
        <v>10</v>
      </c>
      <c r="B45" s="9" t="s">
        <v>129</v>
      </c>
      <c r="C45" s="8">
        <v>1633</v>
      </c>
      <c r="D45" s="10">
        <f>Table14[[#This Row],[Enrolment S.Y. 2025-2026 ]]*8</f>
        <v>13064</v>
      </c>
      <c r="E45" s="10"/>
      <c r="F45" s="8"/>
      <c r="G45" s="10"/>
      <c r="H45" s="10">
        <f>IF((D45-E45)&lt;0,0,(D45-E45))</f>
        <v>13064</v>
      </c>
      <c r="I45" s="10">
        <f>IF((E45-D45)&lt;0,0,(E45-D45))</f>
        <v>0</v>
      </c>
      <c r="J45" s="10">
        <f>Table14[[#This Row],[Enrolment S.Y. 2025-2026 ]]*8</f>
        <v>13064</v>
      </c>
      <c r="K45" s="10"/>
      <c r="L45" s="8"/>
      <c r="M45" s="10"/>
      <c r="N45" s="10">
        <f t="shared" ref="N45:N49" si="22">IF((J45-K45)&lt;0,0,(J45-K45))</f>
        <v>13064</v>
      </c>
      <c r="O45" s="10">
        <f t="shared" ref="O45:O49" si="23">IF((K45-J45)&lt;0,0,(K45-J45))</f>
        <v>0</v>
      </c>
      <c r="P45" s="10">
        <f>Table14[[#This Row],[Enrolment S.Y. 2025-2026 ]]*8</f>
        <v>13064</v>
      </c>
      <c r="Q45" s="10"/>
      <c r="R45" s="8"/>
      <c r="S45" s="10"/>
      <c r="T45" s="10">
        <f>IF((P45-Q45)&lt;0,0,(P45-Q45))</f>
        <v>13064</v>
      </c>
      <c r="U45" s="10">
        <f>IF((Q45-P45)&lt;0,0,(Q45-P45))</f>
        <v>0</v>
      </c>
      <c r="V45" s="10">
        <f>Table14[[#This Row],[Enrolment S.Y. 2025-2026 ]]*8</f>
        <v>13064</v>
      </c>
      <c r="W45" s="10"/>
      <c r="X45" s="8"/>
      <c r="Y45" s="10"/>
      <c r="Z45" s="10">
        <f>IF((V45-W45)&lt;0,0,(V45-W45))</f>
        <v>13064</v>
      </c>
      <c r="AA45" s="10">
        <f>IF((W45-V45)&lt;0,0,(W45-V45))</f>
        <v>0</v>
      </c>
    </row>
    <row r="46" spans="1:27" ht="19.5">
      <c r="A46" s="8">
        <v>10</v>
      </c>
      <c r="B46" s="9" t="s">
        <v>130</v>
      </c>
      <c r="C46" s="8">
        <v>1633</v>
      </c>
      <c r="D46" s="10">
        <f>Table14[[#This Row],[Enrolment S.Y. 2025-2026 ]]*8</f>
        <v>13064</v>
      </c>
      <c r="E46" s="10"/>
      <c r="F46" s="8"/>
      <c r="G46" s="10"/>
      <c r="H46" s="10">
        <f t="shared" si="16"/>
        <v>13064</v>
      </c>
      <c r="I46" s="10">
        <f t="shared" si="17"/>
        <v>0</v>
      </c>
      <c r="J46" s="10">
        <f>Table14[[#This Row],[Enrolment S.Y. 2025-2026 ]]*8</f>
        <v>13064</v>
      </c>
      <c r="K46" s="10"/>
      <c r="L46" s="8"/>
      <c r="M46" s="10"/>
      <c r="N46" s="10">
        <f t="shared" si="22"/>
        <v>13064</v>
      </c>
      <c r="O46" s="10">
        <f t="shared" si="23"/>
        <v>0</v>
      </c>
      <c r="P46" s="10">
        <f>Table14[[#This Row],[Enrolment S.Y. 2025-2026 ]]*8</f>
        <v>13064</v>
      </c>
      <c r="Q46" s="10"/>
      <c r="R46" s="8"/>
      <c r="S46" s="10"/>
      <c r="T46" s="10">
        <f t="shared" si="10"/>
        <v>13064</v>
      </c>
      <c r="U46" s="10">
        <f t="shared" si="11"/>
        <v>0</v>
      </c>
      <c r="V46" s="10">
        <f>Table14[[#This Row],[Enrolment S.Y. 2025-2026 ]]*8</f>
        <v>13064</v>
      </c>
      <c r="W46" s="10"/>
      <c r="X46" s="8"/>
      <c r="Y46" s="10"/>
      <c r="Z46" s="10">
        <f t="shared" si="12"/>
        <v>13064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1633</v>
      </c>
      <c r="D47" s="10">
        <f>Table14[[#This Row],[Enrolment S.Y. 2025-2026 ]]*8</f>
        <v>13064</v>
      </c>
      <c r="E47" s="10"/>
      <c r="F47" s="8"/>
      <c r="G47" s="10"/>
      <c r="H47" s="10">
        <f t="shared" si="16"/>
        <v>13064</v>
      </c>
      <c r="I47" s="10">
        <f t="shared" si="17"/>
        <v>0</v>
      </c>
      <c r="J47" s="10">
        <f>Table14[[#This Row],[Enrolment S.Y. 2025-2026 ]]*8</f>
        <v>13064</v>
      </c>
      <c r="K47" s="10"/>
      <c r="L47" s="8"/>
      <c r="M47" s="10"/>
      <c r="N47" s="10">
        <f t="shared" si="22"/>
        <v>13064</v>
      </c>
      <c r="O47" s="10">
        <f t="shared" si="23"/>
        <v>0</v>
      </c>
      <c r="P47" s="10">
        <f>Table14[[#This Row],[Enrolment S.Y. 2025-2026 ]]*8</f>
        <v>13064</v>
      </c>
      <c r="Q47" s="10"/>
      <c r="R47" s="8"/>
      <c r="S47" s="10"/>
      <c r="T47" s="10">
        <f t="shared" si="10"/>
        <v>13064</v>
      </c>
      <c r="U47" s="10">
        <f t="shared" si="11"/>
        <v>0</v>
      </c>
      <c r="V47" s="10">
        <f>Table14[[#This Row],[Enrolment S.Y. 2025-2026 ]]*8</f>
        <v>13064</v>
      </c>
      <c r="W47" s="10"/>
      <c r="X47" s="8"/>
      <c r="Y47" s="10"/>
      <c r="Z47" s="10">
        <f t="shared" si="12"/>
        <v>13064</v>
      </c>
      <c r="AA47" s="10">
        <f t="shared" si="13"/>
        <v>0</v>
      </c>
    </row>
    <row r="48" spans="1:27" ht="19.5">
      <c r="A48" s="35">
        <v>10</v>
      </c>
      <c r="B48" s="9" t="s">
        <v>131</v>
      </c>
      <c r="C48" s="8">
        <v>1633</v>
      </c>
      <c r="D48" s="10">
        <f>Table14[[#This Row],[Enrolment S.Y. 2025-2026 ]]*8</f>
        <v>13064</v>
      </c>
      <c r="E48" s="10"/>
      <c r="F48" s="8"/>
      <c r="G48" s="10"/>
      <c r="H48" s="10">
        <f>IF((D48-E48)&lt;0,0,(D48-E48))</f>
        <v>13064</v>
      </c>
      <c r="I48" s="10">
        <f>IF((E48-D48)&lt;0,0,(E48-D48))</f>
        <v>0</v>
      </c>
      <c r="J48" s="10">
        <f>Table14[[#This Row],[Enrolment S.Y. 2025-2026 ]]*8</f>
        <v>13064</v>
      </c>
      <c r="K48" s="10"/>
      <c r="L48" s="8"/>
      <c r="M48" s="10"/>
      <c r="N48" s="10">
        <f t="shared" si="22"/>
        <v>13064</v>
      </c>
      <c r="O48" s="10">
        <f t="shared" si="23"/>
        <v>0</v>
      </c>
      <c r="P48" s="10">
        <f>Table14[[#This Row],[Enrolment S.Y. 2025-2026 ]]*8</f>
        <v>13064</v>
      </c>
      <c r="Q48" s="10"/>
      <c r="R48" s="8"/>
      <c r="S48" s="10"/>
      <c r="T48" s="10">
        <f>IF((P48-Q48)&lt;0,0,(P48-Q48))</f>
        <v>13064</v>
      </c>
      <c r="U48" s="10">
        <f>IF((Q48-P48)&lt;0,0,(Q48-P48))</f>
        <v>0</v>
      </c>
      <c r="V48" s="10">
        <f>Table14[[#This Row],[Enrolment S.Y. 2025-2026 ]]*8</f>
        <v>13064</v>
      </c>
      <c r="W48" s="10"/>
      <c r="X48" s="8"/>
      <c r="Y48" s="10"/>
      <c r="Z48" s="10">
        <f>IF((V48-W48)&lt;0,0,(V48-W48))</f>
        <v>13064</v>
      </c>
      <c r="AA48" s="10">
        <f>IF((W48-V48)&lt;0,0,(W48-V48))</f>
        <v>0</v>
      </c>
    </row>
    <row r="49" spans="1:27" ht="19.5">
      <c r="A49" s="8">
        <v>10</v>
      </c>
      <c r="B49" s="9" t="s">
        <v>132</v>
      </c>
      <c r="C49" s="8">
        <v>1633</v>
      </c>
      <c r="D49" s="10">
        <f>Table14[[#This Row],[Enrolment S.Y. 2025-2026 ]]*8</f>
        <v>13064</v>
      </c>
      <c r="E49" s="10"/>
      <c r="F49" s="8"/>
      <c r="G49" s="10"/>
      <c r="H49" s="10">
        <f t="shared" si="16"/>
        <v>13064</v>
      </c>
      <c r="I49" s="10">
        <f t="shared" si="17"/>
        <v>0</v>
      </c>
      <c r="J49" s="10">
        <f>Table14[[#This Row],[Enrolment S.Y. 2025-2026 ]]*8</f>
        <v>13064</v>
      </c>
      <c r="K49" s="10"/>
      <c r="L49" s="8"/>
      <c r="M49" s="10"/>
      <c r="N49" s="10">
        <f t="shared" si="22"/>
        <v>13064</v>
      </c>
      <c r="O49" s="10">
        <f t="shared" si="23"/>
        <v>0</v>
      </c>
      <c r="P49" s="10">
        <f>Table14[[#This Row],[Enrolment S.Y. 2025-2026 ]]*8</f>
        <v>13064</v>
      </c>
      <c r="Q49" s="10"/>
      <c r="R49" s="8"/>
      <c r="S49" s="10"/>
      <c r="T49" s="10">
        <f t="shared" si="10"/>
        <v>13064</v>
      </c>
      <c r="U49" s="10">
        <f t="shared" si="11"/>
        <v>0</v>
      </c>
      <c r="V49" s="10">
        <f>Table14[[#This Row],[Enrolment S.Y. 2025-2026 ]]*8</f>
        <v>13064</v>
      </c>
      <c r="W49" s="10"/>
      <c r="X49" s="8"/>
      <c r="Y49" s="10"/>
      <c r="Z49" s="10">
        <f t="shared" si="12"/>
        <v>13064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76.5">
      <c r="A51" s="1">
        <v>11</v>
      </c>
      <c r="B51" s="7" t="s">
        <v>19</v>
      </c>
      <c r="C51" s="1">
        <v>1146</v>
      </c>
      <c r="D51" s="4">
        <f>Table1[[#This Row],[Enrolment S.Y. 2025-2026 ]]*8</f>
        <v>8816</v>
      </c>
      <c r="E51" s="4"/>
      <c r="F51" s="1"/>
      <c r="G51" s="4"/>
      <c r="H51" s="4">
        <f t="shared" ref="H51:H110" si="24">IF((D51-E51)&lt;0,0,(D51-E51))</f>
        <v>8816</v>
      </c>
      <c r="I51" s="4">
        <f t="shared" ref="I51:I110" si="25">IF((E51-D51)&lt;0,0,(E51-D51))</f>
        <v>0</v>
      </c>
      <c r="J51" s="4">
        <f>Table1[[#This Row],[Enrolment S.Y. 2025-2026 ]]*8</f>
        <v>8816</v>
      </c>
      <c r="K51" s="4"/>
      <c r="L51" s="1"/>
      <c r="M51" s="4"/>
      <c r="N51" s="4">
        <f t="shared" ref="N51:N110" si="26">IF((J51-K51)&lt;0,0,(J51-K51))</f>
        <v>8816</v>
      </c>
      <c r="O51" s="4">
        <f t="shared" ref="O51:O110" si="27">IF((K51-J51)&lt;0,0,(K51-J51))</f>
        <v>0</v>
      </c>
      <c r="P51" s="4">
        <f>Table1[[#This Row],[Enrolment S.Y. 2025-2026 ]]*8</f>
        <v>8816</v>
      </c>
      <c r="Q51" s="4"/>
      <c r="R51" s="1"/>
      <c r="S51" s="4"/>
      <c r="T51" s="4">
        <f t="shared" ref="T51:T110" si="28">IF((P51-Q51)&lt;0,0,(P51-Q51))</f>
        <v>8816</v>
      </c>
      <c r="U51" s="4">
        <f t="shared" ref="U51:U110" si="29">IF((Q51-P51)&lt;0,0,(Q51-P51))</f>
        <v>0</v>
      </c>
      <c r="V51" s="4">
        <f>Table1[[#This Row],[Enrolment S.Y. 2025-2026 ]]*8</f>
        <v>8816</v>
      </c>
      <c r="W51" s="4"/>
      <c r="X51" s="1"/>
      <c r="Y51" s="4"/>
      <c r="Z51" s="4">
        <f t="shared" ref="Z51:Z110" si="30">IF((V51-W51)&lt;0,0,(V51-W51))</f>
        <v>8816</v>
      </c>
      <c r="AA51" s="4">
        <f t="shared" ref="AA51:AA110" si="31">IF((W51-V51)&lt;0,0,(W51-V51))</f>
        <v>0</v>
      </c>
    </row>
    <row r="52" spans="1:27" ht="38.25">
      <c r="A52" s="1">
        <v>11</v>
      </c>
      <c r="B52" s="7" t="s">
        <v>20</v>
      </c>
      <c r="C52" s="1">
        <v>1146</v>
      </c>
      <c r="D52" s="4">
        <f>Table1[[#This Row],[Enrolment S.Y. 2025-2026 ]]*8</f>
        <v>8816</v>
      </c>
      <c r="E52" s="4"/>
      <c r="F52" s="1"/>
      <c r="G52" s="4"/>
      <c r="H52" s="4">
        <f t="shared" si="24"/>
        <v>8816</v>
      </c>
      <c r="I52" s="4">
        <f t="shared" si="25"/>
        <v>0</v>
      </c>
      <c r="J52" s="4">
        <f>Table1[[#This Row],[Enrolment S.Y. 2025-2026 ]]*8</f>
        <v>8816</v>
      </c>
      <c r="K52" s="4"/>
      <c r="L52" s="1"/>
      <c r="M52" s="4"/>
      <c r="N52" s="4">
        <f t="shared" si="26"/>
        <v>8816</v>
      </c>
      <c r="O52" s="4">
        <f t="shared" si="27"/>
        <v>0</v>
      </c>
      <c r="P52" s="4">
        <f>Table1[[#This Row],[Enrolment S.Y. 2025-2026 ]]*8</f>
        <v>8816</v>
      </c>
      <c r="Q52" s="4"/>
      <c r="R52" s="1"/>
      <c r="S52" s="4"/>
      <c r="T52" s="4">
        <f t="shared" si="28"/>
        <v>8816</v>
      </c>
      <c r="U52" s="4">
        <f t="shared" si="29"/>
        <v>0</v>
      </c>
      <c r="V52" s="4">
        <f>Table1[[#This Row],[Enrolment S.Y. 2025-2026 ]]*8</f>
        <v>8816</v>
      </c>
      <c r="W52" s="4"/>
      <c r="X52" s="1"/>
      <c r="Y52" s="4"/>
      <c r="Z52" s="4">
        <f t="shared" si="30"/>
        <v>8816</v>
      </c>
      <c r="AA52" s="4">
        <f t="shared" si="31"/>
        <v>0</v>
      </c>
    </row>
    <row r="53" spans="1:27" ht="57.75">
      <c r="A53" s="1">
        <v>11</v>
      </c>
      <c r="B53" s="7" t="s">
        <v>21</v>
      </c>
      <c r="C53" s="1">
        <v>1146</v>
      </c>
      <c r="D53" s="4">
        <f>Table1[[#This Row],[Enrolment S.Y. 2025-2026 ]]*8</f>
        <v>8816</v>
      </c>
      <c r="E53" s="4"/>
      <c r="F53" s="1"/>
      <c r="G53" s="4"/>
      <c r="H53" s="4">
        <f t="shared" si="24"/>
        <v>8816</v>
      </c>
      <c r="I53" s="4">
        <f t="shared" si="25"/>
        <v>0</v>
      </c>
      <c r="J53" s="4">
        <f>Table1[[#This Row],[Enrolment S.Y. 2025-2026 ]]*8</f>
        <v>8816</v>
      </c>
      <c r="K53" s="4"/>
      <c r="L53" s="1"/>
      <c r="M53" s="4"/>
      <c r="N53" s="4">
        <f t="shared" si="26"/>
        <v>8816</v>
      </c>
      <c r="O53" s="4">
        <f t="shared" si="27"/>
        <v>0</v>
      </c>
      <c r="P53" s="4">
        <f>Table1[[#This Row],[Enrolment S.Y. 2025-2026 ]]*8</f>
        <v>8816</v>
      </c>
      <c r="Q53" s="4"/>
      <c r="R53" s="1"/>
      <c r="S53" s="4"/>
      <c r="T53" s="4">
        <f t="shared" si="28"/>
        <v>8816</v>
      </c>
      <c r="U53" s="4">
        <f t="shared" si="29"/>
        <v>0</v>
      </c>
      <c r="V53" s="4">
        <f>Table1[[#This Row],[Enrolment S.Y. 2025-2026 ]]*8</f>
        <v>8816</v>
      </c>
      <c r="W53" s="4"/>
      <c r="X53" s="1"/>
      <c r="Y53" s="4"/>
      <c r="Z53" s="4">
        <f t="shared" si="30"/>
        <v>8816</v>
      </c>
      <c r="AA53" s="4">
        <f t="shared" si="31"/>
        <v>0</v>
      </c>
    </row>
    <row r="54" spans="1:27" s="5" customFormat="1" ht="38.25">
      <c r="A54" s="1">
        <v>11</v>
      </c>
      <c r="B54" s="7" t="s">
        <v>22</v>
      </c>
      <c r="C54" s="1">
        <v>1146</v>
      </c>
      <c r="D54" s="4">
        <f>Table1[[#This Row],[Enrolment S.Y. 2025-2026 ]]*8</f>
        <v>8816</v>
      </c>
      <c r="E54" s="4"/>
      <c r="F54" s="1"/>
      <c r="G54" s="4"/>
      <c r="H54" s="4">
        <f t="shared" si="24"/>
        <v>8816</v>
      </c>
      <c r="I54" s="4">
        <f t="shared" si="25"/>
        <v>0</v>
      </c>
      <c r="J54" s="4">
        <f>Table1[[#This Row],[Enrolment S.Y. 2025-2026 ]]*8</f>
        <v>8816</v>
      </c>
      <c r="K54" s="4"/>
      <c r="L54" s="1"/>
      <c r="M54" s="4"/>
      <c r="N54" s="4">
        <f t="shared" si="26"/>
        <v>8816</v>
      </c>
      <c r="O54" s="4">
        <f t="shared" si="27"/>
        <v>0</v>
      </c>
      <c r="P54" s="4">
        <f>Table1[[#This Row],[Enrolment S.Y. 2025-2026 ]]*8</f>
        <v>8816</v>
      </c>
      <c r="Q54" s="4"/>
      <c r="R54" s="1"/>
      <c r="S54" s="4"/>
      <c r="T54" s="4">
        <f t="shared" si="28"/>
        <v>8816</v>
      </c>
      <c r="U54" s="4">
        <f t="shared" si="29"/>
        <v>0</v>
      </c>
      <c r="V54" s="4">
        <f>Table1[[#This Row],[Enrolment S.Y. 2025-2026 ]]*8</f>
        <v>8816</v>
      </c>
      <c r="W54" s="4"/>
      <c r="X54" s="1"/>
      <c r="Y54" s="4"/>
      <c r="Z54" s="4">
        <f t="shared" si="30"/>
        <v>8816</v>
      </c>
      <c r="AA54" s="4">
        <f t="shared" si="31"/>
        <v>0</v>
      </c>
    </row>
    <row r="55" spans="1:27" ht="19.5">
      <c r="A55" s="1">
        <v>11</v>
      </c>
      <c r="B55" s="7" t="s">
        <v>23</v>
      </c>
      <c r="C55" s="1">
        <v>1146</v>
      </c>
      <c r="D55" s="4">
        <f>Table1[[#This Row],[Enrolment S.Y. 2025-2026 ]]*8</f>
        <v>8816</v>
      </c>
      <c r="E55" s="4"/>
      <c r="F55" s="1"/>
      <c r="G55" s="4"/>
      <c r="H55" s="4">
        <f t="shared" si="24"/>
        <v>8816</v>
      </c>
      <c r="I55" s="4">
        <f t="shared" si="25"/>
        <v>0</v>
      </c>
      <c r="J55" s="4">
        <f>Table1[[#This Row],[Enrolment S.Y. 2025-2026 ]]*8</f>
        <v>8816</v>
      </c>
      <c r="K55" s="4"/>
      <c r="L55" s="1"/>
      <c r="M55" s="4"/>
      <c r="N55" s="4">
        <f t="shared" si="26"/>
        <v>8816</v>
      </c>
      <c r="O55" s="4">
        <f t="shared" si="27"/>
        <v>0</v>
      </c>
      <c r="P55" s="4">
        <f>Table1[[#This Row],[Enrolment S.Y. 2025-2026 ]]*8</f>
        <v>8816</v>
      </c>
      <c r="Q55" s="4"/>
      <c r="R55" s="1"/>
      <c r="S55" s="4"/>
      <c r="T55" s="4">
        <f t="shared" si="28"/>
        <v>8816</v>
      </c>
      <c r="U55" s="4">
        <f t="shared" si="29"/>
        <v>0</v>
      </c>
      <c r="V55" s="4">
        <f>Table1[[#This Row],[Enrolment S.Y. 2025-2026 ]]*8</f>
        <v>8816</v>
      </c>
      <c r="W55" s="4"/>
      <c r="X55" s="1"/>
      <c r="Y55" s="4"/>
      <c r="Z55" s="4">
        <f t="shared" si="30"/>
        <v>8816</v>
      </c>
      <c r="AA55" s="4">
        <f t="shared" si="31"/>
        <v>0</v>
      </c>
    </row>
    <row r="56" spans="1:27" ht="57.75">
      <c r="A56" s="1">
        <v>11</v>
      </c>
      <c r="B56" s="7" t="s">
        <v>24</v>
      </c>
      <c r="C56" s="1">
        <v>1146</v>
      </c>
      <c r="D56" s="4">
        <f>Table1[[#This Row],[Enrolment S.Y. 2025-2026 ]]*8</f>
        <v>8816</v>
      </c>
      <c r="E56" s="4"/>
      <c r="F56" s="1"/>
      <c r="G56" s="4"/>
      <c r="H56" s="4">
        <f t="shared" si="24"/>
        <v>8816</v>
      </c>
      <c r="I56" s="4">
        <f t="shared" si="25"/>
        <v>0</v>
      </c>
      <c r="J56" s="4">
        <f>Table1[[#This Row],[Enrolment S.Y. 2025-2026 ]]*8</f>
        <v>8816</v>
      </c>
      <c r="K56" s="4"/>
      <c r="L56" s="1"/>
      <c r="M56" s="4"/>
      <c r="N56" s="4">
        <f t="shared" si="26"/>
        <v>8816</v>
      </c>
      <c r="O56" s="4">
        <f t="shared" si="27"/>
        <v>0</v>
      </c>
      <c r="P56" s="4">
        <f>Table1[[#This Row],[Enrolment S.Y. 2025-2026 ]]*8</f>
        <v>8816</v>
      </c>
      <c r="Q56" s="4"/>
      <c r="R56" s="1"/>
      <c r="S56" s="4"/>
      <c r="T56" s="4">
        <f t="shared" si="28"/>
        <v>8816</v>
      </c>
      <c r="U56" s="4">
        <f t="shared" si="29"/>
        <v>0</v>
      </c>
      <c r="V56" s="4">
        <f>Table1[[#This Row],[Enrolment S.Y. 2025-2026 ]]*8</f>
        <v>8816</v>
      </c>
      <c r="W56" s="4"/>
      <c r="X56" s="1"/>
      <c r="Y56" s="4"/>
      <c r="Z56" s="4">
        <f t="shared" si="30"/>
        <v>8816</v>
      </c>
      <c r="AA56" s="4">
        <f t="shared" si="31"/>
        <v>0</v>
      </c>
    </row>
    <row r="57" spans="1:27" ht="57.75">
      <c r="A57" s="1">
        <v>11</v>
      </c>
      <c r="B57" s="7" t="s">
        <v>25</v>
      </c>
      <c r="C57" s="1">
        <v>1146</v>
      </c>
      <c r="D57" s="4">
        <f>Table1[[#This Row],[Enrolment S.Y. 2025-2026 ]]*8</f>
        <v>8816</v>
      </c>
      <c r="E57" s="4"/>
      <c r="F57" s="1"/>
      <c r="G57" s="4"/>
      <c r="H57" s="4">
        <f t="shared" si="24"/>
        <v>8816</v>
      </c>
      <c r="I57" s="4">
        <f t="shared" si="25"/>
        <v>0</v>
      </c>
      <c r="J57" s="4">
        <f>Table1[[#This Row],[Enrolment S.Y. 2025-2026 ]]*8</f>
        <v>8816</v>
      </c>
      <c r="K57" s="4"/>
      <c r="L57" s="1"/>
      <c r="M57" s="4"/>
      <c r="N57" s="4">
        <f t="shared" si="26"/>
        <v>8816</v>
      </c>
      <c r="O57" s="4">
        <f t="shared" si="27"/>
        <v>0</v>
      </c>
      <c r="P57" s="4">
        <f>Table1[[#This Row],[Enrolment S.Y. 2025-2026 ]]*8</f>
        <v>8816</v>
      </c>
      <c r="Q57" s="4"/>
      <c r="R57" s="1"/>
      <c r="S57" s="4"/>
      <c r="T57" s="4">
        <f t="shared" si="28"/>
        <v>8816</v>
      </c>
      <c r="U57" s="4">
        <f t="shared" si="29"/>
        <v>0</v>
      </c>
      <c r="V57" s="4">
        <f>Table1[[#This Row],[Enrolment S.Y. 2025-2026 ]]*8</f>
        <v>8816</v>
      </c>
      <c r="W57" s="4"/>
      <c r="X57" s="1"/>
      <c r="Y57" s="4"/>
      <c r="Z57" s="4">
        <f t="shared" si="30"/>
        <v>8816</v>
      </c>
      <c r="AA57" s="4">
        <f t="shared" si="31"/>
        <v>0</v>
      </c>
    </row>
    <row r="58" spans="1:27" ht="21">
      <c r="A58" s="30">
        <v>11</v>
      </c>
      <c r="B58" s="31" t="s">
        <v>26</v>
      </c>
      <c r="C58" s="1">
        <v>1146</v>
      </c>
      <c r="D58" s="32">
        <f>Table1[[#This Row],[Enrolment S.Y. 2025-2026 ]]*8</f>
        <v>8816</v>
      </c>
      <c r="E58" s="32"/>
      <c r="F58" s="30"/>
      <c r="G58" s="32"/>
      <c r="H58" s="32">
        <f>IF((D58-E58)&lt;0,0,(D58-E58))</f>
        <v>8816</v>
      </c>
      <c r="I58" s="32">
        <f>IF((E58-D58)&lt;0,0,(E58-D58))</f>
        <v>0</v>
      </c>
      <c r="J58" s="32">
        <f>Table1[[#This Row],[Enrolment S.Y. 2025-2026 ]]*8</f>
        <v>8816</v>
      </c>
      <c r="K58" s="32"/>
      <c r="L58" s="30"/>
      <c r="M58" s="32"/>
      <c r="N58" s="4">
        <f t="shared" si="26"/>
        <v>8816</v>
      </c>
      <c r="O58" s="4">
        <f t="shared" si="27"/>
        <v>0</v>
      </c>
      <c r="P58" s="4">
        <f>Table1[[#This Row],[Enrolment S.Y. 2025-2026 ]]*8</f>
        <v>8816</v>
      </c>
      <c r="Q58" s="32"/>
      <c r="R58" s="30"/>
      <c r="S58" s="32"/>
      <c r="T58" s="32">
        <f>IF((P58-Q58)&lt;0,0,(P58-Q58))</f>
        <v>8816</v>
      </c>
      <c r="U58" s="32">
        <f>IF((Q58-P58)&lt;0,0,(Q58-P58))</f>
        <v>0</v>
      </c>
      <c r="V58" s="32">
        <f>Table1[[#This Row],[Enrolment S.Y. 2025-2026 ]]*8</f>
        <v>8816</v>
      </c>
      <c r="W58" s="32"/>
      <c r="X58" s="30"/>
      <c r="Y58" s="32"/>
      <c r="Z58" s="32">
        <f>IF((V58-W58)&lt;0,0,(V58-W58))</f>
        <v>8816</v>
      </c>
      <c r="AA58" s="32">
        <f>IF((W58-V58)&lt;0,0,(W58-V58))</f>
        <v>0</v>
      </c>
    </row>
    <row r="59" spans="1:27" ht="38.25">
      <c r="A59" s="1">
        <v>11</v>
      </c>
      <c r="B59" s="7" t="s">
        <v>27</v>
      </c>
      <c r="C59" s="1">
        <v>1146</v>
      </c>
      <c r="D59" s="4">
        <f>Table1[[#This Row],[Enrolment S.Y. 2025-2026 ]]*8</f>
        <v>8816</v>
      </c>
      <c r="E59" s="4"/>
      <c r="F59" s="1"/>
      <c r="G59" s="4"/>
      <c r="H59" s="4">
        <f t="shared" si="24"/>
        <v>8816</v>
      </c>
      <c r="I59" s="4">
        <f t="shared" si="25"/>
        <v>0</v>
      </c>
      <c r="J59" s="4">
        <f>Table1[[#This Row],[Enrolment S.Y. 2025-2026 ]]*8</f>
        <v>8816</v>
      </c>
      <c r="K59" s="4"/>
      <c r="L59" s="1"/>
      <c r="M59" s="4"/>
      <c r="N59" s="4">
        <f t="shared" si="26"/>
        <v>8816</v>
      </c>
      <c r="O59" s="4">
        <f t="shared" si="27"/>
        <v>0</v>
      </c>
      <c r="P59" s="4">
        <f>Table1[[#This Row],[Enrolment S.Y. 2025-2026 ]]*8</f>
        <v>8816</v>
      </c>
      <c r="Q59" s="4"/>
      <c r="R59" s="1"/>
      <c r="S59" s="4"/>
      <c r="T59" s="4">
        <f t="shared" si="28"/>
        <v>8816</v>
      </c>
      <c r="U59" s="4">
        <f t="shared" si="29"/>
        <v>0</v>
      </c>
      <c r="V59" s="4">
        <f>Table1[[#This Row],[Enrolment S.Y. 2025-2026 ]]*8</f>
        <v>8816</v>
      </c>
      <c r="W59" s="4"/>
      <c r="X59" s="1"/>
      <c r="Y59" s="4"/>
      <c r="Z59" s="4">
        <f t="shared" si="30"/>
        <v>8816</v>
      </c>
      <c r="AA59" s="4">
        <f t="shared" si="31"/>
        <v>0</v>
      </c>
    </row>
    <row r="60" spans="1:27" ht="40.5">
      <c r="A60" s="1">
        <v>11</v>
      </c>
      <c r="B60" s="31" t="s">
        <v>28</v>
      </c>
      <c r="C60" s="1">
        <v>1146</v>
      </c>
      <c r="D60" s="32">
        <f>Table1[[#This Row],[Enrolment S.Y. 2025-2026 ]]*8</f>
        <v>8816</v>
      </c>
      <c r="E60" s="32"/>
      <c r="F60" s="30"/>
      <c r="G60" s="32"/>
      <c r="H60" s="32">
        <f t="shared" si="24"/>
        <v>8816</v>
      </c>
      <c r="I60" s="32">
        <f t="shared" si="25"/>
        <v>0</v>
      </c>
      <c r="J60" s="32">
        <f>Table1[[#This Row],[Enrolment S.Y. 2025-2026 ]]*8</f>
        <v>8816</v>
      </c>
      <c r="K60" s="32"/>
      <c r="L60" s="30"/>
      <c r="M60" s="32"/>
      <c r="N60" s="4">
        <f t="shared" si="26"/>
        <v>8816</v>
      </c>
      <c r="O60" s="4">
        <f t="shared" si="27"/>
        <v>0</v>
      </c>
      <c r="P60" s="4">
        <f>Table1[[#This Row],[Enrolment S.Y. 2025-2026 ]]*8</f>
        <v>8816</v>
      </c>
      <c r="Q60" s="32"/>
      <c r="R60" s="30"/>
      <c r="S60" s="32"/>
      <c r="T60" s="32">
        <f t="shared" si="28"/>
        <v>8816</v>
      </c>
      <c r="U60" s="32">
        <f t="shared" si="29"/>
        <v>0</v>
      </c>
      <c r="V60" s="32">
        <f>Table1[[#This Row],[Enrolment S.Y. 2025-2026 ]]*8</f>
        <v>8816</v>
      </c>
      <c r="W60" s="32"/>
      <c r="X60" s="30"/>
      <c r="Y60" s="32"/>
      <c r="Z60" s="32">
        <f t="shared" si="30"/>
        <v>8816</v>
      </c>
      <c r="AA60" s="32">
        <f t="shared" si="31"/>
        <v>0</v>
      </c>
    </row>
    <row r="61" spans="1:27" ht="21">
      <c r="A61" s="1">
        <v>11</v>
      </c>
      <c r="B61" s="31" t="s">
        <v>29</v>
      </c>
      <c r="C61" s="1">
        <v>1146</v>
      </c>
      <c r="D61" s="32">
        <f>Table1[[#This Row],[Enrolment S.Y. 2025-2026 ]]*8</f>
        <v>8816</v>
      </c>
      <c r="E61" s="32"/>
      <c r="F61" s="30"/>
      <c r="G61" s="32"/>
      <c r="H61" s="32">
        <f t="shared" si="24"/>
        <v>8816</v>
      </c>
      <c r="I61" s="32">
        <f t="shared" si="25"/>
        <v>0</v>
      </c>
      <c r="J61" s="32">
        <f>Table1[[#This Row],[Enrolment S.Y. 2025-2026 ]]*8</f>
        <v>8816</v>
      </c>
      <c r="K61" s="32"/>
      <c r="L61" s="30"/>
      <c r="M61" s="32"/>
      <c r="N61" s="4">
        <f t="shared" si="26"/>
        <v>8816</v>
      </c>
      <c r="O61" s="4">
        <f t="shared" si="27"/>
        <v>0</v>
      </c>
      <c r="P61" s="4">
        <f>Table1[[#This Row],[Enrolment S.Y. 2025-2026 ]]*8</f>
        <v>8816</v>
      </c>
      <c r="Q61" s="32"/>
      <c r="R61" s="30"/>
      <c r="S61" s="32"/>
      <c r="T61" s="32">
        <f t="shared" si="28"/>
        <v>8816</v>
      </c>
      <c r="U61" s="32">
        <f t="shared" si="29"/>
        <v>0</v>
      </c>
      <c r="V61" s="32">
        <f>Table1[[#This Row],[Enrolment S.Y. 2025-2026 ]]*8</f>
        <v>8816</v>
      </c>
      <c r="W61" s="32"/>
      <c r="X61" s="30"/>
      <c r="Y61" s="32"/>
      <c r="Z61" s="32">
        <f t="shared" si="30"/>
        <v>8816</v>
      </c>
      <c r="AA61" s="32">
        <f t="shared" si="31"/>
        <v>0</v>
      </c>
    </row>
    <row r="62" spans="1:27" ht="61.5">
      <c r="A62" s="1">
        <v>11</v>
      </c>
      <c r="B62" s="31" t="s">
        <v>30</v>
      </c>
      <c r="C62" s="1">
        <v>1146</v>
      </c>
      <c r="D62" s="32">
        <f>Table1[[#This Row],[Enrolment S.Y. 2025-2026 ]]*8</f>
        <v>8816</v>
      </c>
      <c r="E62" s="32"/>
      <c r="F62" s="30"/>
      <c r="G62" s="32"/>
      <c r="H62" s="32">
        <f t="shared" si="24"/>
        <v>8816</v>
      </c>
      <c r="I62" s="32">
        <f t="shared" si="25"/>
        <v>0</v>
      </c>
      <c r="J62" s="32">
        <f>Table1[[#This Row],[Enrolment S.Y. 2025-2026 ]]*8</f>
        <v>8816</v>
      </c>
      <c r="K62" s="32"/>
      <c r="L62" s="30"/>
      <c r="M62" s="32"/>
      <c r="N62" s="4">
        <f t="shared" si="26"/>
        <v>8816</v>
      </c>
      <c r="O62" s="4">
        <f t="shared" si="27"/>
        <v>0</v>
      </c>
      <c r="P62" s="4">
        <f>Table1[[#This Row],[Enrolment S.Y. 2025-2026 ]]*8</f>
        <v>8816</v>
      </c>
      <c r="Q62" s="32"/>
      <c r="R62" s="30"/>
      <c r="S62" s="32"/>
      <c r="T62" s="32">
        <f t="shared" si="28"/>
        <v>8816</v>
      </c>
      <c r="U62" s="32">
        <f t="shared" si="29"/>
        <v>0</v>
      </c>
      <c r="V62" s="32">
        <f>Table1[[#This Row],[Enrolment S.Y. 2025-2026 ]]*8</f>
        <v>8816</v>
      </c>
      <c r="W62" s="32"/>
      <c r="X62" s="30"/>
      <c r="Y62" s="32"/>
      <c r="Z62" s="32">
        <f t="shared" si="30"/>
        <v>8816</v>
      </c>
      <c r="AA62" s="32">
        <f t="shared" si="31"/>
        <v>0</v>
      </c>
    </row>
    <row r="63" spans="1:27" ht="21">
      <c r="A63" s="1">
        <v>11</v>
      </c>
      <c r="B63" s="31" t="s">
        <v>31</v>
      </c>
      <c r="C63" s="1">
        <v>1146</v>
      </c>
      <c r="D63" s="32">
        <f>Table1[[#This Row],[Enrolment S.Y. 2025-2026 ]]*8</f>
        <v>8816</v>
      </c>
      <c r="E63" s="32"/>
      <c r="F63" s="30"/>
      <c r="G63" s="32"/>
      <c r="H63" s="32">
        <f t="shared" si="24"/>
        <v>8816</v>
      </c>
      <c r="I63" s="32">
        <f t="shared" si="25"/>
        <v>0</v>
      </c>
      <c r="J63" s="32">
        <f>Table1[[#This Row],[Enrolment S.Y. 2025-2026 ]]*8</f>
        <v>8816</v>
      </c>
      <c r="K63" s="32"/>
      <c r="L63" s="30"/>
      <c r="M63" s="32"/>
      <c r="N63" s="4">
        <f t="shared" si="26"/>
        <v>8816</v>
      </c>
      <c r="O63" s="4">
        <f t="shared" si="27"/>
        <v>0</v>
      </c>
      <c r="P63" s="4">
        <f>Table1[[#This Row],[Enrolment S.Y. 2025-2026 ]]*8</f>
        <v>8816</v>
      </c>
      <c r="Q63" s="32"/>
      <c r="R63" s="30"/>
      <c r="S63" s="32"/>
      <c r="T63" s="32">
        <f t="shared" si="28"/>
        <v>8816</v>
      </c>
      <c r="U63" s="32">
        <f t="shared" si="29"/>
        <v>0</v>
      </c>
      <c r="V63" s="32">
        <f>Table1[[#This Row],[Enrolment S.Y. 2025-2026 ]]*8</f>
        <v>8816</v>
      </c>
      <c r="W63" s="32"/>
      <c r="X63" s="30"/>
      <c r="Y63" s="32"/>
      <c r="Z63" s="32">
        <f t="shared" si="30"/>
        <v>8816</v>
      </c>
      <c r="AA63" s="32">
        <f t="shared" si="31"/>
        <v>0</v>
      </c>
    </row>
    <row r="64" spans="1:27" ht="21">
      <c r="A64" s="1">
        <v>11</v>
      </c>
      <c r="B64" s="31" t="s">
        <v>32</v>
      </c>
      <c r="C64" s="1">
        <v>1146</v>
      </c>
      <c r="D64" s="32">
        <f>Table1[[#This Row],[Enrolment S.Y. 2025-2026 ]]*8</f>
        <v>8816</v>
      </c>
      <c r="E64" s="32"/>
      <c r="F64" s="30"/>
      <c r="G64" s="32"/>
      <c r="H64" s="32">
        <f t="shared" si="24"/>
        <v>8816</v>
      </c>
      <c r="I64" s="32">
        <f t="shared" si="25"/>
        <v>0</v>
      </c>
      <c r="J64" s="32">
        <f>Table1[[#This Row],[Enrolment S.Y. 2025-2026 ]]*8</f>
        <v>8816</v>
      </c>
      <c r="K64" s="32"/>
      <c r="L64" s="30"/>
      <c r="M64" s="32"/>
      <c r="N64" s="4">
        <f t="shared" si="26"/>
        <v>8816</v>
      </c>
      <c r="O64" s="4">
        <f t="shared" si="27"/>
        <v>0</v>
      </c>
      <c r="P64" s="4">
        <f>Table1[[#This Row],[Enrolment S.Y. 2025-2026 ]]*8</f>
        <v>8816</v>
      </c>
      <c r="Q64" s="32"/>
      <c r="R64" s="30"/>
      <c r="S64" s="32"/>
      <c r="T64" s="32">
        <f t="shared" si="28"/>
        <v>8816</v>
      </c>
      <c r="U64" s="32">
        <f t="shared" si="29"/>
        <v>0</v>
      </c>
      <c r="V64" s="32">
        <f>Table1[[#This Row],[Enrolment S.Y. 2025-2026 ]]*8</f>
        <v>8816</v>
      </c>
      <c r="W64" s="32"/>
      <c r="X64" s="30"/>
      <c r="Y64" s="32"/>
      <c r="Z64" s="32">
        <f t="shared" si="30"/>
        <v>8816</v>
      </c>
      <c r="AA64" s="32">
        <f t="shared" si="31"/>
        <v>0</v>
      </c>
    </row>
    <row r="65" spans="1:27" ht="21">
      <c r="A65" s="1">
        <v>11</v>
      </c>
      <c r="B65" s="31" t="s">
        <v>33</v>
      </c>
      <c r="C65" s="1">
        <v>1146</v>
      </c>
      <c r="D65" s="32">
        <f>Table1[[#This Row],[Enrolment S.Y. 2025-2026 ]]*8</f>
        <v>8816</v>
      </c>
      <c r="E65" s="32"/>
      <c r="F65" s="30"/>
      <c r="G65" s="32"/>
      <c r="H65" s="32">
        <f t="shared" si="24"/>
        <v>8816</v>
      </c>
      <c r="I65" s="32">
        <f t="shared" si="25"/>
        <v>0</v>
      </c>
      <c r="J65" s="32">
        <f>Table1[[#This Row],[Enrolment S.Y. 2025-2026 ]]*8</f>
        <v>8816</v>
      </c>
      <c r="K65" s="32"/>
      <c r="L65" s="30"/>
      <c r="M65" s="32"/>
      <c r="N65" s="4">
        <f t="shared" si="26"/>
        <v>8816</v>
      </c>
      <c r="O65" s="4">
        <f t="shared" si="27"/>
        <v>0</v>
      </c>
      <c r="P65" s="4">
        <f>Table1[[#This Row],[Enrolment S.Y. 2025-2026 ]]*8</f>
        <v>8816</v>
      </c>
      <c r="Q65" s="32"/>
      <c r="R65" s="30"/>
      <c r="S65" s="32"/>
      <c r="T65" s="32">
        <f t="shared" si="28"/>
        <v>8816</v>
      </c>
      <c r="U65" s="32">
        <f t="shared" si="29"/>
        <v>0</v>
      </c>
      <c r="V65" s="32">
        <f>Table1[[#This Row],[Enrolment S.Y. 2025-2026 ]]*8</f>
        <v>8816</v>
      </c>
      <c r="W65" s="32"/>
      <c r="X65" s="30"/>
      <c r="Y65" s="32"/>
      <c r="Z65" s="32">
        <f t="shared" si="30"/>
        <v>8816</v>
      </c>
      <c r="AA65" s="32">
        <f t="shared" si="31"/>
        <v>0</v>
      </c>
    </row>
    <row r="66" spans="1:27" ht="40.5">
      <c r="A66" s="1">
        <v>11</v>
      </c>
      <c r="B66" s="31" t="s">
        <v>34</v>
      </c>
      <c r="C66" s="1">
        <v>1146</v>
      </c>
      <c r="D66" s="32">
        <f>Table1[[#This Row],[Enrolment S.Y. 2025-2026 ]]*8</f>
        <v>8816</v>
      </c>
      <c r="E66" s="32"/>
      <c r="F66" s="30"/>
      <c r="G66" s="32"/>
      <c r="H66" s="32">
        <f t="shared" si="24"/>
        <v>8816</v>
      </c>
      <c r="I66" s="32">
        <f t="shared" si="25"/>
        <v>0</v>
      </c>
      <c r="J66" s="32">
        <f>Table1[[#This Row],[Enrolment S.Y. 2025-2026 ]]*8</f>
        <v>8816</v>
      </c>
      <c r="K66" s="32"/>
      <c r="L66" s="30"/>
      <c r="M66" s="32"/>
      <c r="N66" s="4">
        <f t="shared" si="26"/>
        <v>8816</v>
      </c>
      <c r="O66" s="4">
        <f t="shared" si="27"/>
        <v>0</v>
      </c>
      <c r="P66" s="4">
        <f>Table1[[#This Row],[Enrolment S.Y. 2025-2026 ]]*8</f>
        <v>8816</v>
      </c>
      <c r="Q66" s="32"/>
      <c r="R66" s="30"/>
      <c r="S66" s="32"/>
      <c r="T66" s="32">
        <f t="shared" si="28"/>
        <v>8816</v>
      </c>
      <c r="U66" s="32">
        <f t="shared" si="29"/>
        <v>0</v>
      </c>
      <c r="V66" s="32">
        <f>Table1[[#This Row],[Enrolment S.Y. 2025-2026 ]]*8</f>
        <v>8816</v>
      </c>
      <c r="W66" s="32"/>
      <c r="X66" s="30"/>
      <c r="Y66" s="32"/>
      <c r="Z66" s="32">
        <f t="shared" si="30"/>
        <v>8816</v>
      </c>
      <c r="AA66" s="32">
        <f t="shared" si="31"/>
        <v>0</v>
      </c>
    </row>
    <row r="67" spans="1:27" ht="21">
      <c r="A67" s="2">
        <v>11</v>
      </c>
      <c r="B67" s="31" t="s">
        <v>35</v>
      </c>
      <c r="C67" s="1">
        <v>1146</v>
      </c>
      <c r="D67" s="32">
        <f>Table1[[#This Row],[Enrolment S.Y. 2025-2026 ]]*8</f>
        <v>8816</v>
      </c>
      <c r="E67" s="32"/>
      <c r="F67" s="30"/>
      <c r="G67" s="32"/>
      <c r="H67" s="32">
        <f>IF((D67-E67)&lt;0,0,(D67-E67))</f>
        <v>8816</v>
      </c>
      <c r="I67" s="32">
        <f>IF((E67-D67)&lt;0,0,(E67-D67))</f>
        <v>0</v>
      </c>
      <c r="J67" s="32">
        <f>Table1[[#This Row],[Enrolment S.Y. 2025-2026 ]]*8</f>
        <v>8816</v>
      </c>
      <c r="K67" s="32"/>
      <c r="L67" s="30"/>
      <c r="M67" s="32"/>
      <c r="N67" s="4">
        <f t="shared" si="26"/>
        <v>8816</v>
      </c>
      <c r="O67" s="4">
        <f t="shared" si="27"/>
        <v>0</v>
      </c>
      <c r="P67" s="4">
        <f>Table1[[#This Row],[Enrolment S.Y. 2025-2026 ]]*8</f>
        <v>8816</v>
      </c>
      <c r="Q67" s="32"/>
      <c r="R67" s="30"/>
      <c r="S67" s="32"/>
      <c r="T67" s="32">
        <f>IF((P67-Q67)&lt;0,0,(P67-Q67))</f>
        <v>8816</v>
      </c>
      <c r="U67" s="32">
        <f>IF((Q67-P67)&lt;0,0,(Q67-P67))</f>
        <v>0</v>
      </c>
      <c r="V67" s="32">
        <f>Table1[[#This Row],[Enrolment S.Y. 2025-2026 ]]*8</f>
        <v>8816</v>
      </c>
      <c r="W67" s="32"/>
      <c r="X67" s="30"/>
      <c r="Y67" s="32"/>
      <c r="Z67" s="32">
        <f>IF((V67-W67)&lt;0,0,(V67-W67))</f>
        <v>8816</v>
      </c>
      <c r="AA67" s="32">
        <f>IF((W67-V67)&lt;0,0,(W67-V67))</f>
        <v>0</v>
      </c>
    </row>
    <row r="68" spans="1:27" ht="21">
      <c r="A68" s="1">
        <v>11</v>
      </c>
      <c r="B68" s="31" t="s">
        <v>36</v>
      </c>
      <c r="C68" s="1">
        <v>1146</v>
      </c>
      <c r="D68" s="32">
        <f>Table1[[#This Row],[Enrolment S.Y. 2025-2026 ]]*8</f>
        <v>8816</v>
      </c>
      <c r="E68" s="32"/>
      <c r="F68" s="30"/>
      <c r="G68" s="32"/>
      <c r="H68" s="32">
        <f t="shared" si="24"/>
        <v>8816</v>
      </c>
      <c r="I68" s="32">
        <f t="shared" si="25"/>
        <v>0</v>
      </c>
      <c r="J68" s="32">
        <f>Table1[[#This Row],[Enrolment S.Y. 2025-2026 ]]*8</f>
        <v>8816</v>
      </c>
      <c r="K68" s="32"/>
      <c r="L68" s="30"/>
      <c r="M68" s="32"/>
      <c r="N68" s="4">
        <f t="shared" si="26"/>
        <v>8816</v>
      </c>
      <c r="O68" s="4">
        <f t="shared" si="27"/>
        <v>0</v>
      </c>
      <c r="P68" s="4">
        <f>Table1[[#This Row],[Enrolment S.Y. 2025-2026 ]]*8</f>
        <v>8816</v>
      </c>
      <c r="Q68" s="32"/>
      <c r="R68" s="30"/>
      <c r="S68" s="32"/>
      <c r="T68" s="32">
        <f t="shared" si="28"/>
        <v>8816</v>
      </c>
      <c r="U68" s="32">
        <f t="shared" si="29"/>
        <v>0</v>
      </c>
      <c r="V68" s="32">
        <f>Table1[[#This Row],[Enrolment S.Y. 2025-2026 ]]*8</f>
        <v>8816</v>
      </c>
      <c r="W68" s="32"/>
      <c r="X68" s="30"/>
      <c r="Y68" s="32"/>
      <c r="Z68" s="32">
        <f t="shared" si="30"/>
        <v>8816</v>
      </c>
      <c r="AA68" s="32">
        <f t="shared" si="31"/>
        <v>0</v>
      </c>
    </row>
    <row r="69" spans="1:27" ht="61.5">
      <c r="A69" s="1">
        <v>11</v>
      </c>
      <c r="B69" s="31" t="s">
        <v>37</v>
      </c>
      <c r="C69" s="1">
        <v>1146</v>
      </c>
      <c r="D69" s="32">
        <f>Table1[[#This Row],[Enrolment S.Y. 2025-2026 ]]*8</f>
        <v>8816</v>
      </c>
      <c r="E69" s="32"/>
      <c r="F69" s="30"/>
      <c r="G69" s="32"/>
      <c r="H69" s="32">
        <f t="shared" si="24"/>
        <v>8816</v>
      </c>
      <c r="I69" s="32">
        <f t="shared" si="25"/>
        <v>0</v>
      </c>
      <c r="J69" s="32">
        <f>Table1[[#This Row],[Enrolment S.Y. 2025-2026 ]]*8</f>
        <v>8816</v>
      </c>
      <c r="K69" s="32"/>
      <c r="L69" s="30"/>
      <c r="M69" s="32"/>
      <c r="N69" s="4">
        <f t="shared" si="26"/>
        <v>8816</v>
      </c>
      <c r="O69" s="4">
        <f t="shared" si="27"/>
        <v>0</v>
      </c>
      <c r="P69" s="4">
        <f>Table1[[#This Row],[Enrolment S.Y. 2025-2026 ]]*8</f>
        <v>8816</v>
      </c>
      <c r="Q69" s="32"/>
      <c r="R69" s="30"/>
      <c r="S69" s="32"/>
      <c r="T69" s="32">
        <f t="shared" si="28"/>
        <v>8816</v>
      </c>
      <c r="U69" s="32">
        <f t="shared" si="29"/>
        <v>0</v>
      </c>
      <c r="V69" s="32">
        <f>Table1[[#This Row],[Enrolment S.Y. 2025-2026 ]]*8</f>
        <v>8816</v>
      </c>
      <c r="W69" s="32"/>
      <c r="X69" s="30"/>
      <c r="Y69" s="32"/>
      <c r="Z69" s="32">
        <f t="shared" si="30"/>
        <v>8816</v>
      </c>
      <c r="AA69" s="32">
        <f t="shared" si="31"/>
        <v>0</v>
      </c>
    </row>
    <row r="70" spans="1:27" ht="21">
      <c r="A70" s="1">
        <v>11</v>
      </c>
      <c r="B70" s="31" t="s">
        <v>38</v>
      </c>
      <c r="C70" s="1">
        <v>1146</v>
      </c>
      <c r="D70" s="32">
        <f>Table1[[#This Row],[Enrolment S.Y. 2025-2026 ]]*8</f>
        <v>8816</v>
      </c>
      <c r="E70" s="32"/>
      <c r="F70" s="30"/>
      <c r="G70" s="32"/>
      <c r="H70" s="32">
        <f t="shared" si="24"/>
        <v>8816</v>
      </c>
      <c r="I70" s="32">
        <f t="shared" si="25"/>
        <v>0</v>
      </c>
      <c r="J70" s="32">
        <f>Table1[[#This Row],[Enrolment S.Y. 2025-2026 ]]*8</f>
        <v>8816</v>
      </c>
      <c r="K70" s="32"/>
      <c r="L70" s="30"/>
      <c r="M70" s="32"/>
      <c r="N70" s="4">
        <f t="shared" si="26"/>
        <v>8816</v>
      </c>
      <c r="O70" s="4">
        <f t="shared" si="27"/>
        <v>0</v>
      </c>
      <c r="P70" s="4">
        <f>Table1[[#This Row],[Enrolment S.Y. 2025-2026 ]]*8</f>
        <v>8816</v>
      </c>
      <c r="Q70" s="32"/>
      <c r="R70" s="30"/>
      <c r="S70" s="32"/>
      <c r="T70" s="32">
        <f t="shared" si="28"/>
        <v>8816</v>
      </c>
      <c r="U70" s="32">
        <f t="shared" si="29"/>
        <v>0</v>
      </c>
      <c r="V70" s="32">
        <f>Table1[[#This Row],[Enrolment S.Y. 2025-2026 ]]*8</f>
        <v>8816</v>
      </c>
      <c r="W70" s="32"/>
      <c r="X70" s="30"/>
      <c r="Y70" s="32"/>
      <c r="Z70" s="32">
        <f t="shared" si="30"/>
        <v>8816</v>
      </c>
      <c r="AA70" s="32">
        <f t="shared" si="31"/>
        <v>0</v>
      </c>
    </row>
    <row r="71" spans="1:27" ht="40.5">
      <c r="A71" s="1">
        <v>11</v>
      </c>
      <c r="B71" s="31" t="s">
        <v>39</v>
      </c>
      <c r="C71" s="1">
        <v>1146</v>
      </c>
      <c r="D71" s="32">
        <f>Table1[[#This Row],[Enrolment S.Y. 2025-2026 ]]*8</f>
        <v>8816</v>
      </c>
      <c r="E71" s="32"/>
      <c r="F71" s="30"/>
      <c r="G71" s="32"/>
      <c r="H71" s="32">
        <f t="shared" si="24"/>
        <v>8816</v>
      </c>
      <c r="I71" s="32">
        <f t="shared" si="25"/>
        <v>0</v>
      </c>
      <c r="J71" s="32">
        <f>Table1[[#This Row],[Enrolment S.Y. 2025-2026 ]]*8</f>
        <v>8816</v>
      </c>
      <c r="K71" s="32"/>
      <c r="L71" s="30"/>
      <c r="M71" s="32"/>
      <c r="N71" s="4">
        <f t="shared" si="26"/>
        <v>8816</v>
      </c>
      <c r="O71" s="4">
        <f t="shared" si="27"/>
        <v>0</v>
      </c>
      <c r="P71" s="4">
        <f>Table1[[#This Row],[Enrolment S.Y. 2025-2026 ]]*8</f>
        <v>8816</v>
      </c>
      <c r="Q71" s="32"/>
      <c r="R71" s="30"/>
      <c r="S71" s="32"/>
      <c r="T71" s="32">
        <f t="shared" si="28"/>
        <v>8816</v>
      </c>
      <c r="U71" s="32">
        <f t="shared" si="29"/>
        <v>0</v>
      </c>
      <c r="V71" s="32">
        <f>Table1[[#This Row],[Enrolment S.Y. 2025-2026 ]]*8</f>
        <v>8816</v>
      </c>
      <c r="W71" s="32"/>
      <c r="X71" s="30"/>
      <c r="Y71" s="32"/>
      <c r="Z71" s="32">
        <f t="shared" si="30"/>
        <v>8816</v>
      </c>
      <c r="AA71" s="32">
        <f t="shared" si="31"/>
        <v>0</v>
      </c>
    </row>
    <row r="72" spans="1:27" ht="21">
      <c r="A72" s="1">
        <v>11</v>
      </c>
      <c r="B72" s="31" t="s">
        <v>40</v>
      </c>
      <c r="C72" s="1">
        <v>1146</v>
      </c>
      <c r="D72" s="32">
        <f>Table1[[#This Row],[Enrolment S.Y. 2025-2026 ]]*8</f>
        <v>8816</v>
      </c>
      <c r="E72" s="32"/>
      <c r="F72" s="30"/>
      <c r="G72" s="32"/>
      <c r="H72" s="32">
        <f t="shared" si="24"/>
        <v>8816</v>
      </c>
      <c r="I72" s="32">
        <f t="shared" si="25"/>
        <v>0</v>
      </c>
      <c r="J72" s="32">
        <f>Table1[[#This Row],[Enrolment S.Y. 2025-2026 ]]*8</f>
        <v>8816</v>
      </c>
      <c r="K72" s="32"/>
      <c r="L72" s="30"/>
      <c r="M72" s="32"/>
      <c r="N72" s="4">
        <f t="shared" si="26"/>
        <v>8816</v>
      </c>
      <c r="O72" s="4">
        <f t="shared" si="27"/>
        <v>0</v>
      </c>
      <c r="P72" s="4">
        <f>Table1[[#This Row],[Enrolment S.Y. 2025-2026 ]]*8</f>
        <v>8816</v>
      </c>
      <c r="Q72" s="32"/>
      <c r="R72" s="30"/>
      <c r="S72" s="32"/>
      <c r="T72" s="32">
        <f t="shared" si="28"/>
        <v>8816</v>
      </c>
      <c r="U72" s="32">
        <f t="shared" si="29"/>
        <v>0</v>
      </c>
      <c r="V72" s="32">
        <f>Table1[[#This Row],[Enrolment S.Y. 2025-2026 ]]*8</f>
        <v>8816</v>
      </c>
      <c r="W72" s="32"/>
      <c r="X72" s="30"/>
      <c r="Y72" s="32"/>
      <c r="Z72" s="32">
        <f t="shared" si="30"/>
        <v>8816</v>
      </c>
      <c r="AA72" s="32">
        <f t="shared" si="31"/>
        <v>0</v>
      </c>
    </row>
    <row r="73" spans="1:27" ht="40.5">
      <c r="A73" s="1">
        <v>11</v>
      </c>
      <c r="B73" s="31" t="s">
        <v>41</v>
      </c>
      <c r="C73" s="1">
        <v>1146</v>
      </c>
      <c r="D73" s="32">
        <f>Table1[[#This Row],[Enrolment S.Y. 2025-2026 ]]*8</f>
        <v>8816</v>
      </c>
      <c r="E73" s="32"/>
      <c r="F73" s="30"/>
      <c r="G73" s="32"/>
      <c r="H73" s="32">
        <f t="shared" si="24"/>
        <v>8816</v>
      </c>
      <c r="I73" s="32">
        <f t="shared" si="25"/>
        <v>0</v>
      </c>
      <c r="J73" s="32">
        <f>Table1[[#This Row],[Enrolment S.Y. 2025-2026 ]]*8</f>
        <v>8816</v>
      </c>
      <c r="K73" s="32"/>
      <c r="L73" s="30"/>
      <c r="M73" s="32"/>
      <c r="N73" s="4">
        <f t="shared" si="26"/>
        <v>8816</v>
      </c>
      <c r="O73" s="4">
        <f t="shared" si="27"/>
        <v>0</v>
      </c>
      <c r="P73" s="4">
        <f>Table1[[#This Row],[Enrolment S.Y. 2025-2026 ]]*8</f>
        <v>8816</v>
      </c>
      <c r="Q73" s="32"/>
      <c r="R73" s="30"/>
      <c r="S73" s="32"/>
      <c r="T73" s="32">
        <f t="shared" si="28"/>
        <v>8816</v>
      </c>
      <c r="U73" s="32">
        <f t="shared" si="29"/>
        <v>0</v>
      </c>
      <c r="V73" s="32">
        <f>Table1[[#This Row],[Enrolment S.Y. 2025-2026 ]]*8</f>
        <v>8816</v>
      </c>
      <c r="W73" s="32"/>
      <c r="X73" s="30"/>
      <c r="Y73" s="32"/>
      <c r="Z73" s="32">
        <f t="shared" si="30"/>
        <v>8816</v>
      </c>
      <c r="AA73" s="32">
        <f t="shared" si="31"/>
        <v>0</v>
      </c>
    </row>
    <row r="74" spans="1:27" ht="40.5">
      <c r="A74" s="1">
        <v>11</v>
      </c>
      <c r="B74" s="31" t="s">
        <v>42</v>
      </c>
      <c r="C74" s="1">
        <v>1146</v>
      </c>
      <c r="D74" s="32">
        <f>Table1[[#This Row],[Enrolment S.Y. 2025-2026 ]]*8</f>
        <v>8816</v>
      </c>
      <c r="E74" s="32"/>
      <c r="F74" s="30"/>
      <c r="G74" s="32"/>
      <c r="H74" s="32">
        <f t="shared" si="24"/>
        <v>8816</v>
      </c>
      <c r="I74" s="32">
        <f t="shared" si="25"/>
        <v>0</v>
      </c>
      <c r="J74" s="32">
        <f>Table1[[#This Row],[Enrolment S.Y. 2025-2026 ]]*8</f>
        <v>8816</v>
      </c>
      <c r="K74" s="32"/>
      <c r="L74" s="30"/>
      <c r="M74" s="32"/>
      <c r="N74" s="4">
        <f t="shared" si="26"/>
        <v>8816</v>
      </c>
      <c r="O74" s="4">
        <f t="shared" si="27"/>
        <v>0</v>
      </c>
      <c r="P74" s="4">
        <f>Table1[[#This Row],[Enrolment S.Y. 2025-2026 ]]*8</f>
        <v>8816</v>
      </c>
      <c r="Q74" s="32"/>
      <c r="R74" s="30"/>
      <c r="S74" s="32"/>
      <c r="T74" s="32">
        <f t="shared" si="28"/>
        <v>8816</v>
      </c>
      <c r="U74" s="32">
        <f t="shared" si="29"/>
        <v>0</v>
      </c>
      <c r="V74" s="32">
        <f>Table1[[#This Row],[Enrolment S.Y. 2025-2026 ]]*8</f>
        <v>8816</v>
      </c>
      <c r="W74" s="32"/>
      <c r="X74" s="30"/>
      <c r="Y74" s="32"/>
      <c r="Z74" s="32">
        <f t="shared" si="30"/>
        <v>8816</v>
      </c>
      <c r="AA74" s="32">
        <f t="shared" si="31"/>
        <v>0</v>
      </c>
    </row>
    <row r="75" spans="1:27" ht="21">
      <c r="A75" s="1">
        <v>11</v>
      </c>
      <c r="B75" s="31" t="s">
        <v>43</v>
      </c>
      <c r="C75" s="1">
        <v>1146</v>
      </c>
      <c r="D75" s="32">
        <f>Table1[[#This Row],[Enrolment S.Y. 2025-2026 ]]*8</f>
        <v>0</v>
      </c>
      <c r="E75" s="32"/>
      <c r="F75" s="30"/>
      <c r="G75" s="32"/>
      <c r="H75" s="32">
        <f t="shared" si="24"/>
        <v>0</v>
      </c>
      <c r="I75" s="32">
        <f t="shared" si="25"/>
        <v>0</v>
      </c>
      <c r="J75" s="32">
        <f>Table1[[#This Row],[Enrolment S.Y. 2025-2026 ]]*8</f>
        <v>0</v>
      </c>
      <c r="K75" s="32"/>
      <c r="L75" s="30"/>
      <c r="M75" s="32"/>
      <c r="N75" s="4">
        <f t="shared" ref="N75:N82" si="32">IF((J75-K75)&lt;0,0,(J75-K75))</f>
        <v>0</v>
      </c>
      <c r="O75" s="4">
        <f t="shared" ref="O75:O82" si="33">IF((K75-J75)&lt;0,0,(K75-J75))</f>
        <v>0</v>
      </c>
      <c r="P75" s="4">
        <f>Table1[[#This Row],[Enrolment S.Y. 2025-2026 ]]*8</f>
        <v>0</v>
      </c>
      <c r="Q75" s="32"/>
      <c r="R75" s="30"/>
      <c r="S75" s="32"/>
      <c r="T75" s="32">
        <f t="shared" si="28"/>
        <v>0</v>
      </c>
      <c r="U75" s="32">
        <f t="shared" si="29"/>
        <v>0</v>
      </c>
      <c r="V75" s="32">
        <f>Table1[[#This Row],[Enrolment S.Y. 2025-2026 ]]*8</f>
        <v>0</v>
      </c>
      <c r="W75" s="32"/>
      <c r="X75" s="30"/>
      <c r="Y75" s="32"/>
      <c r="Z75" s="32">
        <f t="shared" si="30"/>
        <v>0</v>
      </c>
      <c r="AA75" s="32">
        <f t="shared" si="31"/>
        <v>0</v>
      </c>
    </row>
    <row r="76" spans="1:27" ht="21">
      <c r="A76" s="1">
        <v>11</v>
      </c>
      <c r="B76" s="31" t="s">
        <v>44</v>
      </c>
      <c r="C76" s="1">
        <v>1146</v>
      </c>
      <c r="D76" s="32">
        <f>Table1[[#This Row],[Enrolment S.Y. 2025-2026 ]]*8</f>
        <v>10992</v>
      </c>
      <c r="E76" s="32"/>
      <c r="F76" s="30"/>
      <c r="G76" s="32"/>
      <c r="H76" s="32">
        <f t="shared" si="24"/>
        <v>10992</v>
      </c>
      <c r="I76" s="32">
        <f t="shared" si="25"/>
        <v>0</v>
      </c>
      <c r="J76" s="32">
        <f>Table1[[#This Row],[Enrolment S.Y. 2025-2026 ]]*8</f>
        <v>10992</v>
      </c>
      <c r="K76" s="32"/>
      <c r="L76" s="30"/>
      <c r="M76" s="32"/>
      <c r="N76" s="4">
        <f t="shared" si="32"/>
        <v>10992</v>
      </c>
      <c r="O76" s="4">
        <f t="shared" si="33"/>
        <v>0</v>
      </c>
      <c r="P76" s="4">
        <f>Table1[[#This Row],[Enrolment S.Y. 2025-2026 ]]*8</f>
        <v>10992</v>
      </c>
      <c r="Q76" s="32"/>
      <c r="R76" s="30"/>
      <c r="S76" s="32"/>
      <c r="T76" s="32">
        <f t="shared" si="28"/>
        <v>10992</v>
      </c>
      <c r="U76" s="32">
        <f t="shared" si="29"/>
        <v>0</v>
      </c>
      <c r="V76" s="32">
        <f>Table1[[#This Row],[Enrolment S.Y. 2025-2026 ]]*8</f>
        <v>10992</v>
      </c>
      <c r="W76" s="32"/>
      <c r="X76" s="30"/>
      <c r="Y76" s="32"/>
      <c r="Z76" s="32">
        <f t="shared" si="30"/>
        <v>10992</v>
      </c>
      <c r="AA76" s="32">
        <f t="shared" si="31"/>
        <v>0</v>
      </c>
    </row>
    <row r="77" spans="1:27" s="5" customFormat="1" ht="21">
      <c r="A77" s="1">
        <v>11</v>
      </c>
      <c r="B77" s="31" t="s">
        <v>45</v>
      </c>
      <c r="C77" s="1">
        <v>1146</v>
      </c>
      <c r="D77" s="32">
        <f>Table1[[#This Row],[Enrolment S.Y. 2025-2026 ]]*8</f>
        <v>10992</v>
      </c>
      <c r="E77" s="32"/>
      <c r="F77" s="30"/>
      <c r="G77" s="32"/>
      <c r="H77" s="32">
        <f t="shared" si="24"/>
        <v>10992</v>
      </c>
      <c r="I77" s="32">
        <f t="shared" si="25"/>
        <v>0</v>
      </c>
      <c r="J77" s="32">
        <f>Table1[[#This Row],[Enrolment S.Y. 2025-2026 ]]*8</f>
        <v>10992</v>
      </c>
      <c r="K77" s="32"/>
      <c r="L77" s="30"/>
      <c r="M77" s="32"/>
      <c r="N77" s="4">
        <f t="shared" si="32"/>
        <v>10992</v>
      </c>
      <c r="O77" s="4">
        <f t="shared" si="33"/>
        <v>0</v>
      </c>
      <c r="P77" s="4">
        <f>Table1[[#This Row],[Enrolment S.Y. 2025-2026 ]]*8</f>
        <v>10992</v>
      </c>
      <c r="Q77" s="32"/>
      <c r="R77" s="30"/>
      <c r="S77" s="32"/>
      <c r="T77" s="32">
        <f t="shared" si="28"/>
        <v>10992</v>
      </c>
      <c r="U77" s="32">
        <f t="shared" si="29"/>
        <v>0</v>
      </c>
      <c r="V77" s="32">
        <f>Table1[[#This Row],[Enrolment S.Y. 2025-2026 ]]*8</f>
        <v>10992</v>
      </c>
      <c r="W77" s="32"/>
      <c r="X77" s="30"/>
      <c r="Y77" s="32"/>
      <c r="Z77" s="32">
        <f t="shared" si="30"/>
        <v>10992</v>
      </c>
      <c r="AA77" s="32">
        <f t="shared" si="31"/>
        <v>0</v>
      </c>
    </row>
    <row r="78" spans="1:27" ht="21">
      <c r="A78" s="1">
        <v>11</v>
      </c>
      <c r="B78" s="31" t="s">
        <v>46</v>
      </c>
      <c r="C78" s="1">
        <v>1146</v>
      </c>
      <c r="D78" s="32">
        <f>Table1[[#This Row],[Enrolment S.Y. 2025-2026 ]]*8</f>
        <v>10992</v>
      </c>
      <c r="E78" s="32"/>
      <c r="F78" s="30"/>
      <c r="G78" s="32"/>
      <c r="H78" s="32">
        <f t="shared" si="24"/>
        <v>10992</v>
      </c>
      <c r="I78" s="32">
        <f t="shared" si="25"/>
        <v>0</v>
      </c>
      <c r="J78" s="32">
        <f>Table1[[#This Row],[Enrolment S.Y. 2025-2026 ]]*8</f>
        <v>10992</v>
      </c>
      <c r="K78" s="32"/>
      <c r="L78" s="30"/>
      <c r="M78" s="32"/>
      <c r="N78" s="4">
        <f t="shared" si="32"/>
        <v>10992</v>
      </c>
      <c r="O78" s="4">
        <f t="shared" si="33"/>
        <v>0</v>
      </c>
      <c r="P78" s="4">
        <f>Table1[[#This Row],[Enrolment S.Y. 2025-2026 ]]*8</f>
        <v>10992</v>
      </c>
      <c r="Q78" s="32"/>
      <c r="R78" s="30"/>
      <c r="S78" s="32"/>
      <c r="T78" s="32">
        <f t="shared" si="28"/>
        <v>10992</v>
      </c>
      <c r="U78" s="32">
        <f t="shared" si="29"/>
        <v>0</v>
      </c>
      <c r="V78" s="32">
        <f>Table1[[#This Row],[Enrolment S.Y. 2025-2026 ]]*8</f>
        <v>10992</v>
      </c>
      <c r="W78" s="32"/>
      <c r="X78" s="30"/>
      <c r="Y78" s="32"/>
      <c r="Z78" s="32">
        <f t="shared" si="30"/>
        <v>10992</v>
      </c>
      <c r="AA78" s="32">
        <f t="shared" si="31"/>
        <v>0</v>
      </c>
    </row>
    <row r="79" spans="1:27" ht="81">
      <c r="A79" s="1">
        <v>11</v>
      </c>
      <c r="B79" s="31" t="s">
        <v>47</v>
      </c>
      <c r="C79" s="1">
        <v>1146</v>
      </c>
      <c r="D79" s="32">
        <f>Table1[[#This Row],[Enrolment S.Y. 2025-2026 ]]*8</f>
        <v>10992</v>
      </c>
      <c r="E79" s="32"/>
      <c r="F79" s="30"/>
      <c r="G79" s="32"/>
      <c r="H79" s="32">
        <f t="shared" si="24"/>
        <v>10992</v>
      </c>
      <c r="I79" s="32">
        <f t="shared" si="25"/>
        <v>0</v>
      </c>
      <c r="J79" s="32">
        <f>Table1[[#This Row],[Enrolment S.Y. 2025-2026 ]]*8</f>
        <v>10992</v>
      </c>
      <c r="K79" s="32"/>
      <c r="L79" s="30"/>
      <c r="M79" s="32"/>
      <c r="N79" s="4">
        <f t="shared" si="32"/>
        <v>10992</v>
      </c>
      <c r="O79" s="4">
        <f t="shared" si="33"/>
        <v>0</v>
      </c>
      <c r="P79" s="4">
        <f>Table1[[#This Row],[Enrolment S.Y. 2025-2026 ]]*8</f>
        <v>10992</v>
      </c>
      <c r="Q79" s="32"/>
      <c r="R79" s="30"/>
      <c r="S79" s="32"/>
      <c r="T79" s="32">
        <f t="shared" si="28"/>
        <v>10992</v>
      </c>
      <c r="U79" s="32">
        <f t="shared" si="29"/>
        <v>0</v>
      </c>
      <c r="V79" s="32">
        <f>Table1[[#This Row],[Enrolment S.Y. 2025-2026 ]]*8</f>
        <v>10992</v>
      </c>
      <c r="W79" s="32"/>
      <c r="X79" s="30"/>
      <c r="Y79" s="32"/>
      <c r="Z79" s="32">
        <f t="shared" si="30"/>
        <v>10992</v>
      </c>
      <c r="AA79" s="32">
        <f t="shared" si="31"/>
        <v>0</v>
      </c>
    </row>
    <row r="80" spans="1:27" ht="81">
      <c r="A80" s="1">
        <v>11</v>
      </c>
      <c r="B80" s="31" t="s">
        <v>48</v>
      </c>
      <c r="C80" s="1">
        <v>1146</v>
      </c>
      <c r="D80" s="32">
        <f>Table1[[#This Row],[Enrolment S.Y. 2025-2026 ]]*8</f>
        <v>10992</v>
      </c>
      <c r="E80" s="32"/>
      <c r="F80" s="30"/>
      <c r="G80" s="32"/>
      <c r="H80" s="32">
        <f t="shared" si="24"/>
        <v>10992</v>
      </c>
      <c r="I80" s="32">
        <f t="shared" si="25"/>
        <v>0</v>
      </c>
      <c r="J80" s="32">
        <f>Table1[[#This Row],[Enrolment S.Y. 2025-2026 ]]*8</f>
        <v>10992</v>
      </c>
      <c r="K80" s="32"/>
      <c r="L80" s="30"/>
      <c r="M80" s="32"/>
      <c r="N80" s="4">
        <f t="shared" si="32"/>
        <v>10992</v>
      </c>
      <c r="O80" s="4">
        <f t="shared" si="33"/>
        <v>0</v>
      </c>
      <c r="P80" s="4">
        <f>Table1[[#This Row],[Enrolment S.Y. 2025-2026 ]]*8</f>
        <v>10992</v>
      </c>
      <c r="Q80" s="32"/>
      <c r="R80" s="30"/>
      <c r="S80" s="32"/>
      <c r="T80" s="32">
        <f t="shared" si="28"/>
        <v>10992</v>
      </c>
      <c r="U80" s="32">
        <f t="shared" si="29"/>
        <v>0</v>
      </c>
      <c r="V80" s="32">
        <f>Table1[[#This Row],[Enrolment S.Y. 2025-2026 ]]*8</f>
        <v>10992</v>
      </c>
      <c r="W80" s="32"/>
      <c r="X80" s="30"/>
      <c r="Y80" s="32"/>
      <c r="Z80" s="32">
        <f t="shared" si="30"/>
        <v>10992</v>
      </c>
      <c r="AA80" s="32">
        <f t="shared" si="31"/>
        <v>0</v>
      </c>
    </row>
    <row r="81" spans="1:27" ht="21">
      <c r="A81" s="1">
        <v>11</v>
      </c>
      <c r="B81" s="31" t="s">
        <v>49</v>
      </c>
      <c r="C81" s="1">
        <v>1146</v>
      </c>
      <c r="D81" s="32">
        <f>Table1[[#This Row],[Enrolment S.Y. 2025-2026 ]]*8</f>
        <v>10992</v>
      </c>
      <c r="E81" s="32"/>
      <c r="F81" s="30"/>
      <c r="G81" s="32"/>
      <c r="H81" s="32">
        <f t="shared" si="24"/>
        <v>10992</v>
      </c>
      <c r="I81" s="32">
        <f t="shared" si="25"/>
        <v>0</v>
      </c>
      <c r="J81" s="32">
        <f>Table1[[#This Row],[Enrolment S.Y. 2025-2026 ]]*8</f>
        <v>10992</v>
      </c>
      <c r="K81" s="32"/>
      <c r="L81" s="30"/>
      <c r="M81" s="32"/>
      <c r="N81" s="4">
        <f t="shared" si="32"/>
        <v>10992</v>
      </c>
      <c r="O81" s="4">
        <f t="shared" si="33"/>
        <v>0</v>
      </c>
      <c r="P81" s="4">
        <f>Table1[[#This Row],[Enrolment S.Y. 2025-2026 ]]*8</f>
        <v>10992</v>
      </c>
      <c r="Q81" s="32"/>
      <c r="R81" s="30"/>
      <c r="S81" s="32"/>
      <c r="T81" s="32">
        <f t="shared" si="28"/>
        <v>10992</v>
      </c>
      <c r="U81" s="32">
        <f t="shared" si="29"/>
        <v>0</v>
      </c>
      <c r="V81" s="32">
        <f>Table1[[#This Row],[Enrolment S.Y. 2025-2026 ]]*8</f>
        <v>10992</v>
      </c>
      <c r="W81" s="32"/>
      <c r="X81" s="30"/>
      <c r="Y81" s="32"/>
      <c r="Z81" s="32">
        <f t="shared" si="30"/>
        <v>10992</v>
      </c>
      <c r="AA81" s="32">
        <f t="shared" si="31"/>
        <v>0</v>
      </c>
    </row>
    <row r="82" spans="1:27" ht="21">
      <c r="A82" s="1">
        <v>11</v>
      </c>
      <c r="B82" s="31" t="s">
        <v>50</v>
      </c>
      <c r="C82" s="1">
        <v>1146</v>
      </c>
      <c r="D82" s="32">
        <f>Table1[[#This Row],[Enrolment S.Y. 2025-2026 ]]*8</f>
        <v>10992</v>
      </c>
      <c r="E82" s="32"/>
      <c r="F82" s="30"/>
      <c r="G82" s="32"/>
      <c r="H82" s="32">
        <f>IF((D82-E82)&lt;0,0,(D82-E82))</f>
        <v>10992</v>
      </c>
      <c r="I82" s="32">
        <f>IF((E82-D82)&lt;0,0,(E82-D82))</f>
        <v>0</v>
      </c>
      <c r="J82" s="32">
        <f>Table1[[#This Row],[Enrolment S.Y. 2025-2026 ]]*8</f>
        <v>10992</v>
      </c>
      <c r="K82" s="32"/>
      <c r="L82" s="30"/>
      <c r="M82" s="32"/>
      <c r="N82" s="4">
        <f t="shared" si="32"/>
        <v>10992</v>
      </c>
      <c r="O82" s="4">
        <f t="shared" si="33"/>
        <v>0</v>
      </c>
      <c r="P82" s="4">
        <f>Table1[[#This Row],[Enrolment S.Y. 2025-2026 ]]*8</f>
        <v>10992</v>
      </c>
      <c r="Q82" s="32"/>
      <c r="R82" s="30"/>
      <c r="S82" s="32"/>
      <c r="T82" s="32">
        <f>IF((P82-Q82)&lt;0,0,(P82-Q82))</f>
        <v>10992</v>
      </c>
      <c r="U82" s="32">
        <f>IF((Q82-P82)&lt;0,0,(Q82-P82))</f>
        <v>0</v>
      </c>
      <c r="V82" s="32">
        <f>Table1[[#This Row],[Enrolment S.Y. 2025-2026 ]]*8</f>
        <v>10992</v>
      </c>
      <c r="W82" s="32"/>
      <c r="X82" s="30"/>
      <c r="Y82" s="32"/>
      <c r="Z82" s="32">
        <f>IF((V82-W82)&lt;0,0,(V82-W82))</f>
        <v>10992</v>
      </c>
      <c r="AA82" s="32">
        <f>IF((W82-V82)&lt;0,0,(W82-V82))</f>
        <v>0</v>
      </c>
    </row>
    <row r="83" spans="1:27" ht="19.5">
      <c r="A83" s="5"/>
      <c r="B83" s="5"/>
      <c r="C83" s="5"/>
      <c r="D83" s="5"/>
      <c r="E83" s="5"/>
      <c r="F83" s="5"/>
      <c r="G83" s="5"/>
      <c r="H83" s="5"/>
      <c r="I83" s="5"/>
      <c r="J83" s="11"/>
      <c r="K83" s="5"/>
      <c r="L83" s="5"/>
      <c r="M83" s="5"/>
      <c r="N83" s="11"/>
      <c r="O83" s="11"/>
      <c r="P83" s="11"/>
      <c r="Q83" s="5"/>
      <c r="R83" s="5"/>
      <c r="S83" s="5"/>
      <c r="T83" s="11"/>
      <c r="U83" s="11"/>
      <c r="V83" s="11"/>
      <c r="W83" s="5"/>
      <c r="X83" s="5"/>
      <c r="Y83" s="5"/>
      <c r="Z83" s="11"/>
      <c r="AA83" s="11"/>
    </row>
    <row r="84" spans="1:27" ht="57.75">
      <c r="A84" s="1">
        <v>12</v>
      </c>
      <c r="B84" s="7" t="s">
        <v>51</v>
      </c>
      <c r="C84" s="1">
        <v>1387</v>
      </c>
      <c r="D84" s="32">
        <f>Table1[[#This Row],[Enrolment S.Y. 2025-2026 ]]*8</f>
        <v>10992</v>
      </c>
      <c r="E84" s="4"/>
      <c r="F84" s="1"/>
      <c r="G84" s="4"/>
      <c r="H84" s="4">
        <f t="shared" si="24"/>
        <v>10992</v>
      </c>
      <c r="I84" s="4">
        <f t="shared" si="25"/>
        <v>0</v>
      </c>
      <c r="J84" s="4">
        <f>Table1[[#This Row],[Enrolment S.Y. 2025-2026 ]]*8</f>
        <v>10992</v>
      </c>
      <c r="K84" s="4"/>
      <c r="L84" s="1"/>
      <c r="M84" s="4"/>
      <c r="N84" s="4">
        <f t="shared" si="26"/>
        <v>10992</v>
      </c>
      <c r="O84" s="4">
        <f t="shared" si="27"/>
        <v>0</v>
      </c>
      <c r="P84" s="4">
        <f>Table1[[#This Row],[Enrolment S.Y. 2025-2026 ]]*8</f>
        <v>10992</v>
      </c>
      <c r="Q84" s="4"/>
      <c r="R84" s="1"/>
      <c r="S84" s="4"/>
      <c r="T84" s="4">
        <f t="shared" si="28"/>
        <v>10992</v>
      </c>
      <c r="U84" s="4">
        <f t="shared" si="29"/>
        <v>0</v>
      </c>
      <c r="V84" s="4">
        <f>Table1[[#This Row],[Enrolment S.Y. 2025-2026 ]]*8</f>
        <v>10992</v>
      </c>
      <c r="W84" s="4"/>
      <c r="X84" s="1"/>
      <c r="Y84" s="4"/>
      <c r="Z84" s="4">
        <f t="shared" si="30"/>
        <v>10992</v>
      </c>
      <c r="AA84" s="4">
        <f t="shared" si="31"/>
        <v>0</v>
      </c>
    </row>
    <row r="85" spans="1:27" ht="38.25">
      <c r="A85" s="1">
        <v>12</v>
      </c>
      <c r="B85" s="7" t="s">
        <v>52</v>
      </c>
      <c r="C85" s="1">
        <v>1387</v>
      </c>
      <c r="D85" s="32">
        <f>Table1[[#This Row],[Enrolment S.Y. 2025-2026 ]]*8</f>
        <v>10992</v>
      </c>
      <c r="E85" s="4"/>
      <c r="F85" s="1"/>
      <c r="G85" s="4"/>
      <c r="H85" s="4">
        <f t="shared" si="24"/>
        <v>10992</v>
      </c>
      <c r="I85" s="4">
        <f t="shared" si="25"/>
        <v>0</v>
      </c>
      <c r="J85" s="4">
        <f>Table1[[#This Row],[Enrolment S.Y. 2025-2026 ]]*8</f>
        <v>10992</v>
      </c>
      <c r="K85" s="4"/>
      <c r="L85" s="1"/>
      <c r="M85" s="4"/>
      <c r="N85" s="4">
        <f t="shared" si="26"/>
        <v>10992</v>
      </c>
      <c r="O85" s="4">
        <f t="shared" si="27"/>
        <v>0</v>
      </c>
      <c r="P85" s="4">
        <f>Table1[[#This Row],[Enrolment S.Y. 2025-2026 ]]*8</f>
        <v>10992</v>
      </c>
      <c r="Q85" s="4"/>
      <c r="R85" s="1"/>
      <c r="S85" s="4"/>
      <c r="T85" s="4">
        <f t="shared" si="28"/>
        <v>10992</v>
      </c>
      <c r="U85" s="4">
        <f t="shared" si="29"/>
        <v>0</v>
      </c>
      <c r="V85" s="4">
        <f>Table1[[#This Row],[Enrolment S.Y. 2025-2026 ]]*8</f>
        <v>10992</v>
      </c>
      <c r="W85" s="4"/>
      <c r="X85" s="1"/>
      <c r="Y85" s="4"/>
      <c r="Z85" s="4">
        <f t="shared" si="30"/>
        <v>10992</v>
      </c>
      <c r="AA85" s="4">
        <f t="shared" si="31"/>
        <v>0</v>
      </c>
    </row>
    <row r="86" spans="1:27" ht="57.75">
      <c r="A86" s="1">
        <v>12</v>
      </c>
      <c r="B86" s="7" t="s">
        <v>53</v>
      </c>
      <c r="C86" s="1">
        <v>1387</v>
      </c>
      <c r="D86" s="32">
        <f>Table1[[#This Row],[Enrolment S.Y. 2025-2026 ]]*8</f>
        <v>10992</v>
      </c>
      <c r="E86" s="4"/>
      <c r="F86" s="1"/>
      <c r="G86" s="4"/>
      <c r="H86" s="4">
        <f t="shared" si="24"/>
        <v>10992</v>
      </c>
      <c r="I86" s="4">
        <f t="shared" si="25"/>
        <v>0</v>
      </c>
      <c r="J86" s="4">
        <f>Table1[[#This Row],[Enrolment S.Y. 2025-2026 ]]*8</f>
        <v>10992</v>
      </c>
      <c r="K86" s="4"/>
      <c r="L86" s="1"/>
      <c r="M86" s="4"/>
      <c r="N86" s="4">
        <f t="shared" si="26"/>
        <v>10992</v>
      </c>
      <c r="O86" s="4">
        <f t="shared" si="27"/>
        <v>0</v>
      </c>
      <c r="P86" s="4">
        <f>Table1[[#This Row],[Enrolment S.Y. 2025-2026 ]]*8</f>
        <v>10992</v>
      </c>
      <c r="Q86" s="4"/>
      <c r="R86" s="1"/>
      <c r="S86" s="4"/>
      <c r="T86" s="4">
        <f t="shared" si="28"/>
        <v>10992</v>
      </c>
      <c r="U86" s="4">
        <f t="shared" si="29"/>
        <v>0</v>
      </c>
      <c r="V86" s="4">
        <f>Table1[[#This Row],[Enrolment S.Y. 2025-2026 ]]*8</f>
        <v>10992</v>
      </c>
      <c r="W86" s="4"/>
      <c r="X86" s="1"/>
      <c r="Y86" s="4"/>
      <c r="Z86" s="4">
        <f t="shared" si="30"/>
        <v>10992</v>
      </c>
      <c r="AA86" s="4">
        <f t="shared" si="31"/>
        <v>0</v>
      </c>
    </row>
    <row r="87" spans="1:27" ht="40.5">
      <c r="A87" s="1">
        <v>12</v>
      </c>
      <c r="B87" s="31" t="s">
        <v>54</v>
      </c>
      <c r="C87" s="1">
        <v>1387</v>
      </c>
      <c r="D87" s="32">
        <f>Table1[[#This Row],[Enrolment S.Y. 2025-2026 ]]*8</f>
        <v>10992</v>
      </c>
      <c r="E87" s="4"/>
      <c r="F87" s="1"/>
      <c r="G87" s="4"/>
      <c r="H87" s="4">
        <f t="shared" si="24"/>
        <v>10992</v>
      </c>
      <c r="I87" s="4">
        <f t="shared" si="25"/>
        <v>0</v>
      </c>
      <c r="J87" s="4">
        <f>Table1[[#This Row],[Enrolment S.Y. 2025-2026 ]]*8</f>
        <v>10992</v>
      </c>
      <c r="K87" s="4"/>
      <c r="L87" s="1"/>
      <c r="M87" s="4"/>
      <c r="N87" s="4">
        <f t="shared" si="26"/>
        <v>10992</v>
      </c>
      <c r="O87" s="4">
        <f t="shared" si="27"/>
        <v>0</v>
      </c>
      <c r="P87" s="4">
        <f>Table1[[#This Row],[Enrolment S.Y. 2025-2026 ]]*8</f>
        <v>10992</v>
      </c>
      <c r="Q87" s="4"/>
      <c r="R87" s="1"/>
      <c r="S87" s="4"/>
      <c r="T87" s="4">
        <f t="shared" si="28"/>
        <v>10992</v>
      </c>
      <c r="U87" s="4">
        <f t="shared" si="29"/>
        <v>0</v>
      </c>
      <c r="V87" s="4">
        <f>Table1[[#This Row],[Enrolment S.Y. 2025-2026 ]]*8</f>
        <v>10992</v>
      </c>
      <c r="W87" s="4"/>
      <c r="X87" s="1"/>
      <c r="Y87" s="4"/>
      <c r="Z87" s="4">
        <f t="shared" si="30"/>
        <v>10992</v>
      </c>
      <c r="AA87" s="4">
        <f t="shared" si="31"/>
        <v>0</v>
      </c>
    </row>
    <row r="88" spans="1:27" ht="21">
      <c r="A88" s="1">
        <v>12</v>
      </c>
      <c r="B88" s="31" t="s">
        <v>55</v>
      </c>
      <c r="C88" s="1">
        <v>1387</v>
      </c>
      <c r="D88" s="32">
        <f>Table1[[#This Row],[Enrolment S.Y. 2025-2026 ]]*8</f>
        <v>10992</v>
      </c>
      <c r="E88" s="4"/>
      <c r="F88" s="1"/>
      <c r="G88" s="4"/>
      <c r="H88" s="4">
        <f t="shared" si="24"/>
        <v>10992</v>
      </c>
      <c r="I88" s="4">
        <f t="shared" si="25"/>
        <v>0</v>
      </c>
      <c r="J88" s="4">
        <f>Table1[[#This Row],[Enrolment S.Y. 2025-2026 ]]*8</f>
        <v>10992</v>
      </c>
      <c r="K88" s="4"/>
      <c r="L88" s="1"/>
      <c r="M88" s="4"/>
      <c r="N88" s="4">
        <f t="shared" si="26"/>
        <v>10992</v>
      </c>
      <c r="O88" s="4">
        <f t="shared" si="27"/>
        <v>0</v>
      </c>
      <c r="P88" s="4">
        <f>Table1[[#This Row],[Enrolment S.Y. 2025-2026 ]]*8</f>
        <v>10992</v>
      </c>
      <c r="Q88" s="4"/>
      <c r="R88" s="1"/>
      <c r="S88" s="4"/>
      <c r="T88" s="4">
        <f t="shared" si="28"/>
        <v>10992</v>
      </c>
      <c r="U88" s="4">
        <f t="shared" si="29"/>
        <v>0</v>
      </c>
      <c r="V88" s="4">
        <f>Table1[[#This Row],[Enrolment S.Y. 2025-2026 ]]*8</f>
        <v>10992</v>
      </c>
      <c r="W88" s="4"/>
      <c r="X88" s="1"/>
      <c r="Y88" s="4"/>
      <c r="Z88" s="4">
        <f t="shared" si="30"/>
        <v>10992</v>
      </c>
      <c r="AA88" s="4">
        <f t="shared" si="31"/>
        <v>0</v>
      </c>
    </row>
    <row r="89" spans="1:27" s="5" customFormat="1" ht="19.5">
      <c r="A89" s="1">
        <v>12</v>
      </c>
      <c r="B89" s="7" t="s">
        <v>56</v>
      </c>
      <c r="C89" s="1">
        <v>1387</v>
      </c>
      <c r="D89" s="32">
        <f>Table1[[#This Row],[Enrolment S.Y. 2025-2026 ]]*8</f>
        <v>10992</v>
      </c>
      <c r="E89" s="4"/>
      <c r="F89" s="1"/>
      <c r="G89" s="4"/>
      <c r="H89" s="4">
        <f t="shared" si="24"/>
        <v>10992</v>
      </c>
      <c r="I89" s="4">
        <f t="shared" si="25"/>
        <v>0</v>
      </c>
      <c r="J89" s="4">
        <f>Table1[[#This Row],[Enrolment S.Y. 2025-2026 ]]*8</f>
        <v>10992</v>
      </c>
      <c r="K89" s="4"/>
      <c r="L89" s="1"/>
      <c r="M89" s="4"/>
      <c r="N89" s="4">
        <f t="shared" si="26"/>
        <v>10992</v>
      </c>
      <c r="O89" s="4">
        <f t="shared" si="27"/>
        <v>0</v>
      </c>
      <c r="P89" s="4">
        <f>Table1[[#This Row],[Enrolment S.Y. 2025-2026 ]]*8</f>
        <v>10992</v>
      </c>
      <c r="Q89" s="4"/>
      <c r="R89" s="1"/>
      <c r="S89" s="4"/>
      <c r="T89" s="4">
        <f t="shared" si="28"/>
        <v>10992</v>
      </c>
      <c r="U89" s="4">
        <f t="shared" si="29"/>
        <v>0</v>
      </c>
      <c r="V89" s="4">
        <f>Table1[[#This Row],[Enrolment S.Y. 2025-2026 ]]*8</f>
        <v>10992</v>
      </c>
      <c r="W89" s="4"/>
      <c r="X89" s="1"/>
      <c r="Y89" s="4"/>
      <c r="Z89" s="4">
        <f t="shared" si="30"/>
        <v>10992</v>
      </c>
      <c r="AA89" s="4">
        <f t="shared" si="31"/>
        <v>0</v>
      </c>
    </row>
    <row r="90" spans="1:27" ht="38.25">
      <c r="A90" s="1">
        <v>12</v>
      </c>
      <c r="B90" s="7" t="s">
        <v>57</v>
      </c>
      <c r="C90" s="1">
        <v>1387</v>
      </c>
      <c r="D90" s="32">
        <f>Table1[[#This Row],[Enrolment S.Y. 2025-2026 ]]*8</f>
        <v>10992</v>
      </c>
      <c r="E90" s="4"/>
      <c r="F90" s="1"/>
      <c r="G90" s="4"/>
      <c r="H90" s="4">
        <f t="shared" si="24"/>
        <v>10992</v>
      </c>
      <c r="I90" s="4">
        <f t="shared" si="25"/>
        <v>0</v>
      </c>
      <c r="J90" s="4">
        <f>Table1[[#This Row],[Enrolment S.Y. 2025-2026 ]]*8</f>
        <v>10992</v>
      </c>
      <c r="K90" s="4"/>
      <c r="L90" s="1"/>
      <c r="M90" s="4"/>
      <c r="N90" s="4">
        <f t="shared" si="26"/>
        <v>10992</v>
      </c>
      <c r="O90" s="4">
        <f t="shared" si="27"/>
        <v>0</v>
      </c>
      <c r="P90" s="4">
        <f>Table1[[#This Row],[Enrolment S.Y. 2025-2026 ]]*8</f>
        <v>10992</v>
      </c>
      <c r="Q90" s="4"/>
      <c r="R90" s="1"/>
      <c r="S90" s="4"/>
      <c r="T90" s="4">
        <f t="shared" si="28"/>
        <v>10992</v>
      </c>
      <c r="U90" s="4">
        <f t="shared" si="29"/>
        <v>0</v>
      </c>
      <c r="V90" s="4">
        <f>Table1[[#This Row],[Enrolment S.Y. 2025-2026 ]]*8</f>
        <v>10992</v>
      </c>
      <c r="W90" s="4"/>
      <c r="X90" s="1"/>
      <c r="Y90" s="4"/>
      <c r="Z90" s="4">
        <f t="shared" si="30"/>
        <v>10992</v>
      </c>
      <c r="AA90" s="4">
        <f t="shared" si="31"/>
        <v>0</v>
      </c>
    </row>
    <row r="91" spans="1:27" ht="40.5">
      <c r="A91" s="1">
        <v>12</v>
      </c>
      <c r="B91" s="31" t="s">
        <v>58</v>
      </c>
      <c r="C91" s="1">
        <v>1387</v>
      </c>
      <c r="D91" s="32">
        <f>Table1[[#This Row],[Enrolment S.Y. 2025-2026 ]]*8</f>
        <v>10992</v>
      </c>
      <c r="E91" s="4"/>
      <c r="F91" s="1"/>
      <c r="G91" s="4"/>
      <c r="H91" s="4">
        <f t="shared" si="24"/>
        <v>10992</v>
      </c>
      <c r="I91" s="4">
        <f t="shared" si="25"/>
        <v>0</v>
      </c>
      <c r="J91" s="4">
        <f>Table1[[#This Row],[Enrolment S.Y. 2025-2026 ]]*8</f>
        <v>10992</v>
      </c>
      <c r="K91" s="4"/>
      <c r="L91" s="1"/>
      <c r="M91" s="4"/>
      <c r="N91" s="4">
        <f t="shared" si="26"/>
        <v>10992</v>
      </c>
      <c r="O91" s="4">
        <f t="shared" si="27"/>
        <v>0</v>
      </c>
      <c r="P91" s="4">
        <f>Table1[[#This Row],[Enrolment S.Y. 2025-2026 ]]*8</f>
        <v>10992</v>
      </c>
      <c r="Q91" s="4"/>
      <c r="R91" s="1"/>
      <c r="S91" s="4"/>
      <c r="T91" s="4">
        <f t="shared" si="28"/>
        <v>10992</v>
      </c>
      <c r="U91" s="4">
        <f t="shared" si="29"/>
        <v>0</v>
      </c>
      <c r="V91" s="4">
        <f>Table1[[#This Row],[Enrolment S.Y. 2025-2026 ]]*8</f>
        <v>10992</v>
      </c>
      <c r="W91" s="4"/>
      <c r="X91" s="1"/>
      <c r="Y91" s="4"/>
      <c r="Z91" s="4">
        <f t="shared" si="30"/>
        <v>10992</v>
      </c>
      <c r="AA91" s="4">
        <f t="shared" si="31"/>
        <v>0</v>
      </c>
    </row>
    <row r="92" spans="1:27" ht="40.5">
      <c r="A92" s="1">
        <v>12</v>
      </c>
      <c r="B92" s="31" t="s">
        <v>59</v>
      </c>
      <c r="C92" s="1">
        <v>1387</v>
      </c>
      <c r="D92" s="32">
        <f>Table1[[#This Row],[Enrolment S.Y. 2025-2026 ]]*8</f>
        <v>10992</v>
      </c>
      <c r="E92" s="4"/>
      <c r="F92" s="1"/>
      <c r="G92" s="4"/>
      <c r="H92" s="4">
        <f t="shared" si="24"/>
        <v>10992</v>
      </c>
      <c r="I92" s="4">
        <f t="shared" si="25"/>
        <v>0</v>
      </c>
      <c r="J92" s="4">
        <f>Table1[[#This Row],[Enrolment S.Y. 2025-2026 ]]*8</f>
        <v>10992</v>
      </c>
      <c r="K92" s="4"/>
      <c r="L92" s="1"/>
      <c r="M92" s="4"/>
      <c r="N92" s="4">
        <f t="shared" si="26"/>
        <v>10992</v>
      </c>
      <c r="O92" s="4">
        <f t="shared" si="27"/>
        <v>0</v>
      </c>
      <c r="P92" s="4">
        <f>Table1[[#This Row],[Enrolment S.Y. 2025-2026 ]]*8</f>
        <v>10992</v>
      </c>
      <c r="Q92" s="4"/>
      <c r="R92" s="1"/>
      <c r="S92" s="4"/>
      <c r="T92" s="4">
        <f t="shared" si="28"/>
        <v>10992</v>
      </c>
      <c r="U92" s="4">
        <f t="shared" si="29"/>
        <v>0</v>
      </c>
      <c r="V92" s="4">
        <f>Table1[[#This Row],[Enrolment S.Y. 2025-2026 ]]*8</f>
        <v>10992</v>
      </c>
      <c r="W92" s="4"/>
      <c r="X92" s="1"/>
      <c r="Y92" s="4"/>
      <c r="Z92" s="4">
        <f t="shared" si="30"/>
        <v>10992</v>
      </c>
      <c r="AA92" s="4">
        <f t="shared" si="31"/>
        <v>0</v>
      </c>
    </row>
    <row r="93" spans="1:27" ht="81">
      <c r="A93" s="1">
        <v>12</v>
      </c>
      <c r="B93" s="31" t="s">
        <v>60</v>
      </c>
      <c r="C93" s="1">
        <v>1387</v>
      </c>
      <c r="D93" s="32">
        <f>Table1[[#This Row],[Enrolment S.Y. 2025-2026 ]]*8</f>
        <v>10992</v>
      </c>
      <c r="E93" s="4"/>
      <c r="F93" s="1"/>
      <c r="G93" s="4"/>
      <c r="H93" s="4">
        <f t="shared" si="24"/>
        <v>10992</v>
      </c>
      <c r="I93" s="4">
        <f t="shared" si="25"/>
        <v>0</v>
      </c>
      <c r="J93" s="4">
        <f>Table1[[#This Row],[Enrolment S.Y. 2025-2026 ]]*8</f>
        <v>10992</v>
      </c>
      <c r="K93" s="4"/>
      <c r="L93" s="1"/>
      <c r="M93" s="4"/>
      <c r="N93" s="4">
        <f t="shared" si="26"/>
        <v>10992</v>
      </c>
      <c r="O93" s="4">
        <f t="shared" si="27"/>
        <v>0</v>
      </c>
      <c r="P93" s="4">
        <f>Table1[[#This Row],[Enrolment S.Y. 2025-2026 ]]*8</f>
        <v>10992</v>
      </c>
      <c r="Q93" s="4"/>
      <c r="R93" s="1"/>
      <c r="S93" s="4"/>
      <c r="T93" s="4">
        <f t="shared" si="28"/>
        <v>10992</v>
      </c>
      <c r="U93" s="4">
        <f t="shared" si="29"/>
        <v>0</v>
      </c>
      <c r="V93" s="4">
        <f>Table1[[#This Row],[Enrolment S.Y. 2025-2026 ]]*8</f>
        <v>10992</v>
      </c>
      <c r="W93" s="4"/>
      <c r="X93" s="1"/>
      <c r="Y93" s="4"/>
      <c r="Z93" s="4">
        <f t="shared" si="30"/>
        <v>10992</v>
      </c>
      <c r="AA93" s="4">
        <f t="shared" si="31"/>
        <v>0</v>
      </c>
    </row>
    <row r="94" spans="1:27" ht="19.5">
      <c r="A94" s="1">
        <v>12</v>
      </c>
      <c r="B94" s="7" t="s">
        <v>49</v>
      </c>
      <c r="C94" s="1">
        <v>1387</v>
      </c>
      <c r="D94" s="32">
        <f>Table1[[#This Row],[Enrolment S.Y. 2025-2026 ]]*8</f>
        <v>10992</v>
      </c>
      <c r="E94" s="4"/>
      <c r="F94" s="1"/>
      <c r="G94" s="4"/>
      <c r="H94" s="4">
        <f t="shared" si="24"/>
        <v>10992</v>
      </c>
      <c r="I94" s="4">
        <f t="shared" si="25"/>
        <v>0</v>
      </c>
      <c r="J94" s="4">
        <f>Table1[[#This Row],[Enrolment S.Y. 2025-2026 ]]*8</f>
        <v>10992</v>
      </c>
      <c r="K94" s="4"/>
      <c r="L94" s="1"/>
      <c r="M94" s="4"/>
      <c r="N94" s="4">
        <f t="shared" si="26"/>
        <v>10992</v>
      </c>
      <c r="O94" s="4">
        <f t="shared" si="27"/>
        <v>0</v>
      </c>
      <c r="P94" s="4">
        <f>Table1[[#This Row],[Enrolment S.Y. 2025-2026 ]]*8</f>
        <v>10992</v>
      </c>
      <c r="Q94" s="4"/>
      <c r="R94" s="1"/>
      <c r="S94" s="4"/>
      <c r="T94" s="4">
        <f t="shared" si="28"/>
        <v>10992</v>
      </c>
      <c r="U94" s="4">
        <f t="shared" si="29"/>
        <v>0</v>
      </c>
      <c r="V94" s="4">
        <f>Table1[[#This Row],[Enrolment S.Y. 2025-2026 ]]*8</f>
        <v>10992</v>
      </c>
      <c r="W94" s="4"/>
      <c r="X94" s="1"/>
      <c r="Y94" s="4"/>
      <c r="Z94" s="4">
        <f t="shared" si="30"/>
        <v>10992</v>
      </c>
      <c r="AA94" s="4">
        <f t="shared" si="31"/>
        <v>0</v>
      </c>
    </row>
    <row r="95" spans="1:27" ht="21">
      <c r="A95" s="1">
        <v>12</v>
      </c>
      <c r="B95" s="31" t="s">
        <v>61</v>
      </c>
      <c r="C95" s="1">
        <v>1387</v>
      </c>
      <c r="D95" s="32">
        <f>Table1[[#This Row],[Enrolment S.Y. 2025-2026 ]]*8</f>
        <v>10992</v>
      </c>
      <c r="E95" s="4"/>
      <c r="F95" s="1"/>
      <c r="G95" s="4"/>
      <c r="H95" s="4">
        <f t="shared" si="24"/>
        <v>10992</v>
      </c>
      <c r="I95" s="4">
        <f t="shared" si="25"/>
        <v>0</v>
      </c>
      <c r="J95" s="4">
        <f>Table1[[#This Row],[Enrolment S.Y. 2025-2026 ]]*8</f>
        <v>10992</v>
      </c>
      <c r="K95" s="4"/>
      <c r="L95" s="1"/>
      <c r="M95" s="4"/>
      <c r="N95" s="4">
        <f t="shared" si="26"/>
        <v>10992</v>
      </c>
      <c r="O95" s="4">
        <f t="shared" si="27"/>
        <v>0</v>
      </c>
      <c r="P95" s="4">
        <f>Table1[[#This Row],[Enrolment S.Y. 2025-2026 ]]*8</f>
        <v>10992</v>
      </c>
      <c r="Q95" s="4"/>
      <c r="R95" s="1"/>
      <c r="S95" s="4"/>
      <c r="T95" s="4">
        <f t="shared" si="28"/>
        <v>10992</v>
      </c>
      <c r="U95" s="4">
        <f t="shared" si="29"/>
        <v>0</v>
      </c>
      <c r="V95" s="4">
        <f>Table1[[#This Row],[Enrolment S.Y. 2025-2026 ]]*8</f>
        <v>10992</v>
      </c>
      <c r="W95" s="4"/>
      <c r="X95" s="1"/>
      <c r="Y95" s="4"/>
      <c r="Z95" s="4">
        <f t="shared" si="30"/>
        <v>10992</v>
      </c>
      <c r="AA95" s="4">
        <f t="shared" si="31"/>
        <v>0</v>
      </c>
    </row>
    <row r="96" spans="1:27" ht="21">
      <c r="A96" s="1">
        <v>12</v>
      </c>
      <c r="B96" s="31" t="s">
        <v>62</v>
      </c>
      <c r="C96" s="1">
        <v>1387</v>
      </c>
      <c r="D96" s="32">
        <f>Table1[[#This Row],[Enrolment S.Y. 2025-2026 ]]*8</f>
        <v>10992</v>
      </c>
      <c r="E96" s="4"/>
      <c r="F96" s="1"/>
      <c r="G96" s="4"/>
      <c r="H96" s="4">
        <f t="shared" si="24"/>
        <v>10992</v>
      </c>
      <c r="I96" s="4">
        <f t="shared" si="25"/>
        <v>0</v>
      </c>
      <c r="J96" s="4">
        <f>Table1[[#This Row],[Enrolment S.Y. 2025-2026 ]]*8</f>
        <v>10992</v>
      </c>
      <c r="K96" s="4"/>
      <c r="L96" s="1"/>
      <c r="M96" s="4"/>
      <c r="N96" s="4">
        <f t="shared" si="26"/>
        <v>10992</v>
      </c>
      <c r="O96" s="4">
        <f t="shared" si="27"/>
        <v>0</v>
      </c>
      <c r="P96" s="4">
        <f>Table1[[#This Row],[Enrolment S.Y. 2025-2026 ]]*8</f>
        <v>10992</v>
      </c>
      <c r="Q96" s="4"/>
      <c r="R96" s="1"/>
      <c r="S96" s="4"/>
      <c r="T96" s="4">
        <f t="shared" si="28"/>
        <v>10992</v>
      </c>
      <c r="U96" s="4">
        <f t="shared" si="29"/>
        <v>0</v>
      </c>
      <c r="V96" s="4">
        <f>Table1[[#This Row],[Enrolment S.Y. 2025-2026 ]]*8</f>
        <v>10992</v>
      </c>
      <c r="W96" s="4"/>
      <c r="X96" s="1"/>
      <c r="Y96" s="4"/>
      <c r="Z96" s="4">
        <f t="shared" si="30"/>
        <v>10992</v>
      </c>
      <c r="AA96" s="4">
        <f t="shared" si="31"/>
        <v>0</v>
      </c>
    </row>
    <row r="97" spans="1:27" ht="21">
      <c r="A97" s="1">
        <v>12</v>
      </c>
      <c r="B97" s="31" t="s">
        <v>63</v>
      </c>
      <c r="C97" s="1">
        <v>1387</v>
      </c>
      <c r="D97" s="32">
        <f>Table1[[#This Row],[Enrolment S.Y. 2025-2026 ]]*8</f>
        <v>10992</v>
      </c>
      <c r="E97" s="4"/>
      <c r="F97" s="1"/>
      <c r="G97" s="4"/>
      <c r="H97" s="4">
        <f t="shared" si="24"/>
        <v>10992</v>
      </c>
      <c r="I97" s="4">
        <f t="shared" si="25"/>
        <v>0</v>
      </c>
      <c r="J97" s="4">
        <f>Table1[[#This Row],[Enrolment S.Y. 2025-2026 ]]*8</f>
        <v>10992</v>
      </c>
      <c r="K97" s="4"/>
      <c r="L97" s="1"/>
      <c r="M97" s="4"/>
      <c r="N97" s="4">
        <f t="shared" si="26"/>
        <v>10992</v>
      </c>
      <c r="O97" s="4">
        <f t="shared" si="27"/>
        <v>0</v>
      </c>
      <c r="P97" s="4">
        <f>Table1[[#This Row],[Enrolment S.Y. 2025-2026 ]]*8</f>
        <v>10992</v>
      </c>
      <c r="Q97" s="4"/>
      <c r="R97" s="1"/>
      <c r="S97" s="4"/>
      <c r="T97" s="4">
        <f t="shared" si="28"/>
        <v>10992</v>
      </c>
      <c r="U97" s="4">
        <f t="shared" si="29"/>
        <v>0</v>
      </c>
      <c r="V97" s="4">
        <f>Table1[[#This Row],[Enrolment S.Y. 2025-2026 ]]*8</f>
        <v>10992</v>
      </c>
      <c r="W97" s="4"/>
      <c r="X97" s="1"/>
      <c r="Y97" s="4"/>
      <c r="Z97" s="4">
        <f t="shared" si="30"/>
        <v>10992</v>
      </c>
      <c r="AA97" s="4">
        <f t="shared" si="31"/>
        <v>0</v>
      </c>
    </row>
    <row r="98" spans="1:27" ht="42">
      <c r="A98" s="1">
        <v>12</v>
      </c>
      <c r="B98" s="39" t="s">
        <v>64</v>
      </c>
      <c r="C98" s="1">
        <v>1387</v>
      </c>
      <c r="D98" s="32">
        <f>Table1[[#This Row],[Enrolment S.Y. 2025-2026 ]]*8</f>
        <v>10992</v>
      </c>
      <c r="E98" s="4"/>
      <c r="F98" s="1"/>
      <c r="G98" s="4"/>
      <c r="H98" s="4">
        <f t="shared" si="24"/>
        <v>10992</v>
      </c>
      <c r="I98" s="4">
        <f t="shared" si="25"/>
        <v>0</v>
      </c>
      <c r="J98" s="4">
        <f>Table1[[#This Row],[Enrolment S.Y. 2025-2026 ]]*8</f>
        <v>10992</v>
      </c>
      <c r="K98" s="4"/>
      <c r="L98" s="1"/>
      <c r="M98" s="4"/>
      <c r="N98" s="4">
        <f t="shared" si="26"/>
        <v>10992</v>
      </c>
      <c r="O98" s="4">
        <f t="shared" si="27"/>
        <v>0</v>
      </c>
      <c r="P98" s="4">
        <f>Table1[[#This Row],[Enrolment S.Y. 2025-2026 ]]*8</f>
        <v>10992</v>
      </c>
      <c r="Q98" s="4"/>
      <c r="R98" s="1"/>
      <c r="S98" s="4"/>
      <c r="T98" s="4">
        <f t="shared" si="28"/>
        <v>10992</v>
      </c>
      <c r="U98" s="4">
        <f t="shared" si="29"/>
        <v>0</v>
      </c>
      <c r="V98" s="4">
        <f>Table1[[#This Row],[Enrolment S.Y. 2025-2026 ]]*8</f>
        <v>10992</v>
      </c>
      <c r="W98" s="4"/>
      <c r="X98" s="1"/>
      <c r="Y98" s="4"/>
      <c r="Z98" s="4">
        <f t="shared" si="30"/>
        <v>10992</v>
      </c>
      <c r="AA98" s="4">
        <f t="shared" si="31"/>
        <v>0</v>
      </c>
    </row>
    <row r="99" spans="1:27" ht="21">
      <c r="A99" s="2">
        <v>12</v>
      </c>
      <c r="B99" s="31" t="s">
        <v>65</v>
      </c>
      <c r="C99" s="1">
        <v>1387</v>
      </c>
      <c r="D99" s="32">
        <f>Table1[[#This Row],[Enrolment S.Y. 2025-2026 ]]*8</f>
        <v>10992</v>
      </c>
      <c r="E99" s="32"/>
      <c r="F99" s="30"/>
      <c r="G99" s="32"/>
      <c r="H99" s="32">
        <f t="shared" si="24"/>
        <v>10992</v>
      </c>
      <c r="I99" s="32">
        <f t="shared" si="25"/>
        <v>0</v>
      </c>
      <c r="J99" s="32">
        <f>Table1[[#This Row],[Enrolment S.Y. 2025-2026 ]]*8</f>
        <v>10992</v>
      </c>
      <c r="K99" s="32"/>
      <c r="L99" s="30"/>
      <c r="M99" s="32"/>
      <c r="N99" s="4">
        <f t="shared" ref="N99:N110" si="34">IF((J99-K99)&lt;0,0,(J99-K99))</f>
        <v>10992</v>
      </c>
      <c r="O99" s="4">
        <f t="shared" ref="O99:O110" si="35">IF((K99-J99)&lt;0,0,(K99-J99))</f>
        <v>0</v>
      </c>
      <c r="P99" s="4">
        <f>Table1[[#This Row],[Enrolment S.Y. 2025-2026 ]]*8</f>
        <v>10992</v>
      </c>
      <c r="Q99" s="32"/>
      <c r="R99" s="30"/>
      <c r="S99" s="32"/>
      <c r="T99" s="4">
        <f t="shared" ref="T99:T110" si="36">IF((P99-Q99)&lt;0,0,(P99-Q99))</f>
        <v>10992</v>
      </c>
      <c r="U99" s="4">
        <f t="shared" ref="U99:U110" si="37">IF((Q99-P99)&lt;0,0,(Q99-P99))</f>
        <v>0</v>
      </c>
      <c r="V99" s="4">
        <f>Table1[[#This Row],[Enrolment S.Y. 2025-2026 ]]*8</f>
        <v>10992</v>
      </c>
      <c r="W99" s="32"/>
      <c r="X99" s="30"/>
      <c r="Y99" s="32"/>
      <c r="Z99" s="32">
        <f t="shared" si="30"/>
        <v>10992</v>
      </c>
      <c r="AA99" s="32">
        <f t="shared" si="31"/>
        <v>0</v>
      </c>
    </row>
    <row r="100" spans="1:27" ht="40.5">
      <c r="A100" s="1">
        <v>12</v>
      </c>
      <c r="B100" s="31" t="s">
        <v>66</v>
      </c>
      <c r="C100" s="1">
        <v>1387</v>
      </c>
      <c r="D100" s="32">
        <f>Table1[[#This Row],[Enrolment S.Y. 2025-2026 ]]*8</f>
        <v>10992</v>
      </c>
      <c r="E100" s="32"/>
      <c r="F100" s="30"/>
      <c r="G100" s="32"/>
      <c r="H100" s="32">
        <f t="shared" si="24"/>
        <v>10992</v>
      </c>
      <c r="I100" s="32">
        <f t="shared" si="25"/>
        <v>0</v>
      </c>
      <c r="J100" s="32">
        <f>Table1[[#This Row],[Enrolment S.Y. 2025-2026 ]]*8</f>
        <v>10992</v>
      </c>
      <c r="K100" s="32"/>
      <c r="L100" s="30"/>
      <c r="M100" s="32"/>
      <c r="N100" s="4">
        <f t="shared" si="34"/>
        <v>10992</v>
      </c>
      <c r="O100" s="4">
        <f t="shared" si="35"/>
        <v>0</v>
      </c>
      <c r="P100" s="4">
        <f>Table1[[#This Row],[Enrolment S.Y. 2025-2026 ]]*8</f>
        <v>10992</v>
      </c>
      <c r="Q100" s="32"/>
      <c r="R100" s="30"/>
      <c r="S100" s="32"/>
      <c r="T100" s="4">
        <f t="shared" si="36"/>
        <v>10992</v>
      </c>
      <c r="U100" s="4">
        <f t="shared" si="37"/>
        <v>0</v>
      </c>
      <c r="V100" s="4">
        <f>Table1[[#This Row],[Enrolment S.Y. 2025-2026 ]]*8</f>
        <v>10992</v>
      </c>
      <c r="W100" s="32"/>
      <c r="X100" s="30"/>
      <c r="Y100" s="32"/>
      <c r="Z100" s="32">
        <f t="shared" si="30"/>
        <v>10992</v>
      </c>
      <c r="AA100" s="32">
        <f t="shared" si="31"/>
        <v>0</v>
      </c>
    </row>
    <row r="101" spans="1:27" s="5" customFormat="1" ht="40.5">
      <c r="A101" s="1">
        <v>12</v>
      </c>
      <c r="B101" s="31" t="s">
        <v>67</v>
      </c>
      <c r="C101" s="1">
        <v>1387</v>
      </c>
      <c r="D101" s="32">
        <f>Table1[[#This Row],[Enrolment S.Y. 2025-2026 ]]*8</f>
        <v>10992</v>
      </c>
      <c r="E101" s="32"/>
      <c r="F101" s="30"/>
      <c r="G101" s="32"/>
      <c r="H101" s="32">
        <f t="shared" si="24"/>
        <v>10992</v>
      </c>
      <c r="I101" s="32">
        <f t="shared" si="25"/>
        <v>0</v>
      </c>
      <c r="J101" s="32">
        <f>Table1[[#This Row],[Enrolment S.Y. 2025-2026 ]]*8</f>
        <v>10992</v>
      </c>
      <c r="K101" s="32"/>
      <c r="L101" s="30"/>
      <c r="M101" s="32"/>
      <c r="N101" s="4">
        <f t="shared" si="34"/>
        <v>10992</v>
      </c>
      <c r="O101" s="4">
        <f t="shared" si="35"/>
        <v>0</v>
      </c>
      <c r="P101" s="4">
        <f>Table1[[#This Row],[Enrolment S.Y. 2025-2026 ]]*8</f>
        <v>10992</v>
      </c>
      <c r="Q101" s="32"/>
      <c r="R101" s="30"/>
      <c r="S101" s="32"/>
      <c r="T101" s="4">
        <f t="shared" si="36"/>
        <v>10992</v>
      </c>
      <c r="U101" s="4">
        <f t="shared" si="37"/>
        <v>0</v>
      </c>
      <c r="V101" s="4">
        <f>Table1[[#This Row],[Enrolment S.Y. 2025-2026 ]]*8</f>
        <v>10992</v>
      </c>
      <c r="W101" s="32"/>
      <c r="X101" s="30"/>
      <c r="Y101" s="32"/>
      <c r="Z101" s="32">
        <f t="shared" si="30"/>
        <v>10992</v>
      </c>
      <c r="AA101" s="32">
        <f t="shared" si="31"/>
        <v>0</v>
      </c>
    </row>
    <row r="102" spans="1:27" ht="40.5">
      <c r="A102" s="1">
        <v>12</v>
      </c>
      <c r="B102" s="38" t="s">
        <v>68</v>
      </c>
      <c r="C102" s="1">
        <v>1387</v>
      </c>
      <c r="D102" s="32">
        <f>Table1[[#This Row],[Enrolment S.Y. 2025-2026 ]]*8</f>
        <v>10992</v>
      </c>
      <c r="E102" s="32"/>
      <c r="F102" s="30"/>
      <c r="G102" s="32"/>
      <c r="H102" s="32">
        <f t="shared" si="24"/>
        <v>10992</v>
      </c>
      <c r="I102" s="32">
        <f t="shared" si="25"/>
        <v>0</v>
      </c>
      <c r="J102" s="32">
        <f>Table1[[#This Row],[Enrolment S.Y. 2025-2026 ]]*8</f>
        <v>10992</v>
      </c>
      <c r="K102" s="32"/>
      <c r="L102" s="30"/>
      <c r="M102" s="32"/>
      <c r="N102" s="4">
        <f t="shared" si="34"/>
        <v>10992</v>
      </c>
      <c r="O102" s="4">
        <f t="shared" si="35"/>
        <v>0</v>
      </c>
      <c r="P102" s="4">
        <f>Table1[[#This Row],[Enrolment S.Y. 2025-2026 ]]*8</f>
        <v>10992</v>
      </c>
      <c r="Q102" s="32"/>
      <c r="R102" s="30"/>
      <c r="S102" s="32"/>
      <c r="T102" s="4">
        <f t="shared" si="36"/>
        <v>10992</v>
      </c>
      <c r="U102" s="4">
        <f t="shared" si="37"/>
        <v>0</v>
      </c>
      <c r="V102" s="4">
        <f>Table1[[#This Row],[Enrolment S.Y. 2025-2026 ]]*8</f>
        <v>10992</v>
      </c>
      <c r="W102" s="32"/>
      <c r="X102" s="30"/>
      <c r="Y102" s="32"/>
      <c r="Z102" s="32">
        <f t="shared" si="30"/>
        <v>10992</v>
      </c>
      <c r="AA102" s="32">
        <f t="shared" si="31"/>
        <v>0</v>
      </c>
    </row>
    <row r="103" spans="1:27" ht="21">
      <c r="A103" s="1">
        <v>12</v>
      </c>
      <c r="B103" s="31" t="s">
        <v>69</v>
      </c>
      <c r="C103" s="1">
        <v>1387</v>
      </c>
      <c r="D103" s="32">
        <f>Table1[[#This Row],[Enrolment S.Y. 2025-2026 ]]*8</f>
        <v>0</v>
      </c>
      <c r="E103" s="32"/>
      <c r="F103" s="30"/>
      <c r="G103" s="32"/>
      <c r="H103" s="32">
        <f t="shared" si="24"/>
        <v>0</v>
      </c>
      <c r="I103" s="32">
        <f t="shared" si="25"/>
        <v>0</v>
      </c>
      <c r="J103" s="32">
        <f>Table1[[#This Row],[Enrolment S.Y. 2025-2026 ]]*8</f>
        <v>0</v>
      </c>
      <c r="K103" s="32"/>
      <c r="L103" s="30"/>
      <c r="M103" s="32"/>
      <c r="N103" s="4">
        <f t="shared" si="34"/>
        <v>0</v>
      </c>
      <c r="O103" s="4">
        <f t="shared" si="35"/>
        <v>0</v>
      </c>
      <c r="P103" s="4">
        <f>Table1[[#This Row],[Enrolment S.Y. 2025-2026 ]]*8</f>
        <v>0</v>
      </c>
      <c r="Q103" s="32"/>
      <c r="R103" s="30"/>
      <c r="S103" s="32"/>
      <c r="T103" s="4">
        <f t="shared" si="36"/>
        <v>0</v>
      </c>
      <c r="U103" s="4">
        <f t="shared" si="37"/>
        <v>0</v>
      </c>
      <c r="V103" s="4">
        <f>Table1[[#This Row],[Enrolment S.Y. 2025-2026 ]]*8</f>
        <v>0</v>
      </c>
      <c r="W103" s="32"/>
      <c r="X103" s="30"/>
      <c r="Y103" s="32"/>
      <c r="Z103" s="32">
        <f t="shared" si="30"/>
        <v>0</v>
      </c>
      <c r="AA103" s="32">
        <f t="shared" si="31"/>
        <v>0</v>
      </c>
    </row>
    <row r="104" spans="1:27" ht="21">
      <c r="A104" s="1">
        <v>12</v>
      </c>
      <c r="B104" s="31" t="s">
        <v>70</v>
      </c>
      <c r="C104" s="1">
        <v>1387</v>
      </c>
      <c r="D104" s="32">
        <f>Table1[[#This Row],[Enrolment S.Y. 2025-2026 ]]*8</f>
        <v>0</v>
      </c>
      <c r="E104" s="32"/>
      <c r="F104" s="30"/>
      <c r="G104" s="32"/>
      <c r="H104" s="32">
        <f t="shared" si="24"/>
        <v>0</v>
      </c>
      <c r="I104" s="32">
        <f t="shared" si="25"/>
        <v>0</v>
      </c>
      <c r="J104" s="32">
        <f>Table1[[#This Row],[Enrolment S.Y. 2025-2026 ]]*8</f>
        <v>0</v>
      </c>
      <c r="K104" s="32"/>
      <c r="L104" s="30"/>
      <c r="M104" s="32"/>
      <c r="N104" s="4">
        <f t="shared" si="34"/>
        <v>0</v>
      </c>
      <c r="O104" s="4">
        <f t="shared" si="35"/>
        <v>0</v>
      </c>
      <c r="P104" s="4">
        <f>Table1[[#This Row],[Enrolment S.Y. 2025-2026 ]]*8</f>
        <v>0</v>
      </c>
      <c r="Q104" s="32"/>
      <c r="R104" s="30"/>
      <c r="S104" s="32"/>
      <c r="T104" s="4">
        <f t="shared" si="36"/>
        <v>0</v>
      </c>
      <c r="U104" s="4">
        <f t="shared" si="37"/>
        <v>0</v>
      </c>
      <c r="V104" s="4">
        <f>Table1[[#This Row],[Enrolment S.Y. 2025-2026 ]]*8</f>
        <v>0</v>
      </c>
      <c r="W104" s="32"/>
      <c r="X104" s="30"/>
      <c r="Y104" s="32"/>
      <c r="Z104" s="32">
        <f t="shared" si="30"/>
        <v>0</v>
      </c>
      <c r="AA104" s="32">
        <f t="shared" si="31"/>
        <v>0</v>
      </c>
    </row>
    <row r="105" spans="1:27" ht="40.5">
      <c r="A105" s="1">
        <v>12</v>
      </c>
      <c r="B105" s="31" t="s">
        <v>71</v>
      </c>
      <c r="C105" s="1">
        <v>1387</v>
      </c>
      <c r="D105" s="32">
        <f>Table1[[#This Row],[Enrolment S.Y. 2025-2026 ]]*8</f>
        <v>0</v>
      </c>
      <c r="E105" s="32"/>
      <c r="F105" s="30"/>
      <c r="G105" s="32"/>
      <c r="H105" s="32">
        <f t="shared" si="24"/>
        <v>0</v>
      </c>
      <c r="I105" s="32">
        <f t="shared" si="25"/>
        <v>0</v>
      </c>
      <c r="J105" s="32">
        <f>Table1[[#This Row],[Enrolment S.Y. 2025-2026 ]]*8</f>
        <v>0</v>
      </c>
      <c r="K105" s="32"/>
      <c r="L105" s="30"/>
      <c r="M105" s="32"/>
      <c r="N105" s="4">
        <f t="shared" si="34"/>
        <v>0</v>
      </c>
      <c r="O105" s="4">
        <f t="shared" si="35"/>
        <v>0</v>
      </c>
      <c r="P105" s="4">
        <f>Table1[[#This Row],[Enrolment S.Y. 2025-2026 ]]*8</f>
        <v>0</v>
      </c>
      <c r="Q105" s="32"/>
      <c r="R105" s="30"/>
      <c r="S105" s="32"/>
      <c r="T105" s="4">
        <f t="shared" si="36"/>
        <v>0</v>
      </c>
      <c r="U105" s="4">
        <f t="shared" si="37"/>
        <v>0</v>
      </c>
      <c r="V105" s="4">
        <f>Table1[[#This Row],[Enrolment S.Y. 2025-2026 ]]*8</f>
        <v>0</v>
      </c>
      <c r="W105" s="32"/>
      <c r="X105" s="30"/>
      <c r="Y105" s="32"/>
      <c r="Z105" s="32">
        <f t="shared" si="30"/>
        <v>0</v>
      </c>
      <c r="AA105" s="32">
        <f t="shared" si="31"/>
        <v>0</v>
      </c>
    </row>
    <row r="106" spans="1:27" ht="21">
      <c r="A106" s="1">
        <v>12</v>
      </c>
      <c r="B106" s="31" t="s">
        <v>72</v>
      </c>
      <c r="C106" s="1">
        <v>1387</v>
      </c>
      <c r="D106" s="32">
        <f>Table1[[#This Row],[Enrolment S.Y. 2025-2026 ]]*8</f>
        <v>0</v>
      </c>
      <c r="E106" s="32"/>
      <c r="F106" s="30"/>
      <c r="G106" s="32"/>
      <c r="H106" s="32">
        <f t="shared" si="24"/>
        <v>0</v>
      </c>
      <c r="I106" s="32">
        <f t="shared" si="25"/>
        <v>0</v>
      </c>
      <c r="J106" s="32">
        <f>Table1[[#This Row],[Enrolment S.Y. 2025-2026 ]]*8</f>
        <v>0</v>
      </c>
      <c r="K106" s="32"/>
      <c r="L106" s="30"/>
      <c r="M106" s="32"/>
      <c r="N106" s="4">
        <f t="shared" si="34"/>
        <v>0</v>
      </c>
      <c r="O106" s="4">
        <f t="shared" si="35"/>
        <v>0</v>
      </c>
      <c r="P106" s="4">
        <f>Table1[[#This Row],[Enrolment S.Y. 2025-2026 ]]*8</f>
        <v>0</v>
      </c>
      <c r="Q106" s="32"/>
      <c r="R106" s="30"/>
      <c r="S106" s="32"/>
      <c r="T106" s="4">
        <f t="shared" si="36"/>
        <v>0</v>
      </c>
      <c r="U106" s="4">
        <f t="shared" si="37"/>
        <v>0</v>
      </c>
      <c r="V106" s="4">
        <f>Table1[[#This Row],[Enrolment S.Y. 2025-2026 ]]*8</f>
        <v>0</v>
      </c>
      <c r="W106" s="32"/>
      <c r="X106" s="30"/>
      <c r="Y106" s="32"/>
      <c r="Z106" s="32">
        <f t="shared" si="30"/>
        <v>0</v>
      </c>
      <c r="AA106" s="32">
        <f t="shared" si="31"/>
        <v>0</v>
      </c>
    </row>
    <row r="107" spans="1:27" ht="40.5">
      <c r="A107" s="1">
        <v>12</v>
      </c>
      <c r="B107" s="38" t="s">
        <v>73</v>
      </c>
      <c r="C107" s="1">
        <v>1387</v>
      </c>
      <c r="D107" s="32">
        <f>Table1[[#This Row],[Enrolment S.Y. 2025-2026 ]]*8</f>
        <v>0</v>
      </c>
      <c r="E107" s="32"/>
      <c r="F107" s="30"/>
      <c r="G107" s="32"/>
      <c r="H107" s="32">
        <f t="shared" si="24"/>
        <v>0</v>
      </c>
      <c r="I107" s="32">
        <f t="shared" si="25"/>
        <v>0</v>
      </c>
      <c r="J107" s="32">
        <f>Table1[[#This Row],[Enrolment S.Y. 2025-2026 ]]*8</f>
        <v>0</v>
      </c>
      <c r="K107" s="32"/>
      <c r="L107" s="30"/>
      <c r="M107" s="32"/>
      <c r="N107" s="4">
        <f t="shared" si="34"/>
        <v>0</v>
      </c>
      <c r="O107" s="4">
        <f t="shared" si="35"/>
        <v>0</v>
      </c>
      <c r="P107" s="4">
        <f>Table1[[#This Row],[Enrolment S.Y. 2025-2026 ]]*8</f>
        <v>0</v>
      </c>
      <c r="Q107" s="32"/>
      <c r="R107" s="30"/>
      <c r="S107" s="32"/>
      <c r="T107" s="4">
        <f t="shared" si="36"/>
        <v>0</v>
      </c>
      <c r="U107" s="4">
        <f t="shared" si="37"/>
        <v>0</v>
      </c>
      <c r="V107" s="4">
        <f>Table1[[#This Row],[Enrolment S.Y. 2025-2026 ]]*8</f>
        <v>0</v>
      </c>
      <c r="W107" s="32"/>
      <c r="X107" s="30"/>
      <c r="Y107" s="32"/>
      <c r="Z107" s="32">
        <f t="shared" si="30"/>
        <v>0</v>
      </c>
      <c r="AA107" s="32">
        <f t="shared" si="31"/>
        <v>0</v>
      </c>
    </row>
    <row r="108" spans="1:27" ht="40.5">
      <c r="A108" s="1">
        <v>12</v>
      </c>
      <c r="B108" s="31" t="s">
        <v>74</v>
      </c>
      <c r="C108" s="1">
        <v>1387</v>
      </c>
      <c r="D108" s="32">
        <f>Table1[[#This Row],[Enrolment S.Y. 2025-2026 ]]*8</f>
        <v>0</v>
      </c>
      <c r="E108" s="32"/>
      <c r="F108" s="30"/>
      <c r="G108" s="32"/>
      <c r="H108" s="32">
        <f t="shared" si="24"/>
        <v>0</v>
      </c>
      <c r="I108" s="32">
        <f t="shared" si="25"/>
        <v>0</v>
      </c>
      <c r="J108" s="32">
        <f>Table1[[#This Row],[Enrolment S.Y. 2025-2026 ]]*8</f>
        <v>0</v>
      </c>
      <c r="K108" s="32"/>
      <c r="L108" s="30"/>
      <c r="M108" s="32"/>
      <c r="N108" s="4">
        <f t="shared" si="34"/>
        <v>0</v>
      </c>
      <c r="O108" s="4">
        <f t="shared" si="35"/>
        <v>0</v>
      </c>
      <c r="P108" s="4">
        <f>Table1[[#This Row],[Enrolment S.Y. 2025-2026 ]]*8</f>
        <v>0</v>
      </c>
      <c r="Q108" s="32"/>
      <c r="R108" s="30"/>
      <c r="S108" s="32"/>
      <c r="T108" s="4">
        <f t="shared" si="36"/>
        <v>0</v>
      </c>
      <c r="U108" s="4">
        <f t="shared" si="37"/>
        <v>0</v>
      </c>
      <c r="V108" s="4">
        <f>Table1[[#This Row],[Enrolment S.Y. 2025-2026 ]]*8</f>
        <v>0</v>
      </c>
      <c r="W108" s="32"/>
      <c r="X108" s="30"/>
      <c r="Y108" s="32"/>
      <c r="Z108" s="32">
        <f t="shared" si="30"/>
        <v>0</v>
      </c>
      <c r="AA108" s="32">
        <f t="shared" si="31"/>
        <v>0</v>
      </c>
    </row>
    <row r="109" spans="1:27" ht="40.5">
      <c r="A109" s="1">
        <v>12</v>
      </c>
      <c r="B109" s="31" t="s">
        <v>75</v>
      </c>
      <c r="C109" s="1">
        <v>1387</v>
      </c>
      <c r="D109" s="32">
        <f>Table1[[#This Row],[Enrolment S.Y. 2025-2026 ]]*8</f>
        <v>0</v>
      </c>
      <c r="E109" s="32"/>
      <c r="F109" s="30"/>
      <c r="G109" s="32"/>
      <c r="H109" s="32">
        <f t="shared" si="24"/>
        <v>0</v>
      </c>
      <c r="I109" s="32">
        <f t="shared" si="25"/>
        <v>0</v>
      </c>
      <c r="J109" s="32">
        <f>Table1[[#This Row],[Enrolment S.Y. 2025-2026 ]]*8</f>
        <v>0</v>
      </c>
      <c r="K109" s="32"/>
      <c r="L109" s="30"/>
      <c r="M109" s="32"/>
      <c r="N109" s="4">
        <f t="shared" si="34"/>
        <v>0</v>
      </c>
      <c r="O109" s="4">
        <f t="shared" si="35"/>
        <v>0</v>
      </c>
      <c r="P109" s="4">
        <f>Table1[[#This Row],[Enrolment S.Y. 2025-2026 ]]*8</f>
        <v>0</v>
      </c>
      <c r="Q109" s="32"/>
      <c r="R109" s="30"/>
      <c r="S109" s="32"/>
      <c r="T109" s="4">
        <f t="shared" si="36"/>
        <v>0</v>
      </c>
      <c r="U109" s="4">
        <f t="shared" si="37"/>
        <v>0</v>
      </c>
      <c r="V109" s="4">
        <f>Table1[[#This Row],[Enrolment S.Y. 2025-2026 ]]*8</f>
        <v>0</v>
      </c>
      <c r="W109" s="32"/>
      <c r="X109" s="30"/>
      <c r="Y109" s="32"/>
      <c r="Z109" s="32">
        <f t="shared" si="30"/>
        <v>0</v>
      </c>
      <c r="AA109" s="32">
        <f t="shared" si="31"/>
        <v>0</v>
      </c>
    </row>
    <row r="110" spans="1:27" ht="21">
      <c r="A110" s="1">
        <v>12</v>
      </c>
      <c r="B110" s="31" t="s">
        <v>76</v>
      </c>
      <c r="C110" s="1">
        <v>1387</v>
      </c>
      <c r="D110" s="32">
        <f>Table1[[#This Row],[Enrolment S.Y. 2025-2026 ]]*8</f>
        <v>0</v>
      </c>
      <c r="E110" s="32"/>
      <c r="F110" s="30"/>
      <c r="G110" s="32"/>
      <c r="H110" s="32">
        <f t="shared" si="24"/>
        <v>0</v>
      </c>
      <c r="I110" s="32">
        <f t="shared" si="25"/>
        <v>0</v>
      </c>
      <c r="J110" s="32">
        <f>Table1[[#This Row],[Enrolment S.Y. 2025-2026 ]]*8</f>
        <v>0</v>
      </c>
      <c r="K110" s="32"/>
      <c r="L110" s="30"/>
      <c r="M110" s="32"/>
      <c r="N110" s="4">
        <f t="shared" si="34"/>
        <v>0</v>
      </c>
      <c r="O110" s="4">
        <f t="shared" si="35"/>
        <v>0</v>
      </c>
      <c r="P110" s="4">
        <f>Table1[[#This Row],[Enrolment S.Y. 2025-2026 ]]*8</f>
        <v>0</v>
      </c>
      <c r="Q110" s="32"/>
      <c r="R110" s="30"/>
      <c r="S110" s="32"/>
      <c r="T110" s="4">
        <f t="shared" si="36"/>
        <v>0</v>
      </c>
      <c r="U110" s="4">
        <f t="shared" si="37"/>
        <v>0</v>
      </c>
      <c r="V110" s="4">
        <f>Table1[[#This Row],[Enrolment S.Y. 2025-2026 ]]*8</f>
        <v>0</v>
      </c>
      <c r="W110" s="32"/>
      <c r="X110" s="30"/>
      <c r="Y110" s="32"/>
      <c r="Z110" s="32">
        <f t="shared" si="30"/>
        <v>0</v>
      </c>
      <c r="AA110" s="32">
        <f t="shared" si="31"/>
        <v>0</v>
      </c>
    </row>
    <row r="111" spans="1:27" ht="15"/>
    <row r="112" spans="1:27" ht="15"/>
    <row r="113" spans="1:28" s="5" customFormat="1" ht="1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8" ht="15"/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s="5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 ht="15">
      <c r="AB123" s="5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/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</sheetData>
  <protectedRanges>
    <protectedRange sqref="C27:C37 C39:C49 C15:C25 C2:C13" name="Textbooks"/>
    <protectedRange sqref="J2:L2 H39:L49 D39:F49 N39:R49 D15:F25 P2:R2 D27:F37 N3:R13 V2:X2 N15:R25 N27:R37 T3:X13 Z3:AA13 H3:L13 T15:X25 Z15:AA25 H15:L25 T27:X37 Z27:AA37 H27:L37 T39:X49 Z39:AA49 D2:F13" name="LAS"/>
    <protectedRange sqref="G2:I2 M2:O2 S2:U2 Y2:AA2 Y27:Y37 G27:G37 M27:M37 S27:S37 Y39:Y49 G39:G49 M39:M49 S39:S49 Y3:Y13 G3:G13 M3:M13 S3:S13 Y15:Y25 G15:G25 M15:M25 S15:S25" name="SOURCE"/>
    <protectedRange sqref="C51:C82 C84:C110" name="Textbooks_1"/>
    <protectedRange sqref="D51:F82 H51:I82 Q51:R82 W51:X82 H84:I110 W84:X110 K51:L82 K84:L110 Q84:R110 J51:J110 Z51:AA110 N51:P110 T51:V110 D84:F110" name="LAS_1"/>
    <protectedRange sqref="S51:S82 M51:M82 Y51:Y82 G51:G82 Y84:Y110 S84:S110 M84:M110 G84:G110" name="SOURCE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9:Y49 S39:S49 M39:M49 M3:M13 G3:G13 Y3:Y13 S3:S13 S15:S25 M15:M25 G15:G25 Y15:Y25 Y27:Y37 S27:S37 M27:M37 G27:G37 G39:G49 M51:M82 Y51:Y82 S51:S82 G51:G82" xr:uid="{CBD486C7-A5DB-48F1-B496-5027CC51E830}">
      <formula1>"CO,RO,SDO,LGU,SCHOOL"</formula1>
    </dataValidation>
    <dataValidation type="list" allowBlank="1" showInputMessage="1" showErrorMessage="1" sqref="F84:F110 F51:F82 F39:F49 F27:F37 F15:F25 L84:L110 L51:L82 L39:L49 L27:L37 L15:L25 R84:R110 R51:R82 R39:R49 R27:R37 R15:R25 X84:X110 X51:X82 X39:X49 X27:X37 X15:X25 X3:X13 R3:R13 L3:L13 F3:F13" xr:uid="{77F72D89-8371-4D0C-A323-BD25723C617C}">
      <formula1>"2024,2025,2026"</formula1>
    </dataValidation>
    <dataValidation type="list" allowBlank="1" showInputMessage="1" showErrorMessage="1" sqref="S84:S110 M84:M110 Y84:Y110 G84:G110" xr:uid="{92810BB6-F517-408D-95CA-B44BE055EBD3}">
      <formula1>"CO,RO,SDO"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2026-04-14T03:25:27Z</dcterms:modified>
  <cp:category/>
  <cp:contentStatus/>
</cp:coreProperties>
</file>