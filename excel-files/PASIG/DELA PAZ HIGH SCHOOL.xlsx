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8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60" documentId="13_ncr:1_{BFB59F67-F0DC-4675-A682-EB0734A8026A}" xr6:coauthVersionLast="47" xr6:coauthVersionMax="47" xr10:uidLastSave="{2FA2B72F-1AC4-42EE-A679-7B32F3E83E18}"/>
  <bookViews>
    <workbookView xWindow="-108" yWindow="-108" windowWidth="23256" windowHeight="12456" firstSheet="2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<sst xmlns="http://schemas.openxmlformats.org/spreadsheetml/2006/main" count="445" uniqueCount="92">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</sst>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81" activePane="topRight" state="frozen"/>
      <selection pane="topRight" activeCell="F84" sqref="F84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>
        <v>240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240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>
        <v>240</v>
      </c>
      <c r="E53" s="10">
        <v>2024</v>
      </c>
      <c r="F53" s="12" t="s">
        <v>20</v>
      </c>
      <c r="G53" s="3">
        <f t="shared" si="10"/>
        <v>0</v>
      </c>
      <c r="H53" s="4">
        <f t="shared" si="11"/>
        <v>240</v>
      </c>
    </row>
    <row r="54" spans="1:8" ht="27.75" customHeight="1">
      <c r="A54" s="10">
        <v>7</v>
      </c>
      <c r="B54" s="11" t="s">
        <v>21</v>
      </c>
      <c r="C54" s="10"/>
      <c r="D54" s="10">
        <v>240</v>
      </c>
      <c r="E54" s="10"/>
      <c r="F54" s="12" t="s">
        <v>20</v>
      </c>
      <c r="G54" s="3">
        <f t="shared" si="10"/>
        <v>0</v>
      </c>
      <c r="H54" s="4">
        <f t="shared" si="11"/>
        <v>240</v>
      </c>
    </row>
    <row r="55" spans="1:8" ht="39" customHeight="1">
      <c r="A55" s="10">
        <v>7</v>
      </c>
      <c r="B55" s="11" t="s">
        <v>16</v>
      </c>
      <c r="C55" s="10"/>
      <c r="D55" s="10">
        <v>240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240</v>
      </c>
    </row>
    <row r="56" spans="1:8" ht="27.75" customHeight="1">
      <c r="A56" s="10">
        <v>7</v>
      </c>
      <c r="B56" s="11" t="s">
        <v>13</v>
      </c>
      <c r="C56" s="10"/>
      <c r="D56" s="10">
        <v>240</v>
      </c>
      <c r="E56" s="10">
        <v>2024</v>
      </c>
      <c r="F56" s="12" t="s">
        <v>20</v>
      </c>
      <c r="G56" s="3">
        <f t="shared" si="10"/>
        <v>0</v>
      </c>
      <c r="H56" s="4">
        <f t="shared" si="11"/>
        <v>240</v>
      </c>
    </row>
    <row r="57" spans="1:8" ht="27.75" customHeight="1">
      <c r="A57" s="10">
        <v>7</v>
      </c>
      <c r="B57" s="11" t="s">
        <v>17</v>
      </c>
      <c r="C57" s="10"/>
      <c r="D57" s="10">
        <v>240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240</v>
      </c>
    </row>
    <row r="58" spans="1:8" ht="27.75" customHeight="1">
      <c r="A58" s="10">
        <v>7</v>
      </c>
      <c r="B58" s="11" t="s">
        <v>22</v>
      </c>
      <c r="C58" s="10"/>
      <c r="D58" s="10">
        <v>240</v>
      </c>
      <c r="E58" s="10"/>
      <c r="F58" s="12" t="s">
        <v>20</v>
      </c>
      <c r="G58" s="3">
        <f t="shared" si="10"/>
        <v>0</v>
      </c>
      <c r="H58" s="4">
        <f t="shared" si="11"/>
        <v>240</v>
      </c>
    </row>
    <row r="59" spans="1:8" ht="27.75" customHeight="1">
      <c r="A59" s="10">
        <v>7</v>
      </c>
      <c r="B59" s="11" t="s">
        <v>19</v>
      </c>
      <c r="C59" s="10"/>
      <c r="D59" s="10">
        <v>240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240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>
        <v>149</v>
      </c>
      <c r="E63" s="10">
        <v>2025</v>
      </c>
      <c r="F63" s="12" t="s">
        <v>20</v>
      </c>
      <c r="G63" s="3">
        <f t="shared" si="12"/>
        <v>0</v>
      </c>
      <c r="H63" s="4">
        <f t="shared" si="13"/>
        <v>149</v>
      </c>
    </row>
    <row r="64" spans="1:8" ht="27.75" customHeight="1">
      <c r="A64" s="10">
        <v>8</v>
      </c>
      <c r="B64" s="11" t="s">
        <v>21</v>
      </c>
      <c r="C64" s="10"/>
      <c r="D64" s="10">
        <v>149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149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>
        <v>149</v>
      </c>
      <c r="E66" s="10"/>
      <c r="F66" s="12" t="s">
        <v>20</v>
      </c>
      <c r="G66" s="3">
        <f t="shared" si="12"/>
        <v>0</v>
      </c>
      <c r="H66" s="4">
        <f t="shared" si="13"/>
        <v>149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>
        <v>236</v>
      </c>
      <c r="E72" s="10">
        <v>2024</v>
      </c>
      <c r="F72" s="12" t="s">
        <v>20</v>
      </c>
      <c r="G72" s="3">
        <f t="shared" si="14"/>
        <v>0</v>
      </c>
      <c r="H72" s="4">
        <f t="shared" si="15"/>
        <v>236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>
        <v>211</v>
      </c>
      <c r="E82" s="10">
        <v>2024</v>
      </c>
      <c r="F82" s="12" t="s">
        <v>20</v>
      </c>
      <c r="G82" s="3">
        <f t="shared" si="16"/>
        <v>0</v>
      </c>
      <c r="H82" s="4">
        <f t="shared" si="17"/>
        <v>211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topLeftCell="A74" zoomScale="70" zoomScaleNormal="70" workbookViewId="0">
      <selection activeCell="A74" sqref="A7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33</v>
      </c>
      <c r="E1" s="40"/>
      <c r="F1" s="40"/>
      <c r="G1" s="40"/>
      <c r="H1" s="40"/>
      <c r="I1" s="40"/>
      <c r="J1" s="41" t="s">
        <v>34</v>
      </c>
      <c r="K1" s="41"/>
      <c r="L1" s="41"/>
      <c r="M1" s="41"/>
      <c r="N1" s="41"/>
      <c r="O1" s="41"/>
      <c r="P1" s="42" t="s">
        <v>35</v>
      </c>
      <c r="Q1" s="42"/>
      <c r="R1" s="42"/>
      <c r="S1" s="42"/>
      <c r="T1" s="42"/>
      <c r="U1" s="42"/>
      <c r="V1" s="43" t="s">
        <v>36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4" t="s">
        <v>46</v>
      </c>
      <c r="N2" s="44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5" t="s">
        <v>58</v>
      </c>
      <c r="Z2" s="45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H68" zoomScale="55" zoomScaleNormal="55" workbookViewId="0">
      <selection activeCell="Y113" sqref="Y11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33</v>
      </c>
      <c r="E1" s="40"/>
      <c r="F1" s="40"/>
      <c r="G1" s="40"/>
      <c r="H1" s="40"/>
      <c r="I1" s="40"/>
      <c r="J1" s="41" t="s">
        <v>34</v>
      </c>
      <c r="K1" s="41"/>
      <c r="L1" s="41"/>
      <c r="M1" s="41"/>
      <c r="N1" s="41"/>
      <c r="O1" s="41"/>
      <c r="P1" s="42" t="s">
        <v>35</v>
      </c>
      <c r="Q1" s="42"/>
      <c r="R1" s="42"/>
      <c r="S1" s="42"/>
      <c r="T1" s="42"/>
      <c r="U1" s="42"/>
      <c r="V1" s="43" t="s">
        <v>36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4" t="s">
        <v>72</v>
      </c>
      <c r="N2" s="44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5" t="s">
        <v>84</v>
      </c>
      <c r="Z2" s="45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>
        <v>1280</v>
      </c>
      <c r="X91" s="10">
        <v>2025</v>
      </c>
      <c r="Y91" s="12"/>
      <c r="Z91" s="12">
        <f t="shared" si="18"/>
        <v>0</v>
      </c>
      <c r="AA91" s="12">
        <f t="shared" si="19"/>
        <v>1280</v>
      </c>
    </row>
    <row r="92" spans="1:27" ht="19.5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>
        <v>306</v>
      </c>
      <c r="F92" s="10">
        <v>2025</v>
      </c>
      <c r="G92" s="12" t="s">
        <v>91</v>
      </c>
      <c r="H92" s="12">
        <f t="shared" si="22"/>
        <v>0</v>
      </c>
      <c r="I92" s="12">
        <f t="shared" si="23"/>
        <v>306</v>
      </c>
      <c r="J92" s="12">
        <f>Table14[[#This Row],[Enrolment S.Y. 2025-2026 ]]*8</f>
        <v>0</v>
      </c>
      <c r="K92" s="12">
        <v>322</v>
      </c>
      <c r="L92" s="10">
        <v>2025</v>
      </c>
      <c r="M92" s="12" t="s">
        <v>91</v>
      </c>
      <c r="N92" s="12">
        <f t="shared" si="20"/>
        <v>0</v>
      </c>
      <c r="O92" s="12">
        <f t="shared" si="21"/>
        <v>322</v>
      </c>
      <c r="P92" s="12">
        <f>Table14[[#This Row],[Enrolment S.Y. 2025-2026 ]]*8</f>
        <v>0</v>
      </c>
      <c r="Q92" s="12">
        <v>225</v>
      </c>
      <c r="R92" s="10">
        <v>2025</v>
      </c>
      <c r="S92" s="12" t="s">
        <v>91</v>
      </c>
      <c r="T92" s="12">
        <f t="shared" si="16"/>
        <v>0</v>
      </c>
      <c r="U92" s="12">
        <f t="shared" si="17"/>
        <v>225</v>
      </c>
      <c r="V92" s="12">
        <f>Table14[[#This Row],[Enrolment S.Y. 2025-2026 ]]*8</f>
        <v>0</v>
      </c>
      <c r="W92" s="12">
        <v>315</v>
      </c>
      <c r="X92" s="10">
        <v>2025</v>
      </c>
      <c r="Y92" s="12" t="s">
        <v>91</v>
      </c>
      <c r="Z92" s="12">
        <f t="shared" si="18"/>
        <v>0</v>
      </c>
      <c r="AA92" s="12">
        <f t="shared" si="19"/>
        <v>315</v>
      </c>
    </row>
    <row r="93" spans="1:27" ht="19.5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>
        <v>1173</v>
      </c>
      <c r="F93" s="10">
        <v>2025</v>
      </c>
      <c r="G93" s="12" t="s">
        <v>91</v>
      </c>
      <c r="H93" s="12">
        <f t="shared" si="22"/>
        <v>0</v>
      </c>
      <c r="I93" s="12">
        <f t="shared" si="23"/>
        <v>1173</v>
      </c>
      <c r="J93" s="12">
        <f>Table14[[#This Row],[Enrolment S.Y. 2025-2026 ]]*8</f>
        <v>0</v>
      </c>
      <c r="K93" s="12">
        <v>760</v>
      </c>
      <c r="L93" s="10">
        <v>2025</v>
      </c>
      <c r="M93" s="12" t="s">
        <v>91</v>
      </c>
      <c r="N93" s="12">
        <f t="shared" si="20"/>
        <v>0</v>
      </c>
      <c r="O93" s="12">
        <f t="shared" si="21"/>
        <v>760</v>
      </c>
      <c r="P93" s="12">
        <f>Table14[[#This Row],[Enrolment S.Y. 2025-2026 ]]*8</f>
        <v>0</v>
      </c>
      <c r="Q93" s="12">
        <v>1270</v>
      </c>
      <c r="R93" s="10">
        <v>2025</v>
      </c>
      <c r="S93" s="12" t="s">
        <v>91</v>
      </c>
      <c r="T93" s="12">
        <f t="shared" si="16"/>
        <v>0</v>
      </c>
      <c r="U93" s="12">
        <f t="shared" si="17"/>
        <v>1270</v>
      </c>
      <c r="V93" s="12">
        <f>Table14[[#This Row],[Enrolment S.Y. 2025-2026 ]]*8</f>
        <v>0</v>
      </c>
      <c r="W93" s="12">
        <v>755</v>
      </c>
      <c r="X93" s="10">
        <v>2025</v>
      </c>
      <c r="Y93" s="12" t="s">
        <v>91</v>
      </c>
      <c r="Z93" s="12">
        <f t="shared" si="18"/>
        <v>0</v>
      </c>
      <c r="AA93" s="12">
        <f t="shared" si="19"/>
        <v>755</v>
      </c>
    </row>
    <row r="94" spans="1:27" ht="19.5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>
        <v>275</v>
      </c>
      <c r="R94" s="10">
        <v>2025</v>
      </c>
      <c r="S94" s="12" t="s">
        <v>91</v>
      </c>
      <c r="T94" s="12">
        <f t="shared" si="16"/>
        <v>0</v>
      </c>
      <c r="U94" s="12">
        <f t="shared" si="17"/>
        <v>275</v>
      </c>
      <c r="V94" s="12">
        <f>Table14[[#This Row],[Enrolment S.Y. 2025-2026 ]]*8</f>
        <v>0</v>
      </c>
      <c r="W94" s="12">
        <v>710</v>
      </c>
      <c r="X94" s="10">
        <v>2025</v>
      </c>
      <c r="Y94" s="12" t="s">
        <v>91</v>
      </c>
      <c r="Z94" s="12">
        <f t="shared" si="18"/>
        <v>0</v>
      </c>
      <c r="AA94" s="12">
        <f t="shared" si="19"/>
        <v>710</v>
      </c>
    </row>
    <row r="95" spans="1:27" ht="19.5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>
        <v>565</v>
      </c>
      <c r="R95" s="10">
        <v>2025</v>
      </c>
      <c r="S95" s="12" t="s">
        <v>91</v>
      </c>
      <c r="T95" s="12">
        <f t="shared" si="16"/>
        <v>0</v>
      </c>
      <c r="U95" s="12">
        <f t="shared" si="17"/>
        <v>565</v>
      </c>
      <c r="V95" s="12">
        <f>Table14[[#This Row],[Enrolment S.Y. 2025-2026 ]]*8</f>
        <v>0</v>
      </c>
      <c r="W95" s="12">
        <v>230</v>
      </c>
      <c r="X95" s="10">
        <v>2025</v>
      </c>
      <c r="Y95" s="12" t="s">
        <v>91</v>
      </c>
      <c r="Z95" s="12">
        <f t="shared" si="18"/>
        <v>0</v>
      </c>
      <c r="AA95" s="12">
        <f t="shared" si="19"/>
        <v>230</v>
      </c>
    </row>
    <row r="96" spans="1:27" ht="19.5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>
        <v>520</v>
      </c>
      <c r="R96" s="10">
        <v>2025</v>
      </c>
      <c r="S96" s="12" t="s">
        <v>91</v>
      </c>
      <c r="T96" s="12">
        <f t="shared" si="16"/>
        <v>0</v>
      </c>
      <c r="U96" s="12">
        <f t="shared" si="17"/>
        <v>520</v>
      </c>
      <c r="V96" s="12">
        <f>Table14[[#This Row],[Enrolment S.Y. 2025-2026 ]]*8</f>
        <v>0</v>
      </c>
      <c r="W96" s="12">
        <v>750</v>
      </c>
      <c r="X96" s="10">
        <v>2025</v>
      </c>
      <c r="Y96" s="12" t="s">
        <v>91</v>
      </c>
      <c r="Z96" s="12">
        <f t="shared" si="18"/>
        <v>0</v>
      </c>
      <c r="AA96" s="12">
        <f t="shared" si="19"/>
        <v>750</v>
      </c>
    </row>
    <row r="97" spans="1:27" ht="19.5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>
        <v>760</v>
      </c>
      <c r="X97" s="10">
        <v>2025</v>
      </c>
      <c r="Y97" s="12" t="s">
        <v>91</v>
      </c>
      <c r="Z97" s="12">
        <f>IF((V97-W97)&lt;0,0,(V97-W97))</f>
        <v>0</v>
      </c>
      <c r="AA97" s="12">
        <f>IF((W97-V97)&lt;0,0,(W97-V97))</f>
        <v>760</v>
      </c>
    </row>
    <row r="98" spans="1:27" ht="19.5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>
        <v>710</v>
      </c>
      <c r="X98" s="10">
        <v>2025</v>
      </c>
      <c r="Y98" s="12" t="s">
        <v>91</v>
      </c>
      <c r="Z98" s="12">
        <f t="shared" si="18"/>
        <v>0</v>
      </c>
      <c r="AA98" s="12">
        <f t="shared" si="19"/>
        <v>710</v>
      </c>
    </row>
    <row r="99" spans="1:27" ht="19.5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>
        <v>760</v>
      </c>
      <c r="R100" s="10">
        <v>2025</v>
      </c>
      <c r="S100" s="12" t="s">
        <v>91</v>
      </c>
      <c r="T100" s="12">
        <f>IF((P100-Q100)&lt;0,0,(P100-Q100))</f>
        <v>0</v>
      </c>
      <c r="U100" s="12">
        <f>IF((Q100-P100)&lt;0,0,(Q100-P100))</f>
        <v>760</v>
      </c>
      <c r="V100" s="12">
        <f>Table14[[#This Row],[Enrolment S.Y. 2025-2026 ]]*8</f>
        <v>0</v>
      </c>
      <c r="W100" s="12">
        <v>425</v>
      </c>
      <c r="X100" s="10">
        <v>2025</v>
      </c>
      <c r="Y100" s="12" t="s">
        <v>91</v>
      </c>
      <c r="Z100" s="12">
        <f>IF((V100-W100)&lt;0,0,(V100-W100))</f>
        <v>0</v>
      </c>
      <c r="AA100" s="12">
        <f>IF((W100-V100)&lt;0,0,(W100-V100))</f>
        <v>425</v>
      </c>
    </row>
    <row r="101" spans="1:27" ht="19.5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>
        <v>135</v>
      </c>
      <c r="R101" s="10">
        <v>2025</v>
      </c>
      <c r="S101" s="12" t="s">
        <v>91</v>
      </c>
      <c r="T101" s="12">
        <f t="shared" si="16"/>
        <v>0</v>
      </c>
      <c r="U101" s="12">
        <f t="shared" si="17"/>
        <v>135</v>
      </c>
      <c r="V101" s="12">
        <f>Table14[[#This Row],[Enrolment S.Y. 2025-2026 ]]*8</f>
        <v>0</v>
      </c>
      <c r="W101" s="12">
        <v>375</v>
      </c>
      <c r="X101" s="10">
        <v>2025</v>
      </c>
      <c r="Y101" s="12" t="s">
        <v>91</v>
      </c>
      <c r="Z101" s="12">
        <f t="shared" si="18"/>
        <v>0</v>
      </c>
      <c r="AA101" s="12">
        <f t="shared" si="19"/>
        <v>375</v>
      </c>
    </row>
    <row r="102" spans="1:27" s="7" customFormat="1"/>
    <row r="103" spans="1:27" ht="19.5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>
        <v>700</v>
      </c>
      <c r="F103" s="10">
        <v>2025</v>
      </c>
      <c r="G103" s="12" t="s">
        <v>91</v>
      </c>
      <c r="H103" s="12">
        <f t="shared" si="22"/>
        <v>0</v>
      </c>
      <c r="I103" s="12">
        <f t="shared" si="23"/>
        <v>700</v>
      </c>
      <c r="J103" s="12">
        <f>Table14[[#This Row],[Enrolment S.Y. 2025-2026 ]]*8</f>
        <v>0</v>
      </c>
      <c r="K103" s="12">
        <v>500</v>
      </c>
      <c r="L103" s="10">
        <v>2025</v>
      </c>
      <c r="M103" s="12" t="s">
        <v>91</v>
      </c>
      <c r="N103" s="12">
        <f t="shared" si="20"/>
        <v>0</v>
      </c>
      <c r="O103" s="12">
        <f t="shared" si="21"/>
        <v>500</v>
      </c>
      <c r="P103" s="12">
        <f>Table14[[#This Row],[Enrolment S.Y. 2025-2026 ]]*8</f>
        <v>0</v>
      </c>
      <c r="Q103" s="12">
        <v>400</v>
      </c>
      <c r="R103" s="10">
        <v>2025</v>
      </c>
      <c r="S103" s="12" t="s">
        <v>91</v>
      </c>
      <c r="T103" s="12">
        <f t="shared" si="16"/>
        <v>0</v>
      </c>
      <c r="U103" s="12">
        <f t="shared" si="17"/>
        <v>400</v>
      </c>
      <c r="V103" s="12">
        <f>Table14[[#This Row],[Enrolment S.Y. 2025-2026 ]]*8</f>
        <v>0</v>
      </c>
      <c r="W103" s="12">
        <v>300</v>
      </c>
      <c r="X103" s="10">
        <v>2025</v>
      </c>
      <c r="Y103" s="12" t="s">
        <v>91</v>
      </c>
      <c r="Z103" s="12">
        <f t="shared" si="18"/>
        <v>0</v>
      </c>
      <c r="AA103" s="12">
        <f t="shared" si="19"/>
        <v>300</v>
      </c>
    </row>
    <row r="104" spans="1:27" ht="19.5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>
        <v>700</v>
      </c>
      <c r="F104" s="10">
        <v>2025</v>
      </c>
      <c r="G104" s="12" t="s">
        <v>91</v>
      </c>
      <c r="H104" s="12">
        <f t="shared" si="22"/>
        <v>0</v>
      </c>
      <c r="I104" s="12">
        <f t="shared" si="23"/>
        <v>700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>
        <v>400</v>
      </c>
      <c r="R104" s="10">
        <v>2025</v>
      </c>
      <c r="S104" s="12" t="s">
        <v>91</v>
      </c>
      <c r="T104" s="12">
        <f t="shared" si="16"/>
        <v>0</v>
      </c>
      <c r="U104" s="12">
        <f t="shared" si="17"/>
        <v>400</v>
      </c>
      <c r="V104" s="12">
        <f>Table14[[#This Row],[Enrolment S.Y. 2025-2026 ]]*8</f>
        <v>0</v>
      </c>
      <c r="W104" s="12">
        <v>700</v>
      </c>
      <c r="X104" s="10">
        <v>2025</v>
      </c>
      <c r="Y104" s="12" t="s">
        <v>91</v>
      </c>
      <c r="Z104" s="12">
        <f t="shared" si="18"/>
        <v>0</v>
      </c>
      <c r="AA104" s="12">
        <f t="shared" si="19"/>
        <v>700</v>
      </c>
    </row>
    <row r="105" spans="1:27" ht="19.5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>
        <v>1000</v>
      </c>
      <c r="F105" s="10">
        <v>2025</v>
      </c>
      <c r="G105" s="12" t="s">
        <v>91</v>
      </c>
      <c r="H105" s="12">
        <f t="shared" si="22"/>
        <v>0</v>
      </c>
      <c r="I105" s="12">
        <f t="shared" si="23"/>
        <v>1000</v>
      </c>
      <c r="J105" s="12">
        <f>Table14[[#This Row],[Enrolment S.Y. 2025-2026 ]]*8</f>
        <v>0</v>
      </c>
      <c r="K105" s="12">
        <v>500</v>
      </c>
      <c r="L105" s="10">
        <v>2025</v>
      </c>
      <c r="M105" s="12" t="s">
        <v>91</v>
      </c>
      <c r="N105" s="12">
        <f t="shared" si="20"/>
        <v>0</v>
      </c>
      <c r="O105" s="12">
        <f t="shared" si="21"/>
        <v>500</v>
      </c>
      <c r="P105" s="12">
        <f>Table14[[#This Row],[Enrolment S.Y. 2025-2026 ]]*8</f>
        <v>0</v>
      </c>
      <c r="Q105" s="12">
        <v>600</v>
      </c>
      <c r="R105" s="10">
        <v>2025</v>
      </c>
      <c r="S105" s="12" t="s">
        <v>91</v>
      </c>
      <c r="T105" s="12">
        <f t="shared" si="16"/>
        <v>0</v>
      </c>
      <c r="U105" s="12">
        <f t="shared" si="17"/>
        <v>600</v>
      </c>
      <c r="V105" s="12">
        <f>Table14[[#This Row],[Enrolment S.Y. 2025-2026 ]]*8</f>
        <v>0</v>
      </c>
      <c r="W105" s="12">
        <v>400</v>
      </c>
      <c r="X105" s="10">
        <v>2025</v>
      </c>
      <c r="Y105" s="12" t="s">
        <v>91</v>
      </c>
      <c r="Z105" s="12">
        <f t="shared" si="18"/>
        <v>0</v>
      </c>
      <c r="AA105" s="12">
        <f t="shared" si="19"/>
        <v>400</v>
      </c>
    </row>
    <row r="106" spans="1:27" ht="19.5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>
        <v>650</v>
      </c>
      <c r="R106" s="10">
        <v>2025</v>
      </c>
      <c r="S106" s="12" t="s">
        <v>91</v>
      </c>
      <c r="T106" s="12">
        <f t="shared" si="16"/>
        <v>0</v>
      </c>
      <c r="U106" s="12">
        <f t="shared" si="17"/>
        <v>650</v>
      </c>
      <c r="V106" s="12">
        <f>Table14[[#This Row],[Enrolment S.Y. 2025-2026 ]]*8</f>
        <v>0</v>
      </c>
      <c r="W106" s="12">
        <v>400</v>
      </c>
      <c r="X106" s="10">
        <v>2025</v>
      </c>
      <c r="Y106" s="12" t="s">
        <v>91</v>
      </c>
      <c r="Z106" s="12">
        <f t="shared" si="18"/>
        <v>0</v>
      </c>
      <c r="AA106" s="12">
        <f t="shared" si="19"/>
        <v>400</v>
      </c>
    </row>
    <row r="107" spans="1:27" ht="19.5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>
        <v>250</v>
      </c>
      <c r="R107" s="10">
        <v>2025</v>
      </c>
      <c r="S107" s="12" t="s">
        <v>91</v>
      </c>
      <c r="T107" s="12">
        <f t="shared" si="16"/>
        <v>0</v>
      </c>
      <c r="U107" s="12">
        <f t="shared" si="17"/>
        <v>250</v>
      </c>
      <c r="V107" s="12">
        <f>Table14[[#This Row],[Enrolment S.Y. 2025-2026 ]]*8</f>
        <v>0</v>
      </c>
      <c r="W107" s="12">
        <v>400</v>
      </c>
      <c r="X107" s="10">
        <v>2025</v>
      </c>
      <c r="Y107" s="12" t="s">
        <v>91</v>
      </c>
      <c r="Z107" s="12">
        <f t="shared" si="18"/>
        <v>0</v>
      </c>
      <c r="AA107" s="12">
        <f t="shared" si="19"/>
        <v>400</v>
      </c>
    </row>
    <row r="108" spans="1:27" ht="19.5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>
        <v>400</v>
      </c>
      <c r="R108" s="10">
        <v>2025</v>
      </c>
      <c r="S108" s="12" t="s">
        <v>91</v>
      </c>
      <c r="T108" s="12">
        <f t="shared" si="16"/>
        <v>0</v>
      </c>
      <c r="U108" s="12">
        <f t="shared" si="17"/>
        <v>400</v>
      </c>
      <c r="V108" s="12">
        <f>Table14[[#This Row],[Enrolment S.Y. 2025-2026 ]]*8</f>
        <v>0</v>
      </c>
      <c r="W108" s="12">
        <v>600</v>
      </c>
      <c r="X108" s="10">
        <v>2025</v>
      </c>
      <c r="Y108" s="12" t="s">
        <v>91</v>
      </c>
      <c r="Z108" s="12">
        <f t="shared" si="18"/>
        <v>0</v>
      </c>
      <c r="AA108" s="12">
        <f t="shared" si="19"/>
        <v>600</v>
      </c>
    </row>
    <row r="109" spans="1:27" ht="19.5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>
        <v>200</v>
      </c>
      <c r="X109" s="10">
        <v>2025</v>
      </c>
      <c r="Y109" s="12" t="s">
        <v>91</v>
      </c>
      <c r="Z109" s="12">
        <f>IF((V109-W109)&lt;0,0,(V109-W109))</f>
        <v>0</v>
      </c>
      <c r="AA109" s="12">
        <f>IF((W109-V109)&lt;0,0,(W109-V109))</f>
        <v>200</v>
      </c>
    </row>
    <row r="110" spans="1:27" ht="19.5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>
        <v>300</v>
      </c>
      <c r="R110" s="10">
        <v>2025</v>
      </c>
      <c r="S110" s="12" t="s">
        <v>91</v>
      </c>
      <c r="T110" s="12">
        <f t="shared" si="16"/>
        <v>0</v>
      </c>
      <c r="U110" s="12">
        <f t="shared" si="17"/>
        <v>300</v>
      </c>
      <c r="V110" s="12">
        <f>Table14[[#This Row],[Enrolment S.Y. 2025-2026 ]]*8</f>
        <v>0</v>
      </c>
      <c r="W110" s="12">
        <v>400</v>
      </c>
      <c r="X110" s="10">
        <v>2025</v>
      </c>
      <c r="Y110" s="12" t="s">
        <v>91</v>
      </c>
      <c r="Z110" s="12">
        <f t="shared" si="18"/>
        <v>0</v>
      </c>
      <c r="AA110" s="12">
        <f t="shared" si="19"/>
        <v>400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>
        <v>200</v>
      </c>
      <c r="R112" s="10">
        <v>2025</v>
      </c>
      <c r="S112" s="12" t="s">
        <v>91</v>
      </c>
      <c r="T112" s="12">
        <f>IF((P112-Q112)&lt;0,0,(P112-Q112))</f>
        <v>0</v>
      </c>
      <c r="U112" s="12">
        <f>IF((Q112-P112)&lt;0,0,(Q112-P112))</f>
        <v>200</v>
      </c>
      <c r="V112" s="12">
        <f>Table14[[#This Row],[Enrolment S.Y. 2025-2026 ]]*8</f>
        <v>0</v>
      </c>
      <c r="W112" s="12">
        <v>100</v>
      </c>
      <c r="X112" s="10">
        <v>2025</v>
      </c>
      <c r="Y112" s="12" t="s">
        <v>91</v>
      </c>
      <c r="Z112" s="12">
        <f>IF((V112-W112)&lt;0,0,(V112-W112))</f>
        <v>0</v>
      </c>
      <c r="AA112" s="12">
        <f>IF((W112-V112)&lt;0,0,(W112-V112))</f>
        <v>100</v>
      </c>
    </row>
    <row r="113" spans="1:28" ht="19.5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>
        <v>200</v>
      </c>
      <c r="R113" s="10">
        <v>2025</v>
      </c>
      <c r="S113" s="12" t="s">
        <v>91</v>
      </c>
      <c r="T113" s="12">
        <f t="shared" si="16"/>
        <v>0</v>
      </c>
      <c r="U113" s="12">
        <f t="shared" si="17"/>
        <v>200</v>
      </c>
      <c r="V113" s="12">
        <f>Table14[[#This Row],[Enrolment S.Y. 2025-2026 ]]*8</f>
        <v>0</v>
      </c>
      <c r="W113" s="12">
        <v>300</v>
      </c>
      <c r="X113" s="10">
        <v>2025</v>
      </c>
      <c r="Y113" s="12" t="s">
        <v>91</v>
      </c>
      <c r="Z113" s="12">
        <f t="shared" si="18"/>
        <v>0</v>
      </c>
      <c r="AA113" s="12">
        <f t="shared" si="19"/>
        <v>300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G91:G101 M91:M101 S91:S101 G103:G113 M103:M113 S103:S113 Y115:Y122 G115:G122 M115:M122 S115:S122 Y91:Y101 Y103:Y113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M115:M122 S91:S101 M91:M101 G91:G101 G103:G113 Y91:Y101 S103:S113 M103:M113 Y103:Y113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2026-02-13T02:08:55Z</dcterms:modified>
  <cp:category/>
  <cp:contentStatus/>
</cp:coreProperties>
</file>