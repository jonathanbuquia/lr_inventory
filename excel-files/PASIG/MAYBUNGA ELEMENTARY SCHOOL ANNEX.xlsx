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6" documentId="13_ncr:1_{BFB59F67-F0DC-4675-A682-EB0734A8026A}" xr6:coauthVersionLast="47" xr6:coauthVersionMax="47" xr10:uidLastSave="{1E55CC94-D138-4148-A4FF-5CA10712790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ADM-SLM" sheetId="5" r:id="rId2"/>
    <sheet name="LA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5" l="1"/>
  <c r="P12" i="5"/>
  <c r="J12" i="5"/>
  <c r="D12" i="5"/>
  <c r="P53" i="5"/>
  <c r="T53" i="5" s="1"/>
  <c r="P54" i="5"/>
  <c r="P55" i="5"/>
  <c r="P56" i="5"/>
  <c r="P57" i="5"/>
  <c r="P40" i="5"/>
  <c r="P41" i="5"/>
  <c r="U41" i="5" s="1"/>
  <c r="P42" i="5"/>
  <c r="P43" i="5"/>
  <c r="P44" i="5"/>
  <c r="U44" i="5" s="1"/>
  <c r="P45" i="5"/>
  <c r="P28" i="5"/>
  <c r="P29" i="5"/>
  <c r="P30" i="5"/>
  <c r="P31" i="5"/>
  <c r="P32" i="5"/>
  <c r="P33" i="5"/>
  <c r="D56" i="5"/>
  <c r="H56" i="5" s="1"/>
  <c r="J56" i="5"/>
  <c r="T56" i="5"/>
  <c r="V56" i="5"/>
  <c r="Z56" i="5" s="1"/>
  <c r="D53" i="5"/>
  <c r="H53" i="5" s="1"/>
  <c r="J53" i="5"/>
  <c r="V53" i="5"/>
  <c r="Z53" i="5" s="1"/>
  <c r="D44" i="5"/>
  <c r="H44" i="5" s="1"/>
  <c r="J44" i="5"/>
  <c r="V44" i="5"/>
  <c r="Z44" i="5" s="1"/>
  <c r="D41" i="5"/>
  <c r="H41" i="5" s="1"/>
  <c r="J41" i="5"/>
  <c r="V41" i="5"/>
  <c r="Z41" i="5" s="1"/>
  <c r="D32" i="5"/>
  <c r="H32" i="5" s="1"/>
  <c r="J32" i="5"/>
  <c r="U32" i="5"/>
  <c r="V32" i="5"/>
  <c r="Z32" i="5" s="1"/>
  <c r="D29" i="5"/>
  <c r="H29" i="5" s="1"/>
  <c r="J29" i="5"/>
  <c r="U29" i="5"/>
  <c r="V29" i="5"/>
  <c r="Z29" i="5" s="1"/>
  <c r="P3" i="4"/>
  <c r="T3" i="4" s="1"/>
  <c r="D3" i="4"/>
  <c r="H3" i="4" s="1"/>
  <c r="J3" i="4"/>
  <c r="V3" i="4"/>
  <c r="Z3" i="4" s="1"/>
  <c r="V57" i="5"/>
  <c r="Z57" i="5" s="1"/>
  <c r="U57" i="5"/>
  <c r="J57" i="5"/>
  <c r="D57" i="5"/>
  <c r="I57" i="5" s="1"/>
  <c r="V55" i="5"/>
  <c r="AA55" i="5" s="1"/>
  <c r="U55" i="5"/>
  <c r="J55" i="5"/>
  <c r="D55" i="5"/>
  <c r="I55" i="5" s="1"/>
  <c r="V54" i="5"/>
  <c r="AA54" i="5" s="1"/>
  <c r="U54" i="5"/>
  <c r="J54" i="5"/>
  <c r="D54" i="5"/>
  <c r="I54" i="5" s="1"/>
  <c r="V52" i="5"/>
  <c r="AA52" i="5" s="1"/>
  <c r="P52" i="5"/>
  <c r="U52" i="5" s="1"/>
  <c r="J52" i="5"/>
  <c r="N52" i="5" s="1"/>
  <c r="D52" i="5"/>
  <c r="I52" i="5" s="1"/>
  <c r="V51" i="5"/>
  <c r="AA51" i="5" s="1"/>
  <c r="P51" i="5"/>
  <c r="U51" i="5" s="1"/>
  <c r="J51" i="5"/>
  <c r="D51" i="5"/>
  <c r="I51" i="5" s="1"/>
  <c r="V50" i="5"/>
  <c r="AA50" i="5" s="1"/>
  <c r="P50" i="5"/>
  <c r="U50" i="5" s="1"/>
  <c r="J50" i="5"/>
  <c r="N50" i="5" s="1"/>
  <c r="D50" i="5"/>
  <c r="I50" i="5" s="1"/>
  <c r="V49" i="5"/>
  <c r="AA49" i="5" s="1"/>
  <c r="P49" i="5"/>
  <c r="U49" i="5" s="1"/>
  <c r="J49" i="5"/>
  <c r="D49" i="5"/>
  <c r="H49" i="5" s="1"/>
  <c r="V48" i="5"/>
  <c r="AA48" i="5" s="1"/>
  <c r="P48" i="5"/>
  <c r="U48" i="5" s="1"/>
  <c r="J48" i="5"/>
  <c r="N48" i="5" s="1"/>
  <c r="D48" i="5"/>
  <c r="I48" i="5" s="1"/>
  <c r="V47" i="5"/>
  <c r="AA47" i="5" s="1"/>
  <c r="P47" i="5"/>
  <c r="U47" i="5" s="1"/>
  <c r="J47" i="5"/>
  <c r="D47" i="5"/>
  <c r="I47" i="5" s="1"/>
  <c r="V45" i="5"/>
  <c r="AA45" i="5" s="1"/>
  <c r="U45" i="5"/>
  <c r="J45" i="5"/>
  <c r="D45" i="5"/>
  <c r="I45" i="5" s="1"/>
  <c r="V43" i="5"/>
  <c r="AA43" i="5" s="1"/>
  <c r="U43" i="5"/>
  <c r="J43" i="5"/>
  <c r="D43" i="5"/>
  <c r="I43" i="5" s="1"/>
  <c r="V42" i="5"/>
  <c r="AA42" i="5" s="1"/>
  <c r="U42" i="5"/>
  <c r="J42" i="5"/>
  <c r="D42" i="5"/>
  <c r="I42" i="5" s="1"/>
  <c r="V40" i="5"/>
  <c r="AA40" i="5" s="1"/>
  <c r="U40" i="5"/>
  <c r="J40" i="5"/>
  <c r="D40" i="5"/>
  <c r="I40" i="5" s="1"/>
  <c r="V39" i="5"/>
  <c r="AA39" i="5" s="1"/>
  <c r="P39" i="5"/>
  <c r="U39" i="5" s="1"/>
  <c r="J39" i="5"/>
  <c r="N39" i="5" s="1"/>
  <c r="D39" i="5"/>
  <c r="I39" i="5" s="1"/>
  <c r="V38" i="5"/>
  <c r="AA38" i="5" s="1"/>
  <c r="P38" i="5"/>
  <c r="U38" i="5" s="1"/>
  <c r="J38" i="5"/>
  <c r="D38" i="5"/>
  <c r="I38" i="5" s="1"/>
  <c r="V37" i="5"/>
  <c r="AA37" i="5" s="1"/>
  <c r="P37" i="5"/>
  <c r="U37" i="5" s="1"/>
  <c r="J37" i="5"/>
  <c r="N37" i="5" s="1"/>
  <c r="D37" i="5"/>
  <c r="H37" i="5" s="1"/>
  <c r="V36" i="5"/>
  <c r="AA36" i="5" s="1"/>
  <c r="P36" i="5"/>
  <c r="U36" i="5" s="1"/>
  <c r="J36" i="5"/>
  <c r="D36" i="5"/>
  <c r="H36" i="5" s="1"/>
  <c r="V35" i="5"/>
  <c r="AA35" i="5" s="1"/>
  <c r="P35" i="5"/>
  <c r="U35" i="5" s="1"/>
  <c r="J35" i="5"/>
  <c r="N35" i="5" s="1"/>
  <c r="D35" i="5"/>
  <c r="H35" i="5" s="1"/>
  <c r="V33" i="5"/>
  <c r="AA33" i="5" s="1"/>
  <c r="U33" i="5"/>
  <c r="J33" i="5"/>
  <c r="D33" i="5"/>
  <c r="I33" i="5" s="1"/>
  <c r="V31" i="5"/>
  <c r="AA31" i="5" s="1"/>
  <c r="U31" i="5"/>
  <c r="J31" i="5"/>
  <c r="D31" i="5"/>
  <c r="H31" i="5" s="1"/>
  <c r="V30" i="5"/>
  <c r="AA30" i="5" s="1"/>
  <c r="U30" i="5"/>
  <c r="J30" i="5"/>
  <c r="D30" i="5"/>
  <c r="I30" i="5" s="1"/>
  <c r="V28" i="5"/>
  <c r="Z28" i="5" s="1"/>
  <c r="U28" i="5"/>
  <c r="J28" i="5"/>
  <c r="D28" i="5"/>
  <c r="H28" i="5" s="1"/>
  <c r="V27" i="5"/>
  <c r="AA27" i="5" s="1"/>
  <c r="P27" i="5"/>
  <c r="U27" i="5" s="1"/>
  <c r="J27" i="5"/>
  <c r="D27" i="5"/>
  <c r="I27" i="5" s="1"/>
  <c r="V26" i="5"/>
  <c r="Z26" i="5" s="1"/>
  <c r="P26" i="5"/>
  <c r="U26" i="5" s="1"/>
  <c r="J26" i="5"/>
  <c r="N26" i="5" s="1"/>
  <c r="D26" i="5"/>
  <c r="H26" i="5" s="1"/>
  <c r="V25" i="5"/>
  <c r="Z25" i="5" s="1"/>
  <c r="P25" i="5"/>
  <c r="U25" i="5" s="1"/>
  <c r="J25" i="5"/>
  <c r="D25" i="5"/>
  <c r="I25" i="5" s="1"/>
  <c r="V24" i="5"/>
  <c r="Z24" i="5" s="1"/>
  <c r="P24" i="5"/>
  <c r="U24" i="5" s="1"/>
  <c r="J24" i="5"/>
  <c r="N24" i="5" s="1"/>
  <c r="D24" i="5"/>
  <c r="H24" i="5" s="1"/>
  <c r="V23" i="5"/>
  <c r="AA23" i="5" s="1"/>
  <c r="P23" i="5"/>
  <c r="U23" i="5" s="1"/>
  <c r="J23" i="5"/>
  <c r="D23" i="5"/>
  <c r="I23" i="5" s="1"/>
  <c r="V21" i="5"/>
  <c r="AA21" i="5" s="1"/>
  <c r="P21" i="5"/>
  <c r="U21" i="5" s="1"/>
  <c r="J21" i="5"/>
  <c r="D21" i="5"/>
  <c r="I21" i="5" s="1"/>
  <c r="V20" i="5"/>
  <c r="Z20" i="5" s="1"/>
  <c r="P20" i="5"/>
  <c r="U20" i="5" s="1"/>
  <c r="J20" i="5"/>
  <c r="O20" i="5" s="1"/>
  <c r="D20" i="5"/>
  <c r="I20" i="5" s="1"/>
  <c r="V19" i="5"/>
  <c r="AA19" i="5" s="1"/>
  <c r="P19" i="5"/>
  <c r="U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4" i="5"/>
  <c r="AA14" i="5" s="1"/>
  <c r="P14" i="5"/>
  <c r="U14" i="5" s="1"/>
  <c r="J14" i="5"/>
  <c r="O14" i="5" s="1"/>
  <c r="D14" i="5"/>
  <c r="I14" i="5" s="1"/>
  <c r="V13" i="5"/>
  <c r="AA13" i="5" s="1"/>
  <c r="P13" i="5"/>
  <c r="U13" i="5" s="1"/>
  <c r="J13" i="5"/>
  <c r="N13" i="5" s="1"/>
  <c r="D13" i="5"/>
  <c r="I13" i="5" s="1"/>
  <c r="V11" i="5"/>
  <c r="AA11" i="5" s="1"/>
  <c r="P11" i="5"/>
  <c r="U11" i="5" s="1"/>
  <c r="J11" i="5"/>
  <c r="O11" i="5" s="1"/>
  <c r="D11" i="5"/>
  <c r="I11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H9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1" i="4"/>
  <c r="AA11" i="4" s="1"/>
  <c r="V12" i="4"/>
  <c r="Z12" i="4" s="1"/>
  <c r="V13" i="4"/>
  <c r="Z13" i="4" s="1"/>
  <c r="V14" i="4"/>
  <c r="Z14" i="4" s="1"/>
  <c r="V15" i="4"/>
  <c r="AA15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2" i="4"/>
  <c r="Z32" i="4" s="1"/>
  <c r="V34" i="4"/>
  <c r="AA34" i="4" s="1"/>
  <c r="V35" i="4"/>
  <c r="Z35" i="4" s="1"/>
  <c r="V36" i="4"/>
  <c r="AA36" i="4" s="1"/>
  <c r="V37" i="4"/>
  <c r="Z37" i="4" s="1"/>
  <c r="V38" i="4"/>
  <c r="AA38" i="4" s="1"/>
  <c r="V39" i="4"/>
  <c r="Z39" i="4" s="1"/>
  <c r="V40" i="4"/>
  <c r="Z40" i="4" s="1"/>
  <c r="V41" i="4"/>
  <c r="Z41" i="4" s="1"/>
  <c r="V42" i="4"/>
  <c r="AA42" i="4" s="1"/>
  <c r="V44" i="4"/>
  <c r="Z44" i="4" s="1"/>
  <c r="V45" i="4"/>
  <c r="Z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2" i="4"/>
  <c r="Z52" i="4" s="1"/>
  <c r="P6" i="4"/>
  <c r="T6" i="4" s="1"/>
  <c r="P7" i="4"/>
  <c r="T7" i="4" s="1"/>
  <c r="P8" i="4"/>
  <c r="T8" i="4" s="1"/>
  <c r="P9" i="4"/>
  <c r="T9" i="4" s="1"/>
  <c r="P11" i="4"/>
  <c r="T11" i="4" s="1"/>
  <c r="P12" i="4"/>
  <c r="T12" i="4" s="1"/>
  <c r="P13" i="4"/>
  <c r="P14" i="4"/>
  <c r="U14" i="4" s="1"/>
  <c r="P15" i="4"/>
  <c r="T15" i="4" s="1"/>
  <c r="P17" i="4"/>
  <c r="T17" i="4" s="1"/>
  <c r="P18" i="4"/>
  <c r="T18" i="4" s="1"/>
  <c r="P19" i="4"/>
  <c r="P20" i="4"/>
  <c r="U20" i="4" s="1"/>
  <c r="P21" i="4"/>
  <c r="T21" i="4" s="1"/>
  <c r="P22" i="4"/>
  <c r="T22" i="4" s="1"/>
  <c r="P24" i="4"/>
  <c r="U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2" i="4"/>
  <c r="T32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2" i="4"/>
  <c r="T42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2" i="4"/>
  <c r="T52" i="4" s="1"/>
  <c r="J6" i="4"/>
  <c r="N6" i="4" s="1"/>
  <c r="J7" i="4"/>
  <c r="J8" i="4"/>
  <c r="N8" i="4" s="1"/>
  <c r="J9" i="4"/>
  <c r="N9" i="4" s="1"/>
  <c r="J11" i="4"/>
  <c r="O11" i="4" s="1"/>
  <c r="J12" i="4"/>
  <c r="N12" i="4" s="1"/>
  <c r="J13" i="4"/>
  <c r="N13" i="4" s="1"/>
  <c r="J14" i="4"/>
  <c r="O14" i="4" s="1"/>
  <c r="J15" i="4"/>
  <c r="O15" i="4" s="1"/>
  <c r="J17" i="4"/>
  <c r="O17" i="4" s="1"/>
  <c r="J18" i="4"/>
  <c r="N18" i="4" s="1"/>
  <c r="J19" i="4"/>
  <c r="N19" i="4" s="1"/>
  <c r="J20" i="4"/>
  <c r="O20" i="4" s="1"/>
  <c r="J21" i="4"/>
  <c r="O21" i="4" s="1"/>
  <c r="J22" i="4"/>
  <c r="N22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2" i="4"/>
  <c r="N32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2" i="4"/>
  <c r="O42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2" i="4"/>
  <c r="N52" i="4" s="1"/>
  <c r="D21" i="4"/>
  <c r="H21" i="4" s="1"/>
  <c r="D22" i="4"/>
  <c r="H22" i="4" s="1"/>
  <c r="D14" i="4"/>
  <c r="H14" i="4" s="1"/>
  <c r="D15" i="4"/>
  <c r="H15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1" i="4"/>
  <c r="I11" i="4" s="1"/>
  <c r="D12" i="4"/>
  <c r="I12" i="4" s="1"/>
  <c r="D13" i="4"/>
  <c r="I13" i="4" s="1"/>
  <c r="D17" i="4"/>
  <c r="D18" i="4"/>
  <c r="D19" i="4"/>
  <c r="I19" i="4" s="1"/>
  <c r="D20" i="4"/>
  <c r="I20" i="4" s="1"/>
  <c r="D24" i="4"/>
  <c r="H24" i="4" s="1"/>
  <c r="D25" i="4"/>
  <c r="H25" i="4" s="1"/>
  <c r="D26" i="4"/>
  <c r="H26" i="4" s="1"/>
  <c r="D27" i="4"/>
  <c r="H27" i="4" s="1"/>
  <c r="D28" i="4"/>
  <c r="D29" i="4"/>
  <c r="D30" i="4"/>
  <c r="I30" i="4" s="1"/>
  <c r="D31" i="4"/>
  <c r="I31" i="4" s="1"/>
  <c r="D32" i="4"/>
  <c r="I32" i="4" s="1"/>
  <c r="D34" i="4"/>
  <c r="I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H41" i="4" s="1"/>
  <c r="D42" i="4"/>
  <c r="H42" i="4" s="1"/>
  <c r="D44" i="4"/>
  <c r="H44" i="4" s="1"/>
  <c r="D45" i="4"/>
  <c r="H45" i="4" s="1"/>
  <c r="D46" i="4"/>
  <c r="H46" i="4" s="1"/>
  <c r="D47" i="4"/>
  <c r="D48" i="4"/>
  <c r="D49" i="4"/>
  <c r="I49" i="4" s="1"/>
  <c r="D50" i="4"/>
  <c r="I50" i="4" s="1"/>
  <c r="D51" i="4"/>
  <c r="I51" i="4" s="1"/>
  <c r="D52" i="4"/>
  <c r="I52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I12" i="5" l="1"/>
  <c r="H12" i="5"/>
  <c r="O12" i="5"/>
  <c r="N12" i="5"/>
  <c r="U12" i="5"/>
  <c r="T12" i="5"/>
  <c r="AA12" i="5"/>
  <c r="Z12" i="5"/>
  <c r="N28" i="5"/>
  <c r="O28" i="5"/>
  <c r="N30" i="5"/>
  <c r="O30" i="5"/>
  <c r="N31" i="5"/>
  <c r="O31" i="5"/>
  <c r="N33" i="5"/>
  <c r="O33" i="5"/>
  <c r="N40" i="5"/>
  <c r="O40" i="5"/>
  <c r="N42" i="5"/>
  <c r="O42" i="5"/>
  <c r="N43" i="5"/>
  <c r="O43" i="5"/>
  <c r="N45" i="5"/>
  <c r="O45" i="5"/>
  <c r="N54" i="5"/>
  <c r="O54" i="5"/>
  <c r="N55" i="5"/>
  <c r="O55" i="5"/>
  <c r="N57" i="5"/>
  <c r="O57" i="5"/>
  <c r="N29" i="5"/>
  <c r="O29" i="5"/>
  <c r="N32" i="5"/>
  <c r="O32" i="5"/>
  <c r="N41" i="5"/>
  <c r="O41" i="5"/>
  <c r="N44" i="5"/>
  <c r="O44" i="5"/>
  <c r="N53" i="5"/>
  <c r="O53" i="5"/>
  <c r="N56" i="5"/>
  <c r="O56" i="5"/>
  <c r="O3" i="4"/>
  <c r="N3" i="4"/>
  <c r="Z9" i="4"/>
  <c r="T24" i="4"/>
  <c r="Z36" i="4"/>
  <c r="U3" i="4"/>
  <c r="O18" i="4"/>
  <c r="U50" i="4"/>
  <c r="U34" i="4"/>
  <c r="Z47" i="4"/>
  <c r="U53" i="5"/>
  <c r="U56" i="5"/>
  <c r="T44" i="5"/>
  <c r="I53" i="5"/>
  <c r="I56" i="5"/>
  <c r="AA56" i="5"/>
  <c r="T41" i="5"/>
  <c r="AA53" i="5"/>
  <c r="T32" i="5"/>
  <c r="I44" i="5"/>
  <c r="AA44" i="5"/>
  <c r="T29" i="5"/>
  <c r="I41" i="5"/>
  <c r="AA41" i="5"/>
  <c r="I32" i="5"/>
  <c r="AA32" i="5"/>
  <c r="I29" i="5"/>
  <c r="AA29" i="5"/>
  <c r="H52" i="5"/>
  <c r="I36" i="5"/>
  <c r="N20" i="5"/>
  <c r="Z52" i="5"/>
  <c r="H54" i="5"/>
  <c r="AA28" i="5"/>
  <c r="T31" i="5"/>
  <c r="O35" i="5"/>
  <c r="AA26" i="5"/>
  <c r="H38" i="5"/>
  <c r="O24" i="5"/>
  <c r="AA25" i="5"/>
  <c r="Z39" i="5"/>
  <c r="T45" i="5"/>
  <c r="I37" i="5"/>
  <c r="T21" i="5"/>
  <c r="AA24" i="5"/>
  <c r="O26" i="5"/>
  <c r="Z38" i="5"/>
  <c r="Z15" i="4"/>
  <c r="N47" i="4"/>
  <c r="O35" i="4"/>
  <c r="N28" i="4"/>
  <c r="T28" i="4"/>
  <c r="U15" i="4"/>
  <c r="AA45" i="4"/>
  <c r="Z34" i="4"/>
  <c r="AA13" i="4"/>
  <c r="Z7" i="4"/>
  <c r="O52" i="4"/>
  <c r="O22" i="4"/>
  <c r="U38" i="4"/>
  <c r="U32" i="4"/>
  <c r="U17" i="4"/>
  <c r="AA31" i="4"/>
  <c r="Z21" i="4"/>
  <c r="N46" i="4"/>
  <c r="O39" i="4"/>
  <c r="O12" i="4"/>
  <c r="U42" i="4"/>
  <c r="T14" i="4"/>
  <c r="Z42" i="4"/>
  <c r="AA19" i="4"/>
  <c r="Z11" i="4"/>
  <c r="N14" i="4"/>
  <c r="O26" i="4"/>
  <c r="T37" i="4"/>
  <c r="U21" i="4"/>
  <c r="U7" i="4"/>
  <c r="AA40" i="4"/>
  <c r="Z29" i="4"/>
  <c r="N20" i="4"/>
  <c r="U47" i="4"/>
  <c r="U41" i="4"/>
  <c r="U25" i="4"/>
  <c r="Z51" i="4"/>
  <c r="AA27" i="4"/>
  <c r="Z17" i="4"/>
  <c r="I3" i="4"/>
  <c r="O44" i="4"/>
  <c r="N37" i="4"/>
  <c r="O30" i="4"/>
  <c r="N25" i="4"/>
  <c r="O8" i="4"/>
  <c r="U51" i="4"/>
  <c r="T20" i="4"/>
  <c r="U6" i="4"/>
  <c r="AA49" i="4"/>
  <c r="Z38" i="4"/>
  <c r="AA3" i="4"/>
  <c r="O48" i="4"/>
  <c r="T46" i="4"/>
  <c r="U29" i="4"/>
  <c r="U11" i="4"/>
  <c r="Z25" i="4"/>
  <c r="T31" i="4"/>
  <c r="U31" i="4"/>
  <c r="N17" i="4"/>
  <c r="N42" i="4"/>
  <c r="N21" i="4"/>
  <c r="T13" i="4"/>
  <c r="U13" i="4"/>
  <c r="N51" i="4"/>
  <c r="N29" i="4"/>
  <c r="T19" i="4"/>
  <c r="U19" i="4"/>
  <c r="T40" i="4"/>
  <c r="U40" i="4"/>
  <c r="T45" i="4"/>
  <c r="U45" i="4"/>
  <c r="N11" i="4"/>
  <c r="T49" i="4"/>
  <c r="U49" i="4"/>
  <c r="N34" i="4"/>
  <c r="N15" i="4"/>
  <c r="T36" i="4"/>
  <c r="U36" i="4"/>
  <c r="O7" i="4"/>
  <c r="N7" i="4"/>
  <c r="N38" i="4"/>
  <c r="T27" i="4"/>
  <c r="U27" i="4"/>
  <c r="O45" i="4"/>
  <c r="O36" i="4"/>
  <c r="O27" i="4"/>
  <c r="O19" i="4"/>
  <c r="O13" i="4"/>
  <c r="O9" i="4"/>
  <c r="U52" i="4"/>
  <c r="U44" i="4"/>
  <c r="U35" i="4"/>
  <c r="U26" i="4"/>
  <c r="U18" i="4"/>
  <c r="U12" i="4"/>
  <c r="U8" i="4"/>
  <c r="AA52" i="4"/>
  <c r="AA48" i="4"/>
  <c r="AA44" i="4"/>
  <c r="AA39" i="4"/>
  <c r="AA35" i="4"/>
  <c r="AA30" i="4"/>
  <c r="AA26" i="4"/>
  <c r="AA22" i="4"/>
  <c r="AA18" i="4"/>
  <c r="AA12" i="4"/>
  <c r="AA8" i="4"/>
  <c r="O50" i="4"/>
  <c r="O41" i="4"/>
  <c r="O32" i="4"/>
  <c r="O24" i="4"/>
  <c r="O6" i="4"/>
  <c r="O49" i="4"/>
  <c r="O40" i="4"/>
  <c r="O31" i="4"/>
  <c r="U48" i="4"/>
  <c r="U39" i="4"/>
  <c r="U30" i="4"/>
  <c r="U22" i="4"/>
  <c r="AA50" i="4"/>
  <c r="AA46" i="4"/>
  <c r="AA41" i="4"/>
  <c r="AA37" i="4"/>
  <c r="AA32" i="4"/>
  <c r="AA28" i="4"/>
  <c r="AA24" i="4"/>
  <c r="AA20" i="4"/>
  <c r="AA14" i="4"/>
  <c r="AA6" i="4"/>
  <c r="U9" i="4"/>
  <c r="O4" i="5"/>
  <c r="N5" i="5"/>
  <c r="Z6" i="5"/>
  <c r="Z13" i="5"/>
  <c r="H16" i="5"/>
  <c r="O17" i="5"/>
  <c r="I28" i="5"/>
  <c r="T30" i="5"/>
  <c r="Z31" i="5"/>
  <c r="H42" i="5"/>
  <c r="Z45" i="5"/>
  <c r="Z47" i="5"/>
  <c r="Z48" i="5"/>
  <c r="Z55" i="5"/>
  <c r="AA57" i="5"/>
  <c r="H3" i="5"/>
  <c r="T4" i="5"/>
  <c r="AA20" i="5"/>
  <c r="H23" i="5"/>
  <c r="H40" i="5"/>
  <c r="I49" i="5"/>
  <c r="I9" i="5"/>
  <c r="Z10" i="5"/>
  <c r="O13" i="5"/>
  <c r="N14" i="5"/>
  <c r="N16" i="5"/>
  <c r="Z17" i="5"/>
  <c r="T19" i="5"/>
  <c r="T27" i="5"/>
  <c r="I31" i="5"/>
  <c r="H33" i="5"/>
  <c r="T35" i="5"/>
  <c r="O39" i="5"/>
  <c r="H47" i="5"/>
  <c r="H48" i="5"/>
  <c r="H57" i="5"/>
  <c r="H5" i="5"/>
  <c r="O6" i="5"/>
  <c r="H11" i="5"/>
  <c r="T13" i="5"/>
  <c r="Z27" i="5"/>
  <c r="T38" i="5"/>
  <c r="T39" i="5"/>
  <c r="T42" i="5"/>
  <c r="T6" i="5"/>
  <c r="N7" i="5"/>
  <c r="H14" i="5"/>
  <c r="T17" i="5"/>
  <c r="N18" i="5"/>
  <c r="T24" i="5"/>
  <c r="Z35" i="5"/>
  <c r="Z36" i="5"/>
  <c r="Z37" i="5"/>
  <c r="H43" i="5"/>
  <c r="H45" i="5"/>
  <c r="H50" i="5"/>
  <c r="H51" i="5"/>
  <c r="N3" i="5"/>
  <c r="O10" i="5"/>
  <c r="Z19" i="5"/>
  <c r="Z21" i="5"/>
  <c r="I35" i="5"/>
  <c r="T40" i="5"/>
  <c r="T54" i="5"/>
  <c r="T57" i="5"/>
  <c r="Z4" i="5"/>
  <c r="T10" i="5"/>
  <c r="N11" i="5"/>
  <c r="H20" i="5"/>
  <c r="I24" i="5"/>
  <c r="H39" i="5"/>
  <c r="Z40" i="5"/>
  <c r="H7" i="5"/>
  <c r="N9" i="5"/>
  <c r="H18" i="5"/>
  <c r="O19" i="5"/>
  <c r="H25" i="5"/>
  <c r="I26" i="5"/>
  <c r="H27" i="5"/>
  <c r="H30" i="5"/>
  <c r="O37" i="5"/>
  <c r="Z42" i="5"/>
  <c r="Z43" i="5"/>
  <c r="T48" i="5"/>
  <c r="Z50" i="5"/>
  <c r="H55" i="5"/>
  <c r="H4" i="5"/>
  <c r="H6" i="5"/>
  <c r="H10" i="5"/>
  <c r="H13" i="5"/>
  <c r="H17" i="5"/>
  <c r="H19" i="5"/>
  <c r="H21" i="5"/>
  <c r="T23" i="5"/>
  <c r="O25" i="5"/>
  <c r="N25" i="5"/>
  <c r="Z30" i="5"/>
  <c r="T33" i="5"/>
  <c r="O36" i="5"/>
  <c r="N36" i="5"/>
  <c r="T49" i="5"/>
  <c r="O50" i="5"/>
  <c r="Z54" i="5"/>
  <c r="T55" i="5"/>
  <c r="T3" i="5"/>
  <c r="T5" i="5"/>
  <c r="T7" i="5"/>
  <c r="T9" i="5"/>
  <c r="T11" i="5"/>
  <c r="T14" i="5"/>
  <c r="T16" i="5"/>
  <c r="T18" i="5"/>
  <c r="T20" i="5"/>
  <c r="O21" i="5"/>
  <c r="N21" i="5"/>
  <c r="Z23" i="5"/>
  <c r="T25" i="5"/>
  <c r="O27" i="5"/>
  <c r="N27" i="5"/>
  <c r="Z33" i="5"/>
  <c r="T36" i="5"/>
  <c r="O38" i="5"/>
  <c r="N38" i="5"/>
  <c r="T43" i="5"/>
  <c r="Z49" i="5"/>
  <c r="T50" i="5"/>
  <c r="O51" i="5"/>
  <c r="N51" i="5"/>
  <c r="T26" i="5"/>
  <c r="T37" i="5"/>
  <c r="O47" i="5"/>
  <c r="N47" i="5"/>
  <c r="T51" i="5"/>
  <c r="O52" i="5"/>
  <c r="Z3" i="5"/>
  <c r="Z5" i="5"/>
  <c r="Z7" i="5"/>
  <c r="Z9" i="5"/>
  <c r="Z11" i="5"/>
  <c r="Z14" i="5"/>
  <c r="Z16" i="5"/>
  <c r="Z18" i="5"/>
  <c r="T28" i="5"/>
  <c r="T47" i="5"/>
  <c r="O48" i="5"/>
  <c r="Z51" i="5"/>
  <c r="T52" i="5"/>
  <c r="O23" i="5"/>
  <c r="N23" i="5"/>
  <c r="O49" i="5"/>
  <c r="N49" i="5"/>
  <c r="I21" i="4"/>
  <c r="I22" i="4"/>
  <c r="I14" i="4"/>
  <c r="I15" i="4"/>
  <c r="H9" i="4"/>
  <c r="H8" i="4"/>
  <c r="H7" i="4"/>
  <c r="I42" i="4"/>
  <c r="I41" i="4"/>
  <c r="I36" i="4"/>
  <c r="Z5" i="4"/>
  <c r="I25" i="4"/>
  <c r="H52" i="4"/>
  <c r="I24" i="4"/>
  <c r="U5" i="4"/>
  <c r="H34" i="4"/>
  <c r="H13" i="4"/>
  <c r="H40" i="4"/>
  <c r="O5" i="4"/>
  <c r="N5" i="4"/>
  <c r="I37" i="4"/>
  <c r="H37" i="4"/>
  <c r="I28" i="4"/>
  <c r="H28" i="4"/>
  <c r="I17" i="4"/>
  <c r="H17" i="4"/>
  <c r="H6" i="4"/>
  <c r="H51" i="4"/>
  <c r="H32" i="4"/>
  <c r="H12" i="4"/>
  <c r="I35" i="4"/>
  <c r="H20" i="4"/>
  <c r="I29" i="4"/>
  <c r="H29" i="4"/>
  <c r="H5" i="4"/>
  <c r="H50" i="4"/>
  <c r="H31" i="4"/>
  <c r="H11" i="4"/>
  <c r="H39" i="4"/>
  <c r="I38" i="4"/>
  <c r="H38" i="4"/>
  <c r="H49" i="4"/>
  <c r="H30" i="4"/>
  <c r="H19" i="4"/>
  <c r="I18" i="4"/>
  <c r="H18" i="4"/>
  <c r="I46" i="4"/>
  <c r="I27" i="4"/>
  <c r="I48" i="4"/>
  <c r="H48" i="4"/>
  <c r="I47" i="4"/>
  <c r="H47" i="4"/>
  <c r="I44" i="4"/>
  <c r="I26" i="4"/>
  <c r="I45" i="4"/>
</calcChain>
</file>

<file path=xl/sharedStrings.xml><?xml version="1.0" encoding="utf-8"?>
<sst xmlns="http://schemas.openxmlformats.org/spreadsheetml/2006/main" count="256" uniqueCount="90">
  <si>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</si>
  <si>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</si>
  <si>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</si>
  <si>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</si>
  <si>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</si>
  <si>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</si>
  <si>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</si>
  <si>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</si>
  <si>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</si>
  <si>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</si>
  <si>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</si>
  <si>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</si>
  <si>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</si>
  <si>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</si>
  <si>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</si>
  <si>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</si>
  <si>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</si>
  <si>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</si>
  <si>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</si>
  <si>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</si>
  <si>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</si>
  <si>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</si>
  <si>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</si>
  <si>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</si>
  <si>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</si>
  <si>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</si>
  <si>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</si>
  <si>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</si>
  <si>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</si>
  <si>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</si>
  <si>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</si>
  <si>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</si>
  <si>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</si>
  <si>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</si>
  <si>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</si>
  <si>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</si>
  <si>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</si>
  <si>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</si>
  <si>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</si>
  <si>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</si>
  <si>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</si>
  <si>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</si>
  <si>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</si>
  <si>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</si>
  <si>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</si>
  <si>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</si>
  <si>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</si>
  <si>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</si>
  <si>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</si>
  <si>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Math (Q1, Mod. 1-12, 14-16,19) per module</t>
  </si>
  <si>
    <t>RO</t>
  </si>
  <si>
    <t>Math (Q4, Mod. 1.1,1.2,2.1,2.2,2.3,3.1,3.2,4,5.2) per module</t>
  </si>
  <si>
    <t>Filipino (Q1, Mod. 1-7; Q4 Mod. 1-10)) per module</t>
  </si>
  <si>
    <t>English (Q1, Mod. 1-5; Q4 Mod 1,2,4,4.1,5,6,7,9) per module</t>
  </si>
  <si>
    <t>Math (Q1, Mod. 1-15; Q4 Mod. 1-13) per module</t>
  </si>
  <si>
    <t>English (Q1 and Q4, Mod. 1-11) per module</t>
  </si>
  <si>
    <t>Filipino (Q1, Mod. 1-15; Q4 Mod. 1-8) per module</t>
  </si>
  <si>
    <t>PE</t>
  </si>
  <si>
    <t>Health</t>
  </si>
  <si>
    <t>Music</t>
  </si>
  <si>
    <t>Arts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</si>
  <si>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</si>
  <si>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</si>
  <si>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</si>
  <si>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</si>
  <si>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</si>
  <si>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</si>
  <si>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</si>
  <si>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</si>
  <si>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</si>
  <si>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</si>
  <si>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</si>
  <si>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</si>
  <si>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</si>
  <si>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</si>
  <si>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</si>
  <si>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</si>
  <si>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</si>
  <si>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</si>
  <si>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</si>
  <si>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</si>
  <si>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</si>
  <si>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</si>
  <si>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</si>
  <si>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</si>
  <si>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</si>
  <si>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English (Q1 Mod. 1-3, Q3 Mod. 1-2)) per module</t>
  </si>
  <si>
    <t>Filipino (Q1Mod.1-15, Q3 Mod. 1-6) per module</t>
  </si>
  <si>
    <t>Math (Mod.1-11) per module</t>
  </si>
  <si>
    <t>Music and Arts (Q3 Mod. 1-2) per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</si>
</sst>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7" totalsRowShown="0" dataDxfId="59" headerRowBorderDxfId="57" tableBorderDxfId="58">
  <autoFilter ref="A2:AA57" xr:uid="{D7C37D80-F2E1-4395-8B6C-0FD477B4D8F8}"/>
  <tableColumns count="27">
    <tableColumn id="1" xr3:uid="{4B1B9E16-DDB6-464C-9C72-937B3CB9CE66}" name="Grade Level" dataDxfId="56"/>
    <tableColumn id="2" xr3:uid="{73AEA048-228E-40E8-B07A-3A7C30BA0DC7}" name="SUBJECTS" dataDxfId="55"/>
    <tableColumn id="3" xr3:uid="{187AF7E3-9651-4001-B779-AADEF0EAB05A}" name="Enrolment S.Y. 2025-2026 " dataDxfId="54"/>
    <tableColumn id="4" xr3:uid="{41F05D2B-5E6F-433A-B62B-2F1726EA10F2}" name="Quantity based on Target ADM-SLM - Q1 " dataDxfId="5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52"/>
    <tableColumn id="6" xr3:uid="{339CCB0D-A0D6-41EF-9023-6B8DF1A1D211}" name="Year of Delivery - ADM-SLM - Q1" dataDxfId="51"/>
    <tableColumn id="7" xr3:uid="{66966C8F-6B7D-4027-80F0-10F5BEB94C36}" name="SOURCE - ADM-SLM (CO,RO, SDO) - Q1" dataDxfId="50"/>
    <tableColumn id="8" xr3:uid="{F205DFF0-AD23-4608-82A0-E64C38A40A7F}" name="GAP - ADM-SLM - Q1" dataDxfId="49">
      <calculatedColumnFormula>IF((D3-E3)&lt;0,0,(D3-E3))</calculatedColumnFormula>
    </tableColumn>
    <tableColumn id="9" xr3:uid="{A97DBFEB-A833-47C5-A43D-C6E4D77683A6}" name="SURPLUS - ADM-SLM - Q1" dataDxfId="48">
      <calculatedColumnFormula>IF((E3-D3)&lt;0,0,(E3-D3))</calculatedColumnFormula>
    </tableColumn>
    <tableColumn id="10" xr3:uid="{6A093D68-BC9F-46BB-AC8F-CA208309466C}" name="Quantity based on Target ADM-SLM - Q2" dataDxfId="4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46"/>
    <tableColumn id="12" xr3:uid="{35FFB32F-868E-4FBD-946A-0482CC3DE0D4}" name="Year of Delivery - ADM-SLM Q2" dataDxfId="45"/>
    <tableColumn id="13" xr3:uid="{987FB8ED-06DA-4311-80C5-DAF78B602129}" name="SOURCE - ADM-SLM (CO,RO, SDO) Q2" dataDxfId="44"/>
    <tableColumn id="14" xr3:uid="{24CC35CF-2900-4C84-934F-7E29CCFCCEC9}" name="GAP - ADM-SLM - Q2" dataDxfId="43"/>
    <tableColumn id="15" xr3:uid="{0DA82B8D-6A8D-469A-8302-7E7DD0B1BDC4}" name="SURPLUS - ADM-SLM -Q2" dataDxfId="42"/>
    <tableColumn id="16" xr3:uid="{126A7F40-0CC3-4264-A57D-D7C0C9FE4720}" name="Quantity based on Target ADM-SLM - Q3" dataDxfId="41">
      <calculatedColumnFormula>#REF!*8</calculatedColumnFormula>
    </tableColumn>
    <tableColumn id="17" xr3:uid="{711B70A4-2160-43C1-900D-FD892755D7AB}" name="Quantity of ADM-SLM Received (Quantity received x No. of ADM-SLM) - Q3" dataDxfId="40"/>
    <tableColumn id="18" xr3:uid="{D8C99A72-7FED-4E85-8CB4-4A08C56BCB15}" name="Year of Delivery - ADM-SLM - Q3" dataDxfId="39"/>
    <tableColumn id="19" xr3:uid="{D48A881D-138B-4288-AA57-050C0AE3F5F6}" name="SOURCE - ADM-SLM(CO,RO, SDO) - Q3" dataDxfId="38"/>
    <tableColumn id="20" xr3:uid="{B03A44EC-B25E-4D0D-B9E6-71825AC6E51F}" name="GAP - ADM-SLM - Q3" dataDxfId="37">
      <calculatedColumnFormula>IF((P3-Q3)&lt;0,0,(P3-Q3))</calculatedColumnFormula>
    </tableColumn>
    <tableColumn id="21" xr3:uid="{3338E724-88DC-45DA-8F55-7AAE5A560621}" name="SURPLUS - ADM-SLM - Q3" dataDxfId="36">
      <calculatedColumnFormula>IF((Q3-P3)&lt;0,0,(Q3-P3))</calculatedColumnFormula>
    </tableColumn>
    <tableColumn id="22" xr3:uid="{AC55FA3C-A61A-4AB0-8391-EC237845F1BF}" name="Quantity based on Target ADM-SLM - Q4" dataDxfId="3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34"/>
    <tableColumn id="24" xr3:uid="{C66CE0BE-6DCF-4E05-9DBD-D908450B3841}" name="Year of Delivery - ADM-SLM- Q4" dataDxfId="33"/>
    <tableColumn id="25" xr3:uid="{AABA2263-B244-4CBF-87B1-CDAAECF763E4}" name="SOURCE - ADM-SLM - (CO,RO, SDO) - Q4" dataDxfId="32"/>
    <tableColumn id="26" xr3:uid="{21E1F5D8-F09B-453A-90E6-AA7B2E8821D1}" name="GAP - ADM-SLM - Q4" dataDxfId="31">
      <calculatedColumnFormula>IF((V3-W3)&lt;0,0,(V3-W3))</calculatedColumnFormula>
    </tableColumn>
    <tableColumn id="27" xr3:uid="{67725D86-C1DE-4DB2-8FBD-99B8821906AB}" name="SURPLUS - ADM-SLM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2" totalsRowShown="0" dataDxfId="29" headerRowBorderDxfId="27" tableBorderDxfId="28">
  <autoFilter ref="A2:AA52" xr:uid="{D7C37D80-F2E1-4395-8B6C-0FD477B4D8F8}"/>
  <tableColumns count="27">
    <tableColumn id="1" xr3:uid="{451CCD6B-9C4E-44A3-945A-DE807169F46B}" name="Grade Level" dataDxfId="26"/>
    <tableColumn id="2" xr3:uid="{C6CCCB1C-6639-4C28-A4BA-B187B2F73B59}" name="SUBJECTS" dataDxfId="25"/>
    <tableColumn id="3" xr3:uid="{945324E6-140A-476C-A8C3-23A16D4D262F}" name="Enrolment S.Y. 2025-2026 " dataDxfId="24"/>
    <tableColumn id="4" xr3:uid="{A2D4C0AF-3699-4D3C-A791-2D7D8004CC89}" name="Quantity based on Target LAS - Q1 " dataDxfId="2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22"/>
    <tableColumn id="6" xr3:uid="{FCD520AB-D938-4542-9B56-AEC07AB5F1DC}" name="Year of Delivery-LAS - Q1" dataDxfId="21"/>
    <tableColumn id="7" xr3:uid="{674474DE-9D20-41C1-8261-DA9C4A95671C}" name="SOURCE - LAS (CO,RO, SDO) - Q1" dataDxfId="20"/>
    <tableColumn id="8" xr3:uid="{58D9CB98-8F6F-4F61-9103-C27B8FFBDB51}" name="GAP - LAS - Q1" dataDxfId="19">
      <calculatedColumnFormula>IF((D3-E3)&lt;0,0,(D3-E3))</calculatedColumnFormula>
    </tableColumn>
    <tableColumn id="9" xr3:uid="{E6406FC4-4491-4FD6-9EA2-F088E94C44F4}" name="SURPLUS - LAS - Q1" dataDxfId="18">
      <calculatedColumnFormula>IF((E3-D3)&lt;0,0,(E3-D3))</calculatedColumnFormula>
    </tableColumn>
    <tableColumn id="10" xr3:uid="{1E56D889-DC27-4BCB-B61E-06BBBE734949}" name="Quantity based on Target LAS - Q2" dataDxfId="1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16"/>
    <tableColumn id="12" xr3:uid="{F2E2CB95-E0BD-4C6E-ACFE-F201177004A0}" name="Year of Delivery-LAS Q2" dataDxfId="15"/>
    <tableColumn id="13" xr3:uid="{163FBFFB-0AB7-44C8-89C4-72AA64C1EAC7}" name="SOURCE-LAS (CO,RO, SDO) Q2" dataDxfId="14"/>
    <tableColumn id="14" xr3:uid="{EACC05A8-C68D-4495-BC08-73F093C4992F}" name="GAP - LAS -Q2" dataDxfId="13"/>
    <tableColumn id="15" xr3:uid="{28A44E24-3E28-4B7F-BADE-28BB84F0B810}" name="SURPLUS - LAS -Q2" dataDxfId="12"/>
    <tableColumn id="16" xr3:uid="{87878677-5715-46B6-9BA9-9D08DE9A3335}" name="Quantity based on Target LAS - Q3" dataDxfId="11">
      <calculatedColumnFormula>#REF!*8</calculatedColumnFormula>
    </tableColumn>
    <tableColumn id="17" xr3:uid="{48667A1F-77B1-47A6-83F7-61ED15F61DDB}" name="Quantity of Learning Activity Sheets Received (Quantity received x No. of LAS) - Q3" dataDxfId="10"/>
    <tableColumn id="18" xr3:uid="{56F2625D-2CEE-478E-A8DE-42A7191C3835}" name="Year of Delivery-LAS - Q3" dataDxfId="9"/>
    <tableColumn id="19" xr3:uid="{EF0F614F-5FED-4639-8798-840D9677B8DA}" name="SOURCE-LAS (CO,RO, SDO) - Q3" dataDxfId="8"/>
    <tableColumn id="20" xr3:uid="{FD91DDEE-DBA8-4E2C-94B2-23AE9F73CC4A}" name="GAP - LAS - Q3" dataDxfId="7">
      <calculatedColumnFormula>IF((P3-Q3)&lt;0,0,(P3-Q3))</calculatedColumnFormula>
    </tableColumn>
    <tableColumn id="21" xr3:uid="{DB598C6C-E489-4B0F-9BC6-B0981F7D2582}" name="SURPLUS - LAS - Q3" dataDxfId="6">
      <calculatedColumnFormula>IF((Q3-P3)&lt;0,0,(Q3-P3))</calculatedColumnFormula>
    </tableColumn>
    <tableColumn id="22" xr3:uid="{8CD6906A-7980-46E8-80B2-8563AEBC71F7}" name="Quantity based on Target LAS - Q4" dataDxfId="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4"/>
    <tableColumn id="24" xr3:uid="{205BCDBA-0424-492C-B4EF-841B8A3A1521}" name="Year of Delivery - LAS - Q4" dataDxfId="3"/>
    <tableColumn id="25" xr3:uid="{8226E35B-1F3B-4D2A-815B-9D4C0A24EE7E}" name="SOURCE - LAS (CO,RO, SDO) - Q4" dataDxfId="2"/>
    <tableColumn id="26" xr3:uid="{5B37A4B7-CD16-4D9A-8A47-D9EA73F613BC}" name="GAP - LAS - Q4" dataDxfId="1">
      <calculatedColumnFormula>IF((V3-W3)&lt;0,0,(V3-W3))</calculatedColumnFormula>
    </tableColumn>
    <tableColumn id="27" xr3:uid="{38E9C5F3-3FF5-4B13-A9DA-0081A90F35C5}" name="SURPLUS - LAS 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0" activePane="topRight" state="frozen"/>
      <selection pane="topRight" activeCell="D150" sqref="D1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409</v>
      </c>
      <c r="D2" s="1">
        <v>455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46</v>
      </c>
    </row>
    <row r="3" spans="1:8" ht="29.25" customHeight="1">
      <c r="A3" s="1">
        <v>1</v>
      </c>
      <c r="B3" s="2" t="s">
        <v>10</v>
      </c>
      <c r="C3" s="1">
        <v>409</v>
      </c>
      <c r="D3" s="1">
        <v>0</v>
      </c>
      <c r="E3" s="1"/>
      <c r="F3" s="5"/>
      <c r="G3" s="3">
        <f>IF((C3-D3)&lt;0,0,C3-D3)</f>
        <v>409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409</v>
      </c>
      <c r="D4" s="1">
        <v>455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46</v>
      </c>
    </row>
    <row r="5" spans="1:8" ht="25.5" customHeight="1">
      <c r="A5" s="1">
        <v>1</v>
      </c>
      <c r="B5" s="2" t="s">
        <v>12</v>
      </c>
      <c r="C5" s="1">
        <v>409</v>
      </c>
      <c r="D5" s="1">
        <v>0</v>
      </c>
      <c r="E5" s="1"/>
      <c r="F5" s="5"/>
      <c r="G5" s="3">
        <f t="shared" ref="G5:G6" si="0">IF((C5-D5)&lt;0,0,C5-D5)</f>
        <v>409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409</v>
      </c>
      <c r="D6" s="1">
        <v>0</v>
      </c>
      <c r="E6" s="1"/>
      <c r="F6" s="5"/>
      <c r="G6" s="3">
        <f t="shared" si="0"/>
        <v>409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398</v>
      </c>
      <c r="D8" s="1">
        <v>0</v>
      </c>
      <c r="E8" s="1"/>
      <c r="F8" s="5"/>
      <c r="G8" s="3">
        <f>IF((C8-D8)&lt;0,0,C8-D8)</f>
        <v>398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398</v>
      </c>
      <c r="D9" s="1">
        <v>0</v>
      </c>
      <c r="E9" s="1"/>
      <c r="F9" s="5"/>
      <c r="G9" s="3">
        <f>IF((C9-D9)&lt;0,0,C9-D9)</f>
        <v>398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398</v>
      </c>
      <c r="D10" s="1">
        <v>0</v>
      </c>
      <c r="E10" s="1"/>
      <c r="F10" s="5"/>
      <c r="G10" s="3">
        <f>IF((C10-D10)&lt;0,0,C10-D10)</f>
        <v>398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398</v>
      </c>
      <c r="D11" s="1">
        <v>0</v>
      </c>
      <c r="E11" s="1"/>
      <c r="F11" s="5"/>
      <c r="G11" s="3">
        <f>IF((C11-D11)&lt;0,0,C11-D11)</f>
        <v>398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398</v>
      </c>
      <c r="D12" s="1">
        <v>0</v>
      </c>
      <c r="E12" s="1"/>
      <c r="F12" s="5"/>
      <c r="G12" s="3">
        <f>IF((C12-D12)&lt;0,0,C12-D12)</f>
        <v>398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392</v>
      </c>
      <c r="D14" s="1">
        <v>0</v>
      </c>
      <c r="E14" s="1"/>
      <c r="F14" s="5"/>
      <c r="G14" s="3">
        <f t="shared" ref="G14:G19" si="2">IF((C14-D14)&lt;0,0,C14-D14)</f>
        <v>392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392</v>
      </c>
      <c r="D15" s="1">
        <v>0</v>
      </c>
      <c r="E15" s="1"/>
      <c r="F15" s="5"/>
      <c r="G15" s="3">
        <f t="shared" si="2"/>
        <v>392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392</v>
      </c>
      <c r="D16" s="1">
        <v>0</v>
      </c>
      <c r="E16" s="1"/>
      <c r="F16" s="5"/>
      <c r="G16" s="3">
        <f t="shared" si="2"/>
        <v>392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392</v>
      </c>
      <c r="D17" s="1">
        <v>0</v>
      </c>
      <c r="E17" s="1"/>
      <c r="F17" s="5"/>
      <c r="G17" s="3">
        <f t="shared" si="2"/>
        <v>392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392</v>
      </c>
      <c r="D18" s="1">
        <v>0</v>
      </c>
      <c r="E18" s="1"/>
      <c r="F18" s="5"/>
      <c r="G18" s="3">
        <f t="shared" si="2"/>
        <v>392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392</v>
      </c>
      <c r="D19" s="1">
        <v>0</v>
      </c>
      <c r="E19" s="1"/>
      <c r="F19" s="5"/>
      <c r="G19" s="3">
        <f t="shared" si="2"/>
        <v>392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454</v>
      </c>
      <c r="D21" s="1">
        <v>0</v>
      </c>
      <c r="E21" s="1"/>
      <c r="F21" s="5"/>
      <c r="G21" s="3">
        <f t="shared" ref="G21:G29" si="4">IF((C21-D21)&lt;0,0,C21-D21)</f>
        <v>454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454</v>
      </c>
      <c r="D22" s="1">
        <v>536</v>
      </c>
      <c r="E22" s="1">
        <v>2024</v>
      </c>
      <c r="F22" s="5" t="s">
        <v>9</v>
      </c>
      <c r="G22" s="3">
        <f t="shared" si="4"/>
        <v>0</v>
      </c>
      <c r="H22" s="4">
        <f t="shared" si="5"/>
        <v>82</v>
      </c>
    </row>
    <row r="23" spans="1:8" ht="19.5">
      <c r="A23" s="1">
        <v>4</v>
      </c>
      <c r="B23" s="9" t="s">
        <v>13</v>
      </c>
      <c r="C23" s="1">
        <v>454</v>
      </c>
      <c r="D23" s="1">
        <v>536</v>
      </c>
      <c r="E23" s="1"/>
      <c r="F23" s="5" t="s">
        <v>9</v>
      </c>
      <c r="G23" s="3">
        <f t="shared" si="4"/>
        <v>0</v>
      </c>
      <c r="H23" s="4">
        <f t="shared" si="5"/>
        <v>82</v>
      </c>
    </row>
    <row r="24" spans="1:8" ht="27" customHeight="1">
      <c r="A24" s="1">
        <v>4</v>
      </c>
      <c r="B24" s="9" t="s">
        <v>11</v>
      </c>
      <c r="C24" s="1">
        <v>454</v>
      </c>
      <c r="D24" s="1">
        <v>536</v>
      </c>
      <c r="E24" s="1">
        <v>2025</v>
      </c>
      <c r="F24" s="5" t="s">
        <v>9</v>
      </c>
      <c r="G24" s="3">
        <f t="shared" si="4"/>
        <v>0</v>
      </c>
      <c r="H24" s="4">
        <f t="shared" si="5"/>
        <v>82</v>
      </c>
    </row>
    <row r="25" spans="1:8" ht="33.75" customHeight="1">
      <c r="A25" s="1">
        <v>4</v>
      </c>
      <c r="B25" s="9" t="s">
        <v>17</v>
      </c>
      <c r="C25" s="1">
        <v>454</v>
      </c>
      <c r="D25" s="1">
        <v>536</v>
      </c>
      <c r="E25" s="1">
        <v>2024</v>
      </c>
      <c r="F25" s="5" t="s">
        <v>9</v>
      </c>
      <c r="G25" s="3">
        <f t="shared" si="4"/>
        <v>0</v>
      </c>
      <c r="H25" s="4">
        <f t="shared" si="5"/>
        <v>82</v>
      </c>
    </row>
    <row r="26" spans="1:8" ht="33.75" customHeight="1">
      <c r="A26" s="1">
        <v>4</v>
      </c>
      <c r="B26" s="9" t="s">
        <v>14</v>
      </c>
      <c r="C26" s="1">
        <v>454</v>
      </c>
      <c r="D26" s="1">
        <v>536</v>
      </c>
      <c r="E26" s="1">
        <v>2024</v>
      </c>
      <c r="F26" s="5" t="s">
        <v>9</v>
      </c>
      <c r="G26" s="3">
        <f t="shared" si="4"/>
        <v>0</v>
      </c>
      <c r="H26" s="4">
        <f t="shared" si="5"/>
        <v>82</v>
      </c>
    </row>
    <row r="27" spans="1:8" ht="33.75" customHeight="1">
      <c r="A27" s="1">
        <v>4</v>
      </c>
      <c r="B27" s="9" t="s">
        <v>18</v>
      </c>
      <c r="C27" s="1">
        <v>454</v>
      </c>
      <c r="D27" s="1">
        <v>536</v>
      </c>
      <c r="E27" s="1">
        <v>2024</v>
      </c>
      <c r="F27" s="5" t="s">
        <v>9</v>
      </c>
      <c r="G27" s="3">
        <f t="shared" si="4"/>
        <v>0</v>
      </c>
      <c r="H27" s="4">
        <f t="shared" si="5"/>
        <v>82</v>
      </c>
    </row>
    <row r="28" spans="1:8" ht="27.75" customHeight="1">
      <c r="A28" s="1">
        <v>4</v>
      </c>
      <c r="B28" s="9" t="s">
        <v>19</v>
      </c>
      <c r="C28" s="1">
        <v>454</v>
      </c>
      <c r="D28" s="1"/>
      <c r="E28" s="1"/>
      <c r="F28" s="5"/>
      <c r="G28" s="3">
        <f t="shared" si="4"/>
        <v>454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454</v>
      </c>
      <c r="D29" s="1">
        <v>0</v>
      </c>
      <c r="E29" s="1"/>
      <c r="F29" s="5"/>
      <c r="G29" s="3">
        <f t="shared" si="4"/>
        <v>454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381</v>
      </c>
      <c r="D31" s="1">
        <v>0</v>
      </c>
      <c r="E31" s="1"/>
      <c r="F31" s="5"/>
      <c r="G31" s="3">
        <f t="shared" ref="G31:G39" si="6">IF((C31-D31)&lt;0,0,C31-D31)</f>
        <v>381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381</v>
      </c>
      <c r="D32" s="1">
        <v>0</v>
      </c>
      <c r="E32" s="1"/>
      <c r="F32" s="5"/>
      <c r="G32" s="3">
        <f t="shared" si="6"/>
        <v>381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381</v>
      </c>
      <c r="D33" s="1">
        <v>0</v>
      </c>
      <c r="E33" s="1"/>
      <c r="F33" s="5"/>
      <c r="G33" s="3">
        <f t="shared" si="6"/>
        <v>381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381</v>
      </c>
      <c r="D34" s="1">
        <v>0</v>
      </c>
      <c r="E34" s="1"/>
      <c r="F34" s="5"/>
      <c r="G34" s="3">
        <f t="shared" si="6"/>
        <v>381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381</v>
      </c>
      <c r="D35" s="1">
        <v>0</v>
      </c>
      <c r="E35" s="1"/>
      <c r="F35" s="5"/>
      <c r="G35" s="3">
        <f t="shared" si="6"/>
        <v>381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381</v>
      </c>
      <c r="D36" s="1">
        <v>0</v>
      </c>
      <c r="E36" s="1"/>
      <c r="F36" s="5"/>
      <c r="G36" s="3">
        <f t="shared" si="6"/>
        <v>381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381</v>
      </c>
      <c r="D37" s="1">
        <v>0</v>
      </c>
      <c r="E37" s="1"/>
      <c r="F37" s="5"/>
      <c r="G37" s="3">
        <f t="shared" si="6"/>
        <v>381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381</v>
      </c>
      <c r="D38" s="1">
        <v>0</v>
      </c>
      <c r="E38" s="1"/>
      <c r="F38" s="5"/>
      <c r="G38" s="3">
        <f t="shared" si="6"/>
        <v>381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381</v>
      </c>
      <c r="D39" s="1">
        <v>0</v>
      </c>
      <c r="E39" s="1"/>
      <c r="F39" s="5"/>
      <c r="G39" s="3">
        <f t="shared" si="6"/>
        <v>381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402</v>
      </c>
      <c r="D41" s="1">
        <v>0</v>
      </c>
      <c r="E41" s="1"/>
      <c r="F41" s="5"/>
      <c r="G41" s="3">
        <f t="shared" ref="G41:G49" si="8">IF((C41-D41)&lt;0,0,C41-D41)</f>
        <v>402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402</v>
      </c>
      <c r="D42" s="1">
        <v>0</v>
      </c>
      <c r="E42" s="1"/>
      <c r="F42" s="5"/>
      <c r="G42" s="3">
        <f t="shared" si="8"/>
        <v>402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402</v>
      </c>
      <c r="D43" s="1">
        <v>0</v>
      </c>
      <c r="E43" s="1"/>
      <c r="F43" s="5"/>
      <c r="G43" s="3">
        <f t="shared" si="8"/>
        <v>402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402</v>
      </c>
      <c r="D44" s="1">
        <v>0</v>
      </c>
      <c r="E44" s="1"/>
      <c r="F44" s="5"/>
      <c r="G44" s="3">
        <f t="shared" si="8"/>
        <v>402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402</v>
      </c>
      <c r="D45" s="1">
        <v>0</v>
      </c>
      <c r="E45" s="1"/>
      <c r="F45" s="5"/>
      <c r="G45" s="3">
        <f t="shared" si="8"/>
        <v>402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402</v>
      </c>
      <c r="D46" s="1">
        <v>0</v>
      </c>
      <c r="E46" s="1"/>
      <c r="F46" s="5"/>
      <c r="G46" s="3">
        <f t="shared" si="8"/>
        <v>402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402</v>
      </c>
      <c r="D47" s="1">
        <v>0</v>
      </c>
      <c r="E47" s="1"/>
      <c r="F47" s="5"/>
      <c r="G47" s="3">
        <f t="shared" si="8"/>
        <v>402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402</v>
      </c>
      <c r="D48" s="1">
        <v>0</v>
      </c>
      <c r="E48" s="1"/>
      <c r="F48" s="5"/>
      <c r="G48" s="3">
        <f t="shared" si="8"/>
        <v>402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402</v>
      </c>
      <c r="D49" s="1">
        <v>0</v>
      </c>
      <c r="E49" s="1"/>
      <c r="F49" s="5"/>
      <c r="G49" s="3">
        <f t="shared" si="8"/>
        <v>402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31:F39 F41:F4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1"/>
  <sheetViews>
    <sheetView zoomScale="55" zoomScaleNormal="55" workbookViewId="0">
      <pane xSplit="2" topLeftCell="C1" activePane="topRight" state="frozen"/>
      <selection pane="topRight" activeCell="F6" sqref="F6"/>
    </sheetView>
  </sheetViews>
  <sheetFormatPr defaultRowHeight="13.9"/>
  <cols>
    <col min="1" max="1" width="9.42578125" hidden="1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6" t="s">
        <v>21</v>
      </c>
      <c r="E1" s="36"/>
      <c r="F1" s="36"/>
      <c r="G1" s="36"/>
      <c r="H1" s="36"/>
      <c r="I1" s="36"/>
      <c r="J1" s="37" t="s">
        <v>22</v>
      </c>
      <c r="K1" s="37"/>
      <c r="L1" s="37"/>
      <c r="M1" s="37"/>
      <c r="N1" s="37"/>
      <c r="O1" s="37"/>
      <c r="P1" s="38" t="s">
        <v>23</v>
      </c>
      <c r="Q1" s="38"/>
      <c r="R1" s="38"/>
      <c r="S1" s="38"/>
      <c r="T1" s="38"/>
      <c r="U1" s="38"/>
      <c r="V1" s="39" t="s">
        <v>24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4" t="s">
        <v>34</v>
      </c>
      <c r="N2" s="34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5" t="s">
        <v>46</v>
      </c>
      <c r="Z2" s="35" t="s">
        <v>47</v>
      </c>
      <c r="AA2" s="23" t="s">
        <v>48</v>
      </c>
    </row>
    <row r="3" spans="1:27" ht="27.75" customHeight="1">
      <c r="A3" s="1">
        <v>1</v>
      </c>
      <c r="B3" s="2" t="s">
        <v>8</v>
      </c>
      <c r="C3" s="1">
        <v>409</v>
      </c>
      <c r="D3" s="5">
        <f>Table14[[#This Row],[Enrolment S.Y. 2025-2026 ]]*8</f>
        <v>3272</v>
      </c>
      <c r="E3" s="5"/>
      <c r="F3" s="1"/>
      <c r="G3" s="5"/>
      <c r="H3" s="5">
        <f t="shared" ref="H3:H57" si="0">IF((D3-E3)&lt;0,0,(D3-E3))</f>
        <v>3272</v>
      </c>
      <c r="I3" s="5">
        <f t="shared" ref="I3:I57" si="1">IF((E3-D3)&lt;0,0,(E3-D3))</f>
        <v>0</v>
      </c>
      <c r="J3" s="5">
        <f>Table14[[#This Row],[Enrolment S.Y. 2025-2026 ]]*8</f>
        <v>3272</v>
      </c>
      <c r="K3" s="5"/>
      <c r="L3" s="1"/>
      <c r="M3" s="5"/>
      <c r="N3" s="5">
        <f t="shared" ref="N3:N52" si="2">IF((J3-K3)&lt;0,0,(J3-K3))</f>
        <v>3272</v>
      </c>
      <c r="O3" s="5">
        <f t="shared" ref="O3:O52" si="3">IF((K3-J3)&lt;0,0,(K3-J3))</f>
        <v>0</v>
      </c>
      <c r="P3" s="5">
        <f>Table14[[#This Row],[Enrolment S.Y. 2025-2026 ]]*8</f>
        <v>3272</v>
      </c>
      <c r="Q3" s="5"/>
      <c r="R3" s="1"/>
      <c r="S3" s="5"/>
      <c r="T3" s="5">
        <f t="shared" ref="T3:T57" si="4">IF((P3-Q3)&lt;0,0,(P3-Q3))</f>
        <v>3272</v>
      </c>
      <c r="U3" s="5">
        <f t="shared" ref="U3:U57" si="5">IF((Q3-P3)&lt;0,0,(Q3-P3))</f>
        <v>0</v>
      </c>
      <c r="V3" s="5">
        <f>Table14[[#This Row],[Enrolment S.Y. 2025-2026 ]]*8</f>
        <v>3272</v>
      </c>
      <c r="W3" s="5"/>
      <c r="X3" s="1"/>
      <c r="Y3" s="5"/>
      <c r="Z3" s="5">
        <f t="shared" ref="Z3:Z57" si="6">IF((V3-W3)&lt;0,0,(V3-W3))</f>
        <v>3272</v>
      </c>
      <c r="AA3" s="5">
        <f t="shared" ref="AA3:AA57" si="7">IF((W3-V3)&lt;0,0,(W3-V3))</f>
        <v>0</v>
      </c>
    </row>
    <row r="4" spans="1:27" ht="19.5">
      <c r="A4" s="1">
        <v>1</v>
      </c>
      <c r="B4" s="2" t="s">
        <v>10</v>
      </c>
      <c r="C4" s="1">
        <v>409</v>
      </c>
      <c r="D4" s="5">
        <f>Table14[[#This Row],[Enrolment S.Y. 2025-2026 ]]*8</f>
        <v>3272</v>
      </c>
      <c r="E4" s="5"/>
      <c r="F4" s="1"/>
      <c r="G4" s="5"/>
      <c r="H4" s="5">
        <f t="shared" si="0"/>
        <v>3272</v>
      </c>
      <c r="I4" s="5">
        <f t="shared" si="1"/>
        <v>0</v>
      </c>
      <c r="J4" s="5">
        <f>Table14[[#This Row],[Enrolment S.Y. 2025-2026 ]]*8</f>
        <v>3272</v>
      </c>
      <c r="K4" s="5"/>
      <c r="L4" s="1"/>
      <c r="M4" s="5"/>
      <c r="N4" s="5">
        <f t="shared" si="2"/>
        <v>3272</v>
      </c>
      <c r="O4" s="5">
        <f t="shared" si="3"/>
        <v>0</v>
      </c>
      <c r="P4" s="5">
        <f>Table14[[#This Row],[Enrolment S.Y. 2025-2026 ]]*8</f>
        <v>3272</v>
      </c>
      <c r="Q4" s="5"/>
      <c r="R4" s="1"/>
      <c r="S4" s="5"/>
      <c r="T4" s="5">
        <f t="shared" si="4"/>
        <v>3272</v>
      </c>
      <c r="U4" s="5">
        <f t="shared" si="5"/>
        <v>0</v>
      </c>
      <c r="V4" s="5">
        <f>Table14[[#This Row],[Enrolment S.Y. 2025-2026 ]]*8</f>
        <v>3272</v>
      </c>
      <c r="W4" s="5"/>
      <c r="X4" s="1"/>
      <c r="Y4" s="5"/>
      <c r="Z4" s="5">
        <f t="shared" si="6"/>
        <v>3272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409</v>
      </c>
      <c r="D5" s="5">
        <f>Table14[[#This Row],[Enrolment S.Y. 2025-2026 ]]*8</f>
        <v>3272</v>
      </c>
      <c r="E5" s="5"/>
      <c r="F5" s="1"/>
      <c r="G5" s="5"/>
      <c r="H5" s="5">
        <f t="shared" si="0"/>
        <v>3272</v>
      </c>
      <c r="I5" s="5">
        <f t="shared" si="1"/>
        <v>0</v>
      </c>
      <c r="J5" s="5">
        <f>Table14[[#This Row],[Enrolment S.Y. 2025-2026 ]]*8</f>
        <v>3272</v>
      </c>
      <c r="K5" s="5"/>
      <c r="L5" s="1"/>
      <c r="M5" s="5"/>
      <c r="N5" s="5">
        <f t="shared" si="2"/>
        <v>3272</v>
      </c>
      <c r="O5" s="5">
        <f t="shared" si="3"/>
        <v>0</v>
      </c>
      <c r="P5" s="5">
        <f>Table14[[#This Row],[Enrolment S.Y. 2025-2026 ]]*8</f>
        <v>3272</v>
      </c>
      <c r="Q5" s="5"/>
      <c r="R5" s="1"/>
      <c r="S5" s="5"/>
      <c r="T5" s="5">
        <f t="shared" si="4"/>
        <v>3272</v>
      </c>
      <c r="U5" s="5">
        <f t="shared" si="5"/>
        <v>0</v>
      </c>
      <c r="V5" s="5">
        <f>Table14[[#This Row],[Enrolment S.Y. 2025-2026 ]]*8</f>
        <v>3272</v>
      </c>
      <c r="W5" s="5"/>
      <c r="X5" s="1"/>
      <c r="Y5" s="5"/>
      <c r="Z5" s="5">
        <f t="shared" si="6"/>
        <v>3272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409</v>
      </c>
      <c r="D6" s="5">
        <f>Table14[[#This Row],[Enrolment S.Y. 2025-2026 ]]*8</f>
        <v>3272</v>
      </c>
      <c r="E6" s="5"/>
      <c r="F6" s="1"/>
      <c r="G6" s="5"/>
      <c r="H6" s="5">
        <f t="shared" si="0"/>
        <v>3272</v>
      </c>
      <c r="I6" s="5">
        <f t="shared" si="1"/>
        <v>0</v>
      </c>
      <c r="J6" s="5">
        <f>Table14[[#This Row],[Enrolment S.Y. 2025-2026 ]]*8</f>
        <v>3272</v>
      </c>
      <c r="K6" s="5"/>
      <c r="L6" s="1"/>
      <c r="M6" s="5"/>
      <c r="N6" s="5">
        <f t="shared" si="2"/>
        <v>3272</v>
      </c>
      <c r="O6" s="5">
        <f t="shared" si="3"/>
        <v>0</v>
      </c>
      <c r="P6" s="5">
        <f>Table14[[#This Row],[Enrolment S.Y. 2025-2026 ]]*8</f>
        <v>3272</v>
      </c>
      <c r="Q6" s="5"/>
      <c r="R6" s="1"/>
      <c r="S6" s="5"/>
      <c r="T6" s="5">
        <f t="shared" si="4"/>
        <v>3272</v>
      </c>
      <c r="U6" s="5">
        <f t="shared" si="5"/>
        <v>0</v>
      </c>
      <c r="V6" s="5">
        <f>Table14[[#This Row],[Enrolment S.Y. 2025-2026 ]]*8</f>
        <v>3272</v>
      </c>
      <c r="W6" s="5"/>
      <c r="X6" s="1"/>
      <c r="Y6" s="5"/>
      <c r="Z6" s="5">
        <f t="shared" si="6"/>
        <v>3272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409</v>
      </c>
      <c r="D7" s="5">
        <f>Table14[[#This Row],[Enrolment S.Y. 2025-2026 ]]*8</f>
        <v>3272</v>
      </c>
      <c r="E7" s="5"/>
      <c r="F7" s="1"/>
      <c r="G7" s="5"/>
      <c r="H7" s="5">
        <f t="shared" si="0"/>
        <v>3272</v>
      </c>
      <c r="I7" s="5">
        <f t="shared" si="1"/>
        <v>0</v>
      </c>
      <c r="J7" s="5">
        <f>Table14[[#This Row],[Enrolment S.Y. 2025-2026 ]]*8</f>
        <v>3272</v>
      </c>
      <c r="K7" s="5"/>
      <c r="L7" s="1"/>
      <c r="M7" s="5"/>
      <c r="N7" s="5">
        <f t="shared" si="2"/>
        <v>3272</v>
      </c>
      <c r="O7" s="5">
        <f t="shared" si="3"/>
        <v>0</v>
      </c>
      <c r="P7" s="5">
        <f>Table14[[#This Row],[Enrolment S.Y. 2025-2026 ]]*8</f>
        <v>3272</v>
      </c>
      <c r="Q7" s="5"/>
      <c r="R7" s="1"/>
      <c r="S7" s="5"/>
      <c r="T7" s="5">
        <f t="shared" si="4"/>
        <v>3272</v>
      </c>
      <c r="U7" s="5">
        <f t="shared" si="5"/>
        <v>0</v>
      </c>
      <c r="V7" s="5">
        <f>Table14[[#This Row],[Enrolment S.Y. 2025-2026 ]]*8</f>
        <v>3272</v>
      </c>
      <c r="W7" s="5"/>
      <c r="X7" s="1"/>
      <c r="Y7" s="5"/>
      <c r="Z7" s="5">
        <f t="shared" si="6"/>
        <v>3272</v>
      </c>
      <c r="AA7" s="5">
        <f t="shared" si="7"/>
        <v>0</v>
      </c>
    </row>
    <row r="8" spans="1:27" s="7" customFormat="1"/>
    <row r="9" spans="1:27" ht="19.5">
      <c r="A9" s="1">
        <v>2</v>
      </c>
      <c r="B9" s="2" t="s">
        <v>11</v>
      </c>
      <c r="C9" s="1">
        <v>398</v>
      </c>
      <c r="D9" s="5">
        <f>Table14[[#This Row],[Enrolment S.Y. 2025-2026 ]]*8</f>
        <v>3184</v>
      </c>
      <c r="E9" s="5"/>
      <c r="F9" s="1"/>
      <c r="G9" s="5"/>
      <c r="H9" s="5">
        <f t="shared" si="0"/>
        <v>3184</v>
      </c>
      <c r="I9" s="5">
        <f t="shared" si="1"/>
        <v>0</v>
      </c>
      <c r="J9" s="5">
        <f>Table14[[#This Row],[Enrolment S.Y. 2025-2026 ]]*8</f>
        <v>3184</v>
      </c>
      <c r="K9" s="5"/>
      <c r="L9" s="1"/>
      <c r="M9" s="5"/>
      <c r="N9" s="5">
        <f t="shared" si="2"/>
        <v>3184</v>
      </c>
      <c r="O9" s="5">
        <f t="shared" si="3"/>
        <v>0</v>
      </c>
      <c r="P9" s="5">
        <f>Table14[[#This Row],[Enrolment S.Y. 2025-2026 ]]*8</f>
        <v>3184</v>
      </c>
      <c r="Q9" s="5"/>
      <c r="R9" s="1"/>
      <c r="S9" s="5"/>
      <c r="T9" s="5">
        <f t="shared" si="4"/>
        <v>3184</v>
      </c>
      <c r="U9" s="5">
        <f t="shared" si="5"/>
        <v>0</v>
      </c>
      <c r="V9" s="5">
        <f>Table14[[#This Row],[Enrolment S.Y. 2025-2026 ]]*8</f>
        <v>3184</v>
      </c>
      <c r="W9" s="5"/>
      <c r="X9" s="1"/>
      <c r="Y9" s="5"/>
      <c r="Z9" s="5">
        <f t="shared" si="6"/>
        <v>3184</v>
      </c>
      <c r="AA9" s="5">
        <f t="shared" si="7"/>
        <v>0</v>
      </c>
    </row>
    <row r="10" spans="1:27" ht="19.5">
      <c r="A10" s="1">
        <v>2</v>
      </c>
      <c r="B10" s="2" t="s">
        <v>12</v>
      </c>
      <c r="C10" s="1">
        <v>398</v>
      </c>
      <c r="D10" s="5">
        <f>Table14[[#This Row],[Enrolment S.Y. 2025-2026 ]]*8</f>
        <v>3184</v>
      </c>
      <c r="E10" s="5"/>
      <c r="F10" s="1"/>
      <c r="G10" s="5"/>
      <c r="H10" s="5">
        <f t="shared" si="0"/>
        <v>3184</v>
      </c>
      <c r="I10" s="5">
        <f t="shared" si="1"/>
        <v>0</v>
      </c>
      <c r="J10" s="5">
        <f>Table14[[#This Row],[Enrolment S.Y. 2025-2026 ]]*8</f>
        <v>3184</v>
      </c>
      <c r="K10" s="5"/>
      <c r="L10" s="1"/>
      <c r="M10" s="5"/>
      <c r="N10" s="5">
        <f t="shared" si="2"/>
        <v>3184</v>
      </c>
      <c r="O10" s="5">
        <f t="shared" si="3"/>
        <v>0</v>
      </c>
      <c r="P10" s="5">
        <f>Table14[[#This Row],[Enrolment S.Y. 2025-2026 ]]*8</f>
        <v>3184</v>
      </c>
      <c r="Q10" s="5"/>
      <c r="R10" s="1"/>
      <c r="S10" s="5"/>
      <c r="T10" s="5">
        <f t="shared" si="4"/>
        <v>3184</v>
      </c>
      <c r="U10" s="5">
        <f t="shared" si="5"/>
        <v>0</v>
      </c>
      <c r="V10" s="5">
        <f>Table14[[#This Row],[Enrolment S.Y. 2025-2026 ]]*8</f>
        <v>3184</v>
      </c>
      <c r="W10" s="5"/>
      <c r="X10" s="1"/>
      <c r="Y10" s="5"/>
      <c r="Z10" s="5">
        <f t="shared" si="6"/>
        <v>3184</v>
      </c>
      <c r="AA10" s="5">
        <f t="shared" si="7"/>
        <v>0</v>
      </c>
    </row>
    <row r="11" spans="1:27" ht="57.75">
      <c r="A11" s="1">
        <v>2</v>
      </c>
      <c r="B11" s="2" t="s">
        <v>49</v>
      </c>
      <c r="C11" s="1">
        <v>398</v>
      </c>
      <c r="D11" s="5">
        <f>Table14[[#This Row],[Enrolment S.Y. 2025-2026 ]]*8</f>
        <v>3184</v>
      </c>
      <c r="E11" s="5">
        <v>460</v>
      </c>
      <c r="F11" s="1">
        <v>2024</v>
      </c>
      <c r="G11" s="5" t="s">
        <v>50</v>
      </c>
      <c r="H11" s="5">
        <f t="shared" si="0"/>
        <v>2724</v>
      </c>
      <c r="I11" s="5">
        <f t="shared" si="1"/>
        <v>0</v>
      </c>
      <c r="J11" s="5">
        <f>Table14[[#This Row],[Enrolment S.Y. 2025-2026 ]]*8</f>
        <v>3184</v>
      </c>
      <c r="K11" s="5"/>
      <c r="L11" s="1"/>
      <c r="M11" s="5"/>
      <c r="N11" s="5">
        <f t="shared" si="2"/>
        <v>3184</v>
      </c>
      <c r="O11" s="5">
        <f t="shared" si="3"/>
        <v>0</v>
      </c>
      <c r="P11" s="5">
        <f>Table14[[#This Row],[Enrolment S.Y. 2025-2026 ]]*8</f>
        <v>3184</v>
      </c>
      <c r="Q11" s="5"/>
      <c r="R11" s="1"/>
      <c r="S11" s="5"/>
      <c r="T11" s="5">
        <f t="shared" si="4"/>
        <v>3184</v>
      </c>
      <c r="U11" s="5">
        <f t="shared" si="5"/>
        <v>0</v>
      </c>
      <c r="V11" s="5">
        <f>Table14[[#This Row],[Enrolment S.Y. 2025-2026 ]]*8</f>
        <v>3184</v>
      </c>
      <c r="W11" s="5"/>
      <c r="X11" s="1"/>
      <c r="Y11" s="5"/>
      <c r="Z11" s="5">
        <f t="shared" si="6"/>
        <v>3184</v>
      </c>
      <c r="AA11" s="5">
        <f t="shared" si="7"/>
        <v>0</v>
      </c>
    </row>
    <row r="12" spans="1:27" ht="76.5">
      <c r="A12" s="1">
        <v>2</v>
      </c>
      <c r="B12" s="2" t="s">
        <v>51</v>
      </c>
      <c r="C12" s="1">
        <v>398</v>
      </c>
      <c r="D12" s="5">
        <f>Table14[[#This Row],[Enrolment S.Y. 2025-2026 ]]*8</f>
        <v>3184</v>
      </c>
      <c r="E12" s="5"/>
      <c r="F12" s="1"/>
      <c r="G12" s="5"/>
      <c r="H12" s="5">
        <f t="shared" ref="H12" si="8">IF((D12-E12)&lt;0,0,(D12-E12))</f>
        <v>3184</v>
      </c>
      <c r="I12" s="5">
        <f t="shared" ref="I12" si="9">IF((E12-D12)&lt;0,0,(E12-D12))</f>
        <v>0</v>
      </c>
      <c r="J12" s="5">
        <f>Table14[[#This Row],[Enrolment S.Y. 2025-2026 ]]*8</f>
        <v>3184</v>
      </c>
      <c r="K12" s="5"/>
      <c r="L12" s="1"/>
      <c r="M12" s="5"/>
      <c r="N12" s="5">
        <f t="shared" ref="N12" si="10">IF((J12-K12)&lt;0,0,(J12-K12))</f>
        <v>3184</v>
      </c>
      <c r="O12" s="5">
        <f t="shared" ref="O12" si="11">IF((K12-J12)&lt;0,0,(K12-J12))</f>
        <v>0</v>
      </c>
      <c r="P12" s="5">
        <f>Table14[[#This Row],[Enrolment S.Y. 2025-2026 ]]*8</f>
        <v>3184</v>
      </c>
      <c r="Q12" s="5"/>
      <c r="R12" s="1"/>
      <c r="S12" s="5"/>
      <c r="T12" s="5">
        <f t="shared" ref="T12" si="12">IF((P12-Q12)&lt;0,0,(P12-Q12))</f>
        <v>3184</v>
      </c>
      <c r="U12" s="5">
        <f t="shared" ref="U12" si="13">IF((Q12-P12)&lt;0,0,(Q12-P12))</f>
        <v>0</v>
      </c>
      <c r="V12" s="5">
        <f>Table14[[#This Row],[Enrolment S.Y. 2025-2026 ]]*8</f>
        <v>3184</v>
      </c>
      <c r="W12" s="5">
        <v>52</v>
      </c>
      <c r="X12" s="1">
        <v>2025</v>
      </c>
      <c r="Y12" s="5" t="s">
        <v>50</v>
      </c>
      <c r="Z12" s="5">
        <f t="shared" ref="Z12" si="14">IF((V12-W12)&lt;0,0,(V12-W12))</f>
        <v>3132</v>
      </c>
      <c r="AA12" s="5">
        <f t="shared" ref="AA12" si="15">IF((W12-V12)&lt;0,0,(W12-V12))</f>
        <v>0</v>
      </c>
    </row>
    <row r="13" spans="1:27" ht="57.75">
      <c r="A13" s="1">
        <v>2</v>
      </c>
      <c r="B13" s="9" t="s">
        <v>52</v>
      </c>
      <c r="C13" s="1">
        <v>398</v>
      </c>
      <c r="D13" s="5">
        <f>Table14[[#This Row],[Enrolment S.Y. 2025-2026 ]]*8</f>
        <v>3184</v>
      </c>
      <c r="E13" s="5">
        <v>460</v>
      </c>
      <c r="F13" s="1">
        <v>2024</v>
      </c>
      <c r="G13" s="5" t="s">
        <v>50</v>
      </c>
      <c r="H13" s="5">
        <f>IF((D13-E13)&lt;0,0,(D13-E13))</f>
        <v>2724</v>
      </c>
      <c r="I13" s="5">
        <f>IF((E13-D13)&lt;0,0,(E13-D13))</f>
        <v>0</v>
      </c>
      <c r="J13" s="5">
        <f>Table14[[#This Row],[Enrolment S.Y. 2025-2026 ]]*8</f>
        <v>3184</v>
      </c>
      <c r="K13" s="5"/>
      <c r="L13" s="1"/>
      <c r="M13" s="5"/>
      <c r="N13" s="5">
        <f t="shared" si="2"/>
        <v>3184</v>
      </c>
      <c r="O13" s="5">
        <f t="shared" si="3"/>
        <v>0</v>
      </c>
      <c r="P13" s="5">
        <f>Table14[[#This Row],[Enrolment S.Y. 2025-2026 ]]*8</f>
        <v>3184</v>
      </c>
      <c r="Q13" s="5"/>
      <c r="R13" s="1"/>
      <c r="S13" s="5"/>
      <c r="T13" s="5">
        <f t="shared" si="4"/>
        <v>3184</v>
      </c>
      <c r="U13" s="5">
        <f t="shared" si="5"/>
        <v>0</v>
      </c>
      <c r="V13" s="5">
        <f>Table14[[#This Row],[Enrolment S.Y. 2025-2026 ]]*8</f>
        <v>3184</v>
      </c>
      <c r="W13" s="5">
        <v>52</v>
      </c>
      <c r="X13" s="1">
        <v>2025</v>
      </c>
      <c r="Y13" s="5" t="s">
        <v>50</v>
      </c>
      <c r="Z13" s="5">
        <f t="shared" si="6"/>
        <v>3132</v>
      </c>
      <c r="AA13" s="5">
        <f t="shared" si="7"/>
        <v>0</v>
      </c>
    </row>
    <row r="14" spans="1:27" ht="76.5">
      <c r="A14" s="1">
        <v>2</v>
      </c>
      <c r="B14" s="9" t="s">
        <v>53</v>
      </c>
      <c r="C14" s="1">
        <v>398</v>
      </c>
      <c r="D14" s="5">
        <f>Table14[[#This Row],[Enrolment S.Y. 2025-2026 ]]*8</f>
        <v>3184</v>
      </c>
      <c r="E14" s="5">
        <v>460</v>
      </c>
      <c r="F14" s="1">
        <v>2024</v>
      </c>
      <c r="G14" s="5" t="s">
        <v>50</v>
      </c>
      <c r="H14" s="5">
        <f>IF((D14-E14)&lt;0,0,(D14-E14))</f>
        <v>2724</v>
      </c>
      <c r="I14" s="5">
        <f>IF((E14-D14)&lt;0,0,(E14-D14))</f>
        <v>0</v>
      </c>
      <c r="J14" s="5">
        <f>Table14[[#This Row],[Enrolment S.Y. 2025-2026 ]]*8</f>
        <v>3184</v>
      </c>
      <c r="K14" s="5"/>
      <c r="L14" s="1"/>
      <c r="M14" s="5"/>
      <c r="N14" s="5">
        <f t="shared" si="2"/>
        <v>3184</v>
      </c>
      <c r="O14" s="5">
        <f t="shared" si="3"/>
        <v>0</v>
      </c>
      <c r="P14" s="5">
        <f>Table14[[#This Row],[Enrolment S.Y. 2025-2026 ]]*8</f>
        <v>3184</v>
      </c>
      <c r="Q14" s="5"/>
      <c r="R14" s="1"/>
      <c r="S14" s="5"/>
      <c r="T14" s="5">
        <f t="shared" si="4"/>
        <v>3184</v>
      </c>
      <c r="U14" s="5">
        <f t="shared" si="5"/>
        <v>0</v>
      </c>
      <c r="V14" s="5">
        <f>Table14[[#This Row],[Enrolment S.Y. 2025-2026 ]]*8</f>
        <v>3184</v>
      </c>
      <c r="W14" s="5">
        <v>52</v>
      </c>
      <c r="X14" s="1">
        <v>2025</v>
      </c>
      <c r="Y14" s="5" t="s">
        <v>50</v>
      </c>
      <c r="Z14" s="5">
        <f t="shared" si="6"/>
        <v>3132</v>
      </c>
      <c r="AA14" s="5">
        <f t="shared" si="7"/>
        <v>0</v>
      </c>
    </row>
    <row r="15" spans="1:27" s="7" customFormat="1"/>
    <row r="16" spans="1:27" ht="19.5">
      <c r="A16" s="1">
        <v>3</v>
      </c>
      <c r="B16" s="2" t="s">
        <v>11</v>
      </c>
      <c r="C16" s="1">
        <v>392</v>
      </c>
      <c r="D16" s="5">
        <f>Table14[[#This Row],[Enrolment S.Y. 2025-2026 ]]*8</f>
        <v>3136</v>
      </c>
      <c r="E16" s="5"/>
      <c r="F16" s="1"/>
      <c r="G16" s="5"/>
      <c r="H16" s="5">
        <f t="shared" si="0"/>
        <v>3136</v>
      </c>
      <c r="I16" s="5">
        <f t="shared" si="1"/>
        <v>0</v>
      </c>
      <c r="J16" s="5">
        <f>Table14[[#This Row],[Enrolment S.Y. 2025-2026 ]]*8</f>
        <v>3136</v>
      </c>
      <c r="K16" s="5"/>
      <c r="L16" s="1"/>
      <c r="M16" s="5"/>
      <c r="N16" s="5">
        <f t="shared" si="2"/>
        <v>3136</v>
      </c>
      <c r="O16" s="5">
        <f t="shared" si="3"/>
        <v>0</v>
      </c>
      <c r="P16" s="5">
        <f>Table14[[#This Row],[Enrolment S.Y. 2025-2026 ]]*8</f>
        <v>3136</v>
      </c>
      <c r="Q16" s="5"/>
      <c r="R16" s="1"/>
      <c r="S16" s="5"/>
      <c r="T16" s="5">
        <f t="shared" si="4"/>
        <v>3136</v>
      </c>
      <c r="U16" s="5">
        <f t="shared" si="5"/>
        <v>0</v>
      </c>
      <c r="V16" s="5">
        <f>Table14[[#This Row],[Enrolment S.Y. 2025-2026 ]]*8</f>
        <v>3136</v>
      </c>
      <c r="W16" s="5"/>
      <c r="X16" s="1"/>
      <c r="Y16" s="5"/>
      <c r="Z16" s="5">
        <f t="shared" si="6"/>
        <v>3136</v>
      </c>
      <c r="AA16" s="5">
        <f t="shared" si="7"/>
        <v>0</v>
      </c>
    </row>
    <row r="17" spans="1:27" ht="19.5">
      <c r="A17" s="1">
        <v>3</v>
      </c>
      <c r="B17" s="2" t="s">
        <v>14</v>
      </c>
      <c r="C17" s="1">
        <v>392</v>
      </c>
      <c r="D17" s="5">
        <f>Table14[[#This Row],[Enrolment S.Y. 2025-2026 ]]*8</f>
        <v>3136</v>
      </c>
      <c r="E17" s="5"/>
      <c r="F17" s="1"/>
      <c r="G17" s="5"/>
      <c r="H17" s="5">
        <f t="shared" si="0"/>
        <v>3136</v>
      </c>
      <c r="I17" s="5">
        <f t="shared" si="1"/>
        <v>0</v>
      </c>
      <c r="J17" s="5">
        <f>Table14[[#This Row],[Enrolment S.Y. 2025-2026 ]]*8</f>
        <v>3136</v>
      </c>
      <c r="K17" s="5"/>
      <c r="L17" s="1"/>
      <c r="M17" s="5"/>
      <c r="N17" s="5">
        <f t="shared" si="2"/>
        <v>3136</v>
      </c>
      <c r="O17" s="5">
        <f t="shared" si="3"/>
        <v>0</v>
      </c>
      <c r="P17" s="5">
        <f>Table14[[#This Row],[Enrolment S.Y. 2025-2026 ]]*8</f>
        <v>3136</v>
      </c>
      <c r="Q17" s="5"/>
      <c r="R17" s="1"/>
      <c r="S17" s="5"/>
      <c r="T17" s="5">
        <f t="shared" si="4"/>
        <v>3136</v>
      </c>
      <c r="U17" s="5">
        <f t="shared" si="5"/>
        <v>0</v>
      </c>
      <c r="V17" s="5">
        <f>Table14[[#This Row],[Enrolment S.Y. 2025-2026 ]]*8</f>
        <v>3136</v>
      </c>
      <c r="W17" s="5"/>
      <c r="X17" s="1"/>
      <c r="Y17" s="5"/>
      <c r="Z17" s="5">
        <f t="shared" si="6"/>
        <v>3136</v>
      </c>
      <c r="AA17" s="5">
        <f t="shared" si="7"/>
        <v>0</v>
      </c>
    </row>
    <row r="18" spans="1:27" ht="19.5">
      <c r="A18" s="1">
        <v>3</v>
      </c>
      <c r="B18" s="2" t="s">
        <v>12</v>
      </c>
      <c r="C18" s="1">
        <v>392</v>
      </c>
      <c r="D18" s="5">
        <f>Table14[[#This Row],[Enrolment S.Y. 2025-2026 ]]*8</f>
        <v>3136</v>
      </c>
      <c r="E18" s="5">
        <v>387</v>
      </c>
      <c r="F18" s="1">
        <v>2024</v>
      </c>
      <c r="G18" s="5" t="s">
        <v>50</v>
      </c>
      <c r="H18" s="5">
        <f t="shared" si="0"/>
        <v>2749</v>
      </c>
      <c r="I18" s="5">
        <f t="shared" si="1"/>
        <v>0</v>
      </c>
      <c r="J18" s="5">
        <f>Table14[[#This Row],[Enrolment S.Y. 2025-2026 ]]*8</f>
        <v>3136</v>
      </c>
      <c r="K18" s="5">
        <v>387</v>
      </c>
      <c r="L18" s="1">
        <v>2024</v>
      </c>
      <c r="M18" s="5" t="s">
        <v>50</v>
      </c>
      <c r="N18" s="5">
        <f t="shared" si="2"/>
        <v>2749</v>
      </c>
      <c r="O18" s="5">
        <f t="shared" si="3"/>
        <v>0</v>
      </c>
      <c r="P18" s="5">
        <f>Table14[[#This Row],[Enrolment S.Y. 2025-2026 ]]*8</f>
        <v>3136</v>
      </c>
      <c r="Q18" s="5">
        <v>387</v>
      </c>
      <c r="R18" s="1">
        <v>2024</v>
      </c>
      <c r="S18" s="5" t="s">
        <v>50</v>
      </c>
      <c r="T18" s="5">
        <f t="shared" si="4"/>
        <v>2749</v>
      </c>
      <c r="U18" s="5">
        <f t="shared" si="5"/>
        <v>0</v>
      </c>
      <c r="V18" s="5">
        <f>Table14[[#This Row],[Enrolment S.Y. 2025-2026 ]]*8</f>
        <v>3136</v>
      </c>
      <c r="W18" s="5"/>
      <c r="X18" s="1"/>
      <c r="Y18" s="5"/>
      <c r="Z18" s="5">
        <f t="shared" si="6"/>
        <v>3136</v>
      </c>
      <c r="AA18" s="5">
        <f t="shared" si="7"/>
        <v>0</v>
      </c>
    </row>
    <row r="19" spans="1:27" ht="57.75">
      <c r="A19" s="1">
        <v>3</v>
      </c>
      <c r="B19" s="2" t="s">
        <v>54</v>
      </c>
      <c r="C19" s="1">
        <v>392</v>
      </c>
      <c r="D19" s="5">
        <f>Table14[[#This Row],[Enrolment S.Y. 2025-2026 ]]*8</f>
        <v>3136</v>
      </c>
      <c r="E19" s="5">
        <v>387</v>
      </c>
      <c r="F19" s="1">
        <v>2024</v>
      </c>
      <c r="G19" s="5" t="s">
        <v>50</v>
      </c>
      <c r="H19" s="5">
        <f t="shared" si="0"/>
        <v>2749</v>
      </c>
      <c r="I19" s="5">
        <f t="shared" si="1"/>
        <v>0</v>
      </c>
      <c r="J19" s="5">
        <f>Table14[[#This Row],[Enrolment S.Y. 2025-2026 ]]*8</f>
        <v>3136</v>
      </c>
      <c r="K19" s="5"/>
      <c r="L19" s="1"/>
      <c r="M19" s="5"/>
      <c r="N19" s="5">
        <f t="shared" si="2"/>
        <v>3136</v>
      </c>
      <c r="O19" s="5">
        <f t="shared" si="3"/>
        <v>0</v>
      </c>
      <c r="P19" s="5">
        <f>Table14[[#This Row],[Enrolment S.Y. 2025-2026 ]]*8</f>
        <v>3136</v>
      </c>
      <c r="Q19" s="5"/>
      <c r="R19" s="1"/>
      <c r="S19" s="5"/>
      <c r="T19" s="5">
        <f t="shared" si="4"/>
        <v>3136</v>
      </c>
      <c r="U19" s="5">
        <f t="shared" si="5"/>
        <v>0</v>
      </c>
      <c r="V19" s="5">
        <f>Table14[[#This Row],[Enrolment S.Y. 2025-2026 ]]*8</f>
        <v>3136</v>
      </c>
      <c r="W19" s="5">
        <v>57</v>
      </c>
      <c r="X19" s="1">
        <v>2025</v>
      </c>
      <c r="Y19" s="5" t="s">
        <v>50</v>
      </c>
      <c r="Z19" s="5">
        <f t="shared" si="6"/>
        <v>3079</v>
      </c>
      <c r="AA19" s="5">
        <f t="shared" si="7"/>
        <v>0</v>
      </c>
    </row>
    <row r="20" spans="1:27" ht="57.75">
      <c r="A20" s="1">
        <v>3</v>
      </c>
      <c r="B20" s="9" t="s">
        <v>55</v>
      </c>
      <c r="C20" s="1">
        <v>392</v>
      </c>
      <c r="D20" s="5">
        <f>Table14[[#This Row],[Enrolment S.Y. 2025-2026 ]]*8</f>
        <v>3136</v>
      </c>
      <c r="E20" s="5">
        <v>387</v>
      </c>
      <c r="F20" s="1">
        <v>2024</v>
      </c>
      <c r="G20" s="5" t="s">
        <v>50</v>
      </c>
      <c r="H20" s="5">
        <f>IF((D20-E20)&lt;0,0,(D20-E20))</f>
        <v>2749</v>
      </c>
      <c r="I20" s="5">
        <f>IF((E20-D20)&lt;0,0,(E20-D20))</f>
        <v>0</v>
      </c>
      <c r="J20" s="5">
        <f>Table14[[#This Row],[Enrolment S.Y. 2025-2026 ]]*8</f>
        <v>3136</v>
      </c>
      <c r="K20" s="5"/>
      <c r="L20" s="1"/>
      <c r="M20" s="5"/>
      <c r="N20" s="5">
        <f t="shared" si="2"/>
        <v>3136</v>
      </c>
      <c r="O20" s="5">
        <f t="shared" si="3"/>
        <v>0</v>
      </c>
      <c r="P20" s="5">
        <f>Table14[[#This Row],[Enrolment S.Y. 2025-2026 ]]*8</f>
        <v>3136</v>
      </c>
      <c r="Q20" s="5"/>
      <c r="R20" s="1"/>
      <c r="S20" s="5"/>
      <c r="T20" s="5">
        <f t="shared" si="4"/>
        <v>3136</v>
      </c>
      <c r="U20" s="5">
        <f t="shared" si="5"/>
        <v>0</v>
      </c>
      <c r="V20" s="5">
        <f>Table14[[#This Row],[Enrolment S.Y. 2025-2026 ]]*8</f>
        <v>3136</v>
      </c>
      <c r="W20" s="5">
        <v>57</v>
      </c>
      <c r="X20" s="1">
        <v>2025</v>
      </c>
      <c r="Y20" s="5" t="s">
        <v>50</v>
      </c>
      <c r="Z20" s="5">
        <f t="shared" si="6"/>
        <v>3079</v>
      </c>
      <c r="AA20" s="5">
        <f t="shared" si="7"/>
        <v>0</v>
      </c>
    </row>
    <row r="21" spans="1:27" ht="57.75">
      <c r="A21" s="1">
        <v>3</v>
      </c>
      <c r="B21" s="9" t="s">
        <v>56</v>
      </c>
      <c r="C21" s="1">
        <v>392</v>
      </c>
      <c r="D21" s="5">
        <f>Table14[[#This Row],[Enrolment S.Y. 2025-2026 ]]*8</f>
        <v>3136</v>
      </c>
      <c r="E21" s="5">
        <v>387</v>
      </c>
      <c r="F21" s="1">
        <v>2024</v>
      </c>
      <c r="G21" s="5" t="s">
        <v>50</v>
      </c>
      <c r="H21" s="5">
        <f>IF((D21-E21)&lt;0,0,(D21-E21))</f>
        <v>2749</v>
      </c>
      <c r="I21" s="5">
        <f>IF((E21-D21)&lt;0,0,(E21-D21))</f>
        <v>0</v>
      </c>
      <c r="J21" s="5">
        <f>Table14[[#This Row],[Enrolment S.Y. 2025-2026 ]]*8</f>
        <v>3136</v>
      </c>
      <c r="K21" s="5"/>
      <c r="L21" s="1"/>
      <c r="M21" s="5"/>
      <c r="N21" s="5">
        <f t="shared" si="2"/>
        <v>3136</v>
      </c>
      <c r="O21" s="5">
        <f t="shared" si="3"/>
        <v>0</v>
      </c>
      <c r="P21" s="5">
        <f>Table14[[#This Row],[Enrolment S.Y. 2025-2026 ]]*8</f>
        <v>3136</v>
      </c>
      <c r="Q21" s="5"/>
      <c r="R21" s="1"/>
      <c r="S21" s="5"/>
      <c r="T21" s="5">
        <f t="shared" si="4"/>
        <v>3136</v>
      </c>
      <c r="U21" s="5">
        <f t="shared" si="5"/>
        <v>0</v>
      </c>
      <c r="V21" s="5">
        <f>Table14[[#This Row],[Enrolment S.Y. 2025-2026 ]]*8</f>
        <v>3136</v>
      </c>
      <c r="W21" s="5">
        <v>57</v>
      </c>
      <c r="X21" s="1">
        <v>2025</v>
      </c>
      <c r="Y21" s="5" t="s">
        <v>50</v>
      </c>
      <c r="Z21" s="5">
        <f t="shared" si="6"/>
        <v>3079</v>
      </c>
      <c r="AA21" s="5">
        <f t="shared" si="7"/>
        <v>0</v>
      </c>
    </row>
    <row r="22" spans="1:27" s="7" customFormat="1"/>
    <row r="23" spans="1:27" ht="19.5">
      <c r="A23" s="1">
        <v>4</v>
      </c>
      <c r="B23" s="9" t="s">
        <v>15</v>
      </c>
      <c r="C23" s="1">
        <v>454</v>
      </c>
      <c r="D23" s="5">
        <f>Table14[[#This Row],[Enrolment S.Y. 2025-2026 ]]*8</f>
        <v>3632</v>
      </c>
      <c r="E23" s="5"/>
      <c r="F23" s="1"/>
      <c r="G23" s="5"/>
      <c r="H23" s="5">
        <f t="shared" si="0"/>
        <v>3632</v>
      </c>
      <c r="I23" s="5">
        <f t="shared" si="1"/>
        <v>0</v>
      </c>
      <c r="J23" s="5">
        <f>Table14[[#This Row],[Enrolment S.Y. 2025-2026 ]]*8</f>
        <v>3632</v>
      </c>
      <c r="K23" s="5"/>
      <c r="L23" s="1"/>
      <c r="M23" s="5"/>
      <c r="N23" s="5">
        <f t="shared" si="2"/>
        <v>3632</v>
      </c>
      <c r="O23" s="5">
        <f t="shared" si="3"/>
        <v>0</v>
      </c>
      <c r="P23" s="5">
        <f>Table14[[#This Row],[Enrolment S.Y. 2025-2026 ]]*8</f>
        <v>3632</v>
      </c>
      <c r="Q23" s="5"/>
      <c r="R23" s="1"/>
      <c r="S23" s="5"/>
      <c r="T23" s="5">
        <f t="shared" si="4"/>
        <v>3632</v>
      </c>
      <c r="U23" s="5">
        <f t="shared" si="5"/>
        <v>0</v>
      </c>
      <c r="V23" s="5">
        <f>Table14[[#This Row],[Enrolment S.Y. 2025-2026 ]]*8</f>
        <v>3632</v>
      </c>
      <c r="W23" s="5"/>
      <c r="X23" s="1"/>
      <c r="Y23" s="5"/>
      <c r="Z23" s="5">
        <f t="shared" si="6"/>
        <v>3632</v>
      </c>
      <c r="AA23" s="5">
        <f t="shared" si="7"/>
        <v>0</v>
      </c>
    </row>
    <row r="24" spans="1:27" ht="19.5">
      <c r="A24" s="1">
        <v>4</v>
      </c>
      <c r="B24" s="9" t="s">
        <v>16</v>
      </c>
      <c r="C24" s="1">
        <v>454</v>
      </c>
      <c r="D24" s="5">
        <f>Table14[[#This Row],[Enrolment S.Y. 2025-2026 ]]*8</f>
        <v>3632</v>
      </c>
      <c r="E24" s="5"/>
      <c r="F24" s="1"/>
      <c r="G24" s="5"/>
      <c r="H24" s="5">
        <f t="shared" si="0"/>
        <v>3632</v>
      </c>
      <c r="I24" s="5">
        <f t="shared" si="1"/>
        <v>0</v>
      </c>
      <c r="J24" s="5">
        <f>Table14[[#This Row],[Enrolment S.Y. 2025-2026 ]]*8</f>
        <v>3632</v>
      </c>
      <c r="K24" s="5"/>
      <c r="L24" s="1"/>
      <c r="M24" s="5"/>
      <c r="N24" s="5">
        <f t="shared" si="2"/>
        <v>3632</v>
      </c>
      <c r="O24" s="5">
        <f t="shared" si="3"/>
        <v>0</v>
      </c>
      <c r="P24" s="5">
        <f>Table14[[#This Row],[Enrolment S.Y. 2025-2026 ]]*8</f>
        <v>3632</v>
      </c>
      <c r="Q24" s="5"/>
      <c r="R24" s="1"/>
      <c r="S24" s="5"/>
      <c r="T24" s="5">
        <f t="shared" si="4"/>
        <v>3632</v>
      </c>
      <c r="U24" s="5">
        <f t="shared" si="5"/>
        <v>0</v>
      </c>
      <c r="V24" s="5">
        <f>Table14[[#This Row],[Enrolment S.Y. 2025-2026 ]]*8</f>
        <v>3632</v>
      </c>
      <c r="W24" s="5"/>
      <c r="X24" s="1"/>
      <c r="Y24" s="5"/>
      <c r="Z24" s="5">
        <f t="shared" si="6"/>
        <v>3632</v>
      </c>
      <c r="AA24" s="5">
        <f t="shared" si="7"/>
        <v>0</v>
      </c>
    </row>
    <row r="25" spans="1:27" ht="19.5">
      <c r="A25" s="1">
        <v>4</v>
      </c>
      <c r="B25" s="9" t="s">
        <v>13</v>
      </c>
      <c r="C25" s="1">
        <v>454</v>
      </c>
      <c r="D25" s="5">
        <f>Table14[[#This Row],[Enrolment S.Y. 2025-2026 ]]*8</f>
        <v>3632</v>
      </c>
      <c r="E25" s="5"/>
      <c r="F25" s="1"/>
      <c r="G25" s="5"/>
      <c r="H25" s="5">
        <f t="shared" si="0"/>
        <v>3632</v>
      </c>
      <c r="I25" s="5">
        <f t="shared" si="1"/>
        <v>0</v>
      </c>
      <c r="J25" s="5">
        <f>Table14[[#This Row],[Enrolment S.Y. 2025-2026 ]]*8</f>
        <v>3632</v>
      </c>
      <c r="K25" s="5"/>
      <c r="L25" s="1"/>
      <c r="M25" s="5"/>
      <c r="N25" s="5">
        <f t="shared" si="2"/>
        <v>3632</v>
      </c>
      <c r="O25" s="5">
        <f t="shared" si="3"/>
        <v>0</v>
      </c>
      <c r="P25" s="5">
        <f>Table14[[#This Row],[Enrolment S.Y. 2025-2026 ]]*8</f>
        <v>3632</v>
      </c>
      <c r="Q25" s="5"/>
      <c r="R25" s="1"/>
      <c r="S25" s="5"/>
      <c r="T25" s="5">
        <f t="shared" si="4"/>
        <v>3632</v>
      </c>
      <c r="U25" s="5">
        <f t="shared" si="5"/>
        <v>0</v>
      </c>
      <c r="V25" s="5">
        <f>Table14[[#This Row],[Enrolment S.Y. 2025-2026 ]]*8</f>
        <v>3632</v>
      </c>
      <c r="W25" s="5"/>
      <c r="X25" s="1"/>
      <c r="Y25" s="5"/>
      <c r="Z25" s="5">
        <f t="shared" si="6"/>
        <v>3632</v>
      </c>
      <c r="AA25" s="5">
        <f t="shared" si="7"/>
        <v>0</v>
      </c>
    </row>
    <row r="26" spans="1:27" ht="19.5">
      <c r="A26" s="1">
        <v>4</v>
      </c>
      <c r="B26" s="9" t="s">
        <v>11</v>
      </c>
      <c r="C26" s="1">
        <v>454</v>
      </c>
      <c r="D26" s="5">
        <f>Table14[[#This Row],[Enrolment S.Y. 2025-2026 ]]*8</f>
        <v>3632</v>
      </c>
      <c r="E26" s="5"/>
      <c r="F26" s="1"/>
      <c r="G26" s="5"/>
      <c r="H26" s="5">
        <f t="shared" si="0"/>
        <v>3632</v>
      </c>
      <c r="I26" s="5">
        <f t="shared" si="1"/>
        <v>0</v>
      </c>
      <c r="J26" s="5">
        <f>Table14[[#This Row],[Enrolment S.Y. 2025-2026 ]]*8</f>
        <v>3632</v>
      </c>
      <c r="K26" s="5"/>
      <c r="L26" s="1"/>
      <c r="M26" s="5"/>
      <c r="N26" s="5">
        <f t="shared" si="2"/>
        <v>3632</v>
      </c>
      <c r="O26" s="5">
        <f t="shared" si="3"/>
        <v>0</v>
      </c>
      <c r="P26" s="5">
        <f>Table14[[#This Row],[Enrolment S.Y. 2025-2026 ]]*8</f>
        <v>3632</v>
      </c>
      <c r="Q26" s="5"/>
      <c r="R26" s="1"/>
      <c r="S26" s="5"/>
      <c r="T26" s="5">
        <f t="shared" si="4"/>
        <v>3632</v>
      </c>
      <c r="U26" s="5">
        <f t="shared" si="5"/>
        <v>0</v>
      </c>
      <c r="V26" s="5">
        <f>Table14[[#This Row],[Enrolment S.Y. 2025-2026 ]]*8</f>
        <v>3632</v>
      </c>
      <c r="W26" s="5"/>
      <c r="X26" s="1"/>
      <c r="Y26" s="5"/>
      <c r="Z26" s="5">
        <f t="shared" si="6"/>
        <v>3632</v>
      </c>
      <c r="AA26" s="5">
        <f t="shared" si="7"/>
        <v>0</v>
      </c>
    </row>
    <row r="27" spans="1:27" ht="38.25">
      <c r="A27" s="1">
        <v>4</v>
      </c>
      <c r="B27" s="9" t="s">
        <v>17</v>
      </c>
      <c r="C27" s="1">
        <v>454</v>
      </c>
      <c r="D27" s="5">
        <f>Table14[[#This Row],[Enrolment S.Y. 2025-2026 ]]*8</f>
        <v>3632</v>
      </c>
      <c r="E27" s="5"/>
      <c r="F27" s="1"/>
      <c r="G27" s="5"/>
      <c r="H27" s="5">
        <f t="shared" si="0"/>
        <v>3632</v>
      </c>
      <c r="I27" s="5">
        <f t="shared" si="1"/>
        <v>0</v>
      </c>
      <c r="J27" s="5">
        <f>Table14[[#This Row],[Enrolment S.Y. 2025-2026 ]]*8</f>
        <v>3632</v>
      </c>
      <c r="K27" s="5"/>
      <c r="L27" s="1"/>
      <c r="M27" s="5"/>
      <c r="N27" s="5">
        <f t="shared" si="2"/>
        <v>3632</v>
      </c>
      <c r="O27" s="5">
        <f t="shared" si="3"/>
        <v>0</v>
      </c>
      <c r="P27" s="5">
        <f>Table14[[#This Row],[Enrolment S.Y. 2025-2026 ]]*8</f>
        <v>3632</v>
      </c>
      <c r="Q27" s="5"/>
      <c r="R27" s="1"/>
      <c r="S27" s="5"/>
      <c r="T27" s="5">
        <f t="shared" si="4"/>
        <v>3632</v>
      </c>
      <c r="U27" s="5">
        <f t="shared" si="5"/>
        <v>0</v>
      </c>
      <c r="V27" s="5">
        <f>Table14[[#This Row],[Enrolment S.Y. 2025-2026 ]]*8</f>
        <v>3632</v>
      </c>
      <c r="W27" s="5"/>
      <c r="X27" s="1"/>
      <c r="Y27" s="5"/>
      <c r="Z27" s="5">
        <f t="shared" si="6"/>
        <v>3632</v>
      </c>
      <c r="AA27" s="5">
        <f t="shared" si="7"/>
        <v>0</v>
      </c>
    </row>
    <row r="28" spans="1:27" ht="19.5">
      <c r="A28" s="1">
        <v>4</v>
      </c>
      <c r="B28" s="9" t="s">
        <v>14</v>
      </c>
      <c r="C28" s="1">
        <v>454</v>
      </c>
      <c r="D28" s="5">
        <f>Table14[[#This Row],[Enrolment S.Y. 2025-2026 ]]*8</f>
        <v>3632</v>
      </c>
      <c r="E28" s="5"/>
      <c r="F28" s="1"/>
      <c r="G28" s="5"/>
      <c r="H28" s="5">
        <f t="shared" si="0"/>
        <v>3632</v>
      </c>
      <c r="I28" s="5">
        <f t="shared" si="1"/>
        <v>0</v>
      </c>
      <c r="J28" s="5">
        <f>Table14[[#This Row],[Enrolment S.Y. 2025-2026 ]]*8</f>
        <v>3632</v>
      </c>
      <c r="K28" s="5"/>
      <c r="L28" s="1"/>
      <c r="M28" s="5"/>
      <c r="N28" s="5">
        <f t="shared" ref="N28:N33" si="16">IF((J28-K28)&lt;0,0,(J28-K28))</f>
        <v>3632</v>
      </c>
      <c r="O28" s="5">
        <f t="shared" ref="O28:O33" si="17">IF((K28-J28)&lt;0,0,(K28-J28))</f>
        <v>0</v>
      </c>
      <c r="P28" s="5">
        <f>Table14[[#This Row],[Enrolment S.Y. 2025-2026 ]]*8</f>
        <v>3632</v>
      </c>
      <c r="Q28" s="5"/>
      <c r="R28" s="1"/>
      <c r="S28" s="5"/>
      <c r="T28" s="5">
        <f t="shared" si="4"/>
        <v>3632</v>
      </c>
      <c r="U28" s="5">
        <f t="shared" si="5"/>
        <v>0</v>
      </c>
      <c r="V28" s="5">
        <f>Table14[[#This Row],[Enrolment S.Y. 2025-2026 ]]*8</f>
        <v>3632</v>
      </c>
      <c r="W28" s="5"/>
      <c r="X28" s="1"/>
      <c r="Y28" s="5"/>
      <c r="Z28" s="5">
        <f t="shared" si="6"/>
        <v>3632</v>
      </c>
      <c r="AA28" s="5">
        <f t="shared" si="7"/>
        <v>0</v>
      </c>
    </row>
    <row r="29" spans="1:27" ht="19.5">
      <c r="A29" s="31">
        <v>4</v>
      </c>
      <c r="B29" s="9" t="s">
        <v>57</v>
      </c>
      <c r="C29" s="1">
        <v>454</v>
      </c>
      <c r="D29" s="5">
        <f>Table14[[#This Row],[Enrolment S.Y. 2025-2026 ]]*8</f>
        <v>3632</v>
      </c>
      <c r="E29" s="5"/>
      <c r="F29" s="1"/>
      <c r="G29" s="5"/>
      <c r="H29" s="5">
        <f>IF((D29-E29)&lt;0,0,(D29-E29))</f>
        <v>3632</v>
      </c>
      <c r="I29" s="5">
        <f>IF((E29-D29)&lt;0,0,(E29-D29))</f>
        <v>0</v>
      </c>
      <c r="J29" s="5">
        <f>Table14[[#This Row],[Enrolment S.Y. 2025-2026 ]]*8</f>
        <v>3632</v>
      </c>
      <c r="K29" s="5"/>
      <c r="L29" s="1"/>
      <c r="M29" s="5"/>
      <c r="N29" s="5">
        <f t="shared" si="16"/>
        <v>3632</v>
      </c>
      <c r="O29" s="5">
        <f t="shared" si="17"/>
        <v>0</v>
      </c>
      <c r="P29" s="5">
        <f>Table14[[#This Row],[Enrolment S.Y. 2025-2026 ]]*8</f>
        <v>3632</v>
      </c>
      <c r="Q29" s="5"/>
      <c r="R29" s="1"/>
      <c r="S29" s="5"/>
      <c r="T29" s="5">
        <f>IF((P29-Q29)&lt;0,0,(P29-Q29))</f>
        <v>3632</v>
      </c>
      <c r="U29" s="5">
        <f>IF((Q29-P29)&lt;0,0,(Q29-P29))</f>
        <v>0</v>
      </c>
      <c r="V29" s="5">
        <f>Table14[[#This Row],[Enrolment S.Y. 2025-2026 ]]*8</f>
        <v>3632</v>
      </c>
      <c r="W29" s="5"/>
      <c r="X29" s="1"/>
      <c r="Y29" s="5"/>
      <c r="Z29" s="5">
        <f>IF((V29-W29)&lt;0,0,(V29-W29))</f>
        <v>3632</v>
      </c>
      <c r="AA29" s="5">
        <f>IF((W29-V29)&lt;0,0,(W29-V29))</f>
        <v>0</v>
      </c>
    </row>
    <row r="30" spans="1:27" ht="19.5">
      <c r="A30" s="1">
        <v>4</v>
      </c>
      <c r="B30" s="9" t="s">
        <v>58</v>
      </c>
      <c r="C30" s="1">
        <v>454</v>
      </c>
      <c r="D30" s="5">
        <f>Table14[[#This Row],[Enrolment S.Y. 2025-2026 ]]*8</f>
        <v>3632</v>
      </c>
      <c r="E30" s="5"/>
      <c r="F30" s="1"/>
      <c r="G30" s="5"/>
      <c r="H30" s="5">
        <f t="shared" si="0"/>
        <v>3632</v>
      </c>
      <c r="I30" s="5">
        <f t="shared" si="1"/>
        <v>0</v>
      </c>
      <c r="J30" s="5">
        <f>Table14[[#This Row],[Enrolment S.Y. 2025-2026 ]]*8</f>
        <v>3632</v>
      </c>
      <c r="K30" s="5"/>
      <c r="L30" s="1"/>
      <c r="M30" s="5"/>
      <c r="N30" s="5">
        <f t="shared" si="16"/>
        <v>3632</v>
      </c>
      <c r="O30" s="5">
        <f t="shared" si="17"/>
        <v>0</v>
      </c>
      <c r="P30" s="5">
        <f>Table14[[#This Row],[Enrolment S.Y. 2025-2026 ]]*8</f>
        <v>3632</v>
      </c>
      <c r="Q30" s="5"/>
      <c r="R30" s="1"/>
      <c r="S30" s="5"/>
      <c r="T30" s="5">
        <f t="shared" si="4"/>
        <v>3632</v>
      </c>
      <c r="U30" s="5">
        <f t="shared" si="5"/>
        <v>0</v>
      </c>
      <c r="V30" s="5">
        <f>Table14[[#This Row],[Enrolment S.Y. 2025-2026 ]]*8</f>
        <v>3632</v>
      </c>
      <c r="W30" s="5"/>
      <c r="X30" s="1"/>
      <c r="Y30" s="5"/>
      <c r="Z30" s="5">
        <f t="shared" si="6"/>
        <v>3632</v>
      </c>
      <c r="AA30" s="5">
        <f t="shared" si="7"/>
        <v>0</v>
      </c>
    </row>
    <row r="31" spans="1:27" ht="19.5">
      <c r="A31" s="1">
        <v>4</v>
      </c>
      <c r="B31" s="9" t="s">
        <v>19</v>
      </c>
      <c r="C31" s="1">
        <v>454</v>
      </c>
      <c r="D31" s="5">
        <f>Table14[[#This Row],[Enrolment S.Y. 2025-2026 ]]*8</f>
        <v>3632</v>
      </c>
      <c r="E31" s="5"/>
      <c r="F31" s="1"/>
      <c r="G31" s="5"/>
      <c r="H31" s="5">
        <f t="shared" si="0"/>
        <v>3632</v>
      </c>
      <c r="I31" s="5">
        <f t="shared" si="1"/>
        <v>0</v>
      </c>
      <c r="J31" s="5">
        <f>Table14[[#This Row],[Enrolment S.Y. 2025-2026 ]]*8</f>
        <v>3632</v>
      </c>
      <c r="K31" s="5"/>
      <c r="L31" s="1"/>
      <c r="M31" s="5"/>
      <c r="N31" s="5">
        <f t="shared" si="16"/>
        <v>3632</v>
      </c>
      <c r="O31" s="5">
        <f t="shared" si="17"/>
        <v>0</v>
      </c>
      <c r="P31" s="5">
        <f>Table14[[#This Row],[Enrolment S.Y. 2025-2026 ]]*8</f>
        <v>3632</v>
      </c>
      <c r="Q31" s="5"/>
      <c r="R31" s="1"/>
      <c r="S31" s="5"/>
      <c r="T31" s="5">
        <f t="shared" si="4"/>
        <v>3632</v>
      </c>
      <c r="U31" s="5">
        <f t="shared" si="5"/>
        <v>0</v>
      </c>
      <c r="V31" s="5">
        <f>Table14[[#This Row],[Enrolment S.Y. 2025-2026 ]]*8</f>
        <v>3632</v>
      </c>
      <c r="W31" s="5"/>
      <c r="X31" s="1"/>
      <c r="Y31" s="5"/>
      <c r="Z31" s="5">
        <f t="shared" si="6"/>
        <v>3632</v>
      </c>
      <c r="AA31" s="5">
        <f t="shared" si="7"/>
        <v>0</v>
      </c>
    </row>
    <row r="32" spans="1:27" ht="19.5">
      <c r="A32" s="31">
        <v>4</v>
      </c>
      <c r="B32" s="9" t="s">
        <v>59</v>
      </c>
      <c r="C32" s="1">
        <v>454</v>
      </c>
      <c r="D32" s="5">
        <f>Table14[[#This Row],[Enrolment S.Y. 2025-2026 ]]*8</f>
        <v>3632</v>
      </c>
      <c r="E32" s="5"/>
      <c r="F32" s="1"/>
      <c r="G32" s="5"/>
      <c r="H32" s="5">
        <f>IF((D32-E32)&lt;0,0,(D32-E32))</f>
        <v>3632</v>
      </c>
      <c r="I32" s="5">
        <f>IF((E32-D32)&lt;0,0,(E32-D32))</f>
        <v>0</v>
      </c>
      <c r="J32" s="5">
        <f>Table14[[#This Row],[Enrolment S.Y. 2025-2026 ]]*8</f>
        <v>3632</v>
      </c>
      <c r="K32" s="5"/>
      <c r="L32" s="1"/>
      <c r="M32" s="5"/>
      <c r="N32" s="5">
        <f t="shared" si="16"/>
        <v>3632</v>
      </c>
      <c r="O32" s="5">
        <f t="shared" si="17"/>
        <v>0</v>
      </c>
      <c r="P32" s="5">
        <f>Table14[[#This Row],[Enrolment S.Y. 2025-2026 ]]*8</f>
        <v>3632</v>
      </c>
      <c r="Q32" s="5"/>
      <c r="R32" s="1"/>
      <c r="S32" s="5"/>
      <c r="T32" s="5">
        <f>IF((P32-Q32)&lt;0,0,(P32-Q32))</f>
        <v>3632</v>
      </c>
      <c r="U32" s="5">
        <f>IF((Q32-P32)&lt;0,0,(Q32-P32))</f>
        <v>0</v>
      </c>
      <c r="V32" s="5">
        <f>Table14[[#This Row],[Enrolment S.Y. 2025-2026 ]]*8</f>
        <v>3632</v>
      </c>
      <c r="W32" s="5"/>
      <c r="X32" s="1"/>
      <c r="Y32" s="5"/>
      <c r="Z32" s="5">
        <f>IF((V32-W32)&lt;0,0,(V32-W32))</f>
        <v>3632</v>
      </c>
      <c r="AA32" s="5">
        <f>IF((W32-V32)&lt;0,0,(W32-V32))</f>
        <v>0</v>
      </c>
    </row>
    <row r="33" spans="1:27" ht="19.5">
      <c r="A33" s="1">
        <v>4</v>
      </c>
      <c r="B33" s="9" t="s">
        <v>60</v>
      </c>
      <c r="C33" s="1">
        <v>454</v>
      </c>
      <c r="D33" s="5">
        <f>Table14[[#This Row],[Enrolment S.Y. 2025-2026 ]]*8</f>
        <v>3632</v>
      </c>
      <c r="E33" s="5"/>
      <c r="F33" s="1"/>
      <c r="G33" s="5"/>
      <c r="H33" s="5">
        <f t="shared" si="0"/>
        <v>3632</v>
      </c>
      <c r="I33" s="5">
        <f t="shared" si="1"/>
        <v>0</v>
      </c>
      <c r="J33" s="5">
        <f>Table14[[#This Row],[Enrolment S.Y. 2025-2026 ]]*8</f>
        <v>3632</v>
      </c>
      <c r="K33" s="5"/>
      <c r="L33" s="1"/>
      <c r="M33" s="5"/>
      <c r="N33" s="5">
        <f t="shared" si="16"/>
        <v>3632</v>
      </c>
      <c r="O33" s="5">
        <f t="shared" si="17"/>
        <v>0</v>
      </c>
      <c r="P33" s="5">
        <f>Table14[[#This Row],[Enrolment S.Y. 2025-2026 ]]*8</f>
        <v>3632</v>
      </c>
      <c r="Q33" s="5"/>
      <c r="R33" s="1"/>
      <c r="S33" s="5"/>
      <c r="T33" s="5">
        <f t="shared" si="4"/>
        <v>3632</v>
      </c>
      <c r="U33" s="5">
        <f t="shared" si="5"/>
        <v>0</v>
      </c>
      <c r="V33" s="5">
        <f>Table14[[#This Row],[Enrolment S.Y. 2025-2026 ]]*8</f>
        <v>3632</v>
      </c>
      <c r="W33" s="5"/>
      <c r="X33" s="1"/>
      <c r="Y33" s="5"/>
      <c r="Z33" s="5">
        <f t="shared" si="6"/>
        <v>3632</v>
      </c>
      <c r="AA33" s="5">
        <f t="shared" si="7"/>
        <v>0</v>
      </c>
    </row>
    <row r="34" spans="1:27" s="7" customFormat="1"/>
    <row r="35" spans="1:27" ht="19.5">
      <c r="A35" s="1">
        <v>5</v>
      </c>
      <c r="B35" s="9" t="s">
        <v>15</v>
      </c>
      <c r="C35" s="1">
        <v>381</v>
      </c>
      <c r="D35" s="5">
        <f>Table14[[#This Row],[Enrolment S.Y. 2025-2026 ]]*8</f>
        <v>3048</v>
      </c>
      <c r="E35" s="5"/>
      <c r="F35" s="1"/>
      <c r="G35" s="5"/>
      <c r="H35" s="5">
        <f t="shared" si="0"/>
        <v>3048</v>
      </c>
      <c r="I35" s="5">
        <f t="shared" si="1"/>
        <v>0</v>
      </c>
      <c r="J35" s="5">
        <f>Table14[[#This Row],[Enrolment S.Y. 2025-2026 ]]*8</f>
        <v>3048</v>
      </c>
      <c r="K35" s="5"/>
      <c r="L35" s="1"/>
      <c r="M35" s="5"/>
      <c r="N35" s="5">
        <f t="shared" si="2"/>
        <v>3048</v>
      </c>
      <c r="O35" s="5">
        <f t="shared" si="3"/>
        <v>0</v>
      </c>
      <c r="P35" s="5">
        <f>Table14[[#This Row],[Enrolment S.Y. 2025-2026 ]]*8</f>
        <v>3048</v>
      </c>
      <c r="Q35" s="5"/>
      <c r="R35" s="1"/>
      <c r="S35" s="5"/>
      <c r="T35" s="5">
        <f t="shared" si="4"/>
        <v>3048</v>
      </c>
      <c r="U35" s="5">
        <f t="shared" si="5"/>
        <v>0</v>
      </c>
      <c r="V35" s="5">
        <f>Table14[[#This Row],[Enrolment S.Y. 2025-2026 ]]*8</f>
        <v>3048</v>
      </c>
      <c r="W35" s="5"/>
      <c r="X35" s="1"/>
      <c r="Y35" s="5"/>
      <c r="Z35" s="5">
        <f t="shared" si="6"/>
        <v>3048</v>
      </c>
      <c r="AA35" s="5">
        <f t="shared" si="7"/>
        <v>0</v>
      </c>
    </row>
    <row r="36" spans="1:27" ht="19.5">
      <c r="A36" s="1">
        <v>5</v>
      </c>
      <c r="B36" s="9" t="s">
        <v>16</v>
      </c>
      <c r="C36" s="1">
        <v>381</v>
      </c>
      <c r="D36" s="5">
        <f>Table14[[#This Row],[Enrolment S.Y. 2025-2026 ]]*8</f>
        <v>3048</v>
      </c>
      <c r="E36" s="5"/>
      <c r="F36" s="1"/>
      <c r="G36" s="5"/>
      <c r="H36" s="5">
        <f t="shared" si="0"/>
        <v>3048</v>
      </c>
      <c r="I36" s="5">
        <f t="shared" si="1"/>
        <v>0</v>
      </c>
      <c r="J36" s="5">
        <f>Table14[[#This Row],[Enrolment S.Y. 2025-2026 ]]*8</f>
        <v>3048</v>
      </c>
      <c r="K36" s="5"/>
      <c r="L36" s="1"/>
      <c r="M36" s="5"/>
      <c r="N36" s="5">
        <f t="shared" si="2"/>
        <v>3048</v>
      </c>
      <c r="O36" s="5">
        <f t="shared" si="3"/>
        <v>0</v>
      </c>
      <c r="P36" s="5">
        <f>Table14[[#This Row],[Enrolment S.Y. 2025-2026 ]]*8</f>
        <v>3048</v>
      </c>
      <c r="Q36" s="5"/>
      <c r="R36" s="1"/>
      <c r="S36" s="5"/>
      <c r="T36" s="5">
        <f t="shared" si="4"/>
        <v>3048</v>
      </c>
      <c r="U36" s="5">
        <f t="shared" si="5"/>
        <v>0</v>
      </c>
      <c r="V36" s="5">
        <f>Table14[[#This Row],[Enrolment S.Y. 2025-2026 ]]*8</f>
        <v>3048</v>
      </c>
      <c r="W36" s="5"/>
      <c r="X36" s="1"/>
      <c r="Y36" s="5"/>
      <c r="Z36" s="5">
        <f t="shared" si="6"/>
        <v>3048</v>
      </c>
      <c r="AA36" s="5">
        <f t="shared" si="7"/>
        <v>0</v>
      </c>
    </row>
    <row r="37" spans="1:27" ht="19.5">
      <c r="A37" s="1">
        <v>5</v>
      </c>
      <c r="B37" s="9" t="s">
        <v>13</v>
      </c>
      <c r="C37" s="1">
        <v>381</v>
      </c>
      <c r="D37" s="5">
        <f>Table14[[#This Row],[Enrolment S.Y. 2025-2026 ]]*8</f>
        <v>3048</v>
      </c>
      <c r="E37" s="5"/>
      <c r="F37" s="1"/>
      <c r="G37" s="5"/>
      <c r="H37" s="5">
        <f t="shared" si="0"/>
        <v>3048</v>
      </c>
      <c r="I37" s="5">
        <f t="shared" si="1"/>
        <v>0</v>
      </c>
      <c r="J37" s="5">
        <f>Table14[[#This Row],[Enrolment S.Y. 2025-2026 ]]*8</f>
        <v>3048</v>
      </c>
      <c r="K37" s="5"/>
      <c r="L37" s="1"/>
      <c r="M37" s="5"/>
      <c r="N37" s="5">
        <f t="shared" si="2"/>
        <v>3048</v>
      </c>
      <c r="O37" s="5">
        <f t="shared" si="3"/>
        <v>0</v>
      </c>
      <c r="P37" s="5">
        <f>Table14[[#This Row],[Enrolment S.Y. 2025-2026 ]]*8</f>
        <v>3048</v>
      </c>
      <c r="Q37" s="5"/>
      <c r="R37" s="1"/>
      <c r="S37" s="5"/>
      <c r="T37" s="5">
        <f t="shared" si="4"/>
        <v>3048</v>
      </c>
      <c r="U37" s="5">
        <f t="shared" si="5"/>
        <v>0</v>
      </c>
      <c r="V37" s="5">
        <f>Table14[[#This Row],[Enrolment S.Y. 2025-2026 ]]*8</f>
        <v>3048</v>
      </c>
      <c r="W37" s="5"/>
      <c r="X37" s="1"/>
      <c r="Y37" s="5"/>
      <c r="Z37" s="5">
        <f t="shared" si="6"/>
        <v>3048</v>
      </c>
      <c r="AA37" s="5">
        <f t="shared" si="7"/>
        <v>0</v>
      </c>
    </row>
    <row r="38" spans="1:27" ht="19.5">
      <c r="A38" s="1">
        <v>5</v>
      </c>
      <c r="B38" s="9" t="s">
        <v>11</v>
      </c>
      <c r="C38" s="1">
        <v>381</v>
      </c>
      <c r="D38" s="5">
        <f>Table14[[#This Row],[Enrolment S.Y. 2025-2026 ]]*8</f>
        <v>3048</v>
      </c>
      <c r="E38" s="5"/>
      <c r="F38" s="1"/>
      <c r="G38" s="5"/>
      <c r="H38" s="5">
        <f t="shared" si="0"/>
        <v>3048</v>
      </c>
      <c r="I38" s="5">
        <f t="shared" si="1"/>
        <v>0</v>
      </c>
      <c r="J38" s="5">
        <f>Table14[[#This Row],[Enrolment S.Y. 2025-2026 ]]*8</f>
        <v>3048</v>
      </c>
      <c r="K38" s="5"/>
      <c r="L38" s="1"/>
      <c r="M38" s="5"/>
      <c r="N38" s="5">
        <f t="shared" si="2"/>
        <v>3048</v>
      </c>
      <c r="O38" s="5">
        <f t="shared" si="3"/>
        <v>0</v>
      </c>
      <c r="P38" s="5">
        <f>Table14[[#This Row],[Enrolment S.Y. 2025-2026 ]]*8</f>
        <v>3048</v>
      </c>
      <c r="Q38" s="5"/>
      <c r="R38" s="1"/>
      <c r="S38" s="5"/>
      <c r="T38" s="5">
        <f t="shared" si="4"/>
        <v>3048</v>
      </c>
      <c r="U38" s="5">
        <f t="shared" si="5"/>
        <v>0</v>
      </c>
      <c r="V38" s="5">
        <f>Table14[[#This Row],[Enrolment S.Y. 2025-2026 ]]*8</f>
        <v>3048</v>
      </c>
      <c r="W38" s="5"/>
      <c r="X38" s="1"/>
      <c r="Y38" s="5"/>
      <c r="Z38" s="5">
        <f t="shared" si="6"/>
        <v>3048</v>
      </c>
      <c r="AA38" s="5">
        <f t="shared" si="7"/>
        <v>0</v>
      </c>
    </row>
    <row r="39" spans="1:27" ht="38.25">
      <c r="A39" s="1">
        <v>5</v>
      </c>
      <c r="B39" s="9" t="s">
        <v>17</v>
      </c>
      <c r="C39" s="1">
        <v>381</v>
      </c>
      <c r="D39" s="5">
        <f>Table14[[#This Row],[Enrolment S.Y. 2025-2026 ]]*8</f>
        <v>3048</v>
      </c>
      <c r="E39" s="5"/>
      <c r="F39" s="1"/>
      <c r="G39" s="5"/>
      <c r="H39" s="5">
        <f t="shared" si="0"/>
        <v>3048</v>
      </c>
      <c r="I39" s="5">
        <f t="shared" si="1"/>
        <v>0</v>
      </c>
      <c r="J39" s="5">
        <f>Table14[[#This Row],[Enrolment S.Y. 2025-2026 ]]*8</f>
        <v>3048</v>
      </c>
      <c r="K39" s="5"/>
      <c r="L39" s="1"/>
      <c r="M39" s="5"/>
      <c r="N39" s="5">
        <f t="shared" si="2"/>
        <v>3048</v>
      </c>
      <c r="O39" s="5">
        <f t="shared" si="3"/>
        <v>0</v>
      </c>
      <c r="P39" s="5">
        <f>Table14[[#This Row],[Enrolment S.Y. 2025-2026 ]]*8</f>
        <v>3048</v>
      </c>
      <c r="Q39" s="5"/>
      <c r="R39" s="1"/>
      <c r="S39" s="5"/>
      <c r="T39" s="5">
        <f t="shared" si="4"/>
        <v>3048</v>
      </c>
      <c r="U39" s="5">
        <f t="shared" si="5"/>
        <v>0</v>
      </c>
      <c r="V39" s="5">
        <f>Table14[[#This Row],[Enrolment S.Y. 2025-2026 ]]*8</f>
        <v>3048</v>
      </c>
      <c r="W39" s="5"/>
      <c r="X39" s="1"/>
      <c r="Y39" s="5"/>
      <c r="Z39" s="5">
        <f t="shared" si="6"/>
        <v>3048</v>
      </c>
      <c r="AA39" s="5">
        <f t="shared" si="7"/>
        <v>0</v>
      </c>
    </row>
    <row r="40" spans="1:27" ht="19.5">
      <c r="A40" s="1">
        <v>5</v>
      </c>
      <c r="B40" s="9" t="s">
        <v>14</v>
      </c>
      <c r="C40" s="1">
        <v>381</v>
      </c>
      <c r="D40" s="5">
        <f>Table14[[#This Row],[Enrolment S.Y. 2025-2026 ]]*8</f>
        <v>3048</v>
      </c>
      <c r="E40" s="5"/>
      <c r="F40" s="1"/>
      <c r="G40" s="5"/>
      <c r="H40" s="5">
        <f t="shared" si="0"/>
        <v>3048</v>
      </c>
      <c r="I40" s="5">
        <f t="shared" si="1"/>
        <v>0</v>
      </c>
      <c r="J40" s="5">
        <f>Table14[[#This Row],[Enrolment S.Y. 2025-2026 ]]*8</f>
        <v>3048</v>
      </c>
      <c r="K40" s="5"/>
      <c r="L40" s="1"/>
      <c r="M40" s="5"/>
      <c r="N40" s="5">
        <f t="shared" ref="N40:N45" si="18">IF((J40-K40)&lt;0,0,(J40-K40))</f>
        <v>3048</v>
      </c>
      <c r="O40" s="5">
        <f t="shared" ref="O40:O45" si="19">IF((K40-J40)&lt;0,0,(K40-J40))</f>
        <v>0</v>
      </c>
      <c r="P40" s="5">
        <f>Table14[[#This Row],[Enrolment S.Y. 2025-2026 ]]*8</f>
        <v>3048</v>
      </c>
      <c r="Q40" s="5"/>
      <c r="R40" s="1"/>
      <c r="S40" s="5"/>
      <c r="T40" s="5">
        <f t="shared" si="4"/>
        <v>3048</v>
      </c>
      <c r="U40" s="5">
        <f t="shared" si="5"/>
        <v>0</v>
      </c>
      <c r="V40" s="5">
        <f>Table14[[#This Row],[Enrolment S.Y. 2025-2026 ]]*8</f>
        <v>3048</v>
      </c>
      <c r="W40" s="5"/>
      <c r="X40" s="1"/>
      <c r="Y40" s="5"/>
      <c r="Z40" s="5">
        <f t="shared" si="6"/>
        <v>3048</v>
      </c>
      <c r="AA40" s="5">
        <f t="shared" si="7"/>
        <v>0</v>
      </c>
    </row>
    <row r="41" spans="1:27" ht="19.5">
      <c r="A41" s="31">
        <v>5</v>
      </c>
      <c r="B41" s="9" t="s">
        <v>57</v>
      </c>
      <c r="C41" s="1">
        <v>381</v>
      </c>
      <c r="D41" s="5">
        <f>Table14[[#This Row],[Enrolment S.Y. 2025-2026 ]]*8</f>
        <v>3048</v>
      </c>
      <c r="E41" s="5"/>
      <c r="F41" s="1"/>
      <c r="G41" s="5"/>
      <c r="H41" s="5">
        <f>IF((D41-E41)&lt;0,0,(D41-E41))</f>
        <v>3048</v>
      </c>
      <c r="I41" s="5">
        <f>IF((E41-D41)&lt;0,0,(E41-D41))</f>
        <v>0</v>
      </c>
      <c r="J41" s="5">
        <f>Table14[[#This Row],[Enrolment S.Y. 2025-2026 ]]*8</f>
        <v>3048</v>
      </c>
      <c r="K41" s="5"/>
      <c r="L41" s="1"/>
      <c r="M41" s="5"/>
      <c r="N41" s="5">
        <f t="shared" si="18"/>
        <v>3048</v>
      </c>
      <c r="O41" s="5">
        <f t="shared" si="19"/>
        <v>0</v>
      </c>
      <c r="P41" s="5">
        <f>Table14[[#This Row],[Enrolment S.Y. 2025-2026 ]]*8</f>
        <v>3048</v>
      </c>
      <c r="Q41" s="5"/>
      <c r="R41" s="1"/>
      <c r="S41" s="5"/>
      <c r="T41" s="5">
        <f>IF((P41-Q41)&lt;0,0,(P41-Q41))</f>
        <v>3048</v>
      </c>
      <c r="U41" s="5">
        <f>IF((Q41-P41)&lt;0,0,(Q41-P41))</f>
        <v>0</v>
      </c>
      <c r="V41" s="5">
        <f>Table14[[#This Row],[Enrolment S.Y. 2025-2026 ]]*8</f>
        <v>3048</v>
      </c>
      <c r="W41" s="5"/>
      <c r="X41" s="1"/>
      <c r="Y41" s="5"/>
      <c r="Z41" s="5">
        <f>IF((V41-W41)&lt;0,0,(V41-W41))</f>
        <v>3048</v>
      </c>
      <c r="AA41" s="5">
        <f>IF((W41-V41)&lt;0,0,(W41-V41))</f>
        <v>0</v>
      </c>
    </row>
    <row r="42" spans="1:27" ht="19.5">
      <c r="A42" s="1">
        <v>5</v>
      </c>
      <c r="B42" s="9" t="s">
        <v>58</v>
      </c>
      <c r="C42" s="1">
        <v>381</v>
      </c>
      <c r="D42" s="5">
        <f>Table14[[#This Row],[Enrolment S.Y. 2025-2026 ]]*8</f>
        <v>3048</v>
      </c>
      <c r="E42" s="5"/>
      <c r="F42" s="1"/>
      <c r="G42" s="5"/>
      <c r="H42" s="5">
        <f t="shared" si="0"/>
        <v>3048</v>
      </c>
      <c r="I42" s="5">
        <f t="shared" si="1"/>
        <v>0</v>
      </c>
      <c r="J42" s="5">
        <f>Table14[[#This Row],[Enrolment S.Y. 2025-2026 ]]*8</f>
        <v>3048</v>
      </c>
      <c r="K42" s="5"/>
      <c r="L42" s="1"/>
      <c r="M42" s="5"/>
      <c r="N42" s="5">
        <f t="shared" si="18"/>
        <v>3048</v>
      </c>
      <c r="O42" s="5">
        <f t="shared" si="19"/>
        <v>0</v>
      </c>
      <c r="P42" s="5">
        <f>Table14[[#This Row],[Enrolment S.Y. 2025-2026 ]]*8</f>
        <v>3048</v>
      </c>
      <c r="Q42" s="5"/>
      <c r="R42" s="1"/>
      <c r="S42" s="5"/>
      <c r="T42" s="5">
        <f t="shared" si="4"/>
        <v>3048</v>
      </c>
      <c r="U42" s="5">
        <f t="shared" si="5"/>
        <v>0</v>
      </c>
      <c r="V42" s="5">
        <f>Table14[[#This Row],[Enrolment S.Y. 2025-2026 ]]*8</f>
        <v>3048</v>
      </c>
      <c r="W42" s="5"/>
      <c r="X42" s="1"/>
      <c r="Y42" s="5"/>
      <c r="Z42" s="5">
        <f t="shared" si="6"/>
        <v>3048</v>
      </c>
      <c r="AA42" s="5">
        <f t="shared" si="7"/>
        <v>0</v>
      </c>
    </row>
    <row r="43" spans="1:27" ht="19.5">
      <c r="A43" s="1">
        <v>5</v>
      </c>
      <c r="B43" s="9" t="s">
        <v>19</v>
      </c>
      <c r="C43" s="1">
        <v>381</v>
      </c>
      <c r="D43" s="5">
        <f>Table14[[#This Row],[Enrolment S.Y. 2025-2026 ]]*8</f>
        <v>3048</v>
      </c>
      <c r="E43" s="5"/>
      <c r="F43" s="1"/>
      <c r="G43" s="5"/>
      <c r="H43" s="5">
        <f t="shared" si="0"/>
        <v>3048</v>
      </c>
      <c r="I43" s="5">
        <f t="shared" si="1"/>
        <v>0</v>
      </c>
      <c r="J43" s="5">
        <f>Table14[[#This Row],[Enrolment S.Y. 2025-2026 ]]*8</f>
        <v>3048</v>
      </c>
      <c r="K43" s="5"/>
      <c r="L43" s="1"/>
      <c r="M43" s="5"/>
      <c r="N43" s="5">
        <f t="shared" si="18"/>
        <v>3048</v>
      </c>
      <c r="O43" s="5">
        <f t="shared" si="19"/>
        <v>0</v>
      </c>
      <c r="P43" s="5">
        <f>Table14[[#This Row],[Enrolment S.Y. 2025-2026 ]]*8</f>
        <v>3048</v>
      </c>
      <c r="Q43" s="5"/>
      <c r="R43" s="1"/>
      <c r="S43" s="5"/>
      <c r="T43" s="5">
        <f t="shared" si="4"/>
        <v>3048</v>
      </c>
      <c r="U43" s="5">
        <f t="shared" si="5"/>
        <v>0</v>
      </c>
      <c r="V43" s="5">
        <f>Table14[[#This Row],[Enrolment S.Y. 2025-2026 ]]*8</f>
        <v>3048</v>
      </c>
      <c r="W43" s="5"/>
      <c r="X43" s="1"/>
      <c r="Y43" s="5"/>
      <c r="Z43" s="5">
        <f t="shared" si="6"/>
        <v>3048</v>
      </c>
      <c r="AA43" s="5">
        <f t="shared" si="7"/>
        <v>0</v>
      </c>
    </row>
    <row r="44" spans="1:27" ht="19.5">
      <c r="A44" s="31">
        <v>5</v>
      </c>
      <c r="B44" s="9" t="s">
        <v>59</v>
      </c>
      <c r="C44" s="1">
        <v>381</v>
      </c>
      <c r="D44" s="5">
        <f>Table14[[#This Row],[Enrolment S.Y. 2025-2026 ]]*8</f>
        <v>3048</v>
      </c>
      <c r="E44" s="5"/>
      <c r="F44" s="1"/>
      <c r="G44" s="5"/>
      <c r="H44" s="5">
        <f>IF((D44-E44)&lt;0,0,(D44-E44))</f>
        <v>3048</v>
      </c>
      <c r="I44" s="5">
        <f>IF((E44-D44)&lt;0,0,(E44-D44))</f>
        <v>0</v>
      </c>
      <c r="J44" s="5">
        <f>Table14[[#This Row],[Enrolment S.Y. 2025-2026 ]]*8</f>
        <v>3048</v>
      </c>
      <c r="K44" s="5"/>
      <c r="L44" s="1"/>
      <c r="M44" s="5"/>
      <c r="N44" s="5">
        <f t="shared" si="18"/>
        <v>3048</v>
      </c>
      <c r="O44" s="5">
        <f t="shared" si="19"/>
        <v>0</v>
      </c>
      <c r="P44" s="5">
        <f>Table14[[#This Row],[Enrolment S.Y. 2025-2026 ]]*8</f>
        <v>3048</v>
      </c>
      <c r="Q44" s="5"/>
      <c r="R44" s="1"/>
      <c r="S44" s="5"/>
      <c r="T44" s="5">
        <f>IF((P44-Q44)&lt;0,0,(P44-Q44))</f>
        <v>3048</v>
      </c>
      <c r="U44" s="5">
        <f>IF((Q44-P44)&lt;0,0,(Q44-P44))</f>
        <v>0</v>
      </c>
      <c r="V44" s="5">
        <f>Table14[[#This Row],[Enrolment S.Y. 2025-2026 ]]*8</f>
        <v>3048</v>
      </c>
      <c r="W44" s="5"/>
      <c r="X44" s="1"/>
      <c r="Y44" s="5"/>
      <c r="Z44" s="5">
        <f>IF((V44-W44)&lt;0,0,(V44-W44))</f>
        <v>3048</v>
      </c>
      <c r="AA44" s="5">
        <f>IF((W44-V44)&lt;0,0,(W44-V44))</f>
        <v>0</v>
      </c>
    </row>
    <row r="45" spans="1:27" ht="19.5">
      <c r="A45" s="1">
        <v>5</v>
      </c>
      <c r="B45" s="9" t="s">
        <v>60</v>
      </c>
      <c r="C45" s="1">
        <v>381</v>
      </c>
      <c r="D45" s="5">
        <f>Table14[[#This Row],[Enrolment S.Y. 2025-2026 ]]*8</f>
        <v>3048</v>
      </c>
      <c r="E45" s="5"/>
      <c r="F45" s="1"/>
      <c r="G45" s="5"/>
      <c r="H45" s="5">
        <f t="shared" si="0"/>
        <v>3048</v>
      </c>
      <c r="I45" s="5">
        <f t="shared" si="1"/>
        <v>0</v>
      </c>
      <c r="J45" s="5">
        <f>Table14[[#This Row],[Enrolment S.Y. 2025-2026 ]]*8</f>
        <v>3048</v>
      </c>
      <c r="K45" s="5"/>
      <c r="L45" s="1"/>
      <c r="M45" s="5"/>
      <c r="N45" s="5">
        <f t="shared" si="18"/>
        <v>3048</v>
      </c>
      <c r="O45" s="5">
        <f t="shared" si="19"/>
        <v>0</v>
      </c>
      <c r="P45" s="5">
        <f>Table14[[#This Row],[Enrolment S.Y. 2025-2026 ]]*8</f>
        <v>3048</v>
      </c>
      <c r="Q45" s="5"/>
      <c r="R45" s="1"/>
      <c r="S45" s="5"/>
      <c r="T45" s="5">
        <f t="shared" si="4"/>
        <v>3048</v>
      </c>
      <c r="U45" s="5">
        <f t="shared" si="5"/>
        <v>0</v>
      </c>
      <c r="V45" s="5">
        <f>Table14[[#This Row],[Enrolment S.Y. 2025-2026 ]]*8</f>
        <v>3048</v>
      </c>
      <c r="W45" s="5"/>
      <c r="X45" s="1"/>
      <c r="Y45" s="5"/>
      <c r="Z45" s="5">
        <f t="shared" si="6"/>
        <v>3048</v>
      </c>
      <c r="AA45" s="5">
        <f t="shared" si="7"/>
        <v>0</v>
      </c>
    </row>
    <row r="46" spans="1:27" s="7" customFormat="1"/>
    <row r="47" spans="1:27" ht="19.5">
      <c r="A47" s="1">
        <v>6</v>
      </c>
      <c r="B47" s="9" t="s">
        <v>15</v>
      </c>
      <c r="C47" s="1">
        <v>402</v>
      </c>
      <c r="D47" s="5">
        <f>Table14[[#This Row],[Enrolment S.Y. 2025-2026 ]]*8</f>
        <v>3216</v>
      </c>
      <c r="E47" s="5"/>
      <c r="F47" s="1"/>
      <c r="G47" s="5"/>
      <c r="H47" s="5">
        <f t="shared" si="0"/>
        <v>3216</v>
      </c>
      <c r="I47" s="5">
        <f t="shared" si="1"/>
        <v>0</v>
      </c>
      <c r="J47" s="5">
        <f>Table14[[#This Row],[Enrolment S.Y. 2025-2026 ]]*8</f>
        <v>3216</v>
      </c>
      <c r="K47" s="5"/>
      <c r="L47" s="1"/>
      <c r="M47" s="5"/>
      <c r="N47" s="5">
        <f t="shared" si="2"/>
        <v>3216</v>
      </c>
      <c r="O47" s="5">
        <f t="shared" si="3"/>
        <v>0</v>
      </c>
      <c r="P47" s="5">
        <f>Table14[[#This Row],[Enrolment S.Y. 2025-2026 ]]*8</f>
        <v>3216</v>
      </c>
      <c r="Q47" s="5"/>
      <c r="R47" s="1"/>
      <c r="S47" s="5"/>
      <c r="T47" s="5">
        <f t="shared" si="4"/>
        <v>3216</v>
      </c>
      <c r="U47" s="5">
        <f t="shared" si="5"/>
        <v>0</v>
      </c>
      <c r="V47" s="5">
        <f>Table14[[#This Row],[Enrolment S.Y. 2025-2026 ]]*8</f>
        <v>3216</v>
      </c>
      <c r="W47" s="5"/>
      <c r="X47" s="1"/>
      <c r="Y47" s="5"/>
      <c r="Z47" s="5">
        <f t="shared" si="6"/>
        <v>3216</v>
      </c>
      <c r="AA47" s="5">
        <f t="shared" si="7"/>
        <v>0</v>
      </c>
    </row>
    <row r="48" spans="1:27" ht="19.5">
      <c r="A48" s="1">
        <v>6</v>
      </c>
      <c r="B48" s="9" t="s">
        <v>16</v>
      </c>
      <c r="C48" s="1">
        <v>402</v>
      </c>
      <c r="D48" s="5">
        <f>Table14[[#This Row],[Enrolment S.Y. 2025-2026 ]]*8</f>
        <v>3216</v>
      </c>
      <c r="E48" s="5"/>
      <c r="F48" s="1"/>
      <c r="G48" s="5"/>
      <c r="H48" s="5">
        <f t="shared" si="0"/>
        <v>3216</v>
      </c>
      <c r="I48" s="5">
        <f t="shared" si="1"/>
        <v>0</v>
      </c>
      <c r="J48" s="5">
        <f>Table14[[#This Row],[Enrolment S.Y. 2025-2026 ]]*8</f>
        <v>3216</v>
      </c>
      <c r="K48" s="5"/>
      <c r="L48" s="1"/>
      <c r="M48" s="5"/>
      <c r="N48" s="5">
        <f t="shared" si="2"/>
        <v>3216</v>
      </c>
      <c r="O48" s="5">
        <f t="shared" si="3"/>
        <v>0</v>
      </c>
      <c r="P48" s="5">
        <f>Table14[[#This Row],[Enrolment S.Y. 2025-2026 ]]*8</f>
        <v>3216</v>
      </c>
      <c r="Q48" s="5"/>
      <c r="R48" s="1"/>
      <c r="S48" s="5"/>
      <c r="T48" s="5">
        <f t="shared" si="4"/>
        <v>3216</v>
      </c>
      <c r="U48" s="5">
        <f t="shared" si="5"/>
        <v>0</v>
      </c>
      <c r="V48" s="5">
        <f>Table14[[#This Row],[Enrolment S.Y. 2025-2026 ]]*8</f>
        <v>3216</v>
      </c>
      <c r="W48" s="5"/>
      <c r="X48" s="1"/>
      <c r="Y48" s="5"/>
      <c r="Z48" s="5">
        <f t="shared" si="6"/>
        <v>3216</v>
      </c>
      <c r="AA48" s="5">
        <f t="shared" si="7"/>
        <v>0</v>
      </c>
    </row>
    <row r="49" spans="1:27" ht="19.5">
      <c r="A49" s="1">
        <v>6</v>
      </c>
      <c r="B49" s="9" t="s">
        <v>13</v>
      </c>
      <c r="C49" s="1">
        <v>402</v>
      </c>
      <c r="D49" s="5">
        <f>Table14[[#This Row],[Enrolment S.Y. 2025-2026 ]]*8</f>
        <v>3216</v>
      </c>
      <c r="E49" s="5"/>
      <c r="F49" s="1"/>
      <c r="G49" s="5"/>
      <c r="H49" s="5">
        <f t="shared" si="0"/>
        <v>3216</v>
      </c>
      <c r="I49" s="5">
        <f t="shared" si="1"/>
        <v>0</v>
      </c>
      <c r="J49" s="5">
        <f>Table14[[#This Row],[Enrolment S.Y. 2025-2026 ]]*8</f>
        <v>3216</v>
      </c>
      <c r="K49" s="5"/>
      <c r="L49" s="1"/>
      <c r="M49" s="5"/>
      <c r="N49" s="5">
        <f t="shared" si="2"/>
        <v>3216</v>
      </c>
      <c r="O49" s="5">
        <f t="shared" si="3"/>
        <v>0</v>
      </c>
      <c r="P49" s="5">
        <f>Table14[[#This Row],[Enrolment S.Y. 2025-2026 ]]*8</f>
        <v>3216</v>
      </c>
      <c r="Q49" s="5"/>
      <c r="R49" s="1"/>
      <c r="S49" s="5"/>
      <c r="T49" s="5">
        <f t="shared" si="4"/>
        <v>3216</v>
      </c>
      <c r="U49" s="5">
        <f t="shared" si="5"/>
        <v>0</v>
      </c>
      <c r="V49" s="5">
        <f>Table14[[#This Row],[Enrolment S.Y. 2025-2026 ]]*8</f>
        <v>3216</v>
      </c>
      <c r="W49" s="5"/>
      <c r="X49" s="1"/>
      <c r="Y49" s="5"/>
      <c r="Z49" s="5">
        <f t="shared" si="6"/>
        <v>3216</v>
      </c>
      <c r="AA49" s="5">
        <f t="shared" si="7"/>
        <v>0</v>
      </c>
    </row>
    <row r="50" spans="1:27" ht="19.5">
      <c r="A50" s="1">
        <v>6</v>
      </c>
      <c r="B50" s="9" t="s">
        <v>11</v>
      </c>
      <c r="C50" s="1">
        <v>402</v>
      </c>
      <c r="D50" s="5">
        <f>Table14[[#This Row],[Enrolment S.Y. 2025-2026 ]]*8</f>
        <v>3216</v>
      </c>
      <c r="E50" s="5"/>
      <c r="F50" s="1"/>
      <c r="G50" s="5"/>
      <c r="H50" s="5">
        <f t="shared" si="0"/>
        <v>3216</v>
      </c>
      <c r="I50" s="5">
        <f t="shared" si="1"/>
        <v>0</v>
      </c>
      <c r="J50" s="5">
        <f>Table14[[#This Row],[Enrolment S.Y. 2025-2026 ]]*8</f>
        <v>3216</v>
      </c>
      <c r="K50" s="5"/>
      <c r="L50" s="1"/>
      <c r="M50" s="5"/>
      <c r="N50" s="5">
        <f t="shared" si="2"/>
        <v>3216</v>
      </c>
      <c r="O50" s="5">
        <f t="shared" si="3"/>
        <v>0</v>
      </c>
      <c r="P50" s="5">
        <f>Table14[[#This Row],[Enrolment S.Y. 2025-2026 ]]*8</f>
        <v>3216</v>
      </c>
      <c r="Q50" s="5"/>
      <c r="R50" s="1"/>
      <c r="S50" s="5"/>
      <c r="T50" s="5">
        <f t="shared" si="4"/>
        <v>3216</v>
      </c>
      <c r="U50" s="5">
        <f t="shared" si="5"/>
        <v>0</v>
      </c>
      <c r="V50" s="5">
        <f>Table14[[#This Row],[Enrolment S.Y. 2025-2026 ]]*8</f>
        <v>3216</v>
      </c>
      <c r="W50" s="5"/>
      <c r="X50" s="1"/>
      <c r="Y50" s="5"/>
      <c r="Z50" s="5">
        <f t="shared" si="6"/>
        <v>3216</v>
      </c>
      <c r="AA50" s="5">
        <f t="shared" si="7"/>
        <v>0</v>
      </c>
    </row>
    <row r="51" spans="1:27" ht="38.25">
      <c r="A51" s="1">
        <v>6</v>
      </c>
      <c r="B51" s="9" t="s">
        <v>17</v>
      </c>
      <c r="C51" s="1">
        <v>402</v>
      </c>
      <c r="D51" s="5">
        <f>Table14[[#This Row],[Enrolment S.Y. 2025-2026 ]]*8</f>
        <v>3216</v>
      </c>
      <c r="E51" s="5"/>
      <c r="F51" s="1"/>
      <c r="G51" s="5"/>
      <c r="H51" s="5">
        <f t="shared" si="0"/>
        <v>3216</v>
      </c>
      <c r="I51" s="5">
        <f t="shared" si="1"/>
        <v>0</v>
      </c>
      <c r="J51" s="5">
        <f>Table14[[#This Row],[Enrolment S.Y. 2025-2026 ]]*8</f>
        <v>3216</v>
      </c>
      <c r="K51" s="5"/>
      <c r="L51" s="1"/>
      <c r="M51" s="5"/>
      <c r="N51" s="5">
        <f t="shared" si="2"/>
        <v>3216</v>
      </c>
      <c r="O51" s="5">
        <f t="shared" si="3"/>
        <v>0</v>
      </c>
      <c r="P51" s="5">
        <f>Table14[[#This Row],[Enrolment S.Y. 2025-2026 ]]*8</f>
        <v>3216</v>
      </c>
      <c r="Q51" s="5"/>
      <c r="R51" s="1"/>
      <c r="S51" s="5"/>
      <c r="T51" s="5">
        <f t="shared" si="4"/>
        <v>3216</v>
      </c>
      <c r="U51" s="5">
        <f t="shared" si="5"/>
        <v>0</v>
      </c>
      <c r="V51" s="5">
        <f>Table14[[#This Row],[Enrolment S.Y. 2025-2026 ]]*8</f>
        <v>3216</v>
      </c>
      <c r="W51" s="5"/>
      <c r="X51" s="1"/>
      <c r="Y51" s="5"/>
      <c r="Z51" s="5">
        <f t="shared" si="6"/>
        <v>3216</v>
      </c>
      <c r="AA51" s="5">
        <f t="shared" si="7"/>
        <v>0</v>
      </c>
    </row>
    <row r="52" spans="1:27" ht="19.5">
      <c r="A52" s="1">
        <v>6</v>
      </c>
      <c r="B52" s="9" t="s">
        <v>14</v>
      </c>
      <c r="C52" s="1">
        <v>402</v>
      </c>
      <c r="D52" s="5">
        <f>Table14[[#This Row],[Enrolment S.Y. 2025-2026 ]]*8</f>
        <v>3216</v>
      </c>
      <c r="E52" s="5"/>
      <c r="F52" s="1"/>
      <c r="G52" s="5"/>
      <c r="H52" s="5">
        <f t="shared" si="0"/>
        <v>3216</v>
      </c>
      <c r="I52" s="5">
        <f t="shared" si="1"/>
        <v>0</v>
      </c>
      <c r="J52" s="5">
        <f>Table14[[#This Row],[Enrolment S.Y. 2025-2026 ]]*8</f>
        <v>3216</v>
      </c>
      <c r="K52" s="5"/>
      <c r="L52" s="1"/>
      <c r="M52" s="5"/>
      <c r="N52" s="5">
        <f t="shared" si="2"/>
        <v>3216</v>
      </c>
      <c r="O52" s="5">
        <f t="shared" si="3"/>
        <v>0</v>
      </c>
      <c r="P52" s="5">
        <f>Table14[[#This Row],[Enrolment S.Y. 2025-2026 ]]*8</f>
        <v>3216</v>
      </c>
      <c r="Q52" s="5"/>
      <c r="R52" s="1"/>
      <c r="S52" s="5"/>
      <c r="T52" s="5">
        <f t="shared" si="4"/>
        <v>3216</v>
      </c>
      <c r="U52" s="5">
        <f t="shared" si="5"/>
        <v>0</v>
      </c>
      <c r="V52" s="5">
        <f>Table14[[#This Row],[Enrolment S.Y. 2025-2026 ]]*8</f>
        <v>3216</v>
      </c>
      <c r="W52" s="5"/>
      <c r="X52" s="1"/>
      <c r="Y52" s="5"/>
      <c r="Z52" s="5">
        <f t="shared" si="6"/>
        <v>3216</v>
      </c>
      <c r="AA52" s="5">
        <f t="shared" si="7"/>
        <v>0</v>
      </c>
    </row>
    <row r="53" spans="1:27" ht="19.5">
      <c r="A53" s="31">
        <v>6</v>
      </c>
      <c r="B53" s="9" t="s">
        <v>57</v>
      </c>
      <c r="C53" s="1">
        <v>402</v>
      </c>
      <c r="D53" s="5">
        <f>Table14[[#This Row],[Enrolment S.Y. 2025-2026 ]]*8</f>
        <v>3216</v>
      </c>
      <c r="E53" s="5"/>
      <c r="F53" s="1"/>
      <c r="G53" s="5"/>
      <c r="H53" s="5">
        <f>IF((D53-E53)&lt;0,0,(D53-E53))</f>
        <v>3216</v>
      </c>
      <c r="I53" s="5">
        <f>IF((E53-D53)&lt;0,0,(E53-D53))</f>
        <v>0</v>
      </c>
      <c r="J53" s="5">
        <f>Table14[[#This Row],[Enrolment S.Y. 2025-2026 ]]*8</f>
        <v>3216</v>
      </c>
      <c r="K53" s="5"/>
      <c r="L53" s="1"/>
      <c r="M53" s="5"/>
      <c r="N53" s="5">
        <f t="shared" ref="N53:N57" si="20">IF((J53-K53)&lt;0,0,(J53-K53))</f>
        <v>3216</v>
      </c>
      <c r="O53" s="5">
        <f t="shared" ref="O53:O57" si="21">IF((K53-J53)&lt;0,0,(K53-J53))</f>
        <v>0</v>
      </c>
      <c r="P53" s="5">
        <f>Table14[[#This Row],[Enrolment S.Y. 2025-2026 ]]*8</f>
        <v>3216</v>
      </c>
      <c r="Q53" s="5"/>
      <c r="R53" s="1"/>
      <c r="S53" s="5"/>
      <c r="T53" s="5">
        <f>IF((P53-Q53)&lt;0,0,(P53-Q53))</f>
        <v>3216</v>
      </c>
      <c r="U53" s="5">
        <f>IF((Q53-P53)&lt;0,0,(Q53-P53))</f>
        <v>0</v>
      </c>
      <c r="V53" s="5">
        <f>Table14[[#This Row],[Enrolment S.Y. 2025-2026 ]]*8</f>
        <v>3216</v>
      </c>
      <c r="W53" s="5"/>
      <c r="X53" s="1"/>
      <c r="Y53" s="5"/>
      <c r="Z53" s="5">
        <f>IF((V53-W53)&lt;0,0,(V53-W53))</f>
        <v>3216</v>
      </c>
      <c r="AA53" s="5">
        <f>IF((W53-V53)&lt;0,0,(W53-V53))</f>
        <v>0</v>
      </c>
    </row>
    <row r="54" spans="1:27" ht="19.5">
      <c r="A54" s="1">
        <v>6</v>
      </c>
      <c r="B54" s="9" t="s">
        <v>58</v>
      </c>
      <c r="C54" s="1">
        <v>402</v>
      </c>
      <c r="D54" s="5">
        <f>Table14[[#This Row],[Enrolment S.Y. 2025-2026 ]]*8</f>
        <v>3216</v>
      </c>
      <c r="E54" s="5"/>
      <c r="F54" s="1"/>
      <c r="G54" s="5"/>
      <c r="H54" s="5">
        <f t="shared" si="0"/>
        <v>3216</v>
      </c>
      <c r="I54" s="5">
        <f t="shared" si="1"/>
        <v>0</v>
      </c>
      <c r="J54" s="5">
        <f>Table14[[#This Row],[Enrolment S.Y. 2025-2026 ]]*8</f>
        <v>3216</v>
      </c>
      <c r="K54" s="5"/>
      <c r="L54" s="1"/>
      <c r="M54" s="5"/>
      <c r="N54" s="5">
        <f t="shared" si="20"/>
        <v>3216</v>
      </c>
      <c r="O54" s="5">
        <f t="shared" si="21"/>
        <v>0</v>
      </c>
      <c r="P54" s="5">
        <f>Table14[[#This Row],[Enrolment S.Y. 2025-2026 ]]*8</f>
        <v>3216</v>
      </c>
      <c r="Q54" s="5"/>
      <c r="R54" s="1"/>
      <c r="S54" s="5"/>
      <c r="T54" s="5">
        <f t="shared" si="4"/>
        <v>3216</v>
      </c>
      <c r="U54" s="5">
        <f t="shared" si="5"/>
        <v>0</v>
      </c>
      <c r="V54" s="5">
        <f>Table14[[#This Row],[Enrolment S.Y. 2025-2026 ]]*8</f>
        <v>3216</v>
      </c>
      <c r="W54" s="5"/>
      <c r="X54" s="1"/>
      <c r="Y54" s="5"/>
      <c r="Z54" s="5">
        <f t="shared" si="6"/>
        <v>3216</v>
      </c>
      <c r="AA54" s="5">
        <f t="shared" si="7"/>
        <v>0</v>
      </c>
    </row>
    <row r="55" spans="1:27" ht="19.5">
      <c r="A55" s="1">
        <v>6</v>
      </c>
      <c r="B55" s="9" t="s">
        <v>19</v>
      </c>
      <c r="C55" s="1">
        <v>402</v>
      </c>
      <c r="D55" s="5">
        <f>Table14[[#This Row],[Enrolment S.Y. 2025-2026 ]]*8</f>
        <v>3216</v>
      </c>
      <c r="E55" s="5"/>
      <c r="F55" s="1"/>
      <c r="G55" s="5"/>
      <c r="H55" s="5">
        <f t="shared" si="0"/>
        <v>3216</v>
      </c>
      <c r="I55" s="5">
        <f t="shared" si="1"/>
        <v>0</v>
      </c>
      <c r="J55" s="5">
        <f>Table14[[#This Row],[Enrolment S.Y. 2025-2026 ]]*8</f>
        <v>3216</v>
      </c>
      <c r="K55" s="5"/>
      <c r="L55" s="1"/>
      <c r="M55" s="5"/>
      <c r="N55" s="5">
        <f t="shared" si="20"/>
        <v>3216</v>
      </c>
      <c r="O55" s="5">
        <f t="shared" si="21"/>
        <v>0</v>
      </c>
      <c r="P55" s="5">
        <f>Table14[[#This Row],[Enrolment S.Y. 2025-2026 ]]*8</f>
        <v>3216</v>
      </c>
      <c r="Q55" s="5"/>
      <c r="R55" s="1"/>
      <c r="S55" s="5"/>
      <c r="T55" s="5">
        <f t="shared" si="4"/>
        <v>3216</v>
      </c>
      <c r="U55" s="5">
        <f t="shared" si="5"/>
        <v>0</v>
      </c>
      <c r="V55" s="5">
        <f>Table14[[#This Row],[Enrolment S.Y. 2025-2026 ]]*8</f>
        <v>3216</v>
      </c>
      <c r="W55" s="5"/>
      <c r="X55" s="1"/>
      <c r="Y55" s="5"/>
      <c r="Z55" s="5">
        <f t="shared" si="6"/>
        <v>3216</v>
      </c>
      <c r="AA55" s="5">
        <f t="shared" si="7"/>
        <v>0</v>
      </c>
    </row>
    <row r="56" spans="1:27" ht="19.5">
      <c r="A56" s="31">
        <v>6</v>
      </c>
      <c r="B56" s="9" t="s">
        <v>59</v>
      </c>
      <c r="C56" s="1">
        <v>402</v>
      </c>
      <c r="D56" s="5">
        <f>Table14[[#This Row],[Enrolment S.Y. 2025-2026 ]]*8</f>
        <v>3216</v>
      </c>
      <c r="E56" s="5"/>
      <c r="F56" s="1"/>
      <c r="G56" s="5"/>
      <c r="H56" s="5">
        <f>IF((D56-E56)&lt;0,0,(D56-E56))</f>
        <v>3216</v>
      </c>
      <c r="I56" s="5">
        <f>IF((E56-D56)&lt;0,0,(E56-D56))</f>
        <v>0</v>
      </c>
      <c r="J56" s="5">
        <f>Table14[[#This Row],[Enrolment S.Y. 2025-2026 ]]*8</f>
        <v>3216</v>
      </c>
      <c r="K56" s="5"/>
      <c r="L56" s="1"/>
      <c r="M56" s="5"/>
      <c r="N56" s="5">
        <f t="shared" si="20"/>
        <v>3216</v>
      </c>
      <c r="O56" s="5">
        <f t="shared" si="21"/>
        <v>0</v>
      </c>
      <c r="P56" s="5">
        <f>Table14[[#This Row],[Enrolment S.Y. 2025-2026 ]]*8</f>
        <v>3216</v>
      </c>
      <c r="Q56" s="5"/>
      <c r="R56" s="1"/>
      <c r="S56" s="5"/>
      <c r="T56" s="5">
        <f>IF((P56-Q56)&lt;0,0,(P56-Q56))</f>
        <v>3216</v>
      </c>
      <c r="U56" s="5">
        <f>IF((Q56-P56)&lt;0,0,(Q56-P56))</f>
        <v>0</v>
      </c>
      <c r="V56" s="5">
        <f>Table14[[#This Row],[Enrolment S.Y. 2025-2026 ]]*8</f>
        <v>3216</v>
      </c>
      <c r="W56" s="5"/>
      <c r="X56" s="1"/>
      <c r="Y56" s="5"/>
      <c r="Z56" s="5">
        <f>IF((V56-W56)&lt;0,0,(V56-W56))</f>
        <v>3216</v>
      </c>
      <c r="AA56" s="5">
        <f>IF((W56-V56)&lt;0,0,(W56-V56))</f>
        <v>0</v>
      </c>
    </row>
    <row r="57" spans="1:27" ht="19.5">
      <c r="A57" s="1">
        <v>6</v>
      </c>
      <c r="B57" s="9" t="s">
        <v>60</v>
      </c>
      <c r="C57" s="1">
        <v>402</v>
      </c>
      <c r="D57" s="5">
        <f>Table14[[#This Row],[Enrolment S.Y. 2025-2026 ]]*8</f>
        <v>3216</v>
      </c>
      <c r="E57" s="5"/>
      <c r="F57" s="1"/>
      <c r="G57" s="5"/>
      <c r="H57" s="5">
        <f t="shared" si="0"/>
        <v>3216</v>
      </c>
      <c r="I57" s="5">
        <f t="shared" si="1"/>
        <v>0</v>
      </c>
      <c r="J57" s="5">
        <f>Table14[[#This Row],[Enrolment S.Y. 2025-2026 ]]*8</f>
        <v>3216</v>
      </c>
      <c r="K57" s="5"/>
      <c r="L57" s="1"/>
      <c r="M57" s="5"/>
      <c r="N57" s="5">
        <f t="shared" si="20"/>
        <v>3216</v>
      </c>
      <c r="O57" s="5">
        <f t="shared" si="21"/>
        <v>0</v>
      </c>
      <c r="P57" s="5">
        <f>Table14[[#This Row],[Enrolment S.Y. 2025-2026 ]]*8</f>
        <v>3216</v>
      </c>
      <c r="Q57" s="5"/>
      <c r="R57" s="1"/>
      <c r="S57" s="5"/>
      <c r="T57" s="5">
        <f t="shared" si="4"/>
        <v>3216</v>
      </c>
      <c r="U57" s="5">
        <f t="shared" si="5"/>
        <v>0</v>
      </c>
      <c r="V57" s="5">
        <f>Table14[[#This Row],[Enrolment S.Y. 2025-2026 ]]*8</f>
        <v>3216</v>
      </c>
      <c r="W57" s="5"/>
      <c r="X57" s="1"/>
      <c r="Y57" s="5"/>
      <c r="Z57" s="5">
        <f t="shared" si="6"/>
        <v>3216</v>
      </c>
      <c r="AA57" s="5">
        <f t="shared" si="7"/>
        <v>0</v>
      </c>
    </row>
    <row r="58" spans="1:27" s="7" customFormat="1" ht="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s="7" customFormat="1" ht="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</row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ht="15"/>
    <row r="93" spans="1:27" ht="15"/>
    <row r="94" spans="1:27" s="7" customFormat="1" ht="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</row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ht="15"/>
    <row r="103" spans="1:27" ht="15"/>
    <row r="104" spans="1:27" ht="15"/>
    <row r="105" spans="1:27" ht="15"/>
    <row r="106" spans="1:27" s="7" customForma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ht="15"/>
    <row r="115" spans="1:28" s="7" customForma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8">
      <c r="AB116" s="7"/>
    </row>
    <row r="117" spans="1:28">
      <c r="AB117" s="7"/>
    </row>
    <row r="118" spans="1:28">
      <c r="AB118" s="7"/>
    </row>
    <row r="119" spans="1:28">
      <c r="AB119" s="7"/>
    </row>
    <row r="120" spans="1:28">
      <c r="AB120" s="7"/>
    </row>
    <row r="121" spans="1:28">
      <c r="AB121" s="7"/>
    </row>
    <row r="122" spans="1:28">
      <c r="AB122" s="7"/>
    </row>
    <row r="123" spans="1:28">
      <c r="AB123" s="7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63" ht="15"/>
    <row r="166" ht="15"/>
    <row r="167" ht="15"/>
    <row r="169" ht="15"/>
    <row r="171" ht="15"/>
  </sheetData>
  <protectedRanges>
    <protectedRange sqref="C9:C14 C23:C33 C35:C45 C47:C57 C16:C21 C2:C7" name="Textbooks"/>
    <protectedRange sqref="J2:L2 P2:R7 N16:R21 D23:F33 D35:F45 D47:F57 N47:R57 Z9:AA14 H9:L14 D16:F21 N3:O7 V2:X7 T3:U7 H3:L7 Z3:AA7 N9:R14 D2:F7 T16:X21 Z16:AA21 H16:L21 D9:F14 T23:X33 Z23:AA33 H23:L33 T35:X45 Z35:AA45 H35:L45 T47:X57 Z47:AA57 H47:L57 T9:X14 N23:R33 N35:R45" name="LAS"/>
    <protectedRange sqref="G2:I2 M2:O2 S2:U2 Y2:AA2 M3:M7 S3:S7 Y3:Y7 G9:G14 G3:G7 G16:G21 M16:M21 S16:S21 Y9:Y14 Y23:Y33 G23:G33 M23:M33 S23:S33 Y35:Y45 G35:G45 M35:M45 S35:S45 Y47:Y57 G47:G57 M47:M57 S47:S57 M9:M14 S9:S14 Y16:Y2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7 S3:S7 M3:M7 G3:G7 S23:S33 M23:M33 G23:G33 Y23:Y33 Y35:Y45 S35:S45 M35:M45 G35:G45 G47:G57 Y47:Y57 S47:S57 M47:M57 M9:M14 S9:S14 G9:G14 Y9:Y14 S16:S21 Y16:Y21 G16:G21 M16:M21" xr:uid="{CBD486C7-A5DB-48F1-B496-5027CC51E830}">
      <formula1>"CO,RO,SDO,LGU,SCHOOL"</formula1>
    </dataValidation>
    <dataValidation type="list" allowBlank="1" showInputMessage="1" showErrorMessage="1" sqref="F47:F57 F35:F45 F23:F33 F16:F21 F9:F14 F3:F7 L47:L57 L35:L45 L23:L33 L16:L21 L9:L14 L3:L7 R47:R57 R35:R45 R23:R33 R16:R21 R9:R14 R3:R7 X47:X57 X35:X45 X23:X33 X16:X21 X9:X14 X3:X7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pane xSplit="2" topLeftCell="F68" activePane="topRight" state="frozen"/>
      <selection pane="topRight" activeCell="J53" sqref="J53:J8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6" t="s">
        <v>21</v>
      </c>
      <c r="E1" s="36"/>
      <c r="F1" s="36"/>
      <c r="G1" s="36"/>
      <c r="H1" s="36"/>
      <c r="I1" s="36"/>
      <c r="J1" s="37" t="s">
        <v>22</v>
      </c>
      <c r="K1" s="37"/>
      <c r="L1" s="37"/>
      <c r="M1" s="37"/>
      <c r="N1" s="37"/>
      <c r="O1" s="37"/>
      <c r="P1" s="38" t="s">
        <v>23</v>
      </c>
      <c r="Q1" s="38"/>
      <c r="R1" s="38"/>
      <c r="S1" s="38"/>
      <c r="T1" s="38"/>
      <c r="U1" s="38"/>
      <c r="V1" s="39" t="s">
        <v>24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61</v>
      </c>
      <c r="E2" s="17" t="s">
        <v>62</v>
      </c>
      <c r="F2" s="18" t="s">
        <v>63</v>
      </c>
      <c r="G2" s="21" t="s">
        <v>64</v>
      </c>
      <c r="H2" s="14" t="s">
        <v>65</v>
      </c>
      <c r="I2" s="21" t="s">
        <v>66</v>
      </c>
      <c r="J2" s="19" t="s">
        <v>67</v>
      </c>
      <c r="K2" s="19" t="s">
        <v>68</v>
      </c>
      <c r="L2" s="20" t="s">
        <v>69</v>
      </c>
      <c r="M2" s="34" t="s">
        <v>70</v>
      </c>
      <c r="N2" s="34" t="s">
        <v>71</v>
      </c>
      <c r="O2" s="19" t="s">
        <v>72</v>
      </c>
      <c r="P2" s="21" t="s">
        <v>73</v>
      </c>
      <c r="Q2" s="21" t="s">
        <v>74</v>
      </c>
      <c r="R2" s="22" t="s">
        <v>75</v>
      </c>
      <c r="S2" s="14" t="s">
        <v>76</v>
      </c>
      <c r="T2" s="14" t="s">
        <v>77</v>
      </c>
      <c r="U2" s="21" t="s">
        <v>78</v>
      </c>
      <c r="V2" s="23" t="s">
        <v>79</v>
      </c>
      <c r="W2" s="23" t="s">
        <v>80</v>
      </c>
      <c r="X2" s="24" t="s">
        <v>81</v>
      </c>
      <c r="Y2" s="35" t="s">
        <v>82</v>
      </c>
      <c r="Z2" s="35" t="s">
        <v>83</v>
      </c>
      <c r="AA2" s="23" t="s">
        <v>84</v>
      </c>
    </row>
    <row r="3" spans="1:27" ht="30.6" customHeight="1">
      <c r="A3" s="32" t="s">
        <v>85</v>
      </c>
      <c r="B3" s="27"/>
      <c r="C3" s="26">
        <v>392</v>
      </c>
      <c r="D3" s="28">
        <f>Table1[[#This Row],[Enrolment S.Y. 2025-2026 ]]*8</f>
        <v>3136</v>
      </c>
      <c r="E3" s="28">
        <v>0</v>
      </c>
      <c r="F3" s="26"/>
      <c r="G3" s="28"/>
      <c r="H3" s="28">
        <f>IF((D3-E3)&lt;0,0,(D3-E3))</f>
        <v>3136</v>
      </c>
      <c r="I3" s="28">
        <f>IF((E3-D3)&lt;0,0,(E3-D3))</f>
        <v>0</v>
      </c>
      <c r="J3" s="28">
        <f>Table1[[#This Row],[Enrolment S.Y. 2025-2026 ]]*8</f>
        <v>3136</v>
      </c>
      <c r="K3" s="28">
        <v>0</v>
      </c>
      <c r="L3" s="26"/>
      <c r="M3" s="28"/>
      <c r="N3" s="5">
        <f t="shared" ref="N3" si="0">IF((J3-K3)&lt;0,0,(J3-K3))</f>
        <v>3136</v>
      </c>
      <c r="O3" s="5">
        <f t="shared" ref="O3" si="1">IF((K3-J3)&lt;0,0,(K3-J3))</f>
        <v>0</v>
      </c>
      <c r="P3" s="5">
        <f>Table1[[#This Row],[Enrolment S.Y. 2025-2026 ]]*8</f>
        <v>3136</v>
      </c>
      <c r="Q3" s="28">
        <v>0</v>
      </c>
      <c r="R3" s="26"/>
      <c r="S3" s="28"/>
      <c r="T3" s="28">
        <f>IF((P3-Q3)&lt;0,0,(P3-Q3))</f>
        <v>3136</v>
      </c>
      <c r="U3" s="28">
        <f>IF((Q3-P3)&lt;0,0,(Q3-P3))</f>
        <v>0</v>
      </c>
      <c r="V3" s="28">
        <f>Table1[[#This Row],[Enrolment S.Y. 2025-2026 ]]*8</f>
        <v>3136</v>
      </c>
      <c r="W3" s="28">
        <v>132</v>
      </c>
      <c r="X3" s="26">
        <v>2025</v>
      </c>
      <c r="Y3" s="28" t="s">
        <v>50</v>
      </c>
      <c r="Z3" s="28">
        <f>IF((V3-W3)&lt;0,0,(V3-W3))</f>
        <v>3004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409</v>
      </c>
      <c r="D5" s="5">
        <f>Table1[[#This Row],[Enrolment S.Y. 2025-2026 ]]*8</f>
        <v>3272</v>
      </c>
      <c r="E5" s="5">
        <v>0</v>
      </c>
      <c r="F5" s="1"/>
      <c r="G5" s="5"/>
      <c r="H5" s="5">
        <f t="shared" ref="H5:H52" si="2">IF((D5-E5)&lt;0,0,(D5-E5))</f>
        <v>3272</v>
      </c>
      <c r="I5" s="5">
        <f t="shared" ref="I5:I52" si="3">IF((E5-D5)&lt;0,0,(E5-D5))</f>
        <v>0</v>
      </c>
      <c r="J5" s="5">
        <f>Table1[[#This Row],[Enrolment S.Y. 2025-2026 ]]*8</f>
        <v>3272</v>
      </c>
      <c r="K5" s="5">
        <v>0</v>
      </c>
      <c r="L5" s="1"/>
      <c r="M5" s="5"/>
      <c r="N5" s="5">
        <f t="shared" ref="N5" si="4">IF((J5-K5)&lt;0,0,(J5-K5))</f>
        <v>3272</v>
      </c>
      <c r="O5" s="5">
        <f t="shared" ref="O5" si="5">IF((K5-J5)&lt;0,0,(K5-J5))</f>
        <v>0</v>
      </c>
      <c r="P5" s="5">
        <f>Table1[[#This Row],[Enrolment S.Y. 2025-2026 ]]*8</f>
        <v>3272</v>
      </c>
      <c r="Q5" s="5"/>
      <c r="R5" s="1"/>
      <c r="S5" s="5"/>
      <c r="T5" s="5">
        <f t="shared" ref="T5" si="6">IF((P5-Q5)&lt;0,0,(P5-Q5))</f>
        <v>3272</v>
      </c>
      <c r="U5" s="5">
        <f t="shared" ref="U5" si="7">IF((Q5-P5)&lt;0,0,(Q5-P5))</f>
        <v>0</v>
      </c>
      <c r="V5" s="5">
        <f>Table1[[#This Row],[Enrolment S.Y. 2025-2026 ]]*8</f>
        <v>3272</v>
      </c>
      <c r="W5" s="5"/>
      <c r="X5" s="1"/>
      <c r="Y5" s="5"/>
      <c r="Z5" s="5">
        <f t="shared" ref="Z5" si="8">IF((V5-W5)&lt;0,0,(V5-W5))</f>
        <v>3272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409</v>
      </c>
      <c r="D6" s="5">
        <f>Table1[[#This Row],[Enrolment S.Y. 2025-2026 ]]*8</f>
        <v>3272</v>
      </c>
      <c r="E6" s="5">
        <v>0</v>
      </c>
      <c r="F6" s="1"/>
      <c r="G6" s="5"/>
      <c r="H6" s="5">
        <f t="shared" si="2"/>
        <v>3272</v>
      </c>
      <c r="I6" s="5">
        <f t="shared" si="3"/>
        <v>0</v>
      </c>
      <c r="J6" s="5">
        <f>Table1[[#This Row],[Enrolment S.Y. 2025-2026 ]]*8</f>
        <v>3272</v>
      </c>
      <c r="K6" s="5">
        <v>0</v>
      </c>
      <c r="L6" s="1"/>
      <c r="M6" s="5"/>
      <c r="N6" s="5">
        <f t="shared" ref="N6:N52" si="10">IF((J6-K6)&lt;0,0,(J6-K6))</f>
        <v>3272</v>
      </c>
      <c r="O6" s="5">
        <f t="shared" ref="O6:O52" si="11">IF((K6-J6)&lt;0,0,(K6-J6))</f>
        <v>0</v>
      </c>
      <c r="P6" s="5">
        <f>Table1[[#This Row],[Enrolment S.Y. 2025-2026 ]]*8</f>
        <v>3272</v>
      </c>
      <c r="Q6" s="5"/>
      <c r="R6" s="1"/>
      <c r="S6" s="5"/>
      <c r="T6" s="5">
        <f t="shared" ref="T6:T52" si="12">IF((P6-Q6)&lt;0,0,(P6-Q6))</f>
        <v>3272</v>
      </c>
      <c r="U6" s="5">
        <f t="shared" ref="U6:U52" si="13">IF((Q6-P6)&lt;0,0,(Q6-P6))</f>
        <v>0</v>
      </c>
      <c r="V6" s="5">
        <f>Table1[[#This Row],[Enrolment S.Y. 2025-2026 ]]*8</f>
        <v>3272</v>
      </c>
      <c r="W6" s="5"/>
      <c r="X6" s="1"/>
      <c r="Y6" s="5"/>
      <c r="Z6" s="5">
        <f t="shared" ref="Z6:Z52" si="14">IF((V6-W6)&lt;0,0,(V6-W6))</f>
        <v>3272</v>
      </c>
      <c r="AA6" s="5">
        <f t="shared" ref="AA6:AA52" si="15">IF((W6-V6)&lt;0,0,(W6-V6))</f>
        <v>0</v>
      </c>
    </row>
    <row r="7" spans="1:27" ht="19.5">
      <c r="A7" s="1">
        <v>1</v>
      </c>
      <c r="B7" s="2" t="s">
        <v>11</v>
      </c>
      <c r="C7" s="1">
        <v>409</v>
      </c>
      <c r="D7" s="5">
        <f>Table1[[#This Row],[Enrolment S.Y. 2025-2026 ]]*8</f>
        <v>3272</v>
      </c>
      <c r="E7" s="5">
        <v>0</v>
      </c>
      <c r="F7" s="1"/>
      <c r="G7" s="5"/>
      <c r="H7" s="5">
        <f t="shared" si="2"/>
        <v>3272</v>
      </c>
      <c r="I7" s="5">
        <f t="shared" si="3"/>
        <v>0</v>
      </c>
      <c r="J7" s="5">
        <f>Table1[[#This Row],[Enrolment S.Y. 2025-2026 ]]*8</f>
        <v>3272</v>
      </c>
      <c r="K7" s="5">
        <v>0</v>
      </c>
      <c r="L7" s="1"/>
      <c r="M7" s="5"/>
      <c r="N7" s="5">
        <f t="shared" si="10"/>
        <v>3272</v>
      </c>
      <c r="O7" s="5">
        <f t="shared" si="11"/>
        <v>0</v>
      </c>
      <c r="P7" s="5">
        <f>Table1[[#This Row],[Enrolment S.Y. 2025-2026 ]]*8</f>
        <v>3272</v>
      </c>
      <c r="Q7" s="5"/>
      <c r="R7" s="1"/>
      <c r="S7" s="5"/>
      <c r="T7" s="5">
        <f t="shared" si="12"/>
        <v>3272</v>
      </c>
      <c r="U7" s="5">
        <f t="shared" si="13"/>
        <v>0</v>
      </c>
      <c r="V7" s="5">
        <f>Table1[[#This Row],[Enrolment S.Y. 2025-2026 ]]*8</f>
        <v>3272</v>
      </c>
      <c r="W7" s="5"/>
      <c r="X7" s="1"/>
      <c r="Y7" s="5"/>
      <c r="Z7" s="5">
        <f t="shared" si="14"/>
        <v>3272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409</v>
      </c>
      <c r="D8" s="5">
        <f>Table1[[#This Row],[Enrolment S.Y. 2025-2026 ]]*8</f>
        <v>3272</v>
      </c>
      <c r="E8" s="5">
        <v>0</v>
      </c>
      <c r="F8" s="1"/>
      <c r="G8" s="5"/>
      <c r="H8" s="5">
        <f t="shared" si="2"/>
        <v>3272</v>
      </c>
      <c r="I8" s="5">
        <f t="shared" si="3"/>
        <v>0</v>
      </c>
      <c r="J8" s="5">
        <f>Table1[[#This Row],[Enrolment S.Y. 2025-2026 ]]*8</f>
        <v>3272</v>
      </c>
      <c r="K8" s="5">
        <v>0</v>
      </c>
      <c r="L8" s="1"/>
      <c r="M8" s="5"/>
      <c r="N8" s="5">
        <f t="shared" si="10"/>
        <v>3272</v>
      </c>
      <c r="O8" s="5">
        <f t="shared" si="11"/>
        <v>0</v>
      </c>
      <c r="P8" s="5">
        <f>Table1[[#This Row],[Enrolment S.Y. 2025-2026 ]]*8</f>
        <v>3272</v>
      </c>
      <c r="Q8" s="5"/>
      <c r="R8" s="1"/>
      <c r="S8" s="5"/>
      <c r="T8" s="5">
        <f t="shared" si="12"/>
        <v>3272</v>
      </c>
      <c r="U8" s="5">
        <f t="shared" si="13"/>
        <v>0</v>
      </c>
      <c r="V8" s="5">
        <f>Table1[[#This Row],[Enrolment S.Y. 2025-2026 ]]*8</f>
        <v>3272</v>
      </c>
      <c r="W8" s="5"/>
      <c r="X8" s="1"/>
      <c r="Y8" s="5"/>
      <c r="Z8" s="5">
        <f t="shared" si="14"/>
        <v>3272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409</v>
      </c>
      <c r="D9" s="5">
        <f>Table1[[#This Row],[Enrolment S.Y. 2025-2026 ]]*8</f>
        <v>3272</v>
      </c>
      <c r="E9" s="5">
        <v>0</v>
      </c>
      <c r="F9" s="1"/>
      <c r="G9" s="5"/>
      <c r="H9" s="5">
        <f t="shared" si="2"/>
        <v>3272</v>
      </c>
      <c r="I9" s="5">
        <f t="shared" si="3"/>
        <v>0</v>
      </c>
      <c r="J9" s="5">
        <f>Table1[[#This Row],[Enrolment S.Y. 2025-2026 ]]*8</f>
        <v>3272</v>
      </c>
      <c r="K9" s="5">
        <v>0</v>
      </c>
      <c r="L9" s="1"/>
      <c r="M9" s="5"/>
      <c r="N9" s="5">
        <f t="shared" si="10"/>
        <v>3272</v>
      </c>
      <c r="O9" s="5">
        <f t="shared" si="11"/>
        <v>0</v>
      </c>
      <c r="P9" s="5">
        <f>Table1[[#This Row],[Enrolment S.Y. 2025-2026 ]]*8</f>
        <v>3272</v>
      </c>
      <c r="Q9" s="5"/>
      <c r="R9" s="1"/>
      <c r="S9" s="5"/>
      <c r="T9" s="5">
        <f t="shared" si="12"/>
        <v>3272</v>
      </c>
      <c r="U9" s="5">
        <f t="shared" si="13"/>
        <v>0</v>
      </c>
      <c r="V9" s="5">
        <f>Table1[[#This Row],[Enrolment S.Y. 2025-2026 ]]*8</f>
        <v>3272</v>
      </c>
      <c r="W9" s="5"/>
      <c r="X9" s="1"/>
      <c r="Y9" s="5"/>
      <c r="Z9" s="5">
        <f t="shared" si="14"/>
        <v>3272</v>
      </c>
      <c r="AA9" s="5">
        <f t="shared" si="15"/>
        <v>0</v>
      </c>
    </row>
    <row r="10" spans="1:27" s="7" customFormat="1" ht="19.149999999999999">
      <c r="J10" s="10"/>
      <c r="N10" s="10"/>
      <c r="O10" s="10"/>
      <c r="P10" s="10"/>
      <c r="S10" s="5"/>
      <c r="T10" s="10"/>
      <c r="U10" s="10"/>
      <c r="V10" s="10"/>
      <c r="Y10" s="10"/>
      <c r="Z10" s="10"/>
      <c r="AA10" s="10"/>
    </row>
    <row r="11" spans="1:27" ht="19.5">
      <c r="A11" s="1">
        <v>2</v>
      </c>
      <c r="B11" s="2" t="s">
        <v>11</v>
      </c>
      <c r="C11" s="1">
        <v>398</v>
      </c>
      <c r="D11" s="5">
        <f>Table1[[#This Row],[Enrolment S.Y. 2025-2026 ]]*8</f>
        <v>3184</v>
      </c>
      <c r="E11" s="5">
        <v>345</v>
      </c>
      <c r="F11" s="1">
        <v>2025</v>
      </c>
      <c r="G11" s="5" t="s">
        <v>50</v>
      </c>
      <c r="H11" s="5">
        <f t="shared" si="2"/>
        <v>2839</v>
      </c>
      <c r="I11" s="5">
        <f t="shared" si="3"/>
        <v>0</v>
      </c>
      <c r="J11" s="5">
        <f>Table1[[#This Row],[Enrolment S.Y. 2025-2026 ]]*8</f>
        <v>3184</v>
      </c>
      <c r="K11" s="5">
        <v>0</v>
      </c>
      <c r="L11" s="1"/>
      <c r="M11" s="5"/>
      <c r="N11" s="5">
        <f t="shared" si="10"/>
        <v>3184</v>
      </c>
      <c r="O11" s="5">
        <f t="shared" si="11"/>
        <v>0</v>
      </c>
      <c r="P11" s="5">
        <f>Table1[[#This Row],[Enrolment S.Y. 2025-2026 ]]*8</f>
        <v>3184</v>
      </c>
      <c r="Q11" s="5"/>
      <c r="R11" s="1"/>
      <c r="S11" s="5"/>
      <c r="T11" s="5">
        <f t="shared" si="12"/>
        <v>3184</v>
      </c>
      <c r="U11" s="5">
        <f t="shared" si="13"/>
        <v>0</v>
      </c>
      <c r="V11" s="5">
        <f>Table1[[#This Row],[Enrolment S.Y. 2025-2026 ]]*8</f>
        <v>3184</v>
      </c>
      <c r="W11" s="5"/>
      <c r="X11" s="1"/>
      <c r="Y11" s="5"/>
      <c r="Z11" s="5">
        <f t="shared" si="14"/>
        <v>3184</v>
      </c>
      <c r="AA11" s="5">
        <f t="shared" si="15"/>
        <v>0</v>
      </c>
    </row>
    <row r="12" spans="1:27" ht="19.5">
      <c r="A12" s="1">
        <v>2</v>
      </c>
      <c r="B12" s="2" t="s">
        <v>12</v>
      </c>
      <c r="C12" s="1">
        <v>398</v>
      </c>
      <c r="D12" s="5">
        <f>Table1[[#This Row],[Enrolment S.Y. 2025-2026 ]]*8</f>
        <v>3184</v>
      </c>
      <c r="E12" s="5">
        <v>303</v>
      </c>
      <c r="F12" s="1">
        <v>2025</v>
      </c>
      <c r="G12" s="5" t="s">
        <v>50</v>
      </c>
      <c r="H12" s="5">
        <f t="shared" si="2"/>
        <v>2881</v>
      </c>
      <c r="I12" s="5">
        <f t="shared" si="3"/>
        <v>0</v>
      </c>
      <c r="J12" s="5">
        <f>Table1[[#This Row],[Enrolment S.Y. 2025-2026 ]]*8</f>
        <v>3184</v>
      </c>
      <c r="K12" s="5">
        <v>0</v>
      </c>
      <c r="L12" s="1"/>
      <c r="M12" s="5"/>
      <c r="N12" s="5">
        <f t="shared" si="10"/>
        <v>3184</v>
      </c>
      <c r="O12" s="5">
        <f t="shared" si="11"/>
        <v>0</v>
      </c>
      <c r="P12" s="5">
        <f>Table1[[#This Row],[Enrolment S.Y. 2025-2026 ]]*8</f>
        <v>3184</v>
      </c>
      <c r="Q12" s="5"/>
      <c r="R12" s="1"/>
      <c r="S12" s="5"/>
      <c r="T12" s="5">
        <f t="shared" si="12"/>
        <v>3184</v>
      </c>
      <c r="U12" s="5">
        <f t="shared" si="13"/>
        <v>0</v>
      </c>
      <c r="V12" s="5">
        <f>Table1[[#This Row],[Enrolment S.Y. 2025-2026 ]]*8</f>
        <v>3184</v>
      </c>
      <c r="W12" s="5"/>
      <c r="X12" s="1"/>
      <c r="Y12" s="5"/>
      <c r="Z12" s="5">
        <f t="shared" si="14"/>
        <v>3184</v>
      </c>
      <c r="AA12" s="5">
        <f t="shared" si="15"/>
        <v>0</v>
      </c>
    </row>
    <row r="13" spans="1:27" ht="19.5">
      <c r="A13" s="1">
        <v>2</v>
      </c>
      <c r="B13" s="2" t="s">
        <v>13</v>
      </c>
      <c r="C13" s="1">
        <v>398</v>
      </c>
      <c r="D13" s="5">
        <f>Table1[[#This Row],[Enrolment S.Y. 2025-2026 ]]*8</f>
        <v>3184</v>
      </c>
      <c r="E13" s="5">
        <v>0</v>
      </c>
      <c r="F13" s="1">
        <v>2025</v>
      </c>
      <c r="G13" s="5" t="s">
        <v>50</v>
      </c>
      <c r="H13" s="5">
        <f t="shared" si="2"/>
        <v>3184</v>
      </c>
      <c r="I13" s="5">
        <f t="shared" si="3"/>
        <v>0</v>
      </c>
      <c r="J13" s="5">
        <f>Table1[[#This Row],[Enrolment S.Y. 2025-2026 ]]*8</f>
        <v>3184</v>
      </c>
      <c r="K13" s="5">
        <v>0</v>
      </c>
      <c r="L13" s="1"/>
      <c r="M13" s="5"/>
      <c r="N13" s="5">
        <f t="shared" si="10"/>
        <v>3184</v>
      </c>
      <c r="O13" s="5">
        <f t="shared" si="11"/>
        <v>0</v>
      </c>
      <c r="P13" s="5">
        <f>Table1[[#This Row],[Enrolment S.Y. 2025-2026 ]]*8</f>
        <v>3184</v>
      </c>
      <c r="Q13" s="5"/>
      <c r="R13" s="1"/>
      <c r="S13" s="5"/>
      <c r="T13" s="5">
        <f t="shared" si="12"/>
        <v>3184</v>
      </c>
      <c r="U13" s="5">
        <f t="shared" si="13"/>
        <v>0</v>
      </c>
      <c r="V13" s="5">
        <f>Table1[[#This Row],[Enrolment S.Y. 2025-2026 ]]*8</f>
        <v>3184</v>
      </c>
      <c r="W13" s="5"/>
      <c r="X13" s="1"/>
      <c r="Y13" s="5"/>
      <c r="Z13" s="5">
        <f t="shared" si="14"/>
        <v>3184</v>
      </c>
      <c r="AA13" s="5">
        <f t="shared" si="15"/>
        <v>0</v>
      </c>
    </row>
    <row r="14" spans="1:27" ht="19.5">
      <c r="A14" s="1">
        <v>2</v>
      </c>
      <c r="B14" s="9" t="s">
        <v>16</v>
      </c>
      <c r="C14" s="1">
        <v>398</v>
      </c>
      <c r="D14" s="5">
        <f>Table1[[#This Row],[Enrolment S.Y. 2025-2026 ]]*8</f>
        <v>3184</v>
      </c>
      <c r="E14" s="5">
        <v>203</v>
      </c>
      <c r="F14" s="1">
        <v>2025</v>
      </c>
      <c r="G14" s="5" t="s">
        <v>50</v>
      </c>
      <c r="H14" s="5">
        <f>IF((D14-E14)&lt;0,0,(D14-E14))</f>
        <v>2981</v>
      </c>
      <c r="I14" s="5">
        <f>IF((E14-D14)&lt;0,0,(E14-D14))</f>
        <v>0</v>
      </c>
      <c r="J14" s="5">
        <f>Table1[[#This Row],[Enrolment S.Y. 2025-2026 ]]*8</f>
        <v>3184</v>
      </c>
      <c r="K14" s="5">
        <v>0</v>
      </c>
      <c r="L14" s="1"/>
      <c r="M14" s="5"/>
      <c r="N14" s="5">
        <f t="shared" si="10"/>
        <v>3184</v>
      </c>
      <c r="O14" s="5">
        <f t="shared" si="11"/>
        <v>0</v>
      </c>
      <c r="P14" s="5">
        <f>Table1[[#This Row],[Enrolment S.Y. 2025-2026 ]]*8</f>
        <v>3184</v>
      </c>
      <c r="Q14" s="5"/>
      <c r="R14" s="1"/>
      <c r="S14" s="5"/>
      <c r="T14" s="5">
        <f t="shared" si="12"/>
        <v>3184</v>
      </c>
      <c r="U14" s="5">
        <f t="shared" si="13"/>
        <v>0</v>
      </c>
      <c r="V14" s="5">
        <f>Table1[[#This Row],[Enrolment S.Y. 2025-2026 ]]*8</f>
        <v>3184</v>
      </c>
      <c r="W14" s="5"/>
      <c r="X14" s="1"/>
      <c r="Y14" s="5"/>
      <c r="Z14" s="5">
        <f t="shared" si="14"/>
        <v>3184</v>
      </c>
      <c r="AA14" s="5">
        <f t="shared" si="15"/>
        <v>0</v>
      </c>
    </row>
    <row r="15" spans="1:27" ht="19.5">
      <c r="A15" s="1">
        <v>2</v>
      </c>
      <c r="B15" s="9" t="s">
        <v>15</v>
      </c>
      <c r="C15" s="1">
        <v>398</v>
      </c>
      <c r="D15" s="5">
        <f>Table1[[#This Row],[Enrolment S.Y. 2025-2026 ]]*8</f>
        <v>3184</v>
      </c>
      <c r="E15" s="5">
        <v>403</v>
      </c>
      <c r="F15" s="1">
        <v>2025</v>
      </c>
      <c r="G15" s="5" t="s">
        <v>50</v>
      </c>
      <c r="H15" s="5">
        <f>IF((D15-E15)&lt;0,0,(D15-E15))</f>
        <v>2781</v>
      </c>
      <c r="I15" s="5">
        <f>IF((E15-D15)&lt;0,0,(E15-D15))</f>
        <v>0</v>
      </c>
      <c r="J15" s="5">
        <f>Table1[[#This Row],[Enrolment S.Y. 2025-2026 ]]*8</f>
        <v>3184</v>
      </c>
      <c r="K15" s="5">
        <v>0</v>
      </c>
      <c r="L15" s="1"/>
      <c r="M15" s="5"/>
      <c r="N15" s="5">
        <f t="shared" si="10"/>
        <v>3184</v>
      </c>
      <c r="O15" s="5">
        <f t="shared" si="11"/>
        <v>0</v>
      </c>
      <c r="P15" s="5">
        <f>Table1[[#This Row],[Enrolment S.Y. 2025-2026 ]]*8</f>
        <v>3184</v>
      </c>
      <c r="Q15" s="5"/>
      <c r="R15" s="1"/>
      <c r="S15" s="5"/>
      <c r="T15" s="5">
        <f t="shared" si="12"/>
        <v>3184</v>
      </c>
      <c r="U15" s="5">
        <f t="shared" si="13"/>
        <v>0</v>
      </c>
      <c r="V15" s="5">
        <f>Table1[[#This Row],[Enrolment S.Y. 2025-2026 ]]*8</f>
        <v>3184</v>
      </c>
      <c r="W15" s="5"/>
      <c r="X15" s="1"/>
      <c r="Y15" s="5"/>
      <c r="Z15" s="5">
        <f t="shared" si="14"/>
        <v>3184</v>
      </c>
      <c r="AA15" s="5">
        <f t="shared" si="15"/>
        <v>0</v>
      </c>
    </row>
    <row r="16" spans="1:27" s="7" customFormat="1" ht="19.5">
      <c r="J16" s="10"/>
      <c r="M16" s="5"/>
      <c r="N16" s="10"/>
      <c r="O16" s="10"/>
      <c r="P16" s="10"/>
      <c r="S16" s="5"/>
      <c r="T16" s="10"/>
      <c r="U16" s="10"/>
      <c r="V16" s="10"/>
      <c r="Y16" s="5"/>
      <c r="Z16" s="10"/>
      <c r="AA16" s="10"/>
    </row>
    <row r="17" spans="1:27" ht="19.5">
      <c r="A17" s="1">
        <v>3</v>
      </c>
      <c r="B17" s="2" t="s">
        <v>11</v>
      </c>
      <c r="C17" s="1">
        <v>392</v>
      </c>
      <c r="D17" s="5">
        <f>Table1[[#This Row],[Enrolment S.Y. 2025-2026 ]]*8</f>
        <v>3136</v>
      </c>
      <c r="E17" s="5">
        <v>343</v>
      </c>
      <c r="F17" s="1">
        <v>2025</v>
      </c>
      <c r="G17" s="5" t="s">
        <v>50</v>
      </c>
      <c r="H17" s="5">
        <f t="shared" si="2"/>
        <v>2793</v>
      </c>
      <c r="I17" s="5">
        <f t="shared" si="3"/>
        <v>0</v>
      </c>
      <c r="J17" s="5">
        <f>Table1[[#This Row],[Enrolment S.Y. 2025-2026 ]]*8</f>
        <v>3136</v>
      </c>
      <c r="K17" s="5">
        <v>0</v>
      </c>
      <c r="L17" s="1"/>
      <c r="M17" s="5"/>
      <c r="N17" s="5">
        <f t="shared" si="10"/>
        <v>3136</v>
      </c>
      <c r="O17" s="5">
        <f t="shared" si="11"/>
        <v>0</v>
      </c>
      <c r="P17" s="5">
        <f>Table1[[#This Row],[Enrolment S.Y. 2025-2026 ]]*8</f>
        <v>3136</v>
      </c>
      <c r="Q17" s="5"/>
      <c r="R17" s="1"/>
      <c r="S17" s="5"/>
      <c r="T17" s="5">
        <f t="shared" si="12"/>
        <v>3136</v>
      </c>
      <c r="U17" s="5">
        <f t="shared" si="13"/>
        <v>0</v>
      </c>
      <c r="V17" s="5">
        <f>Table1[[#This Row],[Enrolment S.Y. 2025-2026 ]]*8</f>
        <v>3136</v>
      </c>
      <c r="W17" s="5"/>
      <c r="X17" s="1"/>
      <c r="Y17" s="5"/>
      <c r="Z17" s="5">
        <f t="shared" si="14"/>
        <v>3136</v>
      </c>
      <c r="AA17" s="5">
        <f t="shared" si="15"/>
        <v>0</v>
      </c>
    </row>
    <row r="18" spans="1:27" ht="19.5">
      <c r="A18" s="1">
        <v>3</v>
      </c>
      <c r="B18" s="2" t="s">
        <v>14</v>
      </c>
      <c r="C18" s="1">
        <v>392</v>
      </c>
      <c r="D18" s="5">
        <f>Table1[[#This Row],[Enrolment S.Y. 2025-2026 ]]*8</f>
        <v>3136</v>
      </c>
      <c r="E18" s="5">
        <v>343</v>
      </c>
      <c r="F18" s="1">
        <v>2025</v>
      </c>
      <c r="G18" s="5" t="s">
        <v>50</v>
      </c>
      <c r="H18" s="5">
        <f t="shared" si="2"/>
        <v>2793</v>
      </c>
      <c r="I18" s="5">
        <f t="shared" si="3"/>
        <v>0</v>
      </c>
      <c r="J18" s="5">
        <f>Table1[[#This Row],[Enrolment S.Y. 2025-2026 ]]*8</f>
        <v>3136</v>
      </c>
      <c r="K18" s="5">
        <v>0</v>
      </c>
      <c r="L18" s="1"/>
      <c r="M18" s="5"/>
      <c r="N18" s="5">
        <f t="shared" si="10"/>
        <v>3136</v>
      </c>
      <c r="O18" s="5">
        <f t="shared" si="11"/>
        <v>0</v>
      </c>
      <c r="P18" s="5">
        <f>Table1[[#This Row],[Enrolment S.Y. 2025-2026 ]]*8</f>
        <v>3136</v>
      </c>
      <c r="Q18" s="5"/>
      <c r="R18" s="1"/>
      <c r="S18" s="5"/>
      <c r="T18" s="5">
        <f t="shared" si="12"/>
        <v>3136</v>
      </c>
      <c r="U18" s="5">
        <f t="shared" si="13"/>
        <v>0</v>
      </c>
      <c r="V18" s="5">
        <f>Table1[[#This Row],[Enrolment S.Y. 2025-2026 ]]*8</f>
        <v>3136</v>
      </c>
      <c r="W18" s="5"/>
      <c r="X18" s="1"/>
      <c r="Y18" s="5"/>
      <c r="Z18" s="5">
        <f t="shared" si="14"/>
        <v>3136</v>
      </c>
      <c r="AA18" s="5">
        <f t="shared" si="15"/>
        <v>0</v>
      </c>
    </row>
    <row r="19" spans="1:27" ht="19.5">
      <c r="A19" s="1">
        <v>3</v>
      </c>
      <c r="B19" s="2" t="s">
        <v>12</v>
      </c>
      <c r="C19" s="1">
        <v>392</v>
      </c>
      <c r="D19" s="5">
        <f>Table1[[#This Row],[Enrolment S.Y. 2025-2026 ]]*8</f>
        <v>3136</v>
      </c>
      <c r="E19" s="5">
        <v>343</v>
      </c>
      <c r="F19" s="1">
        <v>2025</v>
      </c>
      <c r="G19" s="5" t="s">
        <v>50</v>
      </c>
      <c r="H19" s="5">
        <f t="shared" si="2"/>
        <v>2793</v>
      </c>
      <c r="I19" s="5">
        <f t="shared" si="3"/>
        <v>0</v>
      </c>
      <c r="J19" s="5">
        <f>Table1[[#This Row],[Enrolment S.Y. 2025-2026 ]]*8</f>
        <v>3136</v>
      </c>
      <c r="K19" s="5">
        <v>0</v>
      </c>
      <c r="L19" s="1"/>
      <c r="M19" s="5"/>
      <c r="N19" s="5">
        <f t="shared" si="10"/>
        <v>3136</v>
      </c>
      <c r="O19" s="5">
        <f t="shared" si="11"/>
        <v>0</v>
      </c>
      <c r="P19" s="5">
        <f>Table1[[#This Row],[Enrolment S.Y. 2025-2026 ]]*8</f>
        <v>3136</v>
      </c>
      <c r="Q19" s="5"/>
      <c r="R19" s="1"/>
      <c r="S19" s="5"/>
      <c r="T19" s="5">
        <f t="shared" si="12"/>
        <v>3136</v>
      </c>
      <c r="U19" s="5">
        <f t="shared" si="13"/>
        <v>0</v>
      </c>
      <c r="V19" s="5">
        <f>Table1[[#This Row],[Enrolment S.Y. 2025-2026 ]]*8</f>
        <v>3136</v>
      </c>
      <c r="W19" s="5"/>
      <c r="X19" s="1"/>
      <c r="Y19" s="5"/>
      <c r="Z19" s="5">
        <f t="shared" si="14"/>
        <v>3136</v>
      </c>
      <c r="AA19" s="5">
        <f t="shared" si="15"/>
        <v>0</v>
      </c>
    </row>
    <row r="20" spans="1:27" ht="19.5">
      <c r="A20" s="1">
        <v>3</v>
      </c>
      <c r="B20" s="2" t="s">
        <v>13</v>
      </c>
      <c r="C20" s="1">
        <v>392</v>
      </c>
      <c r="D20" s="5">
        <f>Table1[[#This Row],[Enrolment S.Y. 2025-2026 ]]*8</f>
        <v>3136</v>
      </c>
      <c r="E20" s="5">
        <v>400</v>
      </c>
      <c r="F20" s="1">
        <v>2025</v>
      </c>
      <c r="G20" s="5" t="s">
        <v>50</v>
      </c>
      <c r="H20" s="5">
        <f t="shared" si="2"/>
        <v>2736</v>
      </c>
      <c r="I20" s="5">
        <f t="shared" si="3"/>
        <v>0</v>
      </c>
      <c r="J20" s="5">
        <f>Table1[[#This Row],[Enrolment S.Y. 2025-2026 ]]*8</f>
        <v>3136</v>
      </c>
      <c r="K20" s="5">
        <v>0</v>
      </c>
      <c r="L20" s="1"/>
      <c r="M20" s="5"/>
      <c r="N20" s="5">
        <f t="shared" si="10"/>
        <v>3136</v>
      </c>
      <c r="O20" s="5">
        <f t="shared" si="11"/>
        <v>0</v>
      </c>
      <c r="P20" s="5">
        <f>Table1[[#This Row],[Enrolment S.Y. 2025-2026 ]]*8</f>
        <v>3136</v>
      </c>
      <c r="Q20" s="5"/>
      <c r="R20" s="1"/>
      <c r="S20" s="5"/>
      <c r="T20" s="5">
        <f t="shared" si="12"/>
        <v>3136</v>
      </c>
      <c r="U20" s="5">
        <f t="shared" si="13"/>
        <v>0</v>
      </c>
      <c r="V20" s="5">
        <f>Table1[[#This Row],[Enrolment S.Y. 2025-2026 ]]*8</f>
        <v>3136</v>
      </c>
      <c r="W20" s="5"/>
      <c r="X20" s="1"/>
      <c r="Y20" s="5"/>
      <c r="Z20" s="5">
        <f t="shared" si="14"/>
        <v>3136</v>
      </c>
      <c r="AA20" s="5">
        <f t="shared" si="15"/>
        <v>0</v>
      </c>
    </row>
    <row r="21" spans="1:27" ht="19.5">
      <c r="A21" s="1">
        <v>3</v>
      </c>
      <c r="B21" s="9" t="s">
        <v>15</v>
      </c>
      <c r="C21" s="1">
        <v>392</v>
      </c>
      <c r="D21" s="5">
        <f>Table1[[#This Row],[Enrolment S.Y. 2025-2026 ]]*8</f>
        <v>3136</v>
      </c>
      <c r="E21" s="5">
        <v>343</v>
      </c>
      <c r="F21" s="1">
        <v>2025</v>
      </c>
      <c r="G21" s="5" t="s">
        <v>50</v>
      </c>
      <c r="H21" s="5">
        <f>IF((D21-E21)&lt;0,0,(D21-E21))</f>
        <v>2793</v>
      </c>
      <c r="I21" s="5">
        <f>IF((E21-D21)&lt;0,0,(E21-D21))</f>
        <v>0</v>
      </c>
      <c r="J21" s="5">
        <f>Table1[[#This Row],[Enrolment S.Y. 2025-2026 ]]*8</f>
        <v>3136</v>
      </c>
      <c r="K21" s="5">
        <v>0</v>
      </c>
      <c r="L21" s="1"/>
      <c r="M21" s="5"/>
      <c r="N21" s="5">
        <f t="shared" si="10"/>
        <v>3136</v>
      </c>
      <c r="O21" s="5">
        <f t="shared" si="11"/>
        <v>0</v>
      </c>
      <c r="P21" s="5">
        <f>Table1[[#This Row],[Enrolment S.Y. 2025-2026 ]]*8</f>
        <v>3136</v>
      </c>
      <c r="Q21" s="5"/>
      <c r="R21" s="1"/>
      <c r="S21" s="5"/>
      <c r="T21" s="5">
        <f t="shared" si="12"/>
        <v>3136</v>
      </c>
      <c r="U21" s="5">
        <f t="shared" si="13"/>
        <v>0</v>
      </c>
      <c r="V21" s="5">
        <f>Table1[[#This Row],[Enrolment S.Y. 2025-2026 ]]*8</f>
        <v>3136</v>
      </c>
      <c r="W21" s="5"/>
      <c r="X21" s="1"/>
      <c r="Y21" s="5"/>
      <c r="Z21" s="5">
        <f t="shared" si="14"/>
        <v>3136</v>
      </c>
      <c r="AA21" s="5">
        <f t="shared" si="15"/>
        <v>0</v>
      </c>
    </row>
    <row r="22" spans="1:27" ht="19.5">
      <c r="A22" s="1">
        <v>3</v>
      </c>
      <c r="B22" s="9" t="s">
        <v>16</v>
      </c>
      <c r="C22" s="1">
        <v>392</v>
      </c>
      <c r="D22" s="5">
        <f>Table1[[#This Row],[Enrolment S.Y. 2025-2026 ]]*8</f>
        <v>3136</v>
      </c>
      <c r="E22" s="5">
        <v>343</v>
      </c>
      <c r="F22" s="1">
        <v>2025</v>
      </c>
      <c r="G22" s="5" t="s">
        <v>50</v>
      </c>
      <c r="H22" s="5">
        <f>IF((D22-E22)&lt;0,0,(D22-E22))</f>
        <v>2793</v>
      </c>
      <c r="I22" s="5">
        <f>IF((E22-D22)&lt;0,0,(E22-D22))</f>
        <v>0</v>
      </c>
      <c r="J22" s="5">
        <f>Table1[[#This Row],[Enrolment S.Y. 2025-2026 ]]*8</f>
        <v>3136</v>
      </c>
      <c r="K22" s="5">
        <v>0</v>
      </c>
      <c r="L22" s="1"/>
      <c r="M22" s="5"/>
      <c r="N22" s="5">
        <f t="shared" si="10"/>
        <v>3136</v>
      </c>
      <c r="O22" s="5">
        <f t="shared" si="11"/>
        <v>0</v>
      </c>
      <c r="P22" s="5">
        <f>Table1[[#This Row],[Enrolment S.Y. 2025-2026 ]]*8</f>
        <v>3136</v>
      </c>
      <c r="Q22" s="5"/>
      <c r="R22" s="1"/>
      <c r="S22" s="5"/>
      <c r="T22" s="5">
        <f t="shared" si="12"/>
        <v>3136</v>
      </c>
      <c r="U22" s="5">
        <f t="shared" si="13"/>
        <v>0</v>
      </c>
      <c r="V22" s="5">
        <f>Table1[[#This Row],[Enrolment S.Y. 2025-2026 ]]*8</f>
        <v>3136</v>
      </c>
      <c r="W22" s="5"/>
      <c r="X22" s="1"/>
      <c r="Y22" s="5"/>
      <c r="Z22" s="5">
        <f t="shared" si="14"/>
        <v>3136</v>
      </c>
      <c r="AA22" s="5">
        <f t="shared" si="15"/>
        <v>0</v>
      </c>
    </row>
    <row r="23" spans="1:27" s="7" customFormat="1" ht="19.149999999999999">
      <c r="J23" s="10"/>
      <c r="M23" s="5"/>
      <c r="N23" s="10"/>
      <c r="O23" s="10"/>
      <c r="P23" s="10"/>
      <c r="S23" s="5"/>
      <c r="T23" s="10"/>
      <c r="U23" s="10"/>
      <c r="V23" s="10"/>
      <c r="Y23" s="5"/>
      <c r="Z23" s="10"/>
      <c r="AA23" s="10"/>
    </row>
    <row r="24" spans="1:27" ht="19.5">
      <c r="A24" s="1">
        <v>4</v>
      </c>
      <c r="B24" s="9" t="s">
        <v>15</v>
      </c>
      <c r="C24" s="1">
        <v>454</v>
      </c>
      <c r="D24" s="5">
        <f>Table1[[#This Row],[Enrolment S.Y. 2025-2026 ]]*8</f>
        <v>3632</v>
      </c>
      <c r="E24" s="5"/>
      <c r="F24" s="1"/>
      <c r="G24" s="5"/>
      <c r="H24" s="5">
        <f t="shared" si="2"/>
        <v>3632</v>
      </c>
      <c r="I24" s="5">
        <f t="shared" si="3"/>
        <v>0</v>
      </c>
      <c r="J24" s="5">
        <f>Table1[[#This Row],[Enrolment S.Y. 2025-2026 ]]*8</f>
        <v>3632</v>
      </c>
      <c r="K24" s="5"/>
      <c r="L24" s="1"/>
      <c r="M24" s="5"/>
      <c r="N24" s="5">
        <f t="shared" si="10"/>
        <v>3632</v>
      </c>
      <c r="O24" s="5">
        <f t="shared" si="11"/>
        <v>0</v>
      </c>
      <c r="P24" s="5">
        <f>Table1[[#This Row],[Enrolment S.Y. 2025-2026 ]]*8</f>
        <v>3632</v>
      </c>
      <c r="Q24" s="5"/>
      <c r="R24" s="1"/>
      <c r="S24" s="5"/>
      <c r="T24" s="5">
        <f t="shared" si="12"/>
        <v>3632</v>
      </c>
      <c r="U24" s="5">
        <f t="shared" si="13"/>
        <v>0</v>
      </c>
      <c r="V24" s="5">
        <f>Table1[[#This Row],[Enrolment S.Y. 2025-2026 ]]*8</f>
        <v>3632</v>
      </c>
      <c r="W24" s="5"/>
      <c r="X24" s="1"/>
      <c r="Y24" s="5"/>
      <c r="Z24" s="5">
        <f t="shared" si="14"/>
        <v>3632</v>
      </c>
      <c r="AA24" s="5">
        <f t="shared" si="15"/>
        <v>0</v>
      </c>
    </row>
    <row r="25" spans="1:27" ht="19.5">
      <c r="A25" s="1">
        <v>4</v>
      </c>
      <c r="B25" s="9" t="s">
        <v>16</v>
      </c>
      <c r="C25" s="1">
        <v>454</v>
      </c>
      <c r="D25" s="5">
        <f>Table1[[#This Row],[Enrolment S.Y. 2025-2026 ]]*8</f>
        <v>3632</v>
      </c>
      <c r="E25" s="5"/>
      <c r="F25" s="1"/>
      <c r="G25" s="5"/>
      <c r="H25" s="5">
        <f t="shared" si="2"/>
        <v>3632</v>
      </c>
      <c r="I25" s="5">
        <f t="shared" si="3"/>
        <v>0</v>
      </c>
      <c r="J25" s="5">
        <f>Table1[[#This Row],[Enrolment S.Y. 2025-2026 ]]*8</f>
        <v>3632</v>
      </c>
      <c r="K25" s="5"/>
      <c r="L25" s="1"/>
      <c r="M25" s="5"/>
      <c r="N25" s="5">
        <f t="shared" si="10"/>
        <v>3632</v>
      </c>
      <c r="O25" s="5">
        <f t="shared" si="11"/>
        <v>0</v>
      </c>
      <c r="P25" s="5">
        <f>Table1[[#This Row],[Enrolment S.Y. 2025-2026 ]]*8</f>
        <v>3632</v>
      </c>
      <c r="Q25" s="5"/>
      <c r="R25" s="1"/>
      <c r="S25" s="5"/>
      <c r="T25" s="5">
        <f t="shared" si="12"/>
        <v>3632</v>
      </c>
      <c r="U25" s="5">
        <f t="shared" si="13"/>
        <v>0</v>
      </c>
      <c r="V25" s="5">
        <f>Table1[[#This Row],[Enrolment S.Y. 2025-2026 ]]*8</f>
        <v>3632</v>
      </c>
      <c r="W25" s="5"/>
      <c r="X25" s="1"/>
      <c r="Y25" s="5"/>
      <c r="Z25" s="5">
        <f t="shared" si="14"/>
        <v>3632</v>
      </c>
      <c r="AA25" s="5">
        <f t="shared" si="15"/>
        <v>0</v>
      </c>
    </row>
    <row r="26" spans="1:27" ht="19.5">
      <c r="A26" s="1">
        <v>4</v>
      </c>
      <c r="B26" s="9" t="s">
        <v>13</v>
      </c>
      <c r="C26" s="1">
        <v>454</v>
      </c>
      <c r="D26" s="5">
        <f>Table1[[#This Row],[Enrolment S.Y. 2025-2026 ]]*8</f>
        <v>3632</v>
      </c>
      <c r="E26" s="5"/>
      <c r="F26" s="1"/>
      <c r="G26" s="5"/>
      <c r="H26" s="5">
        <f t="shared" si="2"/>
        <v>3632</v>
      </c>
      <c r="I26" s="5">
        <f t="shared" si="3"/>
        <v>0</v>
      </c>
      <c r="J26" s="5">
        <f>Table1[[#This Row],[Enrolment S.Y. 2025-2026 ]]*8</f>
        <v>3632</v>
      </c>
      <c r="K26" s="5"/>
      <c r="L26" s="1"/>
      <c r="M26" s="5"/>
      <c r="N26" s="5">
        <f t="shared" si="10"/>
        <v>3632</v>
      </c>
      <c r="O26" s="5">
        <f t="shared" si="11"/>
        <v>0</v>
      </c>
      <c r="P26" s="5">
        <f>Table1[[#This Row],[Enrolment S.Y. 2025-2026 ]]*8</f>
        <v>3632</v>
      </c>
      <c r="Q26" s="5"/>
      <c r="R26" s="1"/>
      <c r="S26" s="5"/>
      <c r="T26" s="5">
        <f t="shared" si="12"/>
        <v>3632</v>
      </c>
      <c r="U26" s="5">
        <f t="shared" si="13"/>
        <v>0</v>
      </c>
      <c r="V26" s="5">
        <f>Table1[[#This Row],[Enrolment S.Y. 2025-2026 ]]*8</f>
        <v>3632</v>
      </c>
      <c r="W26" s="5"/>
      <c r="X26" s="1"/>
      <c r="Y26" s="5"/>
      <c r="Z26" s="5">
        <f t="shared" si="14"/>
        <v>3632</v>
      </c>
      <c r="AA26" s="5">
        <f t="shared" si="15"/>
        <v>0</v>
      </c>
    </row>
    <row r="27" spans="1:27" ht="19.5">
      <c r="A27" s="1">
        <v>4</v>
      </c>
      <c r="B27" s="9" t="s">
        <v>11</v>
      </c>
      <c r="C27" s="1">
        <v>454</v>
      </c>
      <c r="D27" s="5">
        <f>Table1[[#This Row],[Enrolment S.Y. 2025-2026 ]]*8</f>
        <v>3632</v>
      </c>
      <c r="E27" s="5"/>
      <c r="F27" s="1"/>
      <c r="G27" s="5"/>
      <c r="H27" s="5">
        <f t="shared" si="2"/>
        <v>3632</v>
      </c>
      <c r="I27" s="5">
        <f t="shared" si="3"/>
        <v>0</v>
      </c>
      <c r="J27" s="5">
        <f>Table1[[#This Row],[Enrolment S.Y. 2025-2026 ]]*8</f>
        <v>3632</v>
      </c>
      <c r="K27" s="5"/>
      <c r="L27" s="1"/>
      <c r="M27" s="5"/>
      <c r="N27" s="5">
        <f t="shared" si="10"/>
        <v>3632</v>
      </c>
      <c r="O27" s="5">
        <f t="shared" si="11"/>
        <v>0</v>
      </c>
      <c r="P27" s="5">
        <f>Table1[[#This Row],[Enrolment S.Y. 2025-2026 ]]*8</f>
        <v>3632</v>
      </c>
      <c r="Q27" s="5"/>
      <c r="R27" s="1"/>
      <c r="S27" s="5"/>
      <c r="T27" s="5">
        <f t="shared" si="12"/>
        <v>3632</v>
      </c>
      <c r="U27" s="5">
        <f t="shared" si="13"/>
        <v>0</v>
      </c>
      <c r="V27" s="5">
        <f>Table1[[#This Row],[Enrolment S.Y. 2025-2026 ]]*8</f>
        <v>3632</v>
      </c>
      <c r="W27" s="5"/>
      <c r="X27" s="1"/>
      <c r="Y27" s="5"/>
      <c r="Z27" s="5">
        <f t="shared" si="14"/>
        <v>3632</v>
      </c>
      <c r="AA27" s="5">
        <f t="shared" si="15"/>
        <v>0</v>
      </c>
    </row>
    <row r="28" spans="1:27" ht="38.25">
      <c r="A28" s="1">
        <v>4</v>
      </c>
      <c r="B28" s="9" t="s">
        <v>17</v>
      </c>
      <c r="C28" s="1">
        <v>454</v>
      </c>
      <c r="D28" s="5">
        <f>Table1[[#This Row],[Enrolment S.Y. 2025-2026 ]]*8</f>
        <v>3632</v>
      </c>
      <c r="E28" s="5"/>
      <c r="F28" s="1"/>
      <c r="G28" s="5"/>
      <c r="H28" s="5">
        <f t="shared" si="2"/>
        <v>3632</v>
      </c>
      <c r="I28" s="5">
        <f t="shared" si="3"/>
        <v>0</v>
      </c>
      <c r="J28" s="5">
        <f>Table1[[#This Row],[Enrolment S.Y. 2025-2026 ]]*8</f>
        <v>3632</v>
      </c>
      <c r="K28" s="5"/>
      <c r="L28" s="1"/>
      <c r="M28" s="5"/>
      <c r="N28" s="5">
        <f t="shared" si="10"/>
        <v>3632</v>
      </c>
      <c r="O28" s="5">
        <f t="shared" si="11"/>
        <v>0</v>
      </c>
      <c r="P28" s="5">
        <f>Table1[[#This Row],[Enrolment S.Y. 2025-2026 ]]*8</f>
        <v>3632</v>
      </c>
      <c r="Q28" s="5"/>
      <c r="R28" s="1"/>
      <c r="S28" s="5"/>
      <c r="T28" s="5">
        <f t="shared" si="12"/>
        <v>3632</v>
      </c>
      <c r="U28" s="5">
        <f t="shared" si="13"/>
        <v>0</v>
      </c>
      <c r="V28" s="5">
        <f>Table1[[#This Row],[Enrolment S.Y. 2025-2026 ]]*8</f>
        <v>3632</v>
      </c>
      <c r="W28" s="5"/>
      <c r="X28" s="1"/>
      <c r="Y28" s="5"/>
      <c r="Z28" s="5">
        <f t="shared" si="14"/>
        <v>3632</v>
      </c>
      <c r="AA28" s="5">
        <f t="shared" si="15"/>
        <v>0</v>
      </c>
    </row>
    <row r="29" spans="1:27" ht="19.5">
      <c r="A29" s="1">
        <v>4</v>
      </c>
      <c r="B29" s="9" t="s">
        <v>14</v>
      </c>
      <c r="C29" s="1">
        <v>454</v>
      </c>
      <c r="D29" s="5">
        <f>Table1[[#This Row],[Enrolment S.Y. 2025-2026 ]]*8</f>
        <v>3632</v>
      </c>
      <c r="E29" s="5"/>
      <c r="F29" s="1"/>
      <c r="G29" s="5"/>
      <c r="H29" s="5">
        <f t="shared" si="2"/>
        <v>3632</v>
      </c>
      <c r="I29" s="5">
        <f t="shared" si="3"/>
        <v>0</v>
      </c>
      <c r="J29" s="5">
        <f>Table1[[#This Row],[Enrolment S.Y. 2025-2026 ]]*8</f>
        <v>3632</v>
      </c>
      <c r="K29" s="5"/>
      <c r="L29" s="1"/>
      <c r="M29" s="5"/>
      <c r="N29" s="5">
        <f t="shared" si="10"/>
        <v>3632</v>
      </c>
      <c r="O29" s="5">
        <f t="shared" si="11"/>
        <v>0</v>
      </c>
      <c r="P29" s="5">
        <f>Table1[[#This Row],[Enrolment S.Y. 2025-2026 ]]*8</f>
        <v>3632</v>
      </c>
      <c r="Q29" s="5"/>
      <c r="R29" s="1"/>
      <c r="S29" s="5"/>
      <c r="T29" s="5">
        <f t="shared" si="12"/>
        <v>3632</v>
      </c>
      <c r="U29" s="5">
        <f t="shared" si="13"/>
        <v>0</v>
      </c>
      <c r="V29" s="5">
        <f>Table1[[#This Row],[Enrolment S.Y. 2025-2026 ]]*8</f>
        <v>3632</v>
      </c>
      <c r="W29" s="5"/>
      <c r="X29" s="1"/>
      <c r="Y29" s="5"/>
      <c r="Z29" s="5">
        <f t="shared" si="14"/>
        <v>3632</v>
      </c>
      <c r="AA29" s="5">
        <f t="shared" si="15"/>
        <v>0</v>
      </c>
    </row>
    <row r="30" spans="1:27" ht="19.5">
      <c r="A30" s="1">
        <v>4</v>
      </c>
      <c r="B30" s="9" t="s">
        <v>18</v>
      </c>
      <c r="C30" s="1">
        <v>454</v>
      </c>
      <c r="D30" s="5">
        <f>Table1[[#This Row],[Enrolment S.Y. 2025-2026 ]]*8</f>
        <v>3632</v>
      </c>
      <c r="E30" s="5"/>
      <c r="F30" s="1"/>
      <c r="G30" s="5"/>
      <c r="H30" s="5">
        <f t="shared" si="2"/>
        <v>3632</v>
      </c>
      <c r="I30" s="5">
        <f t="shared" si="3"/>
        <v>0</v>
      </c>
      <c r="J30" s="5">
        <f>Table1[[#This Row],[Enrolment S.Y. 2025-2026 ]]*8</f>
        <v>3632</v>
      </c>
      <c r="K30" s="5"/>
      <c r="L30" s="1"/>
      <c r="M30" s="5"/>
      <c r="N30" s="5">
        <f t="shared" si="10"/>
        <v>3632</v>
      </c>
      <c r="O30" s="5">
        <f t="shared" si="11"/>
        <v>0</v>
      </c>
      <c r="P30" s="5">
        <f>Table1[[#This Row],[Enrolment S.Y. 2025-2026 ]]*8</f>
        <v>3632</v>
      </c>
      <c r="Q30" s="5"/>
      <c r="R30" s="1"/>
      <c r="S30" s="5"/>
      <c r="T30" s="5">
        <f t="shared" si="12"/>
        <v>3632</v>
      </c>
      <c r="U30" s="5">
        <f t="shared" si="13"/>
        <v>0</v>
      </c>
      <c r="V30" s="5">
        <f>Table1[[#This Row],[Enrolment S.Y. 2025-2026 ]]*8</f>
        <v>3632</v>
      </c>
      <c r="W30" s="5"/>
      <c r="X30" s="1"/>
      <c r="Y30" s="5"/>
      <c r="Z30" s="5">
        <f t="shared" si="14"/>
        <v>3632</v>
      </c>
      <c r="AA30" s="5">
        <f t="shared" si="15"/>
        <v>0</v>
      </c>
    </row>
    <row r="31" spans="1:27" ht="19.5">
      <c r="A31" s="1">
        <v>4</v>
      </c>
      <c r="B31" s="9" t="s">
        <v>19</v>
      </c>
      <c r="C31" s="1">
        <v>454</v>
      </c>
      <c r="D31" s="5">
        <f>Table1[[#This Row],[Enrolment S.Y. 2025-2026 ]]*8</f>
        <v>3632</v>
      </c>
      <c r="E31" s="5"/>
      <c r="F31" s="1"/>
      <c r="G31" s="5"/>
      <c r="H31" s="5">
        <f t="shared" si="2"/>
        <v>3632</v>
      </c>
      <c r="I31" s="5">
        <f t="shared" si="3"/>
        <v>0</v>
      </c>
      <c r="J31" s="5">
        <f>Table1[[#This Row],[Enrolment S.Y. 2025-2026 ]]*8</f>
        <v>3632</v>
      </c>
      <c r="K31" s="5"/>
      <c r="L31" s="1"/>
      <c r="M31" s="5"/>
      <c r="N31" s="5">
        <f t="shared" si="10"/>
        <v>3632</v>
      </c>
      <c r="O31" s="5">
        <f t="shared" si="11"/>
        <v>0</v>
      </c>
      <c r="P31" s="5">
        <f>Table1[[#This Row],[Enrolment S.Y. 2025-2026 ]]*8</f>
        <v>3632</v>
      </c>
      <c r="Q31" s="5"/>
      <c r="R31" s="1"/>
      <c r="S31" s="5"/>
      <c r="T31" s="5">
        <f t="shared" si="12"/>
        <v>3632</v>
      </c>
      <c r="U31" s="5">
        <f t="shared" si="13"/>
        <v>0</v>
      </c>
      <c r="V31" s="5">
        <f>Table1[[#This Row],[Enrolment S.Y. 2025-2026 ]]*8</f>
        <v>3632</v>
      </c>
      <c r="W31" s="5"/>
      <c r="X31" s="1"/>
      <c r="Y31" s="5"/>
      <c r="Z31" s="5">
        <f t="shared" si="14"/>
        <v>3632</v>
      </c>
      <c r="AA31" s="5">
        <f t="shared" si="15"/>
        <v>0</v>
      </c>
    </row>
    <row r="32" spans="1:27" ht="19.5">
      <c r="A32" s="1">
        <v>4</v>
      </c>
      <c r="B32" s="9" t="s">
        <v>20</v>
      </c>
      <c r="C32" s="1">
        <v>454</v>
      </c>
      <c r="D32" s="5">
        <f>Table1[[#This Row],[Enrolment S.Y. 2025-2026 ]]*8</f>
        <v>3632</v>
      </c>
      <c r="E32" s="5"/>
      <c r="F32" s="1"/>
      <c r="G32" s="5"/>
      <c r="H32" s="5">
        <f t="shared" si="2"/>
        <v>3632</v>
      </c>
      <c r="I32" s="5">
        <f t="shared" si="3"/>
        <v>0</v>
      </c>
      <c r="J32" s="5">
        <f>Table1[[#This Row],[Enrolment S.Y. 2025-2026 ]]*8</f>
        <v>3632</v>
      </c>
      <c r="K32" s="5"/>
      <c r="L32" s="1"/>
      <c r="M32" s="5"/>
      <c r="N32" s="5">
        <f t="shared" si="10"/>
        <v>3632</v>
      </c>
      <c r="O32" s="5">
        <f t="shared" si="11"/>
        <v>0</v>
      </c>
      <c r="P32" s="5">
        <f>Table1[[#This Row],[Enrolment S.Y. 2025-2026 ]]*8</f>
        <v>3632</v>
      </c>
      <c r="Q32" s="5">
        <v>503</v>
      </c>
      <c r="R32" s="1">
        <v>2025</v>
      </c>
      <c r="S32" s="5" t="s">
        <v>50</v>
      </c>
      <c r="T32" s="5">
        <f t="shared" si="12"/>
        <v>3129</v>
      </c>
      <c r="U32" s="5">
        <f t="shared" si="13"/>
        <v>0</v>
      </c>
      <c r="V32" s="5">
        <f>Table1[[#This Row],[Enrolment S.Y. 2025-2026 ]]*8</f>
        <v>3632</v>
      </c>
      <c r="W32" s="5"/>
      <c r="X32" s="1"/>
      <c r="Y32" s="5"/>
      <c r="Z32" s="5">
        <f t="shared" si="14"/>
        <v>3632</v>
      </c>
      <c r="AA32" s="5">
        <f t="shared" si="15"/>
        <v>0</v>
      </c>
    </row>
    <row r="33" spans="1:27" s="7" customFormat="1" ht="19.149999999999999">
      <c r="J33" s="10"/>
      <c r="M33" s="5"/>
      <c r="N33" s="10"/>
      <c r="O33" s="10"/>
      <c r="P33" s="10"/>
      <c r="S33" s="5"/>
      <c r="T33" s="10"/>
      <c r="U33" s="10"/>
      <c r="V33" s="10"/>
      <c r="Y33" s="5"/>
      <c r="Z33" s="10"/>
      <c r="AA33" s="10"/>
    </row>
    <row r="34" spans="1:27" ht="19.5">
      <c r="A34" s="1">
        <v>5</v>
      </c>
      <c r="B34" s="9" t="s">
        <v>15</v>
      </c>
      <c r="C34" s="1">
        <v>381</v>
      </c>
      <c r="D34" s="5">
        <f>Table1[[#This Row],[Enrolment S.Y. 2025-2026 ]]*8</f>
        <v>3048</v>
      </c>
      <c r="E34" s="5">
        <v>200</v>
      </c>
      <c r="F34" s="1">
        <v>2025</v>
      </c>
      <c r="G34" s="5" t="s">
        <v>50</v>
      </c>
      <c r="H34" s="5">
        <f t="shared" si="2"/>
        <v>2848</v>
      </c>
      <c r="I34" s="5">
        <f t="shared" si="3"/>
        <v>0</v>
      </c>
      <c r="J34" s="5">
        <f>Table1[[#This Row],[Enrolment S.Y. 2025-2026 ]]*8</f>
        <v>3048</v>
      </c>
      <c r="K34" s="5">
        <v>303</v>
      </c>
      <c r="L34" s="1">
        <v>2025</v>
      </c>
      <c r="M34" s="5" t="s">
        <v>50</v>
      </c>
      <c r="N34" s="5">
        <f t="shared" si="10"/>
        <v>2745</v>
      </c>
      <c r="O34" s="5">
        <f t="shared" si="11"/>
        <v>0</v>
      </c>
      <c r="P34" s="5">
        <f>Table1[[#This Row],[Enrolment S.Y. 2025-2026 ]]*8</f>
        <v>3048</v>
      </c>
      <c r="Q34" s="5"/>
      <c r="R34" s="1"/>
      <c r="S34" s="5"/>
      <c r="T34" s="5">
        <f t="shared" si="12"/>
        <v>3048</v>
      </c>
      <c r="U34" s="5">
        <f t="shared" si="13"/>
        <v>0</v>
      </c>
      <c r="V34" s="5">
        <f>Table1[[#This Row],[Enrolment S.Y. 2025-2026 ]]*8</f>
        <v>3048</v>
      </c>
      <c r="W34" s="5"/>
      <c r="X34" s="1"/>
      <c r="Y34" s="5"/>
      <c r="Z34" s="5">
        <f t="shared" si="14"/>
        <v>3048</v>
      </c>
      <c r="AA34" s="5">
        <f t="shared" si="15"/>
        <v>0</v>
      </c>
    </row>
    <row r="35" spans="1:27" ht="19.5">
      <c r="A35" s="1">
        <v>5</v>
      </c>
      <c r="B35" s="9" t="s">
        <v>16</v>
      </c>
      <c r="C35" s="1">
        <v>381</v>
      </c>
      <c r="D35" s="5">
        <f>Table1[[#This Row],[Enrolment S.Y. 2025-2026 ]]*8</f>
        <v>3048</v>
      </c>
      <c r="E35" s="5">
        <v>200</v>
      </c>
      <c r="F35" s="1">
        <v>2025</v>
      </c>
      <c r="G35" s="5" t="s">
        <v>50</v>
      </c>
      <c r="H35" s="5">
        <f t="shared" si="2"/>
        <v>2848</v>
      </c>
      <c r="I35" s="5">
        <f t="shared" si="3"/>
        <v>0</v>
      </c>
      <c r="J35" s="5">
        <f>Table1[[#This Row],[Enrolment S.Y. 2025-2026 ]]*8</f>
        <v>3048</v>
      </c>
      <c r="K35" s="5"/>
      <c r="L35" s="1"/>
      <c r="M35" s="5"/>
      <c r="N35" s="5">
        <f t="shared" si="10"/>
        <v>3048</v>
      </c>
      <c r="O35" s="5">
        <f t="shared" si="11"/>
        <v>0</v>
      </c>
      <c r="P35" s="5">
        <f>Table1[[#This Row],[Enrolment S.Y. 2025-2026 ]]*8</f>
        <v>3048</v>
      </c>
      <c r="Q35" s="5"/>
      <c r="R35" s="1"/>
      <c r="S35" s="5"/>
      <c r="T35" s="5">
        <f t="shared" si="12"/>
        <v>3048</v>
      </c>
      <c r="U35" s="5">
        <f t="shared" si="13"/>
        <v>0</v>
      </c>
      <c r="V35" s="5">
        <f>Table1[[#This Row],[Enrolment S.Y. 2025-2026 ]]*8</f>
        <v>3048</v>
      </c>
      <c r="W35" s="5"/>
      <c r="X35" s="1"/>
      <c r="Y35" s="5"/>
      <c r="Z35" s="5">
        <f t="shared" si="14"/>
        <v>3048</v>
      </c>
      <c r="AA35" s="5">
        <f t="shared" si="15"/>
        <v>0</v>
      </c>
    </row>
    <row r="36" spans="1:27" ht="19.5">
      <c r="A36" s="1">
        <v>5</v>
      </c>
      <c r="B36" s="9" t="s">
        <v>13</v>
      </c>
      <c r="C36" s="1">
        <v>381</v>
      </c>
      <c r="D36" s="5">
        <f>Table1[[#This Row],[Enrolment S.Y. 2025-2026 ]]*8</f>
        <v>3048</v>
      </c>
      <c r="E36" s="5">
        <v>200</v>
      </c>
      <c r="F36" s="1">
        <v>2025</v>
      </c>
      <c r="G36" s="5" t="s">
        <v>50</v>
      </c>
      <c r="H36" s="5">
        <f t="shared" si="2"/>
        <v>2848</v>
      </c>
      <c r="I36" s="5">
        <f t="shared" si="3"/>
        <v>0</v>
      </c>
      <c r="J36" s="5">
        <f>Table1[[#This Row],[Enrolment S.Y. 2025-2026 ]]*8</f>
        <v>3048</v>
      </c>
      <c r="K36" s="5"/>
      <c r="L36" s="1"/>
      <c r="M36" s="5"/>
      <c r="N36" s="5">
        <f t="shared" si="10"/>
        <v>3048</v>
      </c>
      <c r="O36" s="5">
        <f t="shared" si="11"/>
        <v>0</v>
      </c>
      <c r="P36" s="5">
        <f>Table1[[#This Row],[Enrolment S.Y. 2025-2026 ]]*8</f>
        <v>3048</v>
      </c>
      <c r="Q36" s="5"/>
      <c r="R36" s="1"/>
      <c r="S36" s="5"/>
      <c r="T36" s="5">
        <f t="shared" si="12"/>
        <v>3048</v>
      </c>
      <c r="U36" s="5">
        <f t="shared" si="13"/>
        <v>0</v>
      </c>
      <c r="V36" s="5">
        <f>Table1[[#This Row],[Enrolment S.Y. 2025-2026 ]]*8</f>
        <v>3048</v>
      </c>
      <c r="W36" s="5"/>
      <c r="X36" s="1"/>
      <c r="Y36" s="5"/>
      <c r="Z36" s="5">
        <f t="shared" si="14"/>
        <v>3048</v>
      </c>
      <c r="AA36" s="5">
        <f t="shared" si="15"/>
        <v>0</v>
      </c>
    </row>
    <row r="37" spans="1:27" ht="19.5">
      <c r="A37" s="1">
        <v>5</v>
      </c>
      <c r="B37" s="9" t="s">
        <v>11</v>
      </c>
      <c r="C37" s="1">
        <v>381</v>
      </c>
      <c r="D37" s="5">
        <f>Table1[[#This Row],[Enrolment S.Y. 2025-2026 ]]*8</f>
        <v>3048</v>
      </c>
      <c r="E37" s="5">
        <v>203</v>
      </c>
      <c r="F37" s="1">
        <v>2025</v>
      </c>
      <c r="G37" s="5" t="s">
        <v>50</v>
      </c>
      <c r="H37" s="5">
        <f t="shared" si="2"/>
        <v>2845</v>
      </c>
      <c r="I37" s="5">
        <f t="shared" si="3"/>
        <v>0</v>
      </c>
      <c r="J37" s="5">
        <f>Table1[[#This Row],[Enrolment S.Y. 2025-2026 ]]*8</f>
        <v>3048</v>
      </c>
      <c r="K37" s="5"/>
      <c r="L37" s="1"/>
      <c r="M37" s="5"/>
      <c r="N37" s="5">
        <f t="shared" si="10"/>
        <v>3048</v>
      </c>
      <c r="O37" s="5">
        <f t="shared" si="11"/>
        <v>0</v>
      </c>
      <c r="P37" s="5">
        <f>Table1[[#This Row],[Enrolment S.Y. 2025-2026 ]]*8</f>
        <v>3048</v>
      </c>
      <c r="Q37" s="5"/>
      <c r="R37" s="1"/>
      <c r="S37" s="5"/>
      <c r="T37" s="5">
        <f t="shared" si="12"/>
        <v>3048</v>
      </c>
      <c r="U37" s="5">
        <f t="shared" si="13"/>
        <v>0</v>
      </c>
      <c r="V37" s="5">
        <f>Table1[[#This Row],[Enrolment S.Y. 2025-2026 ]]*8</f>
        <v>3048</v>
      </c>
      <c r="W37" s="5"/>
      <c r="X37" s="1"/>
      <c r="Y37" s="5"/>
      <c r="Z37" s="5">
        <f t="shared" si="14"/>
        <v>3048</v>
      </c>
      <c r="AA37" s="5">
        <f t="shared" si="15"/>
        <v>0</v>
      </c>
    </row>
    <row r="38" spans="1:27" ht="38.25">
      <c r="A38" s="1">
        <v>5</v>
      </c>
      <c r="B38" s="9" t="s">
        <v>17</v>
      </c>
      <c r="C38" s="1">
        <v>381</v>
      </c>
      <c r="D38" s="5">
        <f>Table1[[#This Row],[Enrolment S.Y. 2025-2026 ]]*8</f>
        <v>3048</v>
      </c>
      <c r="E38" s="5">
        <v>200</v>
      </c>
      <c r="F38" s="1">
        <v>2025</v>
      </c>
      <c r="G38" s="5" t="s">
        <v>50</v>
      </c>
      <c r="H38" s="5">
        <f t="shared" si="2"/>
        <v>2848</v>
      </c>
      <c r="I38" s="5">
        <f t="shared" si="3"/>
        <v>0</v>
      </c>
      <c r="J38" s="5">
        <f>Table1[[#This Row],[Enrolment S.Y. 2025-2026 ]]*8</f>
        <v>3048</v>
      </c>
      <c r="K38" s="5"/>
      <c r="L38" s="1"/>
      <c r="M38" s="5"/>
      <c r="N38" s="5">
        <f t="shared" si="10"/>
        <v>3048</v>
      </c>
      <c r="O38" s="5">
        <f t="shared" si="11"/>
        <v>0</v>
      </c>
      <c r="P38" s="5">
        <f>Table1[[#This Row],[Enrolment S.Y. 2025-2026 ]]*8</f>
        <v>3048</v>
      </c>
      <c r="Q38" s="5"/>
      <c r="R38" s="1"/>
      <c r="S38" s="5"/>
      <c r="T38" s="5">
        <f t="shared" si="12"/>
        <v>3048</v>
      </c>
      <c r="U38" s="5">
        <f t="shared" si="13"/>
        <v>0</v>
      </c>
      <c r="V38" s="5">
        <f>Table1[[#This Row],[Enrolment S.Y. 2025-2026 ]]*8</f>
        <v>3048</v>
      </c>
      <c r="W38" s="5"/>
      <c r="X38" s="1"/>
      <c r="Y38" s="5"/>
      <c r="Z38" s="5">
        <f t="shared" si="14"/>
        <v>3048</v>
      </c>
      <c r="AA38" s="5">
        <f t="shared" si="15"/>
        <v>0</v>
      </c>
    </row>
    <row r="39" spans="1:27" ht="19.5">
      <c r="A39" s="1">
        <v>5</v>
      </c>
      <c r="B39" s="9" t="s">
        <v>14</v>
      </c>
      <c r="C39" s="1">
        <v>381</v>
      </c>
      <c r="D39" s="5">
        <f>Table1[[#This Row],[Enrolment S.Y. 2025-2026 ]]*8</f>
        <v>3048</v>
      </c>
      <c r="E39" s="5">
        <v>203</v>
      </c>
      <c r="F39" s="1">
        <v>2025</v>
      </c>
      <c r="G39" s="5" t="s">
        <v>50</v>
      </c>
      <c r="H39" s="5">
        <f t="shared" si="2"/>
        <v>2845</v>
      </c>
      <c r="I39" s="5">
        <f t="shared" si="3"/>
        <v>0</v>
      </c>
      <c r="J39" s="5">
        <f>Table1[[#This Row],[Enrolment S.Y. 2025-2026 ]]*8</f>
        <v>3048</v>
      </c>
      <c r="K39" s="5"/>
      <c r="L39" s="1"/>
      <c r="M39" s="5"/>
      <c r="N39" s="5">
        <f t="shared" si="10"/>
        <v>3048</v>
      </c>
      <c r="O39" s="5">
        <f t="shared" si="11"/>
        <v>0</v>
      </c>
      <c r="P39" s="5">
        <f>Table1[[#This Row],[Enrolment S.Y. 2025-2026 ]]*8</f>
        <v>3048</v>
      </c>
      <c r="Q39" s="5"/>
      <c r="R39" s="1"/>
      <c r="S39" s="5"/>
      <c r="T39" s="5">
        <f t="shared" si="12"/>
        <v>3048</v>
      </c>
      <c r="U39" s="5">
        <f t="shared" si="13"/>
        <v>0</v>
      </c>
      <c r="V39" s="5">
        <f>Table1[[#This Row],[Enrolment S.Y. 2025-2026 ]]*8</f>
        <v>3048</v>
      </c>
      <c r="W39" s="5"/>
      <c r="X39" s="1"/>
      <c r="Y39" s="5"/>
      <c r="Z39" s="5">
        <f t="shared" si="14"/>
        <v>3048</v>
      </c>
      <c r="AA39" s="5">
        <f t="shared" si="15"/>
        <v>0</v>
      </c>
    </row>
    <row r="40" spans="1:27" ht="19.5">
      <c r="A40" s="1">
        <v>5</v>
      </c>
      <c r="B40" s="9" t="s">
        <v>18</v>
      </c>
      <c r="C40" s="1">
        <v>381</v>
      </c>
      <c r="D40" s="5">
        <f>Table1[[#This Row],[Enrolment S.Y. 2025-2026 ]]*8</f>
        <v>3048</v>
      </c>
      <c r="E40" s="5">
        <v>200</v>
      </c>
      <c r="F40" s="1">
        <v>2025</v>
      </c>
      <c r="G40" s="5" t="s">
        <v>50</v>
      </c>
      <c r="H40" s="5">
        <f t="shared" si="2"/>
        <v>2848</v>
      </c>
      <c r="I40" s="5">
        <f t="shared" si="3"/>
        <v>0</v>
      </c>
      <c r="J40" s="5">
        <f>Table1[[#This Row],[Enrolment S.Y. 2025-2026 ]]*8</f>
        <v>3048</v>
      </c>
      <c r="K40" s="5"/>
      <c r="L40" s="1"/>
      <c r="M40" s="5"/>
      <c r="N40" s="5">
        <f t="shared" si="10"/>
        <v>3048</v>
      </c>
      <c r="O40" s="5">
        <f t="shared" si="11"/>
        <v>0</v>
      </c>
      <c r="P40" s="5">
        <f>Table1[[#This Row],[Enrolment S.Y. 2025-2026 ]]*8</f>
        <v>3048</v>
      </c>
      <c r="Q40" s="5"/>
      <c r="R40" s="1"/>
      <c r="S40" s="5"/>
      <c r="T40" s="5">
        <f t="shared" si="12"/>
        <v>3048</v>
      </c>
      <c r="U40" s="5">
        <f t="shared" si="13"/>
        <v>0</v>
      </c>
      <c r="V40" s="5">
        <f>Table1[[#This Row],[Enrolment S.Y. 2025-2026 ]]*8</f>
        <v>3048</v>
      </c>
      <c r="W40" s="5"/>
      <c r="X40" s="1"/>
      <c r="Y40" s="5"/>
      <c r="Z40" s="5">
        <f t="shared" si="14"/>
        <v>3048</v>
      </c>
      <c r="AA40" s="5">
        <f t="shared" si="15"/>
        <v>0</v>
      </c>
    </row>
    <row r="41" spans="1:27" ht="19.5">
      <c r="A41" s="1">
        <v>5</v>
      </c>
      <c r="B41" s="9" t="s">
        <v>19</v>
      </c>
      <c r="C41" s="1">
        <v>381</v>
      </c>
      <c r="D41" s="5">
        <f>Table1[[#This Row],[Enrolment S.Y. 2025-2026 ]]*8</f>
        <v>3048</v>
      </c>
      <c r="E41" s="5">
        <v>200</v>
      </c>
      <c r="F41" s="1">
        <v>2025</v>
      </c>
      <c r="G41" s="5" t="s">
        <v>50</v>
      </c>
      <c r="H41" s="5">
        <f t="shared" si="2"/>
        <v>2848</v>
      </c>
      <c r="I41" s="5">
        <f t="shared" si="3"/>
        <v>0</v>
      </c>
      <c r="J41" s="5">
        <f>Table1[[#This Row],[Enrolment S.Y. 2025-2026 ]]*8</f>
        <v>3048</v>
      </c>
      <c r="K41" s="5"/>
      <c r="L41" s="1"/>
      <c r="M41" s="5"/>
      <c r="N41" s="5">
        <f t="shared" si="10"/>
        <v>3048</v>
      </c>
      <c r="O41" s="5">
        <f t="shared" si="11"/>
        <v>0</v>
      </c>
      <c r="P41" s="5">
        <f>Table1[[#This Row],[Enrolment S.Y. 2025-2026 ]]*8</f>
        <v>3048</v>
      </c>
      <c r="Q41" s="5"/>
      <c r="R41" s="1"/>
      <c r="S41" s="5"/>
      <c r="T41" s="5">
        <f t="shared" si="12"/>
        <v>3048</v>
      </c>
      <c r="U41" s="5">
        <f t="shared" si="13"/>
        <v>0</v>
      </c>
      <c r="V41" s="5">
        <f>Table1[[#This Row],[Enrolment S.Y. 2025-2026 ]]*8</f>
        <v>3048</v>
      </c>
      <c r="W41" s="5"/>
      <c r="X41" s="1"/>
      <c r="Y41" s="5"/>
      <c r="Z41" s="5">
        <f t="shared" si="14"/>
        <v>3048</v>
      </c>
      <c r="AA41" s="5">
        <f t="shared" si="15"/>
        <v>0</v>
      </c>
    </row>
    <row r="42" spans="1:27" ht="19.5">
      <c r="A42" s="1">
        <v>5</v>
      </c>
      <c r="B42" s="9" t="s">
        <v>20</v>
      </c>
      <c r="C42" s="1">
        <v>381</v>
      </c>
      <c r="D42" s="5">
        <f>Table1[[#This Row],[Enrolment S.Y. 2025-2026 ]]*8</f>
        <v>3048</v>
      </c>
      <c r="E42" s="5">
        <v>200</v>
      </c>
      <c r="F42" s="1">
        <v>2025</v>
      </c>
      <c r="G42" s="5" t="s">
        <v>50</v>
      </c>
      <c r="H42" s="5">
        <f t="shared" si="2"/>
        <v>2848</v>
      </c>
      <c r="I42" s="5">
        <f t="shared" si="3"/>
        <v>0</v>
      </c>
      <c r="J42" s="5">
        <f>Table1[[#This Row],[Enrolment S.Y. 2025-2026 ]]*8</f>
        <v>3048</v>
      </c>
      <c r="K42" s="5"/>
      <c r="L42" s="1"/>
      <c r="M42" s="5"/>
      <c r="N42" s="5">
        <f t="shared" si="10"/>
        <v>3048</v>
      </c>
      <c r="O42" s="5">
        <f t="shared" si="11"/>
        <v>0</v>
      </c>
      <c r="P42" s="5">
        <f>Table1[[#This Row],[Enrolment S.Y. 2025-2026 ]]*8</f>
        <v>3048</v>
      </c>
      <c r="Q42" s="5"/>
      <c r="R42" s="1"/>
      <c r="S42" s="5"/>
      <c r="T42" s="5">
        <f t="shared" si="12"/>
        <v>3048</v>
      </c>
      <c r="U42" s="5">
        <f t="shared" si="13"/>
        <v>0</v>
      </c>
      <c r="V42" s="5">
        <f>Table1[[#This Row],[Enrolment S.Y. 2025-2026 ]]*8</f>
        <v>3048</v>
      </c>
      <c r="W42" s="5"/>
      <c r="X42" s="1"/>
      <c r="Y42" s="5"/>
      <c r="Z42" s="5">
        <f t="shared" si="14"/>
        <v>3048</v>
      </c>
      <c r="AA42" s="5">
        <f t="shared" si="15"/>
        <v>0</v>
      </c>
    </row>
    <row r="43" spans="1:27" s="7" customFormat="1" ht="19.149999999999999">
      <c r="J43" s="10"/>
      <c r="M43" s="5"/>
      <c r="N43" s="10"/>
      <c r="O43" s="10"/>
      <c r="P43" s="10"/>
      <c r="S43" s="5"/>
      <c r="T43" s="10"/>
      <c r="U43" s="10"/>
      <c r="V43" s="10"/>
      <c r="Y43" s="5"/>
      <c r="Z43" s="10"/>
      <c r="AA43" s="10"/>
    </row>
    <row r="44" spans="1:27" ht="57.75">
      <c r="A44" s="1">
        <v>6</v>
      </c>
      <c r="B44" s="9" t="s">
        <v>86</v>
      </c>
      <c r="C44" s="1">
        <v>402</v>
      </c>
      <c r="D44" s="5">
        <f>Table1[[#This Row],[Enrolment S.Y. 2025-2026 ]]*8</f>
        <v>3216</v>
      </c>
      <c r="E44" s="5">
        <v>200</v>
      </c>
      <c r="F44" s="1"/>
      <c r="G44" s="5"/>
      <c r="H44" s="5">
        <f t="shared" si="2"/>
        <v>3016</v>
      </c>
      <c r="I44" s="5">
        <f t="shared" si="3"/>
        <v>0</v>
      </c>
      <c r="J44" s="5">
        <f>Table1[[#This Row],[Enrolment S.Y. 2025-2026 ]]*8</f>
        <v>3216</v>
      </c>
      <c r="K44" s="5"/>
      <c r="L44" s="1"/>
      <c r="M44" s="5"/>
      <c r="N44" s="5">
        <f t="shared" si="10"/>
        <v>3216</v>
      </c>
      <c r="O44" s="5">
        <f t="shared" si="11"/>
        <v>0</v>
      </c>
      <c r="P44" s="5">
        <f>Table1[[#This Row],[Enrolment S.Y. 2025-2026 ]]*8</f>
        <v>3216</v>
      </c>
      <c r="Q44" s="5">
        <v>100</v>
      </c>
      <c r="R44" s="1">
        <v>2025</v>
      </c>
      <c r="S44" s="5" t="s">
        <v>50</v>
      </c>
      <c r="T44" s="5">
        <f t="shared" si="12"/>
        <v>3116</v>
      </c>
      <c r="U44" s="5">
        <f t="shared" si="13"/>
        <v>0</v>
      </c>
      <c r="V44" s="5">
        <f>Table1[[#This Row],[Enrolment S.Y. 2025-2026 ]]*8</f>
        <v>3216</v>
      </c>
      <c r="W44" s="5"/>
      <c r="X44" s="1"/>
      <c r="Y44" s="5"/>
      <c r="Z44" s="5">
        <f t="shared" si="14"/>
        <v>3216</v>
      </c>
      <c r="AA44" s="5">
        <f t="shared" si="15"/>
        <v>0</v>
      </c>
    </row>
    <row r="45" spans="1:27" ht="76.5">
      <c r="A45" s="1">
        <v>6</v>
      </c>
      <c r="B45" s="9" t="s">
        <v>87</v>
      </c>
      <c r="C45" s="1">
        <v>402</v>
      </c>
      <c r="D45" s="5">
        <f>Table1[[#This Row],[Enrolment S.Y. 2025-2026 ]]*8</f>
        <v>3216</v>
      </c>
      <c r="E45" s="5">
        <v>200</v>
      </c>
      <c r="F45" s="1"/>
      <c r="G45" s="5"/>
      <c r="H45" s="5">
        <f t="shared" si="2"/>
        <v>3016</v>
      </c>
      <c r="I45" s="5">
        <f t="shared" si="3"/>
        <v>0</v>
      </c>
      <c r="J45" s="5">
        <f>Table1[[#This Row],[Enrolment S.Y. 2025-2026 ]]*8</f>
        <v>3216</v>
      </c>
      <c r="K45" s="5"/>
      <c r="L45" s="1"/>
      <c r="M45" s="5"/>
      <c r="N45" s="5">
        <f t="shared" si="10"/>
        <v>3216</v>
      </c>
      <c r="O45" s="5">
        <f t="shared" si="11"/>
        <v>0</v>
      </c>
      <c r="P45" s="5">
        <f>Table1[[#This Row],[Enrolment S.Y. 2025-2026 ]]*8</f>
        <v>3216</v>
      </c>
      <c r="Q45" s="5">
        <v>100</v>
      </c>
      <c r="R45" s="33">
        <v>2025</v>
      </c>
      <c r="S45" s="5" t="s">
        <v>50</v>
      </c>
      <c r="T45" s="5">
        <f t="shared" si="12"/>
        <v>3116</v>
      </c>
      <c r="U45" s="5">
        <f t="shared" si="13"/>
        <v>0</v>
      </c>
      <c r="V45" s="5">
        <f>Table1[[#This Row],[Enrolment S.Y. 2025-2026 ]]*8</f>
        <v>3216</v>
      </c>
      <c r="W45" s="5"/>
      <c r="X45" s="1"/>
      <c r="Y45" s="5"/>
      <c r="Z45" s="5">
        <f t="shared" si="14"/>
        <v>3216</v>
      </c>
      <c r="AA45" s="5">
        <f t="shared" si="15"/>
        <v>0</v>
      </c>
    </row>
    <row r="46" spans="1:27" ht="38.25">
      <c r="A46" s="1">
        <v>6</v>
      </c>
      <c r="B46" s="9" t="s">
        <v>88</v>
      </c>
      <c r="C46" s="1">
        <v>402</v>
      </c>
      <c r="D46" s="5">
        <f>Table1[[#This Row],[Enrolment S.Y. 2025-2026 ]]*8</f>
        <v>3216</v>
      </c>
      <c r="E46" s="5">
        <v>200</v>
      </c>
      <c r="F46" s="1"/>
      <c r="G46" s="5"/>
      <c r="H46" s="5">
        <f t="shared" si="2"/>
        <v>3016</v>
      </c>
      <c r="I46" s="5">
        <f t="shared" si="3"/>
        <v>0</v>
      </c>
      <c r="J46" s="5">
        <f>Table1[[#This Row],[Enrolment S.Y. 2025-2026 ]]*8</f>
        <v>3216</v>
      </c>
      <c r="K46" s="5"/>
      <c r="L46" s="1"/>
      <c r="M46" s="5"/>
      <c r="N46" s="5">
        <f t="shared" si="10"/>
        <v>3216</v>
      </c>
      <c r="O46" s="5">
        <f t="shared" si="11"/>
        <v>0</v>
      </c>
      <c r="P46" s="5">
        <f>Table1[[#This Row],[Enrolment S.Y. 2025-2026 ]]*8</f>
        <v>3216</v>
      </c>
      <c r="Q46" s="5"/>
      <c r="R46" s="1"/>
      <c r="S46" s="5"/>
      <c r="T46" s="5">
        <f t="shared" si="12"/>
        <v>3216</v>
      </c>
      <c r="U46" s="5">
        <f t="shared" si="13"/>
        <v>0</v>
      </c>
      <c r="V46" s="5">
        <f>Table1[[#This Row],[Enrolment S.Y. 2025-2026 ]]*8</f>
        <v>3216</v>
      </c>
      <c r="W46" s="5"/>
      <c r="X46" s="1"/>
      <c r="Y46" s="5"/>
      <c r="Z46" s="5">
        <f t="shared" si="14"/>
        <v>3216</v>
      </c>
      <c r="AA46" s="5">
        <f t="shared" si="15"/>
        <v>0</v>
      </c>
    </row>
    <row r="47" spans="1:27" ht="19.5">
      <c r="A47" s="1">
        <v>6</v>
      </c>
      <c r="B47" s="9" t="s">
        <v>11</v>
      </c>
      <c r="C47" s="1">
        <v>402</v>
      </c>
      <c r="D47" s="5">
        <f>Table1[[#This Row],[Enrolment S.Y. 2025-2026 ]]*8</f>
        <v>3216</v>
      </c>
      <c r="E47" s="5"/>
      <c r="F47" s="1"/>
      <c r="G47" s="5"/>
      <c r="H47" s="5">
        <f t="shared" si="2"/>
        <v>3216</v>
      </c>
      <c r="I47" s="5">
        <f t="shared" si="3"/>
        <v>0</v>
      </c>
      <c r="J47" s="5">
        <f>Table1[[#This Row],[Enrolment S.Y. 2025-2026 ]]*8</f>
        <v>3216</v>
      </c>
      <c r="K47" s="5"/>
      <c r="L47" s="1"/>
      <c r="M47" s="5"/>
      <c r="N47" s="5">
        <f t="shared" si="10"/>
        <v>3216</v>
      </c>
      <c r="O47" s="5">
        <f t="shared" si="11"/>
        <v>0</v>
      </c>
      <c r="P47" s="5">
        <f>Table1[[#This Row],[Enrolment S.Y. 2025-2026 ]]*8</f>
        <v>3216</v>
      </c>
      <c r="Q47" s="5"/>
      <c r="R47" s="1"/>
      <c r="S47" s="5"/>
      <c r="T47" s="5">
        <f t="shared" si="12"/>
        <v>3216</v>
      </c>
      <c r="U47" s="5">
        <f t="shared" si="13"/>
        <v>0</v>
      </c>
      <c r="V47" s="5">
        <f>Table1[[#This Row],[Enrolment S.Y. 2025-2026 ]]*8</f>
        <v>3216</v>
      </c>
      <c r="W47" s="5"/>
      <c r="X47" s="1"/>
      <c r="Y47" s="5"/>
      <c r="Z47" s="5">
        <f t="shared" si="14"/>
        <v>3216</v>
      </c>
      <c r="AA47" s="5">
        <f t="shared" si="15"/>
        <v>0</v>
      </c>
    </row>
    <row r="48" spans="1:27" ht="38.25">
      <c r="A48" s="1">
        <v>6</v>
      </c>
      <c r="B48" s="9" t="s">
        <v>17</v>
      </c>
      <c r="C48" s="1">
        <v>402</v>
      </c>
      <c r="D48" s="5">
        <f>Table1[[#This Row],[Enrolment S.Y. 2025-2026 ]]*8</f>
        <v>3216</v>
      </c>
      <c r="E48" s="5"/>
      <c r="F48" s="1"/>
      <c r="G48" s="5"/>
      <c r="H48" s="5">
        <f t="shared" si="2"/>
        <v>3216</v>
      </c>
      <c r="I48" s="5">
        <f t="shared" si="3"/>
        <v>0</v>
      </c>
      <c r="J48" s="5">
        <f>Table1[[#This Row],[Enrolment S.Y. 2025-2026 ]]*8</f>
        <v>3216</v>
      </c>
      <c r="K48" s="5"/>
      <c r="L48" s="1"/>
      <c r="M48" s="5"/>
      <c r="N48" s="5">
        <f t="shared" si="10"/>
        <v>3216</v>
      </c>
      <c r="O48" s="5">
        <f t="shared" si="11"/>
        <v>0</v>
      </c>
      <c r="P48" s="5">
        <f>Table1[[#This Row],[Enrolment S.Y. 2025-2026 ]]*8</f>
        <v>3216</v>
      </c>
      <c r="Q48" s="5"/>
      <c r="R48" s="1"/>
      <c r="S48" s="5"/>
      <c r="T48" s="5">
        <f t="shared" si="12"/>
        <v>3216</v>
      </c>
      <c r="U48" s="5">
        <f t="shared" si="13"/>
        <v>0</v>
      </c>
      <c r="V48" s="5">
        <f>Table1[[#This Row],[Enrolment S.Y. 2025-2026 ]]*8</f>
        <v>3216</v>
      </c>
      <c r="W48" s="5"/>
      <c r="X48" s="1"/>
      <c r="Y48" s="5"/>
      <c r="Z48" s="5">
        <f t="shared" si="14"/>
        <v>3216</v>
      </c>
      <c r="AA48" s="5">
        <f t="shared" si="15"/>
        <v>0</v>
      </c>
    </row>
    <row r="49" spans="1:27" ht="19.5">
      <c r="A49" s="1">
        <v>6</v>
      </c>
      <c r="B49" s="9" t="s">
        <v>14</v>
      </c>
      <c r="C49" s="1">
        <v>402</v>
      </c>
      <c r="D49" s="5">
        <f>Table1[[#This Row],[Enrolment S.Y. 2025-2026 ]]*8</f>
        <v>3216</v>
      </c>
      <c r="E49" s="5"/>
      <c r="F49" s="1"/>
      <c r="G49" s="5"/>
      <c r="H49" s="5">
        <f t="shared" si="2"/>
        <v>3216</v>
      </c>
      <c r="I49" s="5">
        <f t="shared" si="3"/>
        <v>0</v>
      </c>
      <c r="J49" s="5">
        <f>Table1[[#This Row],[Enrolment S.Y. 2025-2026 ]]*8</f>
        <v>3216</v>
      </c>
      <c r="K49" s="5"/>
      <c r="L49" s="1"/>
      <c r="M49" s="5"/>
      <c r="N49" s="5">
        <f t="shared" si="10"/>
        <v>3216</v>
      </c>
      <c r="O49" s="5">
        <f t="shared" si="11"/>
        <v>0</v>
      </c>
      <c r="P49" s="5">
        <f>Table1[[#This Row],[Enrolment S.Y. 2025-2026 ]]*8</f>
        <v>3216</v>
      </c>
      <c r="Q49" s="5"/>
      <c r="R49" s="1"/>
      <c r="S49" s="5"/>
      <c r="T49" s="5">
        <f t="shared" si="12"/>
        <v>3216</v>
      </c>
      <c r="U49" s="5">
        <f t="shared" si="13"/>
        <v>0</v>
      </c>
      <c r="V49" s="5">
        <f>Table1[[#This Row],[Enrolment S.Y. 2025-2026 ]]*8</f>
        <v>3216</v>
      </c>
      <c r="W49" s="5"/>
      <c r="X49" s="1"/>
      <c r="Y49" s="5"/>
      <c r="Z49" s="5">
        <f t="shared" si="14"/>
        <v>3216</v>
      </c>
      <c r="AA49" s="5">
        <f t="shared" si="15"/>
        <v>0</v>
      </c>
    </row>
    <row r="50" spans="1:27" ht="19.5">
      <c r="A50" s="1">
        <v>6</v>
      </c>
      <c r="B50" s="9" t="s">
        <v>18</v>
      </c>
      <c r="C50" s="1">
        <v>402</v>
      </c>
      <c r="D50" s="5">
        <f>Table1[[#This Row],[Enrolment S.Y. 2025-2026 ]]*8</f>
        <v>3216</v>
      </c>
      <c r="E50" s="5"/>
      <c r="F50" s="1"/>
      <c r="G50" s="5"/>
      <c r="H50" s="5">
        <f t="shared" si="2"/>
        <v>3216</v>
      </c>
      <c r="I50" s="5">
        <f t="shared" si="3"/>
        <v>0</v>
      </c>
      <c r="J50" s="5">
        <f>Table1[[#This Row],[Enrolment S.Y. 2025-2026 ]]*8</f>
        <v>3216</v>
      </c>
      <c r="K50" s="5"/>
      <c r="L50" s="1"/>
      <c r="M50" s="5"/>
      <c r="N50" s="5">
        <f t="shared" si="10"/>
        <v>3216</v>
      </c>
      <c r="O50" s="5">
        <f t="shared" si="11"/>
        <v>0</v>
      </c>
      <c r="P50" s="5">
        <f>Table1[[#This Row],[Enrolment S.Y. 2025-2026 ]]*8</f>
        <v>3216</v>
      </c>
      <c r="Q50" s="5"/>
      <c r="R50" s="1"/>
      <c r="S50" s="5"/>
      <c r="T50" s="5">
        <f t="shared" si="12"/>
        <v>3216</v>
      </c>
      <c r="U50" s="5">
        <f t="shared" si="13"/>
        <v>0</v>
      </c>
      <c r="V50" s="5">
        <f>Table1[[#This Row],[Enrolment S.Y. 2025-2026 ]]*8</f>
        <v>3216</v>
      </c>
      <c r="W50" s="5"/>
      <c r="X50" s="1"/>
      <c r="Y50" s="5"/>
      <c r="Z50" s="5">
        <f t="shared" si="14"/>
        <v>3216</v>
      </c>
      <c r="AA50" s="5">
        <f t="shared" si="15"/>
        <v>0</v>
      </c>
    </row>
    <row r="51" spans="1:27" ht="19.5">
      <c r="A51" s="1">
        <v>6</v>
      </c>
      <c r="B51" s="9" t="s">
        <v>19</v>
      </c>
      <c r="C51" s="1">
        <v>402</v>
      </c>
      <c r="D51" s="5">
        <f>Table1[[#This Row],[Enrolment S.Y. 2025-2026 ]]*8</f>
        <v>3216</v>
      </c>
      <c r="E51" s="5"/>
      <c r="F51" s="1"/>
      <c r="G51" s="5"/>
      <c r="H51" s="5">
        <f t="shared" si="2"/>
        <v>3216</v>
      </c>
      <c r="I51" s="5">
        <f t="shared" si="3"/>
        <v>0</v>
      </c>
      <c r="J51" s="5">
        <f>Table1[[#This Row],[Enrolment S.Y. 2025-2026 ]]*8</f>
        <v>3216</v>
      </c>
      <c r="K51" s="5"/>
      <c r="L51" s="1"/>
      <c r="M51" s="5"/>
      <c r="N51" s="5">
        <f t="shared" si="10"/>
        <v>3216</v>
      </c>
      <c r="O51" s="5">
        <f t="shared" si="11"/>
        <v>0</v>
      </c>
      <c r="P51" s="5">
        <f>Table1[[#This Row],[Enrolment S.Y. 2025-2026 ]]*8</f>
        <v>3216</v>
      </c>
      <c r="Q51" s="5"/>
      <c r="R51" s="1"/>
      <c r="S51" s="5"/>
      <c r="T51" s="5">
        <f t="shared" si="12"/>
        <v>3216</v>
      </c>
      <c r="U51" s="5">
        <f t="shared" si="13"/>
        <v>0</v>
      </c>
      <c r="V51" s="5">
        <f>Table1[[#This Row],[Enrolment S.Y. 2025-2026 ]]*8</f>
        <v>3216</v>
      </c>
      <c r="W51" s="5"/>
      <c r="X51" s="1"/>
      <c r="Y51" s="5"/>
      <c r="Z51" s="5">
        <f t="shared" si="14"/>
        <v>3216</v>
      </c>
      <c r="AA51" s="5">
        <f t="shared" si="15"/>
        <v>0</v>
      </c>
    </row>
    <row r="52" spans="1:27" ht="57.75">
      <c r="A52" s="1">
        <v>6</v>
      </c>
      <c r="B52" s="9" t="s">
        <v>89</v>
      </c>
      <c r="C52" s="1">
        <v>402</v>
      </c>
      <c r="D52" s="5">
        <f>Table1[[#This Row],[Enrolment S.Y. 2025-2026 ]]*8</f>
        <v>3216</v>
      </c>
      <c r="E52" s="5"/>
      <c r="F52" s="1"/>
      <c r="G52" s="5"/>
      <c r="H52" s="5">
        <f t="shared" si="2"/>
        <v>3216</v>
      </c>
      <c r="I52" s="5">
        <f t="shared" si="3"/>
        <v>0</v>
      </c>
      <c r="J52" s="5">
        <f>Table1[[#This Row],[Enrolment S.Y. 2025-2026 ]]*8</f>
        <v>3216</v>
      </c>
      <c r="K52" s="5"/>
      <c r="L52" s="1"/>
      <c r="M52" s="5"/>
      <c r="N52" s="5">
        <f t="shared" si="10"/>
        <v>3216</v>
      </c>
      <c r="O52" s="5">
        <f t="shared" si="11"/>
        <v>0</v>
      </c>
      <c r="P52" s="5">
        <f>Table1[[#This Row],[Enrolment S.Y. 2025-2026 ]]*8</f>
        <v>3216</v>
      </c>
      <c r="Q52" s="5">
        <v>100</v>
      </c>
      <c r="R52" s="1">
        <v>2025</v>
      </c>
      <c r="S52" s="5" t="s">
        <v>50</v>
      </c>
      <c r="T52" s="5">
        <f t="shared" si="12"/>
        <v>3116</v>
      </c>
      <c r="U52" s="5">
        <f t="shared" si="13"/>
        <v>0</v>
      </c>
      <c r="V52" s="5">
        <f>Table1[[#This Row],[Enrolment S.Y. 2025-2026 ]]*8</f>
        <v>3216</v>
      </c>
      <c r="W52" s="5"/>
      <c r="X52" s="1"/>
      <c r="Y52" s="5"/>
      <c r="Z52" s="5">
        <f t="shared" si="14"/>
        <v>3216</v>
      </c>
      <c r="AA52" s="5">
        <f t="shared" si="15"/>
        <v>0</v>
      </c>
    </row>
    <row r="53" spans="1:27" s="7" customFormat="1" ht="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</row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ht="15"/>
    <row r="63" spans="1:27" s="7" customFormat="1" ht="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</row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ht="15"/>
    <row r="73" spans="1:27" s="7" customFormat="1" ht="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</row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ht="15"/>
    <row r="83" spans="1:27" s="7" customFormat="1" ht="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</row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ht="15"/>
    <row r="93" spans="1:27" s="7" customFormat="1" ht="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</row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ht="15"/>
    <row r="114" ht="15"/>
    <row r="115" ht="15"/>
    <row r="116" ht="15"/>
    <row r="117" ht="15"/>
    <row r="118" ht="15"/>
    <row r="149" ht="15"/>
    <row r="151" ht="15"/>
    <row r="152" ht="15"/>
    <row r="154" ht="15"/>
    <row r="156" ht="15"/>
    <row r="157" ht="15"/>
  </sheetData>
  <protectedRanges>
    <protectedRange sqref="C2:C3 C17:C22 C44:C52 C11:C15 C24:C32 C34:C42" name="Textbooks"/>
    <protectedRange sqref="J2:L3 D2:F3 H5:L5 Q11:R15 W11:X15 H11:I15 Q17:R22 W17:X22 H17:I22 D24:F32 H24:I32 Q24:R32 W24:X32 H34:I42 Q34:R42 W34:X42 D44:F52 H44:I52 Q44:R52 W44:X52 K11:L15 N5:R9 T5:X9 K24:L32 K34:L42 K44:L52 K6:L9 J6:J52 Z4:AA52 K17:L22 D17:F22 D34:F42 N10:P52 P2:R2 V2:X3 D5:F9 N4:P4 T4:V4 J4 N3:R3 Y10 D11:F15 T10:V52 H6:I9" name="LAS"/>
    <protectedRange sqref="G2:I3 M2:O2 S2:U3 Y2:AA3 Y11:Y52 G11:G15 M11:M52 G5:G9 Y5:Y9 M3 G24:G32 G44:G52 M5:M9 G34:G42 S4:S52 G17:G22" name="SOURCE"/>
    <protectedRange sqref="C5:C9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G5:G9 M5:M9 Y5:Y9 G24:G32 Y11:Y52 G44:G52 G11:G15 G17:G22 G34:G42 M11:M52 S4:S52" xr:uid="{5129D80C-83DF-45BE-B6AD-F21CA596CBA5}">
      <formula1>"CO,RO,SDO,LGU,SCHOOL"</formula1>
    </dataValidation>
    <dataValidation type="list" allowBlank="1" showInputMessage="1" showErrorMessage="1" sqref="F44:F52 F34:F42 F24:F32 F17:F22 F11:F15 F5:F9 L44:L52 L34:L42 L24:L32 L17:L22 L11:L15 L5:L9 R34:R42 R24:R32 R17:R22 R11:R15 R5:R9 X44:X52 X34:X42 X24:X32 X17:X22 X11:X15 X5:X9 R44:R53" xr:uid="{07E9B3A7-BB09-484F-A0A9-129E14EDCCE1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2026-04-14T03:20:11Z</dcterms:modified>
  <cp:category/>
  <cp:contentStatus/>
</cp:coreProperties>
</file>