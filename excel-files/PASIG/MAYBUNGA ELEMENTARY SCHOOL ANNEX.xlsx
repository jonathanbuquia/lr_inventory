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5" documentId="13_ncr:1_{BFB59F67-F0DC-4675-A682-EB0734A8026A}" xr6:coauthVersionLast="47" xr6:coauthVersionMax="47" xr10:uidLastSave="{2CE2EE27-AE96-4DF8-9AC8-306A9CAF78A3}"/>
  <bookViews>
    <workbookView xWindow="-108" yWindow="-108" windowWidth="23256" windowHeight="12456" firstSheet="1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5" l="1"/>
  <c r="P12" i="5"/>
  <c r="J12" i="5"/>
  <c r="D12" i="5"/>
  <c r="P101" i="5"/>
  <c r="T101" i="5" s="1"/>
  <c r="P102" i="5"/>
  <c r="U102" i="5" s="1"/>
  <c r="P103" i="5"/>
  <c r="P104" i="5"/>
  <c r="P105" i="5"/>
  <c r="P89" i="5"/>
  <c r="T89" i="5" s="1"/>
  <c r="P90" i="5"/>
  <c r="P91" i="5"/>
  <c r="P92" i="5"/>
  <c r="P93" i="5"/>
  <c r="P76" i="5"/>
  <c r="P77" i="5"/>
  <c r="P78" i="5"/>
  <c r="P79" i="5"/>
  <c r="P80" i="5"/>
  <c r="P81" i="5"/>
  <c r="P63" i="5"/>
  <c r="P64" i="5"/>
  <c r="P65" i="5"/>
  <c r="P66" i="5"/>
  <c r="P67" i="5"/>
  <c r="P68" i="5"/>
  <c r="P69" i="5"/>
  <c r="P53" i="5"/>
  <c r="T53" i="5" s="1"/>
  <c r="P54" i="5"/>
  <c r="P55" i="5"/>
  <c r="P56" i="5"/>
  <c r="P57" i="5"/>
  <c r="P40" i="5"/>
  <c r="P41" i="5"/>
  <c r="U41" i="5" s="1"/>
  <c r="P42" i="5"/>
  <c r="P43" i="5"/>
  <c r="P44" i="5"/>
  <c r="U44" i="5" s="1"/>
  <c r="P45" i="5"/>
  <c r="P28" i="5"/>
  <c r="P29" i="5"/>
  <c r="P30" i="5"/>
  <c r="P31" i="5"/>
  <c r="P32" i="5"/>
  <c r="P33" i="5"/>
  <c r="D104" i="5"/>
  <c r="H104" i="5" s="1"/>
  <c r="J104" i="5"/>
  <c r="U104" i="5"/>
  <c r="T104" i="5"/>
  <c r="V104" i="5"/>
  <c r="Z104" i="5" s="1"/>
  <c r="D101" i="5"/>
  <c r="H101" i="5" s="1"/>
  <c r="J101" i="5"/>
  <c r="U101" i="5"/>
  <c r="V101" i="5"/>
  <c r="Z101" i="5" s="1"/>
  <c r="D80" i="5"/>
  <c r="H80" i="5" s="1"/>
  <c r="J80" i="5"/>
  <c r="T80" i="5"/>
  <c r="V80" i="5"/>
  <c r="Z80" i="5" s="1"/>
  <c r="D92" i="5"/>
  <c r="H92" i="5" s="1"/>
  <c r="J92" i="5"/>
  <c r="T92" i="5"/>
  <c r="V92" i="5"/>
  <c r="Z92" i="5" s="1"/>
  <c r="D89" i="5"/>
  <c r="H89" i="5" s="1"/>
  <c r="J89" i="5"/>
  <c r="V89" i="5"/>
  <c r="Z89" i="5" s="1"/>
  <c r="D77" i="5"/>
  <c r="H77" i="5" s="1"/>
  <c r="J77" i="5"/>
  <c r="T77" i="5"/>
  <c r="V77" i="5"/>
  <c r="Z77" i="5" s="1"/>
  <c r="D68" i="5"/>
  <c r="H68" i="5" s="1"/>
  <c r="J68" i="5"/>
  <c r="T68" i="5"/>
  <c r="V68" i="5"/>
  <c r="Z68" i="5" s="1"/>
  <c r="D65" i="5"/>
  <c r="H65" i="5" s="1"/>
  <c r="J65" i="5"/>
  <c r="T65" i="5"/>
  <c r="V65" i="5"/>
  <c r="Z65" i="5" s="1"/>
  <c r="D56" i="5"/>
  <c r="H56" i="5" s="1"/>
  <c r="J56" i="5"/>
  <c r="T56" i="5"/>
  <c r="V56" i="5"/>
  <c r="Z56" i="5" s="1"/>
  <c r="D53" i="5"/>
  <c r="H53" i="5" s="1"/>
  <c r="J53" i="5"/>
  <c r="V53" i="5"/>
  <c r="Z53" i="5" s="1"/>
  <c r="D44" i="5"/>
  <c r="H44" i="5" s="1"/>
  <c r="J44" i="5"/>
  <c r="V44" i="5"/>
  <c r="Z44" i="5" s="1"/>
  <c r="D41" i="5"/>
  <c r="H41" i="5" s="1"/>
  <c r="J41" i="5"/>
  <c r="V41" i="5"/>
  <c r="Z41" i="5" s="1"/>
  <c r="D32" i="5"/>
  <c r="H32" i="5" s="1"/>
  <c r="J32" i="5"/>
  <c r="U32" i="5"/>
  <c r="V32" i="5"/>
  <c r="Z32" i="5" s="1"/>
  <c r="D29" i="5"/>
  <c r="H29" i="5" s="1"/>
  <c r="J29" i="5"/>
  <c r="U29" i="5"/>
  <c r="V29" i="5"/>
  <c r="Z29" i="5" s="1"/>
  <c r="P3" i="4"/>
  <c r="T3" i="4" s="1"/>
  <c r="D3" i="4"/>
  <c r="H3" i="4" s="1"/>
  <c r="J3" i="4"/>
  <c r="V3" i="4"/>
  <c r="Z3" i="4" s="1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V114" i="5"/>
  <c r="AA114" i="5" s="1"/>
  <c r="P114" i="5"/>
  <c r="T114" i="5" s="1"/>
  <c r="J114" i="5"/>
  <c r="O114" i="5" s="1"/>
  <c r="D114" i="5"/>
  <c r="I114" i="5" s="1"/>
  <c r="V113" i="5"/>
  <c r="Z113" i="5" s="1"/>
  <c r="P113" i="5"/>
  <c r="J113" i="5"/>
  <c r="N113" i="5" s="1"/>
  <c r="D113" i="5"/>
  <c r="I113" i="5" s="1"/>
  <c r="V112" i="5"/>
  <c r="AA112" i="5" s="1"/>
  <c r="P112" i="5"/>
  <c r="U112" i="5" s="1"/>
  <c r="J112" i="5"/>
  <c r="O112" i="5" s="1"/>
  <c r="D112" i="5"/>
  <c r="I112" i="5" s="1"/>
  <c r="V111" i="5"/>
  <c r="Z111" i="5" s="1"/>
  <c r="P111" i="5"/>
  <c r="J111" i="5"/>
  <c r="N111" i="5" s="1"/>
  <c r="D111" i="5"/>
  <c r="I111" i="5" s="1"/>
  <c r="V110" i="5"/>
  <c r="AA110" i="5" s="1"/>
  <c r="P110" i="5"/>
  <c r="U110" i="5" s="1"/>
  <c r="J110" i="5"/>
  <c r="O110" i="5" s="1"/>
  <c r="D110" i="5"/>
  <c r="I110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5" i="5"/>
  <c r="AA105" i="5" s="1"/>
  <c r="U105" i="5"/>
  <c r="J105" i="5"/>
  <c r="D105" i="5"/>
  <c r="I105" i="5" s="1"/>
  <c r="V103" i="5"/>
  <c r="Z103" i="5" s="1"/>
  <c r="J103" i="5"/>
  <c r="D103" i="5"/>
  <c r="I103" i="5" s="1"/>
  <c r="V102" i="5"/>
  <c r="AA102" i="5" s="1"/>
  <c r="J102" i="5"/>
  <c r="D102" i="5"/>
  <c r="I102" i="5" s="1"/>
  <c r="V100" i="5"/>
  <c r="Z100" i="5" s="1"/>
  <c r="P100" i="5"/>
  <c r="J100" i="5"/>
  <c r="N100" i="5" s="1"/>
  <c r="D100" i="5"/>
  <c r="I100" i="5" s="1"/>
  <c r="V99" i="5"/>
  <c r="AA99" i="5" s="1"/>
  <c r="P99" i="5"/>
  <c r="U99" i="5" s="1"/>
  <c r="J99" i="5"/>
  <c r="O99" i="5" s="1"/>
  <c r="D99" i="5"/>
  <c r="I99" i="5" s="1"/>
  <c r="V98" i="5"/>
  <c r="Z98" i="5" s="1"/>
  <c r="P98" i="5"/>
  <c r="J98" i="5"/>
  <c r="N98" i="5" s="1"/>
  <c r="D98" i="5"/>
  <c r="I98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I96" i="5" s="1"/>
  <c r="V95" i="5"/>
  <c r="AA95" i="5" s="1"/>
  <c r="P95" i="5"/>
  <c r="U95" i="5" s="1"/>
  <c r="J95" i="5"/>
  <c r="O95" i="5" s="1"/>
  <c r="D95" i="5"/>
  <c r="I95" i="5" s="1"/>
  <c r="V93" i="5"/>
  <c r="AA93" i="5" s="1"/>
  <c r="J93" i="5"/>
  <c r="D93" i="5"/>
  <c r="I93" i="5" s="1"/>
  <c r="V91" i="5"/>
  <c r="AA91" i="5" s="1"/>
  <c r="U91" i="5"/>
  <c r="J91" i="5"/>
  <c r="D91" i="5"/>
  <c r="I91" i="5" s="1"/>
  <c r="V90" i="5"/>
  <c r="AA90" i="5" s="1"/>
  <c r="J90" i="5"/>
  <c r="D90" i="5"/>
  <c r="I90" i="5" s="1"/>
  <c r="V88" i="5"/>
  <c r="AA88" i="5" s="1"/>
  <c r="P88" i="5"/>
  <c r="U88" i="5" s="1"/>
  <c r="J88" i="5"/>
  <c r="O88" i="5" s="1"/>
  <c r="D88" i="5"/>
  <c r="I88" i="5" s="1"/>
  <c r="V87" i="5"/>
  <c r="AA87" i="5" s="1"/>
  <c r="P87" i="5"/>
  <c r="J87" i="5"/>
  <c r="N87" i="5" s="1"/>
  <c r="D87" i="5"/>
  <c r="H87" i="5" s="1"/>
  <c r="V86" i="5"/>
  <c r="AA86" i="5" s="1"/>
  <c r="P86" i="5"/>
  <c r="U86" i="5" s="1"/>
  <c r="J86" i="5"/>
  <c r="O86" i="5" s="1"/>
  <c r="D86" i="5"/>
  <c r="H86" i="5" s="1"/>
  <c r="V85" i="5"/>
  <c r="AA85" i="5" s="1"/>
  <c r="P85" i="5"/>
  <c r="J85" i="5"/>
  <c r="N85" i="5" s="1"/>
  <c r="D85" i="5"/>
  <c r="I85" i="5" s="1"/>
  <c r="V84" i="5"/>
  <c r="AA84" i="5" s="1"/>
  <c r="P84" i="5"/>
  <c r="U84" i="5" s="1"/>
  <c r="J84" i="5"/>
  <c r="O84" i="5" s="1"/>
  <c r="D84" i="5"/>
  <c r="I84" i="5" s="1"/>
  <c r="V83" i="5"/>
  <c r="AA83" i="5" s="1"/>
  <c r="P83" i="5"/>
  <c r="J83" i="5"/>
  <c r="N83" i="5" s="1"/>
  <c r="D83" i="5"/>
  <c r="I83" i="5" s="1"/>
  <c r="V81" i="5"/>
  <c r="AA81" i="5" s="1"/>
  <c r="U81" i="5"/>
  <c r="J81" i="5"/>
  <c r="D81" i="5"/>
  <c r="I81" i="5" s="1"/>
  <c r="V79" i="5"/>
  <c r="AA79" i="5" s="1"/>
  <c r="J79" i="5"/>
  <c r="D79" i="5"/>
  <c r="I79" i="5" s="1"/>
  <c r="V78" i="5"/>
  <c r="AA78" i="5" s="1"/>
  <c r="U78" i="5"/>
  <c r="J78" i="5"/>
  <c r="D78" i="5"/>
  <c r="I78" i="5" s="1"/>
  <c r="V76" i="5"/>
  <c r="AA76" i="5" s="1"/>
  <c r="J76" i="5"/>
  <c r="D76" i="5"/>
  <c r="I76" i="5" s="1"/>
  <c r="V75" i="5"/>
  <c r="AA75" i="5" s="1"/>
  <c r="P75" i="5"/>
  <c r="U75" i="5" s="1"/>
  <c r="J75" i="5"/>
  <c r="O75" i="5" s="1"/>
  <c r="D75" i="5"/>
  <c r="I75" i="5" s="1"/>
  <c r="V74" i="5"/>
  <c r="Z74" i="5" s="1"/>
  <c r="P74" i="5"/>
  <c r="J74" i="5"/>
  <c r="N74" i="5" s="1"/>
  <c r="D74" i="5"/>
  <c r="I74" i="5" s="1"/>
  <c r="V73" i="5"/>
  <c r="AA73" i="5" s="1"/>
  <c r="P73" i="5"/>
  <c r="U73" i="5" s="1"/>
  <c r="J73" i="5"/>
  <c r="O73" i="5" s="1"/>
  <c r="D73" i="5"/>
  <c r="I73" i="5" s="1"/>
  <c r="V72" i="5"/>
  <c r="AA72" i="5" s="1"/>
  <c r="P72" i="5"/>
  <c r="U72" i="5" s="1"/>
  <c r="J72" i="5"/>
  <c r="N72" i="5" s="1"/>
  <c r="D72" i="5"/>
  <c r="I72" i="5" s="1"/>
  <c r="V71" i="5"/>
  <c r="AA71" i="5" s="1"/>
  <c r="P71" i="5"/>
  <c r="U71" i="5" s="1"/>
  <c r="J71" i="5"/>
  <c r="D71" i="5"/>
  <c r="I71" i="5" s="1"/>
  <c r="V69" i="5"/>
  <c r="AA69" i="5" s="1"/>
  <c r="U69" i="5"/>
  <c r="J69" i="5"/>
  <c r="D69" i="5"/>
  <c r="I69" i="5" s="1"/>
  <c r="V67" i="5"/>
  <c r="AA67" i="5" s="1"/>
  <c r="U67" i="5"/>
  <c r="J67" i="5"/>
  <c r="D67" i="5"/>
  <c r="H67" i="5" s="1"/>
  <c r="V66" i="5"/>
  <c r="Z66" i="5" s="1"/>
  <c r="U66" i="5"/>
  <c r="J66" i="5"/>
  <c r="D66" i="5"/>
  <c r="I66" i="5" s="1"/>
  <c r="V64" i="5"/>
  <c r="Z64" i="5" s="1"/>
  <c r="U64" i="5"/>
  <c r="J64" i="5"/>
  <c r="D64" i="5"/>
  <c r="I64" i="5" s="1"/>
  <c r="V63" i="5"/>
  <c r="AA63" i="5" s="1"/>
  <c r="U63" i="5"/>
  <c r="J63" i="5"/>
  <c r="D63" i="5"/>
  <c r="H63" i="5" s="1"/>
  <c r="V62" i="5"/>
  <c r="AA62" i="5" s="1"/>
  <c r="P62" i="5"/>
  <c r="U62" i="5" s="1"/>
  <c r="J62" i="5"/>
  <c r="D62" i="5"/>
  <c r="H62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7" i="5"/>
  <c r="Z57" i="5" s="1"/>
  <c r="U57" i="5"/>
  <c r="J57" i="5"/>
  <c r="D57" i="5"/>
  <c r="I57" i="5" s="1"/>
  <c r="V55" i="5"/>
  <c r="AA55" i="5" s="1"/>
  <c r="U55" i="5"/>
  <c r="J55" i="5"/>
  <c r="D55" i="5"/>
  <c r="I55" i="5" s="1"/>
  <c r="V54" i="5"/>
  <c r="AA54" i="5" s="1"/>
  <c r="U54" i="5"/>
  <c r="J54" i="5"/>
  <c r="D54" i="5"/>
  <c r="I54" i="5" s="1"/>
  <c r="V52" i="5"/>
  <c r="AA52" i="5" s="1"/>
  <c r="P52" i="5"/>
  <c r="U52" i="5" s="1"/>
  <c r="J52" i="5"/>
  <c r="N52" i="5" s="1"/>
  <c r="D52" i="5"/>
  <c r="I52" i="5" s="1"/>
  <c r="V51" i="5"/>
  <c r="AA51" i="5" s="1"/>
  <c r="P51" i="5"/>
  <c r="U51" i="5" s="1"/>
  <c r="J51" i="5"/>
  <c r="D51" i="5"/>
  <c r="I51" i="5" s="1"/>
  <c r="V50" i="5"/>
  <c r="AA50" i="5" s="1"/>
  <c r="P50" i="5"/>
  <c r="U50" i="5" s="1"/>
  <c r="J50" i="5"/>
  <c r="N50" i="5" s="1"/>
  <c r="D50" i="5"/>
  <c r="I50" i="5" s="1"/>
  <c r="V49" i="5"/>
  <c r="AA49" i="5" s="1"/>
  <c r="P49" i="5"/>
  <c r="U49" i="5" s="1"/>
  <c r="J49" i="5"/>
  <c r="D49" i="5"/>
  <c r="H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5" i="5"/>
  <c r="AA45" i="5" s="1"/>
  <c r="U45" i="5"/>
  <c r="J45" i="5"/>
  <c r="D45" i="5"/>
  <c r="I45" i="5" s="1"/>
  <c r="V43" i="5"/>
  <c r="AA43" i="5" s="1"/>
  <c r="U43" i="5"/>
  <c r="J43" i="5"/>
  <c r="D43" i="5"/>
  <c r="I43" i="5" s="1"/>
  <c r="V42" i="5"/>
  <c r="AA42" i="5" s="1"/>
  <c r="U42" i="5"/>
  <c r="J42" i="5"/>
  <c r="D42" i="5"/>
  <c r="I42" i="5" s="1"/>
  <c r="V40" i="5"/>
  <c r="AA40" i="5" s="1"/>
  <c r="U40" i="5"/>
  <c r="J40" i="5"/>
  <c r="D40" i="5"/>
  <c r="I40" i="5" s="1"/>
  <c r="V39" i="5"/>
  <c r="AA39" i="5" s="1"/>
  <c r="P39" i="5"/>
  <c r="U39" i="5" s="1"/>
  <c r="J39" i="5"/>
  <c r="N39" i="5" s="1"/>
  <c r="D39" i="5"/>
  <c r="I39" i="5" s="1"/>
  <c r="V38" i="5"/>
  <c r="AA38" i="5" s="1"/>
  <c r="P38" i="5"/>
  <c r="U38" i="5" s="1"/>
  <c r="J38" i="5"/>
  <c r="D38" i="5"/>
  <c r="I38" i="5" s="1"/>
  <c r="V37" i="5"/>
  <c r="AA37" i="5" s="1"/>
  <c r="P37" i="5"/>
  <c r="U37" i="5" s="1"/>
  <c r="J37" i="5"/>
  <c r="N37" i="5" s="1"/>
  <c r="D37" i="5"/>
  <c r="H37" i="5" s="1"/>
  <c r="V36" i="5"/>
  <c r="AA36" i="5" s="1"/>
  <c r="P36" i="5"/>
  <c r="U36" i="5" s="1"/>
  <c r="J36" i="5"/>
  <c r="D36" i="5"/>
  <c r="H36" i="5" s="1"/>
  <c r="V35" i="5"/>
  <c r="AA35" i="5" s="1"/>
  <c r="P35" i="5"/>
  <c r="U35" i="5" s="1"/>
  <c r="J35" i="5"/>
  <c r="N35" i="5" s="1"/>
  <c r="D35" i="5"/>
  <c r="H35" i="5" s="1"/>
  <c r="V33" i="5"/>
  <c r="AA33" i="5" s="1"/>
  <c r="U33" i="5"/>
  <c r="J33" i="5"/>
  <c r="D33" i="5"/>
  <c r="I33" i="5" s="1"/>
  <c r="V31" i="5"/>
  <c r="AA31" i="5" s="1"/>
  <c r="U31" i="5"/>
  <c r="J31" i="5"/>
  <c r="D31" i="5"/>
  <c r="H31" i="5" s="1"/>
  <c r="V30" i="5"/>
  <c r="AA30" i="5" s="1"/>
  <c r="U30" i="5"/>
  <c r="J30" i="5"/>
  <c r="D30" i="5"/>
  <c r="I30" i="5" s="1"/>
  <c r="V28" i="5"/>
  <c r="Z28" i="5" s="1"/>
  <c r="U28" i="5"/>
  <c r="J28" i="5"/>
  <c r="D28" i="5"/>
  <c r="H28" i="5" s="1"/>
  <c r="V27" i="5"/>
  <c r="AA27" i="5" s="1"/>
  <c r="P27" i="5"/>
  <c r="U27" i="5" s="1"/>
  <c r="J27" i="5"/>
  <c r="D27" i="5"/>
  <c r="I27" i="5" s="1"/>
  <c r="V26" i="5"/>
  <c r="Z26" i="5" s="1"/>
  <c r="P26" i="5"/>
  <c r="U26" i="5" s="1"/>
  <c r="J26" i="5"/>
  <c r="N26" i="5" s="1"/>
  <c r="D26" i="5"/>
  <c r="H26" i="5" s="1"/>
  <c r="V25" i="5"/>
  <c r="Z25" i="5" s="1"/>
  <c r="P25" i="5"/>
  <c r="U25" i="5" s="1"/>
  <c r="J25" i="5"/>
  <c r="D25" i="5"/>
  <c r="I25" i="5" s="1"/>
  <c r="V24" i="5"/>
  <c r="Z24" i="5" s="1"/>
  <c r="P24" i="5"/>
  <c r="U24" i="5" s="1"/>
  <c r="J24" i="5"/>
  <c r="N24" i="5" s="1"/>
  <c r="D24" i="5"/>
  <c r="H24" i="5" s="1"/>
  <c r="V23" i="5"/>
  <c r="AA23" i="5" s="1"/>
  <c r="P23" i="5"/>
  <c r="U23" i="5" s="1"/>
  <c r="J23" i="5"/>
  <c r="D23" i="5"/>
  <c r="I23" i="5" s="1"/>
  <c r="V21" i="5"/>
  <c r="AA21" i="5" s="1"/>
  <c r="P21" i="5"/>
  <c r="U21" i="5" s="1"/>
  <c r="J21" i="5"/>
  <c r="D21" i="5"/>
  <c r="I21" i="5" s="1"/>
  <c r="V20" i="5"/>
  <c r="Z20" i="5" s="1"/>
  <c r="P20" i="5"/>
  <c r="U20" i="5" s="1"/>
  <c r="J20" i="5"/>
  <c r="O20" i="5" s="1"/>
  <c r="D20" i="5"/>
  <c r="I20" i="5" s="1"/>
  <c r="V19" i="5"/>
  <c r="AA19" i="5" s="1"/>
  <c r="P19" i="5"/>
  <c r="U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4" i="5"/>
  <c r="AA14" i="5" s="1"/>
  <c r="P14" i="5"/>
  <c r="U14" i="5" s="1"/>
  <c r="J14" i="5"/>
  <c r="O14" i="5" s="1"/>
  <c r="D14" i="5"/>
  <c r="I14" i="5" s="1"/>
  <c r="V13" i="5"/>
  <c r="AA13" i="5" s="1"/>
  <c r="P13" i="5"/>
  <c r="U13" i="5" s="1"/>
  <c r="J13" i="5"/>
  <c r="N13" i="5" s="1"/>
  <c r="D13" i="5"/>
  <c r="I13" i="5" s="1"/>
  <c r="V11" i="5"/>
  <c r="AA11" i="5" s="1"/>
  <c r="P11" i="5"/>
  <c r="U11" i="5" s="1"/>
  <c r="J11" i="5"/>
  <c r="O11" i="5" s="1"/>
  <c r="D11" i="5"/>
  <c r="I11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H9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1" i="4"/>
  <c r="AA11" i="4" s="1"/>
  <c r="V12" i="4"/>
  <c r="Z12" i="4" s="1"/>
  <c r="V13" i="4"/>
  <c r="Z13" i="4" s="1"/>
  <c r="V14" i="4"/>
  <c r="Z14" i="4" s="1"/>
  <c r="V15" i="4"/>
  <c r="AA15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2" i="4"/>
  <c r="Z32" i="4" s="1"/>
  <c r="V34" i="4"/>
  <c r="AA34" i="4" s="1"/>
  <c r="V35" i="4"/>
  <c r="Z35" i="4" s="1"/>
  <c r="V36" i="4"/>
  <c r="AA36" i="4" s="1"/>
  <c r="V37" i="4"/>
  <c r="Z37" i="4" s="1"/>
  <c r="V38" i="4"/>
  <c r="AA38" i="4" s="1"/>
  <c r="V39" i="4"/>
  <c r="Z39" i="4" s="1"/>
  <c r="V40" i="4"/>
  <c r="Z40" i="4" s="1"/>
  <c r="V41" i="4"/>
  <c r="Z41" i="4" s="1"/>
  <c r="V42" i="4"/>
  <c r="AA42" i="4" s="1"/>
  <c r="V44" i="4"/>
  <c r="Z44" i="4" s="1"/>
  <c r="V45" i="4"/>
  <c r="Z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2" i="4"/>
  <c r="Z52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2" i="4"/>
  <c r="Z62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AA71" i="4" s="1"/>
  <c r="V72" i="4"/>
  <c r="Z72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Z80" i="4" s="1"/>
  <c r="V81" i="4"/>
  <c r="Z81" i="4" s="1"/>
  <c r="V82" i="4"/>
  <c r="AA82" i="4" s="1"/>
  <c r="V84" i="4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2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AA107" i="4" s="1"/>
  <c r="V108" i="4"/>
  <c r="Z108" i="4" s="1"/>
  <c r="V109" i="4"/>
  <c r="AA109" i="4" s="1"/>
  <c r="V110" i="4"/>
  <c r="V111" i="4"/>
  <c r="Z111" i="4" s="1"/>
  <c r="V112" i="4"/>
  <c r="Z112" i="4" s="1"/>
  <c r="V113" i="4"/>
  <c r="AA113" i="4" s="1"/>
  <c r="V114" i="4"/>
  <c r="Z114" i="4" s="1"/>
  <c r="V115" i="4"/>
  <c r="Z115" i="4" s="1"/>
  <c r="V116" i="4"/>
  <c r="Z116" i="4" s="1"/>
  <c r="V117" i="4"/>
  <c r="AA117" i="4" s="1"/>
  <c r="T118" i="4"/>
  <c r="U118" i="4"/>
  <c r="V118" i="4"/>
  <c r="P6" i="4"/>
  <c r="T6" i="4" s="1"/>
  <c r="P7" i="4"/>
  <c r="T7" i="4" s="1"/>
  <c r="P8" i="4"/>
  <c r="T8" i="4" s="1"/>
  <c r="P9" i="4"/>
  <c r="T9" i="4" s="1"/>
  <c r="P11" i="4"/>
  <c r="T11" i="4" s="1"/>
  <c r="P12" i="4"/>
  <c r="T12" i="4" s="1"/>
  <c r="P13" i="4"/>
  <c r="P14" i="4"/>
  <c r="U14" i="4" s="1"/>
  <c r="P15" i="4"/>
  <c r="T15" i="4" s="1"/>
  <c r="P17" i="4"/>
  <c r="T17" i="4" s="1"/>
  <c r="P18" i="4"/>
  <c r="T18" i="4" s="1"/>
  <c r="P19" i="4"/>
  <c r="P20" i="4"/>
  <c r="U20" i="4" s="1"/>
  <c r="P21" i="4"/>
  <c r="T21" i="4" s="1"/>
  <c r="P22" i="4"/>
  <c r="T22" i="4" s="1"/>
  <c r="P24" i="4"/>
  <c r="U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2" i="4"/>
  <c r="T32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2" i="4"/>
  <c r="T42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2" i="4"/>
  <c r="T52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2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2" i="4"/>
  <c r="U72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2" i="4"/>
  <c r="T82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2" i="4"/>
  <c r="T92" i="4" s="1"/>
  <c r="P94" i="4"/>
  <c r="P95" i="4"/>
  <c r="U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T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1" i="4"/>
  <c r="P112" i="4"/>
  <c r="T112" i="4" s="1"/>
  <c r="P113" i="4"/>
  <c r="T113" i="4" s="1"/>
  <c r="P114" i="4"/>
  <c r="T114" i="4" s="1"/>
  <c r="P115" i="4"/>
  <c r="P116" i="4"/>
  <c r="U116" i="4" s="1"/>
  <c r="P117" i="4"/>
  <c r="T117" i="4" s="1"/>
  <c r="J6" i="4"/>
  <c r="N6" i="4" s="1"/>
  <c r="J7" i="4"/>
  <c r="J8" i="4"/>
  <c r="N8" i="4" s="1"/>
  <c r="J9" i="4"/>
  <c r="N9" i="4" s="1"/>
  <c r="J11" i="4"/>
  <c r="O11" i="4" s="1"/>
  <c r="J12" i="4"/>
  <c r="N12" i="4" s="1"/>
  <c r="J13" i="4"/>
  <c r="N13" i="4" s="1"/>
  <c r="J14" i="4"/>
  <c r="O14" i="4" s="1"/>
  <c r="J15" i="4"/>
  <c r="O15" i="4" s="1"/>
  <c r="J17" i="4"/>
  <c r="O17" i="4" s="1"/>
  <c r="J18" i="4"/>
  <c r="N18" i="4" s="1"/>
  <c r="J19" i="4"/>
  <c r="N19" i="4" s="1"/>
  <c r="J20" i="4"/>
  <c r="O20" i="4" s="1"/>
  <c r="J21" i="4"/>
  <c r="O21" i="4" s="1"/>
  <c r="J22" i="4"/>
  <c r="N22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2" i="4"/>
  <c r="N32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2" i="4"/>
  <c r="O42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2" i="4"/>
  <c r="N52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2" i="4"/>
  <c r="N62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2" i="4"/>
  <c r="O72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2" i="4"/>
  <c r="O82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2" i="4"/>
  <c r="N92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1" i="4"/>
  <c r="N111" i="4" s="1"/>
  <c r="J112" i="4"/>
  <c r="N112" i="4" s="1"/>
  <c r="J113" i="4"/>
  <c r="O113" i="4" s="1"/>
  <c r="J114" i="4"/>
  <c r="N114" i="4" s="1"/>
  <c r="J115" i="4"/>
  <c r="N115" i="4" s="1"/>
  <c r="J116" i="4"/>
  <c r="O116" i="4" s="1"/>
  <c r="J117" i="4"/>
  <c r="O117" i="4" s="1"/>
  <c r="J118" i="4"/>
  <c r="D21" i="4"/>
  <c r="H21" i="4" s="1"/>
  <c r="D22" i="4"/>
  <c r="H22" i="4" s="1"/>
  <c r="D14" i="4"/>
  <c r="H14" i="4" s="1"/>
  <c r="D15" i="4"/>
  <c r="H15" i="4" s="1"/>
  <c r="V5" i="4"/>
  <c r="AA5" i="4" s="1"/>
  <c r="P5" i="4"/>
  <c r="T5" i="4" s="1"/>
  <c r="J5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D6" i="4"/>
  <c r="I6" i="4" s="1"/>
  <c r="D7" i="4"/>
  <c r="I7" i="4" s="1"/>
  <c r="D8" i="4"/>
  <c r="I8" i="4" s="1"/>
  <c r="D9" i="4"/>
  <c r="I9" i="4" s="1"/>
  <c r="D11" i="4"/>
  <c r="I11" i="4" s="1"/>
  <c r="D12" i="4"/>
  <c r="I12" i="4" s="1"/>
  <c r="D13" i="4"/>
  <c r="I13" i="4" s="1"/>
  <c r="D17" i="4"/>
  <c r="D18" i="4"/>
  <c r="D19" i="4"/>
  <c r="I19" i="4" s="1"/>
  <c r="D20" i="4"/>
  <c r="I20" i="4" s="1"/>
  <c r="D24" i="4"/>
  <c r="H24" i="4" s="1"/>
  <c r="D25" i="4"/>
  <c r="H25" i="4" s="1"/>
  <c r="D26" i="4"/>
  <c r="H26" i="4" s="1"/>
  <c r="D27" i="4"/>
  <c r="H27" i="4" s="1"/>
  <c r="D28" i="4"/>
  <c r="D29" i="4"/>
  <c r="D30" i="4"/>
  <c r="I30" i="4" s="1"/>
  <c r="D31" i="4"/>
  <c r="I31" i="4" s="1"/>
  <c r="D32" i="4"/>
  <c r="I32" i="4" s="1"/>
  <c r="D34" i="4"/>
  <c r="I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H41" i="4" s="1"/>
  <c r="D42" i="4"/>
  <c r="H42" i="4" s="1"/>
  <c r="D44" i="4"/>
  <c r="H44" i="4" s="1"/>
  <c r="D45" i="4"/>
  <c r="H45" i="4" s="1"/>
  <c r="D46" i="4"/>
  <c r="H46" i="4" s="1"/>
  <c r="D47" i="4"/>
  <c r="D48" i="4"/>
  <c r="D49" i="4"/>
  <c r="I49" i="4" s="1"/>
  <c r="D50" i="4"/>
  <c r="I50" i="4" s="1"/>
  <c r="D51" i="4"/>
  <c r="I51" i="4" s="1"/>
  <c r="D52" i="4"/>
  <c r="I52" i="4" s="1"/>
  <c r="D54" i="4"/>
  <c r="H54" i="4" s="1"/>
  <c r="D55" i="4"/>
  <c r="H55" i="4" s="1"/>
  <c r="D56" i="4"/>
  <c r="D57" i="4"/>
  <c r="D58" i="4"/>
  <c r="I58" i="4" s="1"/>
  <c r="D59" i="4"/>
  <c r="I59" i="4" s="1"/>
  <c r="D60" i="4"/>
  <c r="H60" i="4" s="1"/>
  <c r="D61" i="4"/>
  <c r="H61" i="4" s="1"/>
  <c r="D62" i="4"/>
  <c r="H62" i="4" s="1"/>
  <c r="D64" i="4"/>
  <c r="H64" i="4" s="1"/>
  <c r="D65" i="4"/>
  <c r="D66" i="4"/>
  <c r="D67" i="4"/>
  <c r="I67" i="4" s="1"/>
  <c r="D68" i="4"/>
  <c r="I68" i="4" s="1"/>
  <c r="D69" i="4"/>
  <c r="I69" i="4" s="1"/>
  <c r="D70" i="4"/>
  <c r="I70" i="4" s="1"/>
  <c r="D71" i="4"/>
  <c r="H71" i="4" s="1"/>
  <c r="D72" i="4"/>
  <c r="H72" i="4" s="1"/>
  <c r="D74" i="4"/>
  <c r="D75" i="4"/>
  <c r="D76" i="4"/>
  <c r="I76" i="4" s="1"/>
  <c r="D77" i="4"/>
  <c r="I77" i="4" s="1"/>
  <c r="D78" i="4"/>
  <c r="H78" i="4" s="1"/>
  <c r="D79" i="4"/>
  <c r="H79" i="4" s="1"/>
  <c r="D80" i="4"/>
  <c r="H80" i="4" s="1"/>
  <c r="D81" i="4"/>
  <c r="H81" i="4" s="1"/>
  <c r="D82" i="4"/>
  <c r="I82" i="4" s="1"/>
  <c r="D84" i="4"/>
  <c r="D85" i="4"/>
  <c r="I85" i="4" s="1"/>
  <c r="D86" i="4"/>
  <c r="I86" i="4" s="1"/>
  <c r="D87" i="4"/>
  <c r="I87" i="4" s="1"/>
  <c r="D88" i="4"/>
  <c r="I88" i="4" s="1"/>
  <c r="D89" i="4"/>
  <c r="I89" i="4" s="1"/>
  <c r="D90" i="4"/>
  <c r="H90" i="4" s="1"/>
  <c r="D91" i="4"/>
  <c r="I91" i="4" s="1"/>
  <c r="D92" i="4"/>
  <c r="I92" i="4" s="1"/>
  <c r="D94" i="4"/>
  <c r="I94" i="4" s="1"/>
  <c r="D95" i="4"/>
  <c r="I95" i="4" s="1"/>
  <c r="D96" i="4"/>
  <c r="H96" i="4" s="1"/>
  <c r="D97" i="4"/>
  <c r="H97" i="4" s="1"/>
  <c r="D98" i="4"/>
  <c r="I98" i="4" s="1"/>
  <c r="D99" i="4"/>
  <c r="H99" i="4" s="1"/>
  <c r="D100" i="4"/>
  <c r="I100" i="4" s="1"/>
  <c r="D101" i="4"/>
  <c r="I101" i="4" s="1"/>
  <c r="D5" i="4"/>
  <c r="I5" i="4" s="1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12" i="5" l="1"/>
  <c r="H12" i="5"/>
  <c r="O12" i="5"/>
  <c r="N12" i="5"/>
  <c r="U12" i="5"/>
  <c r="T12" i="5"/>
  <c r="AA12" i="5"/>
  <c r="Z12" i="5"/>
  <c r="N28" i="5"/>
  <c r="O28" i="5"/>
  <c r="N30" i="5"/>
  <c r="O30" i="5"/>
  <c r="N31" i="5"/>
  <c r="O31" i="5"/>
  <c r="N33" i="5"/>
  <c r="O33" i="5"/>
  <c r="N40" i="5"/>
  <c r="O40" i="5"/>
  <c r="N42" i="5"/>
  <c r="O42" i="5"/>
  <c r="N43" i="5"/>
  <c r="O43" i="5"/>
  <c r="N45" i="5"/>
  <c r="O45" i="5"/>
  <c r="N54" i="5"/>
  <c r="O54" i="5"/>
  <c r="N55" i="5"/>
  <c r="O55" i="5"/>
  <c r="N57" i="5"/>
  <c r="O57" i="5"/>
  <c r="N63" i="5"/>
  <c r="O63" i="5"/>
  <c r="N64" i="5"/>
  <c r="O64" i="5"/>
  <c r="N66" i="5"/>
  <c r="O66" i="5"/>
  <c r="N67" i="5"/>
  <c r="O67" i="5"/>
  <c r="N69" i="5"/>
  <c r="O69" i="5"/>
  <c r="N76" i="5"/>
  <c r="O76" i="5"/>
  <c r="N78" i="5"/>
  <c r="O78" i="5"/>
  <c r="N79" i="5"/>
  <c r="O79" i="5"/>
  <c r="N81" i="5"/>
  <c r="O81" i="5"/>
  <c r="N90" i="5"/>
  <c r="O90" i="5"/>
  <c r="N91" i="5"/>
  <c r="O91" i="5"/>
  <c r="N93" i="5"/>
  <c r="O93" i="5"/>
  <c r="N102" i="5"/>
  <c r="O102" i="5"/>
  <c r="N103" i="5"/>
  <c r="O103" i="5"/>
  <c r="N105" i="5"/>
  <c r="O105" i="5"/>
  <c r="N29" i="5"/>
  <c r="O29" i="5"/>
  <c r="N32" i="5"/>
  <c r="O32" i="5"/>
  <c r="N41" i="5"/>
  <c r="O41" i="5"/>
  <c r="N44" i="5"/>
  <c r="O44" i="5"/>
  <c r="N53" i="5"/>
  <c r="O53" i="5"/>
  <c r="N56" i="5"/>
  <c r="O56" i="5"/>
  <c r="N65" i="5"/>
  <c r="O65" i="5"/>
  <c r="N68" i="5"/>
  <c r="O68" i="5"/>
  <c r="N77" i="5"/>
  <c r="O77" i="5"/>
  <c r="N89" i="5"/>
  <c r="O89" i="5"/>
  <c r="N92" i="5"/>
  <c r="O92" i="5"/>
  <c r="N80" i="5"/>
  <c r="O80" i="5"/>
  <c r="N101" i="5"/>
  <c r="O101" i="5"/>
  <c r="N104" i="5"/>
  <c r="O104" i="5"/>
  <c r="O3" i="4"/>
  <c r="N3" i="4"/>
  <c r="T95" i="4"/>
  <c r="Z117" i="4"/>
  <c r="Z107" i="4"/>
  <c r="Z9" i="4"/>
  <c r="T72" i="4"/>
  <c r="U56" i="4"/>
  <c r="T24" i="4"/>
  <c r="Z36" i="4"/>
  <c r="U105" i="4"/>
  <c r="O79" i="4"/>
  <c r="AA94" i="4"/>
  <c r="U3" i="4"/>
  <c r="O18" i="4"/>
  <c r="Z71" i="4"/>
  <c r="U50" i="4"/>
  <c r="U34" i="4"/>
  <c r="AA58" i="4"/>
  <c r="O110" i="4"/>
  <c r="Z47" i="4"/>
  <c r="U80" i="5"/>
  <c r="I104" i="5"/>
  <c r="AA104" i="5"/>
  <c r="U89" i="5"/>
  <c r="U77" i="5"/>
  <c r="I101" i="5"/>
  <c r="AA101" i="5"/>
  <c r="U92" i="5"/>
  <c r="I80" i="5"/>
  <c r="AA80" i="5"/>
  <c r="I92" i="5"/>
  <c r="AA92" i="5"/>
  <c r="U68" i="5"/>
  <c r="I89" i="5"/>
  <c r="AA89" i="5"/>
  <c r="U53" i="5"/>
  <c r="I77" i="5"/>
  <c r="AA77" i="5"/>
  <c r="U65" i="5"/>
  <c r="I68" i="5"/>
  <c r="AA68" i="5"/>
  <c r="U56" i="5"/>
  <c r="I65" i="5"/>
  <c r="T44" i="5"/>
  <c r="AA65" i="5"/>
  <c r="I53" i="5"/>
  <c r="I56" i="5"/>
  <c r="AA56" i="5"/>
  <c r="T41" i="5"/>
  <c r="AA53" i="5"/>
  <c r="T32" i="5"/>
  <c r="I44" i="5"/>
  <c r="AA44" i="5"/>
  <c r="T29" i="5"/>
  <c r="I41" i="5"/>
  <c r="AA41" i="5"/>
  <c r="I32" i="5"/>
  <c r="AA32" i="5"/>
  <c r="AA109" i="5"/>
  <c r="I29" i="5"/>
  <c r="AA29" i="5"/>
  <c r="H95" i="5"/>
  <c r="AA103" i="5"/>
  <c r="I67" i="5"/>
  <c r="T84" i="5"/>
  <c r="Z63" i="5"/>
  <c r="AA66" i="5"/>
  <c r="H52" i="5"/>
  <c r="H71" i="5"/>
  <c r="T66" i="5"/>
  <c r="H75" i="5"/>
  <c r="T62" i="5"/>
  <c r="H69" i="5"/>
  <c r="I36" i="5"/>
  <c r="N20" i="5"/>
  <c r="Z52" i="5"/>
  <c r="O61" i="5"/>
  <c r="H54" i="5"/>
  <c r="Z69" i="5"/>
  <c r="AA28" i="5"/>
  <c r="T31" i="5"/>
  <c r="O35" i="5"/>
  <c r="AA26" i="5"/>
  <c r="H38" i="5"/>
  <c r="Z61" i="5"/>
  <c r="I63" i="5"/>
  <c r="H64" i="5"/>
  <c r="Z72" i="5"/>
  <c r="Z79" i="5"/>
  <c r="H93" i="5"/>
  <c r="AA111" i="5"/>
  <c r="O24" i="5"/>
  <c r="AA25" i="5"/>
  <c r="Z39" i="5"/>
  <c r="T45" i="5"/>
  <c r="I62" i="5"/>
  <c r="H112" i="5"/>
  <c r="I37" i="5"/>
  <c r="T63" i="5"/>
  <c r="H73" i="5"/>
  <c r="AA74" i="5"/>
  <c r="H79" i="5"/>
  <c r="H88" i="5"/>
  <c r="T21" i="5"/>
  <c r="AA24" i="5"/>
  <c r="O26" i="5"/>
  <c r="Z38" i="5"/>
  <c r="U114" i="5"/>
  <c r="Z15" i="4"/>
  <c r="O97" i="4"/>
  <c r="O66" i="4"/>
  <c r="N47" i="4"/>
  <c r="O35" i="4"/>
  <c r="N28" i="4"/>
  <c r="T99" i="4"/>
  <c r="U82" i="4"/>
  <c r="U77" i="4"/>
  <c r="U60" i="4"/>
  <c r="T28" i="4"/>
  <c r="U15" i="4"/>
  <c r="AA115" i="4"/>
  <c r="Z105" i="4"/>
  <c r="AA80" i="4"/>
  <c r="Z69" i="4"/>
  <c r="AA45" i="4"/>
  <c r="Z34" i="4"/>
  <c r="AA13" i="4"/>
  <c r="Z7" i="4"/>
  <c r="N116" i="4"/>
  <c r="N90" i="4"/>
  <c r="O84" i="4"/>
  <c r="O52" i="4"/>
  <c r="O22" i="4"/>
  <c r="U109" i="4"/>
  <c r="U104" i="4"/>
  <c r="U87" i="4"/>
  <c r="T55" i="4"/>
  <c r="U38" i="4"/>
  <c r="U32" i="4"/>
  <c r="U17" i="4"/>
  <c r="AA103" i="4"/>
  <c r="Z91" i="4"/>
  <c r="AA67" i="4"/>
  <c r="Z56" i="4"/>
  <c r="AA31" i="4"/>
  <c r="Z21" i="4"/>
  <c r="N72" i="4"/>
  <c r="O114" i="4"/>
  <c r="N108" i="4"/>
  <c r="O101" i="4"/>
  <c r="N96" i="4"/>
  <c r="O70" i="4"/>
  <c r="N46" i="4"/>
  <c r="O39" i="4"/>
  <c r="O12" i="4"/>
  <c r="U113" i="4"/>
  <c r="T81" i="4"/>
  <c r="U65" i="4"/>
  <c r="U59" i="4"/>
  <c r="U42" i="4"/>
  <c r="T14" i="4"/>
  <c r="Z113" i="4"/>
  <c r="AA89" i="4"/>
  <c r="Z78" i="4"/>
  <c r="AA54" i="4"/>
  <c r="Z42" i="4"/>
  <c r="AA19" i="4"/>
  <c r="Z11" i="4"/>
  <c r="N14" i="4"/>
  <c r="Z82" i="4"/>
  <c r="N64" i="4"/>
  <c r="O57" i="4"/>
  <c r="O26" i="4"/>
  <c r="T108" i="4"/>
  <c r="U91" i="4"/>
  <c r="U86" i="4"/>
  <c r="U69" i="4"/>
  <c r="T37" i="4"/>
  <c r="U21" i="4"/>
  <c r="U7" i="4"/>
  <c r="AA111" i="4"/>
  <c r="Z100" i="4"/>
  <c r="AA76" i="4"/>
  <c r="Z65" i="4"/>
  <c r="AA40" i="4"/>
  <c r="Z29" i="4"/>
  <c r="O88" i="4"/>
  <c r="N81" i="4"/>
  <c r="O75" i="4"/>
  <c r="N69" i="4"/>
  <c r="N20" i="4"/>
  <c r="U117" i="4"/>
  <c r="U112" i="4"/>
  <c r="U96" i="4"/>
  <c r="T64" i="4"/>
  <c r="U47" i="4"/>
  <c r="U41" i="4"/>
  <c r="U25" i="4"/>
  <c r="AA98" i="4"/>
  <c r="Z87" i="4"/>
  <c r="AA62" i="4"/>
  <c r="Z51" i="4"/>
  <c r="AA27" i="4"/>
  <c r="Z17" i="4"/>
  <c r="I3" i="4"/>
  <c r="N117" i="4"/>
  <c r="O106" i="4"/>
  <c r="N99" i="4"/>
  <c r="O44" i="4"/>
  <c r="N37" i="4"/>
  <c r="O30" i="4"/>
  <c r="N25" i="4"/>
  <c r="O8" i="4"/>
  <c r="T90" i="4"/>
  <c r="U74" i="4"/>
  <c r="U68" i="4"/>
  <c r="U51" i="4"/>
  <c r="T20" i="4"/>
  <c r="U6" i="4"/>
  <c r="Z109" i="4"/>
  <c r="AA85" i="4"/>
  <c r="Z74" i="4"/>
  <c r="AA49" i="4"/>
  <c r="Z38" i="4"/>
  <c r="AA3" i="4"/>
  <c r="O92" i="4"/>
  <c r="O61" i="4"/>
  <c r="N55" i="4"/>
  <c r="O48" i="4"/>
  <c r="T116" i="4"/>
  <c r="U100" i="4"/>
  <c r="U78" i="4"/>
  <c r="T46" i="4"/>
  <c r="U29" i="4"/>
  <c r="U11" i="4"/>
  <c r="Z96" i="4"/>
  <c r="Z60" i="4"/>
  <c r="Z25" i="4"/>
  <c r="T62" i="4"/>
  <c r="U62" i="4"/>
  <c r="T103" i="4"/>
  <c r="U103" i="4"/>
  <c r="N87" i="4"/>
  <c r="N65" i="4"/>
  <c r="T54" i="4"/>
  <c r="U54" i="4"/>
  <c r="T31" i="4"/>
  <c r="U31" i="4"/>
  <c r="N17" i="4"/>
  <c r="Z118" i="4"/>
  <c r="AA118" i="4"/>
  <c r="N113" i="4"/>
  <c r="N91" i="4"/>
  <c r="T80" i="4"/>
  <c r="U80" i="4"/>
  <c r="T58" i="4"/>
  <c r="U58" i="4"/>
  <c r="N42" i="4"/>
  <c r="N21" i="4"/>
  <c r="T13" i="4"/>
  <c r="U13" i="4"/>
  <c r="Z84" i="4"/>
  <c r="AA84" i="4"/>
  <c r="N74" i="4"/>
  <c r="N100" i="4"/>
  <c r="T89" i="4"/>
  <c r="U89" i="4"/>
  <c r="T67" i="4"/>
  <c r="U67" i="4"/>
  <c r="N51" i="4"/>
  <c r="N29" i="4"/>
  <c r="T19" i="4"/>
  <c r="U19" i="4"/>
  <c r="Z92" i="4"/>
  <c r="AA92" i="4"/>
  <c r="T107" i="4"/>
  <c r="U107" i="4"/>
  <c r="T85" i="4"/>
  <c r="U85" i="4"/>
  <c r="T111" i="4"/>
  <c r="U111" i="4"/>
  <c r="T40" i="4"/>
  <c r="U40" i="4"/>
  <c r="T115" i="4"/>
  <c r="U115" i="4"/>
  <c r="T94" i="4"/>
  <c r="U94" i="4"/>
  <c r="N78" i="4"/>
  <c r="N56" i="4"/>
  <c r="T45" i="4"/>
  <c r="U45" i="4"/>
  <c r="N11" i="4"/>
  <c r="Z110" i="4"/>
  <c r="AA110" i="4"/>
  <c r="N105" i="4"/>
  <c r="N82" i="4"/>
  <c r="T71" i="4"/>
  <c r="U71" i="4"/>
  <c r="T49" i="4"/>
  <c r="U49" i="4"/>
  <c r="N34" i="4"/>
  <c r="N15" i="4"/>
  <c r="T36" i="4"/>
  <c r="U36" i="4"/>
  <c r="O7" i="4"/>
  <c r="N7" i="4"/>
  <c r="N109" i="4"/>
  <c r="T98" i="4"/>
  <c r="U98" i="4"/>
  <c r="T76" i="4"/>
  <c r="U76" i="4"/>
  <c r="N60" i="4"/>
  <c r="N38" i="4"/>
  <c r="T27" i="4"/>
  <c r="U27" i="4"/>
  <c r="Z101" i="4"/>
  <c r="AA101" i="4"/>
  <c r="O115" i="4"/>
  <c r="O107" i="4"/>
  <c r="O98" i="4"/>
  <c r="O89" i="4"/>
  <c r="O80" i="4"/>
  <c r="O71" i="4"/>
  <c r="O62" i="4"/>
  <c r="O54" i="4"/>
  <c r="O45" i="4"/>
  <c r="O36" i="4"/>
  <c r="O27" i="4"/>
  <c r="O19" i="4"/>
  <c r="O13" i="4"/>
  <c r="O9" i="4"/>
  <c r="U114" i="4"/>
  <c r="U106" i="4"/>
  <c r="U97" i="4"/>
  <c r="U88" i="4"/>
  <c r="U79" i="4"/>
  <c r="U70" i="4"/>
  <c r="U61" i="4"/>
  <c r="U52" i="4"/>
  <c r="U44" i="4"/>
  <c r="U35" i="4"/>
  <c r="U26" i="4"/>
  <c r="U18" i="4"/>
  <c r="U12" i="4"/>
  <c r="U8" i="4"/>
  <c r="AA114" i="4"/>
  <c r="AA106" i="4"/>
  <c r="AA97" i="4"/>
  <c r="AA88" i="4"/>
  <c r="AA79" i="4"/>
  <c r="AA75" i="4"/>
  <c r="AA70" i="4"/>
  <c r="AA66" i="4"/>
  <c r="AA61" i="4"/>
  <c r="AA57" i="4"/>
  <c r="AA52" i="4"/>
  <c r="AA48" i="4"/>
  <c r="AA44" i="4"/>
  <c r="AA39" i="4"/>
  <c r="AA35" i="4"/>
  <c r="AA30" i="4"/>
  <c r="AA26" i="4"/>
  <c r="AA22" i="4"/>
  <c r="AA18" i="4"/>
  <c r="AA12" i="4"/>
  <c r="AA8" i="4"/>
  <c r="O112" i="4"/>
  <c r="O104" i="4"/>
  <c r="O95" i="4"/>
  <c r="O86" i="4"/>
  <c r="O77" i="4"/>
  <c r="O68" i="4"/>
  <c r="O59" i="4"/>
  <c r="O50" i="4"/>
  <c r="O41" i="4"/>
  <c r="O32" i="4"/>
  <c r="O24" i="4"/>
  <c r="O6" i="4"/>
  <c r="O111" i="4"/>
  <c r="O103" i="4"/>
  <c r="O94" i="4"/>
  <c r="O85" i="4"/>
  <c r="O76" i="4"/>
  <c r="O67" i="4"/>
  <c r="O58" i="4"/>
  <c r="O49" i="4"/>
  <c r="O40" i="4"/>
  <c r="O31" i="4"/>
  <c r="U110" i="4"/>
  <c r="U101" i="4"/>
  <c r="U92" i="4"/>
  <c r="U84" i="4"/>
  <c r="U75" i="4"/>
  <c r="U66" i="4"/>
  <c r="U57" i="4"/>
  <c r="U48" i="4"/>
  <c r="U39" i="4"/>
  <c r="U30" i="4"/>
  <c r="U22" i="4"/>
  <c r="AA116" i="4"/>
  <c r="AA112" i="4"/>
  <c r="AA108" i="4"/>
  <c r="AA104" i="4"/>
  <c r="AA99" i="4"/>
  <c r="AA95" i="4"/>
  <c r="AA90" i="4"/>
  <c r="AA86" i="4"/>
  <c r="AA81" i="4"/>
  <c r="AA77" i="4"/>
  <c r="AA72" i="4"/>
  <c r="AA68" i="4"/>
  <c r="AA64" i="4"/>
  <c r="AA59" i="4"/>
  <c r="AA55" i="4"/>
  <c r="AA50" i="4"/>
  <c r="AA46" i="4"/>
  <c r="AA41" i="4"/>
  <c r="AA37" i="4"/>
  <c r="AA32" i="4"/>
  <c r="AA28" i="4"/>
  <c r="AA24" i="4"/>
  <c r="AA20" i="4"/>
  <c r="AA14" i="4"/>
  <c r="AA6" i="4"/>
  <c r="U9" i="4"/>
  <c r="O4" i="5"/>
  <c r="N5" i="5"/>
  <c r="Z6" i="5"/>
  <c r="Z13" i="5"/>
  <c r="H16" i="5"/>
  <c r="O17" i="5"/>
  <c r="I28" i="5"/>
  <c r="T30" i="5"/>
  <c r="Z31" i="5"/>
  <c r="H42" i="5"/>
  <c r="Z45" i="5"/>
  <c r="Z47" i="5"/>
  <c r="Z48" i="5"/>
  <c r="Z55" i="5"/>
  <c r="AA57" i="5"/>
  <c r="Z59" i="5"/>
  <c r="AA64" i="5"/>
  <c r="H83" i="5"/>
  <c r="I86" i="5"/>
  <c r="O87" i="5"/>
  <c r="O96" i="5"/>
  <c r="T99" i="5"/>
  <c r="AA100" i="5"/>
  <c r="H3" i="5"/>
  <c r="T4" i="5"/>
  <c r="AA20" i="5"/>
  <c r="H23" i="5"/>
  <c r="H40" i="5"/>
  <c r="I49" i="5"/>
  <c r="H59" i="5"/>
  <c r="H60" i="5"/>
  <c r="T69" i="5"/>
  <c r="Z78" i="5"/>
  <c r="O83" i="5"/>
  <c r="T95" i="5"/>
  <c r="I9" i="5"/>
  <c r="Z10" i="5"/>
  <c r="O13" i="5"/>
  <c r="N14" i="5"/>
  <c r="N16" i="5"/>
  <c r="Z17" i="5"/>
  <c r="T19" i="5"/>
  <c r="T27" i="5"/>
  <c r="I31" i="5"/>
  <c r="H33" i="5"/>
  <c r="T35" i="5"/>
  <c r="O39" i="5"/>
  <c r="H47" i="5"/>
  <c r="H48" i="5"/>
  <c r="H57" i="5"/>
  <c r="O74" i="5"/>
  <c r="Z76" i="5"/>
  <c r="T86" i="5"/>
  <c r="Z87" i="5"/>
  <c r="H90" i="5"/>
  <c r="T91" i="5"/>
  <c r="Z96" i="5"/>
  <c r="AA107" i="5"/>
  <c r="H5" i="5"/>
  <c r="O6" i="5"/>
  <c r="H11" i="5"/>
  <c r="T13" i="5"/>
  <c r="Z27" i="5"/>
  <c r="T38" i="5"/>
  <c r="T39" i="5"/>
  <c r="T42" i="5"/>
  <c r="O59" i="5"/>
  <c r="T60" i="5"/>
  <c r="T81" i="5"/>
  <c r="Z83" i="5"/>
  <c r="Z91" i="5"/>
  <c r="Z93" i="5"/>
  <c r="Z95" i="5"/>
  <c r="O100" i="5"/>
  <c r="T105" i="5"/>
  <c r="H108" i="5"/>
  <c r="T112" i="5"/>
  <c r="O72" i="5"/>
  <c r="H78" i="5"/>
  <c r="I87" i="5"/>
  <c r="T6" i="5"/>
  <c r="N7" i="5"/>
  <c r="H14" i="5"/>
  <c r="T17" i="5"/>
  <c r="N18" i="5"/>
  <c r="T24" i="5"/>
  <c r="Z35" i="5"/>
  <c r="Z36" i="5"/>
  <c r="Z37" i="5"/>
  <c r="H43" i="5"/>
  <c r="H45" i="5"/>
  <c r="H50" i="5"/>
  <c r="H51" i="5"/>
  <c r="H61" i="5"/>
  <c r="Z62" i="5"/>
  <c r="T64" i="5"/>
  <c r="H72" i="5"/>
  <c r="H74" i="5"/>
  <c r="H76" i="5"/>
  <c r="Z84" i="5"/>
  <c r="Z85" i="5"/>
  <c r="T88" i="5"/>
  <c r="H96" i="5"/>
  <c r="Z97" i="5"/>
  <c r="AA98" i="5"/>
  <c r="Z102" i="5"/>
  <c r="H105" i="5"/>
  <c r="O109" i="5"/>
  <c r="AA113" i="5"/>
  <c r="H97" i="5"/>
  <c r="Z99" i="5"/>
  <c r="H102" i="5"/>
  <c r="O107" i="5"/>
  <c r="T110" i="5"/>
  <c r="N3" i="5"/>
  <c r="O10" i="5"/>
  <c r="Z19" i="5"/>
  <c r="Z21" i="5"/>
  <c r="I35" i="5"/>
  <c r="T40" i="5"/>
  <c r="T54" i="5"/>
  <c r="T57" i="5"/>
  <c r="T67" i="5"/>
  <c r="H81" i="5"/>
  <c r="H84" i="5"/>
  <c r="H85" i="5"/>
  <c r="Z90" i="5"/>
  <c r="H98" i="5"/>
  <c r="H99" i="5"/>
  <c r="T108" i="5"/>
  <c r="Z112" i="5"/>
  <c r="H114" i="5"/>
  <c r="Z4" i="5"/>
  <c r="T10" i="5"/>
  <c r="N11" i="5"/>
  <c r="H20" i="5"/>
  <c r="I24" i="5"/>
  <c r="H39" i="5"/>
  <c r="Z40" i="5"/>
  <c r="Z67" i="5"/>
  <c r="H7" i="5"/>
  <c r="N9" i="5"/>
  <c r="H18" i="5"/>
  <c r="O19" i="5"/>
  <c r="H25" i="5"/>
  <c r="I26" i="5"/>
  <c r="H27" i="5"/>
  <c r="H30" i="5"/>
  <c r="O37" i="5"/>
  <c r="Z42" i="5"/>
  <c r="Z43" i="5"/>
  <c r="T48" i="5"/>
  <c r="Z50" i="5"/>
  <c r="H55" i="5"/>
  <c r="Z60" i="5"/>
  <c r="T61" i="5"/>
  <c r="H66" i="5"/>
  <c r="T71" i="5"/>
  <c r="T73" i="5"/>
  <c r="T75" i="5"/>
  <c r="T78" i="5"/>
  <c r="O85" i="5"/>
  <c r="H91" i="5"/>
  <c r="T97" i="5"/>
  <c r="O98" i="5"/>
  <c r="T102" i="5"/>
  <c r="Z108" i="5"/>
  <c r="H110" i="5"/>
  <c r="O113" i="5"/>
  <c r="O111" i="5"/>
  <c r="U85" i="5"/>
  <c r="T85" i="5"/>
  <c r="U96" i="5"/>
  <c r="T96" i="5"/>
  <c r="U103" i="5"/>
  <c r="T103" i="5"/>
  <c r="H4" i="5"/>
  <c r="H6" i="5"/>
  <c r="H10" i="5"/>
  <c r="H13" i="5"/>
  <c r="H17" i="5"/>
  <c r="H19" i="5"/>
  <c r="H21" i="5"/>
  <c r="T23" i="5"/>
  <c r="O25" i="5"/>
  <c r="N25" i="5"/>
  <c r="Z30" i="5"/>
  <c r="T33" i="5"/>
  <c r="O36" i="5"/>
  <c r="N36" i="5"/>
  <c r="T49" i="5"/>
  <c r="O50" i="5"/>
  <c r="Z54" i="5"/>
  <c r="T55" i="5"/>
  <c r="Z81" i="5"/>
  <c r="U100" i="5"/>
  <c r="T100" i="5"/>
  <c r="Z110" i="5"/>
  <c r="U98" i="5"/>
  <c r="T98" i="5"/>
  <c r="T3" i="5"/>
  <c r="T5" i="5"/>
  <c r="T7" i="5"/>
  <c r="T9" i="5"/>
  <c r="T11" i="5"/>
  <c r="T14" i="5"/>
  <c r="T16" i="5"/>
  <c r="T18" i="5"/>
  <c r="T20" i="5"/>
  <c r="O21" i="5"/>
  <c r="N21" i="5"/>
  <c r="Z23" i="5"/>
  <c r="T25" i="5"/>
  <c r="O27" i="5"/>
  <c r="N27" i="5"/>
  <c r="Z33" i="5"/>
  <c r="T36" i="5"/>
  <c r="O38" i="5"/>
  <c r="N38" i="5"/>
  <c r="T43" i="5"/>
  <c r="Z49" i="5"/>
  <c r="T50" i="5"/>
  <c r="O60" i="5"/>
  <c r="N60" i="5"/>
  <c r="Z71" i="5"/>
  <c r="T72" i="5"/>
  <c r="Z105" i="5"/>
  <c r="O51" i="5"/>
  <c r="N51" i="5"/>
  <c r="U87" i="5"/>
  <c r="T87" i="5"/>
  <c r="T26" i="5"/>
  <c r="T37" i="5"/>
  <c r="O47" i="5"/>
  <c r="N47" i="5"/>
  <c r="T51" i="5"/>
  <c r="O52" i="5"/>
  <c r="T59" i="5"/>
  <c r="U74" i="5"/>
  <c r="T74" i="5"/>
  <c r="Z86" i="5"/>
  <c r="U90" i="5"/>
  <c r="T90" i="5"/>
  <c r="U113" i="5"/>
  <c r="T113" i="5"/>
  <c r="U76" i="5"/>
  <c r="T76" i="5"/>
  <c r="U111" i="5"/>
  <c r="T111" i="5"/>
  <c r="Z3" i="5"/>
  <c r="Z5" i="5"/>
  <c r="Z7" i="5"/>
  <c r="Z9" i="5"/>
  <c r="Z11" i="5"/>
  <c r="Z14" i="5"/>
  <c r="Z16" i="5"/>
  <c r="Z18" i="5"/>
  <c r="T28" i="5"/>
  <c r="T47" i="5"/>
  <c r="O48" i="5"/>
  <c r="Z51" i="5"/>
  <c r="T52" i="5"/>
  <c r="O62" i="5"/>
  <c r="N62" i="5"/>
  <c r="Z73" i="5"/>
  <c r="U79" i="5"/>
  <c r="T79" i="5"/>
  <c r="Z88" i="5"/>
  <c r="U93" i="5"/>
  <c r="T93" i="5"/>
  <c r="U109" i="5"/>
  <c r="T109" i="5"/>
  <c r="O23" i="5"/>
  <c r="N23" i="5"/>
  <c r="O49" i="5"/>
  <c r="N49" i="5"/>
  <c r="O71" i="5"/>
  <c r="N71" i="5"/>
  <c r="Z75" i="5"/>
  <c r="U83" i="5"/>
  <c r="T83" i="5"/>
  <c r="U107" i="5"/>
  <c r="T107" i="5"/>
  <c r="Z114" i="5"/>
  <c r="N73" i="5"/>
  <c r="N75" i="5"/>
  <c r="N84" i="5"/>
  <c r="N86" i="5"/>
  <c r="N88" i="5"/>
  <c r="N95" i="5"/>
  <c r="N97" i="5"/>
  <c r="N99" i="5"/>
  <c r="N108" i="5"/>
  <c r="N110" i="5"/>
  <c r="N112" i="5"/>
  <c r="N114" i="5"/>
  <c r="H100" i="5"/>
  <c r="H103" i="5"/>
  <c r="H107" i="5"/>
  <c r="H109" i="5"/>
  <c r="H111" i="5"/>
  <c r="H113" i="5"/>
  <c r="I21" i="4"/>
  <c r="I22" i="4"/>
  <c r="I14" i="4"/>
  <c r="I15" i="4"/>
  <c r="H9" i="4"/>
  <c r="H8" i="4"/>
  <c r="H7" i="4"/>
  <c r="H88" i="4"/>
  <c r="I97" i="4"/>
  <c r="I90" i="4"/>
  <c r="I55" i="4"/>
  <c r="H87" i="4"/>
  <c r="I96" i="4"/>
  <c r="I42" i="4"/>
  <c r="I41" i="4"/>
  <c r="H70" i="4"/>
  <c r="I79" i="4"/>
  <c r="I36" i="4"/>
  <c r="Z5" i="4"/>
  <c r="H77" i="4"/>
  <c r="H98" i="4"/>
  <c r="H59" i="4"/>
  <c r="I78" i="4"/>
  <c r="I25" i="4"/>
  <c r="H52" i="4"/>
  <c r="I72" i="4"/>
  <c r="I24" i="4"/>
  <c r="U5" i="4"/>
  <c r="H34" i="4"/>
  <c r="I61" i="4"/>
  <c r="H89" i="4"/>
  <c r="H13" i="4"/>
  <c r="I60" i="4"/>
  <c r="H40" i="4"/>
  <c r="O5" i="4"/>
  <c r="N5" i="4"/>
  <c r="O118" i="4"/>
  <c r="N118" i="4"/>
  <c r="I75" i="4"/>
  <c r="H75" i="4"/>
  <c r="H58" i="4"/>
  <c r="I56" i="4"/>
  <c r="H56" i="4"/>
  <c r="I37" i="4"/>
  <c r="H37" i="4"/>
  <c r="I28" i="4"/>
  <c r="H28" i="4"/>
  <c r="I17" i="4"/>
  <c r="H17" i="4"/>
  <c r="H6" i="4"/>
  <c r="H95" i="4"/>
  <c r="H86" i="4"/>
  <c r="H69" i="4"/>
  <c r="H51" i="4"/>
  <c r="H32" i="4"/>
  <c r="H12" i="4"/>
  <c r="I71" i="4"/>
  <c r="I54" i="4"/>
  <c r="I35" i="4"/>
  <c r="H20" i="4"/>
  <c r="I84" i="4"/>
  <c r="H84" i="4"/>
  <c r="H76" i="4"/>
  <c r="I29" i="4"/>
  <c r="H29" i="4"/>
  <c r="H5" i="4"/>
  <c r="H94" i="4"/>
  <c r="H85" i="4"/>
  <c r="H68" i="4"/>
  <c r="H50" i="4"/>
  <c r="H31" i="4"/>
  <c r="H11" i="4"/>
  <c r="I57" i="4"/>
  <c r="H57" i="4"/>
  <c r="H39" i="4"/>
  <c r="I74" i="4"/>
  <c r="H74" i="4"/>
  <c r="I38" i="4"/>
  <c r="H38" i="4"/>
  <c r="H101" i="4"/>
  <c r="H92" i="4"/>
  <c r="H82" i="4"/>
  <c r="H67" i="4"/>
  <c r="H49" i="4"/>
  <c r="H30" i="4"/>
  <c r="H19" i="4"/>
  <c r="I65" i="4"/>
  <c r="H65" i="4"/>
  <c r="I18" i="4"/>
  <c r="H18" i="4"/>
  <c r="H100" i="4"/>
  <c r="H91" i="4"/>
  <c r="I99" i="4"/>
  <c r="I81" i="4"/>
  <c r="I64" i="4"/>
  <c r="I46" i="4"/>
  <c r="I27" i="4"/>
  <c r="I66" i="4"/>
  <c r="H66" i="4"/>
  <c r="I48" i="4"/>
  <c r="H48" i="4"/>
  <c r="I47" i="4"/>
  <c r="H47" i="4"/>
  <c r="I80" i="4"/>
  <c r="I62" i="4"/>
  <c r="I44" i="4"/>
  <c r="I26" i="4"/>
  <c r="I45" i="4"/>
</calcChain>
</file>

<file path=xl/sharedStrings.xml><?xml version="1.0" encoding="utf-8"?>
<sst xmlns="http://schemas.openxmlformats.org/spreadsheetml/2006/main" count="420" uniqueCount="102">
  <si>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</si>
  <si>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</si>
  <si>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</si>
  <si>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</si>
  <si>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</si>
  <si>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</si>
  <si>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</si>
  <si>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</si>
  <si>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</si>
  <si>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</si>
  <si>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</si>
  <si>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</si>
  <si>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</si>
  <si>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</si>
  <si>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</si>
  <si>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</si>
  <si>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</si>
  <si>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</si>
  <si>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</si>
  <si>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</si>
  <si>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</si>
  <si>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</si>
  <si>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</si>
  <si>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</si>
  <si>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</si>
  <si>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</si>
  <si>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</si>
  <si>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</si>
  <si>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</si>
  <si>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</si>
  <si>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</si>
  <si>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</si>
  <si>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</si>
  <si>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</si>
  <si>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</si>
  <si>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</si>
  <si>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</si>
  <si>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</si>
  <si>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</si>
  <si>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</si>
  <si>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</si>
  <si>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</si>
  <si>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</si>
  <si>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</si>
  <si>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</si>
  <si>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</si>
  <si>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</si>
  <si>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</si>
  <si>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</si>
  <si>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</si>
  <si>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</si>
  <si>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</si>
  <si>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</si>
  <si>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</si>
  <si>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</si>
  <si>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</si>
  <si>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</si>
  <si>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</si>
  <si>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</si>
  <si>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</si>
  <si>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</si>
  <si>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Math (Q1, Mod. 1-12, 14-16,19) per module</t>
  </si>
  <si>
    <t>RO</t>
  </si>
  <si>
    <t>Math (Q4, Mod. 1.1,1.2,2.1,2.2,2.3,3.1,3.2,4,5.2) per module</t>
  </si>
  <si>
    <t>Filipino (Q1, Mod. 1-7; Q4 Mod. 1-10)) per module</t>
  </si>
  <si>
    <t>English (Q1, Mod. 1-5; Q4 Mod 1,2,4,4.1,5,6,7,9) per module</t>
  </si>
  <si>
    <t>Math (Q1, Mod. 1-15; Q4 Mod. 1-13) per module</t>
  </si>
  <si>
    <t>English (Q1 and Q4, Mod. 1-11) per module</t>
  </si>
  <si>
    <t>Filipino (Q1, Mod. 1-15; Q4 Mod. 1-8) per module</t>
  </si>
  <si>
    <t>PE</t>
  </si>
  <si>
    <t>Health</t>
  </si>
  <si>
    <t>Music</t>
  </si>
  <si>
    <t>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</si>
  <si>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</si>
  <si>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</si>
  <si>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</si>
  <si>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</si>
  <si>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</si>
  <si>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</si>
  <si>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</si>
  <si>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</si>
  <si>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</si>
  <si>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</si>
  <si>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</si>
  <si>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</si>
  <si>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</si>
  <si>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</si>
  <si>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</si>
  <si>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</si>
  <si>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</si>
  <si>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</si>
  <si>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</si>
  <si>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</si>
  <si>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</si>
  <si>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</si>
  <si>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</si>
  <si>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</si>
  <si>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</si>
  <si>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English (Q1 Mod. 1-3, Q3 Mod. 1-2)) per module</t>
  </si>
  <si>
    <t>Filipino (Q1Mod.1-15, Q3 Mod. 1-6) per module</t>
  </si>
  <si>
    <t>Math (Mod.1-11) per module</t>
  </si>
  <si>
    <t>Music and Arts (Q3 Mod. 1-2) per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</si>
</sst>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32" totalsRowShown="0" dataDxfId="59" headerRowBorderDxfId="57" tableBorderDxfId="58">
  <autoFilter ref="A2:AA132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18" totalsRowShown="0" dataDxfId="29" headerRowBorderDxfId="27" tableBorderDxfId="28">
  <autoFilter ref="A2:AA118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5" activePane="topRight" state="frozen"/>
      <selection pane="topRight" activeCell="D28" sqref="D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409</v>
      </c>
      <c r="D2" s="1">
        <v>455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46</v>
      </c>
    </row>
    <row r="3" spans="1:8" ht="29.25" customHeight="1">
      <c r="A3" s="1">
        <v>1</v>
      </c>
      <c r="B3" s="2" t="s">
        <v>10</v>
      </c>
      <c r="C3" s="1">
        <v>409</v>
      </c>
      <c r="D3" s="1">
        <v>0</v>
      </c>
      <c r="E3" s="1"/>
      <c r="F3" s="5"/>
      <c r="G3" s="3">
        <f>IF((C3-D3)&lt;0,0,C3-D3)</f>
        <v>409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409</v>
      </c>
      <c r="D4" s="1">
        <v>455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46</v>
      </c>
    </row>
    <row r="5" spans="1:8" ht="25.5" customHeight="1">
      <c r="A5" s="1">
        <v>1</v>
      </c>
      <c r="B5" s="2" t="s">
        <v>12</v>
      </c>
      <c r="C5" s="1">
        <v>409</v>
      </c>
      <c r="D5" s="1">
        <v>0</v>
      </c>
      <c r="E5" s="1"/>
      <c r="F5" s="5"/>
      <c r="G5" s="3">
        <f t="shared" ref="G5:G6" si="0">IF((C5-D5)&lt;0,0,C5-D5)</f>
        <v>409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409</v>
      </c>
      <c r="D6" s="1">
        <v>0</v>
      </c>
      <c r="E6" s="1"/>
      <c r="F6" s="5"/>
      <c r="G6" s="3">
        <f t="shared" si="0"/>
        <v>409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398</v>
      </c>
      <c r="D8" s="1">
        <v>0</v>
      </c>
      <c r="E8" s="1"/>
      <c r="F8" s="5"/>
      <c r="G8" s="3">
        <f>IF((C8-D8)&lt;0,0,C8-D8)</f>
        <v>398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398</v>
      </c>
      <c r="D9" s="1">
        <v>0</v>
      </c>
      <c r="E9" s="1"/>
      <c r="F9" s="5"/>
      <c r="G9" s="3">
        <f>IF((C9-D9)&lt;0,0,C9-D9)</f>
        <v>398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398</v>
      </c>
      <c r="D10" s="1">
        <v>0</v>
      </c>
      <c r="E10" s="1"/>
      <c r="F10" s="5"/>
      <c r="G10" s="3">
        <f>IF((C10-D10)&lt;0,0,C10-D10)</f>
        <v>398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398</v>
      </c>
      <c r="D11" s="1">
        <v>0</v>
      </c>
      <c r="E11" s="1"/>
      <c r="F11" s="5"/>
      <c r="G11" s="3">
        <f>IF((C11-D11)&lt;0,0,C11-D11)</f>
        <v>398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398</v>
      </c>
      <c r="D12" s="1">
        <v>0</v>
      </c>
      <c r="E12" s="1"/>
      <c r="F12" s="5"/>
      <c r="G12" s="3">
        <f>IF((C12-D12)&lt;0,0,C12-D12)</f>
        <v>398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392</v>
      </c>
      <c r="D14" s="1">
        <v>0</v>
      </c>
      <c r="E14" s="1"/>
      <c r="F14" s="5"/>
      <c r="G14" s="3">
        <f t="shared" ref="G14:G19" si="2">IF((C14-D14)&lt;0,0,C14-D14)</f>
        <v>392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392</v>
      </c>
      <c r="D15" s="1">
        <v>0</v>
      </c>
      <c r="E15" s="1"/>
      <c r="F15" s="5"/>
      <c r="G15" s="3">
        <f t="shared" si="2"/>
        <v>392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392</v>
      </c>
      <c r="D16" s="1">
        <v>0</v>
      </c>
      <c r="E16" s="1"/>
      <c r="F16" s="5"/>
      <c r="G16" s="3">
        <f t="shared" si="2"/>
        <v>392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392</v>
      </c>
      <c r="D17" s="1">
        <v>0</v>
      </c>
      <c r="E17" s="1"/>
      <c r="F17" s="5"/>
      <c r="G17" s="3">
        <f t="shared" si="2"/>
        <v>392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392</v>
      </c>
      <c r="D18" s="1">
        <v>0</v>
      </c>
      <c r="E18" s="1"/>
      <c r="F18" s="5"/>
      <c r="G18" s="3">
        <f t="shared" si="2"/>
        <v>392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392</v>
      </c>
      <c r="D19" s="1">
        <v>0</v>
      </c>
      <c r="E19" s="1"/>
      <c r="F19" s="5"/>
      <c r="G19" s="3">
        <f t="shared" si="2"/>
        <v>392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454</v>
      </c>
      <c r="D21" s="1">
        <v>0</v>
      </c>
      <c r="E21" s="1"/>
      <c r="F21" s="5"/>
      <c r="G21" s="3">
        <f t="shared" ref="G21:G29" si="4">IF((C21-D21)&lt;0,0,C21-D21)</f>
        <v>454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454</v>
      </c>
      <c r="D22" s="1">
        <v>536</v>
      </c>
      <c r="E22" s="1">
        <v>2024</v>
      </c>
      <c r="F22" s="5" t="s">
        <v>9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454</v>
      </c>
      <c r="D23" s="1">
        <v>536</v>
      </c>
      <c r="E23" s="1"/>
      <c r="F23" s="5" t="s">
        <v>9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454</v>
      </c>
      <c r="D24" s="1">
        <v>536</v>
      </c>
      <c r="E24" s="1">
        <v>2025</v>
      </c>
      <c r="F24" s="5" t="s">
        <v>9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17</v>
      </c>
      <c r="C25" s="1">
        <v>454</v>
      </c>
      <c r="D25" s="1">
        <v>536</v>
      </c>
      <c r="E25" s="1">
        <v>2024</v>
      </c>
      <c r="F25" s="5" t="s">
        <v>9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454</v>
      </c>
      <c r="D26" s="1">
        <v>536</v>
      </c>
      <c r="E26" s="1">
        <v>2024</v>
      </c>
      <c r="F26" s="5" t="s">
        <v>9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18</v>
      </c>
      <c r="C27" s="1">
        <v>454</v>
      </c>
      <c r="D27" s="1">
        <v>536</v>
      </c>
      <c r="E27" s="1">
        <v>2024</v>
      </c>
      <c r="F27" s="5" t="s">
        <v>9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19</v>
      </c>
      <c r="C28" s="1">
        <v>454</v>
      </c>
      <c r="D28" s="1"/>
      <c r="E28" s="1"/>
      <c r="F28" s="5"/>
      <c r="G28" s="3">
        <f t="shared" si="4"/>
        <v>454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454</v>
      </c>
      <c r="D29" s="1">
        <v>0</v>
      </c>
      <c r="E29" s="1"/>
      <c r="F29" s="5"/>
      <c r="G29" s="3">
        <f t="shared" si="4"/>
        <v>454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381</v>
      </c>
      <c r="D31" s="1">
        <v>0</v>
      </c>
      <c r="E31" s="1"/>
      <c r="F31" s="5"/>
      <c r="G31" s="3">
        <f t="shared" ref="G31:G39" si="6">IF((C31-D31)&lt;0,0,C31-D31)</f>
        <v>381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381</v>
      </c>
      <c r="D32" s="1">
        <v>0</v>
      </c>
      <c r="E32" s="1"/>
      <c r="F32" s="5"/>
      <c r="G32" s="3">
        <f t="shared" si="6"/>
        <v>381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381</v>
      </c>
      <c r="D33" s="1">
        <v>0</v>
      </c>
      <c r="E33" s="1"/>
      <c r="F33" s="5"/>
      <c r="G33" s="3">
        <f t="shared" si="6"/>
        <v>381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381</v>
      </c>
      <c r="D34" s="1">
        <v>0</v>
      </c>
      <c r="E34" s="1"/>
      <c r="F34" s="5"/>
      <c r="G34" s="3">
        <f t="shared" si="6"/>
        <v>381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381</v>
      </c>
      <c r="D35" s="1">
        <v>0</v>
      </c>
      <c r="E35" s="1"/>
      <c r="F35" s="5"/>
      <c r="G35" s="3">
        <f t="shared" si="6"/>
        <v>381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381</v>
      </c>
      <c r="D36" s="1">
        <v>0</v>
      </c>
      <c r="E36" s="1"/>
      <c r="F36" s="5"/>
      <c r="G36" s="3">
        <f t="shared" si="6"/>
        <v>381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381</v>
      </c>
      <c r="D37" s="1">
        <v>0</v>
      </c>
      <c r="E37" s="1"/>
      <c r="F37" s="5"/>
      <c r="G37" s="3">
        <f t="shared" si="6"/>
        <v>381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381</v>
      </c>
      <c r="D38" s="1">
        <v>0</v>
      </c>
      <c r="E38" s="1"/>
      <c r="F38" s="5"/>
      <c r="G38" s="3">
        <f t="shared" si="6"/>
        <v>381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381</v>
      </c>
      <c r="D39" s="1">
        <v>0</v>
      </c>
      <c r="E39" s="1"/>
      <c r="F39" s="5"/>
      <c r="G39" s="3">
        <f t="shared" si="6"/>
        <v>381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402</v>
      </c>
      <c r="D41" s="1">
        <v>0</v>
      </c>
      <c r="E41" s="1"/>
      <c r="F41" s="5"/>
      <c r="G41" s="3">
        <f t="shared" ref="G41:G49" si="8">IF((C41-D41)&lt;0,0,C41-D41)</f>
        <v>402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402</v>
      </c>
      <c r="D42" s="1">
        <v>0</v>
      </c>
      <c r="E42" s="1"/>
      <c r="F42" s="5"/>
      <c r="G42" s="3">
        <f t="shared" si="8"/>
        <v>402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402</v>
      </c>
      <c r="D43" s="1">
        <v>0</v>
      </c>
      <c r="E43" s="1"/>
      <c r="F43" s="5"/>
      <c r="G43" s="3">
        <f t="shared" si="8"/>
        <v>402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402</v>
      </c>
      <c r="D44" s="1">
        <v>0</v>
      </c>
      <c r="E44" s="1"/>
      <c r="F44" s="5"/>
      <c r="G44" s="3">
        <f t="shared" si="8"/>
        <v>402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402</v>
      </c>
      <c r="D45" s="1">
        <v>0</v>
      </c>
      <c r="E45" s="1"/>
      <c r="F45" s="5"/>
      <c r="G45" s="3">
        <f t="shared" si="8"/>
        <v>402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402</v>
      </c>
      <c r="D46" s="1">
        <v>0</v>
      </c>
      <c r="E46" s="1"/>
      <c r="F46" s="5"/>
      <c r="G46" s="3">
        <f t="shared" si="8"/>
        <v>402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402</v>
      </c>
      <c r="D47" s="1">
        <v>0</v>
      </c>
      <c r="E47" s="1"/>
      <c r="F47" s="5"/>
      <c r="G47" s="3">
        <f t="shared" si="8"/>
        <v>402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402</v>
      </c>
      <c r="D48" s="1">
        <v>0</v>
      </c>
      <c r="E48" s="1"/>
      <c r="F48" s="5"/>
      <c r="G48" s="3">
        <f t="shared" si="8"/>
        <v>402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402</v>
      </c>
      <c r="D49" s="1">
        <v>0</v>
      </c>
      <c r="E49" s="1"/>
      <c r="F49" s="5"/>
      <c r="G49" s="3">
        <f t="shared" si="8"/>
        <v>402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zoomScale="55" zoomScaleNormal="55" workbookViewId="0">
      <pane xSplit="2" topLeftCell="C109" activePane="topRight" state="frozen"/>
      <selection pane="topRight" activeCell="Y20" sqref="Y20"/>
    </sheetView>
  </sheetViews>
  <sheetFormatPr defaultRowHeight="13.9"/>
  <cols>
    <col min="1" max="1" width="9.42578125" hidden="1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27.75" customHeight="1">
      <c r="A3" s="1">
        <v>1</v>
      </c>
      <c r="B3" s="2" t="s">
        <v>8</v>
      </c>
      <c r="C3" s="1">
        <v>409</v>
      </c>
      <c r="D3" s="5">
        <f>Table14[[#This Row],[Enrolment S.Y. 2025-2026 ]]*8</f>
        <v>3272</v>
      </c>
      <c r="E3" s="5"/>
      <c r="F3" s="1"/>
      <c r="G3" s="5"/>
      <c r="H3" s="5">
        <f t="shared" ref="H3:H75" si="0">IF((D3-E3)&lt;0,0,(D3-E3))</f>
        <v>3272</v>
      </c>
      <c r="I3" s="5">
        <f t="shared" ref="I3:I75" si="1">IF((E3-D3)&lt;0,0,(E3-D3))</f>
        <v>0</v>
      </c>
      <c r="J3" s="5">
        <f>Table14[[#This Row],[Enrolment S.Y. 2025-2026 ]]*8</f>
        <v>3272</v>
      </c>
      <c r="K3" s="5"/>
      <c r="L3" s="1"/>
      <c r="M3" s="5"/>
      <c r="N3" s="5">
        <f t="shared" ref="N3:N62" si="2">IF((J3-K3)&lt;0,0,(J3-K3))</f>
        <v>3272</v>
      </c>
      <c r="O3" s="5">
        <f t="shared" ref="O3:O62" si="3">IF((K3-J3)&lt;0,0,(K3-J3))</f>
        <v>0</v>
      </c>
      <c r="P3" s="5">
        <f>Table14[[#This Row],[Enrolment S.Y. 2025-2026 ]]*8</f>
        <v>3272</v>
      </c>
      <c r="Q3" s="5"/>
      <c r="R3" s="1"/>
      <c r="S3" s="5"/>
      <c r="T3" s="5">
        <f t="shared" ref="T3:T64" si="4">IF((P3-Q3)&lt;0,0,(P3-Q3))</f>
        <v>3272</v>
      </c>
      <c r="U3" s="5">
        <f t="shared" ref="U3:U64" si="5">IF((Q3-P3)&lt;0,0,(Q3-P3))</f>
        <v>0</v>
      </c>
      <c r="V3" s="5">
        <f>Table14[[#This Row],[Enrolment S.Y. 2025-2026 ]]*8</f>
        <v>3272</v>
      </c>
      <c r="W3" s="5"/>
      <c r="X3" s="1"/>
      <c r="Y3" s="5"/>
      <c r="Z3" s="5">
        <f t="shared" ref="Z3:Z64" si="6">IF((V3-W3)&lt;0,0,(V3-W3))</f>
        <v>3272</v>
      </c>
      <c r="AA3" s="5">
        <f t="shared" ref="AA3:AA64" si="7">IF((W3-V3)&lt;0,0,(W3-V3))</f>
        <v>0</v>
      </c>
    </row>
    <row r="4" spans="1:27" ht="19.5">
      <c r="A4" s="1">
        <v>1</v>
      </c>
      <c r="B4" s="2" t="s">
        <v>10</v>
      </c>
      <c r="C4" s="1">
        <v>409</v>
      </c>
      <c r="D4" s="5">
        <f>Table14[[#This Row],[Enrolment S.Y. 2025-2026 ]]*8</f>
        <v>3272</v>
      </c>
      <c r="E4" s="5"/>
      <c r="F4" s="1"/>
      <c r="G4" s="5"/>
      <c r="H4" s="5">
        <f t="shared" si="0"/>
        <v>3272</v>
      </c>
      <c r="I4" s="5">
        <f t="shared" si="1"/>
        <v>0</v>
      </c>
      <c r="J4" s="5">
        <f>Table14[[#This Row],[Enrolment S.Y. 2025-2026 ]]*8</f>
        <v>3272</v>
      </c>
      <c r="K4" s="5"/>
      <c r="L4" s="1"/>
      <c r="M4" s="5"/>
      <c r="N4" s="5">
        <f t="shared" si="2"/>
        <v>3272</v>
      </c>
      <c r="O4" s="5">
        <f t="shared" si="3"/>
        <v>0</v>
      </c>
      <c r="P4" s="5">
        <f>Table14[[#This Row],[Enrolment S.Y. 2025-2026 ]]*8</f>
        <v>3272</v>
      </c>
      <c r="Q4" s="5"/>
      <c r="R4" s="1"/>
      <c r="S4" s="5"/>
      <c r="T4" s="5">
        <f t="shared" si="4"/>
        <v>3272</v>
      </c>
      <c r="U4" s="5">
        <f t="shared" si="5"/>
        <v>0</v>
      </c>
      <c r="V4" s="5">
        <f>Table14[[#This Row],[Enrolment S.Y. 2025-2026 ]]*8</f>
        <v>3272</v>
      </c>
      <c r="W4" s="5"/>
      <c r="X4" s="1"/>
      <c r="Y4" s="5"/>
      <c r="Z4" s="5">
        <f t="shared" si="6"/>
        <v>3272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409</v>
      </c>
      <c r="D5" s="5">
        <f>Table14[[#This Row],[Enrolment S.Y. 2025-2026 ]]*8</f>
        <v>3272</v>
      </c>
      <c r="E5" s="5"/>
      <c r="F5" s="1"/>
      <c r="G5" s="5"/>
      <c r="H5" s="5">
        <f t="shared" si="0"/>
        <v>3272</v>
      </c>
      <c r="I5" s="5">
        <f t="shared" si="1"/>
        <v>0</v>
      </c>
      <c r="J5" s="5">
        <f>Table14[[#This Row],[Enrolment S.Y. 2025-2026 ]]*8</f>
        <v>3272</v>
      </c>
      <c r="K5" s="5"/>
      <c r="L5" s="1"/>
      <c r="M5" s="5"/>
      <c r="N5" s="5">
        <f t="shared" si="2"/>
        <v>3272</v>
      </c>
      <c r="O5" s="5">
        <f t="shared" si="3"/>
        <v>0</v>
      </c>
      <c r="P5" s="5">
        <f>Table14[[#This Row],[Enrolment S.Y. 2025-2026 ]]*8</f>
        <v>3272</v>
      </c>
      <c r="Q5" s="5"/>
      <c r="R5" s="1"/>
      <c r="S5" s="5"/>
      <c r="T5" s="5">
        <f t="shared" si="4"/>
        <v>3272</v>
      </c>
      <c r="U5" s="5">
        <f t="shared" si="5"/>
        <v>0</v>
      </c>
      <c r="V5" s="5">
        <f>Table14[[#This Row],[Enrolment S.Y. 2025-2026 ]]*8</f>
        <v>3272</v>
      </c>
      <c r="W5" s="5"/>
      <c r="X5" s="1"/>
      <c r="Y5" s="5"/>
      <c r="Z5" s="5">
        <f t="shared" si="6"/>
        <v>3272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409</v>
      </c>
      <c r="D6" s="5">
        <f>Table14[[#This Row],[Enrolment S.Y. 2025-2026 ]]*8</f>
        <v>3272</v>
      </c>
      <c r="E6" s="5"/>
      <c r="F6" s="1"/>
      <c r="G6" s="5"/>
      <c r="H6" s="5">
        <f t="shared" si="0"/>
        <v>3272</v>
      </c>
      <c r="I6" s="5">
        <f t="shared" si="1"/>
        <v>0</v>
      </c>
      <c r="J6" s="5">
        <f>Table14[[#This Row],[Enrolment S.Y. 2025-2026 ]]*8</f>
        <v>3272</v>
      </c>
      <c r="K6" s="5"/>
      <c r="L6" s="1"/>
      <c r="M6" s="5"/>
      <c r="N6" s="5">
        <f t="shared" si="2"/>
        <v>3272</v>
      </c>
      <c r="O6" s="5">
        <f t="shared" si="3"/>
        <v>0</v>
      </c>
      <c r="P6" s="5">
        <f>Table14[[#This Row],[Enrolment S.Y. 2025-2026 ]]*8</f>
        <v>3272</v>
      </c>
      <c r="Q6" s="5"/>
      <c r="R6" s="1"/>
      <c r="S6" s="5"/>
      <c r="T6" s="5">
        <f t="shared" si="4"/>
        <v>3272</v>
      </c>
      <c r="U6" s="5">
        <f t="shared" si="5"/>
        <v>0</v>
      </c>
      <c r="V6" s="5">
        <f>Table14[[#This Row],[Enrolment S.Y. 2025-2026 ]]*8</f>
        <v>3272</v>
      </c>
      <c r="W6" s="5"/>
      <c r="X6" s="1"/>
      <c r="Y6" s="5"/>
      <c r="Z6" s="5">
        <f t="shared" si="6"/>
        <v>3272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409</v>
      </c>
      <c r="D7" s="5">
        <f>Table14[[#This Row],[Enrolment S.Y. 2025-2026 ]]*8</f>
        <v>3272</v>
      </c>
      <c r="E7" s="5"/>
      <c r="F7" s="1"/>
      <c r="G7" s="5"/>
      <c r="H7" s="5">
        <f t="shared" si="0"/>
        <v>3272</v>
      </c>
      <c r="I7" s="5">
        <f t="shared" si="1"/>
        <v>0</v>
      </c>
      <c r="J7" s="5">
        <f>Table14[[#This Row],[Enrolment S.Y. 2025-2026 ]]*8</f>
        <v>3272</v>
      </c>
      <c r="K7" s="5"/>
      <c r="L7" s="1"/>
      <c r="M7" s="5"/>
      <c r="N7" s="5">
        <f t="shared" si="2"/>
        <v>3272</v>
      </c>
      <c r="O7" s="5">
        <f t="shared" si="3"/>
        <v>0</v>
      </c>
      <c r="P7" s="5">
        <f>Table14[[#This Row],[Enrolment S.Y. 2025-2026 ]]*8</f>
        <v>3272</v>
      </c>
      <c r="Q7" s="5"/>
      <c r="R7" s="1"/>
      <c r="S7" s="5"/>
      <c r="T7" s="5">
        <f t="shared" si="4"/>
        <v>3272</v>
      </c>
      <c r="U7" s="5">
        <f t="shared" si="5"/>
        <v>0</v>
      </c>
      <c r="V7" s="5">
        <f>Table14[[#This Row],[Enrolment S.Y. 2025-2026 ]]*8</f>
        <v>3272</v>
      </c>
      <c r="W7" s="5"/>
      <c r="X7" s="1"/>
      <c r="Y7" s="5"/>
      <c r="Z7" s="5">
        <f t="shared" si="6"/>
        <v>3272</v>
      </c>
      <c r="AA7" s="5">
        <f t="shared" si="7"/>
        <v>0</v>
      </c>
    </row>
    <row r="8" spans="1:27" s="7" customFormat="1"/>
    <row r="9" spans="1:27" ht="19.5">
      <c r="A9" s="1">
        <v>2</v>
      </c>
      <c r="B9" s="2" t="s">
        <v>11</v>
      </c>
      <c r="C9" s="1">
        <v>398</v>
      </c>
      <c r="D9" s="5">
        <f>Table14[[#This Row],[Enrolment S.Y. 2025-2026 ]]*8</f>
        <v>3184</v>
      </c>
      <c r="E9" s="5"/>
      <c r="F9" s="1"/>
      <c r="G9" s="5"/>
      <c r="H9" s="5">
        <f t="shared" si="0"/>
        <v>3184</v>
      </c>
      <c r="I9" s="5">
        <f t="shared" si="1"/>
        <v>0</v>
      </c>
      <c r="J9" s="5">
        <f>Table14[[#This Row],[Enrolment S.Y. 2025-2026 ]]*8</f>
        <v>3184</v>
      </c>
      <c r="K9" s="5"/>
      <c r="L9" s="1"/>
      <c r="M9" s="5"/>
      <c r="N9" s="5">
        <f t="shared" si="2"/>
        <v>3184</v>
      </c>
      <c r="O9" s="5">
        <f t="shared" si="3"/>
        <v>0</v>
      </c>
      <c r="P9" s="5">
        <f>Table14[[#This Row],[Enrolment S.Y. 2025-2026 ]]*8</f>
        <v>3184</v>
      </c>
      <c r="Q9" s="5"/>
      <c r="R9" s="1"/>
      <c r="S9" s="5"/>
      <c r="T9" s="5">
        <f t="shared" si="4"/>
        <v>3184</v>
      </c>
      <c r="U9" s="5">
        <f t="shared" si="5"/>
        <v>0</v>
      </c>
      <c r="V9" s="5">
        <f>Table14[[#This Row],[Enrolment S.Y. 2025-2026 ]]*8</f>
        <v>3184</v>
      </c>
      <c r="W9" s="5"/>
      <c r="X9" s="1"/>
      <c r="Y9" s="5"/>
      <c r="Z9" s="5">
        <f t="shared" si="6"/>
        <v>3184</v>
      </c>
      <c r="AA9" s="5">
        <f t="shared" si="7"/>
        <v>0</v>
      </c>
    </row>
    <row r="10" spans="1:27" ht="19.5">
      <c r="A10" s="1">
        <v>2</v>
      </c>
      <c r="B10" s="2" t="s">
        <v>12</v>
      </c>
      <c r="C10" s="1">
        <v>398</v>
      </c>
      <c r="D10" s="5">
        <f>Table14[[#This Row],[Enrolment S.Y. 2025-2026 ]]*8</f>
        <v>3184</v>
      </c>
      <c r="E10" s="5"/>
      <c r="F10" s="1"/>
      <c r="G10" s="5"/>
      <c r="H10" s="5">
        <f t="shared" si="0"/>
        <v>3184</v>
      </c>
      <c r="I10" s="5">
        <f t="shared" si="1"/>
        <v>0</v>
      </c>
      <c r="J10" s="5">
        <f>Table14[[#This Row],[Enrolment S.Y. 2025-2026 ]]*8</f>
        <v>3184</v>
      </c>
      <c r="K10" s="5"/>
      <c r="L10" s="1"/>
      <c r="M10" s="5"/>
      <c r="N10" s="5">
        <f t="shared" si="2"/>
        <v>3184</v>
      </c>
      <c r="O10" s="5">
        <f t="shared" si="3"/>
        <v>0</v>
      </c>
      <c r="P10" s="5">
        <f>Table14[[#This Row],[Enrolment S.Y. 2025-2026 ]]*8</f>
        <v>3184</v>
      </c>
      <c r="Q10" s="5"/>
      <c r="R10" s="1"/>
      <c r="S10" s="5"/>
      <c r="T10" s="5">
        <f t="shared" si="4"/>
        <v>3184</v>
      </c>
      <c r="U10" s="5">
        <f t="shared" si="5"/>
        <v>0</v>
      </c>
      <c r="V10" s="5">
        <f>Table14[[#This Row],[Enrolment S.Y. 2025-2026 ]]*8</f>
        <v>3184</v>
      </c>
      <c r="W10" s="5"/>
      <c r="X10" s="1"/>
      <c r="Y10" s="5"/>
      <c r="Z10" s="5">
        <f t="shared" si="6"/>
        <v>3184</v>
      </c>
      <c r="AA10" s="5">
        <f t="shared" si="7"/>
        <v>0</v>
      </c>
    </row>
    <row r="11" spans="1:27" ht="57.75">
      <c r="A11" s="1">
        <v>2</v>
      </c>
      <c r="B11" s="2" t="s">
        <v>61</v>
      </c>
      <c r="C11" s="1">
        <v>398</v>
      </c>
      <c r="D11" s="5">
        <f>Table14[[#This Row],[Enrolment S.Y. 2025-2026 ]]*8</f>
        <v>3184</v>
      </c>
      <c r="E11" s="5">
        <v>460</v>
      </c>
      <c r="F11" s="1">
        <v>2024</v>
      </c>
      <c r="G11" s="5" t="s">
        <v>62</v>
      </c>
      <c r="H11" s="5">
        <f t="shared" si="0"/>
        <v>2724</v>
      </c>
      <c r="I11" s="5">
        <f t="shared" si="1"/>
        <v>0</v>
      </c>
      <c r="J11" s="5">
        <f>Table14[[#This Row],[Enrolment S.Y. 2025-2026 ]]*8</f>
        <v>3184</v>
      </c>
      <c r="K11" s="5"/>
      <c r="L11" s="1"/>
      <c r="M11" s="5"/>
      <c r="N11" s="5">
        <f t="shared" si="2"/>
        <v>3184</v>
      </c>
      <c r="O11" s="5">
        <f t="shared" si="3"/>
        <v>0</v>
      </c>
      <c r="P11" s="5">
        <f>Table14[[#This Row],[Enrolment S.Y. 2025-2026 ]]*8</f>
        <v>3184</v>
      </c>
      <c r="Q11" s="5"/>
      <c r="R11" s="1"/>
      <c r="S11" s="5"/>
      <c r="T11" s="5">
        <f t="shared" si="4"/>
        <v>3184</v>
      </c>
      <c r="U11" s="5">
        <f t="shared" si="5"/>
        <v>0</v>
      </c>
      <c r="V11" s="5">
        <f>Table14[[#This Row],[Enrolment S.Y. 2025-2026 ]]*8</f>
        <v>3184</v>
      </c>
      <c r="W11" s="5"/>
      <c r="X11" s="1"/>
      <c r="Y11" s="5"/>
      <c r="Z11" s="5">
        <f t="shared" si="6"/>
        <v>3184</v>
      </c>
      <c r="AA11" s="5">
        <f t="shared" si="7"/>
        <v>0</v>
      </c>
    </row>
    <row r="12" spans="1:27" ht="76.5">
      <c r="A12" s="1">
        <v>2</v>
      </c>
      <c r="B12" s="2" t="s">
        <v>63</v>
      </c>
      <c r="C12" s="1">
        <v>398</v>
      </c>
      <c r="D12" s="5">
        <f>Table14[[#This Row],[Enrolment S.Y. 2025-2026 ]]*8</f>
        <v>3184</v>
      </c>
      <c r="E12" s="5"/>
      <c r="F12" s="1"/>
      <c r="G12" s="5"/>
      <c r="H12" s="5">
        <f t="shared" ref="H12" si="8">IF((D12-E12)&lt;0,0,(D12-E12))</f>
        <v>3184</v>
      </c>
      <c r="I12" s="5">
        <f t="shared" ref="I12" si="9">IF((E12-D12)&lt;0,0,(E12-D12))</f>
        <v>0</v>
      </c>
      <c r="J12" s="5">
        <f>Table14[[#This Row],[Enrolment S.Y. 2025-2026 ]]*8</f>
        <v>3184</v>
      </c>
      <c r="K12" s="5"/>
      <c r="L12" s="1"/>
      <c r="M12" s="5"/>
      <c r="N12" s="5">
        <f t="shared" ref="N12" si="10">IF((J12-K12)&lt;0,0,(J12-K12))</f>
        <v>3184</v>
      </c>
      <c r="O12" s="5">
        <f t="shared" ref="O12" si="11">IF((K12-J12)&lt;0,0,(K12-J12))</f>
        <v>0</v>
      </c>
      <c r="P12" s="5">
        <f>Table14[[#This Row],[Enrolment S.Y. 2025-2026 ]]*8</f>
        <v>3184</v>
      </c>
      <c r="Q12" s="5"/>
      <c r="R12" s="1"/>
      <c r="S12" s="5"/>
      <c r="T12" s="5">
        <f t="shared" ref="T12" si="12">IF((P12-Q12)&lt;0,0,(P12-Q12))</f>
        <v>3184</v>
      </c>
      <c r="U12" s="5">
        <f t="shared" ref="U12" si="13">IF((Q12-P12)&lt;0,0,(Q12-P12))</f>
        <v>0</v>
      </c>
      <c r="V12" s="5">
        <f>Table14[[#This Row],[Enrolment S.Y. 2025-2026 ]]*8</f>
        <v>3184</v>
      </c>
      <c r="W12" s="5">
        <v>52</v>
      </c>
      <c r="X12" s="1">
        <v>2025</v>
      </c>
      <c r="Y12" s="5" t="s">
        <v>62</v>
      </c>
      <c r="Z12" s="5">
        <f t="shared" ref="Z12" si="14">IF((V12-W12)&lt;0,0,(V12-W12))</f>
        <v>3132</v>
      </c>
      <c r="AA12" s="5">
        <f t="shared" ref="AA12" si="15">IF((W12-V12)&lt;0,0,(W12-V12))</f>
        <v>0</v>
      </c>
    </row>
    <row r="13" spans="1:27" ht="57.75">
      <c r="A13" s="1">
        <v>2</v>
      </c>
      <c r="B13" s="9" t="s">
        <v>64</v>
      </c>
      <c r="C13" s="1">
        <v>398</v>
      </c>
      <c r="D13" s="5">
        <f>Table14[[#This Row],[Enrolment S.Y. 2025-2026 ]]*8</f>
        <v>3184</v>
      </c>
      <c r="E13" s="5">
        <v>460</v>
      </c>
      <c r="F13" s="1">
        <v>2024</v>
      </c>
      <c r="G13" s="5" t="s">
        <v>62</v>
      </c>
      <c r="H13" s="5">
        <f>IF((D13-E13)&lt;0,0,(D13-E13))</f>
        <v>2724</v>
      </c>
      <c r="I13" s="5">
        <f>IF((E13-D13)&lt;0,0,(E13-D13))</f>
        <v>0</v>
      </c>
      <c r="J13" s="5">
        <f>Table14[[#This Row],[Enrolment S.Y. 2025-2026 ]]*8</f>
        <v>3184</v>
      </c>
      <c r="K13" s="5"/>
      <c r="L13" s="1"/>
      <c r="M13" s="5"/>
      <c r="N13" s="5">
        <f t="shared" si="2"/>
        <v>3184</v>
      </c>
      <c r="O13" s="5">
        <f t="shared" si="3"/>
        <v>0</v>
      </c>
      <c r="P13" s="5">
        <f>Table14[[#This Row],[Enrolment S.Y. 2025-2026 ]]*8</f>
        <v>3184</v>
      </c>
      <c r="Q13" s="5"/>
      <c r="R13" s="1"/>
      <c r="S13" s="5"/>
      <c r="T13" s="5">
        <f t="shared" si="4"/>
        <v>3184</v>
      </c>
      <c r="U13" s="5">
        <f t="shared" si="5"/>
        <v>0</v>
      </c>
      <c r="V13" s="5">
        <f>Table14[[#This Row],[Enrolment S.Y. 2025-2026 ]]*8</f>
        <v>3184</v>
      </c>
      <c r="W13" s="5">
        <v>52</v>
      </c>
      <c r="X13" s="1">
        <v>2025</v>
      </c>
      <c r="Y13" s="5" t="s">
        <v>62</v>
      </c>
      <c r="Z13" s="5">
        <f t="shared" si="6"/>
        <v>3132</v>
      </c>
      <c r="AA13" s="5">
        <f t="shared" si="7"/>
        <v>0</v>
      </c>
    </row>
    <row r="14" spans="1:27" ht="76.5">
      <c r="A14" s="1">
        <v>2</v>
      </c>
      <c r="B14" s="9" t="s">
        <v>65</v>
      </c>
      <c r="C14" s="1">
        <v>398</v>
      </c>
      <c r="D14" s="5">
        <f>Table14[[#This Row],[Enrolment S.Y. 2025-2026 ]]*8</f>
        <v>3184</v>
      </c>
      <c r="E14" s="5">
        <v>460</v>
      </c>
      <c r="F14" s="1">
        <v>2024</v>
      </c>
      <c r="G14" s="5" t="s">
        <v>62</v>
      </c>
      <c r="H14" s="5">
        <f>IF((D14-E14)&lt;0,0,(D14-E14))</f>
        <v>2724</v>
      </c>
      <c r="I14" s="5">
        <f>IF((E14-D14)&lt;0,0,(E14-D14))</f>
        <v>0</v>
      </c>
      <c r="J14" s="5">
        <f>Table14[[#This Row],[Enrolment S.Y. 2025-2026 ]]*8</f>
        <v>3184</v>
      </c>
      <c r="K14" s="5"/>
      <c r="L14" s="1"/>
      <c r="M14" s="5"/>
      <c r="N14" s="5">
        <f t="shared" si="2"/>
        <v>3184</v>
      </c>
      <c r="O14" s="5">
        <f t="shared" si="3"/>
        <v>0</v>
      </c>
      <c r="P14" s="5">
        <f>Table14[[#This Row],[Enrolment S.Y. 2025-2026 ]]*8</f>
        <v>3184</v>
      </c>
      <c r="Q14" s="5"/>
      <c r="R14" s="1"/>
      <c r="S14" s="5"/>
      <c r="T14" s="5">
        <f t="shared" si="4"/>
        <v>3184</v>
      </c>
      <c r="U14" s="5">
        <f t="shared" si="5"/>
        <v>0</v>
      </c>
      <c r="V14" s="5">
        <f>Table14[[#This Row],[Enrolment S.Y. 2025-2026 ]]*8</f>
        <v>3184</v>
      </c>
      <c r="W14" s="5">
        <v>52</v>
      </c>
      <c r="X14" s="1">
        <v>2025</v>
      </c>
      <c r="Y14" s="5" t="s">
        <v>62</v>
      </c>
      <c r="Z14" s="5">
        <f t="shared" si="6"/>
        <v>3132</v>
      </c>
      <c r="AA14" s="5">
        <f t="shared" si="7"/>
        <v>0</v>
      </c>
    </row>
    <row r="15" spans="1:27" s="7" customFormat="1"/>
    <row r="16" spans="1:27" ht="19.5">
      <c r="A16" s="1">
        <v>3</v>
      </c>
      <c r="B16" s="2" t="s">
        <v>11</v>
      </c>
      <c r="C16" s="1">
        <v>392</v>
      </c>
      <c r="D16" s="5">
        <f>Table14[[#This Row],[Enrolment S.Y. 2025-2026 ]]*8</f>
        <v>3136</v>
      </c>
      <c r="E16" s="5"/>
      <c r="F16" s="1"/>
      <c r="G16" s="5"/>
      <c r="H16" s="5">
        <f t="shared" si="0"/>
        <v>3136</v>
      </c>
      <c r="I16" s="5">
        <f t="shared" si="1"/>
        <v>0</v>
      </c>
      <c r="J16" s="5">
        <f>Table14[[#This Row],[Enrolment S.Y. 2025-2026 ]]*8</f>
        <v>3136</v>
      </c>
      <c r="K16" s="5"/>
      <c r="L16" s="1"/>
      <c r="M16" s="5"/>
      <c r="N16" s="5">
        <f t="shared" si="2"/>
        <v>3136</v>
      </c>
      <c r="O16" s="5">
        <f t="shared" si="3"/>
        <v>0</v>
      </c>
      <c r="P16" s="5">
        <f>Table14[[#This Row],[Enrolment S.Y. 2025-2026 ]]*8</f>
        <v>3136</v>
      </c>
      <c r="Q16" s="5"/>
      <c r="R16" s="1"/>
      <c r="S16" s="5"/>
      <c r="T16" s="5">
        <f t="shared" si="4"/>
        <v>3136</v>
      </c>
      <c r="U16" s="5">
        <f t="shared" si="5"/>
        <v>0</v>
      </c>
      <c r="V16" s="5">
        <f>Table14[[#This Row],[Enrolment S.Y. 2025-2026 ]]*8</f>
        <v>3136</v>
      </c>
      <c r="W16" s="5"/>
      <c r="X16" s="1"/>
      <c r="Y16" s="5"/>
      <c r="Z16" s="5">
        <f t="shared" si="6"/>
        <v>3136</v>
      </c>
      <c r="AA16" s="5">
        <f t="shared" si="7"/>
        <v>0</v>
      </c>
    </row>
    <row r="17" spans="1:27" ht="19.5">
      <c r="A17" s="1">
        <v>3</v>
      </c>
      <c r="B17" s="2" t="s">
        <v>14</v>
      </c>
      <c r="C17" s="1">
        <v>392</v>
      </c>
      <c r="D17" s="5">
        <f>Table14[[#This Row],[Enrolment S.Y. 2025-2026 ]]*8</f>
        <v>3136</v>
      </c>
      <c r="E17" s="5"/>
      <c r="F17" s="1"/>
      <c r="G17" s="5"/>
      <c r="H17" s="5">
        <f t="shared" si="0"/>
        <v>3136</v>
      </c>
      <c r="I17" s="5">
        <f t="shared" si="1"/>
        <v>0</v>
      </c>
      <c r="J17" s="5">
        <f>Table14[[#This Row],[Enrolment S.Y. 2025-2026 ]]*8</f>
        <v>3136</v>
      </c>
      <c r="K17" s="5"/>
      <c r="L17" s="1"/>
      <c r="M17" s="5"/>
      <c r="N17" s="5">
        <f t="shared" si="2"/>
        <v>3136</v>
      </c>
      <c r="O17" s="5">
        <f t="shared" si="3"/>
        <v>0</v>
      </c>
      <c r="P17" s="5">
        <f>Table14[[#This Row],[Enrolment S.Y. 2025-2026 ]]*8</f>
        <v>3136</v>
      </c>
      <c r="Q17" s="5"/>
      <c r="R17" s="1"/>
      <c r="S17" s="5"/>
      <c r="T17" s="5">
        <f t="shared" si="4"/>
        <v>3136</v>
      </c>
      <c r="U17" s="5">
        <f t="shared" si="5"/>
        <v>0</v>
      </c>
      <c r="V17" s="5">
        <f>Table14[[#This Row],[Enrolment S.Y. 2025-2026 ]]*8</f>
        <v>3136</v>
      </c>
      <c r="W17" s="5"/>
      <c r="X17" s="1"/>
      <c r="Y17" s="5"/>
      <c r="Z17" s="5">
        <f t="shared" si="6"/>
        <v>3136</v>
      </c>
      <c r="AA17" s="5">
        <f t="shared" si="7"/>
        <v>0</v>
      </c>
    </row>
    <row r="18" spans="1:27" ht="19.5">
      <c r="A18" s="1">
        <v>3</v>
      </c>
      <c r="B18" s="2" t="s">
        <v>12</v>
      </c>
      <c r="C18" s="1">
        <v>392</v>
      </c>
      <c r="D18" s="5">
        <f>Table14[[#This Row],[Enrolment S.Y. 2025-2026 ]]*8</f>
        <v>3136</v>
      </c>
      <c r="E18" s="5">
        <v>387</v>
      </c>
      <c r="F18" s="1">
        <v>2024</v>
      </c>
      <c r="G18" s="5" t="s">
        <v>62</v>
      </c>
      <c r="H18" s="5">
        <f t="shared" si="0"/>
        <v>2749</v>
      </c>
      <c r="I18" s="5">
        <f t="shared" si="1"/>
        <v>0</v>
      </c>
      <c r="J18" s="5">
        <f>Table14[[#This Row],[Enrolment S.Y. 2025-2026 ]]*8</f>
        <v>3136</v>
      </c>
      <c r="K18" s="5">
        <v>387</v>
      </c>
      <c r="L18" s="1">
        <v>2024</v>
      </c>
      <c r="M18" s="5" t="s">
        <v>62</v>
      </c>
      <c r="N18" s="5">
        <f t="shared" si="2"/>
        <v>2749</v>
      </c>
      <c r="O18" s="5">
        <f t="shared" si="3"/>
        <v>0</v>
      </c>
      <c r="P18" s="5">
        <f>Table14[[#This Row],[Enrolment S.Y. 2025-2026 ]]*8</f>
        <v>3136</v>
      </c>
      <c r="Q18" s="5">
        <v>387</v>
      </c>
      <c r="R18" s="1">
        <v>2024</v>
      </c>
      <c r="S18" s="5" t="s">
        <v>62</v>
      </c>
      <c r="T18" s="5">
        <f t="shared" si="4"/>
        <v>2749</v>
      </c>
      <c r="U18" s="5">
        <f t="shared" si="5"/>
        <v>0</v>
      </c>
      <c r="V18" s="5">
        <f>Table14[[#This Row],[Enrolment S.Y. 2025-2026 ]]*8</f>
        <v>3136</v>
      </c>
      <c r="W18" s="5"/>
      <c r="X18" s="1"/>
      <c r="Y18" s="5"/>
      <c r="Z18" s="5">
        <f t="shared" si="6"/>
        <v>3136</v>
      </c>
      <c r="AA18" s="5">
        <f t="shared" si="7"/>
        <v>0</v>
      </c>
    </row>
    <row r="19" spans="1:27" ht="57.75">
      <c r="A19" s="1">
        <v>3</v>
      </c>
      <c r="B19" s="2" t="s">
        <v>66</v>
      </c>
      <c r="C19" s="1">
        <v>392</v>
      </c>
      <c r="D19" s="5">
        <f>Table14[[#This Row],[Enrolment S.Y. 2025-2026 ]]*8</f>
        <v>3136</v>
      </c>
      <c r="E19" s="5">
        <v>387</v>
      </c>
      <c r="F19" s="1">
        <v>2024</v>
      </c>
      <c r="G19" s="5" t="s">
        <v>62</v>
      </c>
      <c r="H19" s="5">
        <f t="shared" si="0"/>
        <v>2749</v>
      </c>
      <c r="I19" s="5">
        <f t="shared" si="1"/>
        <v>0</v>
      </c>
      <c r="J19" s="5">
        <f>Table14[[#This Row],[Enrolment S.Y. 2025-2026 ]]*8</f>
        <v>3136</v>
      </c>
      <c r="K19" s="5"/>
      <c r="L19" s="1"/>
      <c r="M19" s="5"/>
      <c r="N19" s="5">
        <f t="shared" si="2"/>
        <v>3136</v>
      </c>
      <c r="O19" s="5">
        <f t="shared" si="3"/>
        <v>0</v>
      </c>
      <c r="P19" s="5">
        <f>Table14[[#This Row],[Enrolment S.Y. 2025-2026 ]]*8</f>
        <v>3136</v>
      </c>
      <c r="Q19" s="5"/>
      <c r="R19" s="1"/>
      <c r="S19" s="5"/>
      <c r="T19" s="5">
        <f t="shared" si="4"/>
        <v>3136</v>
      </c>
      <c r="U19" s="5">
        <f t="shared" si="5"/>
        <v>0</v>
      </c>
      <c r="V19" s="5">
        <f>Table14[[#This Row],[Enrolment S.Y. 2025-2026 ]]*8</f>
        <v>3136</v>
      </c>
      <c r="W19" s="5">
        <v>57</v>
      </c>
      <c r="X19" s="1">
        <v>2025</v>
      </c>
      <c r="Y19" s="5" t="s">
        <v>62</v>
      </c>
      <c r="Z19" s="5">
        <f t="shared" si="6"/>
        <v>3079</v>
      </c>
      <c r="AA19" s="5">
        <f t="shared" si="7"/>
        <v>0</v>
      </c>
    </row>
    <row r="20" spans="1:27" ht="57.75">
      <c r="A20" s="1">
        <v>3</v>
      </c>
      <c r="B20" s="9" t="s">
        <v>67</v>
      </c>
      <c r="C20" s="1">
        <v>392</v>
      </c>
      <c r="D20" s="5">
        <f>Table14[[#This Row],[Enrolment S.Y. 2025-2026 ]]*8</f>
        <v>3136</v>
      </c>
      <c r="E20" s="5">
        <v>387</v>
      </c>
      <c r="F20" s="1">
        <v>2024</v>
      </c>
      <c r="G20" s="5" t="s">
        <v>62</v>
      </c>
      <c r="H20" s="5">
        <f>IF((D20-E20)&lt;0,0,(D20-E20))</f>
        <v>2749</v>
      </c>
      <c r="I20" s="5">
        <f>IF((E20-D20)&lt;0,0,(E20-D20))</f>
        <v>0</v>
      </c>
      <c r="J20" s="5">
        <f>Table14[[#This Row],[Enrolment S.Y. 2025-2026 ]]*8</f>
        <v>3136</v>
      </c>
      <c r="K20" s="5"/>
      <c r="L20" s="1"/>
      <c r="M20" s="5"/>
      <c r="N20" s="5">
        <f t="shared" si="2"/>
        <v>3136</v>
      </c>
      <c r="O20" s="5">
        <f t="shared" si="3"/>
        <v>0</v>
      </c>
      <c r="P20" s="5">
        <f>Table14[[#This Row],[Enrolment S.Y. 2025-2026 ]]*8</f>
        <v>3136</v>
      </c>
      <c r="Q20" s="5"/>
      <c r="R20" s="1"/>
      <c r="S20" s="5"/>
      <c r="T20" s="5">
        <f t="shared" si="4"/>
        <v>3136</v>
      </c>
      <c r="U20" s="5">
        <f t="shared" si="5"/>
        <v>0</v>
      </c>
      <c r="V20" s="5">
        <f>Table14[[#This Row],[Enrolment S.Y. 2025-2026 ]]*8</f>
        <v>3136</v>
      </c>
      <c r="W20" s="5">
        <v>57</v>
      </c>
      <c r="X20" s="1">
        <v>2025</v>
      </c>
      <c r="Y20" s="5" t="s">
        <v>62</v>
      </c>
      <c r="Z20" s="5">
        <f t="shared" si="6"/>
        <v>3079</v>
      </c>
      <c r="AA20" s="5">
        <f t="shared" si="7"/>
        <v>0</v>
      </c>
    </row>
    <row r="21" spans="1:27" ht="57.75">
      <c r="A21" s="1">
        <v>3</v>
      </c>
      <c r="B21" s="9" t="s">
        <v>68</v>
      </c>
      <c r="C21" s="1">
        <v>392</v>
      </c>
      <c r="D21" s="5">
        <f>Table14[[#This Row],[Enrolment S.Y. 2025-2026 ]]*8</f>
        <v>3136</v>
      </c>
      <c r="E21" s="5">
        <v>387</v>
      </c>
      <c r="F21" s="1">
        <v>2024</v>
      </c>
      <c r="G21" s="5" t="s">
        <v>62</v>
      </c>
      <c r="H21" s="5">
        <f>IF((D21-E21)&lt;0,0,(D21-E21))</f>
        <v>2749</v>
      </c>
      <c r="I21" s="5">
        <f>IF((E21-D21)&lt;0,0,(E21-D21))</f>
        <v>0</v>
      </c>
      <c r="J21" s="5">
        <f>Table14[[#This Row],[Enrolment S.Y. 2025-2026 ]]*8</f>
        <v>3136</v>
      </c>
      <c r="K21" s="5"/>
      <c r="L21" s="1"/>
      <c r="M21" s="5"/>
      <c r="N21" s="5">
        <f t="shared" si="2"/>
        <v>3136</v>
      </c>
      <c r="O21" s="5">
        <f t="shared" si="3"/>
        <v>0</v>
      </c>
      <c r="P21" s="5">
        <f>Table14[[#This Row],[Enrolment S.Y. 2025-2026 ]]*8</f>
        <v>3136</v>
      </c>
      <c r="Q21" s="5"/>
      <c r="R21" s="1"/>
      <c r="S21" s="5"/>
      <c r="T21" s="5">
        <f t="shared" si="4"/>
        <v>3136</v>
      </c>
      <c r="U21" s="5">
        <f t="shared" si="5"/>
        <v>0</v>
      </c>
      <c r="V21" s="5">
        <f>Table14[[#This Row],[Enrolment S.Y. 2025-2026 ]]*8</f>
        <v>3136</v>
      </c>
      <c r="W21" s="5">
        <v>57</v>
      </c>
      <c r="X21" s="1">
        <v>2025</v>
      </c>
      <c r="Y21" s="5" t="s">
        <v>62</v>
      </c>
      <c r="Z21" s="5">
        <f t="shared" si="6"/>
        <v>3079</v>
      </c>
      <c r="AA21" s="5">
        <f t="shared" si="7"/>
        <v>0</v>
      </c>
    </row>
    <row r="22" spans="1:27" s="7" customFormat="1"/>
    <row r="23" spans="1:27" ht="19.5">
      <c r="A23" s="1">
        <v>4</v>
      </c>
      <c r="B23" s="9" t="s">
        <v>15</v>
      </c>
      <c r="C23" s="1">
        <v>454</v>
      </c>
      <c r="D23" s="5">
        <f>Table14[[#This Row],[Enrolment S.Y. 2025-2026 ]]*8</f>
        <v>3632</v>
      </c>
      <c r="E23" s="5"/>
      <c r="F23" s="1"/>
      <c r="G23" s="5"/>
      <c r="H23" s="5">
        <f t="shared" si="0"/>
        <v>3632</v>
      </c>
      <c r="I23" s="5">
        <f t="shared" si="1"/>
        <v>0</v>
      </c>
      <c r="J23" s="5">
        <f>Table14[[#This Row],[Enrolment S.Y. 2025-2026 ]]*8</f>
        <v>3632</v>
      </c>
      <c r="K23" s="5"/>
      <c r="L23" s="1"/>
      <c r="M23" s="5"/>
      <c r="N23" s="5">
        <f t="shared" si="2"/>
        <v>3632</v>
      </c>
      <c r="O23" s="5">
        <f t="shared" si="3"/>
        <v>0</v>
      </c>
      <c r="P23" s="5">
        <f>Table14[[#This Row],[Enrolment S.Y. 2025-2026 ]]*8</f>
        <v>3632</v>
      </c>
      <c r="Q23" s="5"/>
      <c r="R23" s="1"/>
      <c r="S23" s="5"/>
      <c r="T23" s="5">
        <f t="shared" si="4"/>
        <v>3632</v>
      </c>
      <c r="U23" s="5">
        <f t="shared" si="5"/>
        <v>0</v>
      </c>
      <c r="V23" s="5">
        <f>Table14[[#This Row],[Enrolment S.Y. 2025-2026 ]]*8</f>
        <v>3632</v>
      </c>
      <c r="W23" s="5"/>
      <c r="X23" s="1"/>
      <c r="Y23" s="5"/>
      <c r="Z23" s="5">
        <f t="shared" si="6"/>
        <v>3632</v>
      </c>
      <c r="AA23" s="5">
        <f t="shared" si="7"/>
        <v>0</v>
      </c>
    </row>
    <row r="24" spans="1:27" ht="19.5">
      <c r="A24" s="1">
        <v>4</v>
      </c>
      <c r="B24" s="9" t="s">
        <v>16</v>
      </c>
      <c r="C24" s="1">
        <v>454</v>
      </c>
      <c r="D24" s="5">
        <f>Table14[[#This Row],[Enrolment S.Y. 2025-2026 ]]*8</f>
        <v>3632</v>
      </c>
      <c r="E24" s="5"/>
      <c r="F24" s="1"/>
      <c r="G24" s="5"/>
      <c r="H24" s="5">
        <f t="shared" si="0"/>
        <v>3632</v>
      </c>
      <c r="I24" s="5">
        <f t="shared" si="1"/>
        <v>0</v>
      </c>
      <c r="J24" s="5">
        <f>Table14[[#This Row],[Enrolment S.Y. 2025-2026 ]]*8</f>
        <v>3632</v>
      </c>
      <c r="K24" s="5"/>
      <c r="L24" s="1"/>
      <c r="M24" s="5"/>
      <c r="N24" s="5">
        <f t="shared" si="2"/>
        <v>3632</v>
      </c>
      <c r="O24" s="5">
        <f t="shared" si="3"/>
        <v>0</v>
      </c>
      <c r="P24" s="5">
        <f>Table14[[#This Row],[Enrolment S.Y. 2025-2026 ]]*8</f>
        <v>3632</v>
      </c>
      <c r="Q24" s="5"/>
      <c r="R24" s="1"/>
      <c r="S24" s="5"/>
      <c r="T24" s="5">
        <f t="shared" si="4"/>
        <v>3632</v>
      </c>
      <c r="U24" s="5">
        <f t="shared" si="5"/>
        <v>0</v>
      </c>
      <c r="V24" s="5">
        <f>Table14[[#This Row],[Enrolment S.Y. 2025-2026 ]]*8</f>
        <v>3632</v>
      </c>
      <c r="W24" s="5"/>
      <c r="X24" s="1"/>
      <c r="Y24" s="5"/>
      <c r="Z24" s="5">
        <f t="shared" si="6"/>
        <v>3632</v>
      </c>
      <c r="AA24" s="5">
        <f t="shared" si="7"/>
        <v>0</v>
      </c>
    </row>
    <row r="25" spans="1:27" ht="19.5">
      <c r="A25" s="1">
        <v>4</v>
      </c>
      <c r="B25" s="9" t="s">
        <v>13</v>
      </c>
      <c r="C25" s="1">
        <v>454</v>
      </c>
      <c r="D25" s="5">
        <f>Table14[[#This Row],[Enrolment S.Y. 2025-2026 ]]*8</f>
        <v>3632</v>
      </c>
      <c r="E25" s="5"/>
      <c r="F25" s="1"/>
      <c r="G25" s="5"/>
      <c r="H25" s="5">
        <f t="shared" si="0"/>
        <v>3632</v>
      </c>
      <c r="I25" s="5">
        <f t="shared" si="1"/>
        <v>0</v>
      </c>
      <c r="J25" s="5">
        <f>Table14[[#This Row],[Enrolment S.Y. 2025-2026 ]]*8</f>
        <v>3632</v>
      </c>
      <c r="K25" s="5"/>
      <c r="L25" s="1"/>
      <c r="M25" s="5"/>
      <c r="N25" s="5">
        <f t="shared" si="2"/>
        <v>3632</v>
      </c>
      <c r="O25" s="5">
        <f t="shared" si="3"/>
        <v>0</v>
      </c>
      <c r="P25" s="5">
        <f>Table14[[#This Row],[Enrolment S.Y. 2025-2026 ]]*8</f>
        <v>3632</v>
      </c>
      <c r="Q25" s="5"/>
      <c r="R25" s="1"/>
      <c r="S25" s="5"/>
      <c r="T25" s="5">
        <f t="shared" si="4"/>
        <v>3632</v>
      </c>
      <c r="U25" s="5">
        <f t="shared" si="5"/>
        <v>0</v>
      </c>
      <c r="V25" s="5">
        <f>Table14[[#This Row],[Enrolment S.Y. 2025-2026 ]]*8</f>
        <v>3632</v>
      </c>
      <c r="W25" s="5"/>
      <c r="X25" s="1"/>
      <c r="Y25" s="5"/>
      <c r="Z25" s="5">
        <f t="shared" si="6"/>
        <v>3632</v>
      </c>
      <c r="AA25" s="5">
        <f t="shared" si="7"/>
        <v>0</v>
      </c>
    </row>
    <row r="26" spans="1:27" ht="19.5">
      <c r="A26" s="1">
        <v>4</v>
      </c>
      <c r="B26" s="9" t="s">
        <v>11</v>
      </c>
      <c r="C26" s="1">
        <v>454</v>
      </c>
      <c r="D26" s="5">
        <f>Table14[[#This Row],[Enrolment S.Y. 2025-2026 ]]*8</f>
        <v>3632</v>
      </c>
      <c r="E26" s="5"/>
      <c r="F26" s="1"/>
      <c r="G26" s="5"/>
      <c r="H26" s="5">
        <f t="shared" si="0"/>
        <v>3632</v>
      </c>
      <c r="I26" s="5">
        <f t="shared" si="1"/>
        <v>0</v>
      </c>
      <c r="J26" s="5">
        <f>Table14[[#This Row],[Enrolment S.Y. 2025-2026 ]]*8</f>
        <v>3632</v>
      </c>
      <c r="K26" s="5"/>
      <c r="L26" s="1"/>
      <c r="M26" s="5"/>
      <c r="N26" s="5">
        <f t="shared" si="2"/>
        <v>3632</v>
      </c>
      <c r="O26" s="5">
        <f t="shared" si="3"/>
        <v>0</v>
      </c>
      <c r="P26" s="5">
        <f>Table14[[#This Row],[Enrolment S.Y. 2025-2026 ]]*8</f>
        <v>3632</v>
      </c>
      <c r="Q26" s="5"/>
      <c r="R26" s="1"/>
      <c r="S26" s="5"/>
      <c r="T26" s="5">
        <f t="shared" si="4"/>
        <v>3632</v>
      </c>
      <c r="U26" s="5">
        <f t="shared" si="5"/>
        <v>0</v>
      </c>
      <c r="V26" s="5">
        <f>Table14[[#This Row],[Enrolment S.Y. 2025-2026 ]]*8</f>
        <v>3632</v>
      </c>
      <c r="W26" s="5"/>
      <c r="X26" s="1"/>
      <c r="Y26" s="5"/>
      <c r="Z26" s="5">
        <f t="shared" si="6"/>
        <v>3632</v>
      </c>
      <c r="AA26" s="5">
        <f t="shared" si="7"/>
        <v>0</v>
      </c>
    </row>
    <row r="27" spans="1:27" ht="38.25">
      <c r="A27" s="1">
        <v>4</v>
      </c>
      <c r="B27" s="9" t="s">
        <v>17</v>
      </c>
      <c r="C27" s="1">
        <v>454</v>
      </c>
      <c r="D27" s="5">
        <f>Table14[[#This Row],[Enrolment S.Y. 2025-2026 ]]*8</f>
        <v>3632</v>
      </c>
      <c r="E27" s="5"/>
      <c r="F27" s="1"/>
      <c r="G27" s="5"/>
      <c r="H27" s="5">
        <f t="shared" si="0"/>
        <v>3632</v>
      </c>
      <c r="I27" s="5">
        <f t="shared" si="1"/>
        <v>0</v>
      </c>
      <c r="J27" s="5">
        <f>Table14[[#This Row],[Enrolment S.Y. 2025-2026 ]]*8</f>
        <v>3632</v>
      </c>
      <c r="K27" s="5"/>
      <c r="L27" s="1"/>
      <c r="M27" s="5"/>
      <c r="N27" s="5">
        <f t="shared" si="2"/>
        <v>3632</v>
      </c>
      <c r="O27" s="5">
        <f t="shared" si="3"/>
        <v>0</v>
      </c>
      <c r="P27" s="5">
        <f>Table14[[#This Row],[Enrolment S.Y. 2025-2026 ]]*8</f>
        <v>3632</v>
      </c>
      <c r="Q27" s="5"/>
      <c r="R27" s="1"/>
      <c r="S27" s="5"/>
      <c r="T27" s="5">
        <f t="shared" si="4"/>
        <v>3632</v>
      </c>
      <c r="U27" s="5">
        <f t="shared" si="5"/>
        <v>0</v>
      </c>
      <c r="V27" s="5">
        <f>Table14[[#This Row],[Enrolment S.Y. 2025-2026 ]]*8</f>
        <v>3632</v>
      </c>
      <c r="W27" s="5"/>
      <c r="X27" s="1"/>
      <c r="Y27" s="5"/>
      <c r="Z27" s="5">
        <f t="shared" si="6"/>
        <v>3632</v>
      </c>
      <c r="AA27" s="5">
        <f t="shared" si="7"/>
        <v>0</v>
      </c>
    </row>
    <row r="28" spans="1:27" ht="19.5">
      <c r="A28" s="1">
        <v>4</v>
      </c>
      <c r="B28" s="9" t="s">
        <v>14</v>
      </c>
      <c r="C28" s="1">
        <v>454</v>
      </c>
      <c r="D28" s="5">
        <f>Table14[[#This Row],[Enrolment S.Y. 2025-2026 ]]*8</f>
        <v>3632</v>
      </c>
      <c r="E28" s="5"/>
      <c r="F28" s="1"/>
      <c r="G28" s="5"/>
      <c r="H28" s="5">
        <f t="shared" si="0"/>
        <v>3632</v>
      </c>
      <c r="I28" s="5">
        <f t="shared" si="1"/>
        <v>0</v>
      </c>
      <c r="J28" s="5">
        <f>Table14[[#This Row],[Enrolment S.Y. 2025-2026 ]]*8</f>
        <v>3632</v>
      </c>
      <c r="K28" s="5"/>
      <c r="L28" s="1"/>
      <c r="M28" s="5"/>
      <c r="N28" s="5">
        <f t="shared" ref="N28:N33" si="16">IF((J28-K28)&lt;0,0,(J28-K28))</f>
        <v>3632</v>
      </c>
      <c r="O28" s="5">
        <f t="shared" ref="O28:O33" si="17">IF((K28-J28)&lt;0,0,(K28-J28))</f>
        <v>0</v>
      </c>
      <c r="P28" s="5">
        <f>Table14[[#This Row],[Enrolment S.Y. 2025-2026 ]]*8</f>
        <v>3632</v>
      </c>
      <c r="Q28" s="5"/>
      <c r="R28" s="1"/>
      <c r="S28" s="5"/>
      <c r="T28" s="5">
        <f t="shared" si="4"/>
        <v>3632</v>
      </c>
      <c r="U28" s="5">
        <f t="shared" si="5"/>
        <v>0</v>
      </c>
      <c r="V28" s="5">
        <f>Table14[[#This Row],[Enrolment S.Y. 2025-2026 ]]*8</f>
        <v>3632</v>
      </c>
      <c r="W28" s="5"/>
      <c r="X28" s="1"/>
      <c r="Y28" s="5"/>
      <c r="Z28" s="5">
        <f t="shared" si="6"/>
        <v>3632</v>
      </c>
      <c r="AA28" s="5">
        <f t="shared" si="7"/>
        <v>0</v>
      </c>
    </row>
    <row r="29" spans="1:27" ht="19.5">
      <c r="A29" s="37">
        <v>4</v>
      </c>
      <c r="B29" s="9" t="s">
        <v>69</v>
      </c>
      <c r="C29" s="1">
        <v>454</v>
      </c>
      <c r="D29" s="5">
        <f>Table14[[#This Row],[Enrolment S.Y. 2025-2026 ]]*8</f>
        <v>3632</v>
      </c>
      <c r="E29" s="5"/>
      <c r="F29" s="1"/>
      <c r="G29" s="5"/>
      <c r="H29" s="5">
        <f>IF((D29-E29)&lt;0,0,(D29-E29))</f>
        <v>3632</v>
      </c>
      <c r="I29" s="5">
        <f>IF((E29-D29)&lt;0,0,(E29-D29))</f>
        <v>0</v>
      </c>
      <c r="J29" s="5">
        <f>Table14[[#This Row],[Enrolment S.Y. 2025-2026 ]]*8</f>
        <v>3632</v>
      </c>
      <c r="K29" s="5"/>
      <c r="L29" s="1"/>
      <c r="M29" s="5"/>
      <c r="N29" s="5">
        <f t="shared" si="16"/>
        <v>3632</v>
      </c>
      <c r="O29" s="5">
        <f t="shared" si="17"/>
        <v>0</v>
      </c>
      <c r="P29" s="5">
        <f>Table14[[#This Row],[Enrolment S.Y. 2025-2026 ]]*8</f>
        <v>3632</v>
      </c>
      <c r="Q29" s="5"/>
      <c r="R29" s="1"/>
      <c r="S29" s="5"/>
      <c r="T29" s="5">
        <f>IF((P29-Q29)&lt;0,0,(P29-Q29))</f>
        <v>3632</v>
      </c>
      <c r="U29" s="5">
        <f>IF((Q29-P29)&lt;0,0,(Q29-P29))</f>
        <v>0</v>
      </c>
      <c r="V29" s="5">
        <f>Table14[[#This Row],[Enrolment S.Y. 2025-2026 ]]*8</f>
        <v>3632</v>
      </c>
      <c r="W29" s="5"/>
      <c r="X29" s="1"/>
      <c r="Y29" s="5"/>
      <c r="Z29" s="5">
        <f>IF((V29-W29)&lt;0,0,(V29-W29))</f>
        <v>3632</v>
      </c>
      <c r="AA29" s="5">
        <f>IF((W29-V29)&lt;0,0,(W29-V29))</f>
        <v>0</v>
      </c>
    </row>
    <row r="30" spans="1:27" ht="19.5">
      <c r="A30" s="1">
        <v>4</v>
      </c>
      <c r="B30" s="9" t="s">
        <v>70</v>
      </c>
      <c r="C30" s="1">
        <v>454</v>
      </c>
      <c r="D30" s="5">
        <f>Table14[[#This Row],[Enrolment S.Y. 2025-2026 ]]*8</f>
        <v>3632</v>
      </c>
      <c r="E30" s="5"/>
      <c r="F30" s="1"/>
      <c r="G30" s="5"/>
      <c r="H30" s="5">
        <f t="shared" si="0"/>
        <v>3632</v>
      </c>
      <c r="I30" s="5">
        <f t="shared" si="1"/>
        <v>0</v>
      </c>
      <c r="J30" s="5">
        <f>Table14[[#This Row],[Enrolment S.Y. 2025-2026 ]]*8</f>
        <v>3632</v>
      </c>
      <c r="K30" s="5"/>
      <c r="L30" s="1"/>
      <c r="M30" s="5"/>
      <c r="N30" s="5">
        <f t="shared" si="16"/>
        <v>3632</v>
      </c>
      <c r="O30" s="5">
        <f t="shared" si="17"/>
        <v>0</v>
      </c>
      <c r="P30" s="5">
        <f>Table14[[#This Row],[Enrolment S.Y. 2025-2026 ]]*8</f>
        <v>3632</v>
      </c>
      <c r="Q30" s="5"/>
      <c r="R30" s="1"/>
      <c r="S30" s="5"/>
      <c r="T30" s="5">
        <f t="shared" si="4"/>
        <v>3632</v>
      </c>
      <c r="U30" s="5">
        <f t="shared" si="5"/>
        <v>0</v>
      </c>
      <c r="V30" s="5">
        <f>Table14[[#This Row],[Enrolment S.Y. 2025-2026 ]]*8</f>
        <v>3632</v>
      </c>
      <c r="W30" s="5"/>
      <c r="X30" s="1"/>
      <c r="Y30" s="5"/>
      <c r="Z30" s="5">
        <f t="shared" si="6"/>
        <v>3632</v>
      </c>
      <c r="AA30" s="5">
        <f t="shared" si="7"/>
        <v>0</v>
      </c>
    </row>
    <row r="31" spans="1:27" ht="19.5">
      <c r="A31" s="1">
        <v>4</v>
      </c>
      <c r="B31" s="9" t="s">
        <v>19</v>
      </c>
      <c r="C31" s="1">
        <v>454</v>
      </c>
      <c r="D31" s="5">
        <f>Table14[[#This Row],[Enrolment S.Y. 2025-2026 ]]*8</f>
        <v>3632</v>
      </c>
      <c r="E31" s="5"/>
      <c r="F31" s="1"/>
      <c r="G31" s="5"/>
      <c r="H31" s="5">
        <f t="shared" si="0"/>
        <v>3632</v>
      </c>
      <c r="I31" s="5">
        <f t="shared" si="1"/>
        <v>0</v>
      </c>
      <c r="J31" s="5">
        <f>Table14[[#This Row],[Enrolment S.Y. 2025-2026 ]]*8</f>
        <v>3632</v>
      </c>
      <c r="K31" s="5"/>
      <c r="L31" s="1"/>
      <c r="M31" s="5"/>
      <c r="N31" s="5">
        <f t="shared" si="16"/>
        <v>3632</v>
      </c>
      <c r="O31" s="5">
        <f t="shared" si="17"/>
        <v>0</v>
      </c>
      <c r="P31" s="5">
        <f>Table14[[#This Row],[Enrolment S.Y. 2025-2026 ]]*8</f>
        <v>3632</v>
      </c>
      <c r="Q31" s="5"/>
      <c r="R31" s="1"/>
      <c r="S31" s="5"/>
      <c r="T31" s="5">
        <f t="shared" si="4"/>
        <v>3632</v>
      </c>
      <c r="U31" s="5">
        <f t="shared" si="5"/>
        <v>0</v>
      </c>
      <c r="V31" s="5">
        <f>Table14[[#This Row],[Enrolment S.Y. 2025-2026 ]]*8</f>
        <v>3632</v>
      </c>
      <c r="W31" s="5"/>
      <c r="X31" s="1"/>
      <c r="Y31" s="5"/>
      <c r="Z31" s="5">
        <f t="shared" si="6"/>
        <v>3632</v>
      </c>
      <c r="AA31" s="5">
        <f t="shared" si="7"/>
        <v>0</v>
      </c>
    </row>
    <row r="32" spans="1:27" ht="19.5">
      <c r="A32" s="37">
        <v>4</v>
      </c>
      <c r="B32" s="9" t="s">
        <v>71</v>
      </c>
      <c r="C32" s="1">
        <v>454</v>
      </c>
      <c r="D32" s="5">
        <f>Table14[[#This Row],[Enrolment S.Y. 2025-2026 ]]*8</f>
        <v>3632</v>
      </c>
      <c r="E32" s="5"/>
      <c r="F32" s="1"/>
      <c r="G32" s="5"/>
      <c r="H32" s="5">
        <f>IF((D32-E32)&lt;0,0,(D32-E32))</f>
        <v>3632</v>
      </c>
      <c r="I32" s="5">
        <f>IF((E32-D32)&lt;0,0,(E32-D32))</f>
        <v>0</v>
      </c>
      <c r="J32" s="5">
        <f>Table14[[#This Row],[Enrolment S.Y. 2025-2026 ]]*8</f>
        <v>3632</v>
      </c>
      <c r="K32" s="5"/>
      <c r="L32" s="1"/>
      <c r="M32" s="5"/>
      <c r="N32" s="5">
        <f t="shared" si="16"/>
        <v>3632</v>
      </c>
      <c r="O32" s="5">
        <f t="shared" si="17"/>
        <v>0</v>
      </c>
      <c r="P32" s="5">
        <f>Table14[[#This Row],[Enrolment S.Y. 2025-2026 ]]*8</f>
        <v>3632</v>
      </c>
      <c r="Q32" s="5"/>
      <c r="R32" s="1"/>
      <c r="S32" s="5"/>
      <c r="T32" s="5">
        <f>IF((P32-Q32)&lt;0,0,(P32-Q32))</f>
        <v>3632</v>
      </c>
      <c r="U32" s="5">
        <f>IF((Q32-P32)&lt;0,0,(Q32-P32))</f>
        <v>0</v>
      </c>
      <c r="V32" s="5">
        <f>Table14[[#This Row],[Enrolment S.Y. 2025-2026 ]]*8</f>
        <v>3632</v>
      </c>
      <c r="W32" s="5"/>
      <c r="X32" s="1"/>
      <c r="Y32" s="5"/>
      <c r="Z32" s="5">
        <f>IF((V32-W32)&lt;0,0,(V32-W32))</f>
        <v>3632</v>
      </c>
      <c r="AA32" s="5">
        <f>IF((W32-V32)&lt;0,0,(W32-V32))</f>
        <v>0</v>
      </c>
    </row>
    <row r="33" spans="1:27" ht="19.5">
      <c r="A33" s="1">
        <v>4</v>
      </c>
      <c r="B33" s="9" t="s">
        <v>72</v>
      </c>
      <c r="C33" s="1">
        <v>454</v>
      </c>
      <c r="D33" s="5">
        <f>Table14[[#This Row],[Enrolment S.Y. 2025-2026 ]]*8</f>
        <v>3632</v>
      </c>
      <c r="E33" s="5"/>
      <c r="F33" s="1"/>
      <c r="G33" s="5"/>
      <c r="H33" s="5">
        <f t="shared" si="0"/>
        <v>3632</v>
      </c>
      <c r="I33" s="5">
        <f t="shared" si="1"/>
        <v>0</v>
      </c>
      <c r="J33" s="5">
        <f>Table14[[#This Row],[Enrolment S.Y. 2025-2026 ]]*8</f>
        <v>3632</v>
      </c>
      <c r="K33" s="5"/>
      <c r="L33" s="1"/>
      <c r="M33" s="5"/>
      <c r="N33" s="5">
        <f t="shared" si="16"/>
        <v>3632</v>
      </c>
      <c r="O33" s="5">
        <f t="shared" si="17"/>
        <v>0</v>
      </c>
      <c r="P33" s="5">
        <f>Table14[[#This Row],[Enrolment S.Y. 2025-2026 ]]*8</f>
        <v>3632</v>
      </c>
      <c r="Q33" s="5"/>
      <c r="R33" s="1"/>
      <c r="S33" s="5"/>
      <c r="T33" s="5">
        <f t="shared" si="4"/>
        <v>3632</v>
      </c>
      <c r="U33" s="5">
        <f t="shared" si="5"/>
        <v>0</v>
      </c>
      <c r="V33" s="5">
        <f>Table14[[#This Row],[Enrolment S.Y. 2025-2026 ]]*8</f>
        <v>3632</v>
      </c>
      <c r="W33" s="5"/>
      <c r="X33" s="1"/>
      <c r="Y33" s="5"/>
      <c r="Z33" s="5">
        <f t="shared" si="6"/>
        <v>3632</v>
      </c>
      <c r="AA33" s="5">
        <f t="shared" si="7"/>
        <v>0</v>
      </c>
    </row>
    <row r="34" spans="1:27" s="7" customFormat="1"/>
    <row r="35" spans="1:27" ht="19.5">
      <c r="A35" s="1">
        <v>5</v>
      </c>
      <c r="B35" s="9" t="s">
        <v>15</v>
      </c>
      <c r="C35" s="1">
        <v>381</v>
      </c>
      <c r="D35" s="5">
        <f>Table14[[#This Row],[Enrolment S.Y. 2025-2026 ]]*8</f>
        <v>3048</v>
      </c>
      <c r="E35" s="5"/>
      <c r="F35" s="1"/>
      <c r="G35" s="5"/>
      <c r="H35" s="5">
        <f t="shared" si="0"/>
        <v>3048</v>
      </c>
      <c r="I35" s="5">
        <f t="shared" si="1"/>
        <v>0</v>
      </c>
      <c r="J35" s="5">
        <f>Table14[[#This Row],[Enrolment S.Y. 2025-2026 ]]*8</f>
        <v>3048</v>
      </c>
      <c r="K35" s="5"/>
      <c r="L35" s="1"/>
      <c r="M35" s="5"/>
      <c r="N35" s="5">
        <f t="shared" si="2"/>
        <v>3048</v>
      </c>
      <c r="O35" s="5">
        <f t="shared" si="3"/>
        <v>0</v>
      </c>
      <c r="P35" s="5">
        <f>Table14[[#This Row],[Enrolment S.Y. 2025-2026 ]]*8</f>
        <v>3048</v>
      </c>
      <c r="Q35" s="5"/>
      <c r="R35" s="1"/>
      <c r="S35" s="5"/>
      <c r="T35" s="5">
        <f t="shared" si="4"/>
        <v>3048</v>
      </c>
      <c r="U35" s="5">
        <f t="shared" si="5"/>
        <v>0</v>
      </c>
      <c r="V35" s="5">
        <f>Table14[[#This Row],[Enrolment S.Y. 2025-2026 ]]*8</f>
        <v>3048</v>
      </c>
      <c r="W35" s="5"/>
      <c r="X35" s="1"/>
      <c r="Y35" s="5"/>
      <c r="Z35" s="5">
        <f t="shared" si="6"/>
        <v>3048</v>
      </c>
      <c r="AA35" s="5">
        <f t="shared" si="7"/>
        <v>0</v>
      </c>
    </row>
    <row r="36" spans="1:27" ht="19.5">
      <c r="A36" s="1">
        <v>5</v>
      </c>
      <c r="B36" s="9" t="s">
        <v>16</v>
      </c>
      <c r="C36" s="1">
        <v>381</v>
      </c>
      <c r="D36" s="5">
        <f>Table14[[#This Row],[Enrolment S.Y. 2025-2026 ]]*8</f>
        <v>3048</v>
      </c>
      <c r="E36" s="5"/>
      <c r="F36" s="1"/>
      <c r="G36" s="5"/>
      <c r="H36" s="5">
        <f t="shared" si="0"/>
        <v>3048</v>
      </c>
      <c r="I36" s="5">
        <f t="shared" si="1"/>
        <v>0</v>
      </c>
      <c r="J36" s="5">
        <f>Table14[[#This Row],[Enrolment S.Y. 2025-2026 ]]*8</f>
        <v>3048</v>
      </c>
      <c r="K36" s="5"/>
      <c r="L36" s="1"/>
      <c r="M36" s="5"/>
      <c r="N36" s="5">
        <f t="shared" si="2"/>
        <v>3048</v>
      </c>
      <c r="O36" s="5">
        <f t="shared" si="3"/>
        <v>0</v>
      </c>
      <c r="P36" s="5">
        <f>Table14[[#This Row],[Enrolment S.Y. 2025-2026 ]]*8</f>
        <v>3048</v>
      </c>
      <c r="Q36" s="5"/>
      <c r="R36" s="1"/>
      <c r="S36" s="5"/>
      <c r="T36" s="5">
        <f t="shared" si="4"/>
        <v>3048</v>
      </c>
      <c r="U36" s="5">
        <f t="shared" si="5"/>
        <v>0</v>
      </c>
      <c r="V36" s="5">
        <f>Table14[[#This Row],[Enrolment S.Y. 2025-2026 ]]*8</f>
        <v>3048</v>
      </c>
      <c r="W36" s="5"/>
      <c r="X36" s="1"/>
      <c r="Y36" s="5"/>
      <c r="Z36" s="5">
        <f t="shared" si="6"/>
        <v>3048</v>
      </c>
      <c r="AA36" s="5">
        <f t="shared" si="7"/>
        <v>0</v>
      </c>
    </row>
    <row r="37" spans="1:27" ht="19.5">
      <c r="A37" s="1">
        <v>5</v>
      </c>
      <c r="B37" s="9" t="s">
        <v>13</v>
      </c>
      <c r="C37" s="1">
        <v>381</v>
      </c>
      <c r="D37" s="5">
        <f>Table14[[#This Row],[Enrolment S.Y. 2025-2026 ]]*8</f>
        <v>3048</v>
      </c>
      <c r="E37" s="5"/>
      <c r="F37" s="1"/>
      <c r="G37" s="5"/>
      <c r="H37" s="5">
        <f t="shared" si="0"/>
        <v>3048</v>
      </c>
      <c r="I37" s="5">
        <f t="shared" si="1"/>
        <v>0</v>
      </c>
      <c r="J37" s="5">
        <f>Table14[[#This Row],[Enrolment S.Y. 2025-2026 ]]*8</f>
        <v>3048</v>
      </c>
      <c r="K37" s="5"/>
      <c r="L37" s="1"/>
      <c r="M37" s="5"/>
      <c r="N37" s="5">
        <f t="shared" si="2"/>
        <v>3048</v>
      </c>
      <c r="O37" s="5">
        <f t="shared" si="3"/>
        <v>0</v>
      </c>
      <c r="P37" s="5">
        <f>Table14[[#This Row],[Enrolment S.Y. 2025-2026 ]]*8</f>
        <v>3048</v>
      </c>
      <c r="Q37" s="5"/>
      <c r="R37" s="1"/>
      <c r="S37" s="5"/>
      <c r="T37" s="5">
        <f t="shared" si="4"/>
        <v>3048</v>
      </c>
      <c r="U37" s="5">
        <f t="shared" si="5"/>
        <v>0</v>
      </c>
      <c r="V37" s="5">
        <f>Table14[[#This Row],[Enrolment S.Y. 2025-2026 ]]*8</f>
        <v>3048</v>
      </c>
      <c r="W37" s="5"/>
      <c r="X37" s="1"/>
      <c r="Y37" s="5"/>
      <c r="Z37" s="5">
        <f t="shared" si="6"/>
        <v>3048</v>
      </c>
      <c r="AA37" s="5">
        <f t="shared" si="7"/>
        <v>0</v>
      </c>
    </row>
    <row r="38" spans="1:27" ht="19.5">
      <c r="A38" s="1">
        <v>5</v>
      </c>
      <c r="B38" s="9" t="s">
        <v>11</v>
      </c>
      <c r="C38" s="1">
        <v>381</v>
      </c>
      <c r="D38" s="5">
        <f>Table14[[#This Row],[Enrolment S.Y. 2025-2026 ]]*8</f>
        <v>3048</v>
      </c>
      <c r="E38" s="5"/>
      <c r="F38" s="1"/>
      <c r="G38" s="5"/>
      <c r="H38" s="5">
        <f t="shared" si="0"/>
        <v>3048</v>
      </c>
      <c r="I38" s="5">
        <f t="shared" si="1"/>
        <v>0</v>
      </c>
      <c r="J38" s="5">
        <f>Table14[[#This Row],[Enrolment S.Y. 2025-2026 ]]*8</f>
        <v>3048</v>
      </c>
      <c r="K38" s="5"/>
      <c r="L38" s="1"/>
      <c r="M38" s="5"/>
      <c r="N38" s="5">
        <f t="shared" si="2"/>
        <v>3048</v>
      </c>
      <c r="O38" s="5">
        <f t="shared" si="3"/>
        <v>0</v>
      </c>
      <c r="P38" s="5">
        <f>Table14[[#This Row],[Enrolment S.Y. 2025-2026 ]]*8</f>
        <v>3048</v>
      </c>
      <c r="Q38" s="5"/>
      <c r="R38" s="1"/>
      <c r="S38" s="5"/>
      <c r="T38" s="5">
        <f t="shared" si="4"/>
        <v>3048</v>
      </c>
      <c r="U38" s="5">
        <f t="shared" si="5"/>
        <v>0</v>
      </c>
      <c r="V38" s="5">
        <f>Table14[[#This Row],[Enrolment S.Y. 2025-2026 ]]*8</f>
        <v>3048</v>
      </c>
      <c r="W38" s="5"/>
      <c r="X38" s="1"/>
      <c r="Y38" s="5"/>
      <c r="Z38" s="5">
        <f t="shared" si="6"/>
        <v>3048</v>
      </c>
      <c r="AA38" s="5">
        <f t="shared" si="7"/>
        <v>0</v>
      </c>
    </row>
    <row r="39" spans="1:27" ht="38.25">
      <c r="A39" s="1">
        <v>5</v>
      </c>
      <c r="B39" s="9" t="s">
        <v>17</v>
      </c>
      <c r="C39" s="1">
        <v>381</v>
      </c>
      <c r="D39" s="5">
        <f>Table14[[#This Row],[Enrolment S.Y. 2025-2026 ]]*8</f>
        <v>3048</v>
      </c>
      <c r="E39" s="5"/>
      <c r="F39" s="1"/>
      <c r="G39" s="5"/>
      <c r="H39" s="5">
        <f t="shared" si="0"/>
        <v>3048</v>
      </c>
      <c r="I39" s="5">
        <f t="shared" si="1"/>
        <v>0</v>
      </c>
      <c r="J39" s="5">
        <f>Table14[[#This Row],[Enrolment S.Y. 2025-2026 ]]*8</f>
        <v>3048</v>
      </c>
      <c r="K39" s="5"/>
      <c r="L39" s="1"/>
      <c r="M39" s="5"/>
      <c r="N39" s="5">
        <f t="shared" si="2"/>
        <v>3048</v>
      </c>
      <c r="O39" s="5">
        <f t="shared" si="3"/>
        <v>0</v>
      </c>
      <c r="P39" s="5">
        <f>Table14[[#This Row],[Enrolment S.Y. 2025-2026 ]]*8</f>
        <v>3048</v>
      </c>
      <c r="Q39" s="5"/>
      <c r="R39" s="1"/>
      <c r="S39" s="5"/>
      <c r="T39" s="5">
        <f t="shared" si="4"/>
        <v>3048</v>
      </c>
      <c r="U39" s="5">
        <f t="shared" si="5"/>
        <v>0</v>
      </c>
      <c r="V39" s="5">
        <f>Table14[[#This Row],[Enrolment S.Y. 2025-2026 ]]*8</f>
        <v>3048</v>
      </c>
      <c r="W39" s="5"/>
      <c r="X39" s="1"/>
      <c r="Y39" s="5"/>
      <c r="Z39" s="5">
        <f t="shared" si="6"/>
        <v>3048</v>
      </c>
      <c r="AA39" s="5">
        <f t="shared" si="7"/>
        <v>0</v>
      </c>
    </row>
    <row r="40" spans="1:27" ht="19.5">
      <c r="A40" s="1">
        <v>5</v>
      </c>
      <c r="B40" s="9" t="s">
        <v>14</v>
      </c>
      <c r="C40" s="1">
        <v>381</v>
      </c>
      <c r="D40" s="5">
        <f>Table14[[#This Row],[Enrolment S.Y. 2025-2026 ]]*8</f>
        <v>3048</v>
      </c>
      <c r="E40" s="5"/>
      <c r="F40" s="1"/>
      <c r="G40" s="5"/>
      <c r="H40" s="5">
        <f t="shared" si="0"/>
        <v>3048</v>
      </c>
      <c r="I40" s="5">
        <f t="shared" si="1"/>
        <v>0</v>
      </c>
      <c r="J40" s="5">
        <f>Table14[[#This Row],[Enrolment S.Y. 2025-2026 ]]*8</f>
        <v>3048</v>
      </c>
      <c r="K40" s="5"/>
      <c r="L40" s="1"/>
      <c r="M40" s="5"/>
      <c r="N40" s="5">
        <f t="shared" ref="N40:N45" si="18">IF((J40-K40)&lt;0,0,(J40-K40))</f>
        <v>3048</v>
      </c>
      <c r="O40" s="5">
        <f t="shared" ref="O40:O45" si="19">IF((K40-J40)&lt;0,0,(K40-J40))</f>
        <v>0</v>
      </c>
      <c r="P40" s="5">
        <f>Table14[[#This Row],[Enrolment S.Y. 2025-2026 ]]*8</f>
        <v>3048</v>
      </c>
      <c r="Q40" s="5"/>
      <c r="R40" s="1"/>
      <c r="S40" s="5"/>
      <c r="T40" s="5">
        <f t="shared" si="4"/>
        <v>3048</v>
      </c>
      <c r="U40" s="5">
        <f t="shared" si="5"/>
        <v>0</v>
      </c>
      <c r="V40" s="5">
        <f>Table14[[#This Row],[Enrolment S.Y. 2025-2026 ]]*8</f>
        <v>3048</v>
      </c>
      <c r="W40" s="5"/>
      <c r="X40" s="1"/>
      <c r="Y40" s="5"/>
      <c r="Z40" s="5">
        <f t="shared" si="6"/>
        <v>3048</v>
      </c>
      <c r="AA40" s="5">
        <f t="shared" si="7"/>
        <v>0</v>
      </c>
    </row>
    <row r="41" spans="1:27" ht="19.5">
      <c r="A41" s="37">
        <v>5</v>
      </c>
      <c r="B41" s="9" t="s">
        <v>69</v>
      </c>
      <c r="C41" s="1">
        <v>381</v>
      </c>
      <c r="D41" s="5">
        <f>Table14[[#This Row],[Enrolment S.Y. 2025-2026 ]]*8</f>
        <v>3048</v>
      </c>
      <c r="E41" s="5"/>
      <c r="F41" s="1"/>
      <c r="G41" s="5"/>
      <c r="H41" s="5">
        <f>IF((D41-E41)&lt;0,0,(D41-E41))</f>
        <v>3048</v>
      </c>
      <c r="I41" s="5">
        <f>IF((E41-D41)&lt;0,0,(E41-D41))</f>
        <v>0</v>
      </c>
      <c r="J41" s="5">
        <f>Table14[[#This Row],[Enrolment S.Y. 2025-2026 ]]*8</f>
        <v>3048</v>
      </c>
      <c r="K41" s="5"/>
      <c r="L41" s="1"/>
      <c r="M41" s="5"/>
      <c r="N41" s="5">
        <f t="shared" si="18"/>
        <v>3048</v>
      </c>
      <c r="O41" s="5">
        <f t="shared" si="19"/>
        <v>0</v>
      </c>
      <c r="P41" s="5">
        <f>Table14[[#This Row],[Enrolment S.Y. 2025-2026 ]]*8</f>
        <v>3048</v>
      </c>
      <c r="Q41" s="5"/>
      <c r="R41" s="1"/>
      <c r="S41" s="5"/>
      <c r="T41" s="5">
        <f>IF((P41-Q41)&lt;0,0,(P41-Q41))</f>
        <v>3048</v>
      </c>
      <c r="U41" s="5">
        <f>IF((Q41-P41)&lt;0,0,(Q41-P41))</f>
        <v>0</v>
      </c>
      <c r="V41" s="5">
        <f>Table14[[#This Row],[Enrolment S.Y. 2025-2026 ]]*8</f>
        <v>3048</v>
      </c>
      <c r="W41" s="5"/>
      <c r="X41" s="1"/>
      <c r="Y41" s="5"/>
      <c r="Z41" s="5">
        <f>IF((V41-W41)&lt;0,0,(V41-W41))</f>
        <v>3048</v>
      </c>
      <c r="AA41" s="5">
        <f>IF((W41-V41)&lt;0,0,(W41-V41))</f>
        <v>0</v>
      </c>
    </row>
    <row r="42" spans="1:27" ht="19.5">
      <c r="A42" s="1">
        <v>5</v>
      </c>
      <c r="B42" s="9" t="s">
        <v>70</v>
      </c>
      <c r="C42" s="1">
        <v>381</v>
      </c>
      <c r="D42" s="5">
        <f>Table14[[#This Row],[Enrolment S.Y. 2025-2026 ]]*8</f>
        <v>3048</v>
      </c>
      <c r="E42" s="5"/>
      <c r="F42" s="1"/>
      <c r="G42" s="5"/>
      <c r="H42" s="5">
        <f t="shared" si="0"/>
        <v>3048</v>
      </c>
      <c r="I42" s="5">
        <f t="shared" si="1"/>
        <v>0</v>
      </c>
      <c r="J42" s="5">
        <f>Table14[[#This Row],[Enrolment S.Y. 2025-2026 ]]*8</f>
        <v>3048</v>
      </c>
      <c r="K42" s="5"/>
      <c r="L42" s="1"/>
      <c r="M42" s="5"/>
      <c r="N42" s="5">
        <f t="shared" si="18"/>
        <v>3048</v>
      </c>
      <c r="O42" s="5">
        <f t="shared" si="19"/>
        <v>0</v>
      </c>
      <c r="P42" s="5">
        <f>Table14[[#This Row],[Enrolment S.Y. 2025-2026 ]]*8</f>
        <v>3048</v>
      </c>
      <c r="Q42" s="5"/>
      <c r="R42" s="1"/>
      <c r="S42" s="5"/>
      <c r="T42" s="5">
        <f t="shared" si="4"/>
        <v>3048</v>
      </c>
      <c r="U42" s="5">
        <f t="shared" si="5"/>
        <v>0</v>
      </c>
      <c r="V42" s="5">
        <f>Table14[[#This Row],[Enrolment S.Y. 2025-2026 ]]*8</f>
        <v>3048</v>
      </c>
      <c r="W42" s="5"/>
      <c r="X42" s="1"/>
      <c r="Y42" s="5"/>
      <c r="Z42" s="5">
        <f t="shared" si="6"/>
        <v>3048</v>
      </c>
      <c r="AA42" s="5">
        <f t="shared" si="7"/>
        <v>0</v>
      </c>
    </row>
    <row r="43" spans="1:27" ht="19.5">
      <c r="A43" s="1">
        <v>5</v>
      </c>
      <c r="B43" s="9" t="s">
        <v>19</v>
      </c>
      <c r="C43" s="1">
        <v>381</v>
      </c>
      <c r="D43" s="5">
        <f>Table14[[#This Row],[Enrolment S.Y. 2025-2026 ]]*8</f>
        <v>3048</v>
      </c>
      <c r="E43" s="5"/>
      <c r="F43" s="1"/>
      <c r="G43" s="5"/>
      <c r="H43" s="5">
        <f t="shared" si="0"/>
        <v>3048</v>
      </c>
      <c r="I43" s="5">
        <f t="shared" si="1"/>
        <v>0</v>
      </c>
      <c r="J43" s="5">
        <f>Table14[[#This Row],[Enrolment S.Y. 2025-2026 ]]*8</f>
        <v>3048</v>
      </c>
      <c r="K43" s="5"/>
      <c r="L43" s="1"/>
      <c r="M43" s="5"/>
      <c r="N43" s="5">
        <f t="shared" si="18"/>
        <v>3048</v>
      </c>
      <c r="O43" s="5">
        <f t="shared" si="19"/>
        <v>0</v>
      </c>
      <c r="P43" s="5">
        <f>Table14[[#This Row],[Enrolment S.Y. 2025-2026 ]]*8</f>
        <v>3048</v>
      </c>
      <c r="Q43" s="5"/>
      <c r="R43" s="1"/>
      <c r="S43" s="5"/>
      <c r="T43" s="5">
        <f t="shared" si="4"/>
        <v>3048</v>
      </c>
      <c r="U43" s="5">
        <f t="shared" si="5"/>
        <v>0</v>
      </c>
      <c r="V43" s="5">
        <f>Table14[[#This Row],[Enrolment S.Y. 2025-2026 ]]*8</f>
        <v>3048</v>
      </c>
      <c r="W43" s="5"/>
      <c r="X43" s="1"/>
      <c r="Y43" s="5"/>
      <c r="Z43" s="5">
        <f t="shared" si="6"/>
        <v>3048</v>
      </c>
      <c r="AA43" s="5">
        <f t="shared" si="7"/>
        <v>0</v>
      </c>
    </row>
    <row r="44" spans="1:27" ht="19.5">
      <c r="A44" s="37">
        <v>5</v>
      </c>
      <c r="B44" s="9" t="s">
        <v>71</v>
      </c>
      <c r="C44" s="1">
        <v>381</v>
      </c>
      <c r="D44" s="5">
        <f>Table14[[#This Row],[Enrolment S.Y. 2025-2026 ]]*8</f>
        <v>3048</v>
      </c>
      <c r="E44" s="5"/>
      <c r="F44" s="1"/>
      <c r="G44" s="5"/>
      <c r="H44" s="5">
        <f>IF((D44-E44)&lt;0,0,(D44-E44))</f>
        <v>3048</v>
      </c>
      <c r="I44" s="5">
        <f>IF((E44-D44)&lt;0,0,(E44-D44))</f>
        <v>0</v>
      </c>
      <c r="J44" s="5">
        <f>Table14[[#This Row],[Enrolment S.Y. 2025-2026 ]]*8</f>
        <v>3048</v>
      </c>
      <c r="K44" s="5"/>
      <c r="L44" s="1"/>
      <c r="M44" s="5"/>
      <c r="N44" s="5">
        <f t="shared" si="18"/>
        <v>3048</v>
      </c>
      <c r="O44" s="5">
        <f t="shared" si="19"/>
        <v>0</v>
      </c>
      <c r="P44" s="5">
        <f>Table14[[#This Row],[Enrolment S.Y. 2025-2026 ]]*8</f>
        <v>3048</v>
      </c>
      <c r="Q44" s="5"/>
      <c r="R44" s="1"/>
      <c r="S44" s="5"/>
      <c r="T44" s="5">
        <f>IF((P44-Q44)&lt;0,0,(P44-Q44))</f>
        <v>3048</v>
      </c>
      <c r="U44" s="5">
        <f>IF((Q44-P44)&lt;0,0,(Q44-P44))</f>
        <v>0</v>
      </c>
      <c r="V44" s="5">
        <f>Table14[[#This Row],[Enrolment S.Y. 2025-2026 ]]*8</f>
        <v>3048</v>
      </c>
      <c r="W44" s="5"/>
      <c r="X44" s="1"/>
      <c r="Y44" s="5"/>
      <c r="Z44" s="5">
        <f>IF((V44-W44)&lt;0,0,(V44-W44))</f>
        <v>3048</v>
      </c>
      <c r="AA44" s="5">
        <f>IF((W44-V44)&lt;0,0,(W44-V44))</f>
        <v>0</v>
      </c>
    </row>
    <row r="45" spans="1:27" ht="19.5">
      <c r="A45" s="1">
        <v>5</v>
      </c>
      <c r="B45" s="9" t="s">
        <v>72</v>
      </c>
      <c r="C45" s="1">
        <v>381</v>
      </c>
      <c r="D45" s="5">
        <f>Table14[[#This Row],[Enrolment S.Y. 2025-2026 ]]*8</f>
        <v>3048</v>
      </c>
      <c r="E45" s="5"/>
      <c r="F45" s="1"/>
      <c r="G45" s="5"/>
      <c r="H45" s="5">
        <f t="shared" si="0"/>
        <v>3048</v>
      </c>
      <c r="I45" s="5">
        <f t="shared" si="1"/>
        <v>0</v>
      </c>
      <c r="J45" s="5">
        <f>Table14[[#This Row],[Enrolment S.Y. 2025-2026 ]]*8</f>
        <v>3048</v>
      </c>
      <c r="K45" s="5"/>
      <c r="L45" s="1"/>
      <c r="M45" s="5"/>
      <c r="N45" s="5">
        <f t="shared" si="18"/>
        <v>3048</v>
      </c>
      <c r="O45" s="5">
        <f t="shared" si="19"/>
        <v>0</v>
      </c>
      <c r="P45" s="5">
        <f>Table14[[#This Row],[Enrolment S.Y. 2025-2026 ]]*8</f>
        <v>3048</v>
      </c>
      <c r="Q45" s="5"/>
      <c r="R45" s="1"/>
      <c r="S45" s="5"/>
      <c r="T45" s="5">
        <f t="shared" si="4"/>
        <v>3048</v>
      </c>
      <c r="U45" s="5">
        <f t="shared" si="5"/>
        <v>0</v>
      </c>
      <c r="V45" s="5">
        <f>Table14[[#This Row],[Enrolment S.Y. 2025-2026 ]]*8</f>
        <v>3048</v>
      </c>
      <c r="W45" s="5"/>
      <c r="X45" s="1"/>
      <c r="Y45" s="5"/>
      <c r="Z45" s="5">
        <f t="shared" si="6"/>
        <v>3048</v>
      </c>
      <c r="AA45" s="5">
        <f t="shared" si="7"/>
        <v>0</v>
      </c>
    </row>
    <row r="46" spans="1:27" s="7" customFormat="1"/>
    <row r="47" spans="1:27" ht="19.5">
      <c r="A47" s="1">
        <v>6</v>
      </c>
      <c r="B47" s="9" t="s">
        <v>15</v>
      </c>
      <c r="C47" s="1">
        <v>402</v>
      </c>
      <c r="D47" s="5">
        <f>Table14[[#This Row],[Enrolment S.Y. 2025-2026 ]]*8</f>
        <v>3216</v>
      </c>
      <c r="E47" s="5"/>
      <c r="F47" s="1"/>
      <c r="G47" s="5"/>
      <c r="H47" s="5">
        <f t="shared" si="0"/>
        <v>3216</v>
      </c>
      <c r="I47" s="5">
        <f t="shared" si="1"/>
        <v>0</v>
      </c>
      <c r="J47" s="5">
        <f>Table14[[#This Row],[Enrolment S.Y. 2025-2026 ]]*8</f>
        <v>3216</v>
      </c>
      <c r="K47" s="5"/>
      <c r="L47" s="1"/>
      <c r="M47" s="5"/>
      <c r="N47" s="5">
        <f t="shared" si="2"/>
        <v>3216</v>
      </c>
      <c r="O47" s="5">
        <f t="shared" si="3"/>
        <v>0</v>
      </c>
      <c r="P47" s="5">
        <f>Table14[[#This Row],[Enrolment S.Y. 2025-2026 ]]*8</f>
        <v>3216</v>
      </c>
      <c r="Q47" s="5"/>
      <c r="R47" s="1"/>
      <c r="S47" s="5"/>
      <c r="T47" s="5">
        <f t="shared" si="4"/>
        <v>3216</v>
      </c>
      <c r="U47" s="5">
        <f t="shared" si="5"/>
        <v>0</v>
      </c>
      <c r="V47" s="5">
        <f>Table14[[#This Row],[Enrolment S.Y. 2025-2026 ]]*8</f>
        <v>3216</v>
      </c>
      <c r="W47" s="5"/>
      <c r="X47" s="1"/>
      <c r="Y47" s="5"/>
      <c r="Z47" s="5">
        <f t="shared" si="6"/>
        <v>3216</v>
      </c>
      <c r="AA47" s="5">
        <f t="shared" si="7"/>
        <v>0</v>
      </c>
    </row>
    <row r="48" spans="1:27" ht="19.5">
      <c r="A48" s="1">
        <v>6</v>
      </c>
      <c r="B48" s="9" t="s">
        <v>16</v>
      </c>
      <c r="C48" s="1">
        <v>402</v>
      </c>
      <c r="D48" s="5">
        <f>Table14[[#This Row],[Enrolment S.Y. 2025-2026 ]]*8</f>
        <v>3216</v>
      </c>
      <c r="E48" s="5"/>
      <c r="F48" s="1"/>
      <c r="G48" s="5"/>
      <c r="H48" s="5">
        <f t="shared" si="0"/>
        <v>3216</v>
      </c>
      <c r="I48" s="5">
        <f t="shared" si="1"/>
        <v>0</v>
      </c>
      <c r="J48" s="5">
        <f>Table14[[#This Row],[Enrolment S.Y. 2025-2026 ]]*8</f>
        <v>3216</v>
      </c>
      <c r="K48" s="5"/>
      <c r="L48" s="1"/>
      <c r="M48" s="5"/>
      <c r="N48" s="5">
        <f t="shared" si="2"/>
        <v>3216</v>
      </c>
      <c r="O48" s="5">
        <f t="shared" si="3"/>
        <v>0</v>
      </c>
      <c r="P48" s="5">
        <f>Table14[[#This Row],[Enrolment S.Y. 2025-2026 ]]*8</f>
        <v>3216</v>
      </c>
      <c r="Q48" s="5"/>
      <c r="R48" s="1"/>
      <c r="S48" s="5"/>
      <c r="T48" s="5">
        <f t="shared" si="4"/>
        <v>3216</v>
      </c>
      <c r="U48" s="5">
        <f t="shared" si="5"/>
        <v>0</v>
      </c>
      <c r="V48" s="5">
        <f>Table14[[#This Row],[Enrolment S.Y. 2025-2026 ]]*8</f>
        <v>3216</v>
      </c>
      <c r="W48" s="5"/>
      <c r="X48" s="1"/>
      <c r="Y48" s="5"/>
      <c r="Z48" s="5">
        <f t="shared" si="6"/>
        <v>3216</v>
      </c>
      <c r="AA48" s="5">
        <f t="shared" si="7"/>
        <v>0</v>
      </c>
    </row>
    <row r="49" spans="1:27" ht="19.5">
      <c r="A49" s="1">
        <v>6</v>
      </c>
      <c r="B49" s="9" t="s">
        <v>13</v>
      </c>
      <c r="C49" s="1">
        <v>402</v>
      </c>
      <c r="D49" s="5">
        <f>Table14[[#This Row],[Enrolment S.Y. 2025-2026 ]]*8</f>
        <v>3216</v>
      </c>
      <c r="E49" s="5"/>
      <c r="F49" s="1"/>
      <c r="G49" s="5"/>
      <c r="H49" s="5">
        <f t="shared" si="0"/>
        <v>3216</v>
      </c>
      <c r="I49" s="5">
        <f t="shared" si="1"/>
        <v>0</v>
      </c>
      <c r="J49" s="5">
        <f>Table14[[#This Row],[Enrolment S.Y. 2025-2026 ]]*8</f>
        <v>3216</v>
      </c>
      <c r="K49" s="5"/>
      <c r="L49" s="1"/>
      <c r="M49" s="5"/>
      <c r="N49" s="5">
        <f t="shared" si="2"/>
        <v>3216</v>
      </c>
      <c r="O49" s="5">
        <f t="shared" si="3"/>
        <v>0</v>
      </c>
      <c r="P49" s="5">
        <f>Table14[[#This Row],[Enrolment S.Y. 2025-2026 ]]*8</f>
        <v>3216</v>
      </c>
      <c r="Q49" s="5"/>
      <c r="R49" s="1"/>
      <c r="S49" s="5"/>
      <c r="T49" s="5">
        <f t="shared" si="4"/>
        <v>3216</v>
      </c>
      <c r="U49" s="5">
        <f t="shared" si="5"/>
        <v>0</v>
      </c>
      <c r="V49" s="5">
        <f>Table14[[#This Row],[Enrolment S.Y. 2025-2026 ]]*8</f>
        <v>3216</v>
      </c>
      <c r="W49" s="5"/>
      <c r="X49" s="1"/>
      <c r="Y49" s="5"/>
      <c r="Z49" s="5">
        <f t="shared" si="6"/>
        <v>3216</v>
      </c>
      <c r="AA49" s="5">
        <f t="shared" si="7"/>
        <v>0</v>
      </c>
    </row>
    <row r="50" spans="1:27" ht="19.5">
      <c r="A50" s="1">
        <v>6</v>
      </c>
      <c r="B50" s="9" t="s">
        <v>11</v>
      </c>
      <c r="C50" s="1">
        <v>402</v>
      </c>
      <c r="D50" s="5">
        <f>Table14[[#This Row],[Enrolment S.Y. 2025-2026 ]]*8</f>
        <v>3216</v>
      </c>
      <c r="E50" s="5"/>
      <c r="F50" s="1"/>
      <c r="G50" s="5"/>
      <c r="H50" s="5">
        <f t="shared" si="0"/>
        <v>3216</v>
      </c>
      <c r="I50" s="5">
        <f t="shared" si="1"/>
        <v>0</v>
      </c>
      <c r="J50" s="5">
        <f>Table14[[#This Row],[Enrolment S.Y. 2025-2026 ]]*8</f>
        <v>3216</v>
      </c>
      <c r="K50" s="5"/>
      <c r="L50" s="1"/>
      <c r="M50" s="5"/>
      <c r="N50" s="5">
        <f t="shared" si="2"/>
        <v>3216</v>
      </c>
      <c r="O50" s="5">
        <f t="shared" si="3"/>
        <v>0</v>
      </c>
      <c r="P50" s="5">
        <f>Table14[[#This Row],[Enrolment S.Y. 2025-2026 ]]*8</f>
        <v>3216</v>
      </c>
      <c r="Q50" s="5"/>
      <c r="R50" s="1"/>
      <c r="S50" s="5"/>
      <c r="T50" s="5">
        <f t="shared" si="4"/>
        <v>3216</v>
      </c>
      <c r="U50" s="5">
        <f t="shared" si="5"/>
        <v>0</v>
      </c>
      <c r="V50" s="5">
        <f>Table14[[#This Row],[Enrolment S.Y. 2025-2026 ]]*8</f>
        <v>3216</v>
      </c>
      <c r="W50" s="5"/>
      <c r="X50" s="1"/>
      <c r="Y50" s="5"/>
      <c r="Z50" s="5">
        <f t="shared" si="6"/>
        <v>3216</v>
      </c>
      <c r="AA50" s="5">
        <f t="shared" si="7"/>
        <v>0</v>
      </c>
    </row>
    <row r="51" spans="1:27" ht="38.25">
      <c r="A51" s="1">
        <v>6</v>
      </c>
      <c r="B51" s="9" t="s">
        <v>17</v>
      </c>
      <c r="C51" s="1">
        <v>402</v>
      </c>
      <c r="D51" s="5">
        <f>Table14[[#This Row],[Enrolment S.Y. 2025-2026 ]]*8</f>
        <v>3216</v>
      </c>
      <c r="E51" s="5"/>
      <c r="F51" s="1"/>
      <c r="G51" s="5"/>
      <c r="H51" s="5">
        <f t="shared" si="0"/>
        <v>3216</v>
      </c>
      <c r="I51" s="5">
        <f t="shared" si="1"/>
        <v>0</v>
      </c>
      <c r="J51" s="5">
        <f>Table14[[#This Row],[Enrolment S.Y. 2025-2026 ]]*8</f>
        <v>3216</v>
      </c>
      <c r="K51" s="5"/>
      <c r="L51" s="1"/>
      <c r="M51" s="5"/>
      <c r="N51" s="5">
        <f t="shared" si="2"/>
        <v>3216</v>
      </c>
      <c r="O51" s="5">
        <f t="shared" si="3"/>
        <v>0</v>
      </c>
      <c r="P51" s="5">
        <f>Table14[[#This Row],[Enrolment S.Y. 2025-2026 ]]*8</f>
        <v>3216</v>
      </c>
      <c r="Q51" s="5"/>
      <c r="R51" s="1"/>
      <c r="S51" s="5"/>
      <c r="T51" s="5">
        <f t="shared" si="4"/>
        <v>3216</v>
      </c>
      <c r="U51" s="5">
        <f t="shared" si="5"/>
        <v>0</v>
      </c>
      <c r="V51" s="5">
        <f>Table14[[#This Row],[Enrolment S.Y. 2025-2026 ]]*8</f>
        <v>3216</v>
      </c>
      <c r="W51" s="5"/>
      <c r="X51" s="1"/>
      <c r="Y51" s="5"/>
      <c r="Z51" s="5">
        <f t="shared" si="6"/>
        <v>3216</v>
      </c>
      <c r="AA51" s="5">
        <f t="shared" si="7"/>
        <v>0</v>
      </c>
    </row>
    <row r="52" spans="1:27" ht="19.5">
      <c r="A52" s="1">
        <v>6</v>
      </c>
      <c r="B52" s="9" t="s">
        <v>14</v>
      </c>
      <c r="C52" s="1">
        <v>402</v>
      </c>
      <c r="D52" s="5">
        <f>Table14[[#This Row],[Enrolment S.Y. 2025-2026 ]]*8</f>
        <v>3216</v>
      </c>
      <c r="E52" s="5"/>
      <c r="F52" s="1"/>
      <c r="G52" s="5"/>
      <c r="H52" s="5">
        <f t="shared" si="0"/>
        <v>3216</v>
      </c>
      <c r="I52" s="5">
        <f t="shared" si="1"/>
        <v>0</v>
      </c>
      <c r="J52" s="5">
        <f>Table14[[#This Row],[Enrolment S.Y. 2025-2026 ]]*8</f>
        <v>3216</v>
      </c>
      <c r="K52" s="5"/>
      <c r="L52" s="1"/>
      <c r="M52" s="5"/>
      <c r="N52" s="5">
        <f t="shared" si="2"/>
        <v>3216</v>
      </c>
      <c r="O52" s="5">
        <f t="shared" si="3"/>
        <v>0</v>
      </c>
      <c r="P52" s="5">
        <f>Table14[[#This Row],[Enrolment S.Y. 2025-2026 ]]*8</f>
        <v>3216</v>
      </c>
      <c r="Q52" s="5"/>
      <c r="R52" s="1"/>
      <c r="S52" s="5"/>
      <c r="T52" s="5">
        <f t="shared" si="4"/>
        <v>3216</v>
      </c>
      <c r="U52" s="5">
        <f t="shared" si="5"/>
        <v>0</v>
      </c>
      <c r="V52" s="5">
        <f>Table14[[#This Row],[Enrolment S.Y. 2025-2026 ]]*8</f>
        <v>3216</v>
      </c>
      <c r="W52" s="5"/>
      <c r="X52" s="1"/>
      <c r="Y52" s="5"/>
      <c r="Z52" s="5">
        <f t="shared" si="6"/>
        <v>3216</v>
      </c>
      <c r="AA52" s="5">
        <f t="shared" si="7"/>
        <v>0</v>
      </c>
    </row>
    <row r="53" spans="1:27" ht="19.5">
      <c r="A53" s="37">
        <v>6</v>
      </c>
      <c r="B53" s="9" t="s">
        <v>69</v>
      </c>
      <c r="C53" s="1">
        <v>402</v>
      </c>
      <c r="D53" s="5">
        <f>Table14[[#This Row],[Enrolment S.Y. 2025-2026 ]]*8</f>
        <v>3216</v>
      </c>
      <c r="E53" s="5"/>
      <c r="F53" s="1"/>
      <c r="G53" s="5"/>
      <c r="H53" s="5">
        <f>IF((D53-E53)&lt;0,0,(D53-E53))</f>
        <v>3216</v>
      </c>
      <c r="I53" s="5">
        <f>IF((E53-D53)&lt;0,0,(E53-D53))</f>
        <v>0</v>
      </c>
      <c r="J53" s="5">
        <f>Table14[[#This Row],[Enrolment S.Y. 2025-2026 ]]*8</f>
        <v>3216</v>
      </c>
      <c r="K53" s="5"/>
      <c r="L53" s="1"/>
      <c r="M53" s="5"/>
      <c r="N53" s="5">
        <f t="shared" ref="N53:N57" si="20">IF((J53-K53)&lt;0,0,(J53-K53))</f>
        <v>3216</v>
      </c>
      <c r="O53" s="5">
        <f t="shared" ref="O53:O57" si="21">IF((K53-J53)&lt;0,0,(K53-J53))</f>
        <v>0</v>
      </c>
      <c r="P53" s="5">
        <f>Table14[[#This Row],[Enrolment S.Y. 2025-2026 ]]*8</f>
        <v>3216</v>
      </c>
      <c r="Q53" s="5"/>
      <c r="R53" s="1"/>
      <c r="S53" s="5"/>
      <c r="T53" s="5">
        <f>IF((P53-Q53)&lt;0,0,(P53-Q53))</f>
        <v>3216</v>
      </c>
      <c r="U53" s="5">
        <f>IF((Q53-P53)&lt;0,0,(Q53-P53))</f>
        <v>0</v>
      </c>
      <c r="V53" s="5">
        <f>Table14[[#This Row],[Enrolment S.Y. 2025-2026 ]]*8</f>
        <v>3216</v>
      </c>
      <c r="W53" s="5"/>
      <c r="X53" s="1"/>
      <c r="Y53" s="5"/>
      <c r="Z53" s="5">
        <f>IF((V53-W53)&lt;0,0,(V53-W53))</f>
        <v>3216</v>
      </c>
      <c r="AA53" s="5">
        <f>IF((W53-V53)&lt;0,0,(W53-V53))</f>
        <v>0</v>
      </c>
    </row>
    <row r="54" spans="1:27" ht="19.5">
      <c r="A54" s="1">
        <v>6</v>
      </c>
      <c r="B54" s="9" t="s">
        <v>70</v>
      </c>
      <c r="C54" s="1">
        <v>402</v>
      </c>
      <c r="D54" s="5">
        <f>Table14[[#This Row],[Enrolment S.Y. 2025-2026 ]]*8</f>
        <v>3216</v>
      </c>
      <c r="E54" s="5"/>
      <c r="F54" s="1"/>
      <c r="G54" s="5"/>
      <c r="H54" s="5">
        <f t="shared" si="0"/>
        <v>3216</v>
      </c>
      <c r="I54" s="5">
        <f t="shared" si="1"/>
        <v>0</v>
      </c>
      <c r="J54" s="5">
        <f>Table14[[#This Row],[Enrolment S.Y. 2025-2026 ]]*8</f>
        <v>3216</v>
      </c>
      <c r="K54" s="5"/>
      <c r="L54" s="1"/>
      <c r="M54" s="5"/>
      <c r="N54" s="5">
        <f t="shared" si="20"/>
        <v>3216</v>
      </c>
      <c r="O54" s="5">
        <f t="shared" si="21"/>
        <v>0</v>
      </c>
      <c r="P54" s="5">
        <f>Table14[[#This Row],[Enrolment S.Y. 2025-2026 ]]*8</f>
        <v>3216</v>
      </c>
      <c r="Q54" s="5"/>
      <c r="R54" s="1"/>
      <c r="S54" s="5"/>
      <c r="T54" s="5">
        <f t="shared" si="4"/>
        <v>3216</v>
      </c>
      <c r="U54" s="5">
        <f t="shared" si="5"/>
        <v>0</v>
      </c>
      <c r="V54" s="5">
        <f>Table14[[#This Row],[Enrolment S.Y. 2025-2026 ]]*8</f>
        <v>3216</v>
      </c>
      <c r="W54" s="5"/>
      <c r="X54" s="1"/>
      <c r="Y54" s="5"/>
      <c r="Z54" s="5">
        <f t="shared" si="6"/>
        <v>3216</v>
      </c>
      <c r="AA54" s="5">
        <f t="shared" si="7"/>
        <v>0</v>
      </c>
    </row>
    <row r="55" spans="1:27" ht="19.5">
      <c r="A55" s="1">
        <v>6</v>
      </c>
      <c r="B55" s="9" t="s">
        <v>19</v>
      </c>
      <c r="C55" s="1">
        <v>402</v>
      </c>
      <c r="D55" s="5">
        <f>Table14[[#This Row],[Enrolment S.Y. 2025-2026 ]]*8</f>
        <v>3216</v>
      </c>
      <c r="E55" s="5"/>
      <c r="F55" s="1"/>
      <c r="G55" s="5"/>
      <c r="H55" s="5">
        <f t="shared" si="0"/>
        <v>3216</v>
      </c>
      <c r="I55" s="5">
        <f t="shared" si="1"/>
        <v>0</v>
      </c>
      <c r="J55" s="5">
        <f>Table14[[#This Row],[Enrolment S.Y. 2025-2026 ]]*8</f>
        <v>3216</v>
      </c>
      <c r="K55" s="5"/>
      <c r="L55" s="1"/>
      <c r="M55" s="5"/>
      <c r="N55" s="5">
        <f t="shared" si="20"/>
        <v>3216</v>
      </c>
      <c r="O55" s="5">
        <f t="shared" si="21"/>
        <v>0</v>
      </c>
      <c r="P55" s="5">
        <f>Table14[[#This Row],[Enrolment S.Y. 2025-2026 ]]*8</f>
        <v>3216</v>
      </c>
      <c r="Q55" s="5"/>
      <c r="R55" s="1"/>
      <c r="S55" s="5"/>
      <c r="T55" s="5">
        <f t="shared" si="4"/>
        <v>3216</v>
      </c>
      <c r="U55" s="5">
        <f t="shared" si="5"/>
        <v>0</v>
      </c>
      <c r="V55" s="5">
        <f>Table14[[#This Row],[Enrolment S.Y. 2025-2026 ]]*8</f>
        <v>3216</v>
      </c>
      <c r="W55" s="5"/>
      <c r="X55" s="1"/>
      <c r="Y55" s="5"/>
      <c r="Z55" s="5">
        <f t="shared" si="6"/>
        <v>3216</v>
      </c>
      <c r="AA55" s="5">
        <f t="shared" si="7"/>
        <v>0</v>
      </c>
    </row>
    <row r="56" spans="1:27" ht="19.5">
      <c r="A56" s="37">
        <v>6</v>
      </c>
      <c r="B56" s="9" t="s">
        <v>71</v>
      </c>
      <c r="C56" s="1">
        <v>402</v>
      </c>
      <c r="D56" s="5">
        <f>Table14[[#This Row],[Enrolment S.Y. 2025-2026 ]]*8</f>
        <v>3216</v>
      </c>
      <c r="E56" s="5"/>
      <c r="F56" s="1"/>
      <c r="G56" s="5"/>
      <c r="H56" s="5">
        <f>IF((D56-E56)&lt;0,0,(D56-E56))</f>
        <v>3216</v>
      </c>
      <c r="I56" s="5">
        <f>IF((E56-D56)&lt;0,0,(E56-D56))</f>
        <v>0</v>
      </c>
      <c r="J56" s="5">
        <f>Table14[[#This Row],[Enrolment S.Y. 2025-2026 ]]*8</f>
        <v>3216</v>
      </c>
      <c r="K56" s="5"/>
      <c r="L56" s="1"/>
      <c r="M56" s="5"/>
      <c r="N56" s="5">
        <f t="shared" si="20"/>
        <v>3216</v>
      </c>
      <c r="O56" s="5">
        <f t="shared" si="21"/>
        <v>0</v>
      </c>
      <c r="P56" s="5">
        <f>Table14[[#This Row],[Enrolment S.Y. 2025-2026 ]]*8</f>
        <v>3216</v>
      </c>
      <c r="Q56" s="5"/>
      <c r="R56" s="1"/>
      <c r="S56" s="5"/>
      <c r="T56" s="5">
        <f>IF((P56-Q56)&lt;0,0,(P56-Q56))</f>
        <v>3216</v>
      </c>
      <c r="U56" s="5">
        <f>IF((Q56-P56)&lt;0,0,(Q56-P56))</f>
        <v>0</v>
      </c>
      <c r="V56" s="5">
        <f>Table14[[#This Row],[Enrolment S.Y. 2025-2026 ]]*8</f>
        <v>3216</v>
      </c>
      <c r="W56" s="5"/>
      <c r="X56" s="1"/>
      <c r="Y56" s="5"/>
      <c r="Z56" s="5">
        <f>IF((V56-W56)&lt;0,0,(V56-W56))</f>
        <v>3216</v>
      </c>
      <c r="AA56" s="5">
        <f>IF((W56-V56)&lt;0,0,(W56-V56))</f>
        <v>0</v>
      </c>
    </row>
    <row r="57" spans="1:27" ht="19.5">
      <c r="A57" s="1">
        <v>6</v>
      </c>
      <c r="B57" s="9" t="s">
        <v>72</v>
      </c>
      <c r="C57" s="1">
        <v>402</v>
      </c>
      <c r="D57" s="5">
        <f>Table14[[#This Row],[Enrolment S.Y. 2025-2026 ]]*8</f>
        <v>3216</v>
      </c>
      <c r="E57" s="5"/>
      <c r="F57" s="1"/>
      <c r="G57" s="5"/>
      <c r="H57" s="5">
        <f t="shared" si="0"/>
        <v>3216</v>
      </c>
      <c r="I57" s="5">
        <f t="shared" si="1"/>
        <v>0</v>
      </c>
      <c r="J57" s="5">
        <f>Table14[[#This Row],[Enrolment S.Y. 2025-2026 ]]*8</f>
        <v>3216</v>
      </c>
      <c r="K57" s="5"/>
      <c r="L57" s="1"/>
      <c r="M57" s="5"/>
      <c r="N57" s="5">
        <f t="shared" si="20"/>
        <v>3216</v>
      </c>
      <c r="O57" s="5">
        <f t="shared" si="21"/>
        <v>0</v>
      </c>
      <c r="P57" s="5">
        <f>Table14[[#This Row],[Enrolment S.Y. 2025-2026 ]]*8</f>
        <v>3216</v>
      </c>
      <c r="Q57" s="5"/>
      <c r="R57" s="1"/>
      <c r="S57" s="5"/>
      <c r="T57" s="5">
        <f t="shared" si="4"/>
        <v>3216</v>
      </c>
      <c r="U57" s="5">
        <f t="shared" si="5"/>
        <v>0</v>
      </c>
      <c r="V57" s="5">
        <f>Table14[[#This Row],[Enrolment S.Y. 2025-2026 ]]*8</f>
        <v>3216</v>
      </c>
      <c r="W57" s="5"/>
      <c r="X57" s="1"/>
      <c r="Y57" s="5"/>
      <c r="Z57" s="5">
        <f t="shared" si="6"/>
        <v>3216</v>
      </c>
      <c r="AA57" s="5">
        <f t="shared" si="7"/>
        <v>0</v>
      </c>
    </row>
    <row r="58" spans="1:27" s="7" customFormat="1"/>
    <row r="59" spans="1:27" ht="19.149999999999999">
      <c r="A59" s="10">
        <v>7</v>
      </c>
      <c r="B59" s="11" t="s">
        <v>15</v>
      </c>
      <c r="C59" s="10"/>
      <c r="D59" s="12">
        <f>Table14[[#This Row],[Enrolment S.Y. 2025-2026 ]]*8</f>
        <v>0</v>
      </c>
      <c r="E59" s="12"/>
      <c r="F59" s="10"/>
      <c r="G59" s="12"/>
      <c r="H59" s="12">
        <f t="shared" si="0"/>
        <v>0</v>
      </c>
      <c r="I59" s="12">
        <f t="shared" si="1"/>
        <v>0</v>
      </c>
      <c r="J59" s="12">
        <f>Table14[[#This Row],[Enrolment S.Y. 2025-2026 ]]*8</f>
        <v>0</v>
      </c>
      <c r="K59" s="12"/>
      <c r="L59" s="10"/>
      <c r="M59" s="12"/>
      <c r="N59" s="12">
        <f t="shared" si="2"/>
        <v>0</v>
      </c>
      <c r="O59" s="12">
        <f t="shared" si="3"/>
        <v>0</v>
      </c>
      <c r="P59" s="12">
        <f>Table14[[#This Row],[Enrolment S.Y. 2025-2026 ]]*8</f>
        <v>0</v>
      </c>
      <c r="Q59" s="12"/>
      <c r="R59" s="10"/>
      <c r="S59" s="12"/>
      <c r="T59" s="12">
        <f t="shared" si="4"/>
        <v>0</v>
      </c>
      <c r="U59" s="12">
        <f t="shared" si="5"/>
        <v>0</v>
      </c>
      <c r="V59" s="12">
        <f>Table14[[#This Row],[Enrolment S.Y. 2025-2026 ]]*8</f>
        <v>0</v>
      </c>
      <c r="W59" s="12"/>
      <c r="X59" s="10"/>
      <c r="Y59" s="12"/>
      <c r="Z59" s="12">
        <f t="shared" si="6"/>
        <v>0</v>
      </c>
      <c r="AA59" s="12">
        <f t="shared" si="7"/>
        <v>0</v>
      </c>
    </row>
    <row r="60" spans="1:27" ht="19.149999999999999">
      <c r="A60" s="10">
        <v>7</v>
      </c>
      <c r="B60" s="11" t="s">
        <v>16</v>
      </c>
      <c r="C60" s="10"/>
      <c r="D60" s="12">
        <f>Table14[[#This Row],[Enrolment S.Y. 2025-2026 ]]*8</f>
        <v>0</v>
      </c>
      <c r="E60" s="12"/>
      <c r="F60" s="10"/>
      <c r="G60" s="12"/>
      <c r="H60" s="12">
        <f t="shared" si="0"/>
        <v>0</v>
      </c>
      <c r="I60" s="12">
        <f t="shared" si="1"/>
        <v>0</v>
      </c>
      <c r="J60" s="12">
        <f>Table14[[#This Row],[Enrolment S.Y. 2025-2026 ]]*8</f>
        <v>0</v>
      </c>
      <c r="K60" s="12"/>
      <c r="L60" s="10"/>
      <c r="M60" s="12"/>
      <c r="N60" s="12">
        <f t="shared" si="2"/>
        <v>0</v>
      </c>
      <c r="O60" s="12">
        <f t="shared" si="3"/>
        <v>0</v>
      </c>
      <c r="P60" s="12">
        <f>Table14[[#This Row],[Enrolment S.Y. 2025-2026 ]]*8</f>
        <v>0</v>
      </c>
      <c r="Q60" s="12"/>
      <c r="R60" s="10"/>
      <c r="S60" s="12"/>
      <c r="T60" s="12">
        <f t="shared" si="4"/>
        <v>0</v>
      </c>
      <c r="U60" s="12">
        <f t="shared" si="5"/>
        <v>0</v>
      </c>
      <c r="V60" s="12">
        <f>Table14[[#This Row],[Enrolment S.Y. 2025-2026 ]]*8</f>
        <v>0</v>
      </c>
      <c r="W60" s="12"/>
      <c r="X60" s="10"/>
      <c r="Y60" s="12"/>
      <c r="Z60" s="12">
        <f t="shared" si="6"/>
        <v>0</v>
      </c>
      <c r="AA60" s="12">
        <f t="shared" si="7"/>
        <v>0</v>
      </c>
    </row>
    <row r="61" spans="1:27" ht="19.149999999999999">
      <c r="A61" s="10">
        <v>7</v>
      </c>
      <c r="B61" s="11" t="s">
        <v>13</v>
      </c>
      <c r="C61" s="10"/>
      <c r="D61" s="12">
        <f>Table14[[#This Row],[Enrolment S.Y. 2025-2026 ]]*8</f>
        <v>0</v>
      </c>
      <c r="E61" s="12"/>
      <c r="F61" s="10"/>
      <c r="G61" s="12"/>
      <c r="H61" s="12">
        <f t="shared" si="0"/>
        <v>0</v>
      </c>
      <c r="I61" s="12">
        <f t="shared" si="1"/>
        <v>0</v>
      </c>
      <c r="J61" s="12">
        <f>Table14[[#This Row],[Enrolment S.Y. 2025-2026 ]]*8</f>
        <v>0</v>
      </c>
      <c r="K61" s="12"/>
      <c r="L61" s="10"/>
      <c r="M61" s="12"/>
      <c r="N61" s="12">
        <f t="shared" si="2"/>
        <v>0</v>
      </c>
      <c r="O61" s="12">
        <f t="shared" si="3"/>
        <v>0</v>
      </c>
      <c r="P61" s="12">
        <f>Table14[[#This Row],[Enrolment S.Y. 2025-2026 ]]*8</f>
        <v>0</v>
      </c>
      <c r="Q61" s="12"/>
      <c r="R61" s="10"/>
      <c r="S61" s="12"/>
      <c r="T61" s="12">
        <f t="shared" si="4"/>
        <v>0</v>
      </c>
      <c r="U61" s="12">
        <f t="shared" si="5"/>
        <v>0</v>
      </c>
      <c r="V61" s="12">
        <f>Table14[[#This Row],[Enrolment S.Y. 2025-2026 ]]*8</f>
        <v>0</v>
      </c>
      <c r="W61" s="12"/>
      <c r="X61" s="10"/>
      <c r="Y61" s="12"/>
      <c r="Z61" s="12">
        <f t="shared" si="6"/>
        <v>0</v>
      </c>
      <c r="AA61" s="12">
        <f t="shared" si="7"/>
        <v>0</v>
      </c>
    </row>
    <row r="62" spans="1:27" ht="19.149999999999999">
      <c r="A62" s="10">
        <v>7</v>
      </c>
      <c r="B62" s="11" t="s">
        <v>21</v>
      </c>
      <c r="C62" s="10"/>
      <c r="D62" s="12">
        <f>Table14[[#This Row],[Enrolment S.Y. 2025-2026 ]]*8</f>
        <v>0</v>
      </c>
      <c r="E62" s="12"/>
      <c r="F62" s="10"/>
      <c r="G62" s="12"/>
      <c r="H62" s="12">
        <f t="shared" si="0"/>
        <v>0</v>
      </c>
      <c r="I62" s="12">
        <f t="shared" si="1"/>
        <v>0</v>
      </c>
      <c r="J62" s="12">
        <f>Table14[[#This Row],[Enrolment S.Y. 2025-2026 ]]*8</f>
        <v>0</v>
      </c>
      <c r="K62" s="12"/>
      <c r="L62" s="10"/>
      <c r="M62" s="12"/>
      <c r="N62" s="12">
        <f t="shared" si="2"/>
        <v>0</v>
      </c>
      <c r="O62" s="12">
        <f t="shared" si="3"/>
        <v>0</v>
      </c>
      <c r="P62" s="12">
        <f>Table14[[#This Row],[Enrolment S.Y. 2025-2026 ]]*8</f>
        <v>0</v>
      </c>
      <c r="Q62" s="12"/>
      <c r="R62" s="10"/>
      <c r="S62" s="12"/>
      <c r="T62" s="12">
        <f t="shared" si="4"/>
        <v>0</v>
      </c>
      <c r="U62" s="12">
        <f t="shared" si="5"/>
        <v>0</v>
      </c>
      <c r="V62" s="12">
        <f>Table14[[#This Row],[Enrolment S.Y. 2025-2026 ]]*8</f>
        <v>0</v>
      </c>
      <c r="W62" s="12"/>
      <c r="X62" s="10"/>
      <c r="Y62" s="12"/>
      <c r="Z62" s="12">
        <f t="shared" si="6"/>
        <v>0</v>
      </c>
      <c r="AA62" s="12">
        <f t="shared" si="7"/>
        <v>0</v>
      </c>
    </row>
    <row r="63" spans="1:27" ht="19.149999999999999">
      <c r="A63" s="10">
        <v>7</v>
      </c>
      <c r="B63" s="11" t="s">
        <v>17</v>
      </c>
      <c r="C63" s="10"/>
      <c r="D63" s="12">
        <f>Table14[[#This Row],[Enrolment S.Y. 2025-2026 ]]*8</f>
        <v>0</v>
      </c>
      <c r="E63" s="12"/>
      <c r="F63" s="10"/>
      <c r="G63" s="12"/>
      <c r="H63" s="12">
        <f t="shared" si="0"/>
        <v>0</v>
      </c>
      <c r="I63" s="12">
        <f t="shared" si="1"/>
        <v>0</v>
      </c>
      <c r="J63" s="12">
        <f>Table14[[#This Row],[Enrolment S.Y. 2025-2026 ]]*8</f>
        <v>0</v>
      </c>
      <c r="K63" s="12"/>
      <c r="L63" s="10"/>
      <c r="M63" s="12"/>
      <c r="N63" s="12">
        <f t="shared" ref="N63:N69" si="22">IF((J63-K63)&lt;0,0,(J63-K63))</f>
        <v>0</v>
      </c>
      <c r="O63" s="12">
        <f t="shared" ref="O63:O69" si="23">IF((K63-J63)&lt;0,0,(K63-J63))</f>
        <v>0</v>
      </c>
      <c r="P63" s="12">
        <f>Table14[[#This Row],[Enrolment S.Y. 2025-2026 ]]*8</f>
        <v>0</v>
      </c>
      <c r="Q63" s="12"/>
      <c r="R63" s="10"/>
      <c r="S63" s="12"/>
      <c r="T63" s="12">
        <f t="shared" si="4"/>
        <v>0</v>
      </c>
      <c r="U63" s="12">
        <f t="shared" si="5"/>
        <v>0</v>
      </c>
      <c r="V63" s="12">
        <f>Table14[[#This Row],[Enrolment S.Y. 2025-2026 ]]*8</f>
        <v>0</v>
      </c>
      <c r="W63" s="12"/>
      <c r="X63" s="10"/>
      <c r="Y63" s="12"/>
      <c r="Z63" s="12">
        <f t="shared" si="6"/>
        <v>0</v>
      </c>
      <c r="AA63" s="12">
        <f t="shared" si="7"/>
        <v>0</v>
      </c>
    </row>
    <row r="64" spans="1:27" ht="19.149999999999999">
      <c r="A64" s="10">
        <v>7</v>
      </c>
      <c r="B64" s="11" t="s">
        <v>14</v>
      </c>
      <c r="C64" s="10"/>
      <c r="D64" s="12">
        <f>Table14[[#This Row],[Enrolment S.Y. 2025-2026 ]]*8</f>
        <v>0</v>
      </c>
      <c r="E64" s="12"/>
      <c r="F64" s="10"/>
      <c r="G64" s="12"/>
      <c r="H64" s="12">
        <f t="shared" si="0"/>
        <v>0</v>
      </c>
      <c r="I64" s="12">
        <f t="shared" si="1"/>
        <v>0</v>
      </c>
      <c r="J64" s="12">
        <f>Table14[[#This Row],[Enrolment S.Y. 2025-2026 ]]*8</f>
        <v>0</v>
      </c>
      <c r="K64" s="12"/>
      <c r="L64" s="10"/>
      <c r="M64" s="12"/>
      <c r="N64" s="12">
        <f t="shared" si="22"/>
        <v>0</v>
      </c>
      <c r="O64" s="12">
        <f t="shared" si="23"/>
        <v>0</v>
      </c>
      <c r="P64" s="12">
        <f>Table14[[#This Row],[Enrolment S.Y. 2025-2026 ]]*8</f>
        <v>0</v>
      </c>
      <c r="Q64" s="12"/>
      <c r="R64" s="10"/>
      <c r="S64" s="12"/>
      <c r="T64" s="12">
        <f t="shared" si="4"/>
        <v>0</v>
      </c>
      <c r="U64" s="12">
        <f t="shared" si="5"/>
        <v>0</v>
      </c>
      <c r="V64" s="12">
        <f>Table14[[#This Row],[Enrolment S.Y. 2025-2026 ]]*8</f>
        <v>0</v>
      </c>
      <c r="W64" s="12"/>
      <c r="X64" s="10"/>
      <c r="Y64" s="12"/>
      <c r="Z64" s="12">
        <f t="shared" si="6"/>
        <v>0</v>
      </c>
      <c r="AA64" s="12">
        <f t="shared" si="7"/>
        <v>0</v>
      </c>
    </row>
    <row r="65" spans="1:27" ht="19.149999999999999">
      <c r="A65" s="38">
        <v>7</v>
      </c>
      <c r="B65" s="11" t="s">
        <v>69</v>
      </c>
      <c r="C65" s="12"/>
      <c r="D65" s="12">
        <f>Table14[[#This Row],[Enrolment S.Y. 2025-2026 ]]*8</f>
        <v>0</v>
      </c>
      <c r="E65" s="12"/>
      <c r="F65" s="10"/>
      <c r="G65" s="12"/>
      <c r="H65" s="12">
        <f>IF((D65-E65)&lt;0,0,(D65-E65))</f>
        <v>0</v>
      </c>
      <c r="I65" s="12">
        <f>IF((E65-D65)&lt;0,0,(E65-D65))</f>
        <v>0</v>
      </c>
      <c r="J65" s="12">
        <f>Table14[[#This Row],[Enrolment S.Y. 2025-2026 ]]*8</f>
        <v>0</v>
      </c>
      <c r="K65" s="12"/>
      <c r="L65" s="10"/>
      <c r="M65" s="12"/>
      <c r="N65" s="12">
        <f t="shared" si="22"/>
        <v>0</v>
      </c>
      <c r="O65" s="12">
        <f t="shared" si="23"/>
        <v>0</v>
      </c>
      <c r="P65" s="12">
        <f>Table14[[#This Row],[Enrolment S.Y. 2025-2026 ]]*8</f>
        <v>0</v>
      </c>
      <c r="Q65" s="12"/>
      <c r="R65" s="10"/>
      <c r="S65" s="12"/>
      <c r="T65" s="12">
        <f>IF((P65-Q65)&lt;0,0,(P65-Q65))</f>
        <v>0</v>
      </c>
      <c r="U65" s="12">
        <f>IF((Q65-P65)&lt;0,0,(Q65-P65))</f>
        <v>0</v>
      </c>
      <c r="V65" s="12">
        <f>Table14[[#This Row],[Enrolment S.Y. 2025-2026 ]]*8</f>
        <v>0</v>
      </c>
      <c r="W65" s="12"/>
      <c r="X65" s="10"/>
      <c r="Y65" s="12"/>
      <c r="Z65" s="12">
        <f>IF((V65-W65)&lt;0,0,(V65-W65))</f>
        <v>0</v>
      </c>
      <c r="AA65" s="12">
        <f>IF((W65-V65)&lt;0,0,(W65-V65))</f>
        <v>0</v>
      </c>
    </row>
    <row r="66" spans="1:27" ht="19.149999999999999">
      <c r="A66" s="10">
        <v>7</v>
      </c>
      <c r="B66" s="11" t="s">
        <v>70</v>
      </c>
      <c r="C66" s="10"/>
      <c r="D66" s="12">
        <f>Table14[[#This Row],[Enrolment S.Y. 2025-2026 ]]*8</f>
        <v>0</v>
      </c>
      <c r="E66" s="12"/>
      <c r="F66" s="10"/>
      <c r="G66" s="12"/>
      <c r="H66" s="12">
        <f t="shared" si="0"/>
        <v>0</v>
      </c>
      <c r="I66" s="12">
        <f t="shared" si="1"/>
        <v>0</v>
      </c>
      <c r="J66" s="12">
        <f>Table14[[#This Row],[Enrolment S.Y. 2025-2026 ]]*8</f>
        <v>0</v>
      </c>
      <c r="K66" s="12"/>
      <c r="L66" s="10"/>
      <c r="M66" s="12"/>
      <c r="N66" s="12">
        <f t="shared" si="22"/>
        <v>0</v>
      </c>
      <c r="O66" s="12">
        <f t="shared" si="23"/>
        <v>0</v>
      </c>
      <c r="P66" s="12">
        <f>Table14[[#This Row],[Enrolment S.Y. 2025-2026 ]]*8</f>
        <v>0</v>
      </c>
      <c r="Q66" s="12"/>
      <c r="R66" s="10"/>
      <c r="S66" s="12"/>
      <c r="T66" s="12">
        <f t="shared" ref="T66:T114" si="24">IF((P66-Q66)&lt;0,0,(P66-Q66))</f>
        <v>0</v>
      </c>
      <c r="U66" s="12">
        <f t="shared" ref="U66:U114" si="25">IF((Q66-P66)&lt;0,0,(Q66-P66))</f>
        <v>0</v>
      </c>
      <c r="V66" s="12">
        <f>Table14[[#This Row],[Enrolment S.Y. 2025-2026 ]]*8</f>
        <v>0</v>
      </c>
      <c r="W66" s="12"/>
      <c r="X66" s="10"/>
      <c r="Y66" s="12"/>
      <c r="Z66" s="12">
        <f t="shared" ref="Z66:Z114" si="26">IF((V66-W66)&lt;0,0,(V66-W66))</f>
        <v>0</v>
      </c>
      <c r="AA66" s="12">
        <f t="shared" ref="AA66:AA114" si="27">IF((W66-V66)&lt;0,0,(W66-V66))</f>
        <v>0</v>
      </c>
    </row>
    <row r="67" spans="1:27" ht="19.149999999999999">
      <c r="A67" s="10">
        <v>7</v>
      </c>
      <c r="B67" s="11" t="s">
        <v>22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2"/>
        <v>0</v>
      </c>
      <c r="O67" s="12">
        <f t="shared" si="2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24"/>
        <v>0</v>
      </c>
      <c r="U67" s="12">
        <f t="shared" si="2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26"/>
        <v>0</v>
      </c>
      <c r="AA67" s="12">
        <f t="shared" si="27"/>
        <v>0</v>
      </c>
    </row>
    <row r="68" spans="1:27" ht="19.149999999999999">
      <c r="A68" s="38">
        <v>7</v>
      </c>
      <c r="B68" s="11" t="s">
        <v>71</v>
      </c>
      <c r="C68" s="12"/>
      <c r="D68" s="12">
        <f>Table14[[#This Row],[Enrolment S.Y. 2025-2026 ]]*8</f>
        <v>0</v>
      </c>
      <c r="E68" s="12"/>
      <c r="F68" s="10"/>
      <c r="G68" s="12"/>
      <c r="H68" s="12">
        <f>IF((D68-E68)&lt;0,0,(D68-E68))</f>
        <v>0</v>
      </c>
      <c r="I68" s="12">
        <f>IF((E68-D68)&lt;0,0,(E68-D68))</f>
        <v>0</v>
      </c>
      <c r="J68" s="12">
        <f>Table14[[#This Row],[Enrolment S.Y. 2025-2026 ]]*8</f>
        <v>0</v>
      </c>
      <c r="K68" s="12"/>
      <c r="L68" s="10"/>
      <c r="M68" s="12"/>
      <c r="N68" s="12">
        <f t="shared" si="22"/>
        <v>0</v>
      </c>
      <c r="O68" s="12">
        <f t="shared" si="23"/>
        <v>0</v>
      </c>
      <c r="P68" s="12">
        <f>Table14[[#This Row],[Enrolment S.Y. 2025-2026 ]]*8</f>
        <v>0</v>
      </c>
      <c r="Q68" s="12"/>
      <c r="R68" s="10"/>
      <c r="S68" s="12"/>
      <c r="T68" s="12">
        <f>IF((P68-Q68)&lt;0,0,(P68-Q68))</f>
        <v>0</v>
      </c>
      <c r="U68" s="12">
        <f>IF((Q68-P68)&lt;0,0,(Q68-P68))</f>
        <v>0</v>
      </c>
      <c r="V68" s="12">
        <f>Table14[[#This Row],[Enrolment S.Y. 2025-2026 ]]*8</f>
        <v>0</v>
      </c>
      <c r="W68" s="12"/>
      <c r="X68" s="10"/>
      <c r="Y68" s="12"/>
      <c r="Z68" s="12">
        <f>IF((V68-W68)&lt;0,0,(V68-W68))</f>
        <v>0</v>
      </c>
      <c r="AA68" s="12">
        <f>IF((W68-V68)&lt;0,0,(W68-V68))</f>
        <v>0</v>
      </c>
    </row>
    <row r="69" spans="1:27" ht="19.149999999999999">
      <c r="A69" s="10">
        <v>7</v>
      </c>
      <c r="B69" s="11" t="s">
        <v>72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2"/>
        <v>0</v>
      </c>
      <c r="O69" s="12">
        <f t="shared" si="2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24"/>
        <v>0</v>
      </c>
      <c r="U69" s="12">
        <f t="shared" si="2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26"/>
        <v>0</v>
      </c>
      <c r="AA69" s="12">
        <f t="shared" si="27"/>
        <v>0</v>
      </c>
    </row>
    <row r="70" spans="1:27" s="7" customFormat="1"/>
    <row r="71" spans="1:27" ht="19.149999999999999">
      <c r="A71" s="10">
        <v>8</v>
      </c>
      <c r="B71" s="11" t="s">
        <v>15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66:N114" si="28">IF((J71-K71)&lt;0,0,(J71-K71))</f>
        <v>0</v>
      </c>
      <c r="O71" s="12">
        <f t="shared" ref="O66:O114" si="29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24"/>
        <v>0</v>
      </c>
      <c r="U71" s="12">
        <f t="shared" si="2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26"/>
        <v>0</v>
      </c>
      <c r="AA71" s="12">
        <f t="shared" si="27"/>
        <v>0</v>
      </c>
    </row>
    <row r="72" spans="1:27" ht="19.149999999999999">
      <c r="A72" s="10">
        <v>8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28"/>
        <v>0</v>
      </c>
      <c r="O72" s="12">
        <f t="shared" si="29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24"/>
        <v>0</v>
      </c>
      <c r="U72" s="12">
        <f t="shared" si="2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26"/>
        <v>0</v>
      </c>
      <c r="AA72" s="12">
        <f t="shared" si="27"/>
        <v>0</v>
      </c>
    </row>
    <row r="73" spans="1:27" ht="19.149999999999999">
      <c r="A73" s="10">
        <v>8</v>
      </c>
      <c r="B73" s="11" t="s">
        <v>13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28"/>
        <v>0</v>
      </c>
      <c r="O73" s="12">
        <f t="shared" si="29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24"/>
        <v>0</v>
      </c>
      <c r="U73" s="12">
        <f t="shared" si="25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26"/>
        <v>0</v>
      </c>
      <c r="AA73" s="12">
        <f t="shared" si="27"/>
        <v>0</v>
      </c>
    </row>
    <row r="74" spans="1:27" ht="19.149999999999999">
      <c r="A74" s="10">
        <v>8</v>
      </c>
      <c r="B74" s="11" t="s">
        <v>21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28"/>
        <v>0</v>
      </c>
      <c r="O74" s="12">
        <f t="shared" si="29"/>
        <v>0</v>
      </c>
      <c r="P74" s="12">
        <f>Table14[[#This Row],[Enrolment S.Y. 2025-2026 ]]*8</f>
        <v>0</v>
      </c>
      <c r="Q74" s="12"/>
      <c r="R74" s="10"/>
      <c r="S74" s="12"/>
      <c r="T74" s="12">
        <f t="shared" si="24"/>
        <v>0</v>
      </c>
      <c r="U74" s="12">
        <f t="shared" si="25"/>
        <v>0</v>
      </c>
      <c r="V74" s="12">
        <f>Table14[[#This Row],[Enrolment S.Y. 2025-2026 ]]*8</f>
        <v>0</v>
      </c>
      <c r="W74" s="12"/>
      <c r="X74" s="10"/>
      <c r="Y74" s="12"/>
      <c r="Z74" s="12">
        <f t="shared" si="26"/>
        <v>0</v>
      </c>
      <c r="AA74" s="12">
        <f t="shared" si="27"/>
        <v>0</v>
      </c>
    </row>
    <row r="75" spans="1:27" ht="19.149999999999999">
      <c r="A75" s="10">
        <v>8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28"/>
        <v>0</v>
      </c>
      <c r="O75" s="12">
        <f t="shared" si="29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24"/>
        <v>0</v>
      </c>
      <c r="U75" s="12">
        <f t="shared" si="25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26"/>
        <v>0</v>
      </c>
      <c r="AA75" s="12">
        <f t="shared" si="27"/>
        <v>0</v>
      </c>
    </row>
    <row r="76" spans="1:27" ht="19.149999999999999">
      <c r="A76" s="10">
        <v>8</v>
      </c>
      <c r="B76" s="11" t="s">
        <v>14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ref="H76:H114" si="30">IF((D76-E76)&lt;0,0,(D76-E76))</f>
        <v>0</v>
      </c>
      <c r="I76" s="12">
        <f t="shared" ref="I76:I114" si="31"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ref="N76:N81" si="32">IF((J76-K76)&lt;0,0,(J76-K76))</f>
        <v>0</v>
      </c>
      <c r="O76" s="12">
        <f t="shared" ref="O76:O81" si="33">IF((K76-J76)&lt;0,0,(K76-J76))</f>
        <v>0</v>
      </c>
      <c r="P76" s="12">
        <f>Table14[[#This Row],[Enrolment S.Y. 2025-2026 ]]*8</f>
        <v>0</v>
      </c>
      <c r="Q76" s="12"/>
      <c r="R76" s="10"/>
      <c r="S76" s="12"/>
      <c r="T76" s="12">
        <f t="shared" si="24"/>
        <v>0</v>
      </c>
      <c r="U76" s="12">
        <f t="shared" si="25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26"/>
        <v>0</v>
      </c>
      <c r="AA76" s="12">
        <f t="shared" si="27"/>
        <v>0</v>
      </c>
    </row>
    <row r="77" spans="1:27" ht="19.149999999999999">
      <c r="A77" s="38">
        <v>8</v>
      </c>
      <c r="B77" s="11" t="s">
        <v>69</v>
      </c>
      <c r="C77" s="12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 t="shared" si="32"/>
        <v>0</v>
      </c>
      <c r="O77" s="12">
        <f t="shared" si="33"/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ht="19.149999999999999">
      <c r="A78" s="10">
        <v>8</v>
      </c>
      <c r="B78" s="11" t="s">
        <v>70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30"/>
        <v>0</v>
      </c>
      <c r="I78" s="12">
        <f t="shared" si="31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32"/>
        <v>0</v>
      </c>
      <c r="O78" s="12">
        <f t="shared" si="33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24"/>
        <v>0</v>
      </c>
      <c r="U78" s="12">
        <f t="shared" si="25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26"/>
        <v>0</v>
      </c>
      <c r="AA78" s="12">
        <f t="shared" si="27"/>
        <v>0</v>
      </c>
    </row>
    <row r="79" spans="1:27" ht="19.149999999999999">
      <c r="A79" s="10">
        <v>8</v>
      </c>
      <c r="B79" s="11" t="s">
        <v>22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30"/>
        <v>0</v>
      </c>
      <c r="I79" s="12">
        <f t="shared" si="31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32"/>
        <v>0</v>
      </c>
      <c r="O79" s="12">
        <f t="shared" si="33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24"/>
        <v>0</v>
      </c>
      <c r="U79" s="12">
        <f t="shared" si="25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26"/>
        <v>0</v>
      </c>
      <c r="AA79" s="12">
        <f t="shared" si="27"/>
        <v>0</v>
      </c>
    </row>
    <row r="80" spans="1:27" ht="19.149999999999999">
      <c r="A80" s="38">
        <v>8</v>
      </c>
      <c r="B80" s="11" t="s">
        <v>71</v>
      </c>
      <c r="C80" s="12"/>
      <c r="D80" s="12">
        <f>Table14[[#This Row],[Enrolment S.Y. 2025-2026 ]]*8</f>
        <v>0</v>
      </c>
      <c r="E80" s="12"/>
      <c r="F80" s="10"/>
      <c r="G80" s="12"/>
      <c r="H80" s="12">
        <f>IF((D80-E80)&lt;0,0,(D80-E80))</f>
        <v>0</v>
      </c>
      <c r="I80" s="12">
        <f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 t="shared" si="32"/>
        <v>0</v>
      </c>
      <c r="O80" s="12">
        <f t="shared" si="33"/>
        <v>0</v>
      </c>
      <c r="P80" s="12">
        <f>Table14[[#This Row],[Enrolment S.Y. 2025-2026 ]]*8</f>
        <v>0</v>
      </c>
      <c r="Q80" s="12"/>
      <c r="R80" s="10"/>
      <c r="S80" s="12"/>
      <c r="T80" s="12">
        <f>IF((P80-Q80)&lt;0,0,(P80-Q80))</f>
        <v>0</v>
      </c>
      <c r="U80" s="12">
        <f>IF((Q80-P80)&lt;0,0,(Q80-P80))</f>
        <v>0</v>
      </c>
      <c r="V80" s="12">
        <f>Table14[[#This Row],[Enrolment S.Y. 2025-2026 ]]*8</f>
        <v>0</v>
      </c>
      <c r="W80" s="12"/>
      <c r="X80" s="10"/>
      <c r="Y80" s="12"/>
      <c r="Z80" s="12">
        <f>IF((V80-W80)&lt;0,0,(V80-W80))</f>
        <v>0</v>
      </c>
      <c r="AA80" s="12">
        <f>IF((W80-V80)&lt;0,0,(W80-V80))</f>
        <v>0</v>
      </c>
    </row>
    <row r="81" spans="1:27" ht="19.149999999999999">
      <c r="A81" s="10">
        <v>8</v>
      </c>
      <c r="B81" s="11" t="s">
        <v>72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30"/>
        <v>0</v>
      </c>
      <c r="I81" s="12">
        <f t="shared" si="3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32"/>
        <v>0</v>
      </c>
      <c r="O81" s="12">
        <f t="shared" si="33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24"/>
        <v>0</v>
      </c>
      <c r="U81" s="12">
        <f t="shared" si="25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6"/>
        <v>0</v>
      </c>
      <c r="AA81" s="12">
        <f t="shared" si="27"/>
        <v>0</v>
      </c>
    </row>
    <row r="82" spans="1:27" s="7" customFormat="1"/>
    <row r="83" spans="1:27" ht="19.149999999999999">
      <c r="A83" s="10">
        <v>9</v>
      </c>
      <c r="B83" s="11" t="s">
        <v>15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30"/>
        <v>0</v>
      </c>
      <c r="I83" s="12">
        <f t="shared" si="3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8"/>
        <v>0</v>
      </c>
      <c r="O83" s="12">
        <f t="shared" si="29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24"/>
        <v>0</v>
      </c>
      <c r="U83" s="12">
        <f t="shared" si="25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6"/>
        <v>0</v>
      </c>
      <c r="AA83" s="12">
        <f t="shared" si="27"/>
        <v>0</v>
      </c>
    </row>
    <row r="84" spans="1:27" ht="19.149999999999999">
      <c r="A84" s="10">
        <v>9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30"/>
        <v>0</v>
      </c>
      <c r="I84" s="12">
        <f t="shared" si="3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8"/>
        <v>0</v>
      </c>
      <c r="O84" s="12">
        <f t="shared" si="29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24"/>
        <v>0</v>
      </c>
      <c r="U84" s="12">
        <f t="shared" si="25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6"/>
        <v>0</v>
      </c>
      <c r="AA84" s="12">
        <f t="shared" si="27"/>
        <v>0</v>
      </c>
    </row>
    <row r="85" spans="1:27" ht="19.149999999999999">
      <c r="A85" s="10">
        <v>9</v>
      </c>
      <c r="B85" s="11" t="s">
        <v>13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si="30"/>
        <v>0</v>
      </c>
      <c r="I85" s="12">
        <f t="shared" si="31"/>
        <v>0</v>
      </c>
      <c r="J85" s="12">
        <f>Table14[[#This Row],[Enrolment S.Y. 2025-2026 ]]*8</f>
        <v>0</v>
      </c>
      <c r="K85" s="12"/>
      <c r="L85" s="10"/>
      <c r="M85" s="12"/>
      <c r="N85" s="12">
        <f t="shared" si="28"/>
        <v>0</v>
      </c>
      <c r="O85" s="12">
        <f t="shared" si="29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24"/>
        <v>0</v>
      </c>
      <c r="U85" s="12">
        <f t="shared" si="25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26"/>
        <v>0</v>
      </c>
      <c r="AA85" s="12">
        <f t="shared" si="27"/>
        <v>0</v>
      </c>
    </row>
    <row r="86" spans="1:27" ht="19.149999999999999">
      <c r="A86" s="10">
        <v>9</v>
      </c>
      <c r="B86" s="11" t="s">
        <v>21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30"/>
        <v>0</v>
      </c>
      <c r="I86" s="12">
        <f t="shared" si="31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8"/>
        <v>0</v>
      </c>
      <c r="O86" s="12">
        <f t="shared" si="29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24"/>
        <v>0</v>
      </c>
      <c r="U86" s="12">
        <f t="shared" si="25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26"/>
        <v>0</v>
      </c>
      <c r="AA86" s="12">
        <f t="shared" si="27"/>
        <v>0</v>
      </c>
    </row>
    <row r="87" spans="1:27" ht="19.149999999999999">
      <c r="A87" s="10">
        <v>9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30"/>
        <v>0</v>
      </c>
      <c r="I87" s="12">
        <f t="shared" si="31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8"/>
        <v>0</v>
      </c>
      <c r="O87" s="12">
        <f t="shared" si="29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24"/>
        <v>0</v>
      </c>
      <c r="U87" s="12">
        <f t="shared" si="25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6"/>
        <v>0</v>
      </c>
      <c r="AA87" s="12">
        <f t="shared" si="27"/>
        <v>0</v>
      </c>
    </row>
    <row r="88" spans="1:27" ht="19.149999999999999">
      <c r="A88" s="10">
        <v>9</v>
      </c>
      <c r="B88" s="11" t="s">
        <v>14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30"/>
        <v>0</v>
      </c>
      <c r="I88" s="12">
        <f t="shared" si="31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8"/>
        <v>0</v>
      </c>
      <c r="O88" s="12">
        <f t="shared" si="29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24"/>
        <v>0</v>
      </c>
      <c r="U88" s="12">
        <f t="shared" si="25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26"/>
        <v>0</v>
      </c>
      <c r="AA88" s="12">
        <f t="shared" si="27"/>
        <v>0</v>
      </c>
    </row>
    <row r="89" spans="1:27" ht="19.149999999999999">
      <c r="A89" s="38">
        <v>9</v>
      </c>
      <c r="B89" s="11" t="s">
        <v>69</v>
      </c>
      <c r="C89" s="10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ref="N89:N93" si="34">IF((J89-K89)&lt;0,0,(J89-K89))</f>
        <v>0</v>
      </c>
      <c r="O89" s="12">
        <f t="shared" ref="O89:O93" si="35">IF((K89-J89)&lt;0,0,(K89-J89))</f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9</v>
      </c>
      <c r="B90" s="11" t="s">
        <v>70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30"/>
        <v>0</v>
      </c>
      <c r="I90" s="12">
        <f t="shared" si="31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34"/>
        <v>0</v>
      </c>
      <c r="O90" s="12">
        <f t="shared" si="35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24"/>
        <v>0</v>
      </c>
      <c r="U90" s="12">
        <f t="shared" si="25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26"/>
        <v>0</v>
      </c>
      <c r="AA90" s="12">
        <f t="shared" si="27"/>
        <v>0</v>
      </c>
    </row>
    <row r="91" spans="1:27" ht="19.149999999999999">
      <c r="A91" s="10">
        <v>9</v>
      </c>
      <c r="B91" s="11" t="s">
        <v>22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30"/>
        <v>0</v>
      </c>
      <c r="I91" s="12">
        <f t="shared" si="31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34"/>
        <v>0</v>
      </c>
      <c r="O91" s="12">
        <f t="shared" si="3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24"/>
        <v>0</v>
      </c>
      <c r="U91" s="12">
        <f t="shared" si="25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26"/>
        <v>0</v>
      </c>
      <c r="AA91" s="12">
        <f t="shared" si="27"/>
        <v>0</v>
      </c>
    </row>
    <row r="92" spans="1:27" ht="19.149999999999999">
      <c r="A92" s="38">
        <v>9</v>
      </c>
      <c r="B92" s="11" t="s">
        <v>71</v>
      </c>
      <c r="C92" s="10"/>
      <c r="D92" s="12">
        <f>Table14[[#This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 t="shared" si="34"/>
        <v>0</v>
      </c>
      <c r="O92" s="12">
        <f t="shared" si="35"/>
        <v>0</v>
      </c>
      <c r="P92" s="12">
        <f>Table14[[#This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149999999999999">
      <c r="A93" s="10">
        <v>9</v>
      </c>
      <c r="B93" s="11" t="s">
        <v>72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30"/>
        <v>0</v>
      </c>
      <c r="I93" s="12">
        <f t="shared" si="31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34"/>
        <v>0</v>
      </c>
      <c r="O93" s="12">
        <f t="shared" si="35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24"/>
        <v>0</v>
      </c>
      <c r="U93" s="12">
        <f t="shared" si="25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6"/>
        <v>0</v>
      </c>
      <c r="AA93" s="12">
        <f t="shared" si="27"/>
        <v>0</v>
      </c>
    </row>
    <row r="94" spans="1:27" s="7" customFormat="1"/>
    <row r="95" spans="1:27" ht="19.149999999999999">
      <c r="A95" s="10">
        <v>10</v>
      </c>
      <c r="B95" s="11" t="s">
        <v>15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30"/>
        <v>0</v>
      </c>
      <c r="I95" s="12">
        <f t="shared" si="31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8"/>
        <v>0</v>
      </c>
      <c r="O95" s="12">
        <f t="shared" si="29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24"/>
        <v>0</v>
      </c>
      <c r="U95" s="12">
        <f t="shared" si="25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6"/>
        <v>0</v>
      </c>
      <c r="AA95" s="12">
        <f t="shared" si="27"/>
        <v>0</v>
      </c>
    </row>
    <row r="96" spans="1:27" ht="19.149999999999999">
      <c r="A96" s="10">
        <v>10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30"/>
        <v>0</v>
      </c>
      <c r="I96" s="12">
        <f t="shared" si="31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8"/>
        <v>0</v>
      </c>
      <c r="O96" s="12">
        <f t="shared" si="29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24"/>
        <v>0</v>
      </c>
      <c r="U96" s="12">
        <f t="shared" si="25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6"/>
        <v>0</v>
      </c>
      <c r="AA96" s="12">
        <f t="shared" si="27"/>
        <v>0</v>
      </c>
    </row>
    <row r="97" spans="1:27" ht="19.149999999999999">
      <c r="A97" s="10">
        <v>10</v>
      </c>
      <c r="B97" s="11" t="s">
        <v>13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30"/>
        <v>0</v>
      </c>
      <c r="I97" s="12">
        <f t="shared" si="31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8"/>
        <v>0</v>
      </c>
      <c r="O97" s="12">
        <f t="shared" si="29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24"/>
        <v>0</v>
      </c>
      <c r="U97" s="12">
        <f t="shared" si="25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26"/>
        <v>0</v>
      </c>
      <c r="AA97" s="12">
        <f t="shared" si="27"/>
        <v>0</v>
      </c>
    </row>
    <row r="98" spans="1:27" ht="19.149999999999999">
      <c r="A98" s="10">
        <v>10</v>
      </c>
      <c r="B98" s="11" t="s">
        <v>21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30"/>
        <v>0</v>
      </c>
      <c r="I98" s="12">
        <f t="shared" si="31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8"/>
        <v>0</v>
      </c>
      <c r="O98" s="12">
        <f t="shared" si="29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24"/>
        <v>0</v>
      </c>
      <c r="U98" s="12">
        <f t="shared" si="25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26"/>
        <v>0</v>
      </c>
      <c r="AA98" s="12">
        <f t="shared" si="27"/>
        <v>0</v>
      </c>
    </row>
    <row r="99" spans="1:27" ht="19.149999999999999">
      <c r="A99" s="10">
        <v>10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30"/>
        <v>0</v>
      </c>
      <c r="I99" s="12">
        <f t="shared" si="31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8"/>
        <v>0</v>
      </c>
      <c r="O99" s="12">
        <f t="shared" si="29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24"/>
        <v>0</v>
      </c>
      <c r="U99" s="12">
        <f t="shared" si="25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6"/>
        <v>0</v>
      </c>
      <c r="AA99" s="12">
        <f t="shared" si="27"/>
        <v>0</v>
      </c>
    </row>
    <row r="100" spans="1:27" ht="19.149999999999999">
      <c r="A100" s="10">
        <v>10</v>
      </c>
      <c r="B100" s="11" t="s">
        <v>14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30"/>
        <v>0</v>
      </c>
      <c r="I100" s="12">
        <f t="shared" si="31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8"/>
        <v>0</v>
      </c>
      <c r="O100" s="12">
        <f t="shared" si="29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24"/>
        <v>0</v>
      </c>
      <c r="U100" s="12">
        <f t="shared" si="25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26"/>
        <v>0</v>
      </c>
      <c r="AA100" s="12">
        <f t="shared" si="27"/>
        <v>0</v>
      </c>
    </row>
    <row r="101" spans="1:27" ht="19.149999999999999">
      <c r="A101" s="38">
        <v>10</v>
      </c>
      <c r="B101" s="11" t="s">
        <v>69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ref="N101:N105" si="36">IF((J101-K101)&lt;0,0,(J101-K101))</f>
        <v>0</v>
      </c>
      <c r="O101" s="12">
        <f t="shared" ref="O101:O105" si="37">IF((K101-J101)&lt;0,0,(K101-J101))</f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70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30"/>
        <v>0</v>
      </c>
      <c r="I102" s="12">
        <f t="shared" si="31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36"/>
        <v>0</v>
      </c>
      <c r="O102" s="12">
        <f t="shared" si="37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24"/>
        <v>0</v>
      </c>
      <c r="U102" s="12">
        <f t="shared" si="25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26"/>
        <v>0</v>
      </c>
      <c r="AA102" s="12">
        <f t="shared" si="27"/>
        <v>0</v>
      </c>
    </row>
    <row r="103" spans="1:27" ht="19.149999999999999">
      <c r="A103" s="10">
        <v>10</v>
      </c>
      <c r="B103" s="11" t="s">
        <v>22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30"/>
        <v>0</v>
      </c>
      <c r="I103" s="12">
        <f t="shared" si="31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36"/>
        <v>0</v>
      </c>
      <c r="O103" s="12">
        <f t="shared" si="37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24"/>
        <v>0</v>
      </c>
      <c r="U103" s="12">
        <f t="shared" si="25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26"/>
        <v>0</v>
      </c>
      <c r="AA103" s="12">
        <f t="shared" si="27"/>
        <v>0</v>
      </c>
    </row>
    <row r="104" spans="1:27" ht="19.149999999999999">
      <c r="A104" s="38">
        <v>10</v>
      </c>
      <c r="B104" s="11" t="s">
        <v>71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36"/>
        <v>0</v>
      </c>
      <c r="O104" s="12">
        <f t="shared" si="37"/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149999999999999">
      <c r="A105" s="10">
        <v>10</v>
      </c>
      <c r="B105" s="11" t="s">
        <v>72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30"/>
        <v>0</v>
      </c>
      <c r="I105" s="12">
        <f t="shared" si="31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36"/>
        <v>0</v>
      </c>
      <c r="O105" s="12">
        <f t="shared" si="37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24"/>
        <v>0</v>
      </c>
      <c r="U105" s="12">
        <f t="shared" si="25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6"/>
        <v>0</v>
      </c>
      <c r="AA105" s="12">
        <f t="shared" si="27"/>
        <v>0</v>
      </c>
    </row>
    <row r="106" spans="1:27" s="7" customFormat="1"/>
    <row r="107" spans="1:27" ht="38.450000000000003">
      <c r="A107" s="1" t="s">
        <v>24</v>
      </c>
      <c r="B107" s="9" t="s">
        <v>25</v>
      </c>
      <c r="C107" s="1"/>
      <c r="D107" s="5">
        <f>Table14[[#This Row],[Enrolment S.Y. 2025-2026 ]]*8</f>
        <v>0</v>
      </c>
      <c r="E107" s="5"/>
      <c r="F107" s="1"/>
      <c r="G107" s="5"/>
      <c r="H107" s="5">
        <f t="shared" si="30"/>
        <v>0</v>
      </c>
      <c r="I107" s="5">
        <f t="shared" si="31"/>
        <v>0</v>
      </c>
      <c r="J107" s="5">
        <f>Table14[[#This Row],[Enrolment S.Y. 2025-2026 ]]*8</f>
        <v>0</v>
      </c>
      <c r="K107" s="5"/>
      <c r="L107" s="1"/>
      <c r="M107" s="5"/>
      <c r="N107" s="5">
        <f t="shared" si="28"/>
        <v>0</v>
      </c>
      <c r="O107" s="5">
        <f t="shared" si="29"/>
        <v>0</v>
      </c>
      <c r="P107" s="5">
        <f>Table14[[#This Row],[Enrolment S.Y. 2025-2026 ]]*8</f>
        <v>0</v>
      </c>
      <c r="Q107" s="5"/>
      <c r="R107" s="1"/>
      <c r="S107" s="5"/>
      <c r="T107" s="5">
        <f t="shared" si="24"/>
        <v>0</v>
      </c>
      <c r="U107" s="5">
        <f t="shared" si="25"/>
        <v>0</v>
      </c>
      <c r="V107" s="5">
        <f>Table14[[#This Row],[Enrolment S.Y. 2025-2026 ]]*8</f>
        <v>0</v>
      </c>
      <c r="W107" s="5"/>
      <c r="X107" s="1"/>
      <c r="Y107" s="5"/>
      <c r="Z107" s="5">
        <f t="shared" si="26"/>
        <v>0</v>
      </c>
      <c r="AA107" s="5">
        <f t="shared" si="27"/>
        <v>0</v>
      </c>
    </row>
    <row r="108" spans="1:27" ht="19.149999999999999">
      <c r="A108" s="1" t="s">
        <v>24</v>
      </c>
      <c r="B108" s="9" t="s">
        <v>26</v>
      </c>
      <c r="C108" s="1"/>
      <c r="D108" s="5">
        <f>Table14[[#This Row],[Enrolment S.Y. 2025-2026 ]]*8</f>
        <v>0</v>
      </c>
      <c r="E108" s="5"/>
      <c r="F108" s="1"/>
      <c r="G108" s="5"/>
      <c r="H108" s="5">
        <f t="shared" si="30"/>
        <v>0</v>
      </c>
      <c r="I108" s="5">
        <f t="shared" si="31"/>
        <v>0</v>
      </c>
      <c r="J108" s="5">
        <f>Table14[[#This Row],[Enrolment S.Y. 2025-2026 ]]*8</f>
        <v>0</v>
      </c>
      <c r="K108" s="5"/>
      <c r="L108" s="1"/>
      <c r="M108" s="5"/>
      <c r="N108" s="5">
        <f t="shared" si="28"/>
        <v>0</v>
      </c>
      <c r="O108" s="5">
        <f t="shared" si="29"/>
        <v>0</v>
      </c>
      <c r="P108" s="5">
        <f>Table14[[#This Row],[Enrolment S.Y. 2025-2026 ]]*8</f>
        <v>0</v>
      </c>
      <c r="Q108" s="5"/>
      <c r="R108" s="1"/>
      <c r="S108" s="5"/>
      <c r="T108" s="5">
        <f t="shared" si="24"/>
        <v>0</v>
      </c>
      <c r="U108" s="5">
        <f t="shared" si="25"/>
        <v>0</v>
      </c>
      <c r="V108" s="5">
        <f>Table14[[#This Row],[Enrolment S.Y. 2025-2026 ]]*8</f>
        <v>0</v>
      </c>
      <c r="W108" s="5"/>
      <c r="X108" s="1"/>
      <c r="Y108" s="5"/>
      <c r="Z108" s="5">
        <f t="shared" si="26"/>
        <v>0</v>
      </c>
      <c r="AA108" s="5">
        <f t="shared" si="27"/>
        <v>0</v>
      </c>
    </row>
    <row r="109" spans="1:27" ht="19.149999999999999">
      <c r="A109" s="1" t="s">
        <v>24</v>
      </c>
      <c r="B109" s="9" t="s">
        <v>27</v>
      </c>
      <c r="C109" s="1"/>
      <c r="D109" s="5">
        <f>Table14[[#This Row],[Enrolment S.Y. 2025-2026 ]]*8</f>
        <v>0</v>
      </c>
      <c r="E109" s="5"/>
      <c r="F109" s="1"/>
      <c r="G109" s="5"/>
      <c r="H109" s="5">
        <f t="shared" si="30"/>
        <v>0</v>
      </c>
      <c r="I109" s="5">
        <f t="shared" si="31"/>
        <v>0</v>
      </c>
      <c r="J109" s="5">
        <f>Table14[[#This Row],[Enrolment S.Y. 2025-2026 ]]*8</f>
        <v>0</v>
      </c>
      <c r="K109" s="5"/>
      <c r="L109" s="1"/>
      <c r="M109" s="5"/>
      <c r="N109" s="5">
        <f t="shared" si="28"/>
        <v>0</v>
      </c>
      <c r="O109" s="5">
        <f t="shared" si="29"/>
        <v>0</v>
      </c>
      <c r="P109" s="5">
        <f>Table14[[#This Row],[Enrolment S.Y. 2025-2026 ]]*8</f>
        <v>0</v>
      </c>
      <c r="Q109" s="5"/>
      <c r="R109" s="1"/>
      <c r="S109" s="5"/>
      <c r="T109" s="5">
        <f t="shared" si="24"/>
        <v>0</v>
      </c>
      <c r="U109" s="5">
        <f t="shared" si="25"/>
        <v>0</v>
      </c>
      <c r="V109" s="5">
        <f>Table14[[#This Row],[Enrolment S.Y. 2025-2026 ]]*8</f>
        <v>0</v>
      </c>
      <c r="W109" s="5"/>
      <c r="X109" s="1"/>
      <c r="Y109" s="5"/>
      <c r="Z109" s="5">
        <f t="shared" si="26"/>
        <v>0</v>
      </c>
      <c r="AA109" s="5">
        <f t="shared" si="27"/>
        <v>0</v>
      </c>
    </row>
    <row r="110" spans="1:27" ht="19.149999999999999">
      <c r="A110" s="1" t="s">
        <v>24</v>
      </c>
      <c r="B110" s="9" t="s">
        <v>28</v>
      </c>
      <c r="C110" s="1"/>
      <c r="D110" s="5">
        <f>Table14[[#This Row],[Enrolment S.Y. 2025-2026 ]]*8</f>
        <v>0</v>
      </c>
      <c r="E110" s="5"/>
      <c r="F110" s="1"/>
      <c r="G110" s="5"/>
      <c r="H110" s="5">
        <f t="shared" si="30"/>
        <v>0</v>
      </c>
      <c r="I110" s="5">
        <f t="shared" si="31"/>
        <v>0</v>
      </c>
      <c r="J110" s="5">
        <f>Table14[[#This Row],[Enrolment S.Y. 2025-2026 ]]*8</f>
        <v>0</v>
      </c>
      <c r="K110" s="5"/>
      <c r="L110" s="1"/>
      <c r="M110" s="5"/>
      <c r="N110" s="5">
        <f t="shared" si="28"/>
        <v>0</v>
      </c>
      <c r="O110" s="5">
        <f t="shared" si="29"/>
        <v>0</v>
      </c>
      <c r="P110" s="5">
        <f>Table14[[#This Row],[Enrolment S.Y. 2025-2026 ]]*8</f>
        <v>0</v>
      </c>
      <c r="Q110" s="5"/>
      <c r="R110" s="1"/>
      <c r="S110" s="5"/>
      <c r="T110" s="5">
        <f t="shared" si="24"/>
        <v>0</v>
      </c>
      <c r="U110" s="5">
        <f t="shared" si="25"/>
        <v>0</v>
      </c>
      <c r="V110" s="5">
        <f>Table14[[#This Row],[Enrolment S.Y. 2025-2026 ]]*8</f>
        <v>0</v>
      </c>
      <c r="W110" s="5"/>
      <c r="X110" s="1"/>
      <c r="Y110" s="5"/>
      <c r="Z110" s="5">
        <f t="shared" si="26"/>
        <v>0</v>
      </c>
      <c r="AA110" s="5">
        <f t="shared" si="27"/>
        <v>0</v>
      </c>
    </row>
    <row r="111" spans="1:27" ht="38.450000000000003">
      <c r="A111" s="1" t="s">
        <v>24</v>
      </c>
      <c r="B111" s="9" t="s">
        <v>29</v>
      </c>
      <c r="C111" s="1"/>
      <c r="D111" s="5">
        <f>Table14[[#This Row],[Enrolment S.Y. 2025-2026 ]]*8</f>
        <v>0</v>
      </c>
      <c r="E111" s="5"/>
      <c r="F111" s="1"/>
      <c r="G111" s="5"/>
      <c r="H111" s="5">
        <f t="shared" si="30"/>
        <v>0</v>
      </c>
      <c r="I111" s="5">
        <f t="shared" si="31"/>
        <v>0</v>
      </c>
      <c r="J111" s="5">
        <f>Table14[[#This Row],[Enrolment S.Y. 2025-2026 ]]*8</f>
        <v>0</v>
      </c>
      <c r="K111" s="5"/>
      <c r="L111" s="1"/>
      <c r="M111" s="5"/>
      <c r="N111" s="5">
        <f t="shared" si="28"/>
        <v>0</v>
      </c>
      <c r="O111" s="5">
        <f t="shared" si="29"/>
        <v>0</v>
      </c>
      <c r="P111" s="5">
        <f>Table14[[#This Row],[Enrolment S.Y. 2025-2026 ]]*8</f>
        <v>0</v>
      </c>
      <c r="Q111" s="5"/>
      <c r="R111" s="1"/>
      <c r="S111" s="5"/>
      <c r="T111" s="5">
        <f t="shared" si="24"/>
        <v>0</v>
      </c>
      <c r="U111" s="5">
        <f t="shared" si="25"/>
        <v>0</v>
      </c>
      <c r="V111" s="5">
        <f>Table14[[#This Row],[Enrolment S.Y. 2025-2026 ]]*8</f>
        <v>0</v>
      </c>
      <c r="W111" s="5"/>
      <c r="X111" s="1"/>
      <c r="Y111" s="5"/>
      <c r="Z111" s="5">
        <f t="shared" si="26"/>
        <v>0</v>
      </c>
      <c r="AA111" s="5">
        <f t="shared" si="27"/>
        <v>0</v>
      </c>
    </row>
    <row r="112" spans="1:27" ht="19.149999999999999">
      <c r="A112" s="1" t="s">
        <v>24</v>
      </c>
      <c r="B112" s="9" t="s">
        <v>30</v>
      </c>
      <c r="C112" s="1"/>
      <c r="D112" s="5">
        <f>Table14[[#This Row],[Enrolment S.Y. 2025-2026 ]]*8</f>
        <v>0</v>
      </c>
      <c r="E112" s="5"/>
      <c r="F112" s="1"/>
      <c r="G112" s="5"/>
      <c r="H112" s="5">
        <f t="shared" si="30"/>
        <v>0</v>
      </c>
      <c r="I112" s="5">
        <f t="shared" si="31"/>
        <v>0</v>
      </c>
      <c r="J112" s="5">
        <f>Table14[[#This Row],[Enrolment S.Y. 2025-2026 ]]*8</f>
        <v>0</v>
      </c>
      <c r="K112" s="5"/>
      <c r="L112" s="1"/>
      <c r="M112" s="5"/>
      <c r="N112" s="5">
        <f t="shared" si="28"/>
        <v>0</v>
      </c>
      <c r="O112" s="5">
        <f t="shared" si="29"/>
        <v>0</v>
      </c>
      <c r="P112" s="5">
        <f>Table14[[#This Row],[Enrolment S.Y. 2025-2026 ]]*8</f>
        <v>0</v>
      </c>
      <c r="Q112" s="5"/>
      <c r="R112" s="1"/>
      <c r="S112" s="5"/>
      <c r="T112" s="5">
        <f t="shared" si="24"/>
        <v>0</v>
      </c>
      <c r="U112" s="5">
        <f t="shared" si="25"/>
        <v>0</v>
      </c>
      <c r="V112" s="5">
        <f>Table14[[#This Row],[Enrolment S.Y. 2025-2026 ]]*8</f>
        <v>0</v>
      </c>
      <c r="W112" s="5"/>
      <c r="X112" s="1"/>
      <c r="Y112" s="5"/>
      <c r="Z112" s="5">
        <f t="shared" si="26"/>
        <v>0</v>
      </c>
      <c r="AA112" s="5">
        <f t="shared" si="27"/>
        <v>0</v>
      </c>
    </row>
    <row r="113" spans="1:28" ht="38.450000000000003">
      <c r="A113" s="1" t="s">
        <v>24</v>
      </c>
      <c r="B113" s="9" t="s">
        <v>31</v>
      </c>
      <c r="C113" s="1"/>
      <c r="D113" s="5">
        <f>Table14[[#This Row],[Enrolment S.Y. 2025-2026 ]]*8</f>
        <v>0</v>
      </c>
      <c r="E113" s="5"/>
      <c r="F113" s="1"/>
      <c r="G113" s="5"/>
      <c r="H113" s="5">
        <f t="shared" si="30"/>
        <v>0</v>
      </c>
      <c r="I113" s="5">
        <f t="shared" si="31"/>
        <v>0</v>
      </c>
      <c r="J113" s="5">
        <f>Table14[[#This Row],[Enrolment S.Y. 2025-2026 ]]*8</f>
        <v>0</v>
      </c>
      <c r="K113" s="5"/>
      <c r="L113" s="1"/>
      <c r="M113" s="5"/>
      <c r="N113" s="5">
        <f t="shared" si="28"/>
        <v>0</v>
      </c>
      <c r="O113" s="5">
        <f t="shared" si="29"/>
        <v>0</v>
      </c>
      <c r="P113" s="5">
        <f>Table14[[#This Row],[Enrolment S.Y. 2025-2026 ]]*8</f>
        <v>0</v>
      </c>
      <c r="Q113" s="5"/>
      <c r="R113" s="1"/>
      <c r="S113" s="5"/>
      <c r="T113" s="5">
        <f t="shared" si="24"/>
        <v>0</v>
      </c>
      <c r="U113" s="5">
        <f t="shared" si="25"/>
        <v>0</v>
      </c>
      <c r="V113" s="5">
        <f>Table14[[#This Row],[Enrolment S.Y. 2025-2026 ]]*8</f>
        <v>0</v>
      </c>
      <c r="W113" s="5"/>
      <c r="X113" s="1"/>
      <c r="Y113" s="5"/>
      <c r="Z113" s="5">
        <f t="shared" si="26"/>
        <v>0</v>
      </c>
      <c r="AA113" s="5">
        <f t="shared" si="27"/>
        <v>0</v>
      </c>
    </row>
    <row r="114" spans="1:28" ht="38.450000000000003">
      <c r="A114" s="1" t="s">
        <v>24</v>
      </c>
      <c r="B114" s="9" t="s">
        <v>32</v>
      </c>
      <c r="C114" s="1"/>
      <c r="D114" s="5">
        <f>Table14[[#This Row],[Enrolment S.Y. 2025-2026 ]]*8</f>
        <v>0</v>
      </c>
      <c r="E114" s="5"/>
      <c r="F114" s="1"/>
      <c r="G114" s="5"/>
      <c r="H114" s="5">
        <f t="shared" si="30"/>
        <v>0</v>
      </c>
      <c r="I114" s="5">
        <f t="shared" si="31"/>
        <v>0</v>
      </c>
      <c r="J114" s="5">
        <f>Table14[[#This Row],[Enrolment S.Y. 2025-2026 ]]*8</f>
        <v>0</v>
      </c>
      <c r="K114" s="5"/>
      <c r="L114" s="1"/>
      <c r="M114" s="5"/>
      <c r="N114" s="5">
        <f t="shared" si="28"/>
        <v>0</v>
      </c>
      <c r="O114" s="5">
        <f t="shared" si="29"/>
        <v>0</v>
      </c>
      <c r="P114" s="5">
        <f>Table14[[#This Row],[Enrolment S.Y. 2025-2026 ]]*8</f>
        <v>0</v>
      </c>
      <c r="Q114" s="5"/>
      <c r="R114" s="1"/>
      <c r="S114" s="5"/>
      <c r="T114" s="5">
        <f t="shared" si="24"/>
        <v>0</v>
      </c>
      <c r="U114" s="5">
        <f t="shared" si="25"/>
        <v>0</v>
      </c>
      <c r="V114" s="5">
        <f>Table14[[#This Row],[Enrolment S.Y. 2025-2026 ]]*8</f>
        <v>0</v>
      </c>
      <c r="W114" s="5"/>
      <c r="X114" s="1"/>
      <c r="Y114" s="5"/>
      <c r="Z114" s="5">
        <f t="shared" si="26"/>
        <v>0</v>
      </c>
      <c r="AA114" s="5">
        <f t="shared" si="27"/>
        <v>0</v>
      </c>
    </row>
    <row r="115" spans="1:28" s="7" customFormat="1"/>
    <row r="116" spans="1:28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J133" t="e">
        <f>#REF!*8</f>
        <v>#REF!</v>
      </c>
    </row>
    <row r="134" spans="1:28">
      <c r="J134" t="e">
        <f>#REF!*8</f>
        <v>#REF!</v>
      </c>
    </row>
    <row r="135" spans="1:28">
      <c r="J135" t="e">
        <f>#REF!*8</f>
        <v>#REF!</v>
      </c>
    </row>
    <row r="136" spans="1:28">
      <c r="J136" t="e">
        <f>#REF!*8</f>
        <v>#REF!</v>
      </c>
    </row>
    <row r="137" spans="1:28">
      <c r="J137" t="e">
        <f>#REF!*8</f>
        <v>#REF!</v>
      </c>
    </row>
    <row r="138" spans="1:28">
      <c r="J138" t="e">
        <f>#REF!*8</f>
        <v>#REF!</v>
      </c>
    </row>
    <row r="139" spans="1:28">
      <c r="J139" t="e">
        <f>#REF!*8</f>
        <v>#REF!</v>
      </c>
    </row>
    <row r="140" spans="1:28">
      <c r="J140" t="e">
        <f>#REF!*8</f>
        <v>#REF!</v>
      </c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 ht="15"/>
    <row r="166" spans="10:10" ht="15"/>
    <row r="167" spans="10:10" ht="15"/>
    <row r="169" spans="10:10" ht="15"/>
    <row r="171" spans="10:10" ht="15"/>
  </sheetData>
  <protectedRanges>
    <protectedRange sqref="C83:C93 C59:C69 C71:C81 C107:C114 C95:C105 C2:C7 C9:C14 C23:C33 C35:C45 C47:C57 C16:C21" name="Textbooks"/>
    <protectedRange sqref="J2:L2 P2:R7 N16:R21 D23:F33 D35:F45 D47:F57 D59:F69 D71:F81 D83:F93 D107:F114 N3:O7 V2:X7 T3:U7 H3:L7 Z3:AA7 N95:R105 D2:F7 T16:X21 Z16:AA21 H16:L21 D9:F14 T23:X33 Z23:AA33 H23:L33 T35:X45 Z35:AA45 H35:L45 T47:X57 Z47:AA57 H47:L57 T59:X69 Z59:AA69 H59:L69 T71:X81 Z71:AA81 H71:L81 T83:X93 Z83:AA93 H83:L93 T95:X105 Z95:AA105 H95:L105 N107:R114 T107:X114 Z107:AA114 H107:L114 D95:F105 N23:R33 N35:R45 N47:R57 N59:R69 N71:R81 N83:R93 N9:R14 T9:X14 Z9:AA14 H9:L14 D16:F21" name="LAS"/>
    <protectedRange sqref="G2:I2 M2:O2 S2:U2 Y2:AA2 M3:M7 S3:S7 Y3:Y7 S107:S114 G3:G7 G16:G21 M16:M21 S16:S21 Y9:Y14 Y23:Y33 G23:G33 M23:M33 S23:S33 Y35:Y45 G35:G45 M35:M45 S35:S45 Y47:Y57 G47:G57 M47:M57 S47:S57 Y59:Y69 G59:G69 M59:M69 S59:S69 Y71:Y81 G71:G81 M71:M81 S71:S81 Y83:Y93 G83:G93 M83:M93 S83:S93 Y95:Y105 G95:G105 M95:M105 S95:S105 Y107:Y114 G107:G114 M107:M114 G9:G14 M9:M14 S9:S14 Y16:Y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07:S114 Y107:Y114 G107:G114 Y3:Y7 S3:S7 M3:M7 G3:G7 S23:S33 M23:M33 G23:G33 Y23:Y33 Y35:Y45 S35:S45 M35:M45 G35:G45 G47:G57 Y47:Y57 S47:S57 M47:M57 M59:M69 G59:G69 Y59:Y69 S59:S69 S71:S81 M71:M81 G71:G81 Y71:Y81 Y83:Y93 S83:S93 M83:M93 G83:G93 G95:G105 Y95:Y105 S95:S105 M95:M105 M107:M114 M9:M14 S9:S14 G9:G14 Y9:Y14 S16:S21 Y16:Y21 G16:G21 M16:M21" xr:uid="{CBD486C7-A5DB-48F1-B496-5027CC51E830}">
      <formula1>"CO,RO,SDO,LGU,SCHOOL"</formula1>
    </dataValidation>
    <dataValidation type="list" allowBlank="1" showInputMessage="1" showErrorMessage="1" sqref="X23:X33 X35:X45 X59:X69 X71:X81 X47:X57 X83:X93 X95:X105 X3:X7 L23:L33 L35:L45 L59:L69 L71:L81 L47:L57 L83:L93 L95:L105 L3:L7 R23:R33 R35:R45 R59:R69 R71:R81 R47:R57 R83:R93 R95:R105 R3:R7 F23:F33 F35:F45 F59:F69 F71:F81 F47:F57 F3:F7 F83:F93 X107:X114 F107:F114 R107:R114 L107:L114 F95:F105 F9:F14 R9:R14 L9:L14 X9:X14 F16:F21 R16:R21 L16:L21 X16:X2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2" activePane="topRight" state="frozen"/>
      <selection pane="topRight" activeCell="B2" sqref="B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73</v>
      </c>
      <c r="E2" s="20" t="s">
        <v>74</v>
      </c>
      <c r="F2" s="21" t="s">
        <v>75</v>
      </c>
      <c r="G2" s="24" t="s">
        <v>76</v>
      </c>
      <c r="H2" s="17" t="s">
        <v>77</v>
      </c>
      <c r="I2" s="24" t="s">
        <v>78</v>
      </c>
      <c r="J2" s="22" t="s">
        <v>79</v>
      </c>
      <c r="K2" s="22" t="s">
        <v>80</v>
      </c>
      <c r="L2" s="23" t="s">
        <v>81</v>
      </c>
      <c r="M2" s="41" t="s">
        <v>82</v>
      </c>
      <c r="N2" s="41" t="s">
        <v>83</v>
      </c>
      <c r="O2" s="22" t="s">
        <v>84</v>
      </c>
      <c r="P2" s="24" t="s">
        <v>85</v>
      </c>
      <c r="Q2" s="24" t="s">
        <v>86</v>
      </c>
      <c r="R2" s="25" t="s">
        <v>87</v>
      </c>
      <c r="S2" s="17" t="s">
        <v>88</v>
      </c>
      <c r="T2" s="17" t="s">
        <v>89</v>
      </c>
      <c r="U2" s="24" t="s">
        <v>90</v>
      </c>
      <c r="V2" s="26" t="s">
        <v>91</v>
      </c>
      <c r="W2" s="26" t="s">
        <v>92</v>
      </c>
      <c r="X2" s="27" t="s">
        <v>93</v>
      </c>
      <c r="Y2" s="42" t="s">
        <v>94</v>
      </c>
      <c r="Z2" s="42" t="s">
        <v>95</v>
      </c>
      <c r="AA2" s="26" t="s">
        <v>96</v>
      </c>
    </row>
    <row r="3" spans="1:27" ht="30.6" customHeight="1">
      <c r="A3" s="39" t="s">
        <v>97</v>
      </c>
      <c r="B3" s="33"/>
      <c r="C3" s="32">
        <v>392</v>
      </c>
      <c r="D3" s="34">
        <f>Table1[[#This Row],[Enrolment S.Y. 2025-2026 ]]*8</f>
        <v>3136</v>
      </c>
      <c r="E3" s="34">
        <v>0</v>
      </c>
      <c r="F3" s="32"/>
      <c r="G3" s="34"/>
      <c r="H3" s="34">
        <f>IF((D3-E3)&lt;0,0,(D3-E3))</f>
        <v>3136</v>
      </c>
      <c r="I3" s="34">
        <f>IF((E3-D3)&lt;0,0,(E3-D3))</f>
        <v>0</v>
      </c>
      <c r="J3" s="34">
        <f>Table1[[#This Row],[Enrolment S.Y. 2025-2026 ]]*8</f>
        <v>3136</v>
      </c>
      <c r="K3" s="34">
        <v>0</v>
      </c>
      <c r="L3" s="32"/>
      <c r="M3" s="34"/>
      <c r="N3" s="5">
        <f t="shared" ref="N3" si="0">IF((J3-K3)&lt;0,0,(J3-K3))</f>
        <v>3136</v>
      </c>
      <c r="O3" s="5">
        <f t="shared" ref="O3" si="1">IF((K3-J3)&lt;0,0,(K3-J3))</f>
        <v>0</v>
      </c>
      <c r="P3" s="5">
        <f>Table1[[#This Row],[Enrolment S.Y. 2025-2026 ]]*8</f>
        <v>3136</v>
      </c>
      <c r="Q3" s="34">
        <v>0</v>
      </c>
      <c r="R3" s="32"/>
      <c r="S3" s="34"/>
      <c r="T3" s="34">
        <f>IF((P3-Q3)&lt;0,0,(P3-Q3))</f>
        <v>3136</v>
      </c>
      <c r="U3" s="34">
        <f>IF((Q3-P3)&lt;0,0,(Q3-P3))</f>
        <v>0</v>
      </c>
      <c r="V3" s="34">
        <f>Table1[[#This Row],[Enrolment S.Y. 2025-2026 ]]*8</f>
        <v>3136</v>
      </c>
      <c r="W3" s="34">
        <v>132</v>
      </c>
      <c r="X3" s="32">
        <v>2025</v>
      </c>
      <c r="Y3" s="34" t="s">
        <v>62</v>
      </c>
      <c r="Z3" s="34">
        <f>IF((V3-W3)&lt;0,0,(V3-W3))</f>
        <v>3004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409</v>
      </c>
      <c r="D5" s="5">
        <f>Table1[[#This Row],[Enrolment S.Y. 2025-2026 ]]*8</f>
        <v>3272</v>
      </c>
      <c r="E5" s="5">
        <v>0</v>
      </c>
      <c r="F5" s="1"/>
      <c r="G5" s="5"/>
      <c r="H5" s="5">
        <f t="shared" ref="H5:H68" si="2">IF((D5-E5)&lt;0,0,(D5-E5))</f>
        <v>3272</v>
      </c>
      <c r="I5" s="5">
        <f t="shared" ref="I5:I68" si="3">IF((E5-D5)&lt;0,0,(E5-D5))</f>
        <v>0</v>
      </c>
      <c r="J5" s="5">
        <f>Table1[[#This Row],[Enrolment S.Y. 2025-2026 ]]*8</f>
        <v>3272</v>
      </c>
      <c r="K5" s="5">
        <v>0</v>
      </c>
      <c r="L5" s="1"/>
      <c r="M5" s="5"/>
      <c r="N5" s="5">
        <f t="shared" ref="N5" si="4">IF((J5-K5)&lt;0,0,(J5-K5))</f>
        <v>3272</v>
      </c>
      <c r="O5" s="5">
        <f t="shared" ref="O5" si="5">IF((K5-J5)&lt;0,0,(K5-J5))</f>
        <v>0</v>
      </c>
      <c r="P5" s="5">
        <f>Table1[[#This Row],[Enrolment S.Y. 2025-2026 ]]*8</f>
        <v>3272</v>
      </c>
      <c r="Q5" s="5"/>
      <c r="R5" s="1"/>
      <c r="S5" s="5"/>
      <c r="T5" s="5">
        <f t="shared" ref="T5" si="6">IF((P5-Q5)&lt;0,0,(P5-Q5))</f>
        <v>3272</v>
      </c>
      <c r="U5" s="5">
        <f t="shared" ref="U5" si="7">IF((Q5-P5)&lt;0,0,(Q5-P5))</f>
        <v>0</v>
      </c>
      <c r="V5" s="5">
        <f>Table1[[#This Row],[Enrolment S.Y. 2025-2026 ]]*8</f>
        <v>3272</v>
      </c>
      <c r="W5" s="5"/>
      <c r="X5" s="1"/>
      <c r="Y5" s="5"/>
      <c r="Z5" s="5">
        <f t="shared" ref="Z5" si="8">IF((V5-W5)&lt;0,0,(V5-W5))</f>
        <v>3272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409</v>
      </c>
      <c r="D6" s="5">
        <f>Table1[[#This Row],[Enrolment S.Y. 2025-2026 ]]*8</f>
        <v>3272</v>
      </c>
      <c r="E6" s="5">
        <v>0</v>
      </c>
      <c r="F6" s="1"/>
      <c r="G6" s="5"/>
      <c r="H6" s="5">
        <f t="shared" si="2"/>
        <v>3272</v>
      </c>
      <c r="I6" s="5">
        <f t="shared" si="3"/>
        <v>0</v>
      </c>
      <c r="J6" s="5">
        <f>Table1[[#This Row],[Enrolment S.Y. 2025-2026 ]]*8</f>
        <v>3272</v>
      </c>
      <c r="K6" s="5">
        <v>0</v>
      </c>
      <c r="L6" s="1"/>
      <c r="M6" s="5"/>
      <c r="N6" s="5">
        <f t="shared" ref="N6:N60" si="10">IF((J6-K6)&lt;0,0,(J6-K6))</f>
        <v>3272</v>
      </c>
      <c r="O6" s="5">
        <f t="shared" ref="O6:O60" si="11">IF((K6-J6)&lt;0,0,(K6-J6))</f>
        <v>0</v>
      </c>
      <c r="P6" s="5">
        <f>Table1[[#This Row],[Enrolment S.Y. 2025-2026 ]]*8</f>
        <v>3272</v>
      </c>
      <c r="Q6" s="5"/>
      <c r="R6" s="1"/>
      <c r="S6" s="5"/>
      <c r="T6" s="5">
        <f t="shared" ref="T6:T60" si="12">IF((P6-Q6)&lt;0,0,(P6-Q6))</f>
        <v>3272</v>
      </c>
      <c r="U6" s="5">
        <f t="shared" ref="U6:U60" si="13">IF((Q6-P6)&lt;0,0,(Q6-P6))</f>
        <v>0</v>
      </c>
      <c r="V6" s="5">
        <f>Table1[[#This Row],[Enrolment S.Y. 2025-2026 ]]*8</f>
        <v>3272</v>
      </c>
      <c r="W6" s="5"/>
      <c r="X6" s="1"/>
      <c r="Y6" s="5"/>
      <c r="Z6" s="5">
        <f t="shared" ref="Z6:Z60" si="14">IF((V6-W6)&lt;0,0,(V6-W6))</f>
        <v>3272</v>
      </c>
      <c r="AA6" s="5">
        <f t="shared" ref="AA6:AA60" si="15">IF((W6-V6)&lt;0,0,(W6-V6))</f>
        <v>0</v>
      </c>
    </row>
    <row r="7" spans="1:27" ht="19.5">
      <c r="A7" s="1">
        <v>1</v>
      </c>
      <c r="B7" s="2" t="s">
        <v>11</v>
      </c>
      <c r="C7" s="1">
        <v>409</v>
      </c>
      <c r="D7" s="5">
        <f>Table1[[#This Row],[Enrolment S.Y. 2025-2026 ]]*8</f>
        <v>3272</v>
      </c>
      <c r="E7" s="5">
        <v>0</v>
      </c>
      <c r="F7" s="1"/>
      <c r="G7" s="5"/>
      <c r="H7" s="5">
        <f t="shared" si="2"/>
        <v>3272</v>
      </c>
      <c r="I7" s="5">
        <f t="shared" si="3"/>
        <v>0</v>
      </c>
      <c r="J7" s="5">
        <f>Table1[[#This Row],[Enrolment S.Y. 2025-2026 ]]*8</f>
        <v>3272</v>
      </c>
      <c r="K7" s="5">
        <v>0</v>
      </c>
      <c r="L7" s="1"/>
      <c r="M7" s="5"/>
      <c r="N7" s="5">
        <f t="shared" si="10"/>
        <v>3272</v>
      </c>
      <c r="O7" s="5">
        <f t="shared" si="11"/>
        <v>0</v>
      </c>
      <c r="P7" s="5">
        <f>Table1[[#This Row],[Enrolment S.Y. 2025-2026 ]]*8</f>
        <v>3272</v>
      </c>
      <c r="Q7" s="5"/>
      <c r="R7" s="1"/>
      <c r="S7" s="5"/>
      <c r="T7" s="5">
        <f t="shared" si="12"/>
        <v>3272</v>
      </c>
      <c r="U7" s="5">
        <f t="shared" si="13"/>
        <v>0</v>
      </c>
      <c r="V7" s="5">
        <f>Table1[[#This Row],[Enrolment S.Y. 2025-2026 ]]*8</f>
        <v>3272</v>
      </c>
      <c r="W7" s="5"/>
      <c r="X7" s="1"/>
      <c r="Y7" s="5"/>
      <c r="Z7" s="5">
        <f t="shared" si="14"/>
        <v>3272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409</v>
      </c>
      <c r="D8" s="5">
        <f>Table1[[#This Row],[Enrolment S.Y. 2025-2026 ]]*8</f>
        <v>3272</v>
      </c>
      <c r="E8" s="5">
        <v>0</v>
      </c>
      <c r="F8" s="1"/>
      <c r="G8" s="5"/>
      <c r="H8" s="5">
        <f t="shared" si="2"/>
        <v>3272</v>
      </c>
      <c r="I8" s="5">
        <f t="shared" si="3"/>
        <v>0</v>
      </c>
      <c r="J8" s="5">
        <f>Table1[[#This Row],[Enrolment S.Y. 2025-2026 ]]*8</f>
        <v>3272</v>
      </c>
      <c r="K8" s="5">
        <v>0</v>
      </c>
      <c r="L8" s="1"/>
      <c r="M8" s="5"/>
      <c r="N8" s="5">
        <f t="shared" si="10"/>
        <v>3272</v>
      </c>
      <c r="O8" s="5">
        <f t="shared" si="11"/>
        <v>0</v>
      </c>
      <c r="P8" s="5">
        <f>Table1[[#This Row],[Enrolment S.Y. 2025-2026 ]]*8</f>
        <v>3272</v>
      </c>
      <c r="Q8" s="5"/>
      <c r="R8" s="1"/>
      <c r="S8" s="5"/>
      <c r="T8" s="5">
        <f t="shared" si="12"/>
        <v>3272</v>
      </c>
      <c r="U8" s="5">
        <f t="shared" si="13"/>
        <v>0</v>
      </c>
      <c r="V8" s="5">
        <f>Table1[[#This Row],[Enrolment S.Y. 2025-2026 ]]*8</f>
        <v>3272</v>
      </c>
      <c r="W8" s="5"/>
      <c r="X8" s="1"/>
      <c r="Y8" s="5"/>
      <c r="Z8" s="5">
        <f t="shared" si="14"/>
        <v>3272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409</v>
      </c>
      <c r="D9" s="5">
        <f>Table1[[#This Row],[Enrolment S.Y. 2025-2026 ]]*8</f>
        <v>3272</v>
      </c>
      <c r="E9" s="5">
        <v>0</v>
      </c>
      <c r="F9" s="1"/>
      <c r="G9" s="5"/>
      <c r="H9" s="5">
        <f t="shared" si="2"/>
        <v>3272</v>
      </c>
      <c r="I9" s="5">
        <f t="shared" si="3"/>
        <v>0</v>
      </c>
      <c r="J9" s="5">
        <f>Table1[[#This Row],[Enrolment S.Y. 2025-2026 ]]*8</f>
        <v>3272</v>
      </c>
      <c r="K9" s="5">
        <v>0</v>
      </c>
      <c r="L9" s="1"/>
      <c r="M9" s="5"/>
      <c r="N9" s="5">
        <f t="shared" si="10"/>
        <v>3272</v>
      </c>
      <c r="O9" s="5">
        <f t="shared" si="11"/>
        <v>0</v>
      </c>
      <c r="P9" s="5">
        <f>Table1[[#This Row],[Enrolment S.Y. 2025-2026 ]]*8</f>
        <v>3272</v>
      </c>
      <c r="Q9" s="5"/>
      <c r="R9" s="1"/>
      <c r="S9" s="5"/>
      <c r="T9" s="5">
        <f t="shared" si="12"/>
        <v>3272</v>
      </c>
      <c r="U9" s="5">
        <f t="shared" si="13"/>
        <v>0</v>
      </c>
      <c r="V9" s="5">
        <f>Table1[[#This Row],[Enrolment S.Y. 2025-2026 ]]*8</f>
        <v>3272</v>
      </c>
      <c r="W9" s="5"/>
      <c r="X9" s="1"/>
      <c r="Y9" s="5"/>
      <c r="Z9" s="5">
        <f t="shared" si="14"/>
        <v>3272</v>
      </c>
      <c r="AA9" s="5">
        <f t="shared" si="15"/>
        <v>0</v>
      </c>
    </row>
    <row r="10" spans="1:27" s="7" customFormat="1" ht="19.149999999999999">
      <c r="J10" s="13"/>
      <c r="N10" s="13"/>
      <c r="O10" s="13"/>
      <c r="P10" s="13"/>
      <c r="S10" s="5"/>
      <c r="T10" s="13"/>
      <c r="U10" s="13"/>
      <c r="V10" s="13"/>
      <c r="Y10" s="13"/>
      <c r="Z10" s="13"/>
      <c r="AA10" s="13"/>
    </row>
    <row r="11" spans="1:27" ht="19.5">
      <c r="A11" s="1">
        <v>2</v>
      </c>
      <c r="B11" s="2" t="s">
        <v>11</v>
      </c>
      <c r="C11" s="1">
        <v>398</v>
      </c>
      <c r="D11" s="5">
        <f>Table1[[#This Row],[Enrolment S.Y. 2025-2026 ]]*8</f>
        <v>3184</v>
      </c>
      <c r="E11" s="5">
        <v>345</v>
      </c>
      <c r="F11" s="1">
        <v>2025</v>
      </c>
      <c r="G11" s="5" t="s">
        <v>62</v>
      </c>
      <c r="H11" s="5">
        <f t="shared" si="2"/>
        <v>2839</v>
      </c>
      <c r="I11" s="5">
        <f t="shared" si="3"/>
        <v>0</v>
      </c>
      <c r="J11" s="5">
        <f>Table1[[#This Row],[Enrolment S.Y. 2025-2026 ]]*8</f>
        <v>3184</v>
      </c>
      <c r="K11" s="5">
        <v>0</v>
      </c>
      <c r="L11" s="1"/>
      <c r="M11" s="5"/>
      <c r="N11" s="5">
        <f t="shared" si="10"/>
        <v>3184</v>
      </c>
      <c r="O11" s="5">
        <f t="shared" si="11"/>
        <v>0</v>
      </c>
      <c r="P11" s="5">
        <f>Table1[[#This Row],[Enrolment S.Y. 2025-2026 ]]*8</f>
        <v>3184</v>
      </c>
      <c r="Q11" s="5"/>
      <c r="R11" s="1"/>
      <c r="S11" s="5"/>
      <c r="T11" s="5">
        <f t="shared" si="12"/>
        <v>3184</v>
      </c>
      <c r="U11" s="5">
        <f t="shared" si="13"/>
        <v>0</v>
      </c>
      <c r="V11" s="5">
        <f>Table1[[#This Row],[Enrolment S.Y. 2025-2026 ]]*8</f>
        <v>3184</v>
      </c>
      <c r="W11" s="5"/>
      <c r="X11" s="1"/>
      <c r="Y11" s="5"/>
      <c r="Z11" s="5">
        <f t="shared" si="14"/>
        <v>3184</v>
      </c>
      <c r="AA11" s="5">
        <f t="shared" si="15"/>
        <v>0</v>
      </c>
    </row>
    <row r="12" spans="1:27" ht="19.5">
      <c r="A12" s="1">
        <v>2</v>
      </c>
      <c r="B12" s="2" t="s">
        <v>12</v>
      </c>
      <c r="C12" s="1">
        <v>398</v>
      </c>
      <c r="D12" s="5">
        <f>Table1[[#This Row],[Enrolment S.Y. 2025-2026 ]]*8</f>
        <v>3184</v>
      </c>
      <c r="E12" s="5">
        <v>303</v>
      </c>
      <c r="F12" s="1">
        <v>2025</v>
      </c>
      <c r="G12" s="5" t="s">
        <v>62</v>
      </c>
      <c r="H12" s="5">
        <f t="shared" si="2"/>
        <v>2881</v>
      </c>
      <c r="I12" s="5">
        <f t="shared" si="3"/>
        <v>0</v>
      </c>
      <c r="J12" s="5">
        <f>Table1[[#This Row],[Enrolment S.Y. 2025-2026 ]]*8</f>
        <v>3184</v>
      </c>
      <c r="K12" s="5">
        <v>0</v>
      </c>
      <c r="L12" s="1"/>
      <c r="M12" s="5"/>
      <c r="N12" s="5">
        <f t="shared" si="10"/>
        <v>3184</v>
      </c>
      <c r="O12" s="5">
        <f t="shared" si="11"/>
        <v>0</v>
      </c>
      <c r="P12" s="5">
        <f>Table1[[#This Row],[Enrolment S.Y. 2025-2026 ]]*8</f>
        <v>3184</v>
      </c>
      <c r="Q12" s="5"/>
      <c r="R12" s="1"/>
      <c r="S12" s="5"/>
      <c r="T12" s="5">
        <f t="shared" si="12"/>
        <v>3184</v>
      </c>
      <c r="U12" s="5">
        <f t="shared" si="13"/>
        <v>0</v>
      </c>
      <c r="V12" s="5">
        <f>Table1[[#This Row],[Enrolment S.Y. 2025-2026 ]]*8</f>
        <v>3184</v>
      </c>
      <c r="W12" s="5"/>
      <c r="X12" s="1"/>
      <c r="Y12" s="5"/>
      <c r="Z12" s="5">
        <f t="shared" si="14"/>
        <v>3184</v>
      </c>
      <c r="AA12" s="5">
        <f t="shared" si="15"/>
        <v>0</v>
      </c>
    </row>
    <row r="13" spans="1:27" ht="19.5">
      <c r="A13" s="1">
        <v>2</v>
      </c>
      <c r="B13" s="2" t="s">
        <v>13</v>
      </c>
      <c r="C13" s="1">
        <v>398</v>
      </c>
      <c r="D13" s="5">
        <f>Table1[[#This Row],[Enrolment S.Y. 2025-2026 ]]*8</f>
        <v>3184</v>
      </c>
      <c r="E13" s="5">
        <v>0</v>
      </c>
      <c r="F13" s="1">
        <v>2025</v>
      </c>
      <c r="G13" s="5" t="s">
        <v>62</v>
      </c>
      <c r="H13" s="5">
        <f t="shared" si="2"/>
        <v>3184</v>
      </c>
      <c r="I13" s="5">
        <f t="shared" si="3"/>
        <v>0</v>
      </c>
      <c r="J13" s="5">
        <f>Table1[[#This Row],[Enrolment S.Y. 2025-2026 ]]*8</f>
        <v>3184</v>
      </c>
      <c r="K13" s="5">
        <v>0</v>
      </c>
      <c r="L13" s="1"/>
      <c r="M13" s="5"/>
      <c r="N13" s="5">
        <f t="shared" si="10"/>
        <v>3184</v>
      </c>
      <c r="O13" s="5">
        <f t="shared" si="11"/>
        <v>0</v>
      </c>
      <c r="P13" s="5">
        <f>Table1[[#This Row],[Enrolment S.Y. 2025-2026 ]]*8</f>
        <v>3184</v>
      </c>
      <c r="Q13" s="5"/>
      <c r="R13" s="1"/>
      <c r="S13" s="5"/>
      <c r="T13" s="5">
        <f t="shared" si="12"/>
        <v>3184</v>
      </c>
      <c r="U13" s="5">
        <f t="shared" si="13"/>
        <v>0</v>
      </c>
      <c r="V13" s="5">
        <f>Table1[[#This Row],[Enrolment S.Y. 2025-2026 ]]*8</f>
        <v>3184</v>
      </c>
      <c r="W13" s="5"/>
      <c r="X13" s="1"/>
      <c r="Y13" s="5"/>
      <c r="Z13" s="5">
        <f t="shared" si="14"/>
        <v>3184</v>
      </c>
      <c r="AA13" s="5">
        <f t="shared" si="15"/>
        <v>0</v>
      </c>
    </row>
    <row r="14" spans="1:27" ht="19.5">
      <c r="A14" s="1">
        <v>2</v>
      </c>
      <c r="B14" s="9" t="s">
        <v>16</v>
      </c>
      <c r="C14" s="1">
        <v>398</v>
      </c>
      <c r="D14" s="5">
        <f>Table1[[#This Row],[Enrolment S.Y. 2025-2026 ]]*8</f>
        <v>3184</v>
      </c>
      <c r="E14" s="5">
        <v>203</v>
      </c>
      <c r="F14" s="1">
        <v>2025</v>
      </c>
      <c r="G14" s="5" t="s">
        <v>62</v>
      </c>
      <c r="H14" s="5">
        <f>IF((D14-E14)&lt;0,0,(D14-E14))</f>
        <v>2981</v>
      </c>
      <c r="I14" s="5">
        <f>IF((E14-D14)&lt;0,0,(E14-D14))</f>
        <v>0</v>
      </c>
      <c r="J14" s="5">
        <f>Table1[[#This Row],[Enrolment S.Y. 2025-2026 ]]*8</f>
        <v>3184</v>
      </c>
      <c r="K14" s="5">
        <v>0</v>
      </c>
      <c r="L14" s="1"/>
      <c r="M14" s="5"/>
      <c r="N14" s="5">
        <f t="shared" si="10"/>
        <v>3184</v>
      </c>
      <c r="O14" s="5">
        <f t="shared" si="11"/>
        <v>0</v>
      </c>
      <c r="P14" s="5">
        <f>Table1[[#This Row],[Enrolment S.Y. 2025-2026 ]]*8</f>
        <v>3184</v>
      </c>
      <c r="Q14" s="5"/>
      <c r="R14" s="1"/>
      <c r="S14" s="5"/>
      <c r="T14" s="5">
        <f t="shared" si="12"/>
        <v>3184</v>
      </c>
      <c r="U14" s="5">
        <f t="shared" si="13"/>
        <v>0</v>
      </c>
      <c r="V14" s="5">
        <f>Table1[[#This Row],[Enrolment S.Y. 2025-2026 ]]*8</f>
        <v>3184</v>
      </c>
      <c r="W14" s="5"/>
      <c r="X14" s="1"/>
      <c r="Y14" s="5"/>
      <c r="Z14" s="5">
        <f t="shared" si="14"/>
        <v>3184</v>
      </c>
      <c r="AA14" s="5">
        <f t="shared" si="15"/>
        <v>0</v>
      </c>
    </row>
    <row r="15" spans="1:27" ht="19.5">
      <c r="A15" s="1">
        <v>2</v>
      </c>
      <c r="B15" s="9" t="s">
        <v>15</v>
      </c>
      <c r="C15" s="1">
        <v>398</v>
      </c>
      <c r="D15" s="5">
        <f>Table1[[#This Row],[Enrolment S.Y. 2025-2026 ]]*8</f>
        <v>3184</v>
      </c>
      <c r="E15" s="5">
        <v>403</v>
      </c>
      <c r="F15" s="1">
        <v>2025</v>
      </c>
      <c r="G15" s="5" t="s">
        <v>62</v>
      </c>
      <c r="H15" s="5">
        <f>IF((D15-E15)&lt;0,0,(D15-E15))</f>
        <v>2781</v>
      </c>
      <c r="I15" s="5">
        <f>IF((E15-D15)&lt;0,0,(E15-D15))</f>
        <v>0</v>
      </c>
      <c r="J15" s="5">
        <f>Table1[[#This Row],[Enrolment S.Y. 2025-2026 ]]*8</f>
        <v>3184</v>
      </c>
      <c r="K15" s="5">
        <v>0</v>
      </c>
      <c r="L15" s="1"/>
      <c r="M15" s="5"/>
      <c r="N15" s="5">
        <f t="shared" si="10"/>
        <v>3184</v>
      </c>
      <c r="O15" s="5">
        <f t="shared" si="11"/>
        <v>0</v>
      </c>
      <c r="P15" s="5">
        <f>Table1[[#This Row],[Enrolment S.Y. 2025-2026 ]]*8</f>
        <v>3184</v>
      </c>
      <c r="Q15" s="5"/>
      <c r="R15" s="1"/>
      <c r="S15" s="5"/>
      <c r="T15" s="5">
        <f t="shared" si="12"/>
        <v>3184</v>
      </c>
      <c r="U15" s="5">
        <f t="shared" si="13"/>
        <v>0</v>
      </c>
      <c r="V15" s="5">
        <f>Table1[[#This Row],[Enrolment S.Y. 2025-2026 ]]*8</f>
        <v>3184</v>
      </c>
      <c r="W15" s="5"/>
      <c r="X15" s="1"/>
      <c r="Y15" s="5"/>
      <c r="Z15" s="5">
        <f t="shared" si="14"/>
        <v>3184</v>
      </c>
      <c r="AA15" s="5">
        <f t="shared" si="15"/>
        <v>0</v>
      </c>
    </row>
    <row r="16" spans="1:27" s="7" customFormat="1" ht="19.5">
      <c r="J16" s="13"/>
      <c r="M16" s="5"/>
      <c r="N16" s="13"/>
      <c r="O16" s="13"/>
      <c r="P16" s="13"/>
      <c r="S16" s="5"/>
      <c r="T16" s="13"/>
      <c r="U16" s="13"/>
      <c r="V16" s="13"/>
      <c r="Y16" s="5"/>
      <c r="Z16" s="13"/>
      <c r="AA16" s="13"/>
    </row>
    <row r="17" spans="1:27" ht="19.5">
      <c r="A17" s="1">
        <v>3</v>
      </c>
      <c r="B17" s="2" t="s">
        <v>11</v>
      </c>
      <c r="C17" s="1">
        <v>392</v>
      </c>
      <c r="D17" s="5">
        <f>Table1[[#This Row],[Enrolment S.Y. 2025-2026 ]]*8</f>
        <v>3136</v>
      </c>
      <c r="E17" s="5">
        <v>343</v>
      </c>
      <c r="F17" s="1">
        <v>2025</v>
      </c>
      <c r="G17" s="5" t="s">
        <v>62</v>
      </c>
      <c r="H17" s="5">
        <f t="shared" si="2"/>
        <v>2793</v>
      </c>
      <c r="I17" s="5">
        <f t="shared" si="3"/>
        <v>0</v>
      </c>
      <c r="J17" s="5">
        <f>Table1[[#This Row],[Enrolment S.Y. 2025-2026 ]]*8</f>
        <v>3136</v>
      </c>
      <c r="K17" s="5">
        <v>0</v>
      </c>
      <c r="L17" s="1"/>
      <c r="M17" s="5"/>
      <c r="N17" s="5">
        <f t="shared" si="10"/>
        <v>3136</v>
      </c>
      <c r="O17" s="5">
        <f t="shared" si="11"/>
        <v>0</v>
      </c>
      <c r="P17" s="5">
        <f>Table1[[#This Row],[Enrolment S.Y. 2025-2026 ]]*8</f>
        <v>3136</v>
      </c>
      <c r="Q17" s="5"/>
      <c r="R17" s="1"/>
      <c r="S17" s="5"/>
      <c r="T17" s="5">
        <f t="shared" si="12"/>
        <v>3136</v>
      </c>
      <c r="U17" s="5">
        <f t="shared" si="13"/>
        <v>0</v>
      </c>
      <c r="V17" s="5">
        <f>Table1[[#This Row],[Enrolment S.Y. 2025-2026 ]]*8</f>
        <v>3136</v>
      </c>
      <c r="W17" s="5"/>
      <c r="X17" s="1"/>
      <c r="Y17" s="5"/>
      <c r="Z17" s="5">
        <f t="shared" si="14"/>
        <v>3136</v>
      </c>
      <c r="AA17" s="5">
        <f t="shared" si="15"/>
        <v>0</v>
      </c>
    </row>
    <row r="18" spans="1:27" ht="19.5">
      <c r="A18" s="1">
        <v>3</v>
      </c>
      <c r="B18" s="2" t="s">
        <v>14</v>
      </c>
      <c r="C18" s="1">
        <v>392</v>
      </c>
      <c r="D18" s="5">
        <f>Table1[[#This Row],[Enrolment S.Y. 2025-2026 ]]*8</f>
        <v>3136</v>
      </c>
      <c r="E18" s="5">
        <v>343</v>
      </c>
      <c r="F18" s="1">
        <v>2025</v>
      </c>
      <c r="G18" s="5" t="s">
        <v>62</v>
      </c>
      <c r="H18" s="5">
        <f t="shared" si="2"/>
        <v>2793</v>
      </c>
      <c r="I18" s="5">
        <f t="shared" si="3"/>
        <v>0</v>
      </c>
      <c r="J18" s="5">
        <f>Table1[[#This Row],[Enrolment S.Y. 2025-2026 ]]*8</f>
        <v>3136</v>
      </c>
      <c r="K18" s="5">
        <v>0</v>
      </c>
      <c r="L18" s="1"/>
      <c r="M18" s="5"/>
      <c r="N18" s="5">
        <f t="shared" si="10"/>
        <v>3136</v>
      </c>
      <c r="O18" s="5">
        <f t="shared" si="11"/>
        <v>0</v>
      </c>
      <c r="P18" s="5">
        <f>Table1[[#This Row],[Enrolment S.Y. 2025-2026 ]]*8</f>
        <v>3136</v>
      </c>
      <c r="Q18" s="5"/>
      <c r="R18" s="1"/>
      <c r="S18" s="5"/>
      <c r="T18" s="5">
        <f t="shared" si="12"/>
        <v>3136</v>
      </c>
      <c r="U18" s="5">
        <f t="shared" si="13"/>
        <v>0</v>
      </c>
      <c r="V18" s="5">
        <f>Table1[[#This Row],[Enrolment S.Y. 2025-2026 ]]*8</f>
        <v>3136</v>
      </c>
      <c r="W18" s="5"/>
      <c r="X18" s="1"/>
      <c r="Y18" s="5"/>
      <c r="Z18" s="5">
        <f t="shared" si="14"/>
        <v>3136</v>
      </c>
      <c r="AA18" s="5">
        <f t="shared" si="15"/>
        <v>0</v>
      </c>
    </row>
    <row r="19" spans="1:27" ht="19.5">
      <c r="A19" s="1">
        <v>3</v>
      </c>
      <c r="B19" s="2" t="s">
        <v>12</v>
      </c>
      <c r="C19" s="1">
        <v>392</v>
      </c>
      <c r="D19" s="5">
        <f>Table1[[#This Row],[Enrolment S.Y. 2025-2026 ]]*8</f>
        <v>3136</v>
      </c>
      <c r="E19" s="5">
        <v>343</v>
      </c>
      <c r="F19" s="1">
        <v>2025</v>
      </c>
      <c r="G19" s="5" t="s">
        <v>62</v>
      </c>
      <c r="H19" s="5">
        <f t="shared" si="2"/>
        <v>2793</v>
      </c>
      <c r="I19" s="5">
        <f t="shared" si="3"/>
        <v>0</v>
      </c>
      <c r="J19" s="5">
        <f>Table1[[#This Row],[Enrolment S.Y. 2025-2026 ]]*8</f>
        <v>3136</v>
      </c>
      <c r="K19" s="5">
        <v>0</v>
      </c>
      <c r="L19" s="1"/>
      <c r="M19" s="5"/>
      <c r="N19" s="5">
        <f t="shared" si="10"/>
        <v>3136</v>
      </c>
      <c r="O19" s="5">
        <f t="shared" si="11"/>
        <v>0</v>
      </c>
      <c r="P19" s="5">
        <f>Table1[[#This Row],[Enrolment S.Y. 2025-2026 ]]*8</f>
        <v>3136</v>
      </c>
      <c r="Q19" s="5"/>
      <c r="R19" s="1"/>
      <c r="S19" s="5"/>
      <c r="T19" s="5">
        <f t="shared" si="12"/>
        <v>3136</v>
      </c>
      <c r="U19" s="5">
        <f t="shared" si="13"/>
        <v>0</v>
      </c>
      <c r="V19" s="5">
        <f>Table1[[#This Row],[Enrolment S.Y. 2025-2026 ]]*8</f>
        <v>3136</v>
      </c>
      <c r="W19" s="5"/>
      <c r="X19" s="1"/>
      <c r="Y19" s="5"/>
      <c r="Z19" s="5">
        <f t="shared" si="14"/>
        <v>3136</v>
      </c>
      <c r="AA19" s="5">
        <f t="shared" si="15"/>
        <v>0</v>
      </c>
    </row>
    <row r="20" spans="1:27" ht="19.5">
      <c r="A20" s="1">
        <v>3</v>
      </c>
      <c r="B20" s="2" t="s">
        <v>13</v>
      </c>
      <c r="C20" s="1">
        <v>392</v>
      </c>
      <c r="D20" s="5">
        <f>Table1[[#This Row],[Enrolment S.Y. 2025-2026 ]]*8</f>
        <v>3136</v>
      </c>
      <c r="E20" s="5">
        <v>400</v>
      </c>
      <c r="F20" s="1">
        <v>2025</v>
      </c>
      <c r="G20" s="5" t="s">
        <v>62</v>
      </c>
      <c r="H20" s="5">
        <f t="shared" si="2"/>
        <v>2736</v>
      </c>
      <c r="I20" s="5">
        <f t="shared" si="3"/>
        <v>0</v>
      </c>
      <c r="J20" s="5">
        <f>Table1[[#This Row],[Enrolment S.Y. 2025-2026 ]]*8</f>
        <v>3136</v>
      </c>
      <c r="K20" s="5">
        <v>0</v>
      </c>
      <c r="L20" s="1"/>
      <c r="M20" s="5"/>
      <c r="N20" s="5">
        <f t="shared" si="10"/>
        <v>3136</v>
      </c>
      <c r="O20" s="5">
        <f t="shared" si="11"/>
        <v>0</v>
      </c>
      <c r="P20" s="5">
        <f>Table1[[#This Row],[Enrolment S.Y. 2025-2026 ]]*8</f>
        <v>3136</v>
      </c>
      <c r="Q20" s="5"/>
      <c r="R20" s="1"/>
      <c r="S20" s="5"/>
      <c r="T20" s="5">
        <f t="shared" si="12"/>
        <v>3136</v>
      </c>
      <c r="U20" s="5">
        <f t="shared" si="13"/>
        <v>0</v>
      </c>
      <c r="V20" s="5">
        <f>Table1[[#This Row],[Enrolment S.Y. 2025-2026 ]]*8</f>
        <v>3136</v>
      </c>
      <c r="W20" s="5"/>
      <c r="X20" s="1"/>
      <c r="Y20" s="5"/>
      <c r="Z20" s="5">
        <f t="shared" si="14"/>
        <v>3136</v>
      </c>
      <c r="AA20" s="5">
        <f t="shared" si="15"/>
        <v>0</v>
      </c>
    </row>
    <row r="21" spans="1:27" ht="19.5">
      <c r="A21" s="1">
        <v>3</v>
      </c>
      <c r="B21" s="9" t="s">
        <v>15</v>
      </c>
      <c r="C21" s="1">
        <v>392</v>
      </c>
      <c r="D21" s="5">
        <f>Table1[[#This Row],[Enrolment S.Y. 2025-2026 ]]*8</f>
        <v>3136</v>
      </c>
      <c r="E21" s="5">
        <v>343</v>
      </c>
      <c r="F21" s="1">
        <v>2025</v>
      </c>
      <c r="G21" s="5" t="s">
        <v>62</v>
      </c>
      <c r="H21" s="5">
        <f>IF((D21-E21)&lt;0,0,(D21-E21))</f>
        <v>2793</v>
      </c>
      <c r="I21" s="5">
        <f>IF((E21-D21)&lt;0,0,(E21-D21))</f>
        <v>0</v>
      </c>
      <c r="J21" s="5">
        <f>Table1[[#This Row],[Enrolment S.Y. 2025-2026 ]]*8</f>
        <v>3136</v>
      </c>
      <c r="K21" s="5">
        <v>0</v>
      </c>
      <c r="L21" s="1"/>
      <c r="M21" s="5"/>
      <c r="N21" s="5">
        <f t="shared" si="10"/>
        <v>3136</v>
      </c>
      <c r="O21" s="5">
        <f t="shared" si="11"/>
        <v>0</v>
      </c>
      <c r="P21" s="5">
        <f>Table1[[#This Row],[Enrolment S.Y. 2025-2026 ]]*8</f>
        <v>3136</v>
      </c>
      <c r="Q21" s="5"/>
      <c r="R21" s="1"/>
      <c r="S21" s="5"/>
      <c r="T21" s="5">
        <f t="shared" si="12"/>
        <v>3136</v>
      </c>
      <c r="U21" s="5">
        <f t="shared" si="13"/>
        <v>0</v>
      </c>
      <c r="V21" s="5">
        <f>Table1[[#This Row],[Enrolment S.Y. 2025-2026 ]]*8</f>
        <v>3136</v>
      </c>
      <c r="W21" s="5"/>
      <c r="X21" s="1"/>
      <c r="Y21" s="5"/>
      <c r="Z21" s="5">
        <f t="shared" si="14"/>
        <v>3136</v>
      </c>
      <c r="AA21" s="5">
        <f t="shared" si="15"/>
        <v>0</v>
      </c>
    </row>
    <row r="22" spans="1:27" ht="19.5">
      <c r="A22" s="1">
        <v>3</v>
      </c>
      <c r="B22" s="9" t="s">
        <v>16</v>
      </c>
      <c r="C22" s="1">
        <v>392</v>
      </c>
      <c r="D22" s="5">
        <f>Table1[[#This Row],[Enrolment S.Y. 2025-2026 ]]*8</f>
        <v>3136</v>
      </c>
      <c r="E22" s="5">
        <v>343</v>
      </c>
      <c r="F22" s="1">
        <v>2025</v>
      </c>
      <c r="G22" s="5" t="s">
        <v>62</v>
      </c>
      <c r="H22" s="5">
        <f>IF((D22-E22)&lt;0,0,(D22-E22))</f>
        <v>2793</v>
      </c>
      <c r="I22" s="5">
        <f>IF((E22-D22)&lt;0,0,(E22-D22))</f>
        <v>0</v>
      </c>
      <c r="J22" s="5">
        <f>Table1[[#This Row],[Enrolment S.Y. 2025-2026 ]]*8</f>
        <v>3136</v>
      </c>
      <c r="K22" s="5">
        <v>0</v>
      </c>
      <c r="L22" s="1"/>
      <c r="M22" s="5"/>
      <c r="N22" s="5">
        <f t="shared" si="10"/>
        <v>3136</v>
      </c>
      <c r="O22" s="5">
        <f t="shared" si="11"/>
        <v>0</v>
      </c>
      <c r="P22" s="5">
        <f>Table1[[#This Row],[Enrolment S.Y. 2025-2026 ]]*8</f>
        <v>3136</v>
      </c>
      <c r="Q22" s="5"/>
      <c r="R22" s="1"/>
      <c r="S22" s="5"/>
      <c r="T22" s="5">
        <f t="shared" si="12"/>
        <v>3136</v>
      </c>
      <c r="U22" s="5">
        <f t="shared" si="13"/>
        <v>0</v>
      </c>
      <c r="V22" s="5">
        <f>Table1[[#This Row],[Enrolment S.Y. 2025-2026 ]]*8</f>
        <v>3136</v>
      </c>
      <c r="W22" s="5"/>
      <c r="X22" s="1"/>
      <c r="Y22" s="5"/>
      <c r="Z22" s="5">
        <f t="shared" si="14"/>
        <v>3136</v>
      </c>
      <c r="AA22" s="5">
        <f t="shared" si="15"/>
        <v>0</v>
      </c>
    </row>
    <row r="23" spans="1:27" s="7" customFormat="1" ht="19.149999999999999">
      <c r="J23" s="13"/>
      <c r="M23" s="5"/>
      <c r="N23" s="13"/>
      <c r="O23" s="13"/>
      <c r="P23" s="13"/>
      <c r="S23" s="5"/>
      <c r="T23" s="13"/>
      <c r="U23" s="13"/>
      <c r="V23" s="13"/>
      <c r="Y23" s="5"/>
      <c r="Z23" s="13"/>
      <c r="AA23" s="13"/>
    </row>
    <row r="24" spans="1:27" ht="19.5">
      <c r="A24" s="1">
        <v>4</v>
      </c>
      <c r="B24" s="9" t="s">
        <v>15</v>
      </c>
      <c r="C24" s="1">
        <v>454</v>
      </c>
      <c r="D24" s="5">
        <f>Table1[[#This Row],[Enrolment S.Y. 2025-2026 ]]*8</f>
        <v>3632</v>
      </c>
      <c r="E24" s="5"/>
      <c r="F24" s="1"/>
      <c r="G24" s="5"/>
      <c r="H24" s="5">
        <f t="shared" si="2"/>
        <v>3632</v>
      </c>
      <c r="I24" s="5">
        <f t="shared" si="3"/>
        <v>0</v>
      </c>
      <c r="J24" s="5">
        <f>Table1[[#This Row],[Enrolment S.Y. 2025-2026 ]]*8</f>
        <v>3632</v>
      </c>
      <c r="K24" s="5"/>
      <c r="L24" s="1"/>
      <c r="M24" s="5"/>
      <c r="N24" s="5">
        <f t="shared" si="10"/>
        <v>3632</v>
      </c>
      <c r="O24" s="5">
        <f t="shared" si="11"/>
        <v>0</v>
      </c>
      <c r="P24" s="5">
        <f>Table1[[#This Row],[Enrolment S.Y. 2025-2026 ]]*8</f>
        <v>3632</v>
      </c>
      <c r="Q24" s="5"/>
      <c r="R24" s="1"/>
      <c r="S24" s="5"/>
      <c r="T24" s="5">
        <f t="shared" si="12"/>
        <v>3632</v>
      </c>
      <c r="U24" s="5">
        <f t="shared" si="13"/>
        <v>0</v>
      </c>
      <c r="V24" s="5">
        <f>Table1[[#This Row],[Enrolment S.Y. 2025-2026 ]]*8</f>
        <v>3632</v>
      </c>
      <c r="W24" s="5"/>
      <c r="X24" s="1"/>
      <c r="Y24" s="5"/>
      <c r="Z24" s="5">
        <f t="shared" si="14"/>
        <v>3632</v>
      </c>
      <c r="AA24" s="5">
        <f t="shared" si="15"/>
        <v>0</v>
      </c>
    </row>
    <row r="25" spans="1:27" ht="19.5">
      <c r="A25" s="1">
        <v>4</v>
      </c>
      <c r="B25" s="9" t="s">
        <v>16</v>
      </c>
      <c r="C25" s="1">
        <v>454</v>
      </c>
      <c r="D25" s="5">
        <f>Table1[[#This Row],[Enrolment S.Y. 2025-2026 ]]*8</f>
        <v>3632</v>
      </c>
      <c r="E25" s="5"/>
      <c r="F25" s="1"/>
      <c r="G25" s="5"/>
      <c r="H25" s="5">
        <f t="shared" si="2"/>
        <v>3632</v>
      </c>
      <c r="I25" s="5">
        <f t="shared" si="3"/>
        <v>0</v>
      </c>
      <c r="J25" s="5">
        <f>Table1[[#This Row],[Enrolment S.Y. 2025-2026 ]]*8</f>
        <v>3632</v>
      </c>
      <c r="K25" s="5"/>
      <c r="L25" s="1"/>
      <c r="M25" s="5"/>
      <c r="N25" s="5">
        <f t="shared" si="10"/>
        <v>3632</v>
      </c>
      <c r="O25" s="5">
        <f t="shared" si="11"/>
        <v>0</v>
      </c>
      <c r="P25" s="5">
        <f>Table1[[#This Row],[Enrolment S.Y. 2025-2026 ]]*8</f>
        <v>3632</v>
      </c>
      <c r="Q25" s="5"/>
      <c r="R25" s="1"/>
      <c r="S25" s="5"/>
      <c r="T25" s="5">
        <f t="shared" si="12"/>
        <v>3632</v>
      </c>
      <c r="U25" s="5">
        <f t="shared" si="13"/>
        <v>0</v>
      </c>
      <c r="V25" s="5">
        <f>Table1[[#This Row],[Enrolment S.Y. 2025-2026 ]]*8</f>
        <v>3632</v>
      </c>
      <c r="W25" s="5"/>
      <c r="X25" s="1"/>
      <c r="Y25" s="5"/>
      <c r="Z25" s="5">
        <f t="shared" si="14"/>
        <v>3632</v>
      </c>
      <c r="AA25" s="5">
        <f t="shared" si="15"/>
        <v>0</v>
      </c>
    </row>
    <row r="26" spans="1:27" ht="19.5">
      <c r="A26" s="1">
        <v>4</v>
      </c>
      <c r="B26" s="9" t="s">
        <v>13</v>
      </c>
      <c r="C26" s="1">
        <v>454</v>
      </c>
      <c r="D26" s="5">
        <f>Table1[[#This Row],[Enrolment S.Y. 2025-2026 ]]*8</f>
        <v>3632</v>
      </c>
      <c r="E26" s="5"/>
      <c r="F26" s="1"/>
      <c r="G26" s="5"/>
      <c r="H26" s="5">
        <f t="shared" si="2"/>
        <v>3632</v>
      </c>
      <c r="I26" s="5">
        <f t="shared" si="3"/>
        <v>0</v>
      </c>
      <c r="J26" s="5">
        <f>Table1[[#This Row],[Enrolment S.Y. 2025-2026 ]]*8</f>
        <v>3632</v>
      </c>
      <c r="K26" s="5"/>
      <c r="L26" s="1"/>
      <c r="M26" s="5"/>
      <c r="N26" s="5">
        <f t="shared" si="10"/>
        <v>3632</v>
      </c>
      <c r="O26" s="5">
        <f t="shared" si="11"/>
        <v>0</v>
      </c>
      <c r="P26" s="5">
        <f>Table1[[#This Row],[Enrolment S.Y. 2025-2026 ]]*8</f>
        <v>3632</v>
      </c>
      <c r="Q26" s="5"/>
      <c r="R26" s="1"/>
      <c r="S26" s="5"/>
      <c r="T26" s="5">
        <f t="shared" si="12"/>
        <v>3632</v>
      </c>
      <c r="U26" s="5">
        <f t="shared" si="13"/>
        <v>0</v>
      </c>
      <c r="V26" s="5">
        <f>Table1[[#This Row],[Enrolment S.Y. 2025-2026 ]]*8</f>
        <v>3632</v>
      </c>
      <c r="W26" s="5"/>
      <c r="X26" s="1"/>
      <c r="Y26" s="5"/>
      <c r="Z26" s="5">
        <f t="shared" si="14"/>
        <v>3632</v>
      </c>
      <c r="AA26" s="5">
        <f t="shared" si="15"/>
        <v>0</v>
      </c>
    </row>
    <row r="27" spans="1:27" ht="19.5">
      <c r="A27" s="1">
        <v>4</v>
      </c>
      <c r="B27" s="9" t="s">
        <v>11</v>
      </c>
      <c r="C27" s="1">
        <v>454</v>
      </c>
      <c r="D27" s="5">
        <f>Table1[[#This Row],[Enrolment S.Y. 2025-2026 ]]*8</f>
        <v>3632</v>
      </c>
      <c r="E27" s="5"/>
      <c r="F27" s="1"/>
      <c r="G27" s="5"/>
      <c r="H27" s="5">
        <f t="shared" si="2"/>
        <v>3632</v>
      </c>
      <c r="I27" s="5">
        <f t="shared" si="3"/>
        <v>0</v>
      </c>
      <c r="J27" s="5">
        <f>Table1[[#This Row],[Enrolment S.Y. 2025-2026 ]]*8</f>
        <v>3632</v>
      </c>
      <c r="K27" s="5"/>
      <c r="L27" s="1"/>
      <c r="M27" s="5"/>
      <c r="N27" s="5">
        <f t="shared" si="10"/>
        <v>3632</v>
      </c>
      <c r="O27" s="5">
        <f t="shared" si="11"/>
        <v>0</v>
      </c>
      <c r="P27" s="5">
        <f>Table1[[#This Row],[Enrolment S.Y. 2025-2026 ]]*8</f>
        <v>3632</v>
      </c>
      <c r="Q27" s="5"/>
      <c r="R27" s="1"/>
      <c r="S27" s="5"/>
      <c r="T27" s="5">
        <f t="shared" si="12"/>
        <v>3632</v>
      </c>
      <c r="U27" s="5">
        <f t="shared" si="13"/>
        <v>0</v>
      </c>
      <c r="V27" s="5">
        <f>Table1[[#This Row],[Enrolment S.Y. 2025-2026 ]]*8</f>
        <v>3632</v>
      </c>
      <c r="W27" s="5"/>
      <c r="X27" s="1"/>
      <c r="Y27" s="5"/>
      <c r="Z27" s="5">
        <f t="shared" si="14"/>
        <v>3632</v>
      </c>
      <c r="AA27" s="5">
        <f t="shared" si="15"/>
        <v>0</v>
      </c>
    </row>
    <row r="28" spans="1:27" ht="38.25">
      <c r="A28" s="1">
        <v>4</v>
      </c>
      <c r="B28" s="9" t="s">
        <v>17</v>
      </c>
      <c r="C28" s="1">
        <v>454</v>
      </c>
      <c r="D28" s="5">
        <f>Table1[[#This Row],[Enrolment S.Y. 2025-2026 ]]*8</f>
        <v>3632</v>
      </c>
      <c r="E28" s="5"/>
      <c r="F28" s="1"/>
      <c r="G28" s="5"/>
      <c r="H28" s="5">
        <f t="shared" si="2"/>
        <v>3632</v>
      </c>
      <c r="I28" s="5">
        <f t="shared" si="3"/>
        <v>0</v>
      </c>
      <c r="J28" s="5">
        <f>Table1[[#This Row],[Enrolment S.Y. 2025-2026 ]]*8</f>
        <v>3632</v>
      </c>
      <c r="K28" s="5"/>
      <c r="L28" s="1"/>
      <c r="M28" s="5"/>
      <c r="N28" s="5">
        <f t="shared" si="10"/>
        <v>3632</v>
      </c>
      <c r="O28" s="5">
        <f t="shared" si="11"/>
        <v>0</v>
      </c>
      <c r="P28" s="5">
        <f>Table1[[#This Row],[Enrolment S.Y. 2025-2026 ]]*8</f>
        <v>3632</v>
      </c>
      <c r="Q28" s="5"/>
      <c r="R28" s="1"/>
      <c r="S28" s="5"/>
      <c r="T28" s="5">
        <f t="shared" si="12"/>
        <v>3632</v>
      </c>
      <c r="U28" s="5">
        <f t="shared" si="13"/>
        <v>0</v>
      </c>
      <c r="V28" s="5">
        <f>Table1[[#This Row],[Enrolment S.Y. 2025-2026 ]]*8</f>
        <v>3632</v>
      </c>
      <c r="W28" s="5"/>
      <c r="X28" s="1"/>
      <c r="Y28" s="5"/>
      <c r="Z28" s="5">
        <f t="shared" si="14"/>
        <v>3632</v>
      </c>
      <c r="AA28" s="5">
        <f t="shared" si="15"/>
        <v>0</v>
      </c>
    </row>
    <row r="29" spans="1:27" ht="19.5">
      <c r="A29" s="1">
        <v>4</v>
      </c>
      <c r="B29" s="9" t="s">
        <v>14</v>
      </c>
      <c r="C29" s="1">
        <v>454</v>
      </c>
      <c r="D29" s="5">
        <f>Table1[[#This Row],[Enrolment S.Y. 2025-2026 ]]*8</f>
        <v>3632</v>
      </c>
      <c r="E29" s="5"/>
      <c r="F29" s="1"/>
      <c r="G29" s="5"/>
      <c r="H29" s="5">
        <f t="shared" si="2"/>
        <v>3632</v>
      </c>
      <c r="I29" s="5">
        <f t="shared" si="3"/>
        <v>0</v>
      </c>
      <c r="J29" s="5">
        <f>Table1[[#This Row],[Enrolment S.Y. 2025-2026 ]]*8</f>
        <v>3632</v>
      </c>
      <c r="K29" s="5"/>
      <c r="L29" s="1"/>
      <c r="M29" s="5"/>
      <c r="N29" s="5">
        <f t="shared" si="10"/>
        <v>3632</v>
      </c>
      <c r="O29" s="5">
        <f t="shared" si="11"/>
        <v>0</v>
      </c>
      <c r="P29" s="5">
        <f>Table1[[#This Row],[Enrolment S.Y. 2025-2026 ]]*8</f>
        <v>3632</v>
      </c>
      <c r="Q29" s="5"/>
      <c r="R29" s="1"/>
      <c r="S29" s="5"/>
      <c r="T29" s="5">
        <f t="shared" si="12"/>
        <v>3632</v>
      </c>
      <c r="U29" s="5">
        <f t="shared" si="13"/>
        <v>0</v>
      </c>
      <c r="V29" s="5">
        <f>Table1[[#This Row],[Enrolment S.Y. 2025-2026 ]]*8</f>
        <v>3632</v>
      </c>
      <c r="W29" s="5"/>
      <c r="X29" s="1"/>
      <c r="Y29" s="5"/>
      <c r="Z29" s="5">
        <f t="shared" si="14"/>
        <v>3632</v>
      </c>
      <c r="AA29" s="5">
        <f t="shared" si="15"/>
        <v>0</v>
      </c>
    </row>
    <row r="30" spans="1:27" ht="19.5">
      <c r="A30" s="1">
        <v>4</v>
      </c>
      <c r="B30" s="9" t="s">
        <v>18</v>
      </c>
      <c r="C30" s="1">
        <v>454</v>
      </c>
      <c r="D30" s="5">
        <f>Table1[[#This Row],[Enrolment S.Y. 2025-2026 ]]*8</f>
        <v>3632</v>
      </c>
      <c r="E30" s="5"/>
      <c r="F30" s="1"/>
      <c r="G30" s="5"/>
      <c r="H30" s="5">
        <f t="shared" si="2"/>
        <v>3632</v>
      </c>
      <c r="I30" s="5">
        <f t="shared" si="3"/>
        <v>0</v>
      </c>
      <c r="J30" s="5">
        <f>Table1[[#This Row],[Enrolment S.Y. 2025-2026 ]]*8</f>
        <v>3632</v>
      </c>
      <c r="K30" s="5"/>
      <c r="L30" s="1"/>
      <c r="M30" s="5"/>
      <c r="N30" s="5">
        <f t="shared" si="10"/>
        <v>3632</v>
      </c>
      <c r="O30" s="5">
        <f t="shared" si="11"/>
        <v>0</v>
      </c>
      <c r="P30" s="5">
        <f>Table1[[#This Row],[Enrolment S.Y. 2025-2026 ]]*8</f>
        <v>3632</v>
      </c>
      <c r="Q30" s="5"/>
      <c r="R30" s="1"/>
      <c r="S30" s="5"/>
      <c r="T30" s="5">
        <f t="shared" si="12"/>
        <v>3632</v>
      </c>
      <c r="U30" s="5">
        <f t="shared" si="13"/>
        <v>0</v>
      </c>
      <c r="V30" s="5">
        <f>Table1[[#This Row],[Enrolment S.Y. 2025-2026 ]]*8</f>
        <v>3632</v>
      </c>
      <c r="W30" s="5"/>
      <c r="X30" s="1"/>
      <c r="Y30" s="5"/>
      <c r="Z30" s="5">
        <f t="shared" si="14"/>
        <v>3632</v>
      </c>
      <c r="AA30" s="5">
        <f t="shared" si="15"/>
        <v>0</v>
      </c>
    </row>
    <row r="31" spans="1:27" ht="19.5">
      <c r="A31" s="1">
        <v>4</v>
      </c>
      <c r="B31" s="9" t="s">
        <v>19</v>
      </c>
      <c r="C31" s="1">
        <v>454</v>
      </c>
      <c r="D31" s="5">
        <f>Table1[[#This Row],[Enrolment S.Y. 2025-2026 ]]*8</f>
        <v>3632</v>
      </c>
      <c r="E31" s="5"/>
      <c r="F31" s="1"/>
      <c r="G31" s="5"/>
      <c r="H31" s="5">
        <f t="shared" si="2"/>
        <v>3632</v>
      </c>
      <c r="I31" s="5">
        <f t="shared" si="3"/>
        <v>0</v>
      </c>
      <c r="J31" s="5">
        <f>Table1[[#This Row],[Enrolment S.Y. 2025-2026 ]]*8</f>
        <v>3632</v>
      </c>
      <c r="K31" s="5"/>
      <c r="L31" s="1"/>
      <c r="M31" s="5"/>
      <c r="N31" s="5">
        <f t="shared" si="10"/>
        <v>3632</v>
      </c>
      <c r="O31" s="5">
        <f t="shared" si="11"/>
        <v>0</v>
      </c>
      <c r="P31" s="5">
        <f>Table1[[#This Row],[Enrolment S.Y. 2025-2026 ]]*8</f>
        <v>3632</v>
      </c>
      <c r="Q31" s="5"/>
      <c r="R31" s="1"/>
      <c r="S31" s="5"/>
      <c r="T31" s="5">
        <f t="shared" si="12"/>
        <v>3632</v>
      </c>
      <c r="U31" s="5">
        <f t="shared" si="13"/>
        <v>0</v>
      </c>
      <c r="V31" s="5">
        <f>Table1[[#This Row],[Enrolment S.Y. 2025-2026 ]]*8</f>
        <v>3632</v>
      </c>
      <c r="W31" s="5"/>
      <c r="X31" s="1"/>
      <c r="Y31" s="5"/>
      <c r="Z31" s="5">
        <f t="shared" si="14"/>
        <v>3632</v>
      </c>
      <c r="AA31" s="5">
        <f t="shared" si="15"/>
        <v>0</v>
      </c>
    </row>
    <row r="32" spans="1:27" ht="19.5">
      <c r="A32" s="1">
        <v>4</v>
      </c>
      <c r="B32" s="9" t="s">
        <v>20</v>
      </c>
      <c r="C32" s="1">
        <v>454</v>
      </c>
      <c r="D32" s="5">
        <f>Table1[[#This Row],[Enrolment S.Y. 2025-2026 ]]*8</f>
        <v>3632</v>
      </c>
      <c r="E32" s="5"/>
      <c r="F32" s="1"/>
      <c r="G32" s="5"/>
      <c r="H32" s="5">
        <f t="shared" si="2"/>
        <v>3632</v>
      </c>
      <c r="I32" s="5">
        <f t="shared" si="3"/>
        <v>0</v>
      </c>
      <c r="J32" s="5">
        <f>Table1[[#This Row],[Enrolment S.Y. 2025-2026 ]]*8</f>
        <v>3632</v>
      </c>
      <c r="K32" s="5"/>
      <c r="L32" s="1"/>
      <c r="M32" s="5"/>
      <c r="N32" s="5">
        <f t="shared" si="10"/>
        <v>3632</v>
      </c>
      <c r="O32" s="5">
        <f t="shared" si="11"/>
        <v>0</v>
      </c>
      <c r="P32" s="5">
        <f>Table1[[#This Row],[Enrolment S.Y. 2025-2026 ]]*8</f>
        <v>3632</v>
      </c>
      <c r="Q32" s="5">
        <v>503</v>
      </c>
      <c r="R32" s="1">
        <v>2025</v>
      </c>
      <c r="S32" s="5" t="s">
        <v>62</v>
      </c>
      <c r="T32" s="5">
        <f t="shared" si="12"/>
        <v>3129</v>
      </c>
      <c r="U32" s="5">
        <f t="shared" si="13"/>
        <v>0</v>
      </c>
      <c r="V32" s="5">
        <f>Table1[[#This Row],[Enrolment S.Y. 2025-2026 ]]*8</f>
        <v>3632</v>
      </c>
      <c r="W32" s="5"/>
      <c r="X32" s="1"/>
      <c r="Y32" s="5"/>
      <c r="Z32" s="5">
        <f t="shared" si="14"/>
        <v>3632</v>
      </c>
      <c r="AA32" s="5">
        <f t="shared" si="15"/>
        <v>0</v>
      </c>
    </row>
    <row r="33" spans="1:27" s="7" customFormat="1" ht="19.149999999999999">
      <c r="J33" s="13"/>
      <c r="M33" s="5"/>
      <c r="N33" s="13"/>
      <c r="O33" s="13"/>
      <c r="P33" s="13"/>
      <c r="S33" s="5"/>
      <c r="T33" s="13"/>
      <c r="U33" s="13"/>
      <c r="V33" s="13"/>
      <c r="Y33" s="5"/>
      <c r="Z33" s="13"/>
      <c r="AA33" s="13"/>
    </row>
    <row r="34" spans="1:27" ht="19.5">
      <c r="A34" s="1">
        <v>5</v>
      </c>
      <c r="B34" s="9" t="s">
        <v>15</v>
      </c>
      <c r="C34" s="1">
        <v>381</v>
      </c>
      <c r="D34" s="5">
        <f>Table1[[#This Row],[Enrolment S.Y. 2025-2026 ]]*8</f>
        <v>3048</v>
      </c>
      <c r="E34" s="5">
        <v>200</v>
      </c>
      <c r="F34" s="1">
        <v>2025</v>
      </c>
      <c r="G34" s="5" t="s">
        <v>62</v>
      </c>
      <c r="H34" s="5">
        <f t="shared" si="2"/>
        <v>2848</v>
      </c>
      <c r="I34" s="5">
        <f t="shared" si="3"/>
        <v>0</v>
      </c>
      <c r="J34" s="5">
        <f>Table1[[#This Row],[Enrolment S.Y. 2025-2026 ]]*8</f>
        <v>3048</v>
      </c>
      <c r="K34" s="5">
        <v>303</v>
      </c>
      <c r="L34" s="1">
        <v>2025</v>
      </c>
      <c r="M34" s="5" t="s">
        <v>62</v>
      </c>
      <c r="N34" s="5">
        <f t="shared" si="10"/>
        <v>2745</v>
      </c>
      <c r="O34" s="5">
        <f t="shared" si="11"/>
        <v>0</v>
      </c>
      <c r="P34" s="5">
        <f>Table1[[#This Row],[Enrolment S.Y. 2025-2026 ]]*8</f>
        <v>3048</v>
      </c>
      <c r="Q34" s="5"/>
      <c r="R34" s="1"/>
      <c r="S34" s="5"/>
      <c r="T34" s="5">
        <f t="shared" si="12"/>
        <v>3048</v>
      </c>
      <c r="U34" s="5">
        <f t="shared" si="13"/>
        <v>0</v>
      </c>
      <c r="V34" s="5">
        <f>Table1[[#This Row],[Enrolment S.Y. 2025-2026 ]]*8</f>
        <v>3048</v>
      </c>
      <c r="W34" s="5"/>
      <c r="X34" s="1"/>
      <c r="Y34" s="5"/>
      <c r="Z34" s="5">
        <f t="shared" si="14"/>
        <v>3048</v>
      </c>
      <c r="AA34" s="5">
        <f t="shared" si="15"/>
        <v>0</v>
      </c>
    </row>
    <row r="35" spans="1:27" ht="19.5">
      <c r="A35" s="1">
        <v>5</v>
      </c>
      <c r="B35" s="9" t="s">
        <v>16</v>
      </c>
      <c r="C35" s="1">
        <v>381</v>
      </c>
      <c r="D35" s="5">
        <f>Table1[[#This Row],[Enrolment S.Y. 2025-2026 ]]*8</f>
        <v>3048</v>
      </c>
      <c r="E35" s="5">
        <v>200</v>
      </c>
      <c r="F35" s="1">
        <v>2025</v>
      </c>
      <c r="G35" s="5" t="s">
        <v>62</v>
      </c>
      <c r="H35" s="5">
        <f t="shared" si="2"/>
        <v>2848</v>
      </c>
      <c r="I35" s="5">
        <f t="shared" si="3"/>
        <v>0</v>
      </c>
      <c r="J35" s="5">
        <f>Table1[[#This Row],[Enrolment S.Y. 2025-2026 ]]*8</f>
        <v>3048</v>
      </c>
      <c r="K35" s="5"/>
      <c r="L35" s="1"/>
      <c r="M35" s="5"/>
      <c r="N35" s="5">
        <f t="shared" si="10"/>
        <v>3048</v>
      </c>
      <c r="O35" s="5">
        <f t="shared" si="11"/>
        <v>0</v>
      </c>
      <c r="P35" s="5">
        <f>Table1[[#This Row],[Enrolment S.Y. 2025-2026 ]]*8</f>
        <v>3048</v>
      </c>
      <c r="Q35" s="5"/>
      <c r="R35" s="1"/>
      <c r="S35" s="5"/>
      <c r="T35" s="5">
        <f t="shared" si="12"/>
        <v>3048</v>
      </c>
      <c r="U35" s="5">
        <f t="shared" si="13"/>
        <v>0</v>
      </c>
      <c r="V35" s="5">
        <f>Table1[[#This Row],[Enrolment S.Y. 2025-2026 ]]*8</f>
        <v>3048</v>
      </c>
      <c r="W35" s="5"/>
      <c r="X35" s="1"/>
      <c r="Y35" s="5"/>
      <c r="Z35" s="5">
        <f t="shared" si="14"/>
        <v>3048</v>
      </c>
      <c r="AA35" s="5">
        <f t="shared" si="15"/>
        <v>0</v>
      </c>
    </row>
    <row r="36" spans="1:27" ht="19.5">
      <c r="A36" s="1">
        <v>5</v>
      </c>
      <c r="B36" s="9" t="s">
        <v>13</v>
      </c>
      <c r="C36" s="1">
        <v>381</v>
      </c>
      <c r="D36" s="5">
        <f>Table1[[#This Row],[Enrolment S.Y. 2025-2026 ]]*8</f>
        <v>3048</v>
      </c>
      <c r="E36" s="5">
        <v>200</v>
      </c>
      <c r="F36" s="1">
        <v>2025</v>
      </c>
      <c r="G36" s="5" t="s">
        <v>62</v>
      </c>
      <c r="H36" s="5">
        <f t="shared" si="2"/>
        <v>2848</v>
      </c>
      <c r="I36" s="5">
        <f t="shared" si="3"/>
        <v>0</v>
      </c>
      <c r="J36" s="5">
        <f>Table1[[#This Row],[Enrolment S.Y. 2025-2026 ]]*8</f>
        <v>3048</v>
      </c>
      <c r="K36" s="5"/>
      <c r="L36" s="1"/>
      <c r="M36" s="5"/>
      <c r="N36" s="5">
        <f t="shared" si="10"/>
        <v>3048</v>
      </c>
      <c r="O36" s="5">
        <f t="shared" si="11"/>
        <v>0</v>
      </c>
      <c r="P36" s="5">
        <f>Table1[[#This Row],[Enrolment S.Y. 2025-2026 ]]*8</f>
        <v>3048</v>
      </c>
      <c r="Q36" s="5"/>
      <c r="R36" s="1"/>
      <c r="S36" s="5"/>
      <c r="T36" s="5">
        <f t="shared" si="12"/>
        <v>3048</v>
      </c>
      <c r="U36" s="5">
        <f t="shared" si="13"/>
        <v>0</v>
      </c>
      <c r="V36" s="5">
        <f>Table1[[#This Row],[Enrolment S.Y. 2025-2026 ]]*8</f>
        <v>3048</v>
      </c>
      <c r="W36" s="5"/>
      <c r="X36" s="1"/>
      <c r="Y36" s="5"/>
      <c r="Z36" s="5">
        <f t="shared" si="14"/>
        <v>3048</v>
      </c>
      <c r="AA36" s="5">
        <f t="shared" si="15"/>
        <v>0</v>
      </c>
    </row>
    <row r="37" spans="1:27" ht="19.5">
      <c r="A37" s="1">
        <v>5</v>
      </c>
      <c r="B37" s="9" t="s">
        <v>11</v>
      </c>
      <c r="C37" s="1">
        <v>381</v>
      </c>
      <c r="D37" s="5">
        <f>Table1[[#This Row],[Enrolment S.Y. 2025-2026 ]]*8</f>
        <v>3048</v>
      </c>
      <c r="E37" s="5">
        <v>203</v>
      </c>
      <c r="F37" s="1">
        <v>2025</v>
      </c>
      <c r="G37" s="5" t="s">
        <v>62</v>
      </c>
      <c r="H37" s="5">
        <f t="shared" si="2"/>
        <v>2845</v>
      </c>
      <c r="I37" s="5">
        <f t="shared" si="3"/>
        <v>0</v>
      </c>
      <c r="J37" s="5">
        <f>Table1[[#This Row],[Enrolment S.Y. 2025-2026 ]]*8</f>
        <v>3048</v>
      </c>
      <c r="K37" s="5"/>
      <c r="L37" s="1"/>
      <c r="M37" s="5"/>
      <c r="N37" s="5">
        <f t="shared" si="10"/>
        <v>3048</v>
      </c>
      <c r="O37" s="5">
        <f t="shared" si="11"/>
        <v>0</v>
      </c>
      <c r="P37" s="5">
        <f>Table1[[#This Row],[Enrolment S.Y. 2025-2026 ]]*8</f>
        <v>3048</v>
      </c>
      <c r="Q37" s="5"/>
      <c r="R37" s="1"/>
      <c r="S37" s="5"/>
      <c r="T37" s="5">
        <f t="shared" si="12"/>
        <v>3048</v>
      </c>
      <c r="U37" s="5">
        <f t="shared" si="13"/>
        <v>0</v>
      </c>
      <c r="V37" s="5">
        <f>Table1[[#This Row],[Enrolment S.Y. 2025-2026 ]]*8</f>
        <v>3048</v>
      </c>
      <c r="W37" s="5"/>
      <c r="X37" s="1"/>
      <c r="Y37" s="5"/>
      <c r="Z37" s="5">
        <f t="shared" si="14"/>
        <v>3048</v>
      </c>
      <c r="AA37" s="5">
        <f t="shared" si="15"/>
        <v>0</v>
      </c>
    </row>
    <row r="38" spans="1:27" ht="38.25">
      <c r="A38" s="1">
        <v>5</v>
      </c>
      <c r="B38" s="9" t="s">
        <v>17</v>
      </c>
      <c r="C38" s="1">
        <v>381</v>
      </c>
      <c r="D38" s="5">
        <f>Table1[[#This Row],[Enrolment S.Y. 2025-2026 ]]*8</f>
        <v>3048</v>
      </c>
      <c r="E38" s="5">
        <v>200</v>
      </c>
      <c r="F38" s="1">
        <v>2025</v>
      </c>
      <c r="G38" s="5" t="s">
        <v>62</v>
      </c>
      <c r="H38" s="5">
        <f t="shared" si="2"/>
        <v>2848</v>
      </c>
      <c r="I38" s="5">
        <f t="shared" si="3"/>
        <v>0</v>
      </c>
      <c r="J38" s="5">
        <f>Table1[[#This Row],[Enrolment S.Y. 2025-2026 ]]*8</f>
        <v>3048</v>
      </c>
      <c r="K38" s="5"/>
      <c r="L38" s="1"/>
      <c r="M38" s="5"/>
      <c r="N38" s="5">
        <f t="shared" si="10"/>
        <v>3048</v>
      </c>
      <c r="O38" s="5">
        <f t="shared" si="11"/>
        <v>0</v>
      </c>
      <c r="P38" s="5">
        <f>Table1[[#This Row],[Enrolment S.Y. 2025-2026 ]]*8</f>
        <v>3048</v>
      </c>
      <c r="Q38" s="5"/>
      <c r="R38" s="1"/>
      <c r="S38" s="5"/>
      <c r="T38" s="5">
        <f t="shared" si="12"/>
        <v>3048</v>
      </c>
      <c r="U38" s="5">
        <f t="shared" si="13"/>
        <v>0</v>
      </c>
      <c r="V38" s="5">
        <f>Table1[[#This Row],[Enrolment S.Y. 2025-2026 ]]*8</f>
        <v>3048</v>
      </c>
      <c r="W38" s="5"/>
      <c r="X38" s="1"/>
      <c r="Y38" s="5"/>
      <c r="Z38" s="5">
        <f t="shared" si="14"/>
        <v>3048</v>
      </c>
      <c r="AA38" s="5">
        <f t="shared" si="15"/>
        <v>0</v>
      </c>
    </row>
    <row r="39" spans="1:27" ht="19.5">
      <c r="A39" s="1">
        <v>5</v>
      </c>
      <c r="B39" s="9" t="s">
        <v>14</v>
      </c>
      <c r="C39" s="1">
        <v>381</v>
      </c>
      <c r="D39" s="5">
        <f>Table1[[#This Row],[Enrolment S.Y. 2025-2026 ]]*8</f>
        <v>3048</v>
      </c>
      <c r="E39" s="5">
        <v>203</v>
      </c>
      <c r="F39" s="1">
        <v>2025</v>
      </c>
      <c r="G39" s="5" t="s">
        <v>62</v>
      </c>
      <c r="H39" s="5">
        <f t="shared" si="2"/>
        <v>2845</v>
      </c>
      <c r="I39" s="5">
        <f t="shared" si="3"/>
        <v>0</v>
      </c>
      <c r="J39" s="5">
        <f>Table1[[#This Row],[Enrolment S.Y. 2025-2026 ]]*8</f>
        <v>3048</v>
      </c>
      <c r="K39" s="5"/>
      <c r="L39" s="1"/>
      <c r="M39" s="5"/>
      <c r="N39" s="5">
        <f t="shared" si="10"/>
        <v>3048</v>
      </c>
      <c r="O39" s="5">
        <f t="shared" si="11"/>
        <v>0</v>
      </c>
      <c r="P39" s="5">
        <f>Table1[[#This Row],[Enrolment S.Y. 2025-2026 ]]*8</f>
        <v>3048</v>
      </c>
      <c r="Q39" s="5"/>
      <c r="R39" s="1"/>
      <c r="S39" s="5"/>
      <c r="T39" s="5">
        <f t="shared" si="12"/>
        <v>3048</v>
      </c>
      <c r="U39" s="5">
        <f t="shared" si="13"/>
        <v>0</v>
      </c>
      <c r="V39" s="5">
        <f>Table1[[#This Row],[Enrolment S.Y. 2025-2026 ]]*8</f>
        <v>3048</v>
      </c>
      <c r="W39" s="5"/>
      <c r="X39" s="1"/>
      <c r="Y39" s="5"/>
      <c r="Z39" s="5">
        <f t="shared" si="14"/>
        <v>3048</v>
      </c>
      <c r="AA39" s="5">
        <f t="shared" si="15"/>
        <v>0</v>
      </c>
    </row>
    <row r="40" spans="1:27" ht="19.5">
      <c r="A40" s="1">
        <v>5</v>
      </c>
      <c r="B40" s="9" t="s">
        <v>18</v>
      </c>
      <c r="C40" s="1">
        <v>381</v>
      </c>
      <c r="D40" s="5">
        <f>Table1[[#This Row],[Enrolment S.Y. 2025-2026 ]]*8</f>
        <v>3048</v>
      </c>
      <c r="E40" s="5">
        <v>200</v>
      </c>
      <c r="F40" s="1">
        <v>2025</v>
      </c>
      <c r="G40" s="5" t="s">
        <v>62</v>
      </c>
      <c r="H40" s="5">
        <f t="shared" si="2"/>
        <v>2848</v>
      </c>
      <c r="I40" s="5">
        <f t="shared" si="3"/>
        <v>0</v>
      </c>
      <c r="J40" s="5">
        <f>Table1[[#This Row],[Enrolment S.Y. 2025-2026 ]]*8</f>
        <v>3048</v>
      </c>
      <c r="K40" s="5"/>
      <c r="L40" s="1"/>
      <c r="M40" s="5"/>
      <c r="N40" s="5">
        <f t="shared" si="10"/>
        <v>3048</v>
      </c>
      <c r="O40" s="5">
        <f t="shared" si="11"/>
        <v>0</v>
      </c>
      <c r="P40" s="5">
        <f>Table1[[#This Row],[Enrolment S.Y. 2025-2026 ]]*8</f>
        <v>3048</v>
      </c>
      <c r="Q40" s="5"/>
      <c r="R40" s="1"/>
      <c r="S40" s="5"/>
      <c r="T40" s="5">
        <f t="shared" si="12"/>
        <v>3048</v>
      </c>
      <c r="U40" s="5">
        <f t="shared" si="13"/>
        <v>0</v>
      </c>
      <c r="V40" s="5">
        <f>Table1[[#This Row],[Enrolment S.Y. 2025-2026 ]]*8</f>
        <v>3048</v>
      </c>
      <c r="W40" s="5"/>
      <c r="X40" s="1"/>
      <c r="Y40" s="5"/>
      <c r="Z40" s="5">
        <f t="shared" si="14"/>
        <v>3048</v>
      </c>
      <c r="AA40" s="5">
        <f t="shared" si="15"/>
        <v>0</v>
      </c>
    </row>
    <row r="41" spans="1:27" ht="19.5">
      <c r="A41" s="1">
        <v>5</v>
      </c>
      <c r="B41" s="9" t="s">
        <v>19</v>
      </c>
      <c r="C41" s="1">
        <v>381</v>
      </c>
      <c r="D41" s="5">
        <f>Table1[[#This Row],[Enrolment S.Y. 2025-2026 ]]*8</f>
        <v>3048</v>
      </c>
      <c r="E41" s="5">
        <v>200</v>
      </c>
      <c r="F41" s="1">
        <v>2025</v>
      </c>
      <c r="G41" s="5" t="s">
        <v>62</v>
      </c>
      <c r="H41" s="5">
        <f t="shared" si="2"/>
        <v>2848</v>
      </c>
      <c r="I41" s="5">
        <f t="shared" si="3"/>
        <v>0</v>
      </c>
      <c r="J41" s="5">
        <f>Table1[[#This Row],[Enrolment S.Y. 2025-2026 ]]*8</f>
        <v>3048</v>
      </c>
      <c r="K41" s="5"/>
      <c r="L41" s="1"/>
      <c r="M41" s="5"/>
      <c r="N41" s="5">
        <f t="shared" si="10"/>
        <v>3048</v>
      </c>
      <c r="O41" s="5">
        <f t="shared" si="11"/>
        <v>0</v>
      </c>
      <c r="P41" s="5">
        <f>Table1[[#This Row],[Enrolment S.Y. 2025-2026 ]]*8</f>
        <v>3048</v>
      </c>
      <c r="Q41" s="5"/>
      <c r="R41" s="1"/>
      <c r="S41" s="5"/>
      <c r="T41" s="5">
        <f t="shared" si="12"/>
        <v>3048</v>
      </c>
      <c r="U41" s="5">
        <f t="shared" si="13"/>
        <v>0</v>
      </c>
      <c r="V41" s="5">
        <f>Table1[[#This Row],[Enrolment S.Y. 2025-2026 ]]*8</f>
        <v>3048</v>
      </c>
      <c r="W41" s="5"/>
      <c r="X41" s="1"/>
      <c r="Y41" s="5"/>
      <c r="Z41" s="5">
        <f t="shared" si="14"/>
        <v>3048</v>
      </c>
      <c r="AA41" s="5">
        <f t="shared" si="15"/>
        <v>0</v>
      </c>
    </row>
    <row r="42" spans="1:27" ht="19.5">
      <c r="A42" s="1">
        <v>5</v>
      </c>
      <c r="B42" s="9" t="s">
        <v>20</v>
      </c>
      <c r="C42" s="1">
        <v>381</v>
      </c>
      <c r="D42" s="5">
        <f>Table1[[#This Row],[Enrolment S.Y. 2025-2026 ]]*8</f>
        <v>3048</v>
      </c>
      <c r="E42" s="5">
        <v>200</v>
      </c>
      <c r="F42" s="1">
        <v>2025</v>
      </c>
      <c r="G42" s="5" t="s">
        <v>62</v>
      </c>
      <c r="H42" s="5">
        <f t="shared" si="2"/>
        <v>2848</v>
      </c>
      <c r="I42" s="5">
        <f t="shared" si="3"/>
        <v>0</v>
      </c>
      <c r="J42" s="5">
        <f>Table1[[#This Row],[Enrolment S.Y. 2025-2026 ]]*8</f>
        <v>3048</v>
      </c>
      <c r="K42" s="5"/>
      <c r="L42" s="1"/>
      <c r="M42" s="5"/>
      <c r="N42" s="5">
        <f t="shared" si="10"/>
        <v>3048</v>
      </c>
      <c r="O42" s="5">
        <f t="shared" si="11"/>
        <v>0</v>
      </c>
      <c r="P42" s="5">
        <f>Table1[[#This Row],[Enrolment S.Y. 2025-2026 ]]*8</f>
        <v>3048</v>
      </c>
      <c r="Q42" s="5"/>
      <c r="R42" s="1"/>
      <c r="S42" s="5"/>
      <c r="T42" s="5">
        <f t="shared" si="12"/>
        <v>3048</v>
      </c>
      <c r="U42" s="5">
        <f t="shared" si="13"/>
        <v>0</v>
      </c>
      <c r="V42" s="5">
        <f>Table1[[#This Row],[Enrolment S.Y. 2025-2026 ]]*8</f>
        <v>3048</v>
      </c>
      <c r="W42" s="5"/>
      <c r="X42" s="1"/>
      <c r="Y42" s="5"/>
      <c r="Z42" s="5">
        <f t="shared" si="14"/>
        <v>3048</v>
      </c>
      <c r="AA42" s="5">
        <f t="shared" si="15"/>
        <v>0</v>
      </c>
    </row>
    <row r="43" spans="1:27" s="7" customFormat="1" ht="19.149999999999999">
      <c r="J43" s="13"/>
      <c r="M43" s="5"/>
      <c r="N43" s="13"/>
      <c r="O43" s="13"/>
      <c r="P43" s="13"/>
      <c r="S43" s="5"/>
      <c r="T43" s="13"/>
      <c r="U43" s="13"/>
      <c r="V43" s="13"/>
      <c r="Y43" s="5"/>
      <c r="Z43" s="13"/>
      <c r="AA43" s="13"/>
    </row>
    <row r="44" spans="1:27" ht="57.75">
      <c r="A44" s="1">
        <v>6</v>
      </c>
      <c r="B44" s="9" t="s">
        <v>98</v>
      </c>
      <c r="C44" s="1">
        <v>402</v>
      </c>
      <c r="D44" s="5">
        <f>Table1[[#This Row],[Enrolment S.Y. 2025-2026 ]]*8</f>
        <v>3216</v>
      </c>
      <c r="E44" s="5">
        <v>200</v>
      </c>
      <c r="F44" s="1"/>
      <c r="G44" s="5"/>
      <c r="H44" s="5">
        <f t="shared" si="2"/>
        <v>3016</v>
      </c>
      <c r="I44" s="5">
        <f t="shared" si="3"/>
        <v>0</v>
      </c>
      <c r="J44" s="5">
        <f>Table1[[#This Row],[Enrolment S.Y. 2025-2026 ]]*8</f>
        <v>3216</v>
      </c>
      <c r="K44" s="5"/>
      <c r="L44" s="1"/>
      <c r="M44" s="5"/>
      <c r="N44" s="5">
        <f t="shared" si="10"/>
        <v>3216</v>
      </c>
      <c r="O44" s="5">
        <f t="shared" si="11"/>
        <v>0</v>
      </c>
      <c r="P44" s="5">
        <f>Table1[[#This Row],[Enrolment S.Y. 2025-2026 ]]*8</f>
        <v>3216</v>
      </c>
      <c r="Q44" s="5">
        <v>100</v>
      </c>
      <c r="R44" s="1">
        <v>2025</v>
      </c>
      <c r="S44" s="5" t="s">
        <v>62</v>
      </c>
      <c r="T44" s="5">
        <f t="shared" si="12"/>
        <v>3116</v>
      </c>
      <c r="U44" s="5">
        <f t="shared" si="13"/>
        <v>0</v>
      </c>
      <c r="V44" s="5">
        <f>Table1[[#This Row],[Enrolment S.Y. 2025-2026 ]]*8</f>
        <v>3216</v>
      </c>
      <c r="W44" s="5"/>
      <c r="X44" s="1"/>
      <c r="Y44" s="5"/>
      <c r="Z44" s="5">
        <f t="shared" si="14"/>
        <v>3216</v>
      </c>
      <c r="AA44" s="5">
        <f t="shared" si="15"/>
        <v>0</v>
      </c>
    </row>
    <row r="45" spans="1:27" ht="76.5">
      <c r="A45" s="1">
        <v>6</v>
      </c>
      <c r="B45" s="9" t="s">
        <v>99</v>
      </c>
      <c r="C45" s="1">
        <v>402</v>
      </c>
      <c r="D45" s="5">
        <f>Table1[[#This Row],[Enrolment S.Y. 2025-2026 ]]*8</f>
        <v>3216</v>
      </c>
      <c r="E45" s="5">
        <v>200</v>
      </c>
      <c r="F45" s="1"/>
      <c r="G45" s="5"/>
      <c r="H45" s="5">
        <f t="shared" si="2"/>
        <v>3016</v>
      </c>
      <c r="I45" s="5">
        <f t="shared" si="3"/>
        <v>0</v>
      </c>
      <c r="J45" s="5">
        <f>Table1[[#This Row],[Enrolment S.Y. 2025-2026 ]]*8</f>
        <v>3216</v>
      </c>
      <c r="K45" s="5"/>
      <c r="L45" s="1"/>
      <c r="M45" s="5"/>
      <c r="N45" s="5">
        <f t="shared" si="10"/>
        <v>3216</v>
      </c>
      <c r="O45" s="5">
        <f t="shared" si="11"/>
        <v>0</v>
      </c>
      <c r="P45" s="5">
        <f>Table1[[#This Row],[Enrolment S.Y. 2025-2026 ]]*8</f>
        <v>3216</v>
      </c>
      <c r="Q45" s="5">
        <v>100</v>
      </c>
      <c r="R45" s="40">
        <v>2025</v>
      </c>
      <c r="S45" s="5" t="s">
        <v>62</v>
      </c>
      <c r="T45" s="5">
        <f t="shared" si="12"/>
        <v>3116</v>
      </c>
      <c r="U45" s="5">
        <f t="shared" si="13"/>
        <v>0</v>
      </c>
      <c r="V45" s="5">
        <f>Table1[[#This Row],[Enrolment S.Y. 2025-2026 ]]*8</f>
        <v>3216</v>
      </c>
      <c r="W45" s="5"/>
      <c r="X45" s="1"/>
      <c r="Y45" s="5"/>
      <c r="Z45" s="5">
        <f t="shared" si="14"/>
        <v>3216</v>
      </c>
      <c r="AA45" s="5">
        <f t="shared" si="15"/>
        <v>0</v>
      </c>
    </row>
    <row r="46" spans="1:27" ht="38.25">
      <c r="A46" s="1">
        <v>6</v>
      </c>
      <c r="B46" s="9" t="s">
        <v>100</v>
      </c>
      <c r="C46" s="1">
        <v>402</v>
      </c>
      <c r="D46" s="5">
        <f>Table1[[#This Row],[Enrolment S.Y. 2025-2026 ]]*8</f>
        <v>3216</v>
      </c>
      <c r="E46" s="5">
        <v>200</v>
      </c>
      <c r="F46" s="1"/>
      <c r="G46" s="5"/>
      <c r="H46" s="5">
        <f t="shared" si="2"/>
        <v>3016</v>
      </c>
      <c r="I46" s="5">
        <f t="shared" si="3"/>
        <v>0</v>
      </c>
      <c r="J46" s="5">
        <f>Table1[[#This Row],[Enrolment S.Y. 2025-2026 ]]*8</f>
        <v>3216</v>
      </c>
      <c r="K46" s="5"/>
      <c r="L46" s="1"/>
      <c r="M46" s="5"/>
      <c r="N46" s="5">
        <f t="shared" si="10"/>
        <v>3216</v>
      </c>
      <c r="O46" s="5">
        <f t="shared" si="11"/>
        <v>0</v>
      </c>
      <c r="P46" s="5">
        <f>Table1[[#This Row],[Enrolment S.Y. 2025-2026 ]]*8</f>
        <v>3216</v>
      </c>
      <c r="Q46" s="5"/>
      <c r="R46" s="1"/>
      <c r="S46" s="5"/>
      <c r="T46" s="5">
        <f t="shared" si="12"/>
        <v>3216</v>
      </c>
      <c r="U46" s="5">
        <f t="shared" si="13"/>
        <v>0</v>
      </c>
      <c r="V46" s="5">
        <f>Table1[[#This Row],[Enrolment S.Y. 2025-2026 ]]*8</f>
        <v>3216</v>
      </c>
      <c r="W46" s="5"/>
      <c r="X46" s="1"/>
      <c r="Y46" s="5"/>
      <c r="Z46" s="5">
        <f t="shared" si="14"/>
        <v>3216</v>
      </c>
      <c r="AA46" s="5">
        <f t="shared" si="15"/>
        <v>0</v>
      </c>
    </row>
    <row r="47" spans="1:27" ht="19.5">
      <c r="A47" s="1">
        <v>6</v>
      </c>
      <c r="B47" s="9" t="s">
        <v>11</v>
      </c>
      <c r="C47" s="1">
        <v>402</v>
      </c>
      <c r="D47" s="5">
        <f>Table1[[#This Row],[Enrolment S.Y. 2025-2026 ]]*8</f>
        <v>3216</v>
      </c>
      <c r="E47" s="5"/>
      <c r="F47" s="1"/>
      <c r="G47" s="5"/>
      <c r="H47" s="5">
        <f t="shared" si="2"/>
        <v>3216</v>
      </c>
      <c r="I47" s="5">
        <f t="shared" si="3"/>
        <v>0</v>
      </c>
      <c r="J47" s="5">
        <f>Table1[[#This Row],[Enrolment S.Y. 2025-2026 ]]*8</f>
        <v>3216</v>
      </c>
      <c r="K47" s="5"/>
      <c r="L47" s="1"/>
      <c r="M47" s="5"/>
      <c r="N47" s="5">
        <f t="shared" si="10"/>
        <v>3216</v>
      </c>
      <c r="O47" s="5">
        <f t="shared" si="11"/>
        <v>0</v>
      </c>
      <c r="P47" s="5">
        <f>Table1[[#This Row],[Enrolment S.Y. 2025-2026 ]]*8</f>
        <v>3216</v>
      </c>
      <c r="Q47" s="5"/>
      <c r="R47" s="1"/>
      <c r="S47" s="5"/>
      <c r="T47" s="5">
        <f t="shared" si="12"/>
        <v>3216</v>
      </c>
      <c r="U47" s="5">
        <f t="shared" si="13"/>
        <v>0</v>
      </c>
      <c r="V47" s="5">
        <f>Table1[[#This Row],[Enrolment S.Y. 2025-2026 ]]*8</f>
        <v>3216</v>
      </c>
      <c r="W47" s="5"/>
      <c r="X47" s="1"/>
      <c r="Y47" s="5"/>
      <c r="Z47" s="5">
        <f t="shared" si="14"/>
        <v>3216</v>
      </c>
      <c r="AA47" s="5">
        <f t="shared" si="15"/>
        <v>0</v>
      </c>
    </row>
    <row r="48" spans="1:27" ht="38.25">
      <c r="A48" s="1">
        <v>6</v>
      </c>
      <c r="B48" s="9" t="s">
        <v>17</v>
      </c>
      <c r="C48" s="1">
        <v>402</v>
      </c>
      <c r="D48" s="5">
        <f>Table1[[#This Row],[Enrolment S.Y. 2025-2026 ]]*8</f>
        <v>3216</v>
      </c>
      <c r="E48" s="5"/>
      <c r="F48" s="1"/>
      <c r="G48" s="5"/>
      <c r="H48" s="5">
        <f t="shared" si="2"/>
        <v>3216</v>
      </c>
      <c r="I48" s="5">
        <f t="shared" si="3"/>
        <v>0</v>
      </c>
      <c r="J48" s="5">
        <f>Table1[[#This Row],[Enrolment S.Y. 2025-2026 ]]*8</f>
        <v>3216</v>
      </c>
      <c r="K48" s="5"/>
      <c r="L48" s="1"/>
      <c r="M48" s="5"/>
      <c r="N48" s="5">
        <f t="shared" si="10"/>
        <v>3216</v>
      </c>
      <c r="O48" s="5">
        <f t="shared" si="11"/>
        <v>0</v>
      </c>
      <c r="P48" s="5">
        <f>Table1[[#This Row],[Enrolment S.Y. 2025-2026 ]]*8</f>
        <v>3216</v>
      </c>
      <c r="Q48" s="5"/>
      <c r="R48" s="1"/>
      <c r="S48" s="5"/>
      <c r="T48" s="5">
        <f t="shared" si="12"/>
        <v>3216</v>
      </c>
      <c r="U48" s="5">
        <f t="shared" si="13"/>
        <v>0</v>
      </c>
      <c r="V48" s="5">
        <f>Table1[[#This Row],[Enrolment S.Y. 2025-2026 ]]*8</f>
        <v>3216</v>
      </c>
      <c r="W48" s="5"/>
      <c r="X48" s="1"/>
      <c r="Y48" s="5"/>
      <c r="Z48" s="5">
        <f t="shared" si="14"/>
        <v>3216</v>
      </c>
      <c r="AA48" s="5">
        <f t="shared" si="15"/>
        <v>0</v>
      </c>
    </row>
    <row r="49" spans="1:27" ht="19.5">
      <c r="A49" s="1">
        <v>6</v>
      </c>
      <c r="B49" s="9" t="s">
        <v>14</v>
      </c>
      <c r="C49" s="1">
        <v>402</v>
      </c>
      <c r="D49" s="5">
        <f>Table1[[#This Row],[Enrolment S.Y. 2025-2026 ]]*8</f>
        <v>3216</v>
      </c>
      <c r="E49" s="5"/>
      <c r="F49" s="1"/>
      <c r="G49" s="5"/>
      <c r="H49" s="5">
        <f t="shared" si="2"/>
        <v>3216</v>
      </c>
      <c r="I49" s="5">
        <f t="shared" si="3"/>
        <v>0</v>
      </c>
      <c r="J49" s="5">
        <f>Table1[[#This Row],[Enrolment S.Y. 2025-2026 ]]*8</f>
        <v>3216</v>
      </c>
      <c r="K49" s="5"/>
      <c r="L49" s="1"/>
      <c r="M49" s="5"/>
      <c r="N49" s="5">
        <f t="shared" si="10"/>
        <v>3216</v>
      </c>
      <c r="O49" s="5">
        <f t="shared" si="11"/>
        <v>0</v>
      </c>
      <c r="P49" s="5">
        <f>Table1[[#This Row],[Enrolment S.Y. 2025-2026 ]]*8</f>
        <v>3216</v>
      </c>
      <c r="Q49" s="5"/>
      <c r="R49" s="1"/>
      <c r="S49" s="5"/>
      <c r="T49" s="5">
        <f t="shared" si="12"/>
        <v>3216</v>
      </c>
      <c r="U49" s="5">
        <f t="shared" si="13"/>
        <v>0</v>
      </c>
      <c r="V49" s="5">
        <f>Table1[[#This Row],[Enrolment S.Y. 2025-2026 ]]*8</f>
        <v>3216</v>
      </c>
      <c r="W49" s="5"/>
      <c r="X49" s="1"/>
      <c r="Y49" s="5"/>
      <c r="Z49" s="5">
        <f t="shared" si="14"/>
        <v>3216</v>
      </c>
      <c r="AA49" s="5">
        <f t="shared" si="15"/>
        <v>0</v>
      </c>
    </row>
    <row r="50" spans="1:27" ht="19.5">
      <c r="A50" s="1">
        <v>6</v>
      </c>
      <c r="B50" s="9" t="s">
        <v>18</v>
      </c>
      <c r="C50" s="1">
        <v>402</v>
      </c>
      <c r="D50" s="5">
        <f>Table1[[#This Row],[Enrolment S.Y. 2025-2026 ]]*8</f>
        <v>3216</v>
      </c>
      <c r="E50" s="5"/>
      <c r="F50" s="1"/>
      <c r="G50" s="5"/>
      <c r="H50" s="5">
        <f t="shared" si="2"/>
        <v>3216</v>
      </c>
      <c r="I50" s="5">
        <f t="shared" si="3"/>
        <v>0</v>
      </c>
      <c r="J50" s="5">
        <f>Table1[[#This Row],[Enrolment S.Y. 2025-2026 ]]*8</f>
        <v>3216</v>
      </c>
      <c r="K50" s="5"/>
      <c r="L50" s="1"/>
      <c r="M50" s="5"/>
      <c r="N50" s="5">
        <f t="shared" si="10"/>
        <v>3216</v>
      </c>
      <c r="O50" s="5">
        <f t="shared" si="11"/>
        <v>0</v>
      </c>
      <c r="P50" s="5">
        <f>Table1[[#This Row],[Enrolment S.Y. 2025-2026 ]]*8</f>
        <v>3216</v>
      </c>
      <c r="Q50" s="5"/>
      <c r="R50" s="1"/>
      <c r="S50" s="5"/>
      <c r="T50" s="5">
        <f t="shared" si="12"/>
        <v>3216</v>
      </c>
      <c r="U50" s="5">
        <f t="shared" si="13"/>
        <v>0</v>
      </c>
      <c r="V50" s="5">
        <f>Table1[[#This Row],[Enrolment S.Y. 2025-2026 ]]*8</f>
        <v>3216</v>
      </c>
      <c r="W50" s="5"/>
      <c r="X50" s="1"/>
      <c r="Y50" s="5"/>
      <c r="Z50" s="5">
        <f t="shared" si="14"/>
        <v>3216</v>
      </c>
      <c r="AA50" s="5">
        <f t="shared" si="15"/>
        <v>0</v>
      </c>
    </row>
    <row r="51" spans="1:27" ht="19.5">
      <c r="A51" s="1">
        <v>6</v>
      </c>
      <c r="B51" s="9" t="s">
        <v>19</v>
      </c>
      <c r="C51" s="1">
        <v>402</v>
      </c>
      <c r="D51" s="5">
        <f>Table1[[#This Row],[Enrolment S.Y. 2025-2026 ]]*8</f>
        <v>3216</v>
      </c>
      <c r="E51" s="5"/>
      <c r="F51" s="1"/>
      <c r="G51" s="5"/>
      <c r="H51" s="5">
        <f t="shared" si="2"/>
        <v>3216</v>
      </c>
      <c r="I51" s="5">
        <f t="shared" si="3"/>
        <v>0</v>
      </c>
      <c r="J51" s="5">
        <f>Table1[[#This Row],[Enrolment S.Y. 2025-2026 ]]*8</f>
        <v>3216</v>
      </c>
      <c r="K51" s="5"/>
      <c r="L51" s="1"/>
      <c r="M51" s="5"/>
      <c r="N51" s="5">
        <f t="shared" si="10"/>
        <v>3216</v>
      </c>
      <c r="O51" s="5">
        <f t="shared" si="11"/>
        <v>0</v>
      </c>
      <c r="P51" s="5">
        <f>Table1[[#This Row],[Enrolment S.Y. 2025-2026 ]]*8</f>
        <v>3216</v>
      </c>
      <c r="Q51" s="5"/>
      <c r="R51" s="1"/>
      <c r="S51" s="5"/>
      <c r="T51" s="5">
        <f t="shared" si="12"/>
        <v>3216</v>
      </c>
      <c r="U51" s="5">
        <f t="shared" si="13"/>
        <v>0</v>
      </c>
      <c r="V51" s="5">
        <f>Table1[[#This Row],[Enrolment S.Y. 2025-2026 ]]*8</f>
        <v>3216</v>
      </c>
      <c r="W51" s="5"/>
      <c r="X51" s="1"/>
      <c r="Y51" s="5"/>
      <c r="Z51" s="5">
        <f t="shared" si="14"/>
        <v>3216</v>
      </c>
      <c r="AA51" s="5">
        <f t="shared" si="15"/>
        <v>0</v>
      </c>
    </row>
    <row r="52" spans="1:27" ht="57.75">
      <c r="A52" s="1">
        <v>6</v>
      </c>
      <c r="B52" s="9" t="s">
        <v>101</v>
      </c>
      <c r="C52" s="1">
        <v>402</v>
      </c>
      <c r="D52" s="5">
        <f>Table1[[#This Row],[Enrolment S.Y. 2025-2026 ]]*8</f>
        <v>3216</v>
      </c>
      <c r="E52" s="5"/>
      <c r="F52" s="1"/>
      <c r="G52" s="5"/>
      <c r="H52" s="5">
        <f t="shared" si="2"/>
        <v>3216</v>
      </c>
      <c r="I52" s="5">
        <f t="shared" si="3"/>
        <v>0</v>
      </c>
      <c r="J52" s="5">
        <f>Table1[[#This Row],[Enrolment S.Y. 2025-2026 ]]*8</f>
        <v>3216</v>
      </c>
      <c r="K52" s="5"/>
      <c r="L52" s="1"/>
      <c r="M52" s="5"/>
      <c r="N52" s="5">
        <f t="shared" si="10"/>
        <v>3216</v>
      </c>
      <c r="O52" s="5">
        <f t="shared" si="11"/>
        <v>0</v>
      </c>
      <c r="P52" s="5">
        <f>Table1[[#This Row],[Enrolment S.Y. 2025-2026 ]]*8</f>
        <v>3216</v>
      </c>
      <c r="Q52" s="5">
        <v>100</v>
      </c>
      <c r="R52" s="1">
        <v>2025</v>
      </c>
      <c r="S52" s="5" t="s">
        <v>62</v>
      </c>
      <c r="T52" s="5">
        <f t="shared" si="12"/>
        <v>3116</v>
      </c>
      <c r="U52" s="5">
        <f t="shared" si="13"/>
        <v>0</v>
      </c>
      <c r="V52" s="5">
        <f>Table1[[#This Row],[Enrolment S.Y. 2025-2026 ]]*8</f>
        <v>3216</v>
      </c>
      <c r="W52" s="5"/>
      <c r="X52" s="1"/>
      <c r="Y52" s="5"/>
      <c r="Z52" s="5">
        <f t="shared" si="14"/>
        <v>3216</v>
      </c>
      <c r="AA52" s="5">
        <f t="shared" si="15"/>
        <v>0</v>
      </c>
    </row>
    <row r="53" spans="1:27" s="7" customFormat="1" ht="19.5">
      <c r="J53" s="13"/>
      <c r="M53" s="5"/>
      <c r="N53" s="13"/>
      <c r="O53" s="13"/>
      <c r="P53" s="13"/>
      <c r="T53" s="13"/>
      <c r="U53" s="13"/>
      <c r="V53" s="13"/>
      <c r="Y53" s="5"/>
      <c r="Z53" s="13"/>
      <c r="AA53" s="13"/>
    </row>
    <row r="54" spans="1:27" ht="19.149999999999999">
      <c r="A54" s="10">
        <v>7</v>
      </c>
      <c r="B54" s="11" t="s">
        <v>15</v>
      </c>
      <c r="C54" s="10"/>
      <c r="D54" s="12">
        <f>Table1[[#This Row],[Enrolment S.Y. 2025-2026 ]]*8</f>
        <v>0</v>
      </c>
      <c r="E54" s="12"/>
      <c r="F54" s="10"/>
      <c r="G54" s="12"/>
      <c r="H54" s="12">
        <f t="shared" si="2"/>
        <v>0</v>
      </c>
      <c r="I54" s="12">
        <f t="shared" si="3"/>
        <v>0</v>
      </c>
      <c r="J54" s="12">
        <f>Table1[[#This Row],[Enrolment S.Y. 2025-2026 ]]*8</f>
        <v>0</v>
      </c>
      <c r="K54" s="12"/>
      <c r="L54" s="10"/>
      <c r="M54" s="12"/>
      <c r="N54" s="12">
        <f t="shared" si="10"/>
        <v>0</v>
      </c>
      <c r="O54" s="12">
        <f t="shared" si="11"/>
        <v>0</v>
      </c>
      <c r="P54" s="12">
        <f>Table1[[#This Row],[Enrolment S.Y. 2025-2026 ]]*8</f>
        <v>0</v>
      </c>
      <c r="Q54" s="12"/>
      <c r="R54" s="10"/>
      <c r="S54" s="12"/>
      <c r="T54" s="12">
        <f t="shared" si="12"/>
        <v>0</v>
      </c>
      <c r="U54" s="12">
        <f t="shared" si="13"/>
        <v>0</v>
      </c>
      <c r="V54" s="12">
        <f>Table1[[#This Row],[Enrolment S.Y. 2025-2026 ]]*8</f>
        <v>0</v>
      </c>
      <c r="W54" s="12"/>
      <c r="X54" s="10"/>
      <c r="Y54" s="12"/>
      <c r="Z54" s="12">
        <f t="shared" si="14"/>
        <v>0</v>
      </c>
      <c r="AA54" s="12">
        <f t="shared" si="15"/>
        <v>0</v>
      </c>
    </row>
    <row r="55" spans="1:27" ht="19.149999999999999">
      <c r="A55" s="10">
        <v>7</v>
      </c>
      <c r="B55" s="11" t="s">
        <v>16</v>
      </c>
      <c r="C55" s="10"/>
      <c r="D55" s="12">
        <f>Table1[[#This Row],[Enrolment S.Y. 2025-2026 ]]*8</f>
        <v>0</v>
      </c>
      <c r="E55" s="12"/>
      <c r="F55" s="10"/>
      <c r="G55" s="12"/>
      <c r="H55" s="12">
        <f t="shared" si="2"/>
        <v>0</v>
      </c>
      <c r="I55" s="12">
        <f t="shared" si="3"/>
        <v>0</v>
      </c>
      <c r="J55" s="12">
        <f>Table1[[#This Row],[Enrolment S.Y. 2025-2026 ]]*8</f>
        <v>0</v>
      </c>
      <c r="K55" s="12"/>
      <c r="L55" s="10"/>
      <c r="M55" s="12"/>
      <c r="N55" s="12">
        <f t="shared" si="10"/>
        <v>0</v>
      </c>
      <c r="O55" s="12">
        <f t="shared" si="11"/>
        <v>0</v>
      </c>
      <c r="P55" s="12">
        <f>Table1[[#This Row],[Enrolment S.Y. 2025-2026 ]]*8</f>
        <v>0</v>
      </c>
      <c r="Q55" s="12"/>
      <c r="R55" s="10"/>
      <c r="S55" s="12"/>
      <c r="T55" s="12">
        <f t="shared" si="12"/>
        <v>0</v>
      </c>
      <c r="U55" s="12">
        <f t="shared" si="13"/>
        <v>0</v>
      </c>
      <c r="V55" s="12">
        <f>Table1[[#This Row],[Enrolment S.Y. 2025-2026 ]]*8</f>
        <v>0</v>
      </c>
      <c r="W55" s="12"/>
      <c r="X55" s="10"/>
      <c r="Y55" s="12"/>
      <c r="Z55" s="12">
        <f t="shared" si="14"/>
        <v>0</v>
      </c>
      <c r="AA55" s="12">
        <f t="shared" si="15"/>
        <v>0</v>
      </c>
    </row>
    <row r="56" spans="1:27" ht="19.149999999999999">
      <c r="A56" s="10">
        <v>7</v>
      </c>
      <c r="B56" s="11" t="s">
        <v>13</v>
      </c>
      <c r="C56" s="10"/>
      <c r="D56" s="12">
        <f>Table1[[#This Row],[Enrolment S.Y. 2025-2026 ]]*8</f>
        <v>0</v>
      </c>
      <c r="E56" s="12"/>
      <c r="F56" s="10"/>
      <c r="G56" s="12"/>
      <c r="H56" s="12">
        <f t="shared" si="2"/>
        <v>0</v>
      </c>
      <c r="I56" s="12">
        <f t="shared" si="3"/>
        <v>0</v>
      </c>
      <c r="J56" s="12">
        <f>Table1[[#This Row],[Enrolment S.Y. 2025-2026 ]]*8</f>
        <v>0</v>
      </c>
      <c r="K56" s="12"/>
      <c r="L56" s="10"/>
      <c r="M56" s="12"/>
      <c r="N56" s="12">
        <f t="shared" si="10"/>
        <v>0</v>
      </c>
      <c r="O56" s="12">
        <f t="shared" si="11"/>
        <v>0</v>
      </c>
      <c r="P56" s="12">
        <f>Table1[[#This Row],[Enrolment S.Y. 2025-2026 ]]*8</f>
        <v>0</v>
      </c>
      <c r="Q56" s="12"/>
      <c r="R56" s="10"/>
      <c r="S56" s="12"/>
      <c r="T56" s="12">
        <f t="shared" si="12"/>
        <v>0</v>
      </c>
      <c r="U56" s="12">
        <f t="shared" si="13"/>
        <v>0</v>
      </c>
      <c r="V56" s="12">
        <f>Table1[[#This Row],[Enrolment S.Y. 2025-2026 ]]*8</f>
        <v>0</v>
      </c>
      <c r="W56" s="12"/>
      <c r="X56" s="10"/>
      <c r="Y56" s="12"/>
      <c r="Z56" s="12">
        <f t="shared" si="14"/>
        <v>0</v>
      </c>
      <c r="AA56" s="12">
        <f t="shared" si="15"/>
        <v>0</v>
      </c>
    </row>
    <row r="57" spans="1:27" ht="19.149999999999999">
      <c r="A57" s="10">
        <v>7</v>
      </c>
      <c r="B57" s="11" t="s">
        <v>21</v>
      </c>
      <c r="C57" s="10"/>
      <c r="D57" s="12">
        <f>Table1[[#This Row],[Enrolment S.Y. 2025-2026 ]]*8</f>
        <v>0</v>
      </c>
      <c r="E57" s="12"/>
      <c r="F57" s="10"/>
      <c r="G57" s="12"/>
      <c r="H57" s="12">
        <f t="shared" si="2"/>
        <v>0</v>
      </c>
      <c r="I57" s="12">
        <f t="shared" si="3"/>
        <v>0</v>
      </c>
      <c r="J57" s="12">
        <f>Table1[[#This Row],[Enrolment S.Y. 2025-2026 ]]*8</f>
        <v>0</v>
      </c>
      <c r="K57" s="12"/>
      <c r="L57" s="10"/>
      <c r="M57" s="12"/>
      <c r="N57" s="12">
        <f t="shared" si="10"/>
        <v>0</v>
      </c>
      <c r="O57" s="12">
        <f t="shared" si="11"/>
        <v>0</v>
      </c>
      <c r="P57" s="12">
        <f>Table1[[#This Row],[Enrolment S.Y. 2025-2026 ]]*8</f>
        <v>0</v>
      </c>
      <c r="Q57" s="12"/>
      <c r="R57" s="10"/>
      <c r="S57" s="12"/>
      <c r="T57" s="12">
        <f t="shared" si="12"/>
        <v>0</v>
      </c>
      <c r="U57" s="12">
        <f t="shared" si="13"/>
        <v>0</v>
      </c>
      <c r="V57" s="12">
        <f>Table1[[#This Row],[Enrolment S.Y. 2025-2026 ]]*8</f>
        <v>0</v>
      </c>
      <c r="W57" s="12"/>
      <c r="X57" s="10"/>
      <c r="Y57" s="12"/>
      <c r="Z57" s="12">
        <f t="shared" si="14"/>
        <v>0</v>
      </c>
      <c r="AA57" s="12">
        <f t="shared" si="15"/>
        <v>0</v>
      </c>
    </row>
    <row r="58" spans="1:27" ht="19.149999999999999">
      <c r="A58" s="10">
        <v>7</v>
      </c>
      <c r="B58" s="11" t="s">
        <v>17</v>
      </c>
      <c r="C58" s="10"/>
      <c r="D58" s="12">
        <f>Table1[[#This Row],[Enrolment S.Y. 2025-2026 ]]*8</f>
        <v>0</v>
      </c>
      <c r="E58" s="12"/>
      <c r="F58" s="10"/>
      <c r="G58" s="12"/>
      <c r="H58" s="12">
        <f t="shared" si="2"/>
        <v>0</v>
      </c>
      <c r="I58" s="12">
        <f t="shared" si="3"/>
        <v>0</v>
      </c>
      <c r="J58" s="12">
        <f>Table1[[#This Row],[Enrolment S.Y. 2025-2026 ]]*8</f>
        <v>0</v>
      </c>
      <c r="K58" s="12"/>
      <c r="L58" s="10"/>
      <c r="M58" s="12"/>
      <c r="N58" s="12">
        <f t="shared" si="10"/>
        <v>0</v>
      </c>
      <c r="O58" s="12">
        <f t="shared" si="11"/>
        <v>0</v>
      </c>
      <c r="P58" s="12">
        <f>Table1[[#This Row],[Enrolment S.Y. 2025-2026 ]]*8</f>
        <v>0</v>
      </c>
      <c r="Q58" s="12"/>
      <c r="R58" s="10"/>
      <c r="S58" s="12"/>
      <c r="T58" s="12">
        <f t="shared" si="12"/>
        <v>0</v>
      </c>
      <c r="U58" s="12">
        <f t="shared" si="13"/>
        <v>0</v>
      </c>
      <c r="V58" s="12">
        <f>Table1[[#This Row],[Enrolment S.Y. 2025-2026 ]]*8</f>
        <v>0</v>
      </c>
      <c r="W58" s="12"/>
      <c r="X58" s="10"/>
      <c r="Y58" s="12"/>
      <c r="Z58" s="12">
        <f t="shared" si="14"/>
        <v>0</v>
      </c>
      <c r="AA58" s="12">
        <f t="shared" si="15"/>
        <v>0</v>
      </c>
    </row>
    <row r="59" spans="1:27" ht="19.149999999999999">
      <c r="A59" s="10">
        <v>7</v>
      </c>
      <c r="B59" s="11" t="s">
        <v>14</v>
      </c>
      <c r="C59" s="10"/>
      <c r="D59" s="12">
        <f>Table1[[#This Row],[Enrolment S.Y. 2025-2026 ]]*8</f>
        <v>0</v>
      </c>
      <c r="E59" s="12"/>
      <c r="F59" s="10"/>
      <c r="G59" s="12"/>
      <c r="H59" s="12">
        <f t="shared" si="2"/>
        <v>0</v>
      </c>
      <c r="I59" s="12">
        <f t="shared" si="3"/>
        <v>0</v>
      </c>
      <c r="J59" s="12">
        <f>Table1[[#This Row],[Enrolment S.Y. 2025-2026 ]]*8</f>
        <v>0</v>
      </c>
      <c r="K59" s="12"/>
      <c r="L59" s="10"/>
      <c r="M59" s="12"/>
      <c r="N59" s="12">
        <f t="shared" si="10"/>
        <v>0</v>
      </c>
      <c r="O59" s="12">
        <f t="shared" si="11"/>
        <v>0</v>
      </c>
      <c r="P59" s="12">
        <f>Table1[[#This Row],[Enrolment S.Y. 2025-2026 ]]*8</f>
        <v>0</v>
      </c>
      <c r="Q59" s="12"/>
      <c r="R59" s="10"/>
      <c r="S59" s="12"/>
      <c r="T59" s="12">
        <f t="shared" si="12"/>
        <v>0</v>
      </c>
      <c r="U59" s="12">
        <f t="shared" si="13"/>
        <v>0</v>
      </c>
      <c r="V59" s="12">
        <f>Table1[[#This Row],[Enrolment S.Y. 2025-2026 ]]*8</f>
        <v>0</v>
      </c>
      <c r="W59" s="12"/>
      <c r="X59" s="10"/>
      <c r="Y59" s="12"/>
      <c r="Z59" s="12">
        <f t="shared" si="14"/>
        <v>0</v>
      </c>
      <c r="AA59" s="12">
        <f t="shared" si="15"/>
        <v>0</v>
      </c>
    </row>
    <row r="60" spans="1:27" ht="19.149999999999999">
      <c r="A60" s="10">
        <v>7</v>
      </c>
      <c r="B60" s="11" t="s">
        <v>18</v>
      </c>
      <c r="C60" s="10"/>
      <c r="D60" s="12">
        <f>Table1[[#This Row],[Enrolment S.Y. 2025-2026 ]]*8</f>
        <v>0</v>
      </c>
      <c r="E60" s="12"/>
      <c r="F60" s="10"/>
      <c r="G60" s="12"/>
      <c r="H60" s="12">
        <f t="shared" si="2"/>
        <v>0</v>
      </c>
      <c r="I60" s="12">
        <f t="shared" si="3"/>
        <v>0</v>
      </c>
      <c r="J60" s="12">
        <f>Table1[[#This Row],[Enrolment S.Y. 2025-2026 ]]*8</f>
        <v>0</v>
      </c>
      <c r="K60" s="12"/>
      <c r="L60" s="10"/>
      <c r="M60" s="12"/>
      <c r="N60" s="12">
        <f t="shared" si="10"/>
        <v>0</v>
      </c>
      <c r="O60" s="12">
        <f t="shared" si="11"/>
        <v>0</v>
      </c>
      <c r="P60" s="12">
        <f>Table1[[#This Row],[Enrolment S.Y. 2025-2026 ]]*8</f>
        <v>0</v>
      </c>
      <c r="Q60" s="12"/>
      <c r="R60" s="10"/>
      <c r="S60" s="12"/>
      <c r="T60" s="12">
        <f t="shared" si="12"/>
        <v>0</v>
      </c>
      <c r="U60" s="12">
        <f t="shared" si="13"/>
        <v>0</v>
      </c>
      <c r="V60" s="12">
        <f>Table1[[#This Row],[Enrolment S.Y. 2025-2026 ]]*8</f>
        <v>0</v>
      </c>
      <c r="W60" s="12"/>
      <c r="X60" s="10"/>
      <c r="Y60" s="12"/>
      <c r="Z60" s="12">
        <f t="shared" si="14"/>
        <v>0</v>
      </c>
      <c r="AA60" s="12">
        <f t="shared" si="15"/>
        <v>0</v>
      </c>
    </row>
    <row r="61" spans="1:27" ht="19.149999999999999">
      <c r="A61" s="10">
        <v>7</v>
      </c>
      <c r="B61" s="11" t="s">
        <v>22</v>
      </c>
      <c r="C61" s="10"/>
      <c r="D61" s="12">
        <f>Table1[[#This Row],[Enrolment S.Y. 2025-2026 ]]*8</f>
        <v>0</v>
      </c>
      <c r="E61" s="12"/>
      <c r="F61" s="10"/>
      <c r="G61" s="12"/>
      <c r="H61" s="12">
        <f t="shared" si="2"/>
        <v>0</v>
      </c>
      <c r="I61" s="12">
        <f t="shared" si="3"/>
        <v>0</v>
      </c>
      <c r="J61" s="12">
        <f>Table1[[#This Row],[Enrolment S.Y. 2025-2026 ]]*8</f>
        <v>0</v>
      </c>
      <c r="K61" s="12"/>
      <c r="L61" s="10"/>
      <c r="M61" s="12"/>
      <c r="N61" s="12">
        <f t="shared" ref="N61:N117" si="16">IF((J61-K61)&lt;0,0,(J61-K61))</f>
        <v>0</v>
      </c>
      <c r="O61" s="12">
        <f t="shared" ref="O61:O117" si="17">IF((K61-J61)&lt;0,0,(K61-J61))</f>
        <v>0</v>
      </c>
      <c r="P61" s="12">
        <f>Table1[[#This Row],[Enrolment S.Y. 2025-2026 ]]*8</f>
        <v>0</v>
      </c>
      <c r="Q61" s="12"/>
      <c r="R61" s="10"/>
      <c r="S61" s="12"/>
      <c r="T61" s="12">
        <f t="shared" ref="T61:T118" si="18">IF((P61-Q61)&lt;0,0,(P61-Q61))</f>
        <v>0</v>
      </c>
      <c r="U61" s="12">
        <f t="shared" ref="U61:U118" si="19">IF((Q61-P61)&lt;0,0,(Q61-P61))</f>
        <v>0</v>
      </c>
      <c r="V61" s="12">
        <f>Table1[[#This Row],[Enrolment S.Y. 2025-2026 ]]*8</f>
        <v>0</v>
      </c>
      <c r="W61" s="12"/>
      <c r="X61" s="10"/>
      <c r="Y61" s="12"/>
      <c r="Z61" s="12">
        <f t="shared" ref="Z61:Z118" si="20">IF((V61-W61)&lt;0,0,(V61-W61))</f>
        <v>0</v>
      </c>
      <c r="AA61" s="12">
        <f t="shared" ref="AA61:AA118" si="21">IF((W61-V61)&lt;0,0,(W61-V61))</f>
        <v>0</v>
      </c>
    </row>
    <row r="62" spans="1:27" ht="19.149999999999999">
      <c r="A62" s="10">
        <v>7</v>
      </c>
      <c r="B62" s="11" t="s">
        <v>20</v>
      </c>
      <c r="C62" s="10"/>
      <c r="D62" s="12">
        <f>Table1[[#This Row],[Enrolment S.Y. 2025-2026 ]]*8</f>
        <v>0</v>
      </c>
      <c r="E62" s="12"/>
      <c r="F62" s="10"/>
      <c r="G62" s="12"/>
      <c r="H62" s="12">
        <f t="shared" si="2"/>
        <v>0</v>
      </c>
      <c r="I62" s="12">
        <f t="shared" si="3"/>
        <v>0</v>
      </c>
      <c r="J62" s="12">
        <f>Table1[[#This Row],[Enrolment S.Y. 2025-2026 ]]*8</f>
        <v>0</v>
      </c>
      <c r="K62" s="12"/>
      <c r="L62" s="10"/>
      <c r="M62" s="12"/>
      <c r="N62" s="12">
        <f t="shared" si="16"/>
        <v>0</v>
      </c>
      <c r="O62" s="12">
        <f t="shared" si="17"/>
        <v>0</v>
      </c>
      <c r="P62" s="12">
        <f>Table1[[#This Row],[Enrolment S.Y. 2025-2026 ]]*8</f>
        <v>0</v>
      </c>
      <c r="Q62" s="12"/>
      <c r="R62" s="10"/>
      <c r="S62" s="12"/>
      <c r="T62" s="12">
        <f t="shared" si="18"/>
        <v>0</v>
      </c>
      <c r="U62" s="12">
        <f t="shared" si="19"/>
        <v>0</v>
      </c>
      <c r="V62" s="12">
        <f>Table1[[#This Row],[Enrolment S.Y. 2025-2026 ]]*8</f>
        <v>0</v>
      </c>
      <c r="W62" s="12"/>
      <c r="X62" s="10"/>
      <c r="Y62" s="12"/>
      <c r="Z62" s="12">
        <f t="shared" si="20"/>
        <v>0</v>
      </c>
      <c r="AA62" s="12">
        <f t="shared" si="21"/>
        <v>0</v>
      </c>
    </row>
    <row r="63" spans="1:27" s="7" customFormat="1" ht="19.149999999999999">
      <c r="J63" s="13"/>
      <c r="M63" s="5"/>
      <c r="N63" s="13"/>
      <c r="O63" s="13"/>
      <c r="P63" s="13"/>
      <c r="S63" s="5"/>
      <c r="T63" s="13"/>
      <c r="U63" s="13"/>
      <c r="V63" s="13"/>
      <c r="Y63" s="5"/>
      <c r="Z63" s="13"/>
      <c r="AA63" s="13"/>
    </row>
    <row r="64" spans="1:27" ht="19.149999999999999">
      <c r="A64" s="10">
        <v>8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6"/>
        <v>0</v>
      </c>
      <c r="O64" s="12">
        <f t="shared" si="17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8"/>
        <v>0</v>
      </c>
      <c r="U64" s="12">
        <f t="shared" si="19"/>
        <v>0</v>
      </c>
      <c r="V64" s="12">
        <f>Table1[[#This Row],[Enrolment S.Y. 2025-2026 ]]*8</f>
        <v>0</v>
      </c>
      <c r="W64" s="12"/>
      <c r="X64" s="10"/>
      <c r="Y64" s="12"/>
      <c r="Z64" s="12">
        <f t="shared" si="20"/>
        <v>0</v>
      </c>
      <c r="AA64" s="12">
        <f t="shared" si="21"/>
        <v>0</v>
      </c>
    </row>
    <row r="65" spans="1:27" ht="19.149999999999999">
      <c r="A65" s="10">
        <v>8</v>
      </c>
      <c r="B65" s="11" t="s">
        <v>16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6"/>
        <v>0</v>
      </c>
      <c r="O65" s="12">
        <f t="shared" si="17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8"/>
        <v>0</v>
      </c>
      <c r="U65" s="12">
        <f t="shared" si="19"/>
        <v>0</v>
      </c>
      <c r="V65" s="12">
        <f>Table1[[#This Row],[Enrolment S.Y. 2025-2026 ]]*8</f>
        <v>0</v>
      </c>
      <c r="W65" s="12"/>
      <c r="X65" s="10"/>
      <c r="Y65" s="12"/>
      <c r="Z65" s="12">
        <f t="shared" si="20"/>
        <v>0</v>
      </c>
      <c r="AA65" s="12">
        <f t="shared" si="21"/>
        <v>0</v>
      </c>
    </row>
    <row r="66" spans="1:27" ht="19.149999999999999">
      <c r="A66" s="10">
        <v>8</v>
      </c>
      <c r="B66" s="11" t="s">
        <v>13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6"/>
        <v>0</v>
      </c>
      <c r="O66" s="12">
        <f t="shared" si="17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8"/>
        <v>0</v>
      </c>
      <c r="U66" s="12">
        <f t="shared" si="19"/>
        <v>0</v>
      </c>
      <c r="V66" s="12">
        <f>Table1[[#This Row],[Enrolment S.Y. 2025-2026 ]]*8</f>
        <v>0</v>
      </c>
      <c r="W66" s="12"/>
      <c r="X66" s="10"/>
      <c r="Y66" s="12"/>
      <c r="Z66" s="12">
        <f t="shared" si="20"/>
        <v>0</v>
      </c>
      <c r="AA66" s="12">
        <f t="shared" si="21"/>
        <v>0</v>
      </c>
    </row>
    <row r="67" spans="1:27" ht="19.149999999999999">
      <c r="A67" s="10">
        <v>8</v>
      </c>
      <c r="B67" s="11" t="s">
        <v>21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6"/>
        <v>0</v>
      </c>
      <c r="O67" s="12">
        <f t="shared" si="17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8"/>
        <v>0</v>
      </c>
      <c r="U67" s="12">
        <f t="shared" si="19"/>
        <v>0</v>
      </c>
      <c r="V67" s="12">
        <f>Table1[[#This Row],[Enrolment S.Y. 2025-2026 ]]*8</f>
        <v>0</v>
      </c>
      <c r="W67" s="12"/>
      <c r="X67" s="10"/>
      <c r="Y67" s="12"/>
      <c r="Z67" s="12">
        <f t="shared" si="20"/>
        <v>0</v>
      </c>
      <c r="AA67" s="12">
        <f t="shared" si="21"/>
        <v>0</v>
      </c>
    </row>
    <row r="68" spans="1:27" ht="19.149999999999999">
      <c r="A68" s="10">
        <v>8</v>
      </c>
      <c r="B68" s="11" t="s">
        <v>23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6"/>
        <v>0</v>
      </c>
      <c r="O68" s="12">
        <f t="shared" si="17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8"/>
        <v>0</v>
      </c>
      <c r="U68" s="12">
        <f t="shared" si="19"/>
        <v>0</v>
      </c>
      <c r="V68" s="12">
        <f>Table1[[#This Row],[Enrolment S.Y. 2025-2026 ]]*8</f>
        <v>0</v>
      </c>
      <c r="W68" s="12"/>
      <c r="X68" s="10"/>
      <c r="Y68" s="12"/>
      <c r="Z68" s="12">
        <f t="shared" si="20"/>
        <v>0</v>
      </c>
      <c r="AA68" s="12">
        <f t="shared" si="21"/>
        <v>0</v>
      </c>
    </row>
    <row r="69" spans="1:27" ht="19.149999999999999">
      <c r="A69" s="10">
        <v>8</v>
      </c>
      <c r="B69" s="11" t="s">
        <v>14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ref="H69:H118" si="22">IF((D69-E69)&lt;0,0,(D69-E69))</f>
        <v>0</v>
      </c>
      <c r="I69" s="12">
        <f t="shared" ref="I69:I118" si="23">IF((E69-D69)&lt;0,0,(E69-D69))</f>
        <v>0</v>
      </c>
      <c r="J69" s="12">
        <f>Table1[[#This Row],[Enrolment S.Y. 2025-2026 ]]*8</f>
        <v>0</v>
      </c>
      <c r="K69" s="12"/>
      <c r="L69" s="10"/>
      <c r="M69" s="12"/>
      <c r="N69" s="12">
        <f t="shared" si="16"/>
        <v>0</v>
      </c>
      <c r="O69" s="12">
        <f t="shared" si="17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8"/>
        <v>0</v>
      </c>
      <c r="U69" s="12">
        <f t="shared" si="19"/>
        <v>0</v>
      </c>
      <c r="V69" s="12">
        <f>Table1[[#This Row],[Enrolment S.Y. 2025-2026 ]]*8</f>
        <v>0</v>
      </c>
      <c r="W69" s="12"/>
      <c r="X69" s="10"/>
      <c r="Y69" s="12"/>
      <c r="Z69" s="12">
        <f t="shared" si="20"/>
        <v>0</v>
      </c>
      <c r="AA69" s="12">
        <f t="shared" si="21"/>
        <v>0</v>
      </c>
    </row>
    <row r="70" spans="1:27" ht="19.149999999999999">
      <c r="A70" s="10">
        <v>8</v>
      </c>
      <c r="B70" s="11" t="s">
        <v>18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2"/>
        <v>0</v>
      </c>
      <c r="I70" s="12">
        <f t="shared" si="23"/>
        <v>0</v>
      </c>
      <c r="J70" s="12">
        <f>Table1[[#This Row],[Enrolment S.Y. 2025-2026 ]]*8</f>
        <v>0</v>
      </c>
      <c r="K70" s="12"/>
      <c r="L70" s="10"/>
      <c r="M70" s="12"/>
      <c r="N70" s="12">
        <f t="shared" si="16"/>
        <v>0</v>
      </c>
      <c r="O70" s="12">
        <f t="shared" si="17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8"/>
        <v>0</v>
      </c>
      <c r="U70" s="12">
        <f t="shared" si="19"/>
        <v>0</v>
      </c>
      <c r="V70" s="12">
        <f>Table1[[#This Row],[Enrolment S.Y. 2025-2026 ]]*8</f>
        <v>0</v>
      </c>
      <c r="W70" s="12"/>
      <c r="X70" s="10"/>
      <c r="Y70" s="12"/>
      <c r="Z70" s="12">
        <f t="shared" si="20"/>
        <v>0</v>
      </c>
      <c r="AA70" s="12">
        <f t="shared" si="21"/>
        <v>0</v>
      </c>
    </row>
    <row r="71" spans="1:27" ht="19.149999999999999">
      <c r="A71" s="10">
        <v>8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2"/>
        <v>0</v>
      </c>
      <c r="I71" s="12">
        <f t="shared" si="2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ht="19.149999999999999">
      <c r="A72" s="10">
        <v>8</v>
      </c>
      <c r="B72" s="11" t="s">
        <v>20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22"/>
        <v>0</v>
      </c>
      <c r="I72" s="12">
        <f t="shared" si="23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8"/>
        <v>0</v>
      </c>
      <c r="U72" s="12">
        <f t="shared" si="19"/>
        <v>0</v>
      </c>
      <c r="V72" s="12">
        <f>Table1[[#This Row],[Enrolment S.Y. 2025-2026 ]]*8</f>
        <v>0</v>
      </c>
      <c r="W72" s="12"/>
      <c r="X72" s="10"/>
      <c r="Y72" s="12"/>
      <c r="Z72" s="12">
        <f t="shared" si="20"/>
        <v>0</v>
      </c>
      <c r="AA72" s="12">
        <f t="shared" si="21"/>
        <v>0</v>
      </c>
    </row>
    <row r="73" spans="1:27" s="7" customFormat="1" ht="19.149999999999999">
      <c r="J73" s="13"/>
      <c r="M73" s="5"/>
      <c r="N73" s="13"/>
      <c r="O73" s="13"/>
      <c r="P73" s="13"/>
      <c r="S73" s="5"/>
      <c r="T73" s="13"/>
      <c r="U73" s="13"/>
      <c r="V73" s="13"/>
      <c r="Y73" s="5"/>
      <c r="Z73" s="13"/>
      <c r="AA73" s="13"/>
    </row>
    <row r="74" spans="1:27" ht="19.149999999999999">
      <c r="A74" s="10">
        <v>9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2"/>
        <v>0</v>
      </c>
      <c r="I74" s="12">
        <f t="shared" si="2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9</v>
      </c>
      <c r="B75" s="11" t="s">
        <v>16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2"/>
        <v>0</v>
      </c>
      <c r="I75" s="12">
        <f t="shared" si="2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9</v>
      </c>
      <c r="B76" s="11" t="s">
        <v>13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2"/>
        <v>0</v>
      </c>
      <c r="I76" s="12">
        <f t="shared" si="2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9</v>
      </c>
      <c r="B77" s="11" t="s">
        <v>21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2"/>
        <v>0</v>
      </c>
      <c r="I77" s="12">
        <f t="shared" si="2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9</v>
      </c>
      <c r="B78" s="11" t="s">
        <v>23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22"/>
        <v>0</v>
      </c>
      <c r="I78" s="12">
        <f t="shared" si="23"/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9</v>
      </c>
      <c r="B79" s="11" t="s">
        <v>14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9</v>
      </c>
      <c r="B80" s="11" t="s">
        <v>18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9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9</v>
      </c>
      <c r="B82" s="11" t="s">
        <v>20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2"/>
        <v>0</v>
      </c>
      <c r="I82" s="12">
        <f t="shared" si="23"/>
        <v>0</v>
      </c>
      <c r="J82" s="12">
        <f>Table1[[#This Row],[Enrolment S.Y. 2025-2026 ]]*8</f>
        <v>0</v>
      </c>
      <c r="K82" s="12"/>
      <c r="L82" s="10"/>
      <c r="M82" s="12"/>
      <c r="N82" s="12">
        <f t="shared" si="16"/>
        <v>0</v>
      </c>
      <c r="O82" s="12">
        <f t="shared" si="17"/>
        <v>0</v>
      </c>
      <c r="P82" s="12">
        <f>Table1[[#This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s="7" customFormat="1" ht="19.149999999999999">
      <c r="J83" s="13"/>
      <c r="M83" s="5"/>
      <c r="N83" s="13"/>
      <c r="O83" s="13"/>
      <c r="P83" s="13"/>
      <c r="S83" s="5"/>
      <c r="T83" s="13"/>
      <c r="U83" s="13"/>
      <c r="V83" s="13"/>
      <c r="Y83" s="5"/>
      <c r="Z83" s="13"/>
      <c r="AA83" s="13"/>
    </row>
    <row r="84" spans="1:27" ht="19.149999999999999">
      <c r="A84" s="10">
        <v>10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>IF((D84-E84)&lt;0,0,(D84-E84))</f>
        <v>0</v>
      </c>
      <c r="I84" s="12">
        <f>IF((E84-D84)&lt;0,0,(E84-D84))</f>
        <v>0</v>
      </c>
      <c r="J84" s="12">
        <f>Table1[[#This Row],[Enrolment S.Y. 2025-2026 ]]*8</f>
        <v>0</v>
      </c>
      <c r="K84" s="12"/>
      <c r="L84" s="10"/>
      <c r="M84" s="12"/>
      <c r="N84" s="12">
        <f>IF((J84-K84)&lt;0,0,(J84-K84))</f>
        <v>0</v>
      </c>
      <c r="O84" s="12">
        <f>IF((K84-J84)&lt;0,0,(K84-J84))</f>
        <v>0</v>
      </c>
      <c r="P84" s="12">
        <f>Table1[[#This Row],[Enrolment S.Y. 2025-2026 ]]*8</f>
        <v>0</v>
      </c>
      <c r="Q84" s="12"/>
      <c r="R84" s="10"/>
      <c r="S84" s="12"/>
      <c r="T84" s="12">
        <f>IF((P84-Q84)&lt;0,0,(P84-Q84))</f>
        <v>0</v>
      </c>
      <c r="U84" s="12">
        <f>IF((Q84-P84)&lt;0,0,(Q84-P84))</f>
        <v>0</v>
      </c>
      <c r="V84" s="12">
        <f>Table1[[#This Row],[Enrolment S.Y. 2025-2026 ]]*8</f>
        <v>0</v>
      </c>
      <c r="W84" s="12"/>
      <c r="X84" s="10"/>
      <c r="Y84" s="12"/>
      <c r="Z84" s="12">
        <f>IF((V84-W84)&lt;0,0,(V84-W84))</f>
        <v>0</v>
      </c>
      <c r="AA84" s="12">
        <f>IF((W84-V84)&lt;0,0,(W84-V84))</f>
        <v>0</v>
      </c>
    </row>
    <row r="85" spans="1:27" ht="19.149999999999999">
      <c r="A85" s="10">
        <v>10</v>
      </c>
      <c r="B85" s="11" t="s">
        <v>16</v>
      </c>
      <c r="C85" s="10"/>
      <c r="D85" s="12">
        <f>Table1[[#This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Table1[[#This Row],[Enrolment S.Y. 2025-2026 ]]*8</f>
        <v>0</v>
      </c>
      <c r="K85" s="12"/>
      <c r="L85" s="10"/>
      <c r="M85" s="12"/>
      <c r="N85" s="12">
        <f>IF((J85-K85)&lt;0,0,(J85-K85))</f>
        <v>0</v>
      </c>
      <c r="O85" s="12">
        <f>IF((K85-J85)&lt;0,0,(K85-J85))</f>
        <v>0</v>
      </c>
      <c r="P85" s="12">
        <f>Table1[[#This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10</v>
      </c>
      <c r="B86" s="11" t="s">
        <v>13</v>
      </c>
      <c r="C86" s="10"/>
      <c r="D86" s="12">
        <f>Table1[[#This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Table1[[#This Row],[Enrolment S.Y. 2025-2026 ]]*8</f>
        <v>0</v>
      </c>
      <c r="K86" s="12"/>
      <c r="L86" s="10"/>
      <c r="M86" s="12"/>
      <c r="N86" s="12">
        <f>IF((J86-K86)&lt;0,0,(J86-K86))</f>
        <v>0</v>
      </c>
      <c r="O86" s="12">
        <f>IF((K86-J86)&lt;0,0,(K86-J86))</f>
        <v>0</v>
      </c>
      <c r="P86" s="12">
        <f>Table1[[#This Row],[Enrolment S.Y. 2025-2026 ]]*8</f>
        <v>0</v>
      </c>
      <c r="Q86" s="12"/>
      <c r="R86" s="10"/>
      <c r="S86" s="12"/>
      <c r="T86" s="12">
        <f>IF((P86-Q86)&lt;0,0,(P86-Q86))</f>
        <v>0</v>
      </c>
      <c r="U86" s="12">
        <f>IF((Q86-P86)&lt;0,0,(Q86-P86))</f>
        <v>0</v>
      </c>
      <c r="V86" s="12">
        <f>Table1[[#This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149999999999999">
      <c r="A87" s="10">
        <v>10</v>
      </c>
      <c r="B87" s="11" t="s">
        <v>21</v>
      </c>
      <c r="C87" s="10"/>
      <c r="D87" s="12">
        <f>Table1[[#This Row],[Enrolment S.Y. 2025-2026 ]]*8</f>
        <v>0</v>
      </c>
      <c r="E87" s="12"/>
      <c r="F87" s="10"/>
      <c r="G87" s="12"/>
      <c r="H87" s="12">
        <f>IF((D87-E87)&lt;0,0,(D87-E87))</f>
        <v>0</v>
      </c>
      <c r="I87" s="12">
        <f>IF((E87-D87)&lt;0,0,(E87-D87))</f>
        <v>0</v>
      </c>
      <c r="J87" s="12">
        <f>Table1[[#This Row],[Enrolment S.Y. 2025-2026 ]]*8</f>
        <v>0</v>
      </c>
      <c r="K87" s="12"/>
      <c r="L87" s="10"/>
      <c r="M87" s="12"/>
      <c r="N87" s="12">
        <f>IF((J87-K87)&lt;0,0,(J87-K87))</f>
        <v>0</v>
      </c>
      <c r="O87" s="12">
        <f>IF((K87-J87)&lt;0,0,(K87-J87))</f>
        <v>0</v>
      </c>
      <c r="P87" s="12">
        <f>Table1[[#This Row],[Enrolment S.Y. 2025-2026 ]]*8</f>
        <v>0</v>
      </c>
      <c r="Q87" s="12"/>
      <c r="R87" s="10"/>
      <c r="S87" s="12"/>
      <c r="T87" s="12">
        <f>IF((P87-Q87)&lt;0,0,(P87-Q87))</f>
        <v>0</v>
      </c>
      <c r="U87" s="12">
        <f>IF((Q87-P87)&lt;0,0,(Q87-P87))</f>
        <v>0</v>
      </c>
      <c r="V87" s="12">
        <f>Table1[[#This Row],[Enrolment S.Y. 2025-2026 ]]*8</f>
        <v>0</v>
      </c>
      <c r="W87" s="12"/>
      <c r="X87" s="10"/>
      <c r="Y87" s="12"/>
      <c r="Z87" s="12">
        <f>IF((V87-W87)&lt;0,0,(V87-W87))</f>
        <v>0</v>
      </c>
      <c r="AA87" s="12">
        <f>IF((W87-V87)&lt;0,0,(W87-V87))</f>
        <v>0</v>
      </c>
    </row>
    <row r="88" spans="1:27" ht="19.149999999999999">
      <c r="A88" s="10">
        <v>10</v>
      </c>
      <c r="B88" s="11" t="s">
        <v>23</v>
      </c>
      <c r="C88" s="10"/>
      <c r="D88" s="12">
        <f>Table1[[#This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Table1[[#This Row],[Enrolment S.Y. 2025-2026 ]]*8</f>
        <v>0</v>
      </c>
      <c r="K88" s="12"/>
      <c r="L88" s="10"/>
      <c r="M88" s="12"/>
      <c r="N88" s="12">
        <f>IF((J88-K88)&lt;0,0,(J88-K88))</f>
        <v>0</v>
      </c>
      <c r="O88" s="12">
        <f>IF((K88-J88)&lt;0,0,(K88-J88))</f>
        <v>0</v>
      </c>
      <c r="P88" s="12">
        <f>Table1[[#This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10</v>
      </c>
      <c r="B89" s="11" t="s">
        <v>14</v>
      </c>
      <c r="C89" s="10"/>
      <c r="D89" s="12">
        <f>Table1[[#This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Table1[[#This Row],[Enrolment S.Y. 2025-2026 ]]*8</f>
        <v>0</v>
      </c>
      <c r="K89" s="12"/>
      <c r="L89" s="10"/>
      <c r="M89" s="12"/>
      <c r="N89" s="12">
        <f>IF((J89-K89)&lt;0,0,(J89-K89))</f>
        <v>0</v>
      </c>
      <c r="O89" s="12">
        <f>IF((K89-J89)&lt;0,0,(K89-J89))</f>
        <v>0</v>
      </c>
      <c r="P89" s="12">
        <f>Table1[[#This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10</v>
      </c>
      <c r="B90" s="11" t="s">
        <v>18</v>
      </c>
      <c r="C90" s="10"/>
      <c r="D90" s="12">
        <f>Table1[[#This Row],[Enrolment S.Y. 2025-2026 ]]*8</f>
        <v>0</v>
      </c>
      <c r="E90" s="12"/>
      <c r="F90" s="10"/>
      <c r="G90" s="12"/>
      <c r="H90" s="12">
        <f>IF((D90-E90)&lt;0,0,(D90-E90))</f>
        <v>0</v>
      </c>
      <c r="I90" s="12">
        <f>IF((E90-D90)&lt;0,0,(E90-D90))</f>
        <v>0</v>
      </c>
      <c r="J90" s="12">
        <f>Table1[[#This Row],[Enrolment S.Y. 2025-2026 ]]*8</f>
        <v>0</v>
      </c>
      <c r="K90" s="12"/>
      <c r="L90" s="10"/>
      <c r="M90" s="12"/>
      <c r="N90" s="12">
        <f>IF((J90-K90)&lt;0,0,(J90-K90))</f>
        <v>0</v>
      </c>
      <c r="O90" s="12">
        <f>IF((K90-J90)&lt;0,0,(K90-J90))</f>
        <v>0</v>
      </c>
      <c r="P90" s="12">
        <f>Table1[[#This Row],[Enrolment S.Y. 2025-2026 ]]*8</f>
        <v>0</v>
      </c>
      <c r="Q90" s="12"/>
      <c r="R90" s="10"/>
      <c r="S90" s="12"/>
      <c r="T90" s="12">
        <f>IF((P90-Q90)&lt;0,0,(P90-Q90))</f>
        <v>0</v>
      </c>
      <c r="U90" s="12">
        <f>IF((Q90-P90)&lt;0,0,(Q90-P90))</f>
        <v>0</v>
      </c>
      <c r="V90" s="12">
        <f>Table1[[#This Row],[Enrolment S.Y. 2025-2026 ]]*8</f>
        <v>0</v>
      </c>
      <c r="W90" s="12"/>
      <c r="X90" s="10"/>
      <c r="Y90" s="12"/>
      <c r="Z90" s="12">
        <f>IF((V90-W90)&lt;0,0,(V90-W90))</f>
        <v>0</v>
      </c>
      <c r="AA90" s="12">
        <f>IF((W90-V90)&lt;0,0,(W90-V90))</f>
        <v>0</v>
      </c>
    </row>
    <row r="91" spans="1:27" ht="19.149999999999999">
      <c r="A91" s="10">
        <v>10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>IF((D91-E91)&lt;0,0,(D91-E91))</f>
        <v>0</v>
      </c>
      <c r="I91" s="12">
        <f>IF((E91-D91)&lt;0,0,(E91-D91))</f>
        <v>0</v>
      </c>
      <c r="J91" s="12">
        <f>Table1[[#This Row],[Enrolment S.Y. 2025-2026 ]]*8</f>
        <v>0</v>
      </c>
      <c r="K91" s="12"/>
      <c r="L91" s="10"/>
      <c r="M91" s="12"/>
      <c r="N91" s="12">
        <f>IF((J91-K91)&lt;0,0,(J91-K91))</f>
        <v>0</v>
      </c>
      <c r="O91" s="12">
        <f>IF((K91-J91)&lt;0,0,(K91-J91))</f>
        <v>0</v>
      </c>
      <c r="P91" s="12">
        <f>Table1[[#This Row],[Enrolment S.Y. 2025-2026 ]]*8</f>
        <v>0</v>
      </c>
      <c r="Q91" s="12"/>
      <c r="R91" s="10"/>
      <c r="S91" s="12"/>
      <c r="T91" s="12">
        <f>IF((P91-Q91)&lt;0,0,(P91-Q91))</f>
        <v>0</v>
      </c>
      <c r="U91" s="12">
        <f>IF((Q91-P91)&lt;0,0,(Q91-P91))</f>
        <v>0</v>
      </c>
      <c r="V91" s="12">
        <f>Table1[[#This Row],[Enrolment S.Y. 2025-2026 ]]*8</f>
        <v>0</v>
      </c>
      <c r="W91" s="12"/>
      <c r="X91" s="10"/>
      <c r="Y91" s="12"/>
      <c r="Z91" s="12">
        <f>IF((V91-W91)&lt;0,0,(V91-W91))</f>
        <v>0</v>
      </c>
      <c r="AA91" s="12">
        <f>IF((W91-V91)&lt;0,0,(W91-V91))</f>
        <v>0</v>
      </c>
    </row>
    <row r="92" spans="1:27" ht="19.149999999999999">
      <c r="A92" s="10">
        <v>10</v>
      </c>
      <c r="B92" s="11" t="s">
        <v>20</v>
      </c>
      <c r="C92" s="10"/>
      <c r="D92" s="12">
        <f>Table1[[#This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Table1[[#This Row],[Enrolment S.Y. 2025-2026 ]]*8</f>
        <v>0</v>
      </c>
      <c r="K92" s="12"/>
      <c r="L92" s="10"/>
      <c r="M92" s="12"/>
      <c r="N92" s="12">
        <f>IF((J92-K92)&lt;0,0,(J92-K92))</f>
        <v>0</v>
      </c>
      <c r="O92" s="12">
        <f>IF((K92-J92)&lt;0,0,(K92-J92))</f>
        <v>0</v>
      </c>
      <c r="P92" s="12">
        <f>Table1[[#This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s="7" customFormat="1" ht="19.149999999999999">
      <c r="J93" s="13"/>
      <c r="M93" s="5"/>
      <c r="N93" s="13"/>
      <c r="O93" s="13"/>
      <c r="P93" s="13"/>
      <c r="S93" s="5"/>
      <c r="T93" s="13"/>
      <c r="U93" s="13"/>
      <c r="V93" s="13"/>
      <c r="Y93" s="5"/>
      <c r="Z93" s="13"/>
      <c r="AA93" s="13"/>
    </row>
    <row r="94" spans="1:27" ht="38.450000000000003">
      <c r="A94" s="1" t="s">
        <v>24</v>
      </c>
      <c r="B94" s="9" t="s">
        <v>25</v>
      </c>
      <c r="C94" s="1"/>
      <c r="D94" s="5">
        <f>Table1[[#This Row],[Enrolment S.Y. 2025-2026 ]]*8</f>
        <v>0</v>
      </c>
      <c r="E94" s="5"/>
      <c r="F94" s="1"/>
      <c r="G94" s="5"/>
      <c r="H94" s="5">
        <f t="shared" si="22"/>
        <v>0</v>
      </c>
      <c r="I94" s="5">
        <f t="shared" si="23"/>
        <v>0</v>
      </c>
      <c r="J94" s="5">
        <f>Table1[[#This Row],[Enrolment S.Y. 2025-2026 ]]*8</f>
        <v>0</v>
      </c>
      <c r="K94" s="5"/>
      <c r="L94" s="1"/>
      <c r="M94" s="5"/>
      <c r="N94" s="5">
        <f t="shared" si="16"/>
        <v>0</v>
      </c>
      <c r="O94" s="5">
        <f t="shared" si="17"/>
        <v>0</v>
      </c>
      <c r="P94" s="5">
        <f>Table1[[#This Row],[Enrolment S.Y. 2025-2026 ]]*8</f>
        <v>0</v>
      </c>
      <c r="Q94" s="5"/>
      <c r="R94" s="1"/>
      <c r="S94" s="5"/>
      <c r="T94" s="5">
        <f t="shared" si="18"/>
        <v>0</v>
      </c>
      <c r="U94" s="5">
        <f t="shared" si="19"/>
        <v>0</v>
      </c>
      <c r="V94" s="5">
        <f>Table1[[#This Row],[Enrolment S.Y. 2025-2026 ]]*8</f>
        <v>0</v>
      </c>
      <c r="W94" s="5"/>
      <c r="X94" s="1"/>
      <c r="Y94" s="5"/>
      <c r="Z94" s="5">
        <f t="shared" si="20"/>
        <v>0</v>
      </c>
      <c r="AA94" s="5">
        <f t="shared" si="21"/>
        <v>0</v>
      </c>
    </row>
    <row r="95" spans="1:27" ht="19.149999999999999">
      <c r="A95" s="1" t="s">
        <v>24</v>
      </c>
      <c r="B95" s="9" t="s">
        <v>26</v>
      </c>
      <c r="C95" s="1"/>
      <c r="D95" s="5">
        <f>Table1[[#This Row],[Enrolment S.Y. 2025-2026 ]]*8</f>
        <v>0</v>
      </c>
      <c r="E95" s="5"/>
      <c r="F95" s="1"/>
      <c r="G95" s="5"/>
      <c r="H95" s="5">
        <f t="shared" si="22"/>
        <v>0</v>
      </c>
      <c r="I95" s="5">
        <f t="shared" si="23"/>
        <v>0</v>
      </c>
      <c r="J95" s="5">
        <f>Table1[[#This Row],[Enrolment S.Y. 2025-2026 ]]*8</f>
        <v>0</v>
      </c>
      <c r="K95" s="5"/>
      <c r="L95" s="1"/>
      <c r="M95" s="5"/>
      <c r="N95" s="5">
        <f t="shared" si="16"/>
        <v>0</v>
      </c>
      <c r="O95" s="5">
        <f t="shared" si="17"/>
        <v>0</v>
      </c>
      <c r="P95" s="5">
        <f>Table1[[#This Row],[Enrolment S.Y. 2025-2026 ]]*8</f>
        <v>0</v>
      </c>
      <c r="Q95" s="5"/>
      <c r="R95" s="1"/>
      <c r="S95" s="5"/>
      <c r="T95" s="5">
        <f t="shared" si="18"/>
        <v>0</v>
      </c>
      <c r="U95" s="5">
        <f t="shared" si="19"/>
        <v>0</v>
      </c>
      <c r="V95" s="5">
        <f>Table1[[#This Row],[Enrolment S.Y. 2025-2026 ]]*8</f>
        <v>0</v>
      </c>
      <c r="W95" s="5"/>
      <c r="X95" s="1"/>
      <c r="Y95" s="5"/>
      <c r="Z95" s="5">
        <f t="shared" si="20"/>
        <v>0</v>
      </c>
      <c r="AA95" s="5">
        <f t="shared" si="21"/>
        <v>0</v>
      </c>
    </row>
    <row r="96" spans="1:27" ht="19.149999999999999">
      <c r="A96" s="1" t="s">
        <v>24</v>
      </c>
      <c r="B96" s="9" t="s">
        <v>27</v>
      </c>
      <c r="C96" s="1"/>
      <c r="D96" s="5">
        <f>Table1[[#This Row],[Enrolment S.Y. 2025-2026 ]]*8</f>
        <v>0</v>
      </c>
      <c r="E96" s="5"/>
      <c r="F96" s="1"/>
      <c r="G96" s="5"/>
      <c r="H96" s="5">
        <f t="shared" si="22"/>
        <v>0</v>
      </c>
      <c r="I96" s="5">
        <f t="shared" si="23"/>
        <v>0</v>
      </c>
      <c r="J96" s="5">
        <f>Table1[[#This Row],[Enrolment S.Y. 2025-2026 ]]*8</f>
        <v>0</v>
      </c>
      <c r="K96" s="5"/>
      <c r="L96" s="1"/>
      <c r="M96" s="5"/>
      <c r="N96" s="5">
        <f t="shared" si="16"/>
        <v>0</v>
      </c>
      <c r="O96" s="5">
        <f t="shared" si="17"/>
        <v>0</v>
      </c>
      <c r="P96" s="5">
        <f>Table1[[#This Row],[Enrolment S.Y. 2025-2026 ]]*8</f>
        <v>0</v>
      </c>
      <c r="Q96" s="5"/>
      <c r="R96" s="1"/>
      <c r="S96" s="5"/>
      <c r="T96" s="5">
        <f t="shared" si="18"/>
        <v>0</v>
      </c>
      <c r="U96" s="5">
        <f t="shared" si="19"/>
        <v>0</v>
      </c>
      <c r="V96" s="5">
        <f>Table1[[#This Row],[Enrolment S.Y. 2025-2026 ]]*8</f>
        <v>0</v>
      </c>
      <c r="W96" s="5"/>
      <c r="X96" s="1"/>
      <c r="Y96" s="5"/>
      <c r="Z96" s="5">
        <f t="shared" si="20"/>
        <v>0</v>
      </c>
      <c r="AA96" s="5">
        <f t="shared" si="21"/>
        <v>0</v>
      </c>
    </row>
    <row r="97" spans="1:27" ht="19.149999999999999">
      <c r="A97" s="1" t="s">
        <v>24</v>
      </c>
      <c r="B97" s="9" t="s">
        <v>28</v>
      </c>
      <c r="C97" s="1"/>
      <c r="D97" s="5">
        <f>Table1[[#This Row],[Enrolment S.Y. 2025-2026 ]]*8</f>
        <v>0</v>
      </c>
      <c r="E97" s="5"/>
      <c r="F97" s="1"/>
      <c r="G97" s="5"/>
      <c r="H97" s="5">
        <f t="shared" si="22"/>
        <v>0</v>
      </c>
      <c r="I97" s="5">
        <f t="shared" si="23"/>
        <v>0</v>
      </c>
      <c r="J97" s="5">
        <f>Table1[[#This Row],[Enrolment S.Y. 2025-2026 ]]*8</f>
        <v>0</v>
      </c>
      <c r="K97" s="5"/>
      <c r="L97" s="1"/>
      <c r="M97" s="5"/>
      <c r="N97" s="5">
        <f t="shared" si="16"/>
        <v>0</v>
      </c>
      <c r="O97" s="5">
        <f t="shared" si="17"/>
        <v>0</v>
      </c>
      <c r="P97" s="5">
        <f>Table1[[#This Row],[Enrolment S.Y. 2025-2026 ]]*8</f>
        <v>0</v>
      </c>
      <c r="Q97" s="5"/>
      <c r="R97" s="1"/>
      <c r="S97" s="5"/>
      <c r="T97" s="5">
        <f t="shared" si="18"/>
        <v>0</v>
      </c>
      <c r="U97" s="5">
        <f t="shared" si="19"/>
        <v>0</v>
      </c>
      <c r="V97" s="5">
        <f>Table1[[#This Row],[Enrolment S.Y. 2025-2026 ]]*8</f>
        <v>0</v>
      </c>
      <c r="W97" s="5"/>
      <c r="X97" s="1"/>
      <c r="Y97" s="5"/>
      <c r="Z97" s="5">
        <f t="shared" si="20"/>
        <v>0</v>
      </c>
      <c r="AA97" s="5">
        <f t="shared" si="21"/>
        <v>0</v>
      </c>
    </row>
    <row r="98" spans="1:27" ht="38.450000000000003">
      <c r="A98" s="1" t="s">
        <v>24</v>
      </c>
      <c r="B98" s="9" t="s">
        <v>29</v>
      </c>
      <c r="C98" s="1"/>
      <c r="D98" s="5">
        <f>Table1[[#This Row],[Enrolment S.Y. 2025-2026 ]]*8</f>
        <v>0</v>
      </c>
      <c r="E98" s="5"/>
      <c r="F98" s="1"/>
      <c r="G98" s="5"/>
      <c r="H98" s="5">
        <f t="shared" si="22"/>
        <v>0</v>
      </c>
      <c r="I98" s="5">
        <f t="shared" si="23"/>
        <v>0</v>
      </c>
      <c r="J98" s="5">
        <f>Table1[[#This Row],[Enrolment S.Y. 2025-2026 ]]*8</f>
        <v>0</v>
      </c>
      <c r="K98" s="5"/>
      <c r="L98" s="1"/>
      <c r="M98" s="5"/>
      <c r="N98" s="5">
        <f t="shared" si="16"/>
        <v>0</v>
      </c>
      <c r="O98" s="5">
        <f t="shared" si="17"/>
        <v>0</v>
      </c>
      <c r="P98" s="5">
        <f>Table1[[#This Row],[Enrolment S.Y. 2025-2026 ]]*8</f>
        <v>0</v>
      </c>
      <c r="Q98" s="5"/>
      <c r="R98" s="1"/>
      <c r="S98" s="5"/>
      <c r="T98" s="5">
        <f t="shared" si="18"/>
        <v>0</v>
      </c>
      <c r="U98" s="5">
        <f t="shared" si="19"/>
        <v>0</v>
      </c>
      <c r="V98" s="5">
        <f>Table1[[#This Row],[Enrolment S.Y. 2025-2026 ]]*8</f>
        <v>0</v>
      </c>
      <c r="W98" s="5"/>
      <c r="X98" s="1"/>
      <c r="Y98" s="5"/>
      <c r="Z98" s="5">
        <f t="shared" si="20"/>
        <v>0</v>
      </c>
      <c r="AA98" s="5">
        <f t="shared" si="21"/>
        <v>0</v>
      </c>
    </row>
    <row r="99" spans="1:27" ht="19.149999999999999">
      <c r="A99" s="1" t="s">
        <v>24</v>
      </c>
      <c r="B99" s="9" t="s">
        <v>30</v>
      </c>
      <c r="C99" s="1"/>
      <c r="D99" s="5">
        <f>Table1[[#This Row],[Enrolment S.Y. 2025-2026 ]]*8</f>
        <v>0</v>
      </c>
      <c r="E99" s="5"/>
      <c r="F99" s="1"/>
      <c r="G99" s="5"/>
      <c r="H99" s="5">
        <f t="shared" si="22"/>
        <v>0</v>
      </c>
      <c r="I99" s="5">
        <f t="shared" si="23"/>
        <v>0</v>
      </c>
      <c r="J99" s="5">
        <f>Table1[[#This Row],[Enrolment S.Y. 2025-2026 ]]*8</f>
        <v>0</v>
      </c>
      <c r="K99" s="5"/>
      <c r="L99" s="1"/>
      <c r="M99" s="5"/>
      <c r="N99" s="5">
        <f t="shared" si="16"/>
        <v>0</v>
      </c>
      <c r="O99" s="5">
        <f t="shared" si="17"/>
        <v>0</v>
      </c>
      <c r="P99" s="5">
        <f>Table1[[#This Row],[Enrolment S.Y. 2025-2026 ]]*8</f>
        <v>0</v>
      </c>
      <c r="Q99" s="5"/>
      <c r="R99" s="1"/>
      <c r="S99" s="5"/>
      <c r="T99" s="5">
        <f t="shared" si="18"/>
        <v>0</v>
      </c>
      <c r="U99" s="5">
        <f t="shared" si="19"/>
        <v>0</v>
      </c>
      <c r="V99" s="5">
        <f>Table1[[#This Row],[Enrolment S.Y. 2025-2026 ]]*8</f>
        <v>0</v>
      </c>
      <c r="W99" s="5"/>
      <c r="X99" s="1"/>
      <c r="Y99" s="5"/>
      <c r="Z99" s="5">
        <f t="shared" si="20"/>
        <v>0</v>
      </c>
      <c r="AA99" s="5">
        <f t="shared" si="21"/>
        <v>0</v>
      </c>
    </row>
    <row r="100" spans="1:27" ht="38.450000000000003">
      <c r="A100" s="1" t="s">
        <v>24</v>
      </c>
      <c r="B100" s="9" t="s">
        <v>31</v>
      </c>
      <c r="C100" s="1"/>
      <c r="D100" s="5">
        <f>Table1[[#This Row],[Enrolment S.Y. 2025-2026 ]]*8</f>
        <v>0</v>
      </c>
      <c r="E100" s="5"/>
      <c r="F100" s="1"/>
      <c r="G100" s="5"/>
      <c r="H100" s="5">
        <f t="shared" si="22"/>
        <v>0</v>
      </c>
      <c r="I100" s="5">
        <f t="shared" si="23"/>
        <v>0</v>
      </c>
      <c r="J100" s="5">
        <f>Table1[[#This Row],[Enrolment S.Y. 2025-2026 ]]*8</f>
        <v>0</v>
      </c>
      <c r="K100" s="5"/>
      <c r="L100" s="1"/>
      <c r="M100" s="5"/>
      <c r="N100" s="5">
        <f t="shared" si="16"/>
        <v>0</v>
      </c>
      <c r="O100" s="5">
        <f t="shared" si="17"/>
        <v>0</v>
      </c>
      <c r="P100" s="5">
        <f>Table1[[#This Row],[Enrolment S.Y. 2025-2026 ]]*8</f>
        <v>0</v>
      </c>
      <c r="Q100" s="5"/>
      <c r="R100" s="1"/>
      <c r="S100" s="5"/>
      <c r="T100" s="5">
        <f t="shared" si="18"/>
        <v>0</v>
      </c>
      <c r="U100" s="5">
        <f t="shared" si="19"/>
        <v>0</v>
      </c>
      <c r="V100" s="5">
        <f>Table1[[#This Row],[Enrolment S.Y. 2025-2026 ]]*8</f>
        <v>0</v>
      </c>
      <c r="W100" s="5"/>
      <c r="X100" s="1"/>
      <c r="Y100" s="5"/>
      <c r="Z100" s="5">
        <f t="shared" si="20"/>
        <v>0</v>
      </c>
      <c r="AA100" s="5">
        <f t="shared" si="21"/>
        <v>0</v>
      </c>
    </row>
    <row r="101" spans="1:27" ht="38.450000000000003">
      <c r="A101" s="1" t="s">
        <v>24</v>
      </c>
      <c r="B101" s="9" t="s">
        <v>32</v>
      </c>
      <c r="C101" s="1"/>
      <c r="D101" s="5">
        <f>Table1[[#This Row],[Enrolment S.Y. 2025-2026 ]]*8</f>
        <v>0</v>
      </c>
      <c r="E101" s="5"/>
      <c r="F101" s="1"/>
      <c r="G101" s="5"/>
      <c r="H101" s="5">
        <f t="shared" si="22"/>
        <v>0</v>
      </c>
      <c r="I101" s="5">
        <f t="shared" si="23"/>
        <v>0</v>
      </c>
      <c r="J101" s="5">
        <f>Table1[[#This Row],[Enrolment S.Y. 2025-2026 ]]*8</f>
        <v>0</v>
      </c>
      <c r="K101" s="5"/>
      <c r="L101" s="1"/>
      <c r="M101" s="5"/>
      <c r="N101" s="5">
        <f t="shared" si="16"/>
        <v>0</v>
      </c>
      <c r="O101" s="5">
        <f t="shared" si="17"/>
        <v>0</v>
      </c>
      <c r="P101" s="5">
        <f>Table1[[#This Row],[Enrolment S.Y. 2025-2026 ]]*8</f>
        <v>0</v>
      </c>
      <c r="Q101" s="5"/>
      <c r="R101" s="1"/>
      <c r="S101" s="5"/>
      <c r="T101" s="5">
        <f t="shared" si="18"/>
        <v>0</v>
      </c>
      <c r="U101" s="5">
        <f t="shared" si="19"/>
        <v>0</v>
      </c>
      <c r="V101" s="5">
        <f>Table1[[#This Row],[Enrolment S.Y. 2025-2026 ]]*8</f>
        <v>0</v>
      </c>
      <c r="W101" s="5"/>
      <c r="X101" s="1"/>
      <c r="Y101" s="5"/>
      <c r="Z101" s="5">
        <f t="shared" si="20"/>
        <v>0</v>
      </c>
      <c r="AA101" s="5">
        <f t="shared" si="21"/>
        <v>0</v>
      </c>
    </row>
    <row r="102" spans="1:27" s="7" customFormat="1" ht="19.149999999999999">
      <c r="J102" s="13"/>
      <c r="N102" s="13"/>
      <c r="O102" s="13"/>
      <c r="P102" s="13"/>
      <c r="T102" s="13"/>
      <c r="U102" s="13"/>
      <c r="V102" s="13"/>
      <c r="Z102" s="13"/>
      <c r="AA102" s="13"/>
    </row>
    <row r="103" spans="1:27" ht="19.149999999999999">
      <c r="A103" s="1"/>
      <c r="B103" s="9"/>
      <c r="C103" s="1"/>
      <c r="D103" s="5"/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/>
      <c r="B104" s="9"/>
      <c r="C104" s="1"/>
      <c r="D104" s="5"/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/>
      <c r="B105" s="9"/>
      <c r="C105" s="1"/>
      <c r="D105" s="5"/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/>
      <c r="B106" s="9"/>
      <c r="C106" s="1"/>
      <c r="D106" s="5"/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19.149999999999999">
      <c r="A107" s="1"/>
      <c r="B107" s="9"/>
      <c r="C107" s="1"/>
      <c r="D107" s="5"/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/>
      <c r="B108" s="9"/>
      <c r="C108" s="1"/>
      <c r="D108" s="5"/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19.149999999999999">
      <c r="A109" s="1"/>
      <c r="B109" s="9"/>
      <c r="C109" s="1"/>
      <c r="D109" s="5"/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19.149999999999999">
      <c r="A110" s="1"/>
      <c r="B110" s="9"/>
      <c r="C110" s="1"/>
      <c r="D110" s="5"/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ht="19.149999999999999">
      <c r="A111" s="1"/>
      <c r="B111" s="9"/>
      <c r="C111" s="1"/>
      <c r="D111" s="5"/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Table1[[#This Row],[Enrolment S.Y. 2025-2026 ]]*8</f>
        <v>0</v>
      </c>
      <c r="K111" s="5"/>
      <c r="L111" s="1"/>
      <c r="M111" s="5"/>
      <c r="N111" s="5">
        <f t="shared" si="16"/>
        <v>0</v>
      </c>
      <c r="O111" s="5">
        <f t="shared" si="17"/>
        <v>0</v>
      </c>
      <c r="P111" s="5">
        <f>Table1[[#This Row],[Enrolment S.Y. 2025-2026 ]]*8</f>
        <v>0</v>
      </c>
      <c r="Q111" s="5"/>
      <c r="R111" s="1"/>
      <c r="S111" s="5"/>
      <c r="T111" s="5">
        <f t="shared" si="18"/>
        <v>0</v>
      </c>
      <c r="U111" s="5">
        <f t="shared" si="19"/>
        <v>0</v>
      </c>
      <c r="V111" s="5">
        <f>Table1[[#This Row],[Enrolment S.Y. 2025-2026 ]]*8</f>
        <v>0</v>
      </c>
      <c r="W111" s="5"/>
      <c r="X111" s="1"/>
      <c r="Y111" s="5"/>
      <c r="Z111" s="5">
        <f t="shared" si="20"/>
        <v>0</v>
      </c>
      <c r="AA111" s="5">
        <f t="shared" si="21"/>
        <v>0</v>
      </c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29"/>
      <c r="B118" s="30"/>
      <c r="C118" s="29"/>
      <c r="D118" s="5"/>
      <c r="E118" s="31"/>
      <c r="F118" s="29"/>
      <c r="G118" s="31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31"/>
      <c r="L118" s="29"/>
      <c r="M118" s="31"/>
      <c r="N118" s="5">
        <f t="shared" ref="N118" si="24">IF((J118-K118)&lt;0,0,(J118-K118))</f>
        <v>0</v>
      </c>
      <c r="O118" s="5">
        <f t="shared" ref="O118" si="25">IF((K118-J118)&lt;0,0,(K118-J118))</f>
        <v>0</v>
      </c>
      <c r="P118" s="5"/>
      <c r="Q118" s="31"/>
      <c r="R118" s="29"/>
      <c r="S118" s="31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31"/>
      <c r="X118" s="29"/>
      <c r="Y118" s="31"/>
      <c r="Z118" s="5">
        <f t="shared" si="20"/>
        <v>0</v>
      </c>
      <c r="AA118" s="5">
        <f t="shared" si="21"/>
        <v>0</v>
      </c>
    </row>
    <row r="119" spans="1:27">
      <c r="J119" t="e">
        <f>#REF!*8</f>
        <v>#REF!</v>
      </c>
    </row>
    <row r="120" spans="1:27">
      <c r="J120" t="e">
        <f>#REF!*8</f>
        <v>#REF!</v>
      </c>
    </row>
    <row r="121" spans="1:27">
      <c r="J121" t="e">
        <f>#REF!*8</f>
        <v>#REF!</v>
      </c>
    </row>
    <row r="122" spans="1:27">
      <c r="J122" t="e">
        <f>#REF!*8</f>
        <v>#REF!</v>
      </c>
    </row>
    <row r="123" spans="1:27">
      <c r="J123" t="e">
        <f>#REF!*8</f>
        <v>#REF!</v>
      </c>
    </row>
    <row r="124" spans="1:27">
      <c r="J124" t="e">
        <f>#REF!*8</f>
        <v>#REF!</v>
      </c>
    </row>
    <row r="125" spans="1:27">
      <c r="J125" t="e">
        <f>#REF!*8</f>
        <v>#REF!</v>
      </c>
    </row>
    <row r="126" spans="1:27">
      <c r="J126" t="e">
        <f>#REF!*8</f>
        <v>#REF!</v>
      </c>
    </row>
    <row r="127" spans="1:27">
      <c r="J127" t="e">
        <f>#REF!*8</f>
        <v>#REF!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 ht="15"/>
    <row r="151" spans="10:10" ht="15"/>
    <row r="152" spans="10:10" ht="15"/>
    <row r="154" spans="10:10" ht="15"/>
    <row r="156" spans="10:10" ht="15"/>
    <row r="157" spans="10:10" ht="15"/>
  </sheetData>
  <protectedRanges>
    <protectedRange sqref="C2:C3 C54:C62 C64:C72 C74:C82 C84:C92 C94:C101 C103:C118 C44:C52 C11:C15 C24:C32 C34:C42 C17:C22" name="Textbooks"/>
    <protectedRange sqref="J2:L3 D2:F3 H5:L5 Q11:R15 W11:X15 H11:I15 Q17:R22 W17:X22 H17:I22 D24:F32 H24:I32 Q24:R32 W24:X32 H34:I42 Q34:R42 W34:X42 D44:F52 H44:I52 Q44:R52 W44:X52 D54:F62 H54:I62 Q54:R62 W54:X62 D64:F72 H64:I72 Q64:R72 W64:X72 D74:F82 H74:I82 Q74:R82 W74:X82 D84:F92 H84:I92 Q84:R92 W84:X92 D94:F101 H94:I101 Q94:R101 W94:X101 D103:F118 H103:I118 N118:R118 W103:X118 K11:L15 N5:R9 T5:X9 K24:L32 K34:L42 K44:L52 K54:L62 K64:L72 K74:L82 K84:L92 K94:L101 K103:L118 Q103:R117 P2:R2 V2:X3 D5:F9 N4:P4 T4:V4 J4 N3:R3 Y10 D11:F15 N10:P117 H6:I9 K6:L9 T10:V118 J6:J118 Z4:AA118 D17:F22 D34:F42 K17:L22" name="LAS"/>
    <protectedRange sqref="G2:I3 M2:O2 S2:U3 Y2:AA3 G103:G118 M103:M118 S103:S118 Y103:Y118 Y5:Y9 M3 G24:G32 G44:G52 G54:G62 G64:G72 G74:G82 G84:G92 G94:G101 G11:G15 Y11:Y101 G5:G9 M5:M9 M11:M101 S4:S52 G17:G22 G34:G42 S54:S101" name="SOURCE"/>
    <protectedRange sqref="C5:C9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03:S118 M103:M118 Y103:Y118 G103:G118" xr:uid="{8289B4A9-982E-4C7E-A8E2-4BF3404561DB}">
      <formula1>"CO,RO,SDO"</formula1>
    </dataValidation>
    <dataValidation type="list" allowBlank="1" showInputMessage="1" showErrorMessage="1" sqref="X24:X32 X34:X42 X54:X62 X64:X72 X44:X52 L103:L118 X74:X82 X84:X92 X5:X9 L24:L32 L34:L42 L54:L62 L64:L72 L44:L52 R103:R118 L74:L82 L84:L92 L5:L9 R24:R32 R34:R42 R54:R62 R64:R72 R44:R52 F103:F118 R74:R82 R84:R92 R5:R9 F24:F32 F17:F22 F54:F62 F64:F72 F44:F52 F5:F9 F74:F82 F84:F92 F94:F101 R94:R101 L94:L101 X94:X101 X103:X118 X11:X15 R11:R15 L11:L15 F11:F15 X17:X22 R17:R22 L17:L22 F34:F42" xr:uid="{4ECCD083-8EC4-42EE-B46C-B614411F330D}">
      <formula1>"2024,2025"</formula1>
    </dataValidation>
    <dataValidation type="list" allowBlank="1" showInputMessage="1" showErrorMessage="1" sqref="G5:G9 M5:M9 Y5:Y9 G24:G32 Y11:Y101 G44:G52 G54:G62 G64:G72 G74:G82 G84:G92 G94:G101 G11:G15 G17:G22 G34:G42 M11:M101 S4:S52 S54:S10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2026-01-22T09:18:18Z</dcterms:modified>
  <cp:category/>
  <cp:contentStatus/>
</cp:coreProperties>
</file>