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2" documentId="13_ncr:1_{BFB59F67-F0DC-4675-A682-EB0734A8026A}" xr6:coauthVersionLast="47" xr6:coauthVersionMax="47" xr10:uidLastSave="{055277E3-FA07-460B-A999-1F2F36B499A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H30" i="4"/>
  <c r="H19" i="4"/>
  <c r="D10" i="4"/>
  <c r="H10" i="4" s="1"/>
  <c r="D11" i="4"/>
  <c r="H11" i="4" s="1"/>
  <c r="H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6" i="4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I43" i="4"/>
  <c r="H44" i="4"/>
  <c r="D45" i="4"/>
  <c r="H45" i="4" s="1"/>
  <c r="D47" i="4"/>
  <c r="D48" i="4"/>
  <c r="I48" i="4" s="1"/>
  <c r="D49" i="4"/>
  <c r="I49" i="4" s="1"/>
  <c r="H50" i="4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<sst xmlns="http://schemas.openxmlformats.org/spreadsheetml/2006/main" count="388" uniqueCount="90">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</sst>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>
    <filterColumn colId="2">
      <filters blank="1">
        <filter val="108"/>
        <filter val="109"/>
        <filter val="119"/>
        <filter val="128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83</v>
      </c>
      <c r="D2" s="1">
        <v>187</v>
      </c>
      <c r="E2" s="1">
        <v>2024</v>
      </c>
      <c r="F2" s="5"/>
      <c r="G2" s="3">
        <f>IF((C2-D2)&lt;0,0,C2-D2)</f>
        <v>0</v>
      </c>
      <c r="H2" s="4">
        <f>IF((D2-C2)&lt;0,0,D2-C2)</f>
        <v>104</v>
      </c>
    </row>
    <row r="3" spans="1:8" ht="29.25" customHeight="1">
      <c r="A3" s="1">
        <v>1</v>
      </c>
      <c r="B3" s="2" t="s">
        <v>9</v>
      </c>
      <c r="C3" s="1">
        <v>83</v>
      </c>
      <c r="D3" s="1">
        <v>187</v>
      </c>
      <c r="E3" s="1">
        <v>2025</v>
      </c>
      <c r="F3" s="5"/>
      <c r="G3" s="3">
        <f>IF((C3-D3)&lt;0,0,C3-D3)</f>
        <v>0</v>
      </c>
      <c r="H3" s="4">
        <f>IF((D3-C3)&lt;0,0,D3-C3)</f>
        <v>104</v>
      </c>
    </row>
    <row r="4" spans="1:8" ht="21" customHeight="1">
      <c r="A4" s="1">
        <v>1</v>
      </c>
      <c r="B4" s="2" t="s">
        <v>10</v>
      </c>
      <c r="C4" s="1">
        <v>83</v>
      </c>
      <c r="D4" s="1">
        <v>187</v>
      </c>
      <c r="E4" s="1">
        <v>2024</v>
      </c>
      <c r="F4" s="5"/>
      <c r="G4" s="3">
        <f>IF((C4-D4)&lt;0,0,C4-D4)</f>
        <v>0</v>
      </c>
      <c r="H4" s="4">
        <f>IF((D4-C4)&lt;0,0,D4-C4)</f>
        <v>104</v>
      </c>
    </row>
    <row r="5" spans="1:8" ht="25.5" customHeight="1">
      <c r="A5" s="1">
        <v>1</v>
      </c>
      <c r="B5" s="2" t="s">
        <v>11</v>
      </c>
      <c r="C5" s="1">
        <v>83</v>
      </c>
      <c r="D5" s="1">
        <v>187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104</v>
      </c>
    </row>
    <row r="6" spans="1:8" ht="19.5">
      <c r="A6" s="1">
        <v>1</v>
      </c>
      <c r="B6" s="2" t="s">
        <v>12</v>
      </c>
      <c r="C6" s="1">
        <v>83</v>
      </c>
      <c r="D6" s="1"/>
      <c r="E6" s="1"/>
      <c r="F6" s="5"/>
      <c r="G6" s="3">
        <f t="shared" si="0"/>
        <v>83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109</v>
      </c>
      <c r="D8" s="1"/>
      <c r="E8" s="1"/>
      <c r="F8" s="5"/>
      <c r="G8" s="3">
        <f>IF((C12-D8)&lt;0,0,C12-D8)</f>
        <v>109</v>
      </c>
      <c r="H8" s="4">
        <f>IF((D8-C12)&lt;0,0,D8-C12)</f>
        <v>0</v>
      </c>
    </row>
    <row r="9" spans="1:8" ht="29.25" customHeight="1">
      <c r="A9" s="1">
        <v>2</v>
      </c>
      <c r="B9" s="2" t="s">
        <v>9</v>
      </c>
      <c r="C9" s="1">
        <v>109</v>
      </c>
      <c r="D9" s="1"/>
      <c r="E9" s="1"/>
      <c r="F9" s="5"/>
      <c r="G9" s="3">
        <f>IF((C9-D9)&lt;0,0,C9-D9)</f>
        <v>109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109</v>
      </c>
      <c r="D10" s="1"/>
      <c r="E10" s="1"/>
      <c r="F10" s="5"/>
      <c r="G10" s="3">
        <f>IF((C10-D10)&lt;0,0,C10-D10)</f>
        <v>109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109</v>
      </c>
      <c r="D11" s="1"/>
      <c r="E11" s="1"/>
      <c r="F11" s="5"/>
      <c r="G11" s="3">
        <f>IF((C11-D11)&lt;0,0,C11-D11)</f>
        <v>109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109</v>
      </c>
      <c r="D12" s="1"/>
      <c r="E12" s="1"/>
      <c r="F12" s="5"/>
      <c r="G12" s="3" t="e">
        <f>IF((#REF!-D12)&lt;0,0,#REF!-D12)</f>
        <v>#REF!</v>
      </c>
      <c r="H12" s="4" t="e">
        <f>IF((D12-#REF!)&lt;0,0,D12-#REF!)</f>
        <v>#REF!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108</v>
      </c>
      <c r="D14" s="1"/>
      <c r="E14" s="1"/>
      <c r="F14" s="5"/>
      <c r="G14" s="3">
        <f t="shared" ref="G14:G19" si="2">IF((C14-D14)&lt;0,0,C14-D14)</f>
        <v>108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108</v>
      </c>
      <c r="D15" s="1"/>
      <c r="E15" s="1"/>
      <c r="F15" s="5"/>
      <c r="G15" s="3">
        <f t="shared" si="2"/>
        <v>108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108</v>
      </c>
      <c r="D16" s="1"/>
      <c r="E16" s="1"/>
      <c r="F16" s="5"/>
      <c r="G16" s="3">
        <f t="shared" si="2"/>
        <v>108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108</v>
      </c>
      <c r="D17" s="1"/>
      <c r="E17" s="1"/>
      <c r="F17" s="5"/>
      <c r="G17" s="3">
        <f t="shared" si="2"/>
        <v>108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108</v>
      </c>
      <c r="D18" s="1"/>
      <c r="E18" s="1"/>
      <c r="F18" s="5"/>
      <c r="G18" s="3">
        <f t="shared" si="2"/>
        <v>108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108</v>
      </c>
      <c r="D19" s="1"/>
      <c r="E19" s="1"/>
      <c r="F19" s="5"/>
      <c r="G19" s="3">
        <f t="shared" si="2"/>
        <v>108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128</v>
      </c>
      <c r="D21" s="1"/>
      <c r="E21" s="1"/>
      <c r="F21" s="5"/>
      <c r="G21" s="3">
        <f t="shared" ref="G21:G29" si="4">IF((C21-D21)&lt;0,0,C21-D21)</f>
        <v>128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128</v>
      </c>
      <c r="D22" s="1">
        <v>120</v>
      </c>
      <c r="E22" s="1">
        <v>2024</v>
      </c>
      <c r="F22" s="5"/>
      <c r="G22" s="3">
        <f t="shared" si="4"/>
        <v>8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128</v>
      </c>
      <c r="D23" s="1">
        <v>120</v>
      </c>
      <c r="E23" s="1">
        <v>2024</v>
      </c>
      <c r="F23" s="5"/>
      <c r="G23" s="3">
        <f t="shared" si="4"/>
        <v>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128</v>
      </c>
      <c r="D24" s="1">
        <v>120</v>
      </c>
      <c r="E24" s="1">
        <v>2024</v>
      </c>
      <c r="F24" s="5"/>
      <c r="G24" s="3">
        <f t="shared" si="4"/>
        <v>8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128</v>
      </c>
      <c r="D25" s="1">
        <v>120</v>
      </c>
      <c r="E25" s="1">
        <v>2024</v>
      </c>
      <c r="F25" s="5"/>
      <c r="G25" s="3">
        <f t="shared" si="4"/>
        <v>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128</v>
      </c>
      <c r="D26" s="1">
        <v>120</v>
      </c>
      <c r="E26" s="1">
        <v>2024</v>
      </c>
      <c r="F26" s="5"/>
      <c r="G26" s="3">
        <f t="shared" si="4"/>
        <v>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128</v>
      </c>
      <c r="D27" s="1">
        <v>120</v>
      </c>
      <c r="E27" s="1">
        <v>2024</v>
      </c>
      <c r="F27" s="5"/>
      <c r="G27" s="3">
        <f t="shared" si="4"/>
        <v>8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128</v>
      </c>
      <c r="D28" s="1"/>
      <c r="E28" s="1"/>
      <c r="F28" s="5"/>
      <c r="G28" s="3">
        <f t="shared" si="4"/>
        <v>128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128</v>
      </c>
      <c r="D29" s="1"/>
      <c r="E29" s="1"/>
      <c r="F29" s="5"/>
      <c r="G29" s="3">
        <f t="shared" si="4"/>
        <v>128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119</v>
      </c>
      <c r="D31" s="1">
        <v>120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15</v>
      </c>
      <c r="C32" s="1">
        <v>119</v>
      </c>
      <c r="D32" s="1"/>
      <c r="E32" s="1"/>
      <c r="F32" s="5"/>
      <c r="G32" s="3">
        <f t="shared" si="6"/>
        <v>119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119</v>
      </c>
      <c r="D33" s="1"/>
      <c r="E33" s="1"/>
      <c r="F33" s="5"/>
      <c r="G33" s="3">
        <f t="shared" si="6"/>
        <v>119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119</v>
      </c>
      <c r="D34" s="1"/>
      <c r="E34" s="1"/>
      <c r="F34" s="5"/>
      <c r="G34" s="3">
        <f t="shared" si="6"/>
        <v>119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119</v>
      </c>
      <c r="D35" s="1">
        <v>120</v>
      </c>
      <c r="E35" s="1">
        <v>2025</v>
      </c>
      <c r="F35" s="5"/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13</v>
      </c>
      <c r="C36" s="1">
        <v>119</v>
      </c>
      <c r="D36" s="1">
        <v>120</v>
      </c>
      <c r="E36" s="1">
        <v>2025</v>
      </c>
      <c r="F36" s="5"/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17</v>
      </c>
      <c r="C37" s="1">
        <v>119</v>
      </c>
      <c r="D37" s="1">
        <v>120</v>
      </c>
      <c r="E37" s="1">
        <v>2025</v>
      </c>
      <c r="F37" s="5"/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18</v>
      </c>
      <c r="C38" s="1">
        <v>119</v>
      </c>
      <c r="D38" s="1"/>
      <c r="E38" s="1"/>
      <c r="F38" s="5"/>
      <c r="G38" s="3">
        <f t="shared" si="6"/>
        <v>119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119</v>
      </c>
      <c r="D39" s="1"/>
      <c r="E39" s="1"/>
      <c r="F39" s="5"/>
      <c r="G39" s="3">
        <f t="shared" si="6"/>
        <v>119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109</v>
      </c>
      <c r="D41" s="1"/>
      <c r="E41" s="1"/>
      <c r="F41" s="5"/>
      <c r="G41" s="3">
        <f t="shared" ref="G41:G49" si="8">IF((C41-D41)&lt;0,0,C41-D41)</f>
        <v>109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109</v>
      </c>
      <c r="D42" s="1"/>
      <c r="E42" s="1"/>
      <c r="F42" s="5"/>
      <c r="G42" s="3">
        <f t="shared" si="8"/>
        <v>109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109</v>
      </c>
      <c r="D43" s="1"/>
      <c r="E43" s="1"/>
      <c r="F43" s="5"/>
      <c r="G43" s="3">
        <f t="shared" si="8"/>
        <v>109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109</v>
      </c>
      <c r="D44" s="1"/>
      <c r="E44" s="1"/>
      <c r="F44" s="5"/>
      <c r="G44" s="3">
        <f t="shared" si="8"/>
        <v>109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109</v>
      </c>
      <c r="D45" s="1"/>
      <c r="E45" s="1"/>
      <c r="F45" s="5"/>
      <c r="G45" s="3">
        <f t="shared" si="8"/>
        <v>109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109</v>
      </c>
      <c r="D46" s="1"/>
      <c r="E46" s="1"/>
      <c r="F46" s="5"/>
      <c r="G46" s="3">
        <f t="shared" si="8"/>
        <v>109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109</v>
      </c>
      <c r="D47" s="1"/>
      <c r="E47" s="1"/>
      <c r="F47" s="5"/>
      <c r="G47" s="3">
        <f t="shared" si="8"/>
        <v>109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109</v>
      </c>
      <c r="D48" s="1"/>
      <c r="E48" s="1"/>
      <c r="F48" s="5"/>
      <c r="G48" s="3">
        <f t="shared" si="8"/>
        <v>109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109</v>
      </c>
      <c r="D49" s="1"/>
      <c r="E49" s="1"/>
      <c r="F49" s="5"/>
      <c r="G49" s="3">
        <f t="shared" si="8"/>
        <v>109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B114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>
        <v>40</v>
      </c>
      <c r="X3" s="32">
        <v>2025</v>
      </c>
      <c r="Y3" s="34"/>
      <c r="Z3" s="34">
        <f>IF((V3-W3)&lt;0,0,(V3-W3))</f>
        <v>0</v>
      </c>
      <c r="AA3" s="34">
        <f>IF((W3-V3)&lt;0,0,(W3-V3))</f>
        <v>40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48.75" customHeight="1">
      <c r="A5" s="1">
        <v>1</v>
      </c>
      <c r="B5" s="2" t="s">
        <v>8</v>
      </c>
      <c r="C5" s="1">
        <v>83</v>
      </c>
      <c r="D5" s="5">
        <f>Table1[[#This Row],[Enrolment S.Y. 2025-2026 ]]*8</f>
        <v>664</v>
      </c>
      <c r="E5" s="5"/>
      <c r="F5" s="1"/>
      <c r="G5" s="5"/>
      <c r="H5" s="5">
        <f t="shared" ref="H5:H77" si="2">IF((D5-E5)&lt;0,0,(D5-E5))</f>
        <v>664</v>
      </c>
      <c r="I5" s="5">
        <f t="shared" ref="I5:I77" si="3">IF((E5-D5)&lt;0,0,(E5-D5))</f>
        <v>0</v>
      </c>
      <c r="J5" s="5">
        <f>Table1[[#This Row],[Enrolment S.Y. 2025-2026 ]]*8</f>
        <v>664</v>
      </c>
      <c r="K5" s="5"/>
      <c r="L5" s="1"/>
      <c r="M5" s="5"/>
      <c r="N5" s="5">
        <f t="shared" ref="N5" si="4">IF((J5-K5)&lt;0,0,(J5-K5))</f>
        <v>664</v>
      </c>
      <c r="O5" s="5">
        <f t="shared" ref="O5" si="5">IF((K5-J5)&lt;0,0,(K5-J5))</f>
        <v>0</v>
      </c>
      <c r="P5" s="5">
        <f>Table1[[#This Row],[Enrolment S.Y. 2025-2026 ]]*8</f>
        <v>664</v>
      </c>
      <c r="Q5" s="5"/>
      <c r="R5" s="1"/>
      <c r="S5" s="5"/>
      <c r="T5" s="5">
        <f t="shared" ref="T5" si="6">IF((P5-Q5)&lt;0,0,(P5-Q5))</f>
        <v>664</v>
      </c>
      <c r="U5" s="5">
        <f t="shared" ref="U5" si="7">IF((Q5-P5)&lt;0,0,(Q5-P5))</f>
        <v>0</v>
      </c>
      <c r="V5" s="5">
        <f>Table1[[#This Row],[Enrolment S.Y. 2025-2026 ]]*8</f>
        <v>664</v>
      </c>
      <c r="W5" s="5"/>
      <c r="X5" s="1"/>
      <c r="Y5" s="5"/>
      <c r="Z5" s="5">
        <f t="shared" ref="Z5" si="8">IF((V5-W5)&lt;0,0,(V5-W5))</f>
        <v>664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83</v>
      </c>
      <c r="D6" s="5">
        <f>Table1[[#This Row],[Enrolment S.Y. 2025-2026 ]]*8</f>
        <v>664</v>
      </c>
      <c r="E6" s="5"/>
      <c r="F6" s="1"/>
      <c r="G6" s="5"/>
      <c r="H6" s="5">
        <f t="shared" si="2"/>
        <v>664</v>
      </c>
      <c r="I6" s="5">
        <f t="shared" si="3"/>
        <v>0</v>
      </c>
      <c r="J6" s="5">
        <f>Table1[[#This Row],[Enrolment S.Y. 2025-2026 ]]*8</f>
        <v>664</v>
      </c>
      <c r="K6" s="5"/>
      <c r="L6" s="1"/>
      <c r="M6" s="5"/>
      <c r="N6" s="5">
        <f t="shared" ref="N6:N69" si="10">IF((J6-K6)&lt;0,0,(J6-K6))</f>
        <v>664</v>
      </c>
      <c r="O6" s="5">
        <f t="shared" ref="O6:O69" si="11">IF((K6-J6)&lt;0,0,(K6-J6))</f>
        <v>0</v>
      </c>
      <c r="P6" s="5">
        <f>Table1[[#This Row],[Enrolment S.Y. 2025-2026 ]]*8</f>
        <v>664</v>
      </c>
      <c r="Q6" s="5"/>
      <c r="R6" s="1"/>
      <c r="S6" s="5"/>
      <c r="T6" s="5">
        <f t="shared" ref="T6:T69" si="12">IF((P6-Q6)&lt;0,0,(P6-Q6))</f>
        <v>664</v>
      </c>
      <c r="U6" s="5">
        <f t="shared" ref="U6:U69" si="13">IF((Q6-P6)&lt;0,0,(Q6-P6))</f>
        <v>0</v>
      </c>
      <c r="V6" s="5">
        <f>Table1[[#This Row],[Enrolment S.Y. 2025-2026 ]]*8</f>
        <v>664</v>
      </c>
      <c r="W6" s="5"/>
      <c r="X6" s="1"/>
      <c r="Y6" s="5"/>
      <c r="Z6" s="5">
        <f t="shared" ref="Z6:Z69" si="14">IF((V6-W6)&lt;0,0,(V6-W6))</f>
        <v>664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83</v>
      </c>
      <c r="D7" s="5">
        <f>Table1[[#This Row],[Enrolment S.Y. 2025-2026 ]]*8</f>
        <v>664</v>
      </c>
      <c r="E7" s="5"/>
      <c r="F7" s="1"/>
      <c r="G7" s="5"/>
      <c r="H7" s="5">
        <f t="shared" si="2"/>
        <v>664</v>
      </c>
      <c r="I7" s="5">
        <f t="shared" si="3"/>
        <v>0</v>
      </c>
      <c r="J7" s="5">
        <f>Table1[[#This Row],[Enrolment S.Y. 2025-2026 ]]*8</f>
        <v>664</v>
      </c>
      <c r="K7" s="5"/>
      <c r="L7" s="1"/>
      <c r="M7" s="5"/>
      <c r="N7" s="5">
        <f t="shared" si="10"/>
        <v>664</v>
      </c>
      <c r="O7" s="5">
        <f t="shared" si="11"/>
        <v>0</v>
      </c>
      <c r="P7" s="5">
        <f>Table1[[#This Row],[Enrolment S.Y. 2025-2026 ]]*8</f>
        <v>664</v>
      </c>
      <c r="Q7" s="5"/>
      <c r="R7" s="1"/>
      <c r="S7" s="5"/>
      <c r="T7" s="5">
        <f t="shared" si="12"/>
        <v>664</v>
      </c>
      <c r="U7" s="5">
        <f t="shared" si="13"/>
        <v>0</v>
      </c>
      <c r="V7" s="5">
        <f>Table1[[#This Row],[Enrolment S.Y. 2025-2026 ]]*8</f>
        <v>664</v>
      </c>
      <c r="W7" s="5"/>
      <c r="X7" s="1"/>
      <c r="Y7" s="5"/>
      <c r="Z7" s="5">
        <f t="shared" si="14"/>
        <v>664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83</v>
      </c>
      <c r="D8" s="5">
        <f>Table1[[#This Row],[Enrolment S.Y. 2025-2026 ]]*8</f>
        <v>664</v>
      </c>
      <c r="E8" s="5"/>
      <c r="F8" s="1"/>
      <c r="G8" s="5"/>
      <c r="H8" s="5">
        <f t="shared" si="2"/>
        <v>664</v>
      </c>
      <c r="I8" s="5">
        <f t="shared" si="3"/>
        <v>0</v>
      </c>
      <c r="J8" s="5">
        <f>Table1[[#This Row],[Enrolment S.Y. 2025-2026 ]]*8</f>
        <v>664</v>
      </c>
      <c r="K8" s="5"/>
      <c r="L8" s="1"/>
      <c r="M8" s="5"/>
      <c r="N8" s="5">
        <f t="shared" si="10"/>
        <v>664</v>
      </c>
      <c r="O8" s="5">
        <f t="shared" si="11"/>
        <v>0</v>
      </c>
      <c r="P8" s="5">
        <f>Table1[[#This Row],[Enrolment S.Y. 2025-2026 ]]*8</f>
        <v>664</v>
      </c>
      <c r="Q8" s="5"/>
      <c r="R8" s="1"/>
      <c r="S8" s="5"/>
      <c r="T8" s="5">
        <f t="shared" si="12"/>
        <v>664</v>
      </c>
      <c r="U8" s="5">
        <f t="shared" si="13"/>
        <v>0</v>
      </c>
      <c r="V8" s="5">
        <f>Table1[[#This Row],[Enrolment S.Y. 2025-2026 ]]*8</f>
        <v>664</v>
      </c>
      <c r="W8" s="5"/>
      <c r="X8" s="1"/>
      <c r="Y8" s="5"/>
      <c r="Z8" s="5">
        <f t="shared" si="14"/>
        <v>664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83</v>
      </c>
      <c r="D9" s="5">
        <f>Table1[[#This Row],[Enrolment S.Y. 2025-2026 ]]*8</f>
        <v>664</v>
      </c>
      <c r="E9" s="5"/>
      <c r="F9" s="1"/>
      <c r="G9" s="5"/>
      <c r="H9" s="5">
        <f t="shared" si="2"/>
        <v>664</v>
      </c>
      <c r="I9" s="5">
        <f t="shared" si="3"/>
        <v>0</v>
      </c>
      <c r="J9" s="5">
        <f>Table1[[#This Row],[Enrolment S.Y. 2025-2026 ]]*8</f>
        <v>664</v>
      </c>
      <c r="K9" s="5"/>
      <c r="L9" s="1"/>
      <c r="M9" s="5"/>
      <c r="N9" s="5">
        <f t="shared" si="10"/>
        <v>664</v>
      </c>
      <c r="O9" s="5">
        <f t="shared" si="11"/>
        <v>0</v>
      </c>
      <c r="P9" s="5">
        <f>Table1[[#This Row],[Enrolment S.Y. 2025-2026 ]]*8</f>
        <v>664</v>
      </c>
      <c r="Q9" s="5"/>
      <c r="R9" s="1"/>
      <c r="S9" s="5"/>
      <c r="T9" s="5">
        <f t="shared" si="12"/>
        <v>664</v>
      </c>
      <c r="U9" s="5">
        <f t="shared" si="13"/>
        <v>0</v>
      </c>
      <c r="V9" s="5">
        <f>Table1[[#This Row],[Enrolment S.Y. 2025-2026 ]]*8</f>
        <v>664</v>
      </c>
      <c r="W9" s="5"/>
      <c r="X9" s="1"/>
      <c r="Y9" s="5"/>
      <c r="Z9" s="5">
        <f t="shared" si="14"/>
        <v>664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83</v>
      </c>
      <c r="D10" s="5">
        <f>Table1[[#This Row],[Enrolment S.Y. 2025-2026 ]]*8</f>
        <v>664</v>
      </c>
      <c r="E10" s="5"/>
      <c r="F10" s="1"/>
      <c r="G10" s="5"/>
      <c r="H10" s="5">
        <f>IF((D10-E10)&lt;0,0,(D10-E10))</f>
        <v>664</v>
      </c>
      <c r="I10" s="5">
        <f>IF((E10-D10)&lt;0,0,(E10-D10))</f>
        <v>0</v>
      </c>
      <c r="J10" s="5">
        <f>Table1[[#This Row],[Enrolment S.Y. 2025-2026 ]]*8</f>
        <v>664</v>
      </c>
      <c r="K10" s="5"/>
      <c r="L10" s="1"/>
      <c r="M10" s="5"/>
      <c r="N10" s="5">
        <f t="shared" si="10"/>
        <v>664</v>
      </c>
      <c r="O10" s="5">
        <f t="shared" si="11"/>
        <v>0</v>
      </c>
      <c r="P10" s="5">
        <f>Table1[[#This Row],[Enrolment S.Y. 2025-2026 ]]*8</f>
        <v>664</v>
      </c>
      <c r="Q10" s="5"/>
      <c r="R10" s="1"/>
      <c r="S10" s="5"/>
      <c r="T10" s="5">
        <f t="shared" si="12"/>
        <v>664</v>
      </c>
      <c r="U10" s="5">
        <f t="shared" si="13"/>
        <v>0</v>
      </c>
      <c r="V10" s="5">
        <f>Table1[[#This Row],[Enrolment S.Y. 2025-2026 ]]*8</f>
        <v>664</v>
      </c>
      <c r="W10" s="5"/>
      <c r="X10" s="1"/>
      <c r="Y10" s="5"/>
      <c r="Z10" s="5">
        <f t="shared" si="14"/>
        <v>664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83</v>
      </c>
      <c r="D11" s="5">
        <f>Table1[[#This Row],[Enrolment S.Y. 2025-2026 ]]*8</f>
        <v>664</v>
      </c>
      <c r="E11" s="5"/>
      <c r="F11" s="1"/>
      <c r="G11" s="5"/>
      <c r="H11" s="5">
        <f>IF((D11-E11)&lt;0,0,(D11-E11))</f>
        <v>664</v>
      </c>
      <c r="I11" s="5">
        <f>IF((E11-D11)&lt;0,0,(E11-D11))</f>
        <v>0</v>
      </c>
      <c r="J11" s="5">
        <f>Table1[[#This Row],[Enrolment S.Y. 2025-2026 ]]*8</f>
        <v>664</v>
      </c>
      <c r="K11" s="5"/>
      <c r="L11" s="1"/>
      <c r="M11" s="5"/>
      <c r="N11" s="5">
        <f t="shared" si="10"/>
        <v>664</v>
      </c>
      <c r="O11" s="5">
        <f t="shared" si="11"/>
        <v>0</v>
      </c>
      <c r="P11" s="5">
        <f>Table1[[#This Row],[Enrolment S.Y. 2025-2026 ]]*8</f>
        <v>664</v>
      </c>
      <c r="Q11" s="5"/>
      <c r="R11" s="1"/>
      <c r="S11" s="5"/>
      <c r="T11" s="5">
        <f t="shared" si="12"/>
        <v>664</v>
      </c>
      <c r="U11" s="5">
        <f t="shared" si="13"/>
        <v>0</v>
      </c>
      <c r="V11" s="5">
        <f>Table1[[#This Row],[Enrolment S.Y. 2025-2026 ]]*8</f>
        <v>664</v>
      </c>
      <c r="W11" s="5"/>
      <c r="X11" s="1"/>
      <c r="Y11" s="5"/>
      <c r="Z11" s="5">
        <f t="shared" si="14"/>
        <v>664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83</v>
      </c>
      <c r="D12" s="5">
        <f>Table1[[#This Row],[Enrolment S.Y. 2025-2026 ]]*8</f>
        <v>664</v>
      </c>
      <c r="E12" s="5"/>
      <c r="F12" s="1"/>
      <c r="G12" s="5"/>
      <c r="H12" s="5">
        <f>IF((D12-E12)&lt;0,0,(D12-E12))</f>
        <v>664</v>
      </c>
      <c r="I12" s="5">
        <f>IF((E12-D12)&lt;0,0,(E12-D12))</f>
        <v>0</v>
      </c>
      <c r="J12" s="5">
        <f>Table1[[#This Row],[Enrolment S.Y. 2025-2026 ]]*8</f>
        <v>664</v>
      </c>
      <c r="K12" s="5"/>
      <c r="L12" s="1"/>
      <c r="M12" s="5"/>
      <c r="N12" s="5">
        <f t="shared" si="10"/>
        <v>664</v>
      </c>
      <c r="O12" s="5">
        <f t="shared" si="11"/>
        <v>0</v>
      </c>
      <c r="P12" s="5">
        <f>Table1[[#This Row],[Enrolment S.Y. 2025-2026 ]]*8</f>
        <v>664</v>
      </c>
      <c r="Q12" s="5"/>
      <c r="R12" s="1"/>
      <c r="S12" s="5"/>
      <c r="T12" s="5">
        <f t="shared" si="12"/>
        <v>664</v>
      </c>
      <c r="U12" s="5">
        <f t="shared" si="13"/>
        <v>0</v>
      </c>
      <c r="V12" s="5">
        <f>Table1[[#This Row],[Enrolment S.Y. 2025-2026 ]]*8</f>
        <v>664</v>
      </c>
      <c r="W12" s="5"/>
      <c r="X12" s="1"/>
      <c r="Y12" s="5"/>
      <c r="Z12" s="5">
        <f t="shared" si="14"/>
        <v>664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 customHeight="1">
      <c r="A14" s="1">
        <v>2</v>
      </c>
      <c r="B14" s="2" t="s">
        <v>8</v>
      </c>
      <c r="C14" s="1">
        <v>109</v>
      </c>
      <c r="D14" s="5">
        <f>Table1[[#This Row],[Enrolment S.Y. 2025-2026 ]]*8</f>
        <v>872</v>
      </c>
      <c r="E14" s="5"/>
      <c r="F14" s="1"/>
      <c r="G14" s="5"/>
      <c r="H14" s="5">
        <f t="shared" si="2"/>
        <v>872</v>
      </c>
      <c r="I14" s="5">
        <f t="shared" si="3"/>
        <v>0</v>
      </c>
      <c r="J14" s="5">
        <f>Table1[[#This Row],[Enrolment S.Y. 2025-2026 ]]*8</f>
        <v>872</v>
      </c>
      <c r="K14" s="5"/>
      <c r="L14" s="1"/>
      <c r="M14" s="5"/>
      <c r="N14" s="5">
        <f t="shared" si="10"/>
        <v>872</v>
      </c>
      <c r="O14" s="5">
        <f t="shared" si="11"/>
        <v>0</v>
      </c>
      <c r="P14" s="5">
        <f>Table1[[#This Row],[Enrolment S.Y. 2025-2026 ]]*8</f>
        <v>872</v>
      </c>
      <c r="Q14" s="5"/>
      <c r="R14" s="1"/>
      <c r="S14" s="5"/>
      <c r="T14" s="5">
        <f t="shared" si="12"/>
        <v>872</v>
      </c>
      <c r="U14" s="5">
        <f t="shared" si="13"/>
        <v>0</v>
      </c>
      <c r="V14" s="5">
        <f>Table1[[#This Row],[Enrolment S.Y. 2025-2026 ]]*8</f>
        <v>872</v>
      </c>
      <c r="W14" s="5"/>
      <c r="X14" s="1"/>
      <c r="Y14" s="5"/>
      <c r="Z14" s="5">
        <f t="shared" si="14"/>
        <v>872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109</v>
      </c>
      <c r="D15" s="5">
        <f>Table1[[#This Row],[Enrolment S.Y. 2025-2026 ]]*8</f>
        <v>872</v>
      </c>
      <c r="E15" s="5"/>
      <c r="F15" s="1"/>
      <c r="G15" s="5"/>
      <c r="H15" s="5">
        <f t="shared" si="2"/>
        <v>872</v>
      </c>
      <c r="I15" s="5">
        <f t="shared" si="3"/>
        <v>0</v>
      </c>
      <c r="J15" s="5">
        <f>Table1[[#This Row],[Enrolment S.Y. 2025-2026 ]]*8</f>
        <v>872</v>
      </c>
      <c r="K15" s="5"/>
      <c r="L15" s="1"/>
      <c r="M15" s="5"/>
      <c r="N15" s="5">
        <f t="shared" si="10"/>
        <v>872</v>
      </c>
      <c r="O15" s="5">
        <f t="shared" si="11"/>
        <v>0</v>
      </c>
      <c r="P15" s="5">
        <f>Table1[[#This Row],[Enrolment S.Y. 2025-2026 ]]*8</f>
        <v>872</v>
      </c>
      <c r="Q15" s="5"/>
      <c r="R15" s="1"/>
      <c r="S15" s="5"/>
      <c r="T15" s="5">
        <f t="shared" si="12"/>
        <v>872</v>
      </c>
      <c r="U15" s="5">
        <f t="shared" si="13"/>
        <v>0</v>
      </c>
      <c r="V15" s="5">
        <f>Table1[[#This Row],[Enrolment S.Y. 2025-2026 ]]*8</f>
        <v>872</v>
      </c>
      <c r="W15" s="5"/>
      <c r="X15" s="1"/>
      <c r="Y15" s="5"/>
      <c r="Z15" s="5">
        <f t="shared" si="14"/>
        <v>872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109</v>
      </c>
      <c r="D16" s="5">
        <f>Table1[[#This Row],[Enrolment S.Y. 2025-2026 ]]*8</f>
        <v>872</v>
      </c>
      <c r="E16" s="5">
        <v>109</v>
      </c>
      <c r="F16" s="1">
        <v>2025</v>
      </c>
      <c r="G16" s="5"/>
      <c r="H16" s="5">
        <f t="shared" si="2"/>
        <v>763</v>
      </c>
      <c r="I16" s="5">
        <f t="shared" si="3"/>
        <v>0</v>
      </c>
      <c r="J16" s="5">
        <f>Table1[[#This Row],[Enrolment S.Y. 2025-2026 ]]*8</f>
        <v>872</v>
      </c>
      <c r="K16" s="5"/>
      <c r="L16" s="1"/>
      <c r="M16" s="5"/>
      <c r="N16" s="5">
        <f t="shared" si="10"/>
        <v>872</v>
      </c>
      <c r="O16" s="5">
        <f t="shared" si="11"/>
        <v>0</v>
      </c>
      <c r="P16" s="5">
        <f>Table1[[#This Row],[Enrolment S.Y. 2025-2026 ]]*8</f>
        <v>872</v>
      </c>
      <c r="Q16" s="5"/>
      <c r="R16" s="1"/>
      <c r="S16" s="5"/>
      <c r="T16" s="5">
        <f t="shared" si="12"/>
        <v>872</v>
      </c>
      <c r="U16" s="5">
        <f t="shared" si="13"/>
        <v>0</v>
      </c>
      <c r="V16" s="5">
        <f>Table1[[#This Row],[Enrolment S.Y. 2025-2026 ]]*8</f>
        <v>872</v>
      </c>
      <c r="W16" s="5"/>
      <c r="X16" s="1"/>
      <c r="Y16" s="5"/>
      <c r="Z16" s="5">
        <f t="shared" si="14"/>
        <v>872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109</v>
      </c>
      <c r="D17" s="5">
        <f>Table1[[#This Row],[Enrolment S.Y. 2025-2026 ]]*8</f>
        <v>872</v>
      </c>
      <c r="E17" s="5">
        <v>109</v>
      </c>
      <c r="F17" s="1">
        <v>2025</v>
      </c>
      <c r="G17" s="5"/>
      <c r="H17" s="5">
        <f t="shared" si="2"/>
        <v>763</v>
      </c>
      <c r="I17" s="5">
        <f t="shared" si="3"/>
        <v>0</v>
      </c>
      <c r="J17" s="5">
        <f>Table1[[#This Row],[Enrolment S.Y. 2025-2026 ]]*8</f>
        <v>872</v>
      </c>
      <c r="K17" s="5"/>
      <c r="L17" s="1"/>
      <c r="M17" s="5"/>
      <c r="N17" s="5">
        <f t="shared" si="10"/>
        <v>872</v>
      </c>
      <c r="O17" s="5">
        <f t="shared" si="11"/>
        <v>0</v>
      </c>
      <c r="P17" s="5">
        <f>Table1[[#This Row],[Enrolment S.Y. 2025-2026 ]]*8</f>
        <v>872</v>
      </c>
      <c r="Q17" s="5"/>
      <c r="R17" s="1"/>
      <c r="S17" s="5"/>
      <c r="T17" s="5">
        <f t="shared" si="12"/>
        <v>872</v>
      </c>
      <c r="U17" s="5">
        <f t="shared" si="13"/>
        <v>0</v>
      </c>
      <c r="V17" s="5">
        <f>Table1[[#This Row],[Enrolment S.Y. 2025-2026 ]]*8</f>
        <v>872</v>
      </c>
      <c r="W17" s="5"/>
      <c r="X17" s="1"/>
      <c r="Y17" s="5"/>
      <c r="Z17" s="5">
        <f t="shared" si="14"/>
        <v>872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109</v>
      </c>
      <c r="D18" s="5">
        <f>Table1[[#This Row],[Enrolment S.Y. 2025-2026 ]]*8</f>
        <v>872</v>
      </c>
      <c r="E18" s="5">
        <v>109</v>
      </c>
      <c r="F18" s="1">
        <v>2025</v>
      </c>
      <c r="G18" s="5"/>
      <c r="H18" s="5">
        <f t="shared" si="2"/>
        <v>763</v>
      </c>
      <c r="I18" s="5">
        <f t="shared" si="3"/>
        <v>0</v>
      </c>
      <c r="J18" s="5">
        <f>Table1[[#This Row],[Enrolment S.Y. 2025-2026 ]]*8</f>
        <v>872</v>
      </c>
      <c r="K18" s="5"/>
      <c r="L18" s="1"/>
      <c r="M18" s="5"/>
      <c r="N18" s="5">
        <f t="shared" si="10"/>
        <v>872</v>
      </c>
      <c r="O18" s="5">
        <f t="shared" si="11"/>
        <v>0</v>
      </c>
      <c r="P18" s="5">
        <f>Table1[[#This Row],[Enrolment S.Y. 2025-2026 ]]*8</f>
        <v>872</v>
      </c>
      <c r="Q18" s="5"/>
      <c r="R18" s="1"/>
      <c r="S18" s="5"/>
      <c r="T18" s="5">
        <f t="shared" si="12"/>
        <v>872</v>
      </c>
      <c r="U18" s="5">
        <f t="shared" si="13"/>
        <v>0</v>
      </c>
      <c r="V18" s="5">
        <f>Table1[[#This Row],[Enrolment S.Y. 2025-2026 ]]*8</f>
        <v>872</v>
      </c>
      <c r="W18" s="5"/>
      <c r="X18" s="1"/>
      <c r="Y18" s="5"/>
      <c r="Z18" s="5">
        <f t="shared" si="14"/>
        <v>872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109</v>
      </c>
      <c r="D19" s="5">
        <v>0</v>
      </c>
      <c r="E19" s="5">
        <v>109</v>
      </c>
      <c r="F19" s="1">
        <v>2025</v>
      </c>
      <c r="G19" s="5"/>
      <c r="H19" s="5">
        <f>IF((D19-E19)&lt;0,0,(D19-E19))</f>
        <v>0</v>
      </c>
      <c r="I19" s="5">
        <f>IF((E19-D19)&lt;0,0,(E19-D19))</f>
        <v>109</v>
      </c>
      <c r="J19" s="5">
        <f>Table1[[#This Row],[Enrolment S.Y. 2025-2026 ]]*8</f>
        <v>872</v>
      </c>
      <c r="K19" s="5"/>
      <c r="L19" s="1"/>
      <c r="M19" s="5"/>
      <c r="N19" s="5">
        <f t="shared" si="10"/>
        <v>872</v>
      </c>
      <c r="O19" s="5">
        <f t="shared" si="11"/>
        <v>0</v>
      </c>
      <c r="P19" s="5">
        <f>Table1[[#This Row],[Enrolment S.Y. 2025-2026 ]]*8</f>
        <v>872</v>
      </c>
      <c r="Q19" s="5"/>
      <c r="R19" s="1"/>
      <c r="S19" s="5"/>
      <c r="T19" s="5">
        <f t="shared" si="12"/>
        <v>872</v>
      </c>
      <c r="U19" s="5">
        <f t="shared" si="13"/>
        <v>0</v>
      </c>
      <c r="V19" s="5">
        <f>Table1[[#This Row],[Enrolment S.Y. 2025-2026 ]]*8</f>
        <v>872</v>
      </c>
      <c r="W19" s="5"/>
      <c r="X19" s="1"/>
      <c r="Y19" s="5"/>
      <c r="Z19" s="5">
        <f t="shared" si="14"/>
        <v>872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109</v>
      </c>
      <c r="D20" s="5">
        <v>0</v>
      </c>
      <c r="E20" s="5">
        <v>109</v>
      </c>
      <c r="F20" s="1">
        <v>2025</v>
      </c>
      <c r="G20" s="5"/>
      <c r="H20" s="5">
        <f>IF((D20-E20)&lt;0,0,(D20-E20))</f>
        <v>0</v>
      </c>
      <c r="I20" s="5">
        <f>IF((E20-D20)&lt;0,0,(E20-D20))</f>
        <v>109</v>
      </c>
      <c r="J20" s="5">
        <f>Table1[[#This Row],[Enrolment S.Y. 2025-2026 ]]*8</f>
        <v>872</v>
      </c>
      <c r="K20" s="5"/>
      <c r="L20" s="1"/>
      <c r="M20" s="5"/>
      <c r="N20" s="5">
        <f t="shared" si="10"/>
        <v>872</v>
      </c>
      <c r="O20" s="5">
        <f t="shared" si="11"/>
        <v>0</v>
      </c>
      <c r="P20" s="5">
        <f>Table1[[#This Row],[Enrolment S.Y. 2025-2026 ]]*8</f>
        <v>872</v>
      </c>
      <c r="Q20" s="5"/>
      <c r="R20" s="1"/>
      <c r="S20" s="5"/>
      <c r="T20" s="5">
        <f t="shared" si="12"/>
        <v>872</v>
      </c>
      <c r="U20" s="5">
        <f t="shared" si="13"/>
        <v>0</v>
      </c>
      <c r="V20" s="5">
        <f>Table1[[#This Row],[Enrolment S.Y. 2025-2026 ]]*8</f>
        <v>872</v>
      </c>
      <c r="W20" s="5"/>
      <c r="X20" s="1"/>
      <c r="Y20" s="5"/>
      <c r="Z20" s="5">
        <f t="shared" si="14"/>
        <v>872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109</v>
      </c>
      <c r="D21" s="5">
        <f>Table1[[#This Row],[Enrolment S.Y. 2025-2026 ]]*8</f>
        <v>872</v>
      </c>
      <c r="E21" s="5"/>
      <c r="F21" s="1"/>
      <c r="G21" s="5"/>
      <c r="H21" s="5">
        <f>IF((D21-E21)&lt;0,0,(D21-E21))</f>
        <v>872</v>
      </c>
      <c r="I21" s="5">
        <f>IF((E21-D21)&lt;0,0,(E21-D21))</f>
        <v>0</v>
      </c>
      <c r="J21" s="5">
        <f>Table1[[#This Row],[Enrolment S.Y. 2025-2026 ]]*8</f>
        <v>872</v>
      </c>
      <c r="K21" s="5"/>
      <c r="L21" s="1"/>
      <c r="M21" s="5"/>
      <c r="N21" s="5">
        <f t="shared" si="10"/>
        <v>872</v>
      </c>
      <c r="O21" s="5">
        <f t="shared" si="11"/>
        <v>0</v>
      </c>
      <c r="P21" s="5">
        <f>Table1[[#This Row],[Enrolment S.Y. 2025-2026 ]]*8</f>
        <v>872</v>
      </c>
      <c r="Q21" s="5"/>
      <c r="R21" s="1"/>
      <c r="S21" s="5"/>
      <c r="T21" s="5">
        <f t="shared" si="12"/>
        <v>872</v>
      </c>
      <c r="U21" s="5">
        <f t="shared" si="13"/>
        <v>0</v>
      </c>
      <c r="V21" s="5">
        <f>Table1[[#This Row],[Enrolment S.Y. 2025-2026 ]]*8</f>
        <v>872</v>
      </c>
      <c r="W21" s="5"/>
      <c r="X21" s="1"/>
      <c r="Y21" s="5"/>
      <c r="Z21" s="5">
        <f t="shared" si="14"/>
        <v>872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.75" customHeight="1">
      <c r="A23" s="1">
        <v>3</v>
      </c>
      <c r="B23" s="2" t="s">
        <v>8</v>
      </c>
      <c r="C23" s="1">
        <v>108</v>
      </c>
      <c r="D23" s="5">
        <f>Table1[[#This Row],[Enrolment S.Y. 2025-2026 ]]*8</f>
        <v>864</v>
      </c>
      <c r="E23" s="5"/>
      <c r="F23" s="1"/>
      <c r="G23" s="5"/>
      <c r="H23" s="5">
        <f t="shared" si="2"/>
        <v>864</v>
      </c>
      <c r="I23" s="5">
        <f t="shared" si="3"/>
        <v>0</v>
      </c>
      <c r="J23" s="5">
        <f>Table1[[#This Row],[Enrolment S.Y. 2025-2026 ]]*8</f>
        <v>864</v>
      </c>
      <c r="K23" s="5"/>
      <c r="L23" s="1"/>
      <c r="M23" s="5"/>
      <c r="N23" s="5">
        <f t="shared" si="10"/>
        <v>864</v>
      </c>
      <c r="O23" s="5">
        <f t="shared" si="11"/>
        <v>0</v>
      </c>
      <c r="P23" s="5">
        <f>Table1[[#This Row],[Enrolment S.Y. 2025-2026 ]]*8</f>
        <v>864</v>
      </c>
      <c r="Q23" s="5"/>
      <c r="R23" s="1"/>
      <c r="S23" s="5"/>
      <c r="T23" s="5">
        <f t="shared" si="12"/>
        <v>864</v>
      </c>
      <c r="U23" s="5">
        <f t="shared" si="13"/>
        <v>0</v>
      </c>
      <c r="V23" s="5">
        <f>Table1[[#This Row],[Enrolment S.Y. 2025-2026 ]]*8</f>
        <v>864</v>
      </c>
      <c r="W23" s="5"/>
      <c r="X23" s="1"/>
      <c r="Y23" s="5"/>
      <c r="Z23" s="5">
        <f t="shared" si="14"/>
        <v>864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108</v>
      </c>
      <c r="D24" s="5">
        <f>Table1[[#This Row],[Enrolment S.Y. 2025-2026 ]]*8</f>
        <v>864</v>
      </c>
      <c r="E24" s="5"/>
      <c r="F24" s="1"/>
      <c r="G24" s="5"/>
      <c r="H24" s="5">
        <f t="shared" si="2"/>
        <v>864</v>
      </c>
      <c r="I24" s="5">
        <f t="shared" si="3"/>
        <v>0</v>
      </c>
      <c r="J24" s="5">
        <f>Table1[[#This Row],[Enrolment S.Y. 2025-2026 ]]*8</f>
        <v>864</v>
      </c>
      <c r="K24" s="5"/>
      <c r="L24" s="1"/>
      <c r="M24" s="5"/>
      <c r="N24" s="5">
        <f t="shared" si="10"/>
        <v>864</v>
      </c>
      <c r="O24" s="5">
        <f t="shared" si="11"/>
        <v>0</v>
      </c>
      <c r="P24" s="5">
        <f>Table1[[#This Row],[Enrolment S.Y. 2025-2026 ]]*8</f>
        <v>864</v>
      </c>
      <c r="Q24" s="5"/>
      <c r="R24" s="1"/>
      <c r="S24" s="5"/>
      <c r="T24" s="5">
        <f t="shared" si="12"/>
        <v>864</v>
      </c>
      <c r="U24" s="5">
        <f t="shared" si="13"/>
        <v>0</v>
      </c>
      <c r="V24" s="5">
        <f>Table1[[#This Row],[Enrolment S.Y. 2025-2026 ]]*8</f>
        <v>864</v>
      </c>
      <c r="W24" s="5"/>
      <c r="X24" s="1"/>
      <c r="Y24" s="5"/>
      <c r="Z24" s="5">
        <f t="shared" si="14"/>
        <v>864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108</v>
      </c>
      <c r="D25" s="5">
        <v>0</v>
      </c>
      <c r="E25" s="5">
        <v>130</v>
      </c>
      <c r="F25" s="1">
        <v>2025</v>
      </c>
      <c r="G25" s="5"/>
      <c r="H25" s="5">
        <f t="shared" si="2"/>
        <v>0</v>
      </c>
      <c r="I25" s="5">
        <f t="shared" si="3"/>
        <v>130</v>
      </c>
      <c r="J25" s="5">
        <f>Table1[[#This Row],[Enrolment S.Y. 2025-2026 ]]*8</f>
        <v>864</v>
      </c>
      <c r="K25" s="5"/>
      <c r="L25" s="1"/>
      <c r="M25" s="5"/>
      <c r="N25" s="5">
        <f t="shared" si="10"/>
        <v>864</v>
      </c>
      <c r="O25" s="5">
        <f t="shared" si="11"/>
        <v>0</v>
      </c>
      <c r="P25" s="5">
        <f>Table1[[#This Row],[Enrolment S.Y. 2025-2026 ]]*8</f>
        <v>864</v>
      </c>
      <c r="Q25" s="5"/>
      <c r="R25" s="1"/>
      <c r="S25" s="5"/>
      <c r="T25" s="5">
        <f t="shared" si="12"/>
        <v>864</v>
      </c>
      <c r="U25" s="5">
        <f t="shared" si="13"/>
        <v>0</v>
      </c>
      <c r="V25" s="5">
        <f>Table1[[#This Row],[Enrolment S.Y. 2025-2026 ]]*8</f>
        <v>864</v>
      </c>
      <c r="W25" s="5"/>
      <c r="X25" s="1"/>
      <c r="Y25" s="5"/>
      <c r="Z25" s="5">
        <f t="shared" si="14"/>
        <v>864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108</v>
      </c>
      <c r="D26" s="5">
        <f>Table1[[#This Row],[Enrolment S.Y. 2025-2026 ]]*8</f>
        <v>864</v>
      </c>
      <c r="E26" s="5">
        <v>130</v>
      </c>
      <c r="F26" s="1">
        <v>2025</v>
      </c>
      <c r="G26" s="5"/>
      <c r="H26" s="5">
        <f t="shared" si="2"/>
        <v>734</v>
      </c>
      <c r="I26" s="5">
        <f t="shared" si="3"/>
        <v>0</v>
      </c>
      <c r="J26" s="5">
        <f>Table1[[#This Row],[Enrolment S.Y. 2025-2026 ]]*8</f>
        <v>864</v>
      </c>
      <c r="K26" s="5"/>
      <c r="L26" s="1"/>
      <c r="M26" s="5"/>
      <c r="N26" s="5">
        <f t="shared" si="10"/>
        <v>864</v>
      </c>
      <c r="O26" s="5">
        <f t="shared" si="11"/>
        <v>0</v>
      </c>
      <c r="P26" s="5">
        <f>Table1[[#This Row],[Enrolment S.Y. 2025-2026 ]]*8</f>
        <v>864</v>
      </c>
      <c r="Q26" s="5"/>
      <c r="R26" s="1"/>
      <c r="S26" s="5"/>
      <c r="T26" s="5">
        <f t="shared" si="12"/>
        <v>864</v>
      </c>
      <c r="U26" s="5">
        <f t="shared" si="13"/>
        <v>0</v>
      </c>
      <c r="V26" s="5">
        <f>Table1[[#This Row],[Enrolment S.Y. 2025-2026 ]]*8</f>
        <v>864</v>
      </c>
      <c r="W26" s="5"/>
      <c r="X26" s="1"/>
      <c r="Y26" s="5"/>
      <c r="Z26" s="5">
        <f t="shared" si="14"/>
        <v>864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108</v>
      </c>
      <c r="D27" s="5">
        <v>0</v>
      </c>
      <c r="E27" s="5">
        <v>130</v>
      </c>
      <c r="F27" s="1">
        <v>2025</v>
      </c>
      <c r="G27" s="5"/>
      <c r="H27" s="5">
        <f t="shared" si="2"/>
        <v>0</v>
      </c>
      <c r="I27" s="5">
        <f t="shared" si="3"/>
        <v>130</v>
      </c>
      <c r="J27" s="5">
        <f>Table1[[#This Row],[Enrolment S.Y. 2025-2026 ]]*8</f>
        <v>864</v>
      </c>
      <c r="K27" s="5"/>
      <c r="L27" s="1"/>
      <c r="M27" s="5"/>
      <c r="N27" s="5">
        <f t="shared" si="10"/>
        <v>864</v>
      </c>
      <c r="O27" s="5">
        <f t="shared" si="11"/>
        <v>0</v>
      </c>
      <c r="P27" s="5">
        <f>Table1[[#This Row],[Enrolment S.Y. 2025-2026 ]]*8</f>
        <v>864</v>
      </c>
      <c r="Q27" s="5"/>
      <c r="R27" s="1"/>
      <c r="S27" s="5"/>
      <c r="T27" s="5">
        <f t="shared" si="12"/>
        <v>864</v>
      </c>
      <c r="U27" s="5">
        <f t="shared" si="13"/>
        <v>0</v>
      </c>
      <c r="V27" s="5">
        <f>Table1[[#This Row],[Enrolment S.Y. 2025-2026 ]]*8</f>
        <v>864</v>
      </c>
      <c r="W27" s="5"/>
      <c r="X27" s="1"/>
      <c r="Y27" s="5"/>
      <c r="Z27" s="5">
        <f t="shared" si="14"/>
        <v>864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108</v>
      </c>
      <c r="D28" s="5">
        <v>0</v>
      </c>
      <c r="E28" s="5">
        <v>130</v>
      </c>
      <c r="F28" s="1">
        <v>2025</v>
      </c>
      <c r="G28" s="5"/>
      <c r="H28" s="5">
        <f t="shared" si="2"/>
        <v>0</v>
      </c>
      <c r="I28" s="5">
        <f t="shared" si="3"/>
        <v>130</v>
      </c>
      <c r="J28" s="5">
        <f>Table1[[#This Row],[Enrolment S.Y. 2025-2026 ]]*8</f>
        <v>864</v>
      </c>
      <c r="K28" s="5"/>
      <c r="L28" s="1"/>
      <c r="M28" s="5"/>
      <c r="N28" s="5">
        <f t="shared" si="10"/>
        <v>864</v>
      </c>
      <c r="O28" s="5">
        <f t="shared" si="11"/>
        <v>0</v>
      </c>
      <c r="P28" s="5">
        <f>Table1[[#This Row],[Enrolment S.Y. 2025-2026 ]]*8</f>
        <v>864</v>
      </c>
      <c r="Q28" s="5"/>
      <c r="R28" s="1"/>
      <c r="S28" s="5"/>
      <c r="T28" s="5">
        <f t="shared" si="12"/>
        <v>864</v>
      </c>
      <c r="U28" s="5">
        <f t="shared" si="13"/>
        <v>0</v>
      </c>
      <c r="V28" s="5">
        <f>Table1[[#This Row],[Enrolment S.Y. 2025-2026 ]]*8</f>
        <v>864</v>
      </c>
      <c r="W28" s="5"/>
      <c r="X28" s="1"/>
      <c r="Y28" s="5"/>
      <c r="Z28" s="5">
        <f t="shared" si="14"/>
        <v>864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108</v>
      </c>
      <c r="D29" s="5">
        <f>Table1[[#This Row],[Enrolment S.Y. 2025-2026 ]]*8</f>
        <v>864</v>
      </c>
      <c r="E29" s="5">
        <v>130</v>
      </c>
      <c r="F29" s="1">
        <v>2025</v>
      </c>
      <c r="G29" s="5"/>
      <c r="H29" s="5">
        <f>IF((D29-E29)&lt;0,0,(D29-E29))</f>
        <v>734</v>
      </c>
      <c r="I29" s="5">
        <f>IF((E29-D29)&lt;0,0,(E29-D29))</f>
        <v>0</v>
      </c>
      <c r="J29" s="5">
        <f>Table1[[#This Row],[Enrolment S.Y. 2025-2026 ]]*8</f>
        <v>864</v>
      </c>
      <c r="K29" s="5"/>
      <c r="L29" s="1"/>
      <c r="M29" s="5"/>
      <c r="N29" s="5">
        <f t="shared" si="10"/>
        <v>864</v>
      </c>
      <c r="O29" s="5">
        <f t="shared" si="11"/>
        <v>0</v>
      </c>
      <c r="P29" s="5">
        <f>Table1[[#This Row],[Enrolment S.Y. 2025-2026 ]]*8</f>
        <v>864</v>
      </c>
      <c r="Q29" s="5"/>
      <c r="R29" s="1"/>
      <c r="S29" s="5"/>
      <c r="T29" s="5">
        <f t="shared" si="12"/>
        <v>864</v>
      </c>
      <c r="U29" s="5">
        <f t="shared" si="13"/>
        <v>0</v>
      </c>
      <c r="V29" s="5">
        <f>Table1[[#This Row],[Enrolment S.Y. 2025-2026 ]]*8</f>
        <v>864</v>
      </c>
      <c r="W29" s="5"/>
      <c r="X29" s="1"/>
      <c r="Y29" s="5"/>
      <c r="Z29" s="5">
        <f t="shared" si="14"/>
        <v>864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108</v>
      </c>
      <c r="D30" s="5">
        <v>0</v>
      </c>
      <c r="E30" s="5">
        <v>130</v>
      </c>
      <c r="F30" s="1">
        <v>2025</v>
      </c>
      <c r="G30" s="5"/>
      <c r="H30" s="5">
        <f>IF((D30-E30)&lt;0,0,(D30-E30))</f>
        <v>0</v>
      </c>
      <c r="I30" s="5">
        <f>IF((E30-D30)&lt;0,0,(E30-D30))</f>
        <v>130</v>
      </c>
      <c r="J30" s="5">
        <f>Table1[[#This Row],[Enrolment S.Y. 2025-2026 ]]*8</f>
        <v>864</v>
      </c>
      <c r="K30" s="5"/>
      <c r="L30" s="1"/>
      <c r="M30" s="5"/>
      <c r="N30" s="5">
        <f t="shared" si="10"/>
        <v>864</v>
      </c>
      <c r="O30" s="5">
        <f t="shared" si="11"/>
        <v>0</v>
      </c>
      <c r="P30" s="5">
        <f>Table1[[#This Row],[Enrolment S.Y. 2025-2026 ]]*8</f>
        <v>864</v>
      </c>
      <c r="Q30" s="5"/>
      <c r="R30" s="1"/>
      <c r="S30" s="5"/>
      <c r="T30" s="5">
        <f t="shared" si="12"/>
        <v>864</v>
      </c>
      <c r="U30" s="5">
        <f t="shared" si="13"/>
        <v>0</v>
      </c>
      <c r="V30" s="5">
        <f>Table1[[#This Row],[Enrolment S.Y. 2025-2026 ]]*8</f>
        <v>864</v>
      </c>
      <c r="W30" s="5"/>
      <c r="X30" s="1"/>
      <c r="Y30" s="5"/>
      <c r="Z30" s="5">
        <f t="shared" si="14"/>
        <v>864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108</v>
      </c>
      <c r="D31" s="5">
        <f>Table1[[#This Row],[Enrolment S.Y. 2025-2026 ]]*8</f>
        <v>864</v>
      </c>
      <c r="E31" s="5"/>
      <c r="F31" s="1"/>
      <c r="G31" s="5"/>
      <c r="H31" s="5">
        <f>IF((D31-E31)&lt;0,0,(D31-E31))</f>
        <v>864</v>
      </c>
      <c r="I31" s="5">
        <f>IF((E31-D31)&lt;0,0,(E31-D31))</f>
        <v>0</v>
      </c>
      <c r="J31" s="5">
        <f>Table1[[#This Row],[Enrolment S.Y. 2025-2026 ]]*8</f>
        <v>864</v>
      </c>
      <c r="K31" s="5"/>
      <c r="L31" s="1"/>
      <c r="M31" s="5"/>
      <c r="N31" s="5">
        <f t="shared" si="10"/>
        <v>864</v>
      </c>
      <c r="O31" s="5">
        <f t="shared" si="11"/>
        <v>0</v>
      </c>
      <c r="P31" s="5">
        <f>Table1[[#This Row],[Enrolment S.Y. 2025-2026 ]]*8</f>
        <v>864</v>
      </c>
      <c r="Q31" s="5"/>
      <c r="R31" s="1"/>
      <c r="S31" s="5"/>
      <c r="T31" s="5">
        <f t="shared" si="12"/>
        <v>864</v>
      </c>
      <c r="U31" s="5">
        <f t="shared" si="13"/>
        <v>0</v>
      </c>
      <c r="V31" s="5">
        <f>Table1[[#This Row],[Enrolment S.Y. 2025-2026 ]]*8</f>
        <v>864</v>
      </c>
      <c r="W31" s="5"/>
      <c r="X31" s="1"/>
      <c r="Y31" s="5"/>
      <c r="Z31" s="5">
        <f t="shared" si="14"/>
        <v>864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128</v>
      </c>
      <c r="D33" s="5">
        <f>Table1[[#This Row],[Enrolment S.Y. 2025-2026 ]]*8</f>
        <v>1024</v>
      </c>
      <c r="E33" s="5"/>
      <c r="F33" s="1"/>
      <c r="G33" s="5"/>
      <c r="H33" s="5">
        <f t="shared" si="2"/>
        <v>1024</v>
      </c>
      <c r="I33" s="5">
        <f t="shared" si="3"/>
        <v>0</v>
      </c>
      <c r="J33" s="5">
        <f>Table1[[#This Row],[Enrolment S.Y. 2025-2026 ]]*8</f>
        <v>1024</v>
      </c>
      <c r="K33" s="5"/>
      <c r="L33" s="1"/>
      <c r="M33" s="5"/>
      <c r="N33" s="5">
        <f t="shared" si="10"/>
        <v>1024</v>
      </c>
      <c r="O33" s="5">
        <f t="shared" si="11"/>
        <v>0</v>
      </c>
      <c r="P33" s="5">
        <f>Table1[[#This Row],[Enrolment S.Y. 2025-2026 ]]*8</f>
        <v>1024</v>
      </c>
      <c r="Q33" s="5"/>
      <c r="R33" s="1"/>
      <c r="S33" s="5"/>
      <c r="T33" s="5">
        <f t="shared" si="12"/>
        <v>1024</v>
      </c>
      <c r="U33" s="5">
        <f t="shared" si="13"/>
        <v>0</v>
      </c>
      <c r="V33" s="5">
        <f>Table1[[#This Row],[Enrolment S.Y. 2025-2026 ]]*8</f>
        <v>1024</v>
      </c>
      <c r="W33" s="5"/>
      <c r="X33" s="1"/>
      <c r="Y33" s="5"/>
      <c r="Z33" s="5">
        <f t="shared" si="14"/>
        <v>1024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128</v>
      </c>
      <c r="D34" s="5">
        <f>Table1[[#This Row],[Enrolment S.Y. 2025-2026 ]]*8</f>
        <v>1024</v>
      </c>
      <c r="E34" s="5"/>
      <c r="F34" s="1"/>
      <c r="G34" s="5"/>
      <c r="H34" s="5">
        <f t="shared" si="2"/>
        <v>1024</v>
      </c>
      <c r="I34" s="5">
        <f t="shared" si="3"/>
        <v>0</v>
      </c>
      <c r="J34" s="5">
        <f>Table1[[#This Row],[Enrolment S.Y. 2025-2026 ]]*8</f>
        <v>1024</v>
      </c>
      <c r="K34" s="5"/>
      <c r="L34" s="1"/>
      <c r="M34" s="5"/>
      <c r="N34" s="5">
        <f t="shared" si="10"/>
        <v>1024</v>
      </c>
      <c r="O34" s="5">
        <f t="shared" si="11"/>
        <v>0</v>
      </c>
      <c r="P34" s="5">
        <f>Table1[[#This Row],[Enrolment S.Y. 2025-2026 ]]*8</f>
        <v>1024</v>
      </c>
      <c r="Q34" s="5"/>
      <c r="R34" s="1"/>
      <c r="S34" s="5"/>
      <c r="T34" s="5">
        <f t="shared" si="12"/>
        <v>1024</v>
      </c>
      <c r="U34" s="5">
        <f t="shared" si="13"/>
        <v>0</v>
      </c>
      <c r="V34" s="5">
        <f>Table1[[#This Row],[Enrolment S.Y. 2025-2026 ]]*8</f>
        <v>1024</v>
      </c>
      <c r="W34" s="5"/>
      <c r="X34" s="1"/>
      <c r="Y34" s="5"/>
      <c r="Z34" s="5">
        <f t="shared" si="14"/>
        <v>1024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128</v>
      </c>
      <c r="D35" s="5">
        <f>Table1[[#This Row],[Enrolment S.Y. 2025-2026 ]]*8</f>
        <v>1024</v>
      </c>
      <c r="E35" s="5"/>
      <c r="F35" s="1"/>
      <c r="G35" s="5"/>
      <c r="H35" s="5">
        <f t="shared" si="2"/>
        <v>1024</v>
      </c>
      <c r="I35" s="5">
        <f t="shared" si="3"/>
        <v>0</v>
      </c>
      <c r="J35" s="5">
        <f>Table1[[#This Row],[Enrolment S.Y. 2025-2026 ]]*8</f>
        <v>1024</v>
      </c>
      <c r="K35" s="5"/>
      <c r="L35" s="1"/>
      <c r="M35" s="5"/>
      <c r="N35" s="5">
        <f t="shared" si="10"/>
        <v>1024</v>
      </c>
      <c r="O35" s="5">
        <f t="shared" si="11"/>
        <v>0</v>
      </c>
      <c r="P35" s="5">
        <f>Table1[[#This Row],[Enrolment S.Y. 2025-2026 ]]*8</f>
        <v>1024</v>
      </c>
      <c r="Q35" s="5"/>
      <c r="R35" s="1"/>
      <c r="S35" s="5"/>
      <c r="T35" s="5">
        <f t="shared" si="12"/>
        <v>1024</v>
      </c>
      <c r="U35" s="5">
        <f t="shared" si="13"/>
        <v>0</v>
      </c>
      <c r="V35" s="5">
        <f>Table1[[#This Row],[Enrolment S.Y. 2025-2026 ]]*8</f>
        <v>1024</v>
      </c>
      <c r="W35" s="5"/>
      <c r="X35" s="1"/>
      <c r="Y35" s="5"/>
      <c r="Z35" s="5">
        <f t="shared" si="14"/>
        <v>1024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128</v>
      </c>
      <c r="D36" s="5">
        <f>Table1[[#This Row],[Enrolment S.Y. 2025-2026 ]]*8</f>
        <v>1024</v>
      </c>
      <c r="E36" s="5"/>
      <c r="F36" s="1"/>
      <c r="G36" s="5"/>
      <c r="H36" s="5">
        <f t="shared" si="2"/>
        <v>1024</v>
      </c>
      <c r="I36" s="5">
        <f t="shared" si="3"/>
        <v>0</v>
      </c>
      <c r="J36" s="5">
        <f>Table1[[#This Row],[Enrolment S.Y. 2025-2026 ]]*8</f>
        <v>1024</v>
      </c>
      <c r="K36" s="5"/>
      <c r="L36" s="1"/>
      <c r="M36" s="5"/>
      <c r="N36" s="5">
        <f t="shared" si="10"/>
        <v>1024</v>
      </c>
      <c r="O36" s="5">
        <f t="shared" si="11"/>
        <v>0</v>
      </c>
      <c r="P36" s="5">
        <f>Table1[[#This Row],[Enrolment S.Y. 2025-2026 ]]*8</f>
        <v>1024</v>
      </c>
      <c r="Q36" s="5"/>
      <c r="R36" s="1"/>
      <c r="S36" s="5"/>
      <c r="T36" s="5">
        <f t="shared" si="12"/>
        <v>1024</v>
      </c>
      <c r="U36" s="5">
        <f t="shared" si="13"/>
        <v>0</v>
      </c>
      <c r="V36" s="5">
        <f>Table1[[#This Row],[Enrolment S.Y. 2025-2026 ]]*8</f>
        <v>1024</v>
      </c>
      <c r="W36" s="5"/>
      <c r="X36" s="1"/>
      <c r="Y36" s="5"/>
      <c r="Z36" s="5">
        <f t="shared" si="14"/>
        <v>1024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128</v>
      </c>
      <c r="D37" s="5">
        <f>Table1[[#This Row],[Enrolment S.Y. 2025-2026 ]]*8</f>
        <v>1024</v>
      </c>
      <c r="E37" s="5"/>
      <c r="F37" s="1"/>
      <c r="G37" s="5"/>
      <c r="H37" s="5">
        <f t="shared" si="2"/>
        <v>1024</v>
      </c>
      <c r="I37" s="5">
        <f t="shared" si="3"/>
        <v>0</v>
      </c>
      <c r="J37" s="5">
        <f>Table1[[#This Row],[Enrolment S.Y. 2025-2026 ]]*8</f>
        <v>1024</v>
      </c>
      <c r="K37" s="5"/>
      <c r="L37" s="1"/>
      <c r="M37" s="5"/>
      <c r="N37" s="5">
        <f t="shared" si="10"/>
        <v>1024</v>
      </c>
      <c r="O37" s="5">
        <f t="shared" si="11"/>
        <v>0</v>
      </c>
      <c r="P37" s="5">
        <f>Table1[[#This Row],[Enrolment S.Y. 2025-2026 ]]*8</f>
        <v>1024</v>
      </c>
      <c r="Q37" s="5"/>
      <c r="R37" s="1"/>
      <c r="S37" s="5"/>
      <c r="T37" s="5">
        <f t="shared" si="12"/>
        <v>1024</v>
      </c>
      <c r="U37" s="5">
        <f t="shared" si="13"/>
        <v>0</v>
      </c>
      <c r="V37" s="5">
        <f>Table1[[#This Row],[Enrolment S.Y. 2025-2026 ]]*8</f>
        <v>1024</v>
      </c>
      <c r="W37" s="5"/>
      <c r="X37" s="1"/>
      <c r="Y37" s="5"/>
      <c r="Z37" s="5">
        <f t="shared" si="14"/>
        <v>1024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128</v>
      </c>
      <c r="D38" s="5">
        <f>Table1[[#This Row],[Enrolment S.Y. 2025-2026 ]]*8</f>
        <v>1024</v>
      </c>
      <c r="E38" s="5"/>
      <c r="F38" s="1"/>
      <c r="G38" s="5"/>
      <c r="H38" s="5">
        <f t="shared" si="2"/>
        <v>1024</v>
      </c>
      <c r="I38" s="5">
        <f t="shared" si="3"/>
        <v>0</v>
      </c>
      <c r="J38" s="5">
        <f>Table1[[#This Row],[Enrolment S.Y. 2025-2026 ]]*8</f>
        <v>1024</v>
      </c>
      <c r="K38" s="5"/>
      <c r="L38" s="1"/>
      <c r="M38" s="5"/>
      <c r="N38" s="5">
        <f t="shared" si="10"/>
        <v>1024</v>
      </c>
      <c r="O38" s="5">
        <f t="shared" si="11"/>
        <v>0</v>
      </c>
      <c r="P38" s="5">
        <f>Table1[[#This Row],[Enrolment S.Y. 2025-2026 ]]*8</f>
        <v>1024</v>
      </c>
      <c r="Q38" s="5"/>
      <c r="R38" s="1"/>
      <c r="S38" s="5"/>
      <c r="T38" s="5">
        <f t="shared" si="12"/>
        <v>1024</v>
      </c>
      <c r="U38" s="5">
        <f t="shared" si="13"/>
        <v>0</v>
      </c>
      <c r="V38" s="5">
        <f>Table1[[#This Row],[Enrolment S.Y. 2025-2026 ]]*8</f>
        <v>1024</v>
      </c>
      <c r="W38" s="5"/>
      <c r="X38" s="1"/>
      <c r="Y38" s="5"/>
      <c r="Z38" s="5">
        <f t="shared" si="14"/>
        <v>1024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128</v>
      </c>
      <c r="D39" s="5">
        <f>Table1[[#This Row],[Enrolment S.Y. 2025-2026 ]]*8</f>
        <v>1024</v>
      </c>
      <c r="E39" s="5"/>
      <c r="F39" s="1"/>
      <c r="G39" s="5"/>
      <c r="H39" s="5">
        <f t="shared" si="2"/>
        <v>1024</v>
      </c>
      <c r="I39" s="5">
        <f t="shared" si="3"/>
        <v>0</v>
      </c>
      <c r="J39" s="5">
        <f>Table1[[#This Row],[Enrolment S.Y. 2025-2026 ]]*8</f>
        <v>1024</v>
      </c>
      <c r="K39" s="5"/>
      <c r="L39" s="1"/>
      <c r="M39" s="5"/>
      <c r="N39" s="5">
        <f t="shared" si="10"/>
        <v>1024</v>
      </c>
      <c r="O39" s="5">
        <f t="shared" si="11"/>
        <v>0</v>
      </c>
      <c r="P39" s="5">
        <f>Table1[[#This Row],[Enrolment S.Y. 2025-2026 ]]*8</f>
        <v>1024</v>
      </c>
      <c r="Q39" s="5"/>
      <c r="R39" s="1"/>
      <c r="S39" s="5"/>
      <c r="T39" s="5">
        <f t="shared" si="12"/>
        <v>1024</v>
      </c>
      <c r="U39" s="5">
        <f t="shared" si="13"/>
        <v>0</v>
      </c>
      <c r="V39" s="5">
        <f>Table1[[#This Row],[Enrolment S.Y. 2025-2026 ]]*8</f>
        <v>1024</v>
      </c>
      <c r="W39" s="5"/>
      <c r="X39" s="1"/>
      <c r="Y39" s="5"/>
      <c r="Z39" s="5">
        <f t="shared" si="14"/>
        <v>1024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128</v>
      </c>
      <c r="D40" s="5">
        <f>Table1[[#This Row],[Enrolment S.Y. 2025-2026 ]]*8</f>
        <v>1024</v>
      </c>
      <c r="E40" s="5"/>
      <c r="F40" s="1"/>
      <c r="G40" s="5"/>
      <c r="H40" s="5">
        <f t="shared" si="2"/>
        <v>1024</v>
      </c>
      <c r="I40" s="5">
        <f t="shared" si="3"/>
        <v>0</v>
      </c>
      <c r="J40" s="5">
        <f>Table1[[#This Row],[Enrolment S.Y. 2025-2026 ]]*8</f>
        <v>1024</v>
      </c>
      <c r="K40" s="5"/>
      <c r="L40" s="1"/>
      <c r="M40" s="5"/>
      <c r="N40" s="5">
        <f t="shared" si="10"/>
        <v>1024</v>
      </c>
      <c r="O40" s="5">
        <f t="shared" si="11"/>
        <v>0</v>
      </c>
      <c r="P40" s="5">
        <f>Table1[[#This Row],[Enrolment S.Y. 2025-2026 ]]*8</f>
        <v>1024</v>
      </c>
      <c r="Q40" s="5"/>
      <c r="R40" s="1"/>
      <c r="S40" s="5"/>
      <c r="T40" s="5">
        <f t="shared" si="12"/>
        <v>1024</v>
      </c>
      <c r="U40" s="5">
        <f t="shared" si="13"/>
        <v>0</v>
      </c>
      <c r="V40" s="5">
        <f>Table1[[#This Row],[Enrolment S.Y. 2025-2026 ]]*8</f>
        <v>1024</v>
      </c>
      <c r="W40" s="5"/>
      <c r="X40" s="1"/>
      <c r="Y40" s="5"/>
      <c r="Z40" s="5">
        <f t="shared" si="14"/>
        <v>1024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128</v>
      </c>
      <c r="D41" s="5">
        <f>Table1[[#This Row],[Enrolment S.Y. 2025-2026 ]]*8</f>
        <v>1024</v>
      </c>
      <c r="E41" s="5"/>
      <c r="F41" s="1"/>
      <c r="G41" s="5"/>
      <c r="H41" s="5">
        <f t="shared" si="2"/>
        <v>1024</v>
      </c>
      <c r="I41" s="5">
        <f t="shared" si="3"/>
        <v>0</v>
      </c>
      <c r="J41" s="5">
        <f>Table1[[#This Row],[Enrolment S.Y. 2025-2026 ]]*8</f>
        <v>1024</v>
      </c>
      <c r="K41" s="5"/>
      <c r="L41" s="1"/>
      <c r="M41" s="5"/>
      <c r="N41" s="5">
        <f t="shared" si="10"/>
        <v>1024</v>
      </c>
      <c r="O41" s="5">
        <f t="shared" si="11"/>
        <v>0</v>
      </c>
      <c r="P41" s="5">
        <f>Table1[[#This Row],[Enrolment S.Y. 2025-2026 ]]*8</f>
        <v>1024</v>
      </c>
      <c r="Q41" s="5">
        <v>138</v>
      </c>
      <c r="R41" s="1">
        <v>2025</v>
      </c>
      <c r="S41" s="5"/>
      <c r="T41" s="5">
        <f t="shared" si="12"/>
        <v>886</v>
      </c>
      <c r="U41" s="5">
        <f t="shared" si="13"/>
        <v>0</v>
      </c>
      <c r="V41" s="5">
        <f>Table1[[#This Row],[Enrolment S.Y. 2025-2026 ]]*8</f>
        <v>1024</v>
      </c>
      <c r="W41" s="5"/>
      <c r="X41" s="1"/>
      <c r="Y41" s="5"/>
      <c r="Z41" s="5">
        <f t="shared" si="14"/>
        <v>1024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119</v>
      </c>
      <c r="D43" s="5">
        <v>0</v>
      </c>
      <c r="E43" s="5">
        <v>108</v>
      </c>
      <c r="F43" s="1">
        <v>2025</v>
      </c>
      <c r="G43" s="5"/>
      <c r="H43" s="5">
        <f t="shared" si="2"/>
        <v>0</v>
      </c>
      <c r="I43" s="5">
        <f t="shared" si="3"/>
        <v>108</v>
      </c>
      <c r="J43" s="5">
        <f>Table1[[#This Row],[Enrolment S.Y. 2025-2026 ]]*8</f>
        <v>952</v>
      </c>
      <c r="K43" s="5"/>
      <c r="L43" s="1"/>
      <c r="M43" s="5"/>
      <c r="N43" s="5">
        <f t="shared" si="10"/>
        <v>952</v>
      </c>
      <c r="O43" s="5">
        <f t="shared" si="11"/>
        <v>0</v>
      </c>
      <c r="P43" s="5">
        <f>Table1[[#This Row],[Enrolment S.Y. 2025-2026 ]]*8</f>
        <v>952</v>
      </c>
      <c r="Q43" s="5"/>
      <c r="R43" s="1"/>
      <c r="S43" s="5"/>
      <c r="T43" s="5">
        <f t="shared" si="12"/>
        <v>952</v>
      </c>
      <c r="U43" s="5">
        <f t="shared" si="13"/>
        <v>0</v>
      </c>
      <c r="V43" s="5">
        <f>Table1[[#This Row],[Enrolment S.Y. 2025-2026 ]]*8</f>
        <v>952</v>
      </c>
      <c r="W43" s="5"/>
      <c r="X43" s="1"/>
      <c r="Y43" s="5"/>
      <c r="Z43" s="5">
        <f t="shared" si="14"/>
        <v>952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119</v>
      </c>
      <c r="D44" s="5">
        <v>0</v>
      </c>
      <c r="E44" s="5">
        <v>108</v>
      </c>
      <c r="F44" s="1">
        <v>2025</v>
      </c>
      <c r="G44" s="5"/>
      <c r="H44" s="5">
        <f t="shared" si="2"/>
        <v>0</v>
      </c>
      <c r="I44" s="5">
        <f t="shared" si="3"/>
        <v>108</v>
      </c>
      <c r="J44" s="5">
        <f>Table1[[#This Row],[Enrolment S.Y. 2025-2026 ]]*8</f>
        <v>952</v>
      </c>
      <c r="K44" s="5"/>
      <c r="L44" s="1"/>
      <c r="M44" s="5"/>
      <c r="N44" s="5">
        <f t="shared" si="10"/>
        <v>952</v>
      </c>
      <c r="O44" s="5">
        <f t="shared" si="11"/>
        <v>0</v>
      </c>
      <c r="P44" s="5">
        <f>Table1[[#This Row],[Enrolment S.Y. 2025-2026 ]]*8</f>
        <v>952</v>
      </c>
      <c r="Q44" s="5"/>
      <c r="R44" s="1"/>
      <c r="S44" s="5"/>
      <c r="T44" s="5">
        <f t="shared" si="12"/>
        <v>952</v>
      </c>
      <c r="U44" s="5">
        <f t="shared" si="13"/>
        <v>0</v>
      </c>
      <c r="V44" s="5">
        <f>Table1[[#This Row],[Enrolment S.Y. 2025-2026 ]]*8</f>
        <v>952</v>
      </c>
      <c r="W44" s="5"/>
      <c r="X44" s="1"/>
      <c r="Y44" s="5"/>
      <c r="Z44" s="5">
        <f t="shared" si="14"/>
        <v>952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119</v>
      </c>
      <c r="D45" s="5">
        <f>Table1[[#This Row],[Enrolment S.Y. 2025-2026 ]]*8</f>
        <v>952</v>
      </c>
      <c r="E45" s="5">
        <v>108</v>
      </c>
      <c r="F45" s="1">
        <v>2025</v>
      </c>
      <c r="G45" s="5"/>
      <c r="H45" s="5">
        <f t="shared" si="2"/>
        <v>844</v>
      </c>
      <c r="I45" s="5">
        <f t="shared" si="3"/>
        <v>0</v>
      </c>
      <c r="J45" s="5">
        <f>Table1[[#This Row],[Enrolment S.Y. 2025-2026 ]]*8</f>
        <v>952</v>
      </c>
      <c r="K45" s="5"/>
      <c r="L45" s="1"/>
      <c r="M45" s="5"/>
      <c r="N45" s="5">
        <f t="shared" si="10"/>
        <v>952</v>
      </c>
      <c r="O45" s="5">
        <f t="shared" si="11"/>
        <v>0</v>
      </c>
      <c r="P45" s="5">
        <f>Table1[[#This Row],[Enrolment S.Y. 2025-2026 ]]*8</f>
        <v>952</v>
      </c>
      <c r="Q45" s="5"/>
      <c r="R45" s="1"/>
      <c r="S45" s="5"/>
      <c r="T45" s="5">
        <f t="shared" si="12"/>
        <v>952</v>
      </c>
      <c r="U45" s="5">
        <f t="shared" si="13"/>
        <v>0</v>
      </c>
      <c r="V45" s="5">
        <f>Table1[[#This Row],[Enrolment S.Y. 2025-2026 ]]*8</f>
        <v>952</v>
      </c>
      <c r="W45" s="5"/>
      <c r="X45" s="1"/>
      <c r="Y45" s="5"/>
      <c r="Z45" s="5">
        <f t="shared" si="14"/>
        <v>952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119</v>
      </c>
      <c r="D46" s="5">
        <v>0</v>
      </c>
      <c r="E46" s="5">
        <v>108</v>
      </c>
      <c r="F46" s="1">
        <v>2025</v>
      </c>
      <c r="G46" s="5"/>
      <c r="H46" s="5">
        <f t="shared" si="2"/>
        <v>0</v>
      </c>
      <c r="I46" s="5">
        <f t="shared" si="3"/>
        <v>108</v>
      </c>
      <c r="J46" s="5">
        <f>Table1[[#This Row],[Enrolment S.Y. 2025-2026 ]]*8</f>
        <v>952</v>
      </c>
      <c r="K46" s="5"/>
      <c r="L46" s="1"/>
      <c r="M46" s="5"/>
      <c r="N46" s="5">
        <f t="shared" si="10"/>
        <v>952</v>
      </c>
      <c r="O46" s="5">
        <f t="shared" si="11"/>
        <v>0</v>
      </c>
      <c r="P46" s="5">
        <f>Table1[[#This Row],[Enrolment S.Y. 2025-2026 ]]*8</f>
        <v>952</v>
      </c>
      <c r="Q46" s="5"/>
      <c r="R46" s="1"/>
      <c r="S46" s="5"/>
      <c r="T46" s="5">
        <f t="shared" si="12"/>
        <v>952</v>
      </c>
      <c r="U46" s="5">
        <f t="shared" si="13"/>
        <v>0</v>
      </c>
      <c r="V46" s="5">
        <f>Table1[[#This Row],[Enrolment S.Y. 2025-2026 ]]*8</f>
        <v>952</v>
      </c>
      <c r="W46" s="5"/>
      <c r="X46" s="1"/>
      <c r="Y46" s="5"/>
      <c r="Z46" s="5">
        <f t="shared" si="14"/>
        <v>952</v>
      </c>
      <c r="AA46" s="5">
        <f t="shared" si="15"/>
        <v>0</v>
      </c>
    </row>
    <row r="47" spans="1:27" ht="36.75" customHeight="1">
      <c r="A47" s="1">
        <v>5</v>
      </c>
      <c r="B47" s="9" t="s">
        <v>16</v>
      </c>
      <c r="C47" s="1">
        <v>119</v>
      </c>
      <c r="D47" s="5">
        <f>Table1[[#This Row],[Enrolment S.Y. 2025-2026 ]]*8</f>
        <v>952</v>
      </c>
      <c r="E47" s="5">
        <v>108</v>
      </c>
      <c r="F47" s="1">
        <v>2025</v>
      </c>
      <c r="G47" s="5"/>
      <c r="H47" s="5">
        <f t="shared" si="2"/>
        <v>844</v>
      </c>
      <c r="I47" s="5">
        <f t="shared" si="3"/>
        <v>0</v>
      </c>
      <c r="J47" s="5">
        <f>Table1[[#This Row],[Enrolment S.Y. 2025-2026 ]]*8</f>
        <v>952</v>
      </c>
      <c r="K47" s="5"/>
      <c r="L47" s="1"/>
      <c r="M47" s="5"/>
      <c r="N47" s="5">
        <f t="shared" si="10"/>
        <v>952</v>
      </c>
      <c r="O47" s="5">
        <f t="shared" si="11"/>
        <v>0</v>
      </c>
      <c r="P47" s="5">
        <f>Table1[[#This Row],[Enrolment S.Y. 2025-2026 ]]*8</f>
        <v>952</v>
      </c>
      <c r="Q47" s="5"/>
      <c r="R47" s="1"/>
      <c r="S47" s="5"/>
      <c r="T47" s="5">
        <f t="shared" si="12"/>
        <v>952</v>
      </c>
      <c r="U47" s="5">
        <f t="shared" si="13"/>
        <v>0</v>
      </c>
      <c r="V47" s="5">
        <f>Table1[[#This Row],[Enrolment S.Y. 2025-2026 ]]*8</f>
        <v>952</v>
      </c>
      <c r="W47" s="5"/>
      <c r="X47" s="1"/>
      <c r="Y47" s="5"/>
      <c r="Z47" s="5">
        <f t="shared" si="14"/>
        <v>952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119</v>
      </c>
      <c r="D48" s="5">
        <f>Table1[[#This Row],[Enrolment S.Y. 2025-2026 ]]*8</f>
        <v>952</v>
      </c>
      <c r="E48" s="5">
        <v>108</v>
      </c>
      <c r="F48" s="1">
        <v>2025</v>
      </c>
      <c r="G48" s="5"/>
      <c r="H48" s="5">
        <f t="shared" si="2"/>
        <v>844</v>
      </c>
      <c r="I48" s="5">
        <f t="shared" si="3"/>
        <v>0</v>
      </c>
      <c r="J48" s="5">
        <f>Table1[[#This Row],[Enrolment S.Y. 2025-2026 ]]*8</f>
        <v>952</v>
      </c>
      <c r="K48" s="5"/>
      <c r="L48" s="1"/>
      <c r="M48" s="5"/>
      <c r="N48" s="5">
        <f t="shared" si="10"/>
        <v>952</v>
      </c>
      <c r="O48" s="5">
        <f t="shared" si="11"/>
        <v>0</v>
      </c>
      <c r="P48" s="5">
        <f>Table1[[#This Row],[Enrolment S.Y. 2025-2026 ]]*8</f>
        <v>952</v>
      </c>
      <c r="Q48" s="5"/>
      <c r="R48" s="1"/>
      <c r="S48" s="5"/>
      <c r="T48" s="5">
        <f t="shared" si="12"/>
        <v>952</v>
      </c>
      <c r="U48" s="5">
        <f t="shared" si="13"/>
        <v>0</v>
      </c>
      <c r="V48" s="5">
        <f>Table1[[#This Row],[Enrolment S.Y. 2025-2026 ]]*8</f>
        <v>952</v>
      </c>
      <c r="W48" s="5"/>
      <c r="X48" s="1"/>
      <c r="Y48" s="5"/>
      <c r="Z48" s="5">
        <f t="shared" si="14"/>
        <v>952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119</v>
      </c>
      <c r="D49" s="5">
        <f>Table1[[#This Row],[Enrolment S.Y. 2025-2026 ]]*8</f>
        <v>952</v>
      </c>
      <c r="E49" s="5">
        <v>108</v>
      </c>
      <c r="F49" s="1">
        <v>2025</v>
      </c>
      <c r="G49" s="5"/>
      <c r="H49" s="5">
        <f t="shared" si="2"/>
        <v>844</v>
      </c>
      <c r="I49" s="5">
        <f t="shared" si="3"/>
        <v>0</v>
      </c>
      <c r="J49" s="5">
        <f>Table1[[#This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Table1[[#This Row],[Enrolment S.Y. 2025-2026 ]]*8</f>
        <v>952</v>
      </c>
      <c r="Q49" s="5"/>
      <c r="R49" s="1"/>
      <c r="S49" s="5"/>
      <c r="T49" s="5">
        <f t="shared" si="12"/>
        <v>952</v>
      </c>
      <c r="U49" s="5">
        <f t="shared" si="13"/>
        <v>0</v>
      </c>
      <c r="V49" s="5">
        <f>Table1[[#This Row],[Enrolment S.Y. 2025-2026 ]]*8</f>
        <v>952</v>
      </c>
      <c r="W49" s="5"/>
      <c r="X49" s="1"/>
      <c r="Y49" s="5"/>
      <c r="Z49" s="5">
        <f t="shared" si="14"/>
        <v>952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119</v>
      </c>
      <c r="D50" s="5">
        <v>0</v>
      </c>
      <c r="E50" s="5">
        <v>108</v>
      </c>
      <c r="F50" s="1">
        <v>2025</v>
      </c>
      <c r="G50" s="5"/>
      <c r="H50" s="5">
        <f t="shared" si="2"/>
        <v>0</v>
      </c>
      <c r="I50" s="5">
        <f t="shared" si="3"/>
        <v>108</v>
      </c>
      <c r="J50" s="5">
        <f>Table1[[#This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Table1[[#This Row],[Enrolment S.Y. 2025-2026 ]]*8</f>
        <v>952</v>
      </c>
      <c r="Q50" s="5"/>
      <c r="R50" s="1"/>
      <c r="S50" s="5"/>
      <c r="T50" s="5">
        <f t="shared" si="12"/>
        <v>952</v>
      </c>
      <c r="U50" s="5">
        <f t="shared" si="13"/>
        <v>0</v>
      </c>
      <c r="V50" s="5">
        <f>Table1[[#This Row],[Enrolment S.Y. 2025-2026 ]]*8</f>
        <v>952</v>
      </c>
      <c r="W50" s="5"/>
      <c r="X50" s="1"/>
      <c r="Y50" s="5"/>
      <c r="Z50" s="5">
        <f t="shared" si="14"/>
        <v>952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119</v>
      </c>
      <c r="D51" s="5">
        <f>Table1[[#This Row],[Enrolment S.Y. 2025-2026 ]]*8</f>
        <v>952</v>
      </c>
      <c r="E51" s="5">
        <v>108</v>
      </c>
      <c r="F51" s="1">
        <v>2025</v>
      </c>
      <c r="G51" s="5"/>
      <c r="H51" s="5">
        <f t="shared" si="2"/>
        <v>844</v>
      </c>
      <c r="I51" s="5">
        <f t="shared" si="3"/>
        <v>0</v>
      </c>
      <c r="J51" s="5">
        <f>Table1[[#This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Table1[[#This Row],[Enrolment S.Y. 2025-2026 ]]*8</f>
        <v>952</v>
      </c>
      <c r="Q51" s="5"/>
      <c r="R51" s="1"/>
      <c r="S51" s="5"/>
      <c r="T51" s="5">
        <f t="shared" si="12"/>
        <v>952</v>
      </c>
      <c r="U51" s="5">
        <f t="shared" si="13"/>
        <v>0</v>
      </c>
      <c r="V51" s="5">
        <f>Table1[[#This Row],[Enrolment S.Y. 2025-2026 ]]*8</f>
        <v>952</v>
      </c>
      <c r="W51" s="5"/>
      <c r="X51" s="1"/>
      <c r="Y51" s="5"/>
      <c r="Z51" s="5">
        <f t="shared" si="14"/>
        <v>952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109</v>
      </c>
      <c r="D53" s="5">
        <f>Table1[[#This Row],[Enrolment S.Y. 2025-2026 ]]*8</f>
        <v>872</v>
      </c>
      <c r="E53" s="5"/>
      <c r="F53" s="1"/>
      <c r="G53" s="5"/>
      <c r="H53" s="5">
        <f t="shared" si="2"/>
        <v>872</v>
      </c>
      <c r="I53" s="5">
        <f t="shared" si="3"/>
        <v>0</v>
      </c>
      <c r="J53" s="5">
        <f>Table1[[#This Row],[Enrolment S.Y. 2025-2026 ]]*8</f>
        <v>872</v>
      </c>
      <c r="K53" s="5"/>
      <c r="L53" s="1"/>
      <c r="M53" s="5"/>
      <c r="N53" s="5">
        <f t="shared" si="10"/>
        <v>872</v>
      </c>
      <c r="O53" s="5">
        <f t="shared" si="11"/>
        <v>0</v>
      </c>
      <c r="P53" s="5">
        <f>Table1[[#This Row],[Enrolment S.Y. 2025-2026 ]]*8</f>
        <v>872</v>
      </c>
      <c r="Q53" s="5"/>
      <c r="R53" s="1"/>
      <c r="S53" s="5"/>
      <c r="T53" s="5">
        <f t="shared" si="12"/>
        <v>872</v>
      </c>
      <c r="U53" s="5">
        <f t="shared" si="13"/>
        <v>0</v>
      </c>
      <c r="V53" s="5">
        <f>Table1[[#This Row],[Enrolment S.Y. 2025-2026 ]]*8</f>
        <v>872</v>
      </c>
      <c r="W53" s="5"/>
      <c r="X53" s="1"/>
      <c r="Y53" s="5"/>
      <c r="Z53" s="5">
        <f t="shared" si="14"/>
        <v>872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109</v>
      </c>
      <c r="D54" s="5">
        <f>Table1[[#This Row],[Enrolment S.Y. 2025-2026 ]]*8</f>
        <v>872</v>
      </c>
      <c r="E54" s="5"/>
      <c r="F54" s="1"/>
      <c r="G54" s="5"/>
      <c r="H54" s="5">
        <f t="shared" si="2"/>
        <v>872</v>
      </c>
      <c r="I54" s="5">
        <f t="shared" si="3"/>
        <v>0</v>
      </c>
      <c r="J54" s="5">
        <f>Table1[[#This Row],[Enrolment S.Y. 2025-2026 ]]*8</f>
        <v>872</v>
      </c>
      <c r="K54" s="5"/>
      <c r="L54" s="1"/>
      <c r="M54" s="5"/>
      <c r="N54" s="5">
        <f t="shared" si="10"/>
        <v>872</v>
      </c>
      <c r="O54" s="5">
        <f t="shared" si="11"/>
        <v>0</v>
      </c>
      <c r="P54" s="5">
        <f>Table1[[#This Row],[Enrolment S.Y. 2025-2026 ]]*8</f>
        <v>872</v>
      </c>
      <c r="Q54" s="5"/>
      <c r="R54" s="1"/>
      <c r="S54" s="5"/>
      <c r="T54" s="5">
        <f t="shared" si="12"/>
        <v>872</v>
      </c>
      <c r="U54" s="5">
        <f t="shared" si="13"/>
        <v>0</v>
      </c>
      <c r="V54" s="5">
        <f>Table1[[#This Row],[Enrolment S.Y. 2025-2026 ]]*8</f>
        <v>872</v>
      </c>
      <c r="W54" s="5"/>
      <c r="X54" s="1"/>
      <c r="Y54" s="5"/>
      <c r="Z54" s="5">
        <f t="shared" si="14"/>
        <v>872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109</v>
      </c>
      <c r="D55" s="5">
        <f>Table1[[#This Row],[Enrolment S.Y. 2025-2026 ]]*8</f>
        <v>872</v>
      </c>
      <c r="E55" s="5"/>
      <c r="F55" s="1"/>
      <c r="G55" s="5"/>
      <c r="H55" s="5">
        <f t="shared" si="2"/>
        <v>872</v>
      </c>
      <c r="I55" s="5">
        <f t="shared" si="3"/>
        <v>0</v>
      </c>
      <c r="J55" s="5">
        <f>Table1[[#This Row],[Enrolment S.Y. 2025-2026 ]]*8</f>
        <v>872</v>
      </c>
      <c r="K55" s="5"/>
      <c r="L55" s="1"/>
      <c r="M55" s="5"/>
      <c r="N55" s="5">
        <f t="shared" si="10"/>
        <v>872</v>
      </c>
      <c r="O55" s="5">
        <f t="shared" si="11"/>
        <v>0</v>
      </c>
      <c r="P55" s="5">
        <f>Table1[[#This Row],[Enrolment S.Y. 2025-2026 ]]*8</f>
        <v>872</v>
      </c>
      <c r="Q55" s="5"/>
      <c r="R55" s="1"/>
      <c r="S55" s="5"/>
      <c r="T55" s="5">
        <f t="shared" si="12"/>
        <v>872</v>
      </c>
      <c r="U55" s="5">
        <f t="shared" si="13"/>
        <v>0</v>
      </c>
      <c r="V55" s="5">
        <f>Table1[[#This Row],[Enrolment S.Y. 2025-2026 ]]*8</f>
        <v>872</v>
      </c>
      <c r="W55" s="5"/>
      <c r="X55" s="1"/>
      <c r="Y55" s="5"/>
      <c r="Z55" s="5">
        <f t="shared" si="14"/>
        <v>872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109</v>
      </c>
      <c r="D56" s="5">
        <f>Table1[[#This Row],[Enrolment S.Y. 2025-2026 ]]*8</f>
        <v>872</v>
      </c>
      <c r="E56" s="5"/>
      <c r="F56" s="1"/>
      <c r="G56" s="5"/>
      <c r="H56" s="5">
        <f t="shared" si="2"/>
        <v>872</v>
      </c>
      <c r="I56" s="5">
        <f t="shared" si="3"/>
        <v>0</v>
      </c>
      <c r="J56" s="5">
        <f>Table1[[#This Row],[Enrolment S.Y. 2025-2026 ]]*8</f>
        <v>872</v>
      </c>
      <c r="K56" s="5"/>
      <c r="L56" s="1"/>
      <c r="M56" s="5"/>
      <c r="N56" s="5">
        <f t="shared" si="10"/>
        <v>872</v>
      </c>
      <c r="O56" s="5">
        <f t="shared" si="11"/>
        <v>0</v>
      </c>
      <c r="P56" s="5">
        <f>Table1[[#This Row],[Enrolment S.Y. 2025-2026 ]]*8</f>
        <v>872</v>
      </c>
      <c r="Q56" s="5"/>
      <c r="R56" s="1"/>
      <c r="S56" s="5"/>
      <c r="T56" s="5">
        <f t="shared" si="12"/>
        <v>872</v>
      </c>
      <c r="U56" s="5">
        <f t="shared" si="13"/>
        <v>0</v>
      </c>
      <c r="V56" s="5">
        <f>Table1[[#This Row],[Enrolment S.Y. 2025-2026 ]]*8</f>
        <v>872</v>
      </c>
      <c r="W56" s="5"/>
      <c r="X56" s="1"/>
      <c r="Y56" s="5"/>
      <c r="Z56" s="5">
        <f t="shared" si="14"/>
        <v>872</v>
      </c>
      <c r="AA56" s="5">
        <f t="shared" si="15"/>
        <v>0</v>
      </c>
    </row>
    <row r="57" spans="1:27" ht="38.25" customHeight="1">
      <c r="A57" s="1">
        <v>6</v>
      </c>
      <c r="B57" s="9" t="s">
        <v>16</v>
      </c>
      <c r="C57" s="1">
        <v>109</v>
      </c>
      <c r="D57" s="5">
        <f>Table1[[#This Row],[Enrolment S.Y. 2025-2026 ]]*8</f>
        <v>872</v>
      </c>
      <c r="E57" s="5"/>
      <c r="F57" s="1"/>
      <c r="G57" s="5"/>
      <c r="H57" s="5">
        <f t="shared" si="2"/>
        <v>872</v>
      </c>
      <c r="I57" s="5">
        <f t="shared" si="3"/>
        <v>0</v>
      </c>
      <c r="J57" s="5">
        <f>Table1[[#This Row],[Enrolment S.Y. 2025-2026 ]]*8</f>
        <v>872</v>
      </c>
      <c r="K57" s="5"/>
      <c r="L57" s="1"/>
      <c r="M57" s="5"/>
      <c r="N57" s="5">
        <f t="shared" si="10"/>
        <v>872</v>
      </c>
      <c r="O57" s="5">
        <f t="shared" si="11"/>
        <v>0</v>
      </c>
      <c r="P57" s="5">
        <f>Table1[[#This Row],[Enrolment S.Y. 2025-2026 ]]*8</f>
        <v>872</v>
      </c>
      <c r="Q57" s="5"/>
      <c r="R57" s="1"/>
      <c r="S57" s="5"/>
      <c r="T57" s="5">
        <f t="shared" si="12"/>
        <v>872</v>
      </c>
      <c r="U57" s="5">
        <f t="shared" si="13"/>
        <v>0</v>
      </c>
      <c r="V57" s="5">
        <f>Table1[[#This Row],[Enrolment S.Y. 2025-2026 ]]*8</f>
        <v>872</v>
      </c>
      <c r="W57" s="5"/>
      <c r="X57" s="1"/>
      <c r="Y57" s="5"/>
      <c r="Z57" s="5">
        <f t="shared" si="14"/>
        <v>872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109</v>
      </c>
      <c r="D58" s="5">
        <f>Table1[[#This Row],[Enrolment S.Y. 2025-2026 ]]*8</f>
        <v>872</v>
      </c>
      <c r="E58" s="5"/>
      <c r="F58" s="1"/>
      <c r="G58" s="5"/>
      <c r="H58" s="5">
        <f t="shared" si="2"/>
        <v>872</v>
      </c>
      <c r="I58" s="5">
        <f t="shared" si="3"/>
        <v>0</v>
      </c>
      <c r="J58" s="5">
        <f>Table1[[#This Row],[Enrolment S.Y. 2025-2026 ]]*8</f>
        <v>872</v>
      </c>
      <c r="K58" s="5"/>
      <c r="L58" s="1"/>
      <c r="M58" s="5"/>
      <c r="N58" s="5">
        <f t="shared" si="10"/>
        <v>872</v>
      </c>
      <c r="O58" s="5">
        <f t="shared" si="11"/>
        <v>0</v>
      </c>
      <c r="P58" s="5">
        <f>Table1[[#This Row],[Enrolment S.Y. 2025-2026 ]]*8</f>
        <v>872</v>
      </c>
      <c r="Q58" s="5"/>
      <c r="R58" s="1"/>
      <c r="S58" s="5"/>
      <c r="T58" s="5">
        <f t="shared" si="12"/>
        <v>872</v>
      </c>
      <c r="U58" s="5">
        <f t="shared" si="13"/>
        <v>0</v>
      </c>
      <c r="V58" s="5">
        <f>Table1[[#This Row],[Enrolment S.Y. 2025-2026 ]]*8</f>
        <v>872</v>
      </c>
      <c r="W58" s="5"/>
      <c r="X58" s="1"/>
      <c r="Y58" s="5"/>
      <c r="Z58" s="5">
        <f t="shared" si="14"/>
        <v>872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109</v>
      </c>
      <c r="D59" s="5">
        <f>Table1[[#This Row],[Enrolment S.Y. 2025-2026 ]]*8</f>
        <v>872</v>
      </c>
      <c r="E59" s="5"/>
      <c r="F59" s="1"/>
      <c r="G59" s="5"/>
      <c r="H59" s="5">
        <f t="shared" si="2"/>
        <v>872</v>
      </c>
      <c r="I59" s="5">
        <f t="shared" si="3"/>
        <v>0</v>
      </c>
      <c r="J59" s="5">
        <f>Table1[[#This Row],[Enrolment S.Y. 2025-2026 ]]*8</f>
        <v>872</v>
      </c>
      <c r="K59" s="5"/>
      <c r="L59" s="1"/>
      <c r="M59" s="5"/>
      <c r="N59" s="5">
        <f t="shared" si="10"/>
        <v>872</v>
      </c>
      <c r="O59" s="5">
        <f t="shared" si="11"/>
        <v>0</v>
      </c>
      <c r="P59" s="5">
        <f>Table1[[#This Row],[Enrolment S.Y. 2025-2026 ]]*8</f>
        <v>872</v>
      </c>
      <c r="Q59" s="5"/>
      <c r="R59" s="1"/>
      <c r="S59" s="5"/>
      <c r="T59" s="5">
        <f t="shared" si="12"/>
        <v>872</v>
      </c>
      <c r="U59" s="5">
        <f t="shared" si="13"/>
        <v>0</v>
      </c>
      <c r="V59" s="5">
        <f>Table1[[#This Row],[Enrolment S.Y. 2025-2026 ]]*8</f>
        <v>872</v>
      </c>
      <c r="W59" s="5"/>
      <c r="X59" s="1"/>
      <c r="Y59" s="5"/>
      <c r="Z59" s="5">
        <f t="shared" si="14"/>
        <v>872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109</v>
      </c>
      <c r="D60" s="5">
        <f>Table1[[#This Row],[Enrolment S.Y. 2025-2026 ]]*8</f>
        <v>872</v>
      </c>
      <c r="E60" s="5"/>
      <c r="F60" s="1"/>
      <c r="G60" s="5"/>
      <c r="H60" s="5">
        <f t="shared" si="2"/>
        <v>872</v>
      </c>
      <c r="I60" s="5">
        <f t="shared" si="3"/>
        <v>0</v>
      </c>
      <c r="J60" s="5">
        <f>Table1[[#This Row],[Enrolment S.Y. 2025-2026 ]]*8</f>
        <v>872</v>
      </c>
      <c r="K60" s="5"/>
      <c r="L60" s="1"/>
      <c r="M60" s="5"/>
      <c r="N60" s="5">
        <f t="shared" si="10"/>
        <v>872</v>
      </c>
      <c r="O60" s="5">
        <f t="shared" si="11"/>
        <v>0</v>
      </c>
      <c r="P60" s="5">
        <f>Table1[[#This Row],[Enrolment S.Y. 2025-2026 ]]*8</f>
        <v>872</v>
      </c>
      <c r="Q60" s="5"/>
      <c r="R60" s="1"/>
      <c r="S60" s="5"/>
      <c r="T60" s="5">
        <f t="shared" si="12"/>
        <v>872</v>
      </c>
      <c r="U60" s="5">
        <f t="shared" si="13"/>
        <v>0</v>
      </c>
      <c r="V60" s="5">
        <f>Table1[[#This Row],[Enrolment S.Y. 2025-2026 ]]*8</f>
        <v>872</v>
      </c>
      <c r="W60" s="5"/>
      <c r="X60" s="1"/>
      <c r="Y60" s="5"/>
      <c r="Z60" s="5">
        <f t="shared" si="14"/>
        <v>872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109</v>
      </c>
      <c r="D61" s="5">
        <f>Table1[[#This Row],[Enrolment S.Y. 2025-2026 ]]*8</f>
        <v>872</v>
      </c>
      <c r="E61" s="5"/>
      <c r="F61" s="1"/>
      <c r="G61" s="5"/>
      <c r="H61" s="5">
        <f t="shared" si="2"/>
        <v>872</v>
      </c>
      <c r="I61" s="5">
        <f t="shared" si="3"/>
        <v>0</v>
      </c>
      <c r="J61" s="5">
        <f>Table1[[#This Row],[Enrolment S.Y. 2025-2026 ]]*8</f>
        <v>872</v>
      </c>
      <c r="K61" s="5"/>
      <c r="L61" s="1"/>
      <c r="M61" s="5"/>
      <c r="N61" s="5">
        <f t="shared" si="10"/>
        <v>872</v>
      </c>
      <c r="O61" s="5">
        <f t="shared" si="11"/>
        <v>0</v>
      </c>
      <c r="P61" s="5">
        <f>Table1[[#This Row],[Enrolment S.Y. 2025-2026 ]]*8</f>
        <v>872</v>
      </c>
      <c r="Q61" s="5"/>
      <c r="R61" s="1"/>
      <c r="S61" s="5"/>
      <c r="T61" s="5">
        <f t="shared" si="12"/>
        <v>872</v>
      </c>
      <c r="U61" s="5">
        <f t="shared" si="13"/>
        <v>0</v>
      </c>
      <c r="V61" s="5">
        <f>Table1[[#This Row],[Enrolment S.Y. 2025-2026 ]]*8</f>
        <v>872</v>
      </c>
      <c r="W61" s="5"/>
      <c r="X61" s="1"/>
      <c r="Y61" s="5"/>
      <c r="Z61" s="5">
        <f t="shared" si="14"/>
        <v>872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3:C61 C33:C41 C23:C31 C14:C21 C5:C12 C43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paperSize="9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A126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3.75" customHeight="1">
      <c r="A3" s="1">
        <v>1</v>
      </c>
      <c r="B3" s="2" t="s">
        <v>8</v>
      </c>
      <c r="C3" s="1">
        <v>83</v>
      </c>
      <c r="D3" s="5">
        <f>Table14[[#This Row],[Enrolment S.Y. 2025-2026 ]]*8</f>
        <v>664</v>
      </c>
      <c r="E3" s="5"/>
      <c r="F3" s="1"/>
      <c r="G3" s="5"/>
      <c r="H3" s="5">
        <f t="shared" ref="H3:H83" si="0">IF((D3-E3)&lt;0,0,(D3-E3))</f>
        <v>664</v>
      </c>
      <c r="I3" s="5">
        <f t="shared" ref="I3:I83" si="1">IF((E3-D3)&lt;0,0,(E3-D3))</f>
        <v>0</v>
      </c>
      <c r="J3" s="5">
        <f>Table14[[#This Row],[Enrolment S.Y. 2025-2026 ]]*8</f>
        <v>664</v>
      </c>
      <c r="K3" s="5"/>
      <c r="L3" s="1"/>
      <c r="M3" s="5"/>
      <c r="N3" s="5">
        <f t="shared" ref="N3:N72" si="2">IF((J3-K3)&lt;0,0,(J3-K3))</f>
        <v>664</v>
      </c>
      <c r="O3" s="5">
        <f t="shared" ref="O3:O72" si="3">IF((K3-J3)&lt;0,0,(K3-J3))</f>
        <v>0</v>
      </c>
      <c r="P3" s="5">
        <f>Table14[[#This Row],[Enrolment S.Y. 2025-2026 ]]*8</f>
        <v>664</v>
      </c>
      <c r="Q3" s="5"/>
      <c r="R3" s="1"/>
      <c r="S3" s="5"/>
      <c r="T3" s="5">
        <f t="shared" ref="T3:T72" si="4">IF((P3-Q3)&lt;0,0,(P3-Q3))</f>
        <v>664</v>
      </c>
      <c r="U3" s="5">
        <f t="shared" ref="U3:U72" si="5">IF((Q3-P3)&lt;0,0,(Q3-P3))</f>
        <v>0</v>
      </c>
      <c r="V3" s="5">
        <f>Table14[[#This Row],[Enrolment S.Y. 2025-2026 ]]*8</f>
        <v>664</v>
      </c>
      <c r="W3" s="5"/>
      <c r="X3" s="1"/>
      <c r="Y3" s="5"/>
      <c r="Z3" s="5">
        <f t="shared" ref="Z3:Z72" si="6">IF((V3-W3)&lt;0,0,(V3-W3))</f>
        <v>664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83</v>
      </c>
      <c r="D4" s="5">
        <f>Table14[[#This Row],[Enrolment S.Y. 2025-2026 ]]*8</f>
        <v>664</v>
      </c>
      <c r="E4" s="5"/>
      <c r="F4" s="1"/>
      <c r="G4" s="5"/>
      <c r="H4" s="5">
        <f t="shared" si="0"/>
        <v>664</v>
      </c>
      <c r="I4" s="5">
        <f t="shared" si="1"/>
        <v>0</v>
      </c>
      <c r="J4" s="5">
        <f>Table14[[#This Row],[Enrolment S.Y. 2025-2026 ]]*8</f>
        <v>664</v>
      </c>
      <c r="K4" s="5"/>
      <c r="L4" s="1"/>
      <c r="M4" s="5"/>
      <c r="N4" s="5">
        <f t="shared" si="2"/>
        <v>664</v>
      </c>
      <c r="O4" s="5">
        <f t="shared" si="3"/>
        <v>0</v>
      </c>
      <c r="P4" s="5">
        <f>Table14[[#This Row],[Enrolment S.Y. 2025-2026 ]]*8</f>
        <v>664</v>
      </c>
      <c r="Q4" s="5"/>
      <c r="R4" s="1"/>
      <c r="S4" s="5"/>
      <c r="T4" s="5">
        <f t="shared" si="4"/>
        <v>664</v>
      </c>
      <c r="U4" s="5">
        <f t="shared" si="5"/>
        <v>0</v>
      </c>
      <c r="V4" s="5">
        <f>Table14[[#This Row],[Enrolment S.Y. 2025-2026 ]]*8</f>
        <v>664</v>
      </c>
      <c r="W4" s="5"/>
      <c r="X4" s="1"/>
      <c r="Y4" s="5"/>
      <c r="Z4" s="5">
        <f t="shared" si="6"/>
        <v>664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83</v>
      </c>
      <c r="D5" s="5">
        <f>Table14[[#This Row],[Enrolment S.Y. 2025-2026 ]]*8</f>
        <v>664</v>
      </c>
      <c r="E5" s="5"/>
      <c r="F5" s="1"/>
      <c r="G5" s="5"/>
      <c r="H5" s="5">
        <f t="shared" si="0"/>
        <v>664</v>
      </c>
      <c r="I5" s="5">
        <f t="shared" si="1"/>
        <v>0</v>
      </c>
      <c r="J5" s="5">
        <f>Table14[[#This Row],[Enrolment S.Y. 2025-2026 ]]*8</f>
        <v>664</v>
      </c>
      <c r="K5" s="5"/>
      <c r="L5" s="1"/>
      <c r="M5" s="5"/>
      <c r="N5" s="5">
        <f t="shared" si="2"/>
        <v>664</v>
      </c>
      <c r="O5" s="5">
        <f t="shared" si="3"/>
        <v>0</v>
      </c>
      <c r="P5" s="5">
        <f>Table14[[#This Row],[Enrolment S.Y. 2025-2026 ]]*8</f>
        <v>664</v>
      </c>
      <c r="Q5" s="5"/>
      <c r="R5" s="1"/>
      <c r="S5" s="5"/>
      <c r="T5" s="5">
        <f t="shared" si="4"/>
        <v>664</v>
      </c>
      <c r="U5" s="5">
        <f t="shared" si="5"/>
        <v>0</v>
      </c>
      <c r="V5" s="5">
        <f>Table14[[#This Row],[Enrolment S.Y. 2025-2026 ]]*8</f>
        <v>664</v>
      </c>
      <c r="W5" s="5"/>
      <c r="X5" s="1"/>
      <c r="Y5" s="5"/>
      <c r="Z5" s="5">
        <f t="shared" si="6"/>
        <v>664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83</v>
      </c>
      <c r="D6" s="5">
        <f>Table14[[#This Row],[Enrolment S.Y. 2025-2026 ]]*8</f>
        <v>664</v>
      </c>
      <c r="E6" s="5"/>
      <c r="F6" s="1"/>
      <c r="G6" s="5"/>
      <c r="H6" s="5">
        <f t="shared" si="0"/>
        <v>664</v>
      </c>
      <c r="I6" s="5">
        <f t="shared" si="1"/>
        <v>0</v>
      </c>
      <c r="J6" s="5">
        <f>Table14[[#This Row],[Enrolment S.Y. 2025-2026 ]]*8</f>
        <v>664</v>
      </c>
      <c r="K6" s="5"/>
      <c r="L6" s="1"/>
      <c r="M6" s="5"/>
      <c r="N6" s="5">
        <f t="shared" si="2"/>
        <v>664</v>
      </c>
      <c r="O6" s="5">
        <f t="shared" si="3"/>
        <v>0</v>
      </c>
      <c r="P6" s="5">
        <f>Table14[[#This Row],[Enrolment S.Y. 2025-2026 ]]*8</f>
        <v>664</v>
      </c>
      <c r="Q6" s="5"/>
      <c r="R6" s="1"/>
      <c r="S6" s="5"/>
      <c r="T6" s="5">
        <f t="shared" si="4"/>
        <v>664</v>
      </c>
      <c r="U6" s="5">
        <f t="shared" si="5"/>
        <v>0</v>
      </c>
      <c r="V6" s="5">
        <f>Table14[[#This Row],[Enrolment S.Y. 2025-2026 ]]*8</f>
        <v>664</v>
      </c>
      <c r="W6" s="5"/>
      <c r="X6" s="1"/>
      <c r="Y6" s="5"/>
      <c r="Z6" s="5">
        <f t="shared" si="6"/>
        <v>664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83</v>
      </c>
      <c r="D7" s="5">
        <f>Table14[[#This Row],[Enrolment S.Y. 2025-2026 ]]*8</f>
        <v>664</v>
      </c>
      <c r="E7" s="5"/>
      <c r="F7" s="1"/>
      <c r="G7" s="5"/>
      <c r="H7" s="5">
        <f t="shared" si="0"/>
        <v>664</v>
      </c>
      <c r="I7" s="5">
        <f t="shared" si="1"/>
        <v>0</v>
      </c>
      <c r="J7" s="5">
        <f>Table14[[#This Row],[Enrolment S.Y. 2025-2026 ]]*8</f>
        <v>664</v>
      </c>
      <c r="K7" s="5"/>
      <c r="L7" s="1"/>
      <c r="M7" s="5"/>
      <c r="N7" s="5">
        <f t="shared" si="2"/>
        <v>664</v>
      </c>
      <c r="O7" s="5">
        <f t="shared" si="3"/>
        <v>0</v>
      </c>
      <c r="P7" s="5">
        <f>Table14[[#This Row],[Enrolment S.Y. 2025-2026 ]]*8</f>
        <v>664</v>
      </c>
      <c r="Q7" s="5"/>
      <c r="R7" s="1"/>
      <c r="S7" s="5"/>
      <c r="T7" s="5">
        <f t="shared" si="4"/>
        <v>664</v>
      </c>
      <c r="U7" s="5">
        <f t="shared" si="5"/>
        <v>0</v>
      </c>
      <c r="V7" s="5">
        <f>Table14[[#This Row],[Enrolment S.Y. 2025-2026 ]]*8</f>
        <v>664</v>
      </c>
      <c r="W7" s="5"/>
      <c r="X7" s="1"/>
      <c r="Y7" s="5"/>
      <c r="Z7" s="5">
        <f t="shared" si="6"/>
        <v>664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83</v>
      </c>
      <c r="D8" s="5">
        <f>Table14[[#This Row],[Enrolment S.Y. 2025-2026 ]]*8</f>
        <v>664</v>
      </c>
      <c r="E8" s="5"/>
      <c r="F8" s="1"/>
      <c r="G8" s="5"/>
      <c r="H8" s="5">
        <f>IF((D8-E8)&lt;0,0,(D8-E8))</f>
        <v>664</v>
      </c>
      <c r="I8" s="5">
        <f>IF((E8-D8)&lt;0,0,(E8-D8))</f>
        <v>0</v>
      </c>
      <c r="J8" s="5">
        <f>Table14[[#This Row],[Enrolment S.Y. 2025-2026 ]]*8</f>
        <v>664</v>
      </c>
      <c r="K8" s="5"/>
      <c r="L8" s="1"/>
      <c r="M8" s="5"/>
      <c r="N8" s="5">
        <f t="shared" si="2"/>
        <v>664</v>
      </c>
      <c r="O8" s="5">
        <f t="shared" si="3"/>
        <v>0</v>
      </c>
      <c r="P8" s="5">
        <f>Table14[[#This Row],[Enrolment S.Y. 2025-2026 ]]*8</f>
        <v>664</v>
      </c>
      <c r="Q8" s="5"/>
      <c r="R8" s="1"/>
      <c r="S8" s="5"/>
      <c r="T8" s="5">
        <f t="shared" si="4"/>
        <v>664</v>
      </c>
      <c r="U8" s="5">
        <f t="shared" si="5"/>
        <v>0</v>
      </c>
      <c r="V8" s="5">
        <f>Table14[[#This Row],[Enrolment S.Y. 2025-2026 ]]*8</f>
        <v>664</v>
      </c>
      <c r="W8" s="5"/>
      <c r="X8" s="1"/>
      <c r="Y8" s="5"/>
      <c r="Z8" s="5">
        <f t="shared" si="6"/>
        <v>664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83</v>
      </c>
      <c r="D9" s="5">
        <f>Table14[[#This Row],[Enrolment S.Y. 2025-2026 ]]*8</f>
        <v>664</v>
      </c>
      <c r="E9" s="5"/>
      <c r="F9" s="1"/>
      <c r="G9" s="5"/>
      <c r="H9" s="5">
        <f>IF((D9-E9)&lt;0,0,(D9-E9))</f>
        <v>664</v>
      </c>
      <c r="I9" s="5">
        <f>IF((E9-D9)&lt;0,0,(E9-D9))</f>
        <v>0</v>
      </c>
      <c r="J9" s="5">
        <f>Table14[[#This Row],[Enrolment S.Y. 2025-2026 ]]*8</f>
        <v>664</v>
      </c>
      <c r="K9" s="5"/>
      <c r="L9" s="1"/>
      <c r="M9" s="5"/>
      <c r="N9" s="5">
        <f t="shared" si="2"/>
        <v>664</v>
      </c>
      <c r="O9" s="5">
        <f t="shared" si="3"/>
        <v>0</v>
      </c>
      <c r="P9" s="5">
        <f>Table14[[#This Row],[Enrolment S.Y. 2025-2026 ]]*8</f>
        <v>664</v>
      </c>
      <c r="Q9" s="5"/>
      <c r="R9" s="1"/>
      <c r="S9" s="5"/>
      <c r="T9" s="5">
        <f t="shared" si="4"/>
        <v>664</v>
      </c>
      <c r="U9" s="5">
        <f t="shared" si="5"/>
        <v>0</v>
      </c>
      <c r="V9" s="5">
        <f>Table14[[#This Row],[Enrolment S.Y. 2025-2026 ]]*8</f>
        <v>664</v>
      </c>
      <c r="W9" s="5"/>
      <c r="X9" s="1"/>
      <c r="Y9" s="5"/>
      <c r="Z9" s="5">
        <f t="shared" si="6"/>
        <v>664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83</v>
      </c>
      <c r="D10" s="5">
        <f>Table14[[#This Row],[Enrolment S.Y. 2025-2026 ]]*8</f>
        <v>664</v>
      </c>
      <c r="E10" s="5"/>
      <c r="F10" s="1"/>
      <c r="G10" s="5"/>
      <c r="H10" s="5">
        <f>IF((D10-E10)&lt;0,0,(D10-E10))</f>
        <v>664</v>
      </c>
      <c r="I10" s="5">
        <f>IF((E10-D10)&lt;0,0,(E10-D10))</f>
        <v>0</v>
      </c>
      <c r="J10" s="5">
        <f>Table14[[#This Row],[Enrolment S.Y. 2025-2026 ]]*8</f>
        <v>664</v>
      </c>
      <c r="K10" s="5"/>
      <c r="L10" s="1"/>
      <c r="M10" s="5"/>
      <c r="N10" s="5">
        <f t="shared" si="2"/>
        <v>664</v>
      </c>
      <c r="O10" s="5">
        <f t="shared" si="3"/>
        <v>0</v>
      </c>
      <c r="P10" s="5">
        <f>Table14[[#This Row],[Enrolment S.Y. 2025-2026 ]]*8</f>
        <v>664</v>
      </c>
      <c r="Q10" s="5"/>
      <c r="R10" s="1"/>
      <c r="S10" s="5"/>
      <c r="T10" s="5">
        <f t="shared" si="4"/>
        <v>664</v>
      </c>
      <c r="U10" s="5">
        <f t="shared" si="5"/>
        <v>0</v>
      </c>
      <c r="V10" s="5">
        <f>Table14[[#This Row],[Enrolment S.Y. 2025-2026 ]]*8</f>
        <v>664</v>
      </c>
      <c r="W10" s="5"/>
      <c r="X10" s="1"/>
      <c r="Y10" s="5"/>
      <c r="Z10" s="5">
        <f t="shared" si="6"/>
        <v>664</v>
      </c>
      <c r="AA10" s="5">
        <f t="shared" si="7"/>
        <v>0</v>
      </c>
    </row>
    <row r="11" spans="1:27" s="7" customFormat="1"/>
    <row r="12" spans="1:27" ht="37.5" customHeight="1">
      <c r="A12" s="1">
        <v>2</v>
      </c>
      <c r="B12" s="2" t="s">
        <v>8</v>
      </c>
      <c r="C12" s="1">
        <v>109</v>
      </c>
      <c r="D12" s="5">
        <f>Table14[[#This Row],[Enrolment S.Y. 2025-2026 ]]*8</f>
        <v>872</v>
      </c>
      <c r="E12" s="5"/>
      <c r="F12" s="1"/>
      <c r="G12" s="5"/>
      <c r="H12" s="5">
        <f t="shared" si="0"/>
        <v>872</v>
      </c>
      <c r="I12" s="5">
        <f t="shared" si="1"/>
        <v>0</v>
      </c>
      <c r="J12" s="5">
        <f>Table14[[#This Row],[Enrolment S.Y. 2025-2026 ]]*8</f>
        <v>872</v>
      </c>
      <c r="K12" s="5"/>
      <c r="L12" s="1"/>
      <c r="M12" s="5"/>
      <c r="N12" s="5">
        <f t="shared" si="2"/>
        <v>872</v>
      </c>
      <c r="O12" s="5">
        <f t="shared" si="3"/>
        <v>0</v>
      </c>
      <c r="P12" s="5">
        <f>Table14[[#This Row],[Enrolment S.Y. 2025-2026 ]]*8</f>
        <v>872</v>
      </c>
      <c r="Q12" s="5"/>
      <c r="R12" s="1"/>
      <c r="S12" s="5"/>
      <c r="T12" s="5">
        <f t="shared" si="4"/>
        <v>872</v>
      </c>
      <c r="U12" s="5">
        <f t="shared" si="5"/>
        <v>0</v>
      </c>
      <c r="V12" s="5">
        <f>Table14[[#This Row],[Enrolment S.Y. 2025-2026 ]]*8</f>
        <v>872</v>
      </c>
      <c r="W12" s="5"/>
      <c r="X12" s="1"/>
      <c r="Y12" s="5"/>
      <c r="Z12" s="5">
        <f t="shared" si="6"/>
        <v>872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109</v>
      </c>
      <c r="D13" s="5">
        <f>Table14[[#This Row],[Enrolment S.Y. 2025-2026 ]]*8</f>
        <v>872</v>
      </c>
      <c r="E13" s="5"/>
      <c r="F13" s="1"/>
      <c r="G13" s="5"/>
      <c r="H13" s="5">
        <f t="shared" si="0"/>
        <v>872</v>
      </c>
      <c r="I13" s="5">
        <f t="shared" si="1"/>
        <v>0</v>
      </c>
      <c r="J13" s="5">
        <f>Table14[[#This Row],[Enrolment S.Y. 2025-2026 ]]*8</f>
        <v>872</v>
      </c>
      <c r="K13" s="5"/>
      <c r="L13" s="1"/>
      <c r="M13" s="5"/>
      <c r="N13" s="5">
        <f t="shared" si="2"/>
        <v>872</v>
      </c>
      <c r="O13" s="5">
        <f t="shared" si="3"/>
        <v>0</v>
      </c>
      <c r="P13" s="5">
        <f>Table14[[#This Row],[Enrolment S.Y. 2025-2026 ]]*8</f>
        <v>872</v>
      </c>
      <c r="Q13" s="5"/>
      <c r="R13" s="1"/>
      <c r="S13" s="5"/>
      <c r="T13" s="5">
        <f t="shared" si="4"/>
        <v>872</v>
      </c>
      <c r="U13" s="5">
        <f t="shared" si="5"/>
        <v>0</v>
      </c>
      <c r="V13" s="5">
        <f>Table14[[#This Row],[Enrolment S.Y. 2025-2026 ]]*8</f>
        <v>872</v>
      </c>
      <c r="W13" s="5"/>
      <c r="X13" s="1"/>
      <c r="Y13" s="5"/>
      <c r="Z13" s="5">
        <f t="shared" si="6"/>
        <v>872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109</v>
      </c>
      <c r="D14" s="5">
        <f>Table14[[#This Row],[Enrolment S.Y. 2025-2026 ]]*8</f>
        <v>872</v>
      </c>
      <c r="E14" s="5"/>
      <c r="F14" s="1"/>
      <c r="G14" s="5"/>
      <c r="H14" s="5">
        <f t="shared" si="0"/>
        <v>872</v>
      </c>
      <c r="I14" s="5">
        <f t="shared" si="1"/>
        <v>0</v>
      </c>
      <c r="J14" s="5">
        <f>Table14[[#This Row],[Enrolment S.Y. 2025-2026 ]]*8</f>
        <v>872</v>
      </c>
      <c r="K14" s="5"/>
      <c r="L14" s="1"/>
      <c r="M14" s="5"/>
      <c r="N14" s="5">
        <f t="shared" si="2"/>
        <v>872</v>
      </c>
      <c r="O14" s="5">
        <f t="shared" si="3"/>
        <v>0</v>
      </c>
      <c r="P14" s="5">
        <f>Table14[[#This Row],[Enrolment S.Y. 2025-2026 ]]*8</f>
        <v>872</v>
      </c>
      <c r="Q14" s="5"/>
      <c r="R14" s="1"/>
      <c r="S14" s="5"/>
      <c r="T14" s="5">
        <f t="shared" si="4"/>
        <v>872</v>
      </c>
      <c r="U14" s="5">
        <f t="shared" si="5"/>
        <v>0</v>
      </c>
      <c r="V14" s="5">
        <f>Table14[[#This Row],[Enrolment S.Y. 2025-2026 ]]*8</f>
        <v>872</v>
      </c>
      <c r="W14" s="5"/>
      <c r="X14" s="1"/>
      <c r="Y14" s="5"/>
      <c r="Z14" s="5">
        <f t="shared" si="6"/>
        <v>872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109</v>
      </c>
      <c r="D15" s="5">
        <f>Table14[[#This Row],[Enrolment S.Y. 2025-2026 ]]*8</f>
        <v>872</v>
      </c>
      <c r="E15" s="5"/>
      <c r="F15" s="1"/>
      <c r="G15" s="5"/>
      <c r="H15" s="5">
        <f t="shared" si="0"/>
        <v>872</v>
      </c>
      <c r="I15" s="5">
        <f t="shared" si="1"/>
        <v>0</v>
      </c>
      <c r="J15" s="5">
        <f>Table14[[#This Row],[Enrolment S.Y. 2025-2026 ]]*8</f>
        <v>872</v>
      </c>
      <c r="K15" s="5"/>
      <c r="L15" s="1"/>
      <c r="M15" s="5"/>
      <c r="N15" s="5">
        <f t="shared" si="2"/>
        <v>872</v>
      </c>
      <c r="O15" s="5">
        <f t="shared" si="3"/>
        <v>0</v>
      </c>
      <c r="P15" s="5">
        <f>Table14[[#This Row],[Enrolment S.Y. 2025-2026 ]]*8</f>
        <v>872</v>
      </c>
      <c r="Q15" s="5"/>
      <c r="R15" s="1"/>
      <c r="S15" s="5"/>
      <c r="T15" s="5">
        <f t="shared" si="4"/>
        <v>872</v>
      </c>
      <c r="U15" s="5">
        <f t="shared" si="5"/>
        <v>0</v>
      </c>
      <c r="V15" s="5">
        <f>Table14[[#This Row],[Enrolment S.Y. 2025-2026 ]]*8</f>
        <v>872</v>
      </c>
      <c r="W15" s="5"/>
      <c r="X15" s="1"/>
      <c r="Y15" s="5"/>
      <c r="Z15" s="5">
        <f t="shared" si="6"/>
        <v>872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109</v>
      </c>
      <c r="D16" s="5">
        <f>Table14[[#This Row],[Enrolment S.Y. 2025-2026 ]]*8</f>
        <v>872</v>
      </c>
      <c r="E16" s="5"/>
      <c r="F16" s="1"/>
      <c r="G16" s="5"/>
      <c r="H16" s="5">
        <f t="shared" si="0"/>
        <v>872</v>
      </c>
      <c r="I16" s="5">
        <f t="shared" si="1"/>
        <v>0</v>
      </c>
      <c r="J16" s="5">
        <f>Table14[[#This Row],[Enrolment S.Y. 2025-2026 ]]*8</f>
        <v>872</v>
      </c>
      <c r="K16" s="5"/>
      <c r="L16" s="1"/>
      <c r="M16" s="5"/>
      <c r="N16" s="5">
        <f t="shared" si="2"/>
        <v>872</v>
      </c>
      <c r="O16" s="5">
        <f t="shared" si="3"/>
        <v>0</v>
      </c>
      <c r="P16" s="5">
        <f>Table14[[#This Row],[Enrolment S.Y. 2025-2026 ]]*8</f>
        <v>872</v>
      </c>
      <c r="Q16" s="5"/>
      <c r="R16" s="1"/>
      <c r="S16" s="5"/>
      <c r="T16" s="5">
        <f t="shared" si="4"/>
        <v>872</v>
      </c>
      <c r="U16" s="5">
        <f t="shared" si="5"/>
        <v>0</v>
      </c>
      <c r="V16" s="5">
        <f>Table14[[#This Row],[Enrolment S.Y. 2025-2026 ]]*8</f>
        <v>872</v>
      </c>
      <c r="W16" s="5"/>
      <c r="X16" s="1"/>
      <c r="Y16" s="5"/>
      <c r="Z16" s="5">
        <f t="shared" si="6"/>
        <v>872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109</v>
      </c>
      <c r="D17" s="5">
        <f>Table14[[#This Row],[Enrolment S.Y. 2025-2026 ]]*8</f>
        <v>872</v>
      </c>
      <c r="E17" s="5"/>
      <c r="F17" s="1"/>
      <c r="G17" s="5"/>
      <c r="H17" s="5">
        <f>IF((D17-E17)&lt;0,0,(D17-E17))</f>
        <v>872</v>
      </c>
      <c r="I17" s="5">
        <f>IF((E17-D17)&lt;0,0,(E17-D17))</f>
        <v>0</v>
      </c>
      <c r="J17" s="5">
        <f>Table14[[#This Row],[Enrolment S.Y. 2025-2026 ]]*8</f>
        <v>872</v>
      </c>
      <c r="K17" s="5"/>
      <c r="L17" s="1"/>
      <c r="M17" s="5"/>
      <c r="N17" s="5">
        <f t="shared" si="2"/>
        <v>872</v>
      </c>
      <c r="O17" s="5">
        <f t="shared" si="3"/>
        <v>0</v>
      </c>
      <c r="P17" s="5">
        <f>Table14[[#This Row],[Enrolment S.Y. 2025-2026 ]]*8</f>
        <v>872</v>
      </c>
      <c r="Q17" s="5"/>
      <c r="R17" s="1"/>
      <c r="S17" s="5"/>
      <c r="T17" s="5">
        <f t="shared" si="4"/>
        <v>872</v>
      </c>
      <c r="U17" s="5">
        <f t="shared" si="5"/>
        <v>0</v>
      </c>
      <c r="V17" s="5">
        <f>Table14[[#This Row],[Enrolment S.Y. 2025-2026 ]]*8</f>
        <v>872</v>
      </c>
      <c r="W17" s="5"/>
      <c r="X17" s="1"/>
      <c r="Y17" s="5"/>
      <c r="Z17" s="5">
        <f t="shared" si="6"/>
        <v>872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109</v>
      </c>
      <c r="D18" s="5">
        <f>Table14[[#This Row],[Enrolment S.Y. 2025-2026 ]]*8</f>
        <v>872</v>
      </c>
      <c r="E18" s="5"/>
      <c r="F18" s="1"/>
      <c r="G18" s="5"/>
      <c r="H18" s="5">
        <f>IF((D18-E18)&lt;0,0,(D18-E18))</f>
        <v>872</v>
      </c>
      <c r="I18" s="5">
        <f>IF((E18-D18)&lt;0,0,(E18-D18))</f>
        <v>0</v>
      </c>
      <c r="J18" s="5">
        <f>Table14[[#This Row],[Enrolment S.Y. 2025-2026 ]]*8</f>
        <v>872</v>
      </c>
      <c r="K18" s="5"/>
      <c r="L18" s="1"/>
      <c r="M18" s="5"/>
      <c r="N18" s="5">
        <f t="shared" si="2"/>
        <v>872</v>
      </c>
      <c r="O18" s="5">
        <f t="shared" si="3"/>
        <v>0</v>
      </c>
      <c r="P18" s="5">
        <f>Table14[[#This Row],[Enrolment S.Y. 2025-2026 ]]*8</f>
        <v>872</v>
      </c>
      <c r="Q18" s="5"/>
      <c r="R18" s="1"/>
      <c r="S18" s="5"/>
      <c r="T18" s="5">
        <f t="shared" si="4"/>
        <v>872</v>
      </c>
      <c r="U18" s="5">
        <f t="shared" si="5"/>
        <v>0</v>
      </c>
      <c r="V18" s="5">
        <f>Table14[[#This Row],[Enrolment S.Y. 2025-2026 ]]*8</f>
        <v>872</v>
      </c>
      <c r="W18" s="5"/>
      <c r="X18" s="1"/>
      <c r="Y18" s="5"/>
      <c r="Z18" s="5">
        <f t="shared" si="6"/>
        <v>872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109</v>
      </c>
      <c r="D19" s="5">
        <f>Table14[[#This Row],[Enrolment S.Y. 2025-2026 ]]*8</f>
        <v>872</v>
      </c>
      <c r="E19" s="5"/>
      <c r="F19" s="1"/>
      <c r="G19" s="5"/>
      <c r="H19" s="5">
        <f>IF((D19-E19)&lt;0,0,(D19-E19))</f>
        <v>872</v>
      </c>
      <c r="I19" s="5">
        <f>IF((E19-D19)&lt;0,0,(E19-D19))</f>
        <v>0</v>
      </c>
      <c r="J19" s="5">
        <f>Table14[[#This Row],[Enrolment S.Y. 2025-2026 ]]*8</f>
        <v>872</v>
      </c>
      <c r="K19" s="5"/>
      <c r="L19" s="1"/>
      <c r="M19" s="5"/>
      <c r="N19" s="5">
        <f t="shared" si="2"/>
        <v>872</v>
      </c>
      <c r="O19" s="5">
        <f t="shared" si="3"/>
        <v>0</v>
      </c>
      <c r="P19" s="5">
        <f>Table14[[#This Row],[Enrolment S.Y. 2025-2026 ]]*8</f>
        <v>872</v>
      </c>
      <c r="Q19" s="5"/>
      <c r="R19" s="1"/>
      <c r="S19" s="5"/>
      <c r="T19" s="5">
        <f t="shared" si="4"/>
        <v>872</v>
      </c>
      <c r="U19" s="5">
        <f t="shared" si="5"/>
        <v>0</v>
      </c>
      <c r="V19" s="5">
        <f>Table14[[#This Row],[Enrolment S.Y. 2025-2026 ]]*8</f>
        <v>872</v>
      </c>
      <c r="W19" s="5"/>
      <c r="X19" s="1"/>
      <c r="Y19" s="5"/>
      <c r="Z19" s="5">
        <f t="shared" si="6"/>
        <v>872</v>
      </c>
      <c r="AA19" s="5">
        <f t="shared" si="7"/>
        <v>0</v>
      </c>
    </row>
    <row r="20" spans="1:27" s="7" customFormat="1"/>
    <row r="21" spans="1:27" ht="40.5" customHeight="1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108</v>
      </c>
      <c r="D23" s="5">
        <f>Table14[[#This Row],[Enrolment S.Y. 2025-2026 ]]*8</f>
        <v>864</v>
      </c>
      <c r="E23" s="5"/>
      <c r="F23" s="1"/>
      <c r="G23" s="5"/>
      <c r="H23" s="5">
        <f t="shared" si="0"/>
        <v>864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108</v>
      </c>
      <c r="D25" s="5">
        <f>Table14[[#This Row],[Enrolment S.Y. 2025-2026 ]]*8</f>
        <v>864</v>
      </c>
      <c r="E25" s="5"/>
      <c r="F25" s="1"/>
      <c r="G25" s="5"/>
      <c r="H25" s="5">
        <f t="shared" si="0"/>
        <v>864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108</v>
      </c>
      <c r="D26" s="5">
        <f>Table14[[#This Row],[Enrolment S.Y. 2025-2026 ]]*8</f>
        <v>864</v>
      </c>
      <c r="E26" s="5"/>
      <c r="F26" s="1"/>
      <c r="G26" s="5"/>
      <c r="H26" s="5">
        <f t="shared" si="0"/>
        <v>864</v>
      </c>
      <c r="I26" s="5">
        <f t="shared" si="1"/>
        <v>0</v>
      </c>
      <c r="J26" s="5">
        <f>Table14[[#This Row],[Enrolment S.Y. 2025-2026 ]]*8</f>
        <v>864</v>
      </c>
      <c r="K26" s="5"/>
      <c r="L26" s="1"/>
      <c r="M26" s="5"/>
      <c r="N26" s="5">
        <f t="shared" si="2"/>
        <v>864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/>
      <c r="X26" s="1"/>
      <c r="Y26" s="5"/>
      <c r="Z26" s="5">
        <f t="shared" si="6"/>
        <v>864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108</v>
      </c>
      <c r="D27" s="5">
        <f>Table14[[#This Row],[Enrolment S.Y. 2025-2026 ]]*8</f>
        <v>864</v>
      </c>
      <c r="E27" s="5"/>
      <c r="F27" s="1"/>
      <c r="G27" s="5"/>
      <c r="H27" s="5">
        <f>IF((D27-E27)&lt;0,0,(D27-E27))</f>
        <v>864</v>
      </c>
      <c r="I27" s="5">
        <f>IF((E27-D27)&lt;0,0,(E27-D27))</f>
        <v>0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/>
      <c r="X27" s="1"/>
      <c r="Y27" s="5"/>
      <c r="Z27" s="5">
        <f t="shared" si="6"/>
        <v>864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108</v>
      </c>
      <c r="D28" s="5">
        <f>Table14[[#This Row],[Enrolment S.Y. 2025-2026 ]]*8</f>
        <v>864</v>
      </c>
      <c r="E28" s="5"/>
      <c r="F28" s="1"/>
      <c r="G28" s="5"/>
      <c r="H28" s="5">
        <f>IF((D28-E28)&lt;0,0,(D28-E28))</f>
        <v>864</v>
      </c>
      <c r="I28" s="5">
        <f>IF((E28-D28)&lt;0,0,(E28-D28))</f>
        <v>0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/>
      <c r="X28" s="1"/>
      <c r="Y28" s="5"/>
      <c r="Z28" s="5">
        <f t="shared" si="6"/>
        <v>864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128</v>
      </c>
      <c r="D31" s="5">
        <f>Table14[[#This Row],[Enrolment S.Y. 2025-2026 ]]*8</f>
        <v>1024</v>
      </c>
      <c r="E31" s="5"/>
      <c r="F31" s="1"/>
      <c r="G31" s="5"/>
      <c r="H31" s="5">
        <f t="shared" si="0"/>
        <v>1024</v>
      </c>
      <c r="I31" s="5">
        <f t="shared" si="1"/>
        <v>0</v>
      </c>
      <c r="J31" s="5">
        <f>Table14[[#This Row],[Enrolment S.Y. 2025-2026 ]]*8</f>
        <v>1024</v>
      </c>
      <c r="K31" s="5"/>
      <c r="L31" s="1"/>
      <c r="M31" s="5"/>
      <c r="N31" s="5">
        <f t="shared" si="2"/>
        <v>1024</v>
      </c>
      <c r="O31" s="5">
        <f t="shared" si="3"/>
        <v>0</v>
      </c>
      <c r="P31" s="5">
        <f>Table14[[#This Row],[Enrolment S.Y. 2025-2026 ]]*8</f>
        <v>1024</v>
      </c>
      <c r="Q31" s="5"/>
      <c r="R31" s="1"/>
      <c r="S31" s="5"/>
      <c r="T31" s="5">
        <f t="shared" si="4"/>
        <v>1024</v>
      </c>
      <c r="U31" s="5">
        <f t="shared" si="5"/>
        <v>0</v>
      </c>
      <c r="V31" s="5">
        <f>Table14[[#This Row],[Enrolment S.Y. 2025-2026 ]]*8</f>
        <v>1024</v>
      </c>
      <c r="W31" s="5"/>
      <c r="X31" s="1"/>
      <c r="Y31" s="5"/>
      <c r="Z31" s="5">
        <f t="shared" si="6"/>
        <v>1024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128</v>
      </c>
      <c r="D32" s="5">
        <f>Table14[[#This Row],[Enrolment S.Y. 2025-2026 ]]*8</f>
        <v>1024</v>
      </c>
      <c r="E32" s="5"/>
      <c r="F32" s="1"/>
      <c r="G32" s="5"/>
      <c r="H32" s="5">
        <f t="shared" si="0"/>
        <v>1024</v>
      </c>
      <c r="I32" s="5">
        <f t="shared" si="1"/>
        <v>0</v>
      </c>
      <c r="J32" s="5">
        <f>Table14[[#This Row],[Enrolment S.Y. 2025-2026 ]]*8</f>
        <v>1024</v>
      </c>
      <c r="K32" s="5"/>
      <c r="L32" s="1"/>
      <c r="M32" s="5"/>
      <c r="N32" s="5">
        <f t="shared" si="2"/>
        <v>1024</v>
      </c>
      <c r="O32" s="5">
        <f t="shared" si="3"/>
        <v>0</v>
      </c>
      <c r="P32" s="5">
        <f>Table14[[#This Row],[Enrolment S.Y. 2025-2026 ]]*8</f>
        <v>1024</v>
      </c>
      <c r="Q32" s="5"/>
      <c r="R32" s="1"/>
      <c r="S32" s="5"/>
      <c r="T32" s="5">
        <f t="shared" si="4"/>
        <v>1024</v>
      </c>
      <c r="U32" s="5">
        <f t="shared" si="5"/>
        <v>0</v>
      </c>
      <c r="V32" s="5">
        <f>Table14[[#This Row],[Enrolment S.Y. 2025-2026 ]]*8</f>
        <v>1024</v>
      </c>
      <c r="W32" s="5"/>
      <c r="X32" s="1"/>
      <c r="Y32" s="5"/>
      <c r="Z32" s="5">
        <f t="shared" si="6"/>
        <v>1024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128</v>
      </c>
      <c r="D33" s="5">
        <f>Table14[[#This Row],[Enrolment S.Y. 2025-2026 ]]*8</f>
        <v>1024</v>
      </c>
      <c r="E33" s="5"/>
      <c r="F33" s="1"/>
      <c r="G33" s="5"/>
      <c r="H33" s="5">
        <f t="shared" si="0"/>
        <v>1024</v>
      </c>
      <c r="I33" s="5">
        <f t="shared" si="1"/>
        <v>0</v>
      </c>
      <c r="J33" s="5">
        <f>Table14[[#This Row],[Enrolment S.Y. 2025-2026 ]]*8</f>
        <v>1024</v>
      </c>
      <c r="K33" s="5"/>
      <c r="L33" s="1"/>
      <c r="M33" s="5"/>
      <c r="N33" s="5">
        <f t="shared" si="2"/>
        <v>1024</v>
      </c>
      <c r="O33" s="5">
        <f t="shared" si="3"/>
        <v>0</v>
      </c>
      <c r="P33" s="5">
        <f>Table14[[#This Row],[Enrolment S.Y. 2025-2026 ]]*8</f>
        <v>1024</v>
      </c>
      <c r="Q33" s="5"/>
      <c r="R33" s="1"/>
      <c r="S33" s="5"/>
      <c r="T33" s="5">
        <f t="shared" si="4"/>
        <v>1024</v>
      </c>
      <c r="U33" s="5">
        <f t="shared" si="5"/>
        <v>0</v>
      </c>
      <c r="V33" s="5">
        <f>Table14[[#This Row],[Enrolment S.Y. 2025-2026 ]]*8</f>
        <v>1024</v>
      </c>
      <c r="W33" s="5"/>
      <c r="X33" s="1"/>
      <c r="Y33" s="5"/>
      <c r="Z33" s="5">
        <f t="shared" si="6"/>
        <v>1024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128</v>
      </c>
      <c r="D34" s="5">
        <f>Table14[[#This Row],[Enrolment S.Y. 2025-2026 ]]*8</f>
        <v>1024</v>
      </c>
      <c r="E34" s="5"/>
      <c r="F34" s="1"/>
      <c r="G34" s="5"/>
      <c r="H34" s="5">
        <f t="shared" si="0"/>
        <v>1024</v>
      </c>
      <c r="I34" s="5">
        <f t="shared" si="1"/>
        <v>0</v>
      </c>
      <c r="J34" s="5">
        <f>Table14[[#This Row],[Enrolment S.Y. 2025-2026 ]]*8</f>
        <v>1024</v>
      </c>
      <c r="K34" s="5"/>
      <c r="L34" s="1"/>
      <c r="M34" s="5"/>
      <c r="N34" s="5">
        <f t="shared" si="2"/>
        <v>1024</v>
      </c>
      <c r="O34" s="5">
        <f t="shared" si="3"/>
        <v>0</v>
      </c>
      <c r="P34" s="5">
        <f>Table14[[#This Row],[Enrolment S.Y. 2025-2026 ]]*8</f>
        <v>1024</v>
      </c>
      <c r="Q34" s="5"/>
      <c r="R34" s="1"/>
      <c r="S34" s="5"/>
      <c r="T34" s="5">
        <f t="shared" si="4"/>
        <v>1024</v>
      </c>
      <c r="U34" s="5">
        <f t="shared" si="5"/>
        <v>0</v>
      </c>
      <c r="V34" s="5">
        <f>Table14[[#This Row],[Enrolment S.Y. 2025-2026 ]]*8</f>
        <v>1024</v>
      </c>
      <c r="W34" s="5"/>
      <c r="X34" s="1"/>
      <c r="Y34" s="5"/>
      <c r="Z34" s="5">
        <f t="shared" si="6"/>
        <v>1024</v>
      </c>
      <c r="AA34" s="5">
        <f t="shared" si="7"/>
        <v>0</v>
      </c>
    </row>
    <row r="35" spans="1:27" ht="37.5" customHeight="1">
      <c r="A35" s="1">
        <v>4</v>
      </c>
      <c r="B35" s="9" t="s">
        <v>16</v>
      </c>
      <c r="C35" s="1">
        <v>128</v>
      </c>
      <c r="D35" s="5">
        <f>Table14[[#This Row],[Enrolment S.Y. 2025-2026 ]]*8</f>
        <v>1024</v>
      </c>
      <c r="E35" s="5"/>
      <c r="F35" s="1"/>
      <c r="G35" s="5"/>
      <c r="H35" s="5">
        <f t="shared" si="0"/>
        <v>1024</v>
      </c>
      <c r="I35" s="5">
        <f t="shared" si="1"/>
        <v>0</v>
      </c>
      <c r="J35" s="5">
        <f>Table14[[#This Row],[Enrolment S.Y. 2025-2026 ]]*8</f>
        <v>1024</v>
      </c>
      <c r="K35" s="5"/>
      <c r="L35" s="1"/>
      <c r="M35" s="5"/>
      <c r="N35" s="5">
        <f t="shared" si="2"/>
        <v>1024</v>
      </c>
      <c r="O35" s="5">
        <f t="shared" si="3"/>
        <v>0</v>
      </c>
      <c r="P35" s="5">
        <f>Table14[[#This Row],[Enrolment S.Y. 2025-2026 ]]*8</f>
        <v>1024</v>
      </c>
      <c r="Q35" s="5"/>
      <c r="R35" s="1"/>
      <c r="S35" s="5"/>
      <c r="T35" s="5">
        <f t="shared" si="4"/>
        <v>1024</v>
      </c>
      <c r="U35" s="5">
        <f t="shared" si="5"/>
        <v>0</v>
      </c>
      <c r="V35" s="5">
        <f>Table14[[#This Row],[Enrolment S.Y. 2025-2026 ]]*8</f>
        <v>1024</v>
      </c>
      <c r="W35" s="5"/>
      <c r="X35" s="1"/>
      <c r="Y35" s="5"/>
      <c r="Z35" s="5">
        <f t="shared" si="6"/>
        <v>1024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128</v>
      </c>
      <c r="D36" s="5">
        <f>Table14[[#This Row],[Enrolment S.Y. 2025-2026 ]]*8</f>
        <v>1024</v>
      </c>
      <c r="E36" s="5"/>
      <c r="F36" s="1"/>
      <c r="G36" s="5"/>
      <c r="H36" s="5">
        <f t="shared" si="0"/>
        <v>1024</v>
      </c>
      <c r="I36" s="5">
        <f t="shared" si="1"/>
        <v>0</v>
      </c>
      <c r="J36" s="5">
        <f>Table14[[#This Row],[Enrolment S.Y. 2025-2026 ]]*8</f>
        <v>1024</v>
      </c>
      <c r="K36" s="5"/>
      <c r="L36" s="1"/>
      <c r="M36" s="5"/>
      <c r="N36" s="5">
        <f t="shared" ref="N36:N41" si="8">IF((J36-K36)&lt;0,0,(J36-K36))</f>
        <v>1024</v>
      </c>
      <c r="O36" s="5">
        <f t="shared" ref="O36:O41" si="9">IF((K36-J36)&lt;0,0,(K36-J36))</f>
        <v>0</v>
      </c>
      <c r="P36" s="5">
        <f>Table14[[#This Row],[Enrolment S.Y. 2025-2026 ]]*8</f>
        <v>1024</v>
      </c>
      <c r="Q36" s="5"/>
      <c r="R36" s="1"/>
      <c r="S36" s="5"/>
      <c r="T36" s="5">
        <f t="shared" si="4"/>
        <v>1024</v>
      </c>
      <c r="U36" s="5">
        <f t="shared" si="5"/>
        <v>0</v>
      </c>
      <c r="V36" s="5">
        <f>Table14[[#This Row],[Enrolment S.Y. 2025-2026 ]]*8</f>
        <v>1024</v>
      </c>
      <c r="W36" s="5"/>
      <c r="X36" s="1"/>
      <c r="Y36" s="5"/>
      <c r="Z36" s="5">
        <f t="shared" si="6"/>
        <v>1024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128</v>
      </c>
      <c r="D37" s="5">
        <f>Table14[[#This Row],[Enrolment S.Y. 2025-2026 ]]*8</f>
        <v>1024</v>
      </c>
      <c r="E37" s="5"/>
      <c r="F37" s="1"/>
      <c r="G37" s="5"/>
      <c r="H37" s="5">
        <f>IF((D37-E37)&lt;0,0,(D37-E37))</f>
        <v>1024</v>
      </c>
      <c r="I37" s="5">
        <f>IF((E37-D37)&lt;0,0,(E37-D37))</f>
        <v>0</v>
      </c>
      <c r="J37" s="5">
        <f>Table14[[#This Row],[Enrolment S.Y. 2025-2026 ]]*8</f>
        <v>1024</v>
      </c>
      <c r="K37" s="5"/>
      <c r="L37" s="1"/>
      <c r="M37" s="5"/>
      <c r="N37" s="5">
        <f t="shared" si="8"/>
        <v>1024</v>
      </c>
      <c r="O37" s="5">
        <f t="shared" si="9"/>
        <v>0</v>
      </c>
      <c r="P37" s="5">
        <f>Table14[[#This Row],[Enrolment S.Y. 2025-2026 ]]*8</f>
        <v>1024</v>
      </c>
      <c r="Q37" s="5"/>
      <c r="R37" s="1"/>
      <c r="S37" s="5"/>
      <c r="T37" s="5">
        <f>IF((P37-Q37)&lt;0,0,(P37-Q37))</f>
        <v>1024</v>
      </c>
      <c r="U37" s="5">
        <f>IF((Q37-P37)&lt;0,0,(Q37-P37))</f>
        <v>0</v>
      </c>
      <c r="V37" s="5">
        <f>Table14[[#This Row],[Enrolment S.Y. 2025-2026 ]]*8</f>
        <v>1024</v>
      </c>
      <c r="W37" s="5"/>
      <c r="X37" s="1"/>
      <c r="Y37" s="5"/>
      <c r="Z37" s="5">
        <f>IF((V37-W37)&lt;0,0,(V37-W37))</f>
        <v>1024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128</v>
      </c>
      <c r="D38" s="5">
        <f>Table14[[#This Row],[Enrolment S.Y. 2025-2026 ]]*8</f>
        <v>1024</v>
      </c>
      <c r="E38" s="5"/>
      <c r="F38" s="1"/>
      <c r="G38" s="5"/>
      <c r="H38" s="5">
        <f t="shared" si="0"/>
        <v>1024</v>
      </c>
      <c r="I38" s="5">
        <f t="shared" si="1"/>
        <v>0</v>
      </c>
      <c r="J38" s="5">
        <f>Table14[[#This Row],[Enrolment S.Y. 2025-2026 ]]*8</f>
        <v>1024</v>
      </c>
      <c r="K38" s="5"/>
      <c r="L38" s="1"/>
      <c r="M38" s="5"/>
      <c r="N38" s="5">
        <f t="shared" si="8"/>
        <v>1024</v>
      </c>
      <c r="O38" s="5">
        <f t="shared" si="9"/>
        <v>0</v>
      </c>
      <c r="P38" s="5">
        <f>Table14[[#This Row],[Enrolment S.Y. 2025-2026 ]]*8</f>
        <v>1024</v>
      </c>
      <c r="Q38" s="5"/>
      <c r="R38" s="1"/>
      <c r="S38" s="5"/>
      <c r="T38" s="5">
        <f t="shared" si="4"/>
        <v>1024</v>
      </c>
      <c r="U38" s="5">
        <f t="shared" si="5"/>
        <v>0</v>
      </c>
      <c r="V38" s="5">
        <f>Table14[[#This Row],[Enrolment S.Y. 2025-2026 ]]*8</f>
        <v>1024</v>
      </c>
      <c r="W38" s="5"/>
      <c r="X38" s="1"/>
      <c r="Y38" s="5"/>
      <c r="Z38" s="5">
        <f t="shared" si="6"/>
        <v>1024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128</v>
      </c>
      <c r="D39" s="5">
        <f>Table14[[#This Row],[Enrolment S.Y. 2025-2026 ]]*8</f>
        <v>1024</v>
      </c>
      <c r="E39" s="5"/>
      <c r="F39" s="1"/>
      <c r="G39" s="5"/>
      <c r="H39" s="5">
        <f t="shared" si="0"/>
        <v>1024</v>
      </c>
      <c r="I39" s="5">
        <f t="shared" si="1"/>
        <v>0</v>
      </c>
      <c r="J39" s="5">
        <f>Table14[[#This Row],[Enrolment S.Y. 2025-2026 ]]*8</f>
        <v>1024</v>
      </c>
      <c r="K39" s="5"/>
      <c r="L39" s="1"/>
      <c r="M39" s="5"/>
      <c r="N39" s="5">
        <f t="shared" si="8"/>
        <v>1024</v>
      </c>
      <c r="O39" s="5">
        <f t="shared" si="9"/>
        <v>0</v>
      </c>
      <c r="P39" s="5">
        <f>Table14[[#This Row],[Enrolment S.Y. 2025-2026 ]]*8</f>
        <v>1024</v>
      </c>
      <c r="Q39" s="5"/>
      <c r="R39" s="1"/>
      <c r="S39" s="5"/>
      <c r="T39" s="5">
        <f t="shared" si="4"/>
        <v>1024</v>
      </c>
      <c r="U39" s="5">
        <f t="shared" si="5"/>
        <v>0</v>
      </c>
      <c r="V39" s="5">
        <f>Table14[[#This Row],[Enrolment S.Y. 2025-2026 ]]*8</f>
        <v>1024</v>
      </c>
      <c r="W39" s="5"/>
      <c r="X39" s="1"/>
      <c r="Y39" s="5"/>
      <c r="Z39" s="5">
        <f t="shared" si="6"/>
        <v>1024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128</v>
      </c>
      <c r="D40" s="5">
        <f>Table14[[#This Row],[Enrolment S.Y. 2025-2026 ]]*8</f>
        <v>1024</v>
      </c>
      <c r="E40" s="5"/>
      <c r="F40" s="1"/>
      <c r="G40" s="5"/>
      <c r="H40" s="5">
        <f>IF((D40-E40)&lt;0,0,(D40-E40))</f>
        <v>1024</v>
      </c>
      <c r="I40" s="5">
        <f>IF((E40-D40)&lt;0,0,(E40-D40))</f>
        <v>0</v>
      </c>
      <c r="J40" s="5">
        <f>Table14[[#This Row],[Enrolment S.Y. 2025-2026 ]]*8</f>
        <v>1024</v>
      </c>
      <c r="K40" s="5"/>
      <c r="L40" s="1"/>
      <c r="M40" s="5"/>
      <c r="N40" s="5">
        <f t="shared" si="8"/>
        <v>1024</v>
      </c>
      <c r="O40" s="5">
        <f t="shared" si="9"/>
        <v>0</v>
      </c>
      <c r="P40" s="5">
        <f>Table14[[#This Row],[Enrolment S.Y. 2025-2026 ]]*8</f>
        <v>1024</v>
      </c>
      <c r="Q40" s="5"/>
      <c r="R40" s="1"/>
      <c r="S40" s="5"/>
      <c r="T40" s="5">
        <f>IF((P40-Q40)&lt;0,0,(P40-Q40))</f>
        <v>1024</v>
      </c>
      <c r="U40" s="5">
        <f>IF((Q40-P40)&lt;0,0,(Q40-P40))</f>
        <v>0</v>
      </c>
      <c r="V40" s="5">
        <f>Table14[[#This Row],[Enrolment S.Y. 2025-2026 ]]*8</f>
        <v>1024</v>
      </c>
      <c r="W40" s="5"/>
      <c r="X40" s="1"/>
      <c r="Y40" s="5"/>
      <c r="Z40" s="5">
        <f>IF((V40-W40)&lt;0,0,(V40-W40))</f>
        <v>1024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128</v>
      </c>
      <c r="D41" s="5">
        <f>Table14[[#This Row],[Enrolment S.Y. 2025-2026 ]]*8</f>
        <v>1024</v>
      </c>
      <c r="E41" s="5"/>
      <c r="F41" s="1"/>
      <c r="G41" s="5"/>
      <c r="H41" s="5">
        <f t="shared" si="0"/>
        <v>1024</v>
      </c>
      <c r="I41" s="5">
        <f t="shared" si="1"/>
        <v>0</v>
      </c>
      <c r="J41" s="5">
        <f>Table14[[#This Row],[Enrolment S.Y. 2025-2026 ]]*8</f>
        <v>1024</v>
      </c>
      <c r="K41" s="5"/>
      <c r="L41" s="1"/>
      <c r="M41" s="5"/>
      <c r="N41" s="5">
        <f t="shared" si="8"/>
        <v>1024</v>
      </c>
      <c r="O41" s="5">
        <f t="shared" si="9"/>
        <v>0</v>
      </c>
      <c r="P41" s="5">
        <f>Table14[[#This Row],[Enrolment S.Y. 2025-2026 ]]*8</f>
        <v>1024</v>
      </c>
      <c r="Q41" s="5"/>
      <c r="R41" s="1"/>
      <c r="S41" s="5"/>
      <c r="T41" s="5">
        <f t="shared" si="4"/>
        <v>1024</v>
      </c>
      <c r="U41" s="5">
        <f t="shared" si="5"/>
        <v>0</v>
      </c>
      <c r="V41" s="5">
        <f>Table14[[#This Row],[Enrolment S.Y. 2025-2026 ]]*8</f>
        <v>1024</v>
      </c>
      <c r="W41" s="5"/>
      <c r="X41" s="1"/>
      <c r="Y41" s="5"/>
      <c r="Z41" s="5">
        <f t="shared" si="6"/>
        <v>1024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119</v>
      </c>
      <c r="D43" s="5">
        <f>Table14[[#This Row],[Enrolment S.Y. 2025-2026 ]]*8</f>
        <v>952</v>
      </c>
      <c r="E43" s="5"/>
      <c r="F43" s="1"/>
      <c r="G43" s="5"/>
      <c r="H43" s="5">
        <f t="shared" si="0"/>
        <v>952</v>
      </c>
      <c r="I43" s="5">
        <f t="shared" si="1"/>
        <v>0</v>
      </c>
      <c r="J43" s="5">
        <f>Table14[[#This Row],[Enrolment S.Y. 2025-2026 ]]*8</f>
        <v>952</v>
      </c>
      <c r="K43" s="5"/>
      <c r="L43" s="1"/>
      <c r="M43" s="5"/>
      <c r="N43" s="5">
        <f t="shared" si="2"/>
        <v>952</v>
      </c>
      <c r="O43" s="5">
        <f t="shared" si="3"/>
        <v>0</v>
      </c>
      <c r="P43" s="5">
        <f>Table14[[#This Row],[Enrolment S.Y. 2025-2026 ]]*8</f>
        <v>952</v>
      </c>
      <c r="Q43" s="5"/>
      <c r="R43" s="1"/>
      <c r="S43" s="5"/>
      <c r="T43" s="5">
        <f t="shared" si="4"/>
        <v>952</v>
      </c>
      <c r="U43" s="5">
        <f t="shared" si="5"/>
        <v>0</v>
      </c>
      <c r="V43" s="5">
        <f>Table14[[#This Row],[Enrolment S.Y. 2025-2026 ]]*8</f>
        <v>952</v>
      </c>
      <c r="W43" s="5"/>
      <c r="X43" s="1"/>
      <c r="Y43" s="5"/>
      <c r="Z43" s="5">
        <f t="shared" si="6"/>
        <v>952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119</v>
      </c>
      <c r="D44" s="5">
        <f>Table14[[#This Row],[Enrolment S.Y. 2025-2026 ]]*8</f>
        <v>952</v>
      </c>
      <c r="E44" s="5"/>
      <c r="F44" s="1"/>
      <c r="G44" s="5"/>
      <c r="H44" s="5">
        <f t="shared" si="0"/>
        <v>952</v>
      </c>
      <c r="I44" s="5">
        <f t="shared" si="1"/>
        <v>0</v>
      </c>
      <c r="J44" s="5">
        <f>Table14[[#This Row],[Enrolment S.Y. 2025-2026 ]]*8</f>
        <v>952</v>
      </c>
      <c r="K44" s="5"/>
      <c r="L44" s="1"/>
      <c r="M44" s="5"/>
      <c r="N44" s="5">
        <f t="shared" si="2"/>
        <v>952</v>
      </c>
      <c r="O44" s="5">
        <f t="shared" si="3"/>
        <v>0</v>
      </c>
      <c r="P44" s="5">
        <f>Table14[[#This Row],[Enrolment S.Y. 2025-2026 ]]*8</f>
        <v>952</v>
      </c>
      <c r="Q44" s="5"/>
      <c r="R44" s="1"/>
      <c r="S44" s="5"/>
      <c r="T44" s="5">
        <f t="shared" si="4"/>
        <v>952</v>
      </c>
      <c r="U44" s="5">
        <f t="shared" si="5"/>
        <v>0</v>
      </c>
      <c r="V44" s="5">
        <f>Table14[[#This Row],[Enrolment S.Y. 2025-2026 ]]*8</f>
        <v>952</v>
      </c>
      <c r="W44" s="5"/>
      <c r="X44" s="1"/>
      <c r="Y44" s="5"/>
      <c r="Z44" s="5">
        <f t="shared" si="6"/>
        <v>952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119</v>
      </c>
      <c r="D45" s="5">
        <f>Table14[[#This Row],[Enrolment S.Y. 2025-2026 ]]*8</f>
        <v>952</v>
      </c>
      <c r="E45" s="5"/>
      <c r="F45" s="1"/>
      <c r="G45" s="5"/>
      <c r="H45" s="5">
        <f t="shared" si="0"/>
        <v>952</v>
      </c>
      <c r="I45" s="5">
        <f t="shared" si="1"/>
        <v>0</v>
      </c>
      <c r="J45" s="5">
        <f>Table14[[#This Row],[Enrolment S.Y. 2025-2026 ]]*8</f>
        <v>952</v>
      </c>
      <c r="K45" s="5"/>
      <c r="L45" s="1"/>
      <c r="M45" s="5"/>
      <c r="N45" s="5">
        <f t="shared" si="2"/>
        <v>952</v>
      </c>
      <c r="O45" s="5">
        <f t="shared" si="3"/>
        <v>0</v>
      </c>
      <c r="P45" s="5">
        <f>Table14[[#This Row],[Enrolment S.Y. 2025-2026 ]]*8</f>
        <v>952</v>
      </c>
      <c r="Q45" s="5"/>
      <c r="R45" s="1"/>
      <c r="S45" s="5"/>
      <c r="T45" s="5">
        <f t="shared" si="4"/>
        <v>952</v>
      </c>
      <c r="U45" s="5">
        <f t="shared" si="5"/>
        <v>0</v>
      </c>
      <c r="V45" s="5">
        <f>Table14[[#This Row],[Enrolment S.Y. 2025-2026 ]]*8</f>
        <v>952</v>
      </c>
      <c r="W45" s="5"/>
      <c r="X45" s="1"/>
      <c r="Y45" s="5"/>
      <c r="Z45" s="5">
        <f t="shared" si="6"/>
        <v>952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119</v>
      </c>
      <c r="D46" s="5">
        <f>Table14[[#This Row],[Enrolment S.Y. 2025-2026 ]]*8</f>
        <v>952</v>
      </c>
      <c r="E46" s="5"/>
      <c r="F46" s="1"/>
      <c r="G46" s="5"/>
      <c r="H46" s="5">
        <f t="shared" si="0"/>
        <v>952</v>
      </c>
      <c r="I46" s="5">
        <f t="shared" si="1"/>
        <v>0</v>
      </c>
      <c r="J46" s="5">
        <f>Table14[[#This Row],[Enrolment S.Y. 2025-2026 ]]*8</f>
        <v>952</v>
      </c>
      <c r="K46" s="5"/>
      <c r="L46" s="1"/>
      <c r="M46" s="5"/>
      <c r="N46" s="5">
        <f t="shared" si="2"/>
        <v>952</v>
      </c>
      <c r="O46" s="5">
        <f t="shared" si="3"/>
        <v>0</v>
      </c>
      <c r="P46" s="5">
        <f>Table14[[#This Row],[Enrolment S.Y. 2025-2026 ]]*8</f>
        <v>952</v>
      </c>
      <c r="Q46" s="5"/>
      <c r="R46" s="1"/>
      <c r="S46" s="5"/>
      <c r="T46" s="5">
        <f t="shared" si="4"/>
        <v>952</v>
      </c>
      <c r="U46" s="5">
        <f t="shared" si="5"/>
        <v>0</v>
      </c>
      <c r="V46" s="5">
        <f>Table14[[#This Row],[Enrolment S.Y. 2025-2026 ]]*8</f>
        <v>952</v>
      </c>
      <c r="W46" s="5"/>
      <c r="X46" s="1"/>
      <c r="Y46" s="5"/>
      <c r="Z46" s="5">
        <f t="shared" si="6"/>
        <v>952</v>
      </c>
      <c r="AA46" s="5">
        <f t="shared" si="7"/>
        <v>0</v>
      </c>
    </row>
    <row r="47" spans="1:27" ht="34.5" customHeight="1">
      <c r="A47" s="1">
        <v>5</v>
      </c>
      <c r="B47" s="9" t="s">
        <v>16</v>
      </c>
      <c r="C47" s="1">
        <v>119</v>
      </c>
      <c r="D47" s="5">
        <f>Table14[[#This Row],[Enrolment S.Y. 2025-2026 ]]*8</f>
        <v>952</v>
      </c>
      <c r="E47" s="5"/>
      <c r="F47" s="1"/>
      <c r="G47" s="5"/>
      <c r="H47" s="5">
        <f t="shared" si="0"/>
        <v>952</v>
      </c>
      <c r="I47" s="5">
        <f t="shared" si="1"/>
        <v>0</v>
      </c>
      <c r="J47" s="5">
        <f>Table14[[#This Row],[Enrolment S.Y. 2025-2026 ]]*8</f>
        <v>952</v>
      </c>
      <c r="K47" s="5"/>
      <c r="L47" s="1"/>
      <c r="M47" s="5"/>
      <c r="N47" s="5">
        <f t="shared" si="2"/>
        <v>952</v>
      </c>
      <c r="O47" s="5">
        <f t="shared" si="3"/>
        <v>0</v>
      </c>
      <c r="P47" s="5">
        <f>Table14[[#This Row],[Enrolment S.Y. 2025-2026 ]]*8</f>
        <v>952</v>
      </c>
      <c r="Q47" s="5"/>
      <c r="R47" s="1"/>
      <c r="S47" s="5"/>
      <c r="T47" s="5">
        <f t="shared" si="4"/>
        <v>952</v>
      </c>
      <c r="U47" s="5">
        <f t="shared" si="5"/>
        <v>0</v>
      </c>
      <c r="V47" s="5">
        <f>Table14[[#This Row],[Enrolment S.Y. 2025-2026 ]]*8</f>
        <v>952</v>
      </c>
      <c r="W47" s="5"/>
      <c r="X47" s="1"/>
      <c r="Y47" s="5"/>
      <c r="Z47" s="5">
        <f t="shared" si="6"/>
        <v>952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119</v>
      </c>
      <c r="D48" s="5">
        <f>Table14[[#This Row],[Enrolment S.Y. 2025-2026 ]]*8</f>
        <v>952</v>
      </c>
      <c r="E48" s="5"/>
      <c r="F48" s="1"/>
      <c r="G48" s="5"/>
      <c r="H48" s="5">
        <f t="shared" si="0"/>
        <v>952</v>
      </c>
      <c r="I48" s="5">
        <f t="shared" si="1"/>
        <v>0</v>
      </c>
      <c r="J48" s="5">
        <f>Table14[[#This Row],[Enrolment S.Y. 2025-2026 ]]*8</f>
        <v>952</v>
      </c>
      <c r="K48" s="5"/>
      <c r="L48" s="1"/>
      <c r="M48" s="5"/>
      <c r="N48" s="5">
        <f t="shared" ref="N48:N53" si="10">IF((J48-K48)&lt;0,0,(J48-K48))</f>
        <v>952</v>
      </c>
      <c r="O48" s="5">
        <f t="shared" ref="O48:O53" si="11">IF((K48-J48)&lt;0,0,(K48-J48))</f>
        <v>0</v>
      </c>
      <c r="P48" s="5">
        <f>Table14[[#This Row],[Enrolment S.Y. 2025-2026 ]]*8</f>
        <v>952</v>
      </c>
      <c r="Q48" s="5"/>
      <c r="R48" s="1"/>
      <c r="S48" s="5"/>
      <c r="T48" s="5">
        <f t="shared" si="4"/>
        <v>952</v>
      </c>
      <c r="U48" s="5">
        <f t="shared" si="5"/>
        <v>0</v>
      </c>
      <c r="V48" s="5">
        <f>Table14[[#This Row],[Enrolment S.Y. 2025-2026 ]]*8</f>
        <v>952</v>
      </c>
      <c r="W48" s="5"/>
      <c r="X48" s="1"/>
      <c r="Y48" s="5"/>
      <c r="Z48" s="5">
        <f t="shared" si="6"/>
        <v>952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119</v>
      </c>
      <c r="D49" s="5">
        <f>Table14[[#This Row],[Enrolment S.Y. 2025-2026 ]]*8</f>
        <v>952</v>
      </c>
      <c r="E49" s="5"/>
      <c r="F49" s="1"/>
      <c r="G49" s="5"/>
      <c r="H49" s="5">
        <f>IF((D49-E49)&lt;0,0,(D49-E49))</f>
        <v>952</v>
      </c>
      <c r="I49" s="5">
        <f>IF((E49-D49)&lt;0,0,(E49-D49))</f>
        <v>0</v>
      </c>
      <c r="J49" s="5">
        <f>Table14[[#This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Table14[[#This Row],[Enrolment S.Y. 2025-2026 ]]*8</f>
        <v>952</v>
      </c>
      <c r="Q49" s="5"/>
      <c r="R49" s="1"/>
      <c r="S49" s="5"/>
      <c r="T49" s="5">
        <f>IF((P49-Q49)&lt;0,0,(P49-Q49))</f>
        <v>952</v>
      </c>
      <c r="U49" s="5">
        <f>IF((Q49-P49)&lt;0,0,(Q49-P49))</f>
        <v>0</v>
      </c>
      <c r="V49" s="5">
        <f>Table14[[#This Row],[Enrolment S.Y. 2025-2026 ]]*8</f>
        <v>952</v>
      </c>
      <c r="W49" s="5"/>
      <c r="X49" s="1"/>
      <c r="Y49" s="5"/>
      <c r="Z49" s="5">
        <f>IF((V49-W49)&lt;0,0,(V49-W49))</f>
        <v>952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119</v>
      </c>
      <c r="D50" s="5">
        <f>Table14[[#This Row],[Enrolment S.Y. 2025-2026 ]]*8</f>
        <v>952</v>
      </c>
      <c r="E50" s="5"/>
      <c r="F50" s="1"/>
      <c r="G50" s="5"/>
      <c r="H50" s="5">
        <f t="shared" si="0"/>
        <v>952</v>
      </c>
      <c r="I50" s="5">
        <f t="shared" si="1"/>
        <v>0</v>
      </c>
      <c r="J50" s="5">
        <f>Table14[[#This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Table14[[#This Row],[Enrolment S.Y. 2025-2026 ]]*8</f>
        <v>952</v>
      </c>
      <c r="Q50" s="5"/>
      <c r="R50" s="1"/>
      <c r="S50" s="5"/>
      <c r="T50" s="5">
        <f t="shared" si="4"/>
        <v>952</v>
      </c>
      <c r="U50" s="5">
        <f t="shared" si="5"/>
        <v>0</v>
      </c>
      <c r="V50" s="5">
        <f>Table14[[#This Row],[Enrolment S.Y. 2025-2026 ]]*8</f>
        <v>952</v>
      </c>
      <c r="W50" s="5"/>
      <c r="X50" s="1"/>
      <c r="Y50" s="5"/>
      <c r="Z50" s="5">
        <f t="shared" si="6"/>
        <v>952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119</v>
      </c>
      <c r="D51" s="5">
        <f>Table14[[#This Row],[Enrolment S.Y. 2025-2026 ]]*8</f>
        <v>952</v>
      </c>
      <c r="E51" s="5"/>
      <c r="F51" s="1"/>
      <c r="G51" s="5"/>
      <c r="H51" s="5">
        <f t="shared" si="0"/>
        <v>952</v>
      </c>
      <c r="I51" s="5">
        <f t="shared" si="1"/>
        <v>0</v>
      </c>
      <c r="J51" s="5">
        <f>Table14[[#This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Table14[[#This Row],[Enrolment S.Y. 2025-2026 ]]*8</f>
        <v>952</v>
      </c>
      <c r="Q51" s="5"/>
      <c r="R51" s="1"/>
      <c r="S51" s="5"/>
      <c r="T51" s="5">
        <f t="shared" si="4"/>
        <v>952</v>
      </c>
      <c r="U51" s="5">
        <f t="shared" si="5"/>
        <v>0</v>
      </c>
      <c r="V51" s="5">
        <f>Table14[[#This Row],[Enrolment S.Y. 2025-2026 ]]*8</f>
        <v>952</v>
      </c>
      <c r="W51" s="5"/>
      <c r="X51" s="1"/>
      <c r="Y51" s="5"/>
      <c r="Z51" s="5">
        <f t="shared" si="6"/>
        <v>952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119</v>
      </c>
      <c r="D52" s="5">
        <f>Table14[[#This Row],[Enrolment S.Y. 2025-2026 ]]*8</f>
        <v>952</v>
      </c>
      <c r="E52" s="5"/>
      <c r="F52" s="1"/>
      <c r="G52" s="5"/>
      <c r="H52" s="5">
        <f>IF((D52-E52)&lt;0,0,(D52-E52))</f>
        <v>952</v>
      </c>
      <c r="I52" s="5">
        <f>IF((E52-D52)&lt;0,0,(E52-D52))</f>
        <v>0</v>
      </c>
      <c r="J52" s="5">
        <f>Table14[[#This Row],[Enrolment S.Y. 2025-2026 ]]*8</f>
        <v>952</v>
      </c>
      <c r="K52" s="5"/>
      <c r="L52" s="1"/>
      <c r="M52" s="5"/>
      <c r="N52" s="5">
        <f t="shared" si="10"/>
        <v>952</v>
      </c>
      <c r="O52" s="5">
        <f t="shared" si="11"/>
        <v>0</v>
      </c>
      <c r="P52" s="5">
        <f>Table14[[#This Row],[Enrolment S.Y. 2025-2026 ]]*8</f>
        <v>952</v>
      </c>
      <c r="Q52" s="5"/>
      <c r="R52" s="1"/>
      <c r="S52" s="5"/>
      <c r="T52" s="5">
        <f>IF((P52-Q52)&lt;0,0,(P52-Q52))</f>
        <v>952</v>
      </c>
      <c r="U52" s="5">
        <f>IF((Q52-P52)&lt;0,0,(Q52-P52))</f>
        <v>0</v>
      </c>
      <c r="V52" s="5">
        <f>Table14[[#This Row],[Enrolment S.Y. 2025-2026 ]]*8</f>
        <v>952</v>
      </c>
      <c r="W52" s="5"/>
      <c r="X52" s="1"/>
      <c r="Y52" s="5"/>
      <c r="Z52" s="5">
        <f>IF((V52-W52)&lt;0,0,(V52-W52))</f>
        <v>952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119</v>
      </c>
      <c r="D53" s="5">
        <f>Table14[[#This Row],[Enrolment S.Y. 2025-2026 ]]*8</f>
        <v>952</v>
      </c>
      <c r="E53" s="5"/>
      <c r="F53" s="1"/>
      <c r="G53" s="5"/>
      <c r="H53" s="5">
        <f t="shared" si="0"/>
        <v>952</v>
      </c>
      <c r="I53" s="5">
        <f t="shared" si="1"/>
        <v>0</v>
      </c>
      <c r="J53" s="5">
        <f>Table14[[#This Row],[Enrolment S.Y. 2025-2026 ]]*8</f>
        <v>952</v>
      </c>
      <c r="K53" s="5"/>
      <c r="L53" s="1"/>
      <c r="M53" s="5"/>
      <c r="N53" s="5">
        <f t="shared" si="10"/>
        <v>952</v>
      </c>
      <c r="O53" s="5">
        <f t="shared" si="11"/>
        <v>0</v>
      </c>
      <c r="P53" s="5">
        <f>Table14[[#This Row],[Enrolment S.Y. 2025-2026 ]]*8</f>
        <v>952</v>
      </c>
      <c r="Q53" s="5"/>
      <c r="R53" s="1"/>
      <c r="S53" s="5"/>
      <c r="T53" s="5">
        <f t="shared" si="4"/>
        <v>952</v>
      </c>
      <c r="U53" s="5">
        <f t="shared" si="5"/>
        <v>0</v>
      </c>
      <c r="V53" s="5">
        <f>Table14[[#This Row],[Enrolment S.Y. 2025-2026 ]]*8</f>
        <v>952</v>
      </c>
      <c r="W53" s="5"/>
      <c r="X53" s="1"/>
      <c r="Y53" s="5"/>
      <c r="Z53" s="5">
        <f t="shared" si="6"/>
        <v>952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>
        <v>109</v>
      </c>
      <c r="D55" s="5">
        <f>Table14[[#This Row],[Enrolment S.Y. 2025-2026 ]]*8</f>
        <v>872</v>
      </c>
      <c r="E55" s="5"/>
      <c r="F55" s="1"/>
      <c r="G55" s="5"/>
      <c r="H55" s="5">
        <f t="shared" si="0"/>
        <v>872</v>
      </c>
      <c r="I55" s="5">
        <f t="shared" si="1"/>
        <v>0</v>
      </c>
      <c r="J55" s="5">
        <f>Table14[[#This Row],[Enrolment S.Y. 2025-2026 ]]*8</f>
        <v>872</v>
      </c>
      <c r="K55" s="5"/>
      <c r="L55" s="1"/>
      <c r="M55" s="5"/>
      <c r="N55" s="5">
        <f t="shared" si="2"/>
        <v>872</v>
      </c>
      <c r="O55" s="5">
        <f t="shared" si="3"/>
        <v>0</v>
      </c>
      <c r="P55" s="5">
        <f>Table14[[#This Row],[Enrolment S.Y. 2025-2026 ]]*8</f>
        <v>872</v>
      </c>
      <c r="Q55" s="5">
        <v>50</v>
      </c>
      <c r="R55" s="1"/>
      <c r="S55" s="5"/>
      <c r="T55" s="5">
        <f t="shared" si="4"/>
        <v>822</v>
      </c>
      <c r="U55" s="5">
        <f t="shared" si="5"/>
        <v>0</v>
      </c>
      <c r="V55" s="5">
        <f>Table14[[#This Row],[Enrolment S.Y. 2025-2026 ]]*8</f>
        <v>872</v>
      </c>
      <c r="W55" s="5">
        <v>100</v>
      </c>
      <c r="X55" s="1">
        <v>2025</v>
      </c>
      <c r="Y55" s="5"/>
      <c r="Z55" s="5">
        <f t="shared" si="6"/>
        <v>772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109</v>
      </c>
      <c r="D56" s="5">
        <f>Table14[[#This Row],[Enrolment S.Y. 2025-2026 ]]*8</f>
        <v>872</v>
      </c>
      <c r="E56" s="5"/>
      <c r="F56" s="1"/>
      <c r="G56" s="5"/>
      <c r="H56" s="5">
        <f t="shared" si="0"/>
        <v>872</v>
      </c>
      <c r="I56" s="5">
        <f t="shared" si="1"/>
        <v>0</v>
      </c>
      <c r="J56" s="5">
        <f>Table14[[#This Row],[Enrolment S.Y. 2025-2026 ]]*8</f>
        <v>872</v>
      </c>
      <c r="K56" s="5"/>
      <c r="L56" s="1"/>
      <c r="M56" s="5"/>
      <c r="N56" s="5">
        <f t="shared" si="2"/>
        <v>872</v>
      </c>
      <c r="O56" s="5">
        <f t="shared" si="3"/>
        <v>0</v>
      </c>
      <c r="P56" s="5">
        <f>Table14[[#This Row],[Enrolment S.Y. 2025-2026 ]]*8</f>
        <v>872</v>
      </c>
      <c r="Q56" s="5">
        <v>100</v>
      </c>
      <c r="R56" s="1"/>
      <c r="S56" s="5"/>
      <c r="T56" s="5">
        <f t="shared" si="4"/>
        <v>772</v>
      </c>
      <c r="U56" s="5">
        <f t="shared" si="5"/>
        <v>0</v>
      </c>
      <c r="V56" s="5">
        <f>Table14[[#This Row],[Enrolment S.Y. 2025-2026 ]]*8</f>
        <v>872</v>
      </c>
      <c r="W56" s="5">
        <v>100</v>
      </c>
      <c r="X56" s="1">
        <v>2025</v>
      </c>
      <c r="Y56" s="5"/>
      <c r="Z56" s="5">
        <f t="shared" si="6"/>
        <v>772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109</v>
      </c>
      <c r="D57" s="5">
        <f>Table14[[#This Row],[Enrolment S.Y. 2025-2026 ]]*8</f>
        <v>872</v>
      </c>
      <c r="E57" s="5"/>
      <c r="F57" s="1"/>
      <c r="G57" s="5"/>
      <c r="H57" s="5">
        <f t="shared" si="0"/>
        <v>872</v>
      </c>
      <c r="I57" s="5">
        <f t="shared" si="1"/>
        <v>0</v>
      </c>
      <c r="J57" s="5">
        <f>Table14[[#This Row],[Enrolment S.Y. 2025-2026 ]]*8</f>
        <v>872</v>
      </c>
      <c r="K57" s="5"/>
      <c r="L57" s="1"/>
      <c r="M57" s="5"/>
      <c r="N57" s="5">
        <f t="shared" si="2"/>
        <v>872</v>
      </c>
      <c r="O57" s="5">
        <f t="shared" si="3"/>
        <v>0</v>
      </c>
      <c r="P57" s="5">
        <f>Table14[[#This Row],[Enrolment S.Y. 2025-2026 ]]*8</f>
        <v>872</v>
      </c>
      <c r="Q57" s="5">
        <v>100</v>
      </c>
      <c r="R57" s="1"/>
      <c r="S57" s="5"/>
      <c r="T57" s="5">
        <f t="shared" si="4"/>
        <v>772</v>
      </c>
      <c r="U57" s="5">
        <f t="shared" si="5"/>
        <v>0</v>
      </c>
      <c r="V57" s="5">
        <f>Table14[[#This Row],[Enrolment S.Y. 2025-2026 ]]*8</f>
        <v>872</v>
      </c>
      <c r="W57" s="5">
        <v>100</v>
      </c>
      <c r="X57" s="1">
        <v>2025</v>
      </c>
      <c r="Y57" s="5"/>
      <c r="Z57" s="5">
        <f t="shared" si="6"/>
        <v>772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109</v>
      </c>
      <c r="D58" s="5">
        <f>Table14[[#This Row],[Enrolment S.Y. 2025-2026 ]]*8</f>
        <v>872</v>
      </c>
      <c r="E58" s="5"/>
      <c r="F58" s="1"/>
      <c r="G58" s="5"/>
      <c r="H58" s="5">
        <f t="shared" si="0"/>
        <v>872</v>
      </c>
      <c r="I58" s="5">
        <f t="shared" si="1"/>
        <v>0</v>
      </c>
      <c r="J58" s="5">
        <f>Table14[[#This Row],[Enrolment S.Y. 2025-2026 ]]*8</f>
        <v>872</v>
      </c>
      <c r="K58" s="5"/>
      <c r="L58" s="1"/>
      <c r="M58" s="5"/>
      <c r="N58" s="5">
        <f t="shared" si="2"/>
        <v>872</v>
      </c>
      <c r="O58" s="5">
        <f t="shared" si="3"/>
        <v>0</v>
      </c>
      <c r="P58" s="5">
        <f>Table14[[#This Row],[Enrolment S.Y. 2025-2026 ]]*8</f>
        <v>872</v>
      </c>
      <c r="Q58" s="5">
        <v>100</v>
      </c>
      <c r="R58" s="1"/>
      <c r="S58" s="5"/>
      <c r="T58" s="5">
        <f t="shared" si="4"/>
        <v>772</v>
      </c>
      <c r="U58" s="5">
        <f t="shared" si="5"/>
        <v>0</v>
      </c>
      <c r="V58" s="5">
        <f>Table14[[#This Row],[Enrolment S.Y. 2025-2026 ]]*8</f>
        <v>872</v>
      </c>
      <c r="W58" s="5"/>
      <c r="X58" s="1">
        <v>2025</v>
      </c>
      <c r="Y58" s="5"/>
      <c r="Z58" s="5">
        <f t="shared" si="6"/>
        <v>872</v>
      </c>
      <c r="AA58" s="5">
        <f t="shared" si="7"/>
        <v>0</v>
      </c>
    </row>
    <row r="59" spans="1:27" ht="29.25" customHeight="1">
      <c r="A59" s="1">
        <v>6</v>
      </c>
      <c r="B59" s="9" t="s">
        <v>16</v>
      </c>
      <c r="C59" s="1">
        <v>109</v>
      </c>
      <c r="D59" s="5">
        <f>Table14[[#This Row],[Enrolment S.Y. 2025-2026 ]]*8</f>
        <v>872</v>
      </c>
      <c r="E59" s="5"/>
      <c r="F59" s="1"/>
      <c r="G59" s="5"/>
      <c r="H59" s="5">
        <f t="shared" si="0"/>
        <v>872</v>
      </c>
      <c r="I59" s="5">
        <f t="shared" si="1"/>
        <v>0</v>
      </c>
      <c r="J59" s="5">
        <f>Table14[[#This Row],[Enrolment S.Y. 2025-2026 ]]*8</f>
        <v>872</v>
      </c>
      <c r="K59" s="5"/>
      <c r="L59" s="1"/>
      <c r="M59" s="5"/>
      <c r="N59" s="5">
        <f t="shared" si="2"/>
        <v>872</v>
      </c>
      <c r="O59" s="5">
        <f t="shared" si="3"/>
        <v>0</v>
      </c>
      <c r="P59" s="5">
        <f>Table14[[#This Row],[Enrolment S.Y. 2025-2026 ]]*8</f>
        <v>872</v>
      </c>
      <c r="Q59" s="5">
        <v>100</v>
      </c>
      <c r="R59" s="1"/>
      <c r="S59" s="5"/>
      <c r="T59" s="5">
        <f t="shared" si="4"/>
        <v>772</v>
      </c>
      <c r="U59" s="5">
        <f t="shared" si="5"/>
        <v>0</v>
      </c>
      <c r="V59" s="5">
        <f>Table14[[#This Row],[Enrolment S.Y. 2025-2026 ]]*8</f>
        <v>872</v>
      </c>
      <c r="W59" s="5">
        <v>100</v>
      </c>
      <c r="X59" s="1">
        <v>2025</v>
      </c>
      <c r="Y59" s="5"/>
      <c r="Z59" s="5">
        <f t="shared" si="6"/>
        <v>772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109</v>
      </c>
      <c r="D60" s="5">
        <f>Table14[[#This Row],[Enrolment S.Y. 2025-2026 ]]*8</f>
        <v>872</v>
      </c>
      <c r="E60" s="5"/>
      <c r="F60" s="1"/>
      <c r="G60" s="5"/>
      <c r="H60" s="5">
        <f t="shared" si="0"/>
        <v>872</v>
      </c>
      <c r="I60" s="5">
        <f t="shared" si="1"/>
        <v>0</v>
      </c>
      <c r="J60" s="5">
        <f>Table14[[#This Row],[Enrolment S.Y. 2025-2026 ]]*8</f>
        <v>872</v>
      </c>
      <c r="K60" s="5"/>
      <c r="L60" s="1"/>
      <c r="M60" s="5"/>
      <c r="N60" s="5">
        <f t="shared" si="2"/>
        <v>872</v>
      </c>
      <c r="O60" s="5">
        <f t="shared" si="3"/>
        <v>0</v>
      </c>
      <c r="P60" s="5">
        <f>Table14[[#This Row],[Enrolment S.Y. 2025-2026 ]]*8</f>
        <v>872</v>
      </c>
      <c r="Q60" s="5">
        <v>50</v>
      </c>
      <c r="R60" s="1"/>
      <c r="S60" s="5"/>
      <c r="T60" s="5">
        <f t="shared" si="4"/>
        <v>822</v>
      </c>
      <c r="U60" s="5">
        <f t="shared" si="5"/>
        <v>0</v>
      </c>
      <c r="V60" s="5">
        <f>Table14[[#This Row],[Enrolment S.Y. 2025-2026 ]]*8</f>
        <v>872</v>
      </c>
      <c r="W60" s="5">
        <v>100</v>
      </c>
      <c r="X60" s="1">
        <v>2025</v>
      </c>
      <c r="Y60" s="5"/>
      <c r="Z60" s="5">
        <f t="shared" si="6"/>
        <v>772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109</v>
      </c>
      <c r="D61" s="5">
        <f>Table14[[#This Row],[Enrolment S.Y. 2025-2026 ]]*8</f>
        <v>872</v>
      </c>
      <c r="E61" s="5"/>
      <c r="F61" s="1"/>
      <c r="G61" s="5"/>
      <c r="H61" s="5">
        <f>IF((D61-E61)&lt;0,0,(D61-E61))</f>
        <v>872</v>
      </c>
      <c r="I61" s="5">
        <f>IF((E61-D61)&lt;0,0,(E61-D61))</f>
        <v>0</v>
      </c>
      <c r="J61" s="5">
        <f>Table14[[#This Row],[Enrolment S.Y. 2025-2026 ]]*8</f>
        <v>872</v>
      </c>
      <c r="K61" s="5"/>
      <c r="L61" s="1"/>
      <c r="M61" s="5"/>
      <c r="N61" s="5">
        <f t="shared" ref="N61:N65" si="12">IF((J61-K61)&lt;0,0,(J61-K61))</f>
        <v>872</v>
      </c>
      <c r="O61" s="5">
        <f t="shared" ref="O61:O65" si="13">IF((K61-J61)&lt;0,0,(K61-J61))</f>
        <v>0</v>
      </c>
      <c r="P61" s="5">
        <f>Table14[[#This Row],[Enrolment S.Y. 2025-2026 ]]*8</f>
        <v>872</v>
      </c>
      <c r="Q61" s="5">
        <v>100</v>
      </c>
      <c r="R61" s="1"/>
      <c r="S61" s="5"/>
      <c r="T61" s="5">
        <f>IF((P61-Q61)&lt;0,0,(P61-Q61))</f>
        <v>772</v>
      </c>
      <c r="U61" s="5">
        <f>IF((Q61-P61)&lt;0,0,(Q61-P61))</f>
        <v>0</v>
      </c>
      <c r="V61" s="5">
        <f>Table14[[#This Row],[Enrolment S.Y. 2025-2026 ]]*8</f>
        <v>872</v>
      </c>
      <c r="W61" s="5">
        <v>100</v>
      </c>
      <c r="X61" s="1">
        <v>2025</v>
      </c>
      <c r="Y61" s="5"/>
      <c r="Z61" s="5">
        <f>IF((V61-W61)&lt;0,0,(V61-W61))</f>
        <v>772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109</v>
      </c>
      <c r="D62" s="5">
        <f>Table14[[#This Row],[Enrolment S.Y. 2025-2026 ]]*8</f>
        <v>872</v>
      </c>
      <c r="E62" s="5"/>
      <c r="F62" s="1"/>
      <c r="G62" s="5"/>
      <c r="H62" s="5">
        <f t="shared" si="0"/>
        <v>872</v>
      </c>
      <c r="I62" s="5">
        <f t="shared" si="1"/>
        <v>0</v>
      </c>
      <c r="J62" s="5">
        <f>Table14[[#This Row],[Enrolment S.Y. 2025-2026 ]]*8</f>
        <v>872</v>
      </c>
      <c r="K62" s="5"/>
      <c r="L62" s="1"/>
      <c r="M62" s="5"/>
      <c r="N62" s="5">
        <f t="shared" si="12"/>
        <v>872</v>
      </c>
      <c r="O62" s="5">
        <f t="shared" si="13"/>
        <v>0</v>
      </c>
      <c r="P62" s="5">
        <f>Table14[[#This Row],[Enrolment S.Y. 2025-2026 ]]*8</f>
        <v>872</v>
      </c>
      <c r="Q62" s="5">
        <v>100</v>
      </c>
      <c r="R62" s="1"/>
      <c r="S62" s="5"/>
      <c r="T62" s="5">
        <f t="shared" si="4"/>
        <v>772</v>
      </c>
      <c r="U62" s="5">
        <f t="shared" si="5"/>
        <v>0</v>
      </c>
      <c r="V62" s="5">
        <f>Table14[[#This Row],[Enrolment S.Y. 2025-2026 ]]*8</f>
        <v>872</v>
      </c>
      <c r="W62" s="5">
        <v>100</v>
      </c>
      <c r="X62" s="1">
        <v>2025</v>
      </c>
      <c r="Y62" s="5"/>
      <c r="Z62" s="5">
        <f t="shared" si="6"/>
        <v>772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109</v>
      </c>
      <c r="D63" s="5">
        <f>Table14[[#This Row],[Enrolment S.Y. 2025-2026 ]]*8</f>
        <v>872</v>
      </c>
      <c r="E63" s="5"/>
      <c r="F63" s="1"/>
      <c r="G63" s="5"/>
      <c r="H63" s="5">
        <f t="shared" si="0"/>
        <v>872</v>
      </c>
      <c r="I63" s="5">
        <f t="shared" si="1"/>
        <v>0</v>
      </c>
      <c r="J63" s="5">
        <f>Table14[[#This Row],[Enrolment S.Y. 2025-2026 ]]*8</f>
        <v>872</v>
      </c>
      <c r="K63" s="5"/>
      <c r="L63" s="1"/>
      <c r="M63" s="5"/>
      <c r="N63" s="5">
        <f t="shared" si="12"/>
        <v>872</v>
      </c>
      <c r="O63" s="5">
        <f t="shared" si="13"/>
        <v>0</v>
      </c>
      <c r="P63" s="5">
        <f>Table14[[#This Row],[Enrolment S.Y. 2025-2026 ]]*8</f>
        <v>872</v>
      </c>
      <c r="Q63" s="5"/>
      <c r="R63" s="1"/>
      <c r="S63" s="5"/>
      <c r="T63" s="5">
        <f t="shared" si="4"/>
        <v>872</v>
      </c>
      <c r="U63" s="5">
        <f t="shared" si="5"/>
        <v>0</v>
      </c>
      <c r="V63" s="5">
        <f>Table14[[#This Row],[Enrolment S.Y. 2025-2026 ]]*8</f>
        <v>872</v>
      </c>
      <c r="W63" s="5">
        <v>100</v>
      </c>
      <c r="X63" s="1">
        <v>2025</v>
      </c>
      <c r="Y63" s="5"/>
      <c r="Z63" s="5">
        <f t="shared" si="6"/>
        <v>772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109</v>
      </c>
      <c r="D64" s="5">
        <f>Table14[[#This Row],[Enrolment S.Y. 2025-2026 ]]*8</f>
        <v>872</v>
      </c>
      <c r="E64" s="5"/>
      <c r="F64" s="1"/>
      <c r="G64" s="5"/>
      <c r="H64" s="5">
        <f>IF((D64-E64)&lt;0,0,(D64-E64))</f>
        <v>872</v>
      </c>
      <c r="I64" s="5">
        <f>IF((E64-D64)&lt;0,0,(E64-D64))</f>
        <v>0</v>
      </c>
      <c r="J64" s="5">
        <f>Table14[[#This Row],[Enrolment S.Y. 2025-2026 ]]*8</f>
        <v>872</v>
      </c>
      <c r="K64" s="5"/>
      <c r="L64" s="1"/>
      <c r="M64" s="5"/>
      <c r="N64" s="5">
        <f t="shared" si="12"/>
        <v>872</v>
      </c>
      <c r="O64" s="5">
        <f t="shared" si="13"/>
        <v>0</v>
      </c>
      <c r="P64" s="5">
        <f>Table14[[#This Row],[Enrolment S.Y. 2025-2026 ]]*8</f>
        <v>872</v>
      </c>
      <c r="Q64" s="5">
        <v>50</v>
      </c>
      <c r="R64" s="1"/>
      <c r="S64" s="5"/>
      <c r="T64" s="5">
        <f>IF((P64-Q64)&lt;0,0,(P64-Q64))</f>
        <v>822</v>
      </c>
      <c r="U64" s="5">
        <f>IF((Q64-P64)&lt;0,0,(Q64-P64))</f>
        <v>0</v>
      </c>
      <c r="V64" s="5">
        <f>Table14[[#This Row],[Enrolment S.Y. 2025-2026 ]]*8</f>
        <v>872</v>
      </c>
      <c r="W64" s="5">
        <v>100</v>
      </c>
      <c r="X64" s="1">
        <v>2025</v>
      </c>
      <c r="Y64" s="5"/>
      <c r="Z64" s="5">
        <f>IF((V64-W64)&lt;0,0,(V64-W64))</f>
        <v>772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109</v>
      </c>
      <c r="D65" s="5">
        <f>Table14[[#This Row],[Enrolment S.Y. 2025-2026 ]]*8</f>
        <v>872</v>
      </c>
      <c r="E65" s="5"/>
      <c r="F65" s="1"/>
      <c r="G65" s="5"/>
      <c r="H65" s="5">
        <f t="shared" si="0"/>
        <v>872</v>
      </c>
      <c r="I65" s="5">
        <f t="shared" si="1"/>
        <v>0</v>
      </c>
      <c r="J65" s="5">
        <f>Table14[[#This Row],[Enrolment S.Y. 2025-2026 ]]*8</f>
        <v>872</v>
      </c>
      <c r="K65" s="5"/>
      <c r="L65" s="1"/>
      <c r="M65" s="5"/>
      <c r="N65" s="5">
        <f t="shared" si="12"/>
        <v>872</v>
      </c>
      <c r="O65" s="5">
        <f t="shared" si="13"/>
        <v>0</v>
      </c>
      <c r="P65" s="5">
        <f>Table14[[#This Row],[Enrolment S.Y. 2025-2026 ]]*8</f>
        <v>872</v>
      </c>
      <c r="Q65" s="5">
        <v>50</v>
      </c>
      <c r="R65" s="1"/>
      <c r="S65" s="5"/>
      <c r="T65" s="5">
        <f t="shared" si="4"/>
        <v>822</v>
      </c>
      <c r="U65" s="5">
        <f t="shared" si="5"/>
        <v>0</v>
      </c>
      <c r="V65" s="5">
        <f>Table14[[#This Row],[Enrolment S.Y. 2025-2026 ]]*8</f>
        <v>872</v>
      </c>
      <c r="W65" s="5">
        <v>100</v>
      </c>
      <c r="X65" s="1">
        <v>2025</v>
      </c>
      <c r="Y65" s="5"/>
      <c r="Z65" s="5">
        <f t="shared" si="6"/>
        <v>772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55:C65 C43:C53 C31:C41 C21:C29 C12:C19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55:R65 N67:R77 N79:R89 N91:R101 N103:R113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60 F115:F122 F103:F113 F91:F101 F79:F89 F67:F77 F55:F65 F43:F53 F31:F41 F21:F29 F12:F19 F4:F10 L115:L122 L103:L113 L91:L101 L79:L89 L67:L77 L55:L65 L43:L53 L31:L41 L21:L29 L12:L19 L4:L10 R115:R122 R103:R113 R91:R101 R79:R89 R67:R77 R55:R65 R43:R53 R31:R41 R21:R29 R12:R19 R4:R10 X115:X122 X103:X113 X91:X101 X79:X89 X67:X77 X55:X65 X43:X53 X31:X41 X21:X29 X12:X19 X4:X10 L3 R3 X3 F3" xr:uid="{F4E670D0-BF4A-468E-8CF8-26587E53A61B}">
      <formula1>"2024,2025,2026"</formula1>
    </dataValidation>
  </dataValidations>
  <pageMargins left="0.7" right="0.7" top="0.75" bottom="0.75" header="0.3" footer="0.3"/>
  <pageSetup paperSize="9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2026-03-26T07:48:42Z</dcterms:modified>
  <cp:category/>
  <cp:contentStatus/>
</cp:coreProperties>
</file>