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5" documentId="13_ncr:1_{BFB59F67-F0DC-4675-A682-EB0734A8026A}" xr6:coauthVersionLast="47" xr6:coauthVersionMax="47" xr10:uidLastSave="{07571550-D613-4B5C-9481-84FE28E7CEC5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V56" i="5"/>
  <c r="AA56" i="5" s="1"/>
  <c r="P56" i="5"/>
  <c r="U56" i="5" s="1"/>
  <c r="N56" i="5"/>
  <c r="V55" i="5"/>
  <c r="AA55" i="5" s="1"/>
  <c r="P55" i="5"/>
  <c r="U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<sst xmlns="http://schemas.openxmlformats.org/spreadsheetml/2006/main" count="434" uniqueCount="92">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</sst>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3" sqref="F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344</v>
      </c>
      <c r="D2" s="1">
        <v>398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54</v>
      </c>
    </row>
    <row r="3" spans="1:8" ht="29.25" customHeight="1">
      <c r="A3" s="1">
        <v>1</v>
      </c>
      <c r="B3" s="2" t="s">
        <v>10</v>
      </c>
      <c r="C3" s="1">
        <v>344</v>
      </c>
      <c r="D3" s="1">
        <v>398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54</v>
      </c>
    </row>
    <row r="4" spans="1:8" ht="21" customHeight="1">
      <c r="A4" s="1">
        <v>1</v>
      </c>
      <c r="B4" s="2" t="s">
        <v>11</v>
      </c>
      <c r="C4" s="1">
        <v>344</v>
      </c>
      <c r="D4" s="1">
        <v>398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54</v>
      </c>
    </row>
    <row r="5" spans="1:8" ht="25.5" customHeight="1">
      <c r="A5" s="1">
        <v>1</v>
      </c>
      <c r="B5" s="2" t="s">
        <v>12</v>
      </c>
      <c r="C5" s="1">
        <v>344</v>
      </c>
      <c r="D5" s="1">
        <v>398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397</v>
      </c>
      <c r="D22" s="1">
        <v>515</v>
      </c>
      <c r="E22" s="1">
        <v>2025</v>
      </c>
      <c r="F22" s="5" t="s">
        <v>9</v>
      </c>
      <c r="G22" s="3">
        <f t="shared" si="4"/>
        <v>0</v>
      </c>
      <c r="H22" s="4">
        <f t="shared" si="5"/>
        <v>118</v>
      </c>
    </row>
    <row r="23" spans="1:8" ht="19.5">
      <c r="A23" s="1">
        <v>4</v>
      </c>
      <c r="B23" s="9" t="s">
        <v>13</v>
      </c>
      <c r="C23" s="1">
        <v>397</v>
      </c>
      <c r="D23" s="1">
        <v>515</v>
      </c>
      <c r="E23" s="1">
        <v>2025</v>
      </c>
      <c r="F23" s="5" t="s">
        <v>9</v>
      </c>
      <c r="G23" s="3">
        <f t="shared" si="4"/>
        <v>0</v>
      </c>
      <c r="H23" s="4">
        <f t="shared" si="5"/>
        <v>118</v>
      </c>
    </row>
    <row r="24" spans="1:8" ht="27" customHeight="1">
      <c r="A24" s="1">
        <v>4</v>
      </c>
      <c r="B24" s="9" t="s">
        <v>11</v>
      </c>
      <c r="C24" s="1">
        <v>397</v>
      </c>
      <c r="D24" s="1">
        <v>515</v>
      </c>
      <c r="E24" s="1">
        <v>2025</v>
      </c>
      <c r="F24" s="5" t="s">
        <v>9</v>
      </c>
      <c r="G24" s="3">
        <f t="shared" si="4"/>
        <v>0</v>
      </c>
      <c r="H24" s="4">
        <f t="shared" si="5"/>
        <v>118</v>
      </c>
    </row>
    <row r="25" spans="1:8" ht="33.75" customHeight="1">
      <c r="A25" s="1">
        <v>4</v>
      </c>
      <c r="B25" s="9" t="s">
        <v>17</v>
      </c>
      <c r="C25" s="1">
        <v>397</v>
      </c>
      <c r="D25" s="1">
        <v>515</v>
      </c>
      <c r="E25" s="1">
        <v>2025</v>
      </c>
      <c r="F25" s="5" t="s">
        <v>9</v>
      </c>
      <c r="G25" s="3">
        <f t="shared" si="4"/>
        <v>0</v>
      </c>
      <c r="H25" s="4">
        <f t="shared" si="5"/>
        <v>118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397</v>
      </c>
      <c r="D27" s="1">
        <v>515</v>
      </c>
      <c r="E27" s="1">
        <v>2025</v>
      </c>
      <c r="F27" s="5" t="s">
        <v>9</v>
      </c>
      <c r="G27" s="3">
        <f t="shared" si="4"/>
        <v>0</v>
      </c>
      <c r="H27" s="4">
        <f t="shared" si="5"/>
        <v>118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376</v>
      </c>
      <c r="D37" s="1">
        <v>441</v>
      </c>
      <c r="E37" s="1">
        <v>2025</v>
      </c>
      <c r="F37" s="5" t="s">
        <v>9</v>
      </c>
      <c r="G37" s="3">
        <f t="shared" si="6"/>
        <v>0</v>
      </c>
      <c r="H37" s="4">
        <f t="shared" si="7"/>
        <v>65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25" zoomScale="70" zoomScaleNormal="70" workbookViewId="0">
      <selection activeCell="G41" sqref="G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399</v>
      </c>
      <c r="D16" s="5">
        <f>Table1[[#This Row],[Enrolment S.Y. 2025-2026 ]]*8</f>
        <v>3192</v>
      </c>
      <c r="E16" s="5">
        <v>360</v>
      </c>
      <c r="F16" s="1">
        <v>2025</v>
      </c>
      <c r="G16" s="5" t="s">
        <v>9</v>
      </c>
      <c r="H16" s="5">
        <f t="shared" si="2"/>
        <v>2832</v>
      </c>
      <c r="I16" s="5">
        <f t="shared" si="3"/>
        <v>0</v>
      </c>
      <c r="J16" s="5">
        <f>Table1[[#This Row],[Enrolment S.Y. 2025-2026 ]]*8</f>
        <v>3192</v>
      </c>
      <c r="K16" s="5"/>
      <c r="L16" s="1"/>
      <c r="M16" s="5"/>
      <c r="N16" s="5">
        <f t="shared" si="10"/>
        <v>3192</v>
      </c>
      <c r="O16" s="5">
        <f t="shared" si="11"/>
        <v>0</v>
      </c>
      <c r="P16" s="5">
        <f>Table1[[#This Row],[Enrolment S.Y. 2025-2026 ]]*8</f>
        <v>3192</v>
      </c>
      <c r="Q16" s="5"/>
      <c r="R16" s="1"/>
      <c r="S16" s="5"/>
      <c r="T16" s="5">
        <f t="shared" si="12"/>
        <v>3192</v>
      </c>
      <c r="U16" s="5">
        <f t="shared" si="13"/>
        <v>0</v>
      </c>
      <c r="V16" s="5">
        <f>Table1[[#This Row],[Enrolment S.Y. 2025-2026 ]]*8</f>
        <v>3192</v>
      </c>
      <c r="W16" s="5"/>
      <c r="X16" s="1"/>
      <c r="Y16" s="5"/>
      <c r="Z16" s="5">
        <f t="shared" si="14"/>
        <v>3192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399</v>
      </c>
      <c r="D18" s="5">
        <f>Table1[[#This Row],[Enrolment S.Y. 2025-2026 ]]*8</f>
        <v>3192</v>
      </c>
      <c r="E18" s="5">
        <v>360</v>
      </c>
      <c r="F18" s="1">
        <v>2025</v>
      </c>
      <c r="G18" s="5" t="s">
        <v>9</v>
      </c>
      <c r="H18" s="5">
        <f t="shared" si="2"/>
        <v>2832</v>
      </c>
      <c r="I18" s="5">
        <f t="shared" si="3"/>
        <v>0</v>
      </c>
      <c r="J18" s="5">
        <f>Table1[[#This Row],[Enrolment S.Y. 2025-2026 ]]*8</f>
        <v>3192</v>
      </c>
      <c r="K18" s="5"/>
      <c r="L18" s="1"/>
      <c r="M18" s="5"/>
      <c r="N18" s="5">
        <f t="shared" si="10"/>
        <v>3192</v>
      </c>
      <c r="O18" s="5">
        <f t="shared" si="11"/>
        <v>0</v>
      </c>
      <c r="P18" s="5">
        <f>Table1[[#This Row],[Enrolment S.Y. 2025-2026 ]]*8</f>
        <v>3192</v>
      </c>
      <c r="Q18" s="5"/>
      <c r="R18" s="1"/>
      <c r="S18" s="5"/>
      <c r="T18" s="5">
        <f t="shared" si="12"/>
        <v>3192</v>
      </c>
      <c r="U18" s="5">
        <f t="shared" si="13"/>
        <v>0</v>
      </c>
      <c r="V18" s="5">
        <f>Table1[[#This Row],[Enrolment S.Y. 2025-2026 ]]*8</f>
        <v>3192</v>
      </c>
      <c r="W18" s="5"/>
      <c r="X18" s="1"/>
      <c r="Y18" s="5"/>
      <c r="Z18" s="5">
        <f t="shared" si="14"/>
        <v>3192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399</v>
      </c>
      <c r="D20" s="5">
        <f>Table1[[#This Row],[Enrolment S.Y. 2025-2026 ]]*8</f>
        <v>3192</v>
      </c>
      <c r="E20" s="5">
        <v>360</v>
      </c>
      <c r="F20" s="1">
        <v>2025</v>
      </c>
      <c r="G20" s="5" t="s">
        <v>9</v>
      </c>
      <c r="H20" s="5">
        <f>IF((D20-E20)&lt;0,0,(D20-E20))</f>
        <v>2832</v>
      </c>
      <c r="I20" s="5">
        <f>IF((E20-D20)&lt;0,0,(E20-D20))</f>
        <v>0</v>
      </c>
      <c r="J20" s="5">
        <f>Table1[[#This Row],[Enrolment S.Y. 2025-2026 ]]*8</f>
        <v>3192</v>
      </c>
      <c r="K20" s="5"/>
      <c r="L20" s="1"/>
      <c r="M20" s="5"/>
      <c r="N20" s="5">
        <f t="shared" si="10"/>
        <v>3192</v>
      </c>
      <c r="O20" s="5">
        <f t="shared" si="11"/>
        <v>0</v>
      </c>
      <c r="P20" s="5">
        <f>Table1[[#This Row],[Enrolment S.Y. 2025-2026 ]]*8</f>
        <v>3192</v>
      </c>
      <c r="Q20" s="5"/>
      <c r="R20" s="1"/>
      <c r="S20" s="5"/>
      <c r="T20" s="5">
        <f t="shared" si="12"/>
        <v>3192</v>
      </c>
      <c r="U20" s="5">
        <f t="shared" si="13"/>
        <v>0</v>
      </c>
      <c r="V20" s="5">
        <f>Table1[[#This Row],[Enrolment S.Y. 2025-2026 ]]*8</f>
        <v>3192</v>
      </c>
      <c r="W20" s="5"/>
      <c r="X20" s="1"/>
      <c r="Y20" s="5"/>
      <c r="Z20" s="5">
        <f t="shared" si="14"/>
        <v>3192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361</v>
      </c>
      <c r="D24" s="5">
        <f>Table1[[#This Row],[Enrolment S.Y. 2025-2026 ]]*8</f>
        <v>2888</v>
      </c>
      <c r="E24" s="5">
        <v>15</v>
      </c>
      <c r="F24" s="1">
        <v>2025</v>
      </c>
      <c r="G24" s="5" t="s">
        <v>9</v>
      </c>
      <c r="H24" s="5">
        <f t="shared" si="2"/>
        <v>2873</v>
      </c>
      <c r="I24" s="5">
        <f t="shared" si="3"/>
        <v>0</v>
      </c>
      <c r="J24" s="5">
        <f>Table1[[#This Row],[Enrolment S.Y. 2025-2026 ]]*8</f>
        <v>2888</v>
      </c>
      <c r="K24" s="5"/>
      <c r="L24" s="1"/>
      <c r="M24" s="5"/>
      <c r="N24" s="5">
        <f t="shared" si="10"/>
        <v>2888</v>
      </c>
      <c r="O24" s="5">
        <f t="shared" si="11"/>
        <v>0</v>
      </c>
      <c r="P24" s="5">
        <f>Table1[[#This Row],[Enrolment S.Y. 2025-2026 ]]*8</f>
        <v>2888</v>
      </c>
      <c r="Q24" s="5"/>
      <c r="R24" s="1"/>
      <c r="S24" s="5"/>
      <c r="T24" s="5">
        <f t="shared" si="12"/>
        <v>2888</v>
      </c>
      <c r="U24" s="5">
        <f t="shared" si="13"/>
        <v>0</v>
      </c>
      <c r="V24" s="5">
        <f>Table1[[#This Row],[Enrolment S.Y. 2025-2026 ]]*8</f>
        <v>2888</v>
      </c>
      <c r="W24" s="5"/>
      <c r="X24" s="1"/>
      <c r="Y24" s="5"/>
      <c r="Z24" s="5">
        <f t="shared" si="14"/>
        <v>2888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361</v>
      </c>
      <c r="D26" s="5">
        <f>Table1[[#This Row],[Enrolment S.Y. 2025-2026 ]]*8</f>
        <v>2888</v>
      </c>
      <c r="E26" s="5">
        <v>282</v>
      </c>
      <c r="F26" s="1">
        <v>2025</v>
      </c>
      <c r="G26" s="5" t="s">
        <v>9</v>
      </c>
      <c r="H26" s="5">
        <f t="shared" si="2"/>
        <v>2606</v>
      </c>
      <c r="I26" s="5">
        <f t="shared" si="3"/>
        <v>0</v>
      </c>
      <c r="J26" s="5">
        <f>Table1[[#This Row],[Enrolment S.Y. 2025-2026 ]]*8</f>
        <v>2888</v>
      </c>
      <c r="K26" s="5"/>
      <c r="L26" s="1"/>
      <c r="M26" s="5"/>
      <c r="N26" s="5">
        <f t="shared" si="10"/>
        <v>2888</v>
      </c>
      <c r="O26" s="5">
        <f t="shared" si="11"/>
        <v>0</v>
      </c>
      <c r="P26" s="5">
        <f>Table1[[#This Row],[Enrolment S.Y. 2025-2026 ]]*8</f>
        <v>2888</v>
      </c>
      <c r="Q26" s="5"/>
      <c r="R26" s="1"/>
      <c r="S26" s="5"/>
      <c r="T26" s="5">
        <f t="shared" si="12"/>
        <v>2888</v>
      </c>
      <c r="U26" s="5">
        <f t="shared" si="13"/>
        <v>0</v>
      </c>
      <c r="V26" s="5">
        <f>Table1[[#This Row],[Enrolment S.Y. 2025-2026 ]]*8</f>
        <v>2888</v>
      </c>
      <c r="W26" s="5"/>
      <c r="X26" s="1"/>
      <c r="Y26" s="5"/>
      <c r="Z26" s="5">
        <f t="shared" si="14"/>
        <v>2888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361</v>
      </c>
      <c r="D27" s="5">
        <f>Table1[[#This Row],[Enrolment S.Y. 2025-2026 ]]*8</f>
        <v>2888</v>
      </c>
      <c r="E27" s="5">
        <v>282</v>
      </c>
      <c r="F27" s="1">
        <v>2025</v>
      </c>
      <c r="G27" s="5" t="s">
        <v>9</v>
      </c>
      <c r="H27" s="5">
        <f t="shared" si="2"/>
        <v>2606</v>
      </c>
      <c r="I27" s="5">
        <f t="shared" si="3"/>
        <v>0</v>
      </c>
      <c r="J27" s="5">
        <f>Table1[[#This Row],[Enrolment S.Y. 2025-2026 ]]*8</f>
        <v>2888</v>
      </c>
      <c r="K27" s="5"/>
      <c r="L27" s="1"/>
      <c r="M27" s="5"/>
      <c r="N27" s="5">
        <f t="shared" si="10"/>
        <v>2888</v>
      </c>
      <c r="O27" s="5">
        <f t="shared" si="11"/>
        <v>0</v>
      </c>
      <c r="P27" s="5">
        <f>Table1[[#This Row],[Enrolment S.Y. 2025-2026 ]]*8</f>
        <v>2888</v>
      </c>
      <c r="Q27" s="5"/>
      <c r="R27" s="1"/>
      <c r="S27" s="5"/>
      <c r="T27" s="5">
        <f t="shared" si="12"/>
        <v>2888</v>
      </c>
      <c r="U27" s="5">
        <f t="shared" si="13"/>
        <v>0</v>
      </c>
      <c r="V27" s="5">
        <f>Table1[[#This Row],[Enrolment S.Y. 2025-2026 ]]*8</f>
        <v>2888</v>
      </c>
      <c r="W27" s="5"/>
      <c r="X27" s="1"/>
      <c r="Y27" s="5"/>
      <c r="Z27" s="5">
        <f t="shared" si="14"/>
        <v>2888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361</v>
      </c>
      <c r="D28" s="5">
        <f>Table1[[#This Row],[Enrolment S.Y. 2025-2026 ]]*8</f>
        <v>2888</v>
      </c>
      <c r="E28" s="5">
        <v>282</v>
      </c>
      <c r="F28" s="1">
        <v>2025</v>
      </c>
      <c r="G28" s="5" t="s">
        <v>9</v>
      </c>
      <c r="H28" s="5">
        <f t="shared" si="2"/>
        <v>2606</v>
      </c>
      <c r="I28" s="5">
        <f t="shared" si="3"/>
        <v>0</v>
      </c>
      <c r="J28" s="5">
        <f>Table1[[#This Row],[Enrolment S.Y. 2025-2026 ]]*8</f>
        <v>2888</v>
      </c>
      <c r="K28" s="5"/>
      <c r="L28" s="1"/>
      <c r="M28" s="5"/>
      <c r="N28" s="5">
        <f t="shared" si="10"/>
        <v>2888</v>
      </c>
      <c r="O28" s="5">
        <f t="shared" si="11"/>
        <v>0</v>
      </c>
      <c r="P28" s="5">
        <f>Table1[[#This Row],[Enrolment S.Y. 2025-2026 ]]*8</f>
        <v>2888</v>
      </c>
      <c r="Q28" s="5"/>
      <c r="R28" s="1"/>
      <c r="S28" s="5"/>
      <c r="T28" s="5">
        <f t="shared" si="12"/>
        <v>2888</v>
      </c>
      <c r="U28" s="5">
        <f t="shared" si="13"/>
        <v>0</v>
      </c>
      <c r="V28" s="5">
        <f>Table1[[#This Row],[Enrolment S.Y. 2025-2026 ]]*8</f>
        <v>2888</v>
      </c>
      <c r="W28" s="5"/>
      <c r="X28" s="1"/>
      <c r="Y28" s="5"/>
      <c r="Z28" s="5">
        <f t="shared" si="14"/>
        <v>2888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361</v>
      </c>
      <c r="D29" s="5">
        <f>Table1[[#This Row],[Enrolment S.Y. 2025-2026 ]]*8</f>
        <v>2888</v>
      </c>
      <c r="E29" s="5">
        <v>282</v>
      </c>
      <c r="F29" s="1">
        <v>2025</v>
      </c>
      <c r="G29" s="5" t="s">
        <v>9</v>
      </c>
      <c r="H29" s="5">
        <f>IF((D29-E29)&lt;0,0,(D29-E29))</f>
        <v>2606</v>
      </c>
      <c r="I29" s="5">
        <f>IF((E29-D29)&lt;0,0,(E29-D29))</f>
        <v>0</v>
      </c>
      <c r="J29" s="5">
        <f>Table1[[#This Row],[Enrolment S.Y. 2025-2026 ]]*8</f>
        <v>2888</v>
      </c>
      <c r="K29" s="5"/>
      <c r="L29" s="1"/>
      <c r="M29" s="5"/>
      <c r="N29" s="5">
        <f t="shared" si="10"/>
        <v>2888</v>
      </c>
      <c r="O29" s="5">
        <f t="shared" si="11"/>
        <v>0</v>
      </c>
      <c r="P29" s="5">
        <f>Table1[[#This Row],[Enrolment S.Y. 2025-2026 ]]*8</f>
        <v>2888</v>
      </c>
      <c r="Q29" s="5"/>
      <c r="R29" s="1"/>
      <c r="S29" s="5"/>
      <c r="T29" s="5">
        <f t="shared" si="12"/>
        <v>2888</v>
      </c>
      <c r="U29" s="5">
        <f t="shared" si="13"/>
        <v>0</v>
      </c>
      <c r="V29" s="5">
        <f>Table1[[#This Row],[Enrolment S.Y. 2025-2026 ]]*8</f>
        <v>2888</v>
      </c>
      <c r="W29" s="5"/>
      <c r="X29" s="1"/>
      <c r="Y29" s="5"/>
      <c r="Z29" s="5">
        <f t="shared" si="14"/>
        <v>2888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397</v>
      </c>
      <c r="D41" s="5">
        <f>Table1[[#This Row],[Enrolment S.Y. 2025-2026 ]]*8</f>
        <v>3176</v>
      </c>
      <c r="E41" s="5">
        <v>491</v>
      </c>
      <c r="F41" s="1">
        <v>2025</v>
      </c>
      <c r="G41" s="5" t="s">
        <v>9</v>
      </c>
      <c r="H41" s="5">
        <f t="shared" si="2"/>
        <v>2685</v>
      </c>
      <c r="I41" s="5">
        <f t="shared" si="3"/>
        <v>0</v>
      </c>
      <c r="J41" s="5">
        <f>Table1[[#This Row],[Enrolment S.Y. 2025-2026 ]]*8</f>
        <v>3176</v>
      </c>
      <c r="K41" s="5"/>
      <c r="L41" s="1"/>
      <c r="M41" s="5"/>
      <c r="N41" s="5">
        <f t="shared" si="10"/>
        <v>3176</v>
      </c>
      <c r="O41" s="5">
        <f t="shared" si="11"/>
        <v>0</v>
      </c>
      <c r="P41" s="5">
        <f>Table1[[#This Row],[Enrolment S.Y. 2025-2026 ]]*8</f>
        <v>3176</v>
      </c>
      <c r="Q41" s="5"/>
      <c r="R41" s="1"/>
      <c r="S41" s="5"/>
      <c r="T41" s="5">
        <f t="shared" si="12"/>
        <v>3176</v>
      </c>
      <c r="U41" s="5">
        <f t="shared" si="13"/>
        <v>0</v>
      </c>
      <c r="V41" s="5">
        <f>Table1[[#This Row],[Enrolment S.Y. 2025-2026 ]]*8</f>
        <v>3176</v>
      </c>
      <c r="W41" s="5"/>
      <c r="X41" s="1"/>
      <c r="Y41" s="5"/>
      <c r="Z41" s="5">
        <f t="shared" si="14"/>
        <v>3176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376</v>
      </c>
      <c r="D45" s="5">
        <f>Table1[[#This Row],[Enrolment S.Y. 2025-2026 ]]*8</f>
        <v>3008</v>
      </c>
      <c r="E45" s="5">
        <v>78</v>
      </c>
      <c r="F45" s="1">
        <v>2025</v>
      </c>
      <c r="G45" s="5" t="s">
        <v>9</v>
      </c>
      <c r="H45" s="5">
        <f t="shared" si="2"/>
        <v>2930</v>
      </c>
      <c r="I45" s="5">
        <f t="shared" si="3"/>
        <v>0</v>
      </c>
      <c r="J45" s="5">
        <f>Table1[[#This Row],[Enrolment S.Y. 2025-2026 ]]*8</f>
        <v>3008</v>
      </c>
      <c r="K45" s="5"/>
      <c r="L45" s="1"/>
      <c r="M45" s="5"/>
      <c r="N45" s="5">
        <f t="shared" si="10"/>
        <v>3008</v>
      </c>
      <c r="O45" s="5">
        <f t="shared" si="11"/>
        <v>0</v>
      </c>
      <c r="P45" s="5">
        <f>Table1[[#This Row],[Enrolment S.Y. 2025-2026 ]]*8</f>
        <v>3008</v>
      </c>
      <c r="Q45" s="5"/>
      <c r="R45" s="1"/>
      <c r="S45" s="5"/>
      <c r="T45" s="5">
        <f t="shared" si="12"/>
        <v>3008</v>
      </c>
      <c r="U45" s="5">
        <f t="shared" si="13"/>
        <v>0</v>
      </c>
      <c r="V45" s="5">
        <f>Table1[[#This Row],[Enrolment S.Y. 2025-2026 ]]*8</f>
        <v>3008</v>
      </c>
      <c r="W45" s="5"/>
      <c r="X45" s="1"/>
      <c r="Y45" s="5"/>
      <c r="Z45" s="5">
        <f t="shared" si="14"/>
        <v>3008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376</v>
      </c>
      <c r="D47" s="5">
        <f>Table1[[#This Row],[Enrolment S.Y. 2025-2026 ]]*8</f>
        <v>3008</v>
      </c>
      <c r="E47" s="5">
        <v>78</v>
      </c>
      <c r="F47" s="1">
        <v>2025</v>
      </c>
      <c r="G47" s="5" t="s">
        <v>9</v>
      </c>
      <c r="H47" s="5">
        <f t="shared" si="2"/>
        <v>2930</v>
      </c>
      <c r="I47" s="5">
        <f t="shared" si="3"/>
        <v>0</v>
      </c>
      <c r="J47" s="5">
        <f>Table1[[#This Row],[Enrolment S.Y. 2025-2026 ]]*8</f>
        <v>3008</v>
      </c>
      <c r="K47" s="5"/>
      <c r="L47" s="1"/>
      <c r="M47" s="5"/>
      <c r="N47" s="5">
        <f t="shared" si="10"/>
        <v>3008</v>
      </c>
      <c r="O47" s="5">
        <f t="shared" si="11"/>
        <v>0</v>
      </c>
      <c r="P47" s="5">
        <f>Table1[[#This Row],[Enrolment S.Y. 2025-2026 ]]*8</f>
        <v>3008</v>
      </c>
      <c r="Q47" s="5"/>
      <c r="R47" s="1"/>
      <c r="S47" s="5"/>
      <c r="T47" s="5">
        <f t="shared" si="12"/>
        <v>3008</v>
      </c>
      <c r="U47" s="5">
        <f t="shared" si="13"/>
        <v>0</v>
      </c>
      <c r="V47" s="5">
        <f>Table1[[#This Row],[Enrolment S.Y. 2025-2026 ]]*8</f>
        <v>3008</v>
      </c>
      <c r="W47" s="5"/>
      <c r="X47" s="1"/>
      <c r="Y47" s="5"/>
      <c r="Z47" s="5">
        <f t="shared" si="14"/>
        <v>3008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376</v>
      </c>
      <c r="D49" s="5">
        <f>Table1[[#This Row],[Enrolment S.Y. 2025-2026 ]]*8</f>
        <v>3008</v>
      </c>
      <c r="E49" s="5">
        <v>78</v>
      </c>
      <c r="F49" s="1">
        <v>2025</v>
      </c>
      <c r="G49" s="5" t="s">
        <v>9</v>
      </c>
      <c r="H49" s="5">
        <f t="shared" si="2"/>
        <v>2930</v>
      </c>
      <c r="I49" s="5">
        <f t="shared" si="3"/>
        <v>0</v>
      </c>
      <c r="J49" s="5">
        <f>Table1[[#This Row],[Enrolment S.Y. 2025-2026 ]]*8</f>
        <v>3008</v>
      </c>
      <c r="K49" s="5"/>
      <c r="L49" s="1"/>
      <c r="M49" s="5"/>
      <c r="N49" s="5">
        <f t="shared" si="10"/>
        <v>3008</v>
      </c>
      <c r="O49" s="5">
        <f t="shared" si="11"/>
        <v>0</v>
      </c>
      <c r="P49" s="5">
        <f>Table1[[#This Row],[Enrolment S.Y. 2025-2026 ]]*8</f>
        <v>3008</v>
      </c>
      <c r="Q49" s="5"/>
      <c r="R49" s="1"/>
      <c r="S49" s="5"/>
      <c r="T49" s="5">
        <f t="shared" si="12"/>
        <v>3008</v>
      </c>
      <c r="U49" s="5">
        <f t="shared" si="13"/>
        <v>0</v>
      </c>
      <c r="V49" s="5">
        <f>Table1[[#This Row],[Enrolment S.Y. 2025-2026 ]]*8</f>
        <v>3008</v>
      </c>
      <c r="W49" s="5"/>
      <c r="X49" s="1"/>
      <c r="Y49" s="5"/>
      <c r="Z49" s="5">
        <f t="shared" si="14"/>
        <v>3008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376</v>
      </c>
      <c r="D51" s="5">
        <f>Table1[[#This Row],[Enrolment S.Y. 2025-2026 ]]*8</f>
        <v>3008</v>
      </c>
      <c r="E51" s="5">
        <v>78</v>
      </c>
      <c r="F51" s="1">
        <v>2025</v>
      </c>
      <c r="G51" s="5" t="s">
        <v>9</v>
      </c>
      <c r="H51" s="5">
        <f t="shared" si="2"/>
        <v>2930</v>
      </c>
      <c r="I51" s="5">
        <f t="shared" si="3"/>
        <v>0</v>
      </c>
      <c r="J51" s="5">
        <f>Table1[[#This Row],[Enrolment S.Y. 2025-2026 ]]*8</f>
        <v>3008</v>
      </c>
      <c r="K51" s="5"/>
      <c r="L51" s="1"/>
      <c r="M51" s="5"/>
      <c r="N51" s="5">
        <f t="shared" si="10"/>
        <v>3008</v>
      </c>
      <c r="O51" s="5">
        <f t="shared" si="11"/>
        <v>0</v>
      </c>
      <c r="P51" s="5">
        <f>Table1[[#This Row],[Enrolment S.Y. 2025-2026 ]]*8</f>
        <v>3008</v>
      </c>
      <c r="Q51" s="5"/>
      <c r="R51" s="1"/>
      <c r="S51" s="5"/>
      <c r="T51" s="5">
        <f t="shared" si="12"/>
        <v>3008</v>
      </c>
      <c r="U51" s="5">
        <f t="shared" si="13"/>
        <v>0</v>
      </c>
      <c r="V51" s="5">
        <f>Table1[[#This Row],[Enrolment S.Y. 2025-2026 ]]*8</f>
        <v>3008</v>
      </c>
      <c r="W51" s="5"/>
      <c r="X51" s="1"/>
      <c r="Y51" s="5"/>
      <c r="Z51" s="5">
        <f t="shared" si="14"/>
        <v>3008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3" zoomScale="55" zoomScaleNormal="55" workbookViewId="0">
      <selection activeCell="G17" sqref="G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>
        <v>406</v>
      </c>
      <c r="F4" s="1">
        <v>2025</v>
      </c>
      <c r="G4" s="5" t="s">
        <v>9</v>
      </c>
      <c r="H4" s="5">
        <f t="shared" si="0"/>
        <v>0</v>
      </c>
      <c r="I4" s="5">
        <f t="shared" si="1"/>
        <v>406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399</v>
      </c>
      <c r="D12" s="5">
        <f>Table14[[#This Row],[Enrolment S.Y. 2025-2026 ]]*8</f>
        <v>3192</v>
      </c>
      <c r="E12" s="5">
        <v>360</v>
      </c>
      <c r="F12" s="1">
        <v>2025</v>
      </c>
      <c r="G12" s="5" t="s">
        <v>9</v>
      </c>
      <c r="H12" s="5">
        <f t="shared" si="0"/>
        <v>2832</v>
      </c>
      <c r="I12" s="5">
        <f t="shared" si="1"/>
        <v>0</v>
      </c>
      <c r="J12" s="5">
        <f>Table14[[#This Row],[Enrolment S.Y. 2025-2026 ]]*8</f>
        <v>3192</v>
      </c>
      <c r="K12" s="5"/>
      <c r="L12" s="1"/>
      <c r="M12" s="5"/>
      <c r="N12" s="5">
        <f t="shared" si="2"/>
        <v>3192</v>
      </c>
      <c r="O12" s="5">
        <f t="shared" si="3"/>
        <v>0</v>
      </c>
      <c r="P12" s="5">
        <f>Table14[[#This Row],[Enrolment S.Y. 2025-2026 ]]*8</f>
        <v>3192</v>
      </c>
      <c r="Q12" s="5"/>
      <c r="R12" s="1"/>
      <c r="S12" s="5"/>
      <c r="T12" s="5">
        <f t="shared" si="4"/>
        <v>3192</v>
      </c>
      <c r="U12" s="5">
        <f t="shared" si="5"/>
        <v>0</v>
      </c>
      <c r="V12" s="5">
        <f>Table14[[#This Row],[Enrolment S.Y. 2025-2026 ]]*8</f>
        <v>3192</v>
      </c>
      <c r="W12" s="5"/>
      <c r="X12" s="1"/>
      <c r="Y12" s="5"/>
      <c r="Z12" s="5">
        <f t="shared" si="6"/>
        <v>3192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399</v>
      </c>
      <c r="D14" s="5">
        <f>Table14[[#This Row],[Enrolment S.Y. 2025-2026 ]]*8</f>
        <v>3192</v>
      </c>
      <c r="E14" s="5">
        <v>360</v>
      </c>
      <c r="F14" s="1">
        <v>2025</v>
      </c>
      <c r="G14" s="5" t="s">
        <v>9</v>
      </c>
      <c r="H14" s="5">
        <f t="shared" si="0"/>
        <v>2832</v>
      </c>
      <c r="I14" s="5">
        <f t="shared" si="1"/>
        <v>0</v>
      </c>
      <c r="J14" s="5">
        <f>Table14[[#This Row],[Enrolment S.Y. 2025-2026 ]]*8</f>
        <v>3192</v>
      </c>
      <c r="K14" s="5"/>
      <c r="L14" s="1"/>
      <c r="M14" s="5"/>
      <c r="N14" s="5">
        <f t="shared" si="2"/>
        <v>3192</v>
      </c>
      <c r="O14" s="5">
        <f t="shared" si="3"/>
        <v>0</v>
      </c>
      <c r="P14" s="5">
        <f>Table14[[#This Row],[Enrolment S.Y. 2025-2026 ]]*8</f>
        <v>3192</v>
      </c>
      <c r="Q14" s="5"/>
      <c r="R14" s="1"/>
      <c r="S14" s="5"/>
      <c r="T14" s="5">
        <f t="shared" si="4"/>
        <v>3192</v>
      </c>
      <c r="U14" s="5">
        <f t="shared" si="5"/>
        <v>0</v>
      </c>
      <c r="V14" s="5">
        <f>Table14[[#This Row],[Enrolment S.Y. 2025-2026 ]]*8</f>
        <v>3192</v>
      </c>
      <c r="W14" s="5"/>
      <c r="X14" s="1"/>
      <c r="Y14" s="5"/>
      <c r="Z14" s="5">
        <f t="shared" si="6"/>
        <v>3192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399</v>
      </c>
      <c r="D15" s="5">
        <f>Table14[[#This Row],[Enrolment S.Y. 2025-2026 ]]*8</f>
        <v>3192</v>
      </c>
      <c r="E15" s="5">
        <v>360</v>
      </c>
      <c r="F15" s="1">
        <v>2025</v>
      </c>
      <c r="G15" s="5" t="s">
        <v>9</v>
      </c>
      <c r="H15" s="5">
        <f t="shared" si="0"/>
        <v>2832</v>
      </c>
      <c r="I15" s="5">
        <f t="shared" si="1"/>
        <v>0</v>
      </c>
      <c r="J15" s="5">
        <f>Table14[[#This Row],[Enrolment S.Y. 2025-2026 ]]*8</f>
        <v>3192</v>
      </c>
      <c r="K15" s="5"/>
      <c r="L15" s="1"/>
      <c r="M15" s="5"/>
      <c r="N15" s="5">
        <f t="shared" si="2"/>
        <v>3192</v>
      </c>
      <c r="O15" s="5">
        <f t="shared" si="3"/>
        <v>0</v>
      </c>
      <c r="P15" s="5">
        <f>Table14[[#This Row],[Enrolment S.Y. 2025-2026 ]]*8</f>
        <v>3192</v>
      </c>
      <c r="Q15" s="5"/>
      <c r="R15" s="1"/>
      <c r="S15" s="5"/>
      <c r="T15" s="5">
        <f t="shared" si="4"/>
        <v>3192</v>
      </c>
      <c r="U15" s="5">
        <f t="shared" si="5"/>
        <v>0</v>
      </c>
      <c r="V15" s="5">
        <f>Table14[[#This Row],[Enrolment S.Y. 2025-2026 ]]*8</f>
        <v>3192</v>
      </c>
      <c r="W15" s="5"/>
      <c r="X15" s="1"/>
      <c r="Y15" s="5"/>
      <c r="Z15" s="5">
        <f t="shared" si="6"/>
        <v>3192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399</v>
      </c>
      <c r="D16" s="5">
        <f>Table14[[#This Row],[Enrolment S.Y. 2025-2026 ]]*8</f>
        <v>3192</v>
      </c>
      <c r="E16" s="5">
        <v>360</v>
      </c>
      <c r="F16" s="1">
        <v>2025</v>
      </c>
      <c r="G16" s="5" t="s">
        <v>9</v>
      </c>
      <c r="H16" s="5">
        <f t="shared" si="0"/>
        <v>2832</v>
      </c>
      <c r="I16" s="5">
        <f t="shared" si="1"/>
        <v>0</v>
      </c>
      <c r="J16" s="5">
        <f>Table14[[#This Row],[Enrolment S.Y. 2025-2026 ]]*8</f>
        <v>3192</v>
      </c>
      <c r="K16" s="5"/>
      <c r="L16" s="1"/>
      <c r="M16" s="5"/>
      <c r="N16" s="5">
        <f t="shared" si="2"/>
        <v>3192</v>
      </c>
      <c r="O16" s="5">
        <f t="shared" si="3"/>
        <v>0</v>
      </c>
      <c r="P16" s="5">
        <f>Table14[[#This Row],[Enrolment S.Y. 2025-2026 ]]*8</f>
        <v>3192</v>
      </c>
      <c r="Q16" s="5"/>
      <c r="R16" s="1"/>
      <c r="S16" s="5"/>
      <c r="T16" s="5">
        <f t="shared" si="4"/>
        <v>3192</v>
      </c>
      <c r="U16" s="5">
        <f t="shared" si="5"/>
        <v>0</v>
      </c>
      <c r="V16" s="5">
        <f>Table14[[#This Row],[Enrolment S.Y. 2025-2026 ]]*8</f>
        <v>3192</v>
      </c>
      <c r="W16" s="5"/>
      <c r="X16" s="1"/>
      <c r="Y16" s="5"/>
      <c r="Z16" s="5">
        <f t="shared" si="6"/>
        <v>3192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399</v>
      </c>
      <c r="D17" s="5">
        <f>Table14[[#This Row],[Enrolment S.Y. 2025-2026 ]]*8</f>
        <v>3192</v>
      </c>
      <c r="E17" s="5">
        <v>360</v>
      </c>
      <c r="F17" s="1">
        <v>2025</v>
      </c>
      <c r="G17" s="5" t="s">
        <v>9</v>
      </c>
      <c r="H17" s="5">
        <f>IF((D17-E17)&lt;0,0,(D17-E17))</f>
        <v>2832</v>
      </c>
      <c r="I17" s="5">
        <f>IF((E17-D17)&lt;0,0,(E17-D17))</f>
        <v>0</v>
      </c>
      <c r="J17" s="5">
        <f>Table14[[#This Row],[Enrolment S.Y. 2025-2026 ]]*8</f>
        <v>3192</v>
      </c>
      <c r="K17" s="5"/>
      <c r="L17" s="1"/>
      <c r="M17" s="5"/>
      <c r="N17" s="5">
        <f t="shared" si="2"/>
        <v>3192</v>
      </c>
      <c r="O17" s="5">
        <f t="shared" si="3"/>
        <v>0</v>
      </c>
      <c r="P17" s="5">
        <f>Table14[[#This Row],[Enrolment S.Y. 2025-2026 ]]*8</f>
        <v>3192</v>
      </c>
      <c r="Q17" s="5"/>
      <c r="R17" s="1"/>
      <c r="S17" s="5"/>
      <c r="T17" s="5">
        <f t="shared" si="4"/>
        <v>3192</v>
      </c>
      <c r="U17" s="5">
        <f t="shared" si="5"/>
        <v>0</v>
      </c>
      <c r="V17" s="5">
        <f>Table14[[#This Row],[Enrolment S.Y. 2025-2026 ]]*8</f>
        <v>3192</v>
      </c>
      <c r="W17" s="5"/>
      <c r="X17" s="1"/>
      <c r="Y17" s="5"/>
      <c r="Z17" s="5">
        <f t="shared" si="6"/>
        <v>3192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399</v>
      </c>
      <c r="D18" s="5">
        <f>Table14[[#This Row],[Enrolment S.Y. 2025-2026 ]]*8</f>
        <v>3192</v>
      </c>
      <c r="E18" s="5">
        <v>360</v>
      </c>
      <c r="F18" s="1">
        <v>2025</v>
      </c>
      <c r="G18" s="5" t="s">
        <v>9</v>
      </c>
      <c r="H18" s="5">
        <f>IF((D18-E18)&lt;0,0,(D18-E18))</f>
        <v>2832</v>
      </c>
      <c r="I18" s="5">
        <f>IF((E18-D18)&lt;0,0,(E18-D18))</f>
        <v>0</v>
      </c>
      <c r="J18" s="5">
        <f>Table14[[#This Row],[Enrolment S.Y. 2025-2026 ]]*8</f>
        <v>3192</v>
      </c>
      <c r="K18" s="5"/>
      <c r="L18" s="1"/>
      <c r="M18" s="5"/>
      <c r="N18" s="5">
        <f t="shared" si="2"/>
        <v>3192</v>
      </c>
      <c r="O18" s="5">
        <f t="shared" si="3"/>
        <v>0</v>
      </c>
      <c r="P18" s="5">
        <f>Table14[[#This Row],[Enrolment S.Y. 2025-2026 ]]*8</f>
        <v>3192</v>
      </c>
      <c r="Q18" s="5"/>
      <c r="R18" s="1"/>
      <c r="S18" s="5"/>
      <c r="T18" s="5">
        <f t="shared" si="4"/>
        <v>3192</v>
      </c>
      <c r="U18" s="5">
        <f t="shared" si="5"/>
        <v>0</v>
      </c>
      <c r="V18" s="5">
        <f>Table14[[#This Row],[Enrolment S.Y. 2025-2026 ]]*8</f>
        <v>3192</v>
      </c>
      <c r="W18" s="5"/>
      <c r="X18" s="1"/>
      <c r="Y18" s="5"/>
      <c r="Z18" s="5">
        <f t="shared" si="6"/>
        <v>3192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361</v>
      </c>
      <c r="D21" s="5">
        <f>Table14[[#This Row],[Enrolment S.Y. 2025-2026 ]]*8</f>
        <v>2888</v>
      </c>
      <c r="E21" s="5"/>
      <c r="F21" s="1"/>
      <c r="G21" s="5"/>
      <c r="H21" s="5">
        <f t="shared" si="0"/>
        <v>2888</v>
      </c>
      <c r="I21" s="5">
        <f t="shared" si="1"/>
        <v>0</v>
      </c>
      <c r="J21" s="5">
        <f>Table14[[#This Row],[Enrolment S.Y. 2025-2026 ]]*8</f>
        <v>2888</v>
      </c>
      <c r="K21" s="5"/>
      <c r="L21" s="1"/>
      <c r="M21" s="5"/>
      <c r="N21" s="5">
        <f t="shared" si="2"/>
        <v>2888</v>
      </c>
      <c r="O21" s="5">
        <f t="shared" si="3"/>
        <v>0</v>
      </c>
      <c r="P21" s="5">
        <f>Table14[[#This Row],[Enrolment S.Y. 2025-2026 ]]*8</f>
        <v>2888</v>
      </c>
      <c r="Q21" s="5"/>
      <c r="R21" s="1"/>
      <c r="S21" s="5"/>
      <c r="T21" s="5">
        <f t="shared" si="4"/>
        <v>2888</v>
      </c>
      <c r="U21" s="5">
        <f t="shared" si="5"/>
        <v>0</v>
      </c>
      <c r="V21" s="5">
        <f>Table14[[#This Row],[Enrolment S.Y. 2025-2026 ]]*8</f>
        <v>2888</v>
      </c>
      <c r="W21" s="5"/>
      <c r="X21" s="1"/>
      <c r="Y21" s="5"/>
      <c r="Z21" s="5">
        <f t="shared" si="6"/>
        <v>2888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>
        <v>30</v>
      </c>
      <c r="F22" s="1">
        <v>2025</v>
      </c>
      <c r="G22" s="5" t="s">
        <v>9</v>
      </c>
      <c r="H22" s="5">
        <f t="shared" si="0"/>
        <v>0</v>
      </c>
      <c r="I22" s="5">
        <f t="shared" si="1"/>
        <v>30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361</v>
      </c>
      <c r="D23" s="5">
        <f>Table14[[#This Row],[Enrolment S.Y. 2025-2026 ]]*8</f>
        <v>2888</v>
      </c>
      <c r="E23" s="5">
        <v>282</v>
      </c>
      <c r="F23" s="1">
        <v>2025</v>
      </c>
      <c r="G23" s="5" t="s">
        <v>9</v>
      </c>
      <c r="H23" s="5">
        <f t="shared" si="0"/>
        <v>2606</v>
      </c>
      <c r="I23" s="5">
        <f t="shared" si="1"/>
        <v>0</v>
      </c>
      <c r="J23" s="5">
        <f>Table14[[#This Row],[Enrolment S.Y. 2025-2026 ]]*8</f>
        <v>2888</v>
      </c>
      <c r="K23" s="5"/>
      <c r="L23" s="1"/>
      <c r="M23" s="5"/>
      <c r="N23" s="5">
        <f t="shared" si="2"/>
        <v>2888</v>
      </c>
      <c r="O23" s="5">
        <f t="shared" si="3"/>
        <v>0</v>
      </c>
      <c r="P23" s="5">
        <f>Table14[[#This Row],[Enrolment S.Y. 2025-2026 ]]*8</f>
        <v>2888</v>
      </c>
      <c r="Q23" s="5"/>
      <c r="R23" s="1"/>
      <c r="S23" s="5"/>
      <c r="T23" s="5">
        <f t="shared" si="4"/>
        <v>2888</v>
      </c>
      <c r="U23" s="5">
        <f t="shared" si="5"/>
        <v>0</v>
      </c>
      <c r="V23" s="5">
        <f>Table14[[#This Row],[Enrolment S.Y. 2025-2026 ]]*8</f>
        <v>2888</v>
      </c>
      <c r="W23" s="5"/>
      <c r="X23" s="1"/>
      <c r="Y23" s="5"/>
      <c r="Z23" s="5">
        <f t="shared" si="6"/>
        <v>2888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361</v>
      </c>
      <c r="D24" s="5">
        <f>Table14[[#This Row],[Enrolment S.Y. 2025-2026 ]]*8</f>
        <v>2888</v>
      </c>
      <c r="E24" s="5">
        <v>282</v>
      </c>
      <c r="F24" s="1">
        <v>2025</v>
      </c>
      <c r="G24" s="5" t="s">
        <v>9</v>
      </c>
      <c r="H24" s="5">
        <f t="shared" si="0"/>
        <v>2606</v>
      </c>
      <c r="I24" s="5">
        <f t="shared" si="1"/>
        <v>0</v>
      </c>
      <c r="J24" s="5">
        <f>Table14[[#This Row],[Enrolment S.Y. 2025-2026 ]]*8</f>
        <v>2888</v>
      </c>
      <c r="K24" s="5"/>
      <c r="L24" s="1"/>
      <c r="M24" s="5"/>
      <c r="N24" s="5">
        <f t="shared" si="2"/>
        <v>2888</v>
      </c>
      <c r="O24" s="5">
        <f t="shared" si="3"/>
        <v>0</v>
      </c>
      <c r="P24" s="5">
        <f>Table14[[#This Row],[Enrolment S.Y. 2025-2026 ]]*8</f>
        <v>2888</v>
      </c>
      <c r="Q24" s="5"/>
      <c r="R24" s="1"/>
      <c r="S24" s="5"/>
      <c r="T24" s="5">
        <f t="shared" si="4"/>
        <v>2888</v>
      </c>
      <c r="U24" s="5">
        <f t="shared" si="5"/>
        <v>0</v>
      </c>
      <c r="V24" s="5">
        <f>Table14[[#This Row],[Enrolment S.Y. 2025-2026 ]]*8</f>
        <v>2888</v>
      </c>
      <c r="W24" s="5"/>
      <c r="X24" s="1"/>
      <c r="Y24" s="5"/>
      <c r="Z24" s="5">
        <f t="shared" si="6"/>
        <v>2888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361</v>
      </c>
      <c r="D25" s="5">
        <f>Table14[[#This Row],[Enrolment S.Y. 2025-2026 ]]*8</f>
        <v>2888</v>
      </c>
      <c r="E25" s="5">
        <v>282</v>
      </c>
      <c r="F25" s="1">
        <v>2025</v>
      </c>
      <c r="G25" s="5" t="s">
        <v>9</v>
      </c>
      <c r="H25" s="5">
        <f t="shared" si="0"/>
        <v>2606</v>
      </c>
      <c r="I25" s="5">
        <f t="shared" si="1"/>
        <v>0</v>
      </c>
      <c r="J25" s="5">
        <f>Table14[[#This Row],[Enrolment S.Y. 2025-2026 ]]*8</f>
        <v>2888</v>
      </c>
      <c r="K25" s="5"/>
      <c r="L25" s="1"/>
      <c r="M25" s="5"/>
      <c r="N25" s="5">
        <f t="shared" si="2"/>
        <v>2888</v>
      </c>
      <c r="O25" s="5">
        <f t="shared" si="3"/>
        <v>0</v>
      </c>
      <c r="P25" s="5">
        <f>Table14[[#This Row],[Enrolment S.Y. 2025-2026 ]]*8</f>
        <v>2888</v>
      </c>
      <c r="Q25" s="5"/>
      <c r="R25" s="1"/>
      <c r="S25" s="5"/>
      <c r="T25" s="5">
        <f t="shared" si="4"/>
        <v>2888</v>
      </c>
      <c r="U25" s="5">
        <f t="shared" si="5"/>
        <v>0</v>
      </c>
      <c r="V25" s="5">
        <f>Table14[[#This Row],[Enrolment S.Y. 2025-2026 ]]*8</f>
        <v>2888</v>
      </c>
      <c r="W25" s="5"/>
      <c r="X25" s="1"/>
      <c r="Y25" s="5"/>
      <c r="Z25" s="5">
        <f t="shared" si="6"/>
        <v>2888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361</v>
      </c>
      <c r="D26" s="5">
        <f>Table14[[#This Row],[Enrolment S.Y. 2025-2026 ]]*8</f>
        <v>2888</v>
      </c>
      <c r="E26" s="5">
        <v>282</v>
      </c>
      <c r="F26" s="1">
        <v>2025</v>
      </c>
      <c r="G26" s="5" t="s">
        <v>9</v>
      </c>
      <c r="H26" s="5">
        <f t="shared" si="0"/>
        <v>2606</v>
      </c>
      <c r="I26" s="5">
        <f t="shared" si="1"/>
        <v>0</v>
      </c>
      <c r="J26" s="5">
        <f>Table14[[#This Row],[Enrolment S.Y. 2025-2026 ]]*8</f>
        <v>2888</v>
      </c>
      <c r="K26" s="5"/>
      <c r="L26" s="1"/>
      <c r="M26" s="5"/>
      <c r="N26" s="5">
        <f t="shared" si="2"/>
        <v>2888</v>
      </c>
      <c r="O26" s="5">
        <f t="shared" si="3"/>
        <v>0</v>
      </c>
      <c r="P26" s="5">
        <f>Table14[[#This Row],[Enrolment S.Y. 2025-2026 ]]*8</f>
        <v>2888</v>
      </c>
      <c r="Q26" s="5"/>
      <c r="R26" s="1"/>
      <c r="S26" s="5"/>
      <c r="T26" s="5">
        <f t="shared" si="4"/>
        <v>2888</v>
      </c>
      <c r="U26" s="5">
        <f t="shared" si="5"/>
        <v>0</v>
      </c>
      <c r="V26" s="5">
        <f>Table14[[#This Row],[Enrolment S.Y. 2025-2026 ]]*8</f>
        <v>2888</v>
      </c>
      <c r="W26" s="5"/>
      <c r="X26" s="1"/>
      <c r="Y26" s="5"/>
      <c r="Z26" s="5">
        <f t="shared" si="6"/>
        <v>2888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361</v>
      </c>
      <c r="D27" s="5">
        <f>Table14[[#This Row],[Enrolment S.Y. 2025-2026 ]]*8</f>
        <v>2888</v>
      </c>
      <c r="E27" s="5">
        <v>282</v>
      </c>
      <c r="F27" s="1">
        <v>2025</v>
      </c>
      <c r="G27" s="5" t="s">
        <v>9</v>
      </c>
      <c r="H27" s="5">
        <f>IF((D27-E27)&lt;0,0,(D27-E27))</f>
        <v>2606</v>
      </c>
      <c r="I27" s="5">
        <f>IF((E27-D27)&lt;0,0,(E27-D27))</f>
        <v>0</v>
      </c>
      <c r="J27" s="5">
        <f>Table14[[#This Row],[Enrolment S.Y. 2025-2026 ]]*8</f>
        <v>2888</v>
      </c>
      <c r="K27" s="5"/>
      <c r="L27" s="1"/>
      <c r="M27" s="5"/>
      <c r="N27" s="5">
        <f t="shared" si="2"/>
        <v>2888</v>
      </c>
      <c r="O27" s="5">
        <f t="shared" si="3"/>
        <v>0</v>
      </c>
      <c r="P27" s="5">
        <f>Table14[[#This Row],[Enrolment S.Y. 2025-2026 ]]*8</f>
        <v>2888</v>
      </c>
      <c r="Q27" s="5"/>
      <c r="R27" s="1"/>
      <c r="S27" s="5"/>
      <c r="T27" s="5">
        <f t="shared" si="4"/>
        <v>2888</v>
      </c>
      <c r="U27" s="5">
        <f t="shared" si="5"/>
        <v>0</v>
      </c>
      <c r="V27" s="5">
        <f>Table14[[#This Row],[Enrolment S.Y. 2025-2026 ]]*8</f>
        <v>2888</v>
      </c>
      <c r="W27" s="5"/>
      <c r="X27" s="1"/>
      <c r="Y27" s="5"/>
      <c r="Z27" s="5">
        <f t="shared" si="6"/>
        <v>2888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361</v>
      </c>
      <c r="D28" s="5">
        <f>Table14[[#This Row],[Enrolment S.Y. 2025-2026 ]]*8</f>
        <v>2888</v>
      </c>
      <c r="E28" s="5">
        <v>282</v>
      </c>
      <c r="F28" s="1">
        <v>2025</v>
      </c>
      <c r="G28" s="5" t="s">
        <v>9</v>
      </c>
      <c r="H28" s="5">
        <f>IF((D28-E28)&lt;0,0,(D28-E28))</f>
        <v>2606</v>
      </c>
      <c r="I28" s="5">
        <f>IF((E28-D28)&lt;0,0,(E28-D28))</f>
        <v>0</v>
      </c>
      <c r="J28" s="5">
        <f>Table14[[#This Row],[Enrolment S.Y. 2025-2026 ]]*8</f>
        <v>2888</v>
      </c>
      <c r="K28" s="5"/>
      <c r="L28" s="1"/>
      <c r="M28" s="5"/>
      <c r="N28" s="5">
        <f t="shared" si="2"/>
        <v>2888</v>
      </c>
      <c r="O28" s="5">
        <f t="shared" si="3"/>
        <v>0</v>
      </c>
      <c r="P28" s="5">
        <f>Table14[[#This Row],[Enrolment S.Y. 2025-2026 ]]*8</f>
        <v>2888</v>
      </c>
      <c r="Q28" s="5"/>
      <c r="R28" s="1"/>
      <c r="S28" s="5"/>
      <c r="T28" s="5">
        <f t="shared" si="4"/>
        <v>2888</v>
      </c>
      <c r="U28" s="5">
        <f t="shared" si="5"/>
        <v>0</v>
      </c>
      <c r="V28" s="5">
        <f>Table14[[#This Row],[Enrolment S.Y. 2025-2026 ]]*8</f>
        <v>2888</v>
      </c>
      <c r="W28" s="5"/>
      <c r="X28" s="1"/>
      <c r="Y28" s="5"/>
      <c r="Z28" s="5">
        <f t="shared" si="6"/>
        <v>2888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397</v>
      </c>
      <c r="D31" s="5">
        <f>Table14[[#This Row],[Enrolment S.Y. 2025-2026 ]]*8</f>
        <v>3176</v>
      </c>
      <c r="E31" s="5"/>
      <c r="F31" s="1"/>
      <c r="G31" s="5"/>
      <c r="H31" s="5">
        <f t="shared" si="0"/>
        <v>3176</v>
      </c>
      <c r="I31" s="5">
        <f t="shared" si="1"/>
        <v>0</v>
      </c>
      <c r="J31" s="5">
        <f>Table14[[#This Row],[Enrolment S.Y. 2025-2026 ]]*8</f>
        <v>3176</v>
      </c>
      <c r="K31" s="5"/>
      <c r="L31" s="1"/>
      <c r="M31" s="5"/>
      <c r="N31" s="5">
        <f t="shared" si="2"/>
        <v>3176</v>
      </c>
      <c r="O31" s="5">
        <f t="shared" si="3"/>
        <v>0</v>
      </c>
      <c r="P31" s="5">
        <f>Table14[[#This Row],[Enrolment S.Y. 2025-2026 ]]*8</f>
        <v>3176</v>
      </c>
      <c r="Q31" s="5"/>
      <c r="R31" s="1"/>
      <c r="S31" s="5"/>
      <c r="T31" s="5">
        <f t="shared" si="4"/>
        <v>3176</v>
      </c>
      <c r="U31" s="5">
        <f t="shared" si="5"/>
        <v>0</v>
      </c>
      <c r="V31" s="5">
        <f>Table14[[#This Row],[Enrolment S.Y. 2025-2026 ]]*8</f>
        <v>3176</v>
      </c>
      <c r="W31" s="5"/>
      <c r="X31" s="1"/>
      <c r="Y31" s="5"/>
      <c r="Z31" s="5">
        <f t="shared" si="6"/>
        <v>3176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376</v>
      </c>
      <c r="D43" s="5">
        <f>Table14[[#This Row],[Enrolment S.Y. 2025-2026 ]]*8</f>
        <v>3008</v>
      </c>
      <c r="E43" s="5"/>
      <c r="F43" s="1"/>
      <c r="G43" s="5"/>
      <c r="H43" s="5">
        <f t="shared" si="0"/>
        <v>3008</v>
      </c>
      <c r="I43" s="5">
        <f t="shared" si="1"/>
        <v>0</v>
      </c>
      <c r="J43" s="5">
        <f>Table14[[#This Row],[Enrolment S.Y. 2025-2026 ]]*8</f>
        <v>3008</v>
      </c>
      <c r="K43" s="5"/>
      <c r="L43" s="1"/>
      <c r="M43" s="5"/>
      <c r="N43" s="5">
        <f t="shared" si="2"/>
        <v>3008</v>
      </c>
      <c r="O43" s="5">
        <f t="shared" si="3"/>
        <v>0</v>
      </c>
      <c r="P43" s="5">
        <f>Table14[[#This Row],[Enrolment S.Y. 2025-2026 ]]*8</f>
        <v>3008</v>
      </c>
      <c r="Q43" s="5"/>
      <c r="R43" s="1"/>
      <c r="S43" s="5"/>
      <c r="T43" s="5">
        <f t="shared" si="4"/>
        <v>3008</v>
      </c>
      <c r="U43" s="5">
        <f t="shared" si="5"/>
        <v>0</v>
      </c>
      <c r="V43" s="5">
        <f>Table14[[#This Row],[Enrolment S.Y. 2025-2026 ]]*8</f>
        <v>3008</v>
      </c>
      <c r="W43" s="5"/>
      <c r="X43" s="1"/>
      <c r="Y43" s="5"/>
      <c r="Z43" s="5">
        <f t="shared" si="6"/>
        <v>3008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376</v>
      </c>
      <c r="D45" s="5">
        <f>Table14[[#This Row],[Enrolment S.Y. 2025-2026 ]]*8</f>
        <v>3008</v>
      </c>
      <c r="E45" s="5">
        <v>78</v>
      </c>
      <c r="F45" s="1">
        <v>2025</v>
      </c>
      <c r="G45" s="5" t="s">
        <v>9</v>
      </c>
      <c r="H45" s="5">
        <f t="shared" si="0"/>
        <v>2930</v>
      </c>
      <c r="I45" s="5">
        <f t="shared" si="1"/>
        <v>0</v>
      </c>
      <c r="J45" s="5">
        <f>Table14[[#This Row],[Enrolment S.Y. 2025-2026 ]]*8</f>
        <v>3008</v>
      </c>
      <c r="K45" s="5"/>
      <c r="L45" s="1"/>
      <c r="M45" s="5"/>
      <c r="N45" s="5">
        <f t="shared" si="2"/>
        <v>3008</v>
      </c>
      <c r="O45" s="5">
        <f t="shared" si="3"/>
        <v>0</v>
      </c>
      <c r="P45" s="5">
        <f>Table14[[#This Row],[Enrolment S.Y. 2025-2026 ]]*8</f>
        <v>3008</v>
      </c>
      <c r="Q45" s="5"/>
      <c r="R45" s="1"/>
      <c r="S45" s="5"/>
      <c r="T45" s="5">
        <f t="shared" si="4"/>
        <v>3008</v>
      </c>
      <c r="U45" s="5">
        <f t="shared" si="5"/>
        <v>0</v>
      </c>
      <c r="V45" s="5">
        <f>Table14[[#This Row],[Enrolment S.Y. 2025-2026 ]]*8</f>
        <v>3008</v>
      </c>
      <c r="W45" s="5"/>
      <c r="X45" s="1"/>
      <c r="Y45" s="5"/>
      <c r="Z45" s="5">
        <f t="shared" si="6"/>
        <v>3008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376</v>
      </c>
      <c r="D46" s="5">
        <f>Table14[[#This Row],[Enrolment S.Y. 2025-2026 ]]*8</f>
        <v>3008</v>
      </c>
      <c r="E46" s="5">
        <v>78</v>
      </c>
      <c r="F46" s="1">
        <v>2025</v>
      </c>
      <c r="G46" s="5" t="s">
        <v>9</v>
      </c>
      <c r="H46" s="5">
        <f t="shared" si="0"/>
        <v>2930</v>
      </c>
      <c r="I46" s="5">
        <f t="shared" si="1"/>
        <v>0</v>
      </c>
      <c r="J46" s="5">
        <f>Table14[[#This Row],[Enrolment S.Y. 2025-2026 ]]*8</f>
        <v>3008</v>
      </c>
      <c r="K46" s="5"/>
      <c r="L46" s="1"/>
      <c r="M46" s="5"/>
      <c r="N46" s="5">
        <f t="shared" si="2"/>
        <v>3008</v>
      </c>
      <c r="O46" s="5">
        <f t="shared" si="3"/>
        <v>0</v>
      </c>
      <c r="P46" s="5">
        <f>Table14[[#This Row],[Enrolment S.Y. 2025-2026 ]]*8</f>
        <v>3008</v>
      </c>
      <c r="Q46" s="5"/>
      <c r="R46" s="1"/>
      <c r="S46" s="5"/>
      <c r="T46" s="5">
        <f t="shared" si="4"/>
        <v>3008</v>
      </c>
      <c r="U46" s="5">
        <f t="shared" si="5"/>
        <v>0</v>
      </c>
      <c r="V46" s="5">
        <f>Table14[[#This Row],[Enrolment S.Y. 2025-2026 ]]*8</f>
        <v>3008</v>
      </c>
      <c r="W46" s="5"/>
      <c r="X46" s="1"/>
      <c r="Y46" s="5"/>
      <c r="Z46" s="5">
        <f t="shared" si="6"/>
        <v>3008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376</v>
      </c>
      <c r="D47" s="5">
        <f>Table14[[#This Row],[Enrolment S.Y. 2025-2026 ]]*8</f>
        <v>3008</v>
      </c>
      <c r="E47" s="5">
        <v>78</v>
      </c>
      <c r="F47" s="1">
        <v>2025</v>
      </c>
      <c r="G47" s="5" t="s">
        <v>9</v>
      </c>
      <c r="H47" s="5">
        <f t="shared" si="0"/>
        <v>2930</v>
      </c>
      <c r="I47" s="5">
        <f t="shared" si="1"/>
        <v>0</v>
      </c>
      <c r="J47" s="5">
        <f>Table14[[#This Row],[Enrolment S.Y. 2025-2026 ]]*8</f>
        <v>3008</v>
      </c>
      <c r="K47" s="5"/>
      <c r="L47" s="1"/>
      <c r="M47" s="5"/>
      <c r="N47" s="5">
        <f t="shared" si="2"/>
        <v>3008</v>
      </c>
      <c r="O47" s="5">
        <f t="shared" si="3"/>
        <v>0</v>
      </c>
      <c r="P47" s="5">
        <f>Table14[[#This Row],[Enrolment S.Y. 2025-2026 ]]*8</f>
        <v>3008</v>
      </c>
      <c r="Q47" s="5"/>
      <c r="R47" s="1"/>
      <c r="S47" s="5"/>
      <c r="T47" s="5">
        <f t="shared" si="4"/>
        <v>3008</v>
      </c>
      <c r="U47" s="5">
        <f t="shared" si="5"/>
        <v>0</v>
      </c>
      <c r="V47" s="5">
        <f>Table14[[#This Row],[Enrolment S.Y. 2025-2026 ]]*8</f>
        <v>3008</v>
      </c>
      <c r="W47" s="5"/>
      <c r="X47" s="1"/>
      <c r="Y47" s="5"/>
      <c r="Z47" s="5">
        <f t="shared" si="6"/>
        <v>3008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376</v>
      </c>
      <c r="D48" s="5">
        <f>Table14[[#This Row],[Enrolment S.Y. 2025-2026 ]]*8</f>
        <v>3008</v>
      </c>
      <c r="E48" s="5">
        <v>78</v>
      </c>
      <c r="F48" s="1">
        <v>2025</v>
      </c>
      <c r="G48" s="5" t="s">
        <v>9</v>
      </c>
      <c r="H48" s="5">
        <f t="shared" si="0"/>
        <v>2930</v>
      </c>
      <c r="I48" s="5">
        <f t="shared" si="1"/>
        <v>0</v>
      </c>
      <c r="J48" s="5">
        <f>Table14[[#This Row],[Enrolment S.Y. 2025-2026 ]]*8</f>
        <v>3008</v>
      </c>
      <c r="K48" s="5"/>
      <c r="L48" s="1"/>
      <c r="M48" s="5"/>
      <c r="N48" s="5">
        <f t="shared" ref="N48:N53" si="10">IF((J48-K48)&lt;0,0,(J48-K48))</f>
        <v>3008</v>
      </c>
      <c r="O48" s="5">
        <f t="shared" ref="O48:O53" si="11">IF((K48-J48)&lt;0,0,(K48-J48))</f>
        <v>0</v>
      </c>
      <c r="P48" s="5">
        <f>Table14[[#This Row],[Enrolment S.Y. 2025-2026 ]]*8</f>
        <v>3008</v>
      </c>
      <c r="Q48" s="5"/>
      <c r="R48" s="1"/>
      <c r="S48" s="5"/>
      <c r="T48" s="5">
        <f t="shared" si="4"/>
        <v>3008</v>
      </c>
      <c r="U48" s="5">
        <f t="shared" si="5"/>
        <v>0</v>
      </c>
      <c r="V48" s="5">
        <f>Table14[[#This Row],[Enrolment S.Y. 2025-2026 ]]*8</f>
        <v>3008</v>
      </c>
      <c r="W48" s="5"/>
      <c r="X48" s="1"/>
      <c r="Y48" s="5"/>
      <c r="Z48" s="5">
        <f t="shared" si="6"/>
        <v>3008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376</v>
      </c>
      <c r="D51" s="5">
        <f>Table14[[#This Row],[Enrolment S.Y. 2025-2026 ]]*8</f>
        <v>3008</v>
      </c>
      <c r="E51" s="5">
        <v>78</v>
      </c>
      <c r="F51" s="1">
        <v>2025</v>
      </c>
      <c r="G51" s="5" t="s">
        <v>9</v>
      </c>
      <c r="H51" s="5">
        <f t="shared" si="0"/>
        <v>2930</v>
      </c>
      <c r="I51" s="5">
        <f t="shared" si="1"/>
        <v>0</v>
      </c>
      <c r="J51" s="5">
        <f>Table14[[#This Row],[Enrolment S.Y. 2025-2026 ]]*8</f>
        <v>3008</v>
      </c>
      <c r="K51" s="5"/>
      <c r="L51" s="1"/>
      <c r="M51" s="5"/>
      <c r="N51" s="5">
        <f t="shared" si="10"/>
        <v>3008</v>
      </c>
      <c r="O51" s="5">
        <f t="shared" si="11"/>
        <v>0</v>
      </c>
      <c r="P51" s="5">
        <f>Table14[[#This Row],[Enrolment S.Y. 2025-2026 ]]*8</f>
        <v>3008</v>
      </c>
      <c r="Q51" s="5"/>
      <c r="R51" s="1"/>
      <c r="S51" s="5"/>
      <c r="T51" s="5">
        <f t="shared" si="4"/>
        <v>3008</v>
      </c>
      <c r="U51" s="5">
        <f t="shared" si="5"/>
        <v>0</v>
      </c>
      <c r="V51" s="5">
        <f>Table14[[#This Row],[Enrolment S.Y. 2025-2026 ]]*8</f>
        <v>3008</v>
      </c>
      <c r="W51" s="5"/>
      <c r="X51" s="1"/>
      <c r="Y51" s="5"/>
      <c r="Z51" s="5">
        <f t="shared" si="6"/>
        <v>3008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376</v>
      </c>
      <c r="D52" s="5">
        <f>Table14[[#This Row],[Enrolment S.Y. 2025-2026 ]]*8</f>
        <v>3008</v>
      </c>
      <c r="E52" s="5">
        <v>78</v>
      </c>
      <c r="F52" s="1">
        <v>2025</v>
      </c>
      <c r="G52" s="5" t="s">
        <v>9</v>
      </c>
      <c r="H52" s="5">
        <f>IF((D52-E52)&lt;0,0,(D52-E52))</f>
        <v>2930</v>
      </c>
      <c r="I52" s="5">
        <f>IF((E52-D52)&lt;0,0,(E52-D52))</f>
        <v>0</v>
      </c>
      <c r="J52" s="5">
        <f>Table14[[#This Row],[Enrolment S.Y. 2025-2026 ]]*8</f>
        <v>3008</v>
      </c>
      <c r="K52" s="5"/>
      <c r="L52" s="1"/>
      <c r="M52" s="5"/>
      <c r="N52" s="5">
        <f t="shared" si="10"/>
        <v>3008</v>
      </c>
      <c r="O52" s="5">
        <f t="shared" si="11"/>
        <v>0</v>
      </c>
      <c r="P52" s="5">
        <f>Table14[[#This Row],[Enrolment S.Y. 2025-2026 ]]*8</f>
        <v>3008</v>
      </c>
      <c r="Q52" s="5"/>
      <c r="R52" s="1"/>
      <c r="S52" s="5"/>
      <c r="T52" s="5">
        <f>IF((P52-Q52)&lt;0,0,(P52-Q52))</f>
        <v>3008</v>
      </c>
      <c r="U52" s="5">
        <f>IF((Q52-P52)&lt;0,0,(Q52-P52))</f>
        <v>0</v>
      </c>
      <c r="V52" s="5">
        <f>Table14[[#This Row],[Enrolment S.Y. 2025-2026 ]]*8</f>
        <v>3008</v>
      </c>
      <c r="W52" s="5"/>
      <c r="X52" s="1"/>
      <c r="Y52" s="5"/>
      <c r="Z52" s="5">
        <f>IF((V52-W52)&lt;0,0,(V52-W52))</f>
        <v>3008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382</v>
      </c>
      <c r="D55" s="5"/>
      <c r="E55" s="5"/>
      <c r="F55" s="1"/>
      <c r="G55" s="5"/>
      <c r="H55" s="5"/>
      <c r="I55" s="5"/>
      <c r="J55" s="5"/>
      <c r="K55" s="5">
        <v>200</v>
      </c>
      <c r="L55" s="1">
        <v>2025</v>
      </c>
      <c r="M55" s="5" t="s">
        <v>91</v>
      </c>
      <c r="N55" s="5">
        <f t="shared" si="2"/>
        <v>0</v>
      </c>
      <c r="O55" s="5">
        <f t="shared" si="3"/>
        <v>200</v>
      </c>
      <c r="P55" s="5">
        <f>Table14[[#This Row],[Enrolment S.Y. 2025-2026 ]]*8</f>
        <v>3056</v>
      </c>
      <c r="Q55" s="5"/>
      <c r="R55" s="1"/>
      <c r="S55" s="5"/>
      <c r="T55" s="5">
        <f t="shared" si="4"/>
        <v>3056</v>
      </c>
      <c r="U55" s="5">
        <f t="shared" si="5"/>
        <v>0</v>
      </c>
      <c r="V55" s="5">
        <f>Table14[[#This Row],[Enrolment S.Y. 2025-2026 ]]*8</f>
        <v>3056</v>
      </c>
      <c r="W55" s="5"/>
      <c r="X55" s="1"/>
      <c r="Y55" s="5"/>
      <c r="Z55" s="5">
        <f t="shared" si="6"/>
        <v>3056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382</v>
      </c>
      <c r="D56" s="5"/>
      <c r="E56" s="5"/>
      <c r="F56" s="1"/>
      <c r="G56" s="5"/>
      <c r="H56" s="5"/>
      <c r="I56" s="5"/>
      <c r="J56" s="5"/>
      <c r="K56" s="5">
        <v>400</v>
      </c>
      <c r="L56" s="1">
        <v>2025</v>
      </c>
      <c r="M56" s="5" t="s">
        <v>91</v>
      </c>
      <c r="N56" s="5">
        <f t="shared" si="2"/>
        <v>0</v>
      </c>
      <c r="O56" s="5">
        <f t="shared" si="3"/>
        <v>400</v>
      </c>
      <c r="P56" s="5">
        <f>Table14[[#This Row],[Enrolment S.Y. 2025-2026 ]]*8</f>
        <v>3056</v>
      </c>
      <c r="Q56" s="5"/>
      <c r="R56" s="1"/>
      <c r="S56" s="5"/>
      <c r="T56" s="5">
        <f t="shared" si="4"/>
        <v>3056</v>
      </c>
      <c r="U56" s="5">
        <f t="shared" si="5"/>
        <v>0</v>
      </c>
      <c r="V56" s="5">
        <f>Table14[[#This Row],[Enrolment S.Y. 2025-2026 ]]*8</f>
        <v>3056</v>
      </c>
      <c r="W56" s="5"/>
      <c r="X56" s="1"/>
      <c r="Y56" s="5"/>
      <c r="Z56" s="5">
        <f t="shared" si="6"/>
        <v>3056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382</v>
      </c>
      <c r="D57" s="5"/>
      <c r="E57" s="5"/>
      <c r="F57" s="1"/>
      <c r="G57" s="5"/>
      <c r="H57" s="5"/>
      <c r="I57" s="5"/>
      <c r="J57" s="5"/>
      <c r="K57" s="5">
        <v>200</v>
      </c>
      <c r="L57" s="1">
        <v>2025</v>
      </c>
      <c r="M57" s="5" t="s">
        <v>91</v>
      </c>
      <c r="N57" s="5">
        <f t="shared" si="2"/>
        <v>0</v>
      </c>
      <c r="O57" s="5">
        <f t="shared" si="3"/>
        <v>200</v>
      </c>
      <c r="P57" s="5">
        <f>Table14[[#This Row],[Enrolment S.Y. 2025-2026 ]]*8</f>
        <v>3056</v>
      </c>
      <c r="Q57" s="5"/>
      <c r="R57" s="1"/>
      <c r="S57" s="5"/>
      <c r="T57" s="5">
        <f t="shared" si="4"/>
        <v>3056</v>
      </c>
      <c r="U57" s="5">
        <f t="shared" si="5"/>
        <v>0</v>
      </c>
      <c r="V57" s="5">
        <f>Table14[[#This Row],[Enrolment S.Y. 2025-2026 ]]*8</f>
        <v>3056</v>
      </c>
      <c r="W57" s="5"/>
      <c r="X57" s="1"/>
      <c r="Y57" s="5"/>
      <c r="Z57" s="5">
        <f t="shared" si="6"/>
        <v>3056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MARITES ROJO</cp:lastModifiedBy>
  <cp:revision/>
  <dcterms:created xsi:type="dcterms:W3CDTF">2025-11-19T20:48:15Z</dcterms:created>
  <dcterms:modified xsi:type="dcterms:W3CDTF">2025-12-06T06:51:04Z</dcterms:modified>
  <cp:category/>
  <cp:contentStatus/>
</cp:coreProperties>
</file>