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3" documentId="13_ncr:1_{BFB59F67-F0DC-4675-A682-EB0734A8026A}" xr6:coauthVersionLast="47" xr6:coauthVersionMax="47" xr10:uidLastSave="{4A060F17-95D9-4BC7-8682-8CF47B9CD17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<sst xmlns="http://schemas.openxmlformats.org/spreadsheetml/2006/main" count="402" uniqueCount="94">
  <si>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</si>
  <si>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</si>
  <si>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</si>
  <si>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</si>
  <si>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</si>
  <si>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</si>
  <si>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</si>
  <si>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</si>
  <si>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</si>
  <si>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</si>
  <si>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</si>
  <si>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</si>
  <si>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</si>
  <si>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</si>
  <si>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</si>
  <si>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</si>
  <si>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</si>
  <si>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</si>
  <si>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</si>
  <si>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</si>
  <si>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</si>
  <si>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</si>
  <si>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</si>
  <si>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Year of Delivery</t>
  </si>
  <si>
    <t>AP</t>
  </si>
  <si>
    <t>Filipino/Noli Me Tangere</t>
  </si>
  <si>
    <t>Filipino/El Filibusterismo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</si>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</sst>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zoomScale="85" zoomScaleNormal="85" workbookViewId="0">
      <pane xSplit="2" topLeftCell="C84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11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11" ht="27.75" customHeight="1">
      <c r="A50" s="7"/>
      <c r="B50" s="7"/>
      <c r="C50" s="8"/>
      <c r="D50" s="8"/>
      <c r="E50" s="8"/>
      <c r="F50" s="7"/>
      <c r="G50" s="7"/>
      <c r="H50" s="7"/>
    </row>
    <row r="51" spans="1:11" ht="27.75" customHeight="1">
      <c r="A51" s="10">
        <v>7</v>
      </c>
      <c r="B51" s="11" t="s">
        <v>14</v>
      </c>
      <c r="C51" s="10">
        <v>735</v>
      </c>
      <c r="D51" s="10">
        <v>865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130</v>
      </c>
    </row>
    <row r="52" spans="1:11" ht="27.75" customHeight="1">
      <c r="A52" s="10">
        <v>7</v>
      </c>
      <c r="B52" s="11" t="s">
        <v>15</v>
      </c>
      <c r="C52" s="10">
        <v>735</v>
      </c>
      <c r="D52" s="10"/>
      <c r="E52" s="10"/>
      <c r="F52" s="12"/>
      <c r="G52" s="3">
        <f t="shared" si="10"/>
        <v>735</v>
      </c>
      <c r="H52" s="4">
        <f t="shared" si="11"/>
        <v>0</v>
      </c>
    </row>
    <row r="53" spans="1:11" ht="27.75" customHeight="1">
      <c r="A53" s="10">
        <v>7</v>
      </c>
      <c r="B53" s="11" t="s">
        <v>12</v>
      </c>
      <c r="C53" s="10">
        <v>735</v>
      </c>
      <c r="D53" s="10">
        <v>865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130</v>
      </c>
    </row>
    <row r="54" spans="1:11" ht="27.75" customHeight="1">
      <c r="A54" s="10">
        <v>7</v>
      </c>
      <c r="B54" s="11" t="s">
        <v>21</v>
      </c>
      <c r="C54" s="10">
        <v>735</v>
      </c>
      <c r="D54" s="10"/>
      <c r="E54" s="10"/>
      <c r="F54" s="12"/>
      <c r="G54" s="3">
        <f t="shared" si="10"/>
        <v>735</v>
      </c>
      <c r="H54" s="4">
        <f t="shared" si="11"/>
        <v>0</v>
      </c>
    </row>
    <row r="55" spans="1:11" ht="39" customHeight="1">
      <c r="A55" s="10">
        <v>7</v>
      </c>
      <c r="B55" s="11" t="s">
        <v>16</v>
      </c>
      <c r="C55" s="10">
        <v>735</v>
      </c>
      <c r="D55" s="10">
        <v>865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130</v>
      </c>
    </row>
    <row r="56" spans="1:11" ht="27.75" customHeight="1">
      <c r="A56" s="10">
        <v>7</v>
      </c>
      <c r="B56" s="11" t="s">
        <v>13</v>
      </c>
      <c r="C56" s="10">
        <v>735</v>
      </c>
      <c r="D56" s="10">
        <v>865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130</v>
      </c>
    </row>
    <row r="57" spans="1:11" ht="27.75" customHeight="1">
      <c r="A57" s="10">
        <v>7</v>
      </c>
      <c r="B57" s="11" t="s">
        <v>17</v>
      </c>
      <c r="C57" s="10">
        <v>735</v>
      </c>
      <c r="D57" s="10">
        <v>865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130</v>
      </c>
    </row>
    <row r="58" spans="1:11" ht="27.75" customHeight="1">
      <c r="A58" s="10">
        <v>7</v>
      </c>
      <c r="B58" s="11" t="s">
        <v>22</v>
      </c>
      <c r="C58" s="10">
        <v>735</v>
      </c>
      <c r="D58" s="10">
        <v>865</v>
      </c>
      <c r="E58" s="10"/>
      <c r="F58" s="12" t="s">
        <v>20</v>
      </c>
      <c r="G58" s="3">
        <f t="shared" si="10"/>
        <v>0</v>
      </c>
      <c r="H58" s="4">
        <f t="shared" si="11"/>
        <v>130</v>
      </c>
      <c r="J58">
        <v>2026</v>
      </c>
      <c r="K58" t="s">
        <v>23</v>
      </c>
    </row>
    <row r="59" spans="1:11" ht="27.75" customHeight="1">
      <c r="A59" s="10">
        <v>7</v>
      </c>
      <c r="B59" s="11" t="s">
        <v>19</v>
      </c>
      <c r="C59" s="10">
        <v>735</v>
      </c>
      <c r="D59" s="10">
        <v>865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130</v>
      </c>
    </row>
    <row r="60" spans="1:11" ht="27.75" customHeight="1">
      <c r="A60" s="7"/>
      <c r="B60" s="7"/>
      <c r="C60" s="8"/>
      <c r="D60" s="8"/>
      <c r="E60" s="8"/>
      <c r="F60" s="7"/>
      <c r="G60" s="7"/>
      <c r="H60" s="7"/>
    </row>
    <row r="61" spans="1:11" ht="27.75" customHeight="1">
      <c r="A61" s="10">
        <v>8</v>
      </c>
      <c r="B61" s="11" t="s">
        <v>14</v>
      </c>
      <c r="C61" s="10">
        <v>750</v>
      </c>
      <c r="D61" s="10"/>
      <c r="E61" s="10"/>
      <c r="F61" s="12"/>
      <c r="G61" s="3">
        <f t="shared" ref="G61:G69" si="12">IF((C61-D61)&lt;0,0,C61-D61)</f>
        <v>750</v>
      </c>
      <c r="H61" s="4">
        <f t="shared" ref="H61:H69" si="13">IF((D61-C61)&lt;0,0,D61-C61)</f>
        <v>0</v>
      </c>
    </row>
    <row r="62" spans="1:11" ht="27.75" customHeight="1">
      <c r="A62" s="10">
        <v>8</v>
      </c>
      <c r="B62" s="11" t="s">
        <v>15</v>
      </c>
      <c r="C62" s="10">
        <v>750</v>
      </c>
      <c r="D62" s="10"/>
      <c r="E62" s="10"/>
      <c r="F62" s="12"/>
      <c r="G62" s="3">
        <f t="shared" si="12"/>
        <v>750</v>
      </c>
      <c r="H62" s="4">
        <f t="shared" si="13"/>
        <v>0</v>
      </c>
    </row>
    <row r="63" spans="1:11" ht="27.75" customHeight="1">
      <c r="A63" s="10">
        <v>8</v>
      </c>
      <c r="B63" s="11" t="s">
        <v>12</v>
      </c>
      <c r="C63" s="10">
        <v>750</v>
      </c>
      <c r="D63" s="10">
        <v>790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40</v>
      </c>
    </row>
    <row r="64" spans="1:11" ht="27.75" customHeight="1">
      <c r="A64" s="10">
        <v>8</v>
      </c>
      <c r="B64" s="11" t="s">
        <v>21</v>
      </c>
      <c r="C64" s="10">
        <v>750</v>
      </c>
      <c r="D64" s="10">
        <v>790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40</v>
      </c>
    </row>
    <row r="65" spans="1:11" ht="27.75" customHeight="1">
      <c r="A65" s="10">
        <v>8</v>
      </c>
      <c r="B65" s="11" t="s">
        <v>24</v>
      </c>
      <c r="C65" s="10">
        <v>750</v>
      </c>
      <c r="D65" s="10"/>
      <c r="E65" s="10"/>
      <c r="F65" s="12"/>
      <c r="G65" s="3">
        <f t="shared" si="12"/>
        <v>750</v>
      </c>
      <c r="H65" s="4">
        <f t="shared" si="13"/>
        <v>0</v>
      </c>
    </row>
    <row r="66" spans="1:11" ht="27.75" customHeight="1">
      <c r="A66" s="10">
        <v>8</v>
      </c>
      <c r="B66" s="11" t="s">
        <v>13</v>
      </c>
      <c r="C66" s="10">
        <v>750</v>
      </c>
      <c r="D66" s="10">
        <v>790</v>
      </c>
      <c r="E66" s="10"/>
      <c r="F66" s="12" t="s">
        <v>20</v>
      </c>
      <c r="G66" s="3">
        <f t="shared" si="12"/>
        <v>0</v>
      </c>
      <c r="H66" s="4">
        <f t="shared" si="13"/>
        <v>40</v>
      </c>
      <c r="J66">
        <v>2026</v>
      </c>
      <c r="K66" t="s">
        <v>23</v>
      </c>
    </row>
    <row r="67" spans="1:11" ht="27.75" customHeight="1">
      <c r="A67" s="10">
        <v>8</v>
      </c>
      <c r="B67" s="11" t="s">
        <v>17</v>
      </c>
      <c r="C67" s="10">
        <v>750</v>
      </c>
      <c r="D67" s="10"/>
      <c r="E67" s="10"/>
      <c r="F67" s="12"/>
      <c r="G67" s="3">
        <f t="shared" si="12"/>
        <v>750</v>
      </c>
      <c r="H67" s="4">
        <f t="shared" si="13"/>
        <v>0</v>
      </c>
    </row>
    <row r="68" spans="1:11" ht="27.75" customHeight="1">
      <c r="A68" s="10">
        <v>8</v>
      </c>
      <c r="B68" s="11" t="s">
        <v>22</v>
      </c>
      <c r="C68" s="10">
        <v>750</v>
      </c>
      <c r="D68" s="10"/>
      <c r="E68" s="10"/>
      <c r="F68" s="12"/>
      <c r="G68" s="3">
        <f t="shared" si="12"/>
        <v>750</v>
      </c>
      <c r="H68" s="4">
        <f t="shared" si="13"/>
        <v>0</v>
      </c>
    </row>
    <row r="69" spans="1:11" ht="27.75" customHeight="1">
      <c r="A69" s="10">
        <v>8</v>
      </c>
      <c r="B69" s="11" t="s">
        <v>19</v>
      </c>
      <c r="C69" s="10">
        <v>750</v>
      </c>
      <c r="D69" s="10"/>
      <c r="E69" s="10"/>
      <c r="F69" s="12"/>
      <c r="G69" s="3">
        <f t="shared" si="12"/>
        <v>750</v>
      </c>
      <c r="H69" s="4">
        <f t="shared" si="13"/>
        <v>0</v>
      </c>
    </row>
    <row r="70" spans="1:11" ht="27.75" customHeight="1">
      <c r="A70" s="7"/>
      <c r="B70" s="7"/>
      <c r="C70" s="8"/>
      <c r="D70" s="8"/>
      <c r="E70" s="8"/>
      <c r="F70" s="7"/>
      <c r="G70" s="7"/>
      <c r="H70" s="7"/>
    </row>
    <row r="71" spans="1:11" ht="27.75" customHeight="1">
      <c r="A71" s="10">
        <v>9</v>
      </c>
      <c r="B71" s="11" t="s">
        <v>14</v>
      </c>
      <c r="C71" s="10">
        <v>598</v>
      </c>
      <c r="D71" s="10"/>
      <c r="E71" s="10"/>
      <c r="F71" s="12"/>
      <c r="G71" s="3">
        <f t="shared" ref="G71:G79" si="14">IF((C71-D71)&lt;0,0,C71-D71)</f>
        <v>598</v>
      </c>
      <c r="H71" s="4">
        <f t="shared" ref="H71:H79" si="15">IF((D71-C71)&lt;0,0,D71-C71)</f>
        <v>0</v>
      </c>
    </row>
    <row r="72" spans="1:11" ht="27.75" customHeight="1">
      <c r="A72" s="10">
        <v>9</v>
      </c>
      <c r="B72" s="11" t="s">
        <v>25</v>
      </c>
      <c r="C72" s="10">
        <v>598</v>
      </c>
      <c r="D72" s="10">
        <v>786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188</v>
      </c>
    </row>
    <row r="73" spans="1:11" ht="27.75" customHeight="1">
      <c r="A73" s="10">
        <v>9</v>
      </c>
      <c r="B73" s="11" t="s">
        <v>12</v>
      </c>
      <c r="C73" s="10">
        <v>598</v>
      </c>
      <c r="D73" s="10"/>
      <c r="E73" s="10"/>
      <c r="F73" s="12"/>
      <c r="G73" s="3">
        <f t="shared" si="14"/>
        <v>598</v>
      </c>
      <c r="H73" s="4">
        <f t="shared" si="15"/>
        <v>0</v>
      </c>
    </row>
    <row r="74" spans="1:11" ht="27.75" customHeight="1">
      <c r="A74" s="10">
        <v>9</v>
      </c>
      <c r="B74" s="11" t="s">
        <v>21</v>
      </c>
      <c r="C74" s="10">
        <v>598</v>
      </c>
      <c r="D74" s="10"/>
      <c r="E74" s="10"/>
      <c r="F74" s="12"/>
      <c r="G74" s="3">
        <f t="shared" si="14"/>
        <v>598</v>
      </c>
      <c r="H74" s="4">
        <f t="shared" si="15"/>
        <v>0</v>
      </c>
    </row>
    <row r="75" spans="1:11" ht="27.75" customHeight="1">
      <c r="A75" s="10">
        <v>9</v>
      </c>
      <c r="B75" s="11" t="s">
        <v>24</v>
      </c>
      <c r="C75" s="10">
        <v>598</v>
      </c>
      <c r="D75" s="10"/>
      <c r="E75" s="10"/>
      <c r="F75" s="12"/>
      <c r="G75" s="3">
        <f t="shared" si="14"/>
        <v>598</v>
      </c>
      <c r="H75" s="4">
        <f t="shared" si="15"/>
        <v>0</v>
      </c>
    </row>
    <row r="76" spans="1:11" ht="27.75" customHeight="1">
      <c r="A76" s="10">
        <v>9</v>
      </c>
      <c r="B76" s="11" t="s">
        <v>13</v>
      </c>
      <c r="C76" s="10">
        <v>598</v>
      </c>
      <c r="D76" s="10"/>
      <c r="E76" s="10"/>
      <c r="F76" s="12"/>
      <c r="G76" s="3">
        <f t="shared" si="14"/>
        <v>598</v>
      </c>
      <c r="H76" s="4">
        <f t="shared" si="15"/>
        <v>0</v>
      </c>
    </row>
    <row r="77" spans="1:11" ht="27.75" customHeight="1">
      <c r="A77" s="10">
        <v>9</v>
      </c>
      <c r="B77" s="11" t="s">
        <v>17</v>
      </c>
      <c r="C77" s="10">
        <v>598</v>
      </c>
      <c r="D77" s="10"/>
      <c r="E77" s="10"/>
      <c r="F77" s="12"/>
      <c r="G77" s="3">
        <f t="shared" si="14"/>
        <v>598</v>
      </c>
      <c r="H77" s="4">
        <f t="shared" si="15"/>
        <v>0</v>
      </c>
    </row>
    <row r="78" spans="1:11" ht="27.75" customHeight="1">
      <c r="A78" s="10">
        <v>9</v>
      </c>
      <c r="B78" s="11" t="s">
        <v>22</v>
      </c>
      <c r="C78" s="10">
        <v>598</v>
      </c>
      <c r="D78" s="10"/>
      <c r="E78" s="10"/>
      <c r="F78" s="12"/>
      <c r="G78" s="3">
        <f t="shared" si="14"/>
        <v>598</v>
      </c>
      <c r="H78" s="4">
        <f t="shared" si="15"/>
        <v>0</v>
      </c>
    </row>
    <row r="79" spans="1:11" ht="27.75" customHeight="1">
      <c r="A79" s="10">
        <v>9</v>
      </c>
      <c r="B79" s="11" t="s">
        <v>19</v>
      </c>
      <c r="C79" s="10">
        <v>598</v>
      </c>
      <c r="D79" s="10"/>
      <c r="E79" s="10"/>
      <c r="F79" s="12"/>
      <c r="G79" s="3">
        <f t="shared" si="14"/>
        <v>598</v>
      </c>
      <c r="H79" s="4">
        <f t="shared" si="15"/>
        <v>0</v>
      </c>
    </row>
    <row r="80" spans="1:11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689</v>
      </c>
      <c r="D81" s="10"/>
      <c r="E81" s="10"/>
      <c r="F81" s="12"/>
      <c r="G81" s="3">
        <f t="shared" ref="G81:G89" si="16">IF((C81-D81)&lt;0,0,C81-D81)</f>
        <v>689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26</v>
      </c>
      <c r="C82" s="10">
        <v>689</v>
      </c>
      <c r="D82" s="10">
        <v>745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56</v>
      </c>
    </row>
    <row r="83" spans="1:8" ht="27.75" customHeight="1">
      <c r="A83" s="10">
        <v>10</v>
      </c>
      <c r="B83" s="11" t="s">
        <v>12</v>
      </c>
      <c r="C83" s="10">
        <v>689</v>
      </c>
      <c r="D83" s="10"/>
      <c r="E83" s="10"/>
      <c r="F83" s="12"/>
      <c r="G83" s="3">
        <f t="shared" si="16"/>
        <v>689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689</v>
      </c>
      <c r="D84" s="10"/>
      <c r="E84" s="10"/>
      <c r="F84" s="12"/>
      <c r="G84" s="3">
        <f t="shared" si="16"/>
        <v>689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689</v>
      </c>
      <c r="D85" s="10"/>
      <c r="E85" s="10"/>
      <c r="F85" s="12"/>
      <c r="G85" s="3">
        <f t="shared" si="16"/>
        <v>689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689</v>
      </c>
      <c r="D86" s="10"/>
      <c r="E86" s="10"/>
      <c r="F86" s="12"/>
      <c r="G86" s="3">
        <f t="shared" si="16"/>
        <v>689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689</v>
      </c>
      <c r="D87" s="10"/>
      <c r="E87" s="10"/>
      <c r="F87" s="12"/>
      <c r="G87" s="3">
        <f t="shared" si="16"/>
        <v>689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689</v>
      </c>
      <c r="D88" s="10"/>
      <c r="E88" s="10"/>
      <c r="F88" s="12"/>
      <c r="G88" s="3">
        <f t="shared" si="16"/>
        <v>689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689</v>
      </c>
      <c r="D89" s="10"/>
      <c r="E89" s="10"/>
      <c r="F89" s="12"/>
      <c r="G89" s="3">
        <f t="shared" si="16"/>
        <v>689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27</v>
      </c>
      <c r="B91" s="9" t="s">
        <v>28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27</v>
      </c>
      <c r="B92" s="9" t="s">
        <v>29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27</v>
      </c>
      <c r="B93" s="9" t="s">
        <v>30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27</v>
      </c>
      <c r="B94" s="9" t="s">
        <v>31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27</v>
      </c>
      <c r="B95" s="9" t="s">
        <v>32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27</v>
      </c>
      <c r="B96" s="9" t="s">
        <v>33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27</v>
      </c>
      <c r="B97" s="9" t="s">
        <v>34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27</v>
      </c>
      <c r="B98" s="9" t="s">
        <v>35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81:E89 E71:E79 E61:E69 E51:E59 E41:E49 E31:E39 E21:E29 E14:E19 E8:E12 E2:E6" xr:uid="{85A951B1-17FF-46DE-A795-887CC90BAA4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F112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40</v>
      </c>
      <c r="E2" s="20" t="s">
        <v>41</v>
      </c>
      <c r="F2" s="21" t="s">
        <v>42</v>
      </c>
      <c r="G2" s="24" t="s">
        <v>43</v>
      </c>
      <c r="H2" s="17" t="s">
        <v>44</v>
      </c>
      <c r="I2" s="24" t="s">
        <v>45</v>
      </c>
      <c r="J2" s="22" t="s">
        <v>46</v>
      </c>
      <c r="K2" s="22" t="s">
        <v>47</v>
      </c>
      <c r="L2" s="23" t="s">
        <v>48</v>
      </c>
      <c r="M2" s="40" t="s">
        <v>49</v>
      </c>
      <c r="N2" s="40" t="s">
        <v>50</v>
      </c>
      <c r="O2" s="22" t="s">
        <v>51</v>
      </c>
      <c r="P2" s="24" t="s">
        <v>52</v>
      </c>
      <c r="Q2" s="24" t="s">
        <v>53</v>
      </c>
      <c r="R2" s="25" t="s">
        <v>54</v>
      </c>
      <c r="S2" s="17" t="s">
        <v>55</v>
      </c>
      <c r="T2" s="17" t="s">
        <v>56</v>
      </c>
      <c r="U2" s="24" t="s">
        <v>57</v>
      </c>
      <c r="V2" s="26" t="s">
        <v>58</v>
      </c>
      <c r="W2" s="26" t="s">
        <v>59</v>
      </c>
      <c r="X2" s="27" t="s">
        <v>60</v>
      </c>
      <c r="Y2" s="41" t="s">
        <v>61</v>
      </c>
      <c r="Z2" s="41" t="s">
        <v>62</v>
      </c>
      <c r="AA2" s="26" t="s">
        <v>63</v>
      </c>
    </row>
    <row r="3" spans="1:27" ht="30.6" customHeight="1">
      <c r="A3" s="39" t="s">
        <v>64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27</v>
      </c>
      <c r="B103" s="9" t="s">
        <v>28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27</v>
      </c>
      <c r="B104" s="9" t="s">
        <v>29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27</v>
      </c>
      <c r="B105" s="9" t="s">
        <v>30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27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27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27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27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27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93:F101 F83:F91 F73:F81 F63:F71 F53:F61 F43:F51 F33:F41 F23:F31 F14:F21 F5:F12 F112:F127 F103:F110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I137" zoomScale="55" zoomScaleNormal="55" workbookViewId="0">
      <selection activeCell="M172" sqref="M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36</v>
      </c>
      <c r="E1" s="42"/>
      <c r="F1" s="42"/>
      <c r="G1" s="42"/>
      <c r="H1" s="42"/>
      <c r="I1" s="42"/>
      <c r="J1" s="43" t="s">
        <v>37</v>
      </c>
      <c r="K1" s="43"/>
      <c r="L1" s="43"/>
      <c r="M1" s="43"/>
      <c r="N1" s="43"/>
      <c r="O1" s="43"/>
      <c r="P1" s="44" t="s">
        <v>38</v>
      </c>
      <c r="Q1" s="44"/>
      <c r="R1" s="44"/>
      <c r="S1" s="44"/>
      <c r="T1" s="44"/>
      <c r="U1" s="44"/>
      <c r="V1" s="45" t="s">
        <v>39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90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90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90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90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91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92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93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90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91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92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93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90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91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92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93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90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91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92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93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27</v>
      </c>
      <c r="B115" s="9" t="s">
        <v>28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27</v>
      </c>
      <c r="B116" s="9" t="s">
        <v>29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27</v>
      </c>
      <c r="B117" s="9" t="s">
        <v>30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27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27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27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27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27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2026-03-26T07:29:59Z</dcterms:modified>
  <cp:category/>
  <cp:contentStatus/>
</cp:coreProperties>
</file>