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6A8B74AC-4AD6-4F06-906B-50C59C023A5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<sst xmlns="http://schemas.openxmlformats.org/spreadsheetml/2006/main" count="248" uniqueCount="87">
  <si>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</si>
  <si>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</si>
  <si>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</si>
  <si>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</si>
  <si>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</si>
  <si>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</si>
  <si>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</si>
  <si>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</si>
  <si>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</si>
  <si>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</si>
  <si>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</si>
  <si>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</si>
  <si>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</si>
  <si>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</si>
  <si>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</si>
  <si>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</si>
  <si>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</si>
  <si>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</si>
  <si>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</si>
  <si>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Filipino/Noli Me Tangere</t>
  </si>
  <si>
    <t>Filipino/El Filibusterismo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</si>
  <si>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</si>
  <si>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</si>
  <si>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</si>
  <si>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</si>
  <si>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</si>
  <si>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</si>
  <si>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</si>
  <si>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</si>
  <si>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</si>
  <si>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Year of Delivery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</si>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</sst>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13" borderId="3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"/>
  <sheetViews>
    <sheetView zoomScale="85" zoomScaleNormal="85" workbookViewId="0">
      <pane xSplit="2" topLeftCell="C42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735</v>
      </c>
      <c r="D2" s="8">
        <v>865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130</v>
      </c>
    </row>
    <row r="3" spans="1:8" ht="29.25" customHeight="1">
      <c r="A3" s="8">
        <v>7</v>
      </c>
      <c r="B3" s="9" t="s">
        <v>10</v>
      </c>
      <c r="C3" s="8">
        <v>735</v>
      </c>
      <c r="D3" s="8"/>
      <c r="E3" s="8"/>
      <c r="F3" s="10"/>
      <c r="G3" s="2">
        <f t="shared" si="0"/>
        <v>735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735</v>
      </c>
      <c r="D4" s="8">
        <v>865</v>
      </c>
      <c r="E4" s="8">
        <v>2024</v>
      </c>
      <c r="F4" s="10" t="s">
        <v>9</v>
      </c>
      <c r="G4" s="2">
        <f t="shared" si="0"/>
        <v>0</v>
      </c>
      <c r="H4" s="3">
        <f t="shared" si="1"/>
        <v>130</v>
      </c>
    </row>
    <row r="5" spans="1:8" ht="25.5" customHeight="1">
      <c r="A5" s="8">
        <v>7</v>
      </c>
      <c r="B5" s="9" t="s">
        <v>12</v>
      </c>
      <c r="C5" s="8">
        <v>735</v>
      </c>
      <c r="D5" s="8"/>
      <c r="E5" s="8"/>
      <c r="F5" s="10"/>
      <c r="G5" s="2">
        <f t="shared" si="0"/>
        <v>735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735</v>
      </c>
      <c r="D6" s="8">
        <v>865</v>
      </c>
      <c r="E6" s="8">
        <v>2025</v>
      </c>
      <c r="F6" s="10" t="s">
        <v>9</v>
      </c>
      <c r="G6" s="2">
        <f t="shared" si="0"/>
        <v>0</v>
      </c>
      <c r="H6" s="3">
        <f t="shared" si="1"/>
        <v>130</v>
      </c>
    </row>
    <row r="7" spans="1:8" ht="19.5">
      <c r="A7" s="8">
        <v>7</v>
      </c>
      <c r="B7" s="9" t="s">
        <v>14</v>
      </c>
      <c r="C7" s="8">
        <v>735</v>
      </c>
      <c r="D7" s="8">
        <v>865</v>
      </c>
      <c r="E7" s="8">
        <v>2024</v>
      </c>
      <c r="F7" s="10" t="s">
        <v>9</v>
      </c>
      <c r="G7" s="2">
        <f t="shared" si="0"/>
        <v>0</v>
      </c>
      <c r="H7" s="3">
        <f t="shared" si="1"/>
        <v>130</v>
      </c>
    </row>
    <row r="8" spans="1:8" ht="39.75" customHeight="1">
      <c r="A8" s="8">
        <v>7</v>
      </c>
      <c r="B8" s="9" t="s">
        <v>15</v>
      </c>
      <c r="C8" s="8">
        <v>735</v>
      </c>
      <c r="D8" s="8">
        <v>865</v>
      </c>
      <c r="E8" s="8">
        <v>2025</v>
      </c>
      <c r="F8" s="10" t="s">
        <v>9</v>
      </c>
      <c r="G8" s="2">
        <f t="shared" si="0"/>
        <v>0</v>
      </c>
      <c r="H8" s="3">
        <f t="shared" si="1"/>
        <v>130</v>
      </c>
    </row>
    <row r="9" spans="1:8" ht="29.25" customHeight="1">
      <c r="A9" s="8">
        <v>7</v>
      </c>
      <c r="B9" s="9" t="s">
        <v>16</v>
      </c>
      <c r="C9" s="8">
        <v>735</v>
      </c>
      <c r="D9" s="8">
        <v>865</v>
      </c>
      <c r="E9" s="8"/>
      <c r="F9" s="10" t="s">
        <v>9</v>
      </c>
      <c r="G9" s="2">
        <f t="shared" si="0"/>
        <v>0</v>
      </c>
      <c r="H9" s="3">
        <f t="shared" si="1"/>
        <v>130</v>
      </c>
    </row>
    <row r="10" spans="1:8" ht="28.5" customHeight="1">
      <c r="A10" s="8">
        <v>7</v>
      </c>
      <c r="B10" s="9" t="s">
        <v>17</v>
      </c>
      <c r="C10" s="8">
        <v>735</v>
      </c>
      <c r="D10" s="8">
        <v>865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130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750</v>
      </c>
      <c r="D12" s="8"/>
      <c r="E12" s="8"/>
      <c r="F12" s="10"/>
      <c r="G12" s="2">
        <f t="shared" ref="G12:G20" si="2">IF((C12-D12)&lt;0,0,C12-D12)</f>
        <v>750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750</v>
      </c>
      <c r="D13" s="8"/>
      <c r="E13" s="8"/>
      <c r="F13" s="10"/>
      <c r="G13" s="2">
        <f t="shared" si="2"/>
        <v>750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750</v>
      </c>
      <c r="D14" s="8">
        <v>790</v>
      </c>
      <c r="E14" s="8">
        <v>2025</v>
      </c>
      <c r="F14" s="10" t="s">
        <v>9</v>
      </c>
      <c r="G14" s="2">
        <f t="shared" si="2"/>
        <v>0</v>
      </c>
      <c r="H14" s="3">
        <f t="shared" si="3"/>
        <v>40</v>
      </c>
    </row>
    <row r="15" spans="1:8" ht="29.25" customHeight="1">
      <c r="A15" s="8">
        <v>8</v>
      </c>
      <c r="B15" s="9" t="s">
        <v>12</v>
      </c>
      <c r="C15" s="8">
        <v>750</v>
      </c>
      <c r="D15" s="8">
        <v>790</v>
      </c>
      <c r="E15" s="8">
        <v>2025</v>
      </c>
      <c r="F15" s="10" t="s">
        <v>9</v>
      </c>
      <c r="G15" s="2">
        <f t="shared" si="2"/>
        <v>0</v>
      </c>
      <c r="H15" s="3">
        <f t="shared" si="3"/>
        <v>40</v>
      </c>
    </row>
    <row r="16" spans="1:8" ht="27" customHeight="1">
      <c r="A16" s="8">
        <v>8</v>
      </c>
      <c r="B16" s="9" t="s">
        <v>18</v>
      </c>
      <c r="C16" s="8">
        <v>750</v>
      </c>
      <c r="D16" s="8"/>
      <c r="E16" s="8"/>
      <c r="F16" s="10"/>
      <c r="G16" s="2">
        <f t="shared" si="2"/>
        <v>750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750</v>
      </c>
      <c r="D17" s="8">
        <v>790</v>
      </c>
      <c r="E17" s="8"/>
      <c r="F17" s="10" t="s">
        <v>9</v>
      </c>
      <c r="G17" s="2">
        <f t="shared" si="2"/>
        <v>0</v>
      </c>
      <c r="H17" s="3">
        <f t="shared" si="3"/>
        <v>40</v>
      </c>
    </row>
    <row r="18" spans="1:8" ht="21" customHeight="1">
      <c r="A18" s="8">
        <v>8</v>
      </c>
      <c r="B18" s="9" t="s">
        <v>15</v>
      </c>
      <c r="C18" s="8">
        <v>750</v>
      </c>
      <c r="D18" s="8"/>
      <c r="E18" s="8"/>
      <c r="F18" s="10"/>
      <c r="G18" s="2">
        <f t="shared" si="2"/>
        <v>750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750</v>
      </c>
      <c r="D19" s="8"/>
      <c r="E19" s="8"/>
      <c r="F19" s="10"/>
      <c r="G19" s="2">
        <f t="shared" si="2"/>
        <v>750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750</v>
      </c>
      <c r="D20" s="8"/>
      <c r="E20" s="8"/>
      <c r="F20" s="10"/>
      <c r="G20" s="2">
        <f t="shared" si="2"/>
        <v>750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598</v>
      </c>
      <c r="D22" s="8"/>
      <c r="E22" s="8"/>
      <c r="F22" s="10"/>
      <c r="G22" s="2">
        <f t="shared" ref="G22:G30" si="4">IF((C22-D22)&lt;0,0,C22-D22)</f>
        <v>598</v>
      </c>
      <c r="H22" s="3">
        <f t="shared" ref="H22:H30" si="5">IF((D22-C22)&lt;0,0,D22-C22)</f>
        <v>0</v>
      </c>
    </row>
    <row r="23" spans="1:8" ht="38.25">
      <c r="A23" s="8">
        <v>9</v>
      </c>
      <c r="B23" s="9" t="s">
        <v>19</v>
      </c>
      <c r="C23" s="8">
        <v>598</v>
      </c>
      <c r="D23" s="8">
        <v>786</v>
      </c>
      <c r="E23" s="8">
        <v>2024</v>
      </c>
      <c r="F23" s="10" t="s">
        <v>9</v>
      </c>
      <c r="G23" s="2">
        <f t="shared" si="4"/>
        <v>0</v>
      </c>
      <c r="H23" s="3">
        <f t="shared" si="5"/>
        <v>188</v>
      </c>
    </row>
    <row r="24" spans="1:8" ht="27" customHeight="1">
      <c r="A24" s="8">
        <v>9</v>
      </c>
      <c r="B24" s="9" t="s">
        <v>11</v>
      </c>
      <c r="C24" s="8">
        <v>598</v>
      </c>
      <c r="D24" s="8"/>
      <c r="E24" s="8"/>
      <c r="F24" s="10"/>
      <c r="G24" s="2">
        <f t="shared" si="4"/>
        <v>598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598</v>
      </c>
      <c r="D25" s="8"/>
      <c r="E25" s="8"/>
      <c r="F25" s="10"/>
      <c r="G25" s="2">
        <f t="shared" si="4"/>
        <v>598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598</v>
      </c>
      <c r="D26" s="8"/>
      <c r="E26" s="8"/>
      <c r="F26" s="10"/>
      <c r="G26" s="2">
        <f t="shared" si="4"/>
        <v>598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598</v>
      </c>
      <c r="D27" s="8"/>
      <c r="E27" s="8"/>
      <c r="F27" s="10"/>
      <c r="G27" s="2">
        <f t="shared" si="4"/>
        <v>598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598</v>
      </c>
      <c r="D28" s="8"/>
      <c r="E28" s="8"/>
      <c r="F28" s="10"/>
      <c r="G28" s="2">
        <f t="shared" si="4"/>
        <v>598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598</v>
      </c>
      <c r="D29" s="8"/>
      <c r="E29" s="8"/>
      <c r="F29" s="10"/>
      <c r="G29" s="2">
        <f t="shared" si="4"/>
        <v>598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598</v>
      </c>
      <c r="D30" s="8"/>
      <c r="E30" s="8"/>
      <c r="F30" s="10"/>
      <c r="G30" s="2">
        <f t="shared" si="4"/>
        <v>598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689</v>
      </c>
      <c r="D32" s="8"/>
      <c r="E32" s="8"/>
      <c r="F32" s="10"/>
      <c r="G32" s="2">
        <f t="shared" ref="G32:G40" si="6">IF((C32-D32)&lt;0,0,C32-D32)</f>
        <v>689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20</v>
      </c>
      <c r="C33" s="8">
        <v>689</v>
      </c>
      <c r="D33" s="8">
        <v>745</v>
      </c>
      <c r="E33" s="8">
        <v>2024</v>
      </c>
      <c r="F33" s="10" t="s">
        <v>9</v>
      </c>
      <c r="G33" s="2">
        <f t="shared" si="6"/>
        <v>0</v>
      </c>
      <c r="H33" s="3">
        <f t="shared" si="7"/>
        <v>56</v>
      </c>
    </row>
    <row r="34" spans="1:8" ht="27.75" customHeight="1">
      <c r="A34" s="8">
        <v>10</v>
      </c>
      <c r="B34" s="9" t="s">
        <v>11</v>
      </c>
      <c r="C34" s="8">
        <v>689</v>
      </c>
      <c r="D34" s="8"/>
      <c r="E34" s="8"/>
      <c r="F34" s="10"/>
      <c r="G34" s="2">
        <f t="shared" si="6"/>
        <v>689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689</v>
      </c>
      <c r="D35" s="8"/>
      <c r="E35" s="8"/>
      <c r="F35" s="10"/>
      <c r="G35" s="2">
        <f t="shared" si="6"/>
        <v>689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689</v>
      </c>
      <c r="D36" s="8"/>
      <c r="E36" s="8"/>
      <c r="F36" s="10"/>
      <c r="G36" s="2">
        <f t="shared" si="6"/>
        <v>689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689</v>
      </c>
      <c r="D37" s="8"/>
      <c r="E37" s="8"/>
      <c r="F37" s="10"/>
      <c r="G37" s="2">
        <f t="shared" si="6"/>
        <v>689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689</v>
      </c>
      <c r="D38" s="8"/>
      <c r="E38" s="8"/>
      <c r="F38" s="10"/>
      <c r="G38" s="2">
        <f t="shared" si="6"/>
        <v>689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689</v>
      </c>
      <c r="D39" s="8"/>
      <c r="E39" s="8"/>
      <c r="F39" s="10"/>
      <c r="G39" s="2">
        <f t="shared" si="6"/>
        <v>689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689</v>
      </c>
      <c r="D40" s="8"/>
      <c r="E40" s="8"/>
      <c r="F40" s="10"/>
      <c r="G40" s="2">
        <f t="shared" si="6"/>
        <v>689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21</v>
      </c>
      <c r="B42" s="7" t="s">
        <v>22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21</v>
      </c>
      <c r="B43" s="7" t="s">
        <v>23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21</v>
      </c>
      <c r="B44" s="7" t="s">
        <v>24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21</v>
      </c>
      <c r="B45" s="7" t="s">
        <v>25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21</v>
      </c>
      <c r="B46" s="7" t="s">
        <v>26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21</v>
      </c>
      <c r="B47" s="7" t="s">
        <v>27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21</v>
      </c>
      <c r="B48" s="7" t="s">
        <v>28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11" ht="27.75" customHeight="1">
      <c r="A49" s="1" t="s">
        <v>21</v>
      </c>
      <c r="B49" s="7" t="s">
        <v>29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11" ht="27.75" customHeight="1"/>
    <row r="51" spans="1:11" ht="27.75" customHeight="1"/>
    <row r="52" spans="1:11" ht="27.75" customHeight="1"/>
    <row r="53" spans="1:11" ht="27.75" customHeight="1"/>
    <row r="54" spans="1:11" ht="27.75" customHeight="1"/>
    <row r="55" spans="1:11" ht="39" customHeight="1"/>
    <row r="56" spans="1:11" ht="27.75" customHeight="1"/>
    <row r="57" spans="1:11" ht="27.75" customHeight="1"/>
    <row r="58" spans="1:11" ht="27.75" customHeight="1">
      <c r="J58">
        <v>2026</v>
      </c>
      <c r="K58" t="s">
        <v>30</v>
      </c>
    </row>
    <row r="59" spans="1:11" ht="27.75" customHeight="1"/>
    <row r="60" spans="1:11" ht="27.75" customHeight="1"/>
    <row r="61" spans="1:11" ht="27.75" customHeight="1"/>
    <row r="62" spans="1:11" ht="27.75" customHeight="1"/>
    <row r="63" spans="1:11" ht="27.75" customHeight="1"/>
    <row r="64" spans="1:11" ht="27.75" customHeight="1"/>
    <row r="65" spans="10:11" ht="27.75" customHeight="1"/>
    <row r="66" spans="10:11" ht="27.75" customHeight="1">
      <c r="J66">
        <v>2026</v>
      </c>
      <c r="K66" t="s">
        <v>30</v>
      </c>
    </row>
    <row r="67" spans="10:11" ht="27.75" customHeight="1"/>
    <row r="68" spans="10:11" ht="27.75" customHeight="1"/>
    <row r="69" spans="10:11" ht="27.75" customHeight="1"/>
    <row r="70" spans="10:11" ht="27.75" customHeight="1"/>
    <row r="71" spans="10:11" ht="27.75" customHeight="1"/>
    <row r="72" spans="10:11" ht="27.75" customHeight="1"/>
    <row r="73" spans="10:11" ht="27.75" customHeight="1"/>
    <row r="74" spans="10:11" ht="27.75" customHeight="1"/>
    <row r="75" spans="10:11" ht="27.75" customHeight="1"/>
    <row r="76" spans="10:11" ht="27.75" customHeight="1"/>
    <row r="77" spans="10:11" ht="27.75" customHeight="1"/>
    <row r="78" spans="10:11" ht="27.75" customHeight="1"/>
    <row r="79" spans="10:11" ht="27.75" customHeight="1"/>
    <row r="80" spans="10:11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73" sqref="AC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3" t="s">
        <v>31</v>
      </c>
      <c r="E1" s="33"/>
      <c r="F1" s="33"/>
      <c r="G1" s="33"/>
      <c r="H1" s="33"/>
      <c r="I1" s="33"/>
      <c r="J1" s="34" t="s">
        <v>32</v>
      </c>
      <c r="K1" s="34"/>
      <c r="L1" s="34"/>
      <c r="M1" s="34"/>
      <c r="N1" s="34"/>
      <c r="O1" s="34"/>
      <c r="P1" s="35" t="s">
        <v>33</v>
      </c>
      <c r="Q1" s="35"/>
      <c r="R1" s="35"/>
      <c r="S1" s="35"/>
      <c r="T1" s="35"/>
      <c r="U1" s="35"/>
      <c r="V1" s="36" t="s">
        <v>34</v>
      </c>
      <c r="W1" s="36"/>
      <c r="X1" s="36"/>
      <c r="Y1" s="36"/>
      <c r="Z1" s="36"/>
      <c r="AA1" s="36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35</v>
      </c>
      <c r="E2" s="18" t="s">
        <v>36</v>
      </c>
      <c r="F2" s="19" t="s">
        <v>37</v>
      </c>
      <c r="G2" s="22" t="s">
        <v>38</v>
      </c>
      <c r="H2" s="15" t="s">
        <v>39</v>
      </c>
      <c r="I2" s="22" t="s">
        <v>40</v>
      </c>
      <c r="J2" s="20" t="s">
        <v>41</v>
      </c>
      <c r="K2" s="20" t="s">
        <v>42</v>
      </c>
      <c r="L2" s="21" t="s">
        <v>43</v>
      </c>
      <c r="M2" s="30" t="s">
        <v>44</v>
      </c>
      <c r="N2" s="30" t="s">
        <v>45</v>
      </c>
      <c r="O2" s="20" t="s">
        <v>46</v>
      </c>
      <c r="P2" s="22" t="s">
        <v>47</v>
      </c>
      <c r="Q2" s="22" t="s">
        <v>48</v>
      </c>
      <c r="R2" s="23" t="s">
        <v>49</v>
      </c>
      <c r="S2" s="15" t="s">
        <v>50</v>
      </c>
      <c r="T2" s="15" t="s">
        <v>51</v>
      </c>
      <c r="U2" s="22" t="s">
        <v>52</v>
      </c>
      <c r="V2" s="24" t="s">
        <v>53</v>
      </c>
      <c r="W2" s="24" t="s">
        <v>54</v>
      </c>
      <c r="X2" s="25" t="s">
        <v>55</v>
      </c>
      <c r="Y2" s="31" t="s">
        <v>56</v>
      </c>
      <c r="Z2" s="31" t="s">
        <v>57</v>
      </c>
      <c r="AA2" s="24" t="s">
        <v>58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21</v>
      </c>
      <c r="B43" s="7" t="s">
        <v>22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21</v>
      </c>
      <c r="B44" s="7" t="s">
        <v>23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21</v>
      </c>
      <c r="B45" s="7" t="s">
        <v>24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21</v>
      </c>
      <c r="B46" s="7" t="s">
        <v>25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21</v>
      </c>
      <c r="B47" s="7" t="s">
        <v>26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21</v>
      </c>
      <c r="B48" s="7" t="s">
        <v>27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21</v>
      </c>
      <c r="B49" s="7" t="s">
        <v>28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21</v>
      </c>
      <c r="B50" s="7" t="s">
        <v>29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3:F41 F23:F31 F13:F21 F3:F11 F43:F50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U64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3" t="s">
        <v>31</v>
      </c>
      <c r="E1" s="33"/>
      <c r="F1" s="33"/>
      <c r="G1" s="33"/>
      <c r="H1" s="33"/>
      <c r="I1" s="33"/>
      <c r="J1" s="34" t="s">
        <v>32</v>
      </c>
      <c r="K1" s="34"/>
      <c r="L1" s="34"/>
      <c r="M1" s="34"/>
      <c r="N1" s="34"/>
      <c r="O1" s="34"/>
      <c r="P1" s="35" t="s">
        <v>33</v>
      </c>
      <c r="Q1" s="35"/>
      <c r="R1" s="35"/>
      <c r="S1" s="35"/>
      <c r="T1" s="35"/>
      <c r="U1" s="35"/>
      <c r="V1" s="36" t="s">
        <v>34</v>
      </c>
      <c r="W1" s="36"/>
      <c r="X1" s="36"/>
      <c r="Y1" s="36"/>
      <c r="Z1" s="36"/>
      <c r="AA1" s="36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59</v>
      </c>
      <c r="E2" s="18" t="s">
        <v>60</v>
      </c>
      <c r="F2" s="19" t="s">
        <v>61</v>
      </c>
      <c r="G2" s="22" t="s">
        <v>62</v>
      </c>
      <c r="H2" s="15" t="s">
        <v>63</v>
      </c>
      <c r="I2" s="22" t="s">
        <v>64</v>
      </c>
      <c r="J2" s="20" t="s">
        <v>65</v>
      </c>
      <c r="K2" s="20" t="s">
        <v>66</v>
      </c>
      <c r="L2" s="21" t="s">
        <v>67</v>
      </c>
      <c r="M2" s="30" t="s">
        <v>68</v>
      </c>
      <c r="N2" s="30" t="s">
        <v>69</v>
      </c>
      <c r="O2" s="20" t="s">
        <v>70</v>
      </c>
      <c r="P2" s="22" t="s">
        <v>71</v>
      </c>
      <c r="Q2" s="22" t="s">
        <v>72</v>
      </c>
      <c r="R2" s="23" t="s">
        <v>73</v>
      </c>
      <c r="S2" s="15" t="s">
        <v>74</v>
      </c>
      <c r="T2" s="15" t="s">
        <v>75</v>
      </c>
      <c r="U2" s="22" t="s">
        <v>76</v>
      </c>
      <c r="V2" s="24" t="s">
        <v>77</v>
      </c>
      <c r="W2" s="24" t="s">
        <v>78</v>
      </c>
      <c r="X2" s="25" t="s">
        <v>79</v>
      </c>
      <c r="Y2" s="31" t="s">
        <v>80</v>
      </c>
      <c r="Z2" s="31" t="s">
        <v>81</v>
      </c>
      <c r="AA2" s="24" t="s">
        <v>82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83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84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85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86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83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84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85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86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32">
        <v>254</v>
      </c>
      <c r="F27" s="8">
        <v>2025</v>
      </c>
      <c r="G27" s="10"/>
      <c r="H27" s="10">
        <f t="shared" si="16"/>
        <v>0</v>
      </c>
      <c r="I27" s="10">
        <f t="shared" si="17"/>
        <v>254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>
        <v>254</v>
      </c>
      <c r="F29" s="8">
        <v>2025</v>
      </c>
      <c r="G29" s="10"/>
      <c r="H29" s="10">
        <f t="shared" si="16"/>
        <v>0</v>
      </c>
      <c r="I29" s="10">
        <f t="shared" si="17"/>
        <v>254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83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84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85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86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83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84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85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86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21</v>
      </c>
      <c r="B51" s="7" t="s">
        <v>22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21</v>
      </c>
      <c r="B52" s="7" t="s">
        <v>23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21</v>
      </c>
      <c r="B53" s="7" t="s">
        <v>24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21</v>
      </c>
      <c r="B54" s="7" t="s">
        <v>25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21</v>
      </c>
      <c r="B55" s="7" t="s">
        <v>26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21</v>
      </c>
      <c r="B56" s="7" t="s">
        <v>27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21</v>
      </c>
      <c r="B57" s="7" t="s">
        <v>28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21</v>
      </c>
      <c r="B58" s="7" t="s">
        <v>29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2026-04-14T03:45:36Z</dcterms:modified>
  <cp:category/>
  <cp:contentStatus/>
</cp:coreProperties>
</file>