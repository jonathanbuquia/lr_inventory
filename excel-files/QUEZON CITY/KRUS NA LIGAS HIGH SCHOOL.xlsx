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69" documentId="13_ncr:1_{BFB59F67-F0DC-4675-A682-EB0734A8026A}" xr6:coauthVersionLast="47" xr6:coauthVersionMax="47" xr10:uidLastSave="{427E7E4E-7946-4396-AB6F-8FEDB639F65A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5" i="5" l="1"/>
  <c r="T45" i="5" s="1"/>
  <c r="P46" i="5"/>
  <c r="U46" i="5" s="1"/>
  <c r="P47" i="5"/>
  <c r="P48" i="5"/>
  <c r="P49" i="5"/>
  <c r="P33" i="5"/>
  <c r="T33" i="5" s="1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 s="1"/>
  <c r="J48" i="5"/>
  <c r="U48" i="5"/>
  <c r="T48" i="5"/>
  <c r="V48" i="5"/>
  <c r="Z48" i="5" s="1"/>
  <c r="D45" i="5"/>
  <c r="H45" i="5" s="1"/>
  <c r="J45" i="5"/>
  <c r="U45" i="5"/>
  <c r="V45" i="5"/>
  <c r="Z45" i="5" s="1"/>
  <c r="D24" i="5"/>
  <c r="H24" i="5" s="1"/>
  <c r="J24" i="5"/>
  <c r="T24" i="5"/>
  <c r="V24" i="5"/>
  <c r="Z24" i="5" s="1"/>
  <c r="D36" i="5"/>
  <c r="H36" i="5" s="1"/>
  <c r="J36" i="5"/>
  <c r="T36" i="5"/>
  <c r="V36" i="5"/>
  <c r="Z36" i="5" s="1"/>
  <c r="D33" i="5"/>
  <c r="H33" i="5" s="1"/>
  <c r="J33" i="5"/>
  <c r="V33" i="5"/>
  <c r="Z33" i="5" s="1"/>
  <c r="D21" i="5"/>
  <c r="H21" i="5" s="1"/>
  <c r="J21" i="5"/>
  <c r="T21" i="5"/>
  <c r="V21" i="5"/>
  <c r="Z21" i="5" s="1"/>
  <c r="D12" i="5"/>
  <c r="H12" i="5" s="1"/>
  <c r="J12" i="5"/>
  <c r="T12" i="5"/>
  <c r="V12" i="5"/>
  <c r="Z12" i="5" s="1"/>
  <c r="D9" i="5"/>
  <c r="H9" i="5" s="1"/>
  <c r="J9" i="5"/>
  <c r="T9" i="5"/>
  <c r="V9" i="5"/>
  <c r="Z9" i="5" s="1"/>
  <c r="V58" i="5"/>
  <c r="AA58" i="5" s="1"/>
  <c r="P58" i="5"/>
  <c r="T58" i="5" s="1"/>
  <c r="J58" i="5"/>
  <c r="O58" i="5" s="1"/>
  <c r="D58" i="5"/>
  <c r="I58" i="5" s="1"/>
  <c r="V57" i="5"/>
  <c r="Z57" i="5" s="1"/>
  <c r="P57" i="5"/>
  <c r="J57" i="5"/>
  <c r="N57" i="5" s="1"/>
  <c r="D57" i="5"/>
  <c r="I57" i="5" s="1"/>
  <c r="V56" i="5"/>
  <c r="AA56" i="5" s="1"/>
  <c r="P56" i="5"/>
  <c r="U56" i="5" s="1"/>
  <c r="J56" i="5"/>
  <c r="O56" i="5" s="1"/>
  <c r="D56" i="5"/>
  <c r="I56" i="5" s="1"/>
  <c r="V55" i="5"/>
  <c r="Z55" i="5" s="1"/>
  <c r="P55" i="5"/>
  <c r="J55" i="5"/>
  <c r="N55" i="5" s="1"/>
  <c r="D55" i="5"/>
  <c r="I55" i="5" s="1"/>
  <c r="V54" i="5"/>
  <c r="AA54" i="5" s="1"/>
  <c r="P54" i="5"/>
  <c r="U54" i="5" s="1"/>
  <c r="J54" i="5"/>
  <c r="O54" i="5" s="1"/>
  <c r="D54" i="5"/>
  <c r="I54" i="5" s="1"/>
  <c r="V53" i="5"/>
  <c r="Z53" i="5" s="1"/>
  <c r="P53" i="5"/>
  <c r="J53" i="5"/>
  <c r="N53" i="5" s="1"/>
  <c r="D53" i="5"/>
  <c r="I53" i="5" s="1"/>
  <c r="V52" i="5"/>
  <c r="AA52" i="5" s="1"/>
  <c r="P52" i="5"/>
  <c r="U52" i="5" s="1"/>
  <c r="J52" i="5"/>
  <c r="O52" i="5" s="1"/>
  <c r="D52" i="5"/>
  <c r="I52" i="5" s="1"/>
  <c r="V51" i="5"/>
  <c r="Z51" i="5" s="1"/>
  <c r="P51" i="5"/>
  <c r="J51" i="5"/>
  <c r="N51" i="5" s="1"/>
  <c r="D51" i="5"/>
  <c r="I51" i="5" s="1"/>
  <c r="V49" i="5"/>
  <c r="AA49" i="5" s="1"/>
  <c r="U49" i="5"/>
  <c r="J49" i="5"/>
  <c r="D49" i="5"/>
  <c r="I49" i="5" s="1"/>
  <c r="V47" i="5"/>
  <c r="Z47" i="5" s="1"/>
  <c r="J47" i="5"/>
  <c r="D47" i="5"/>
  <c r="I47" i="5" s="1"/>
  <c r="V46" i="5"/>
  <c r="AA46" i="5" s="1"/>
  <c r="J46" i="5"/>
  <c r="D46" i="5"/>
  <c r="I46" i="5" s="1"/>
  <c r="V44" i="5"/>
  <c r="Z44" i="5" s="1"/>
  <c r="P44" i="5"/>
  <c r="J44" i="5"/>
  <c r="N44" i="5" s="1"/>
  <c r="D44" i="5"/>
  <c r="I44" i="5" s="1"/>
  <c r="V43" i="5"/>
  <c r="AA43" i="5" s="1"/>
  <c r="P43" i="5"/>
  <c r="U43" i="5" s="1"/>
  <c r="J43" i="5"/>
  <c r="O43" i="5" s="1"/>
  <c r="D43" i="5"/>
  <c r="I43" i="5" s="1"/>
  <c r="V42" i="5"/>
  <c r="Z42" i="5" s="1"/>
  <c r="P42" i="5"/>
  <c r="J42" i="5"/>
  <c r="N42" i="5" s="1"/>
  <c r="D42" i="5"/>
  <c r="I42" i="5" s="1"/>
  <c r="V41" i="5"/>
  <c r="AA41" i="5" s="1"/>
  <c r="P41" i="5"/>
  <c r="U41" i="5" s="1"/>
  <c r="J41" i="5"/>
  <c r="O41" i="5" s="1"/>
  <c r="D41" i="5"/>
  <c r="I41" i="5" s="1"/>
  <c r="V40" i="5"/>
  <c r="AA40" i="5" s="1"/>
  <c r="P40" i="5"/>
  <c r="J40" i="5"/>
  <c r="N40" i="5" s="1"/>
  <c r="D40" i="5"/>
  <c r="I40" i="5" s="1"/>
  <c r="V39" i="5"/>
  <c r="AA39" i="5" s="1"/>
  <c r="P39" i="5"/>
  <c r="U39" i="5" s="1"/>
  <c r="J39" i="5"/>
  <c r="O39" i="5" s="1"/>
  <c r="D39" i="5"/>
  <c r="I39" i="5" s="1"/>
  <c r="V37" i="5"/>
  <c r="AA37" i="5" s="1"/>
  <c r="J37" i="5"/>
  <c r="D37" i="5"/>
  <c r="I37" i="5" s="1"/>
  <c r="V35" i="5"/>
  <c r="AA35" i="5" s="1"/>
  <c r="U35" i="5"/>
  <c r="J35" i="5"/>
  <c r="D35" i="5"/>
  <c r="I35" i="5" s="1"/>
  <c r="V34" i="5"/>
  <c r="AA34" i="5" s="1"/>
  <c r="J34" i="5"/>
  <c r="D34" i="5"/>
  <c r="I34" i="5" s="1"/>
  <c r="V32" i="5"/>
  <c r="AA32" i="5" s="1"/>
  <c r="P32" i="5"/>
  <c r="U32" i="5" s="1"/>
  <c r="J32" i="5"/>
  <c r="O32" i="5" s="1"/>
  <c r="D32" i="5"/>
  <c r="I32" i="5" s="1"/>
  <c r="V31" i="5"/>
  <c r="AA31" i="5" s="1"/>
  <c r="P31" i="5"/>
  <c r="J31" i="5"/>
  <c r="N31" i="5" s="1"/>
  <c r="D31" i="5"/>
  <c r="H31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J29" i="5"/>
  <c r="N29" i="5" s="1"/>
  <c r="D29" i="5"/>
  <c r="I29" i="5" s="1"/>
  <c r="V28" i="5"/>
  <c r="AA28" i="5" s="1"/>
  <c r="P28" i="5"/>
  <c r="U28" i="5" s="1"/>
  <c r="J28" i="5"/>
  <c r="O28" i="5" s="1"/>
  <c r="D28" i="5"/>
  <c r="I28" i="5" s="1"/>
  <c r="V27" i="5"/>
  <c r="AA27" i="5" s="1"/>
  <c r="P27" i="5"/>
  <c r="J27" i="5"/>
  <c r="N27" i="5" s="1"/>
  <c r="D27" i="5"/>
  <c r="I27" i="5" s="1"/>
  <c r="V25" i="5"/>
  <c r="AA25" i="5" s="1"/>
  <c r="U25" i="5"/>
  <c r="J25" i="5"/>
  <c r="D25" i="5"/>
  <c r="I25" i="5" s="1"/>
  <c r="V23" i="5"/>
  <c r="AA23" i="5" s="1"/>
  <c r="J23" i="5"/>
  <c r="D23" i="5"/>
  <c r="I23" i="5" s="1"/>
  <c r="V22" i="5"/>
  <c r="AA22" i="5" s="1"/>
  <c r="U22" i="5"/>
  <c r="J22" i="5"/>
  <c r="D22" i="5"/>
  <c r="I22" i="5" s="1"/>
  <c r="V20" i="5"/>
  <c r="AA20" i="5" s="1"/>
  <c r="J20" i="5"/>
  <c r="D20" i="5"/>
  <c r="I20" i="5" s="1"/>
  <c r="V19" i="5"/>
  <c r="AA19" i="5" s="1"/>
  <c r="P19" i="5"/>
  <c r="U19" i="5" s="1"/>
  <c r="J19" i="5"/>
  <c r="O19" i="5" s="1"/>
  <c r="D19" i="5"/>
  <c r="I19" i="5" s="1"/>
  <c r="V18" i="5"/>
  <c r="Z18" i="5" s="1"/>
  <c r="P18" i="5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U13" i="5"/>
  <c r="J13" i="5"/>
  <c r="D13" i="5"/>
  <c r="I13" i="5" s="1"/>
  <c r="V11" i="5"/>
  <c r="AA11" i="5" s="1"/>
  <c r="U11" i="5"/>
  <c r="J11" i="5"/>
  <c r="D11" i="5"/>
  <c r="H11" i="5" s="1"/>
  <c r="V10" i="5"/>
  <c r="Z10" i="5" s="1"/>
  <c r="U10" i="5"/>
  <c r="J10" i="5"/>
  <c r="D10" i="5"/>
  <c r="I10" i="5" s="1"/>
  <c r="V8" i="5"/>
  <c r="Z8" i="5" s="1"/>
  <c r="U8" i="5"/>
  <c r="J8" i="5"/>
  <c r="D8" i="5"/>
  <c r="I8" i="5" s="1"/>
  <c r="V7" i="5"/>
  <c r="AA7" i="5" s="1"/>
  <c r="U7" i="5"/>
  <c r="J7" i="5"/>
  <c r="D7" i="5"/>
  <c r="H7" i="5" s="1"/>
  <c r="V6" i="5"/>
  <c r="AA6" i="5" s="1"/>
  <c r="P6" i="5"/>
  <c r="U6" i="5" s="1"/>
  <c r="J6" i="5"/>
  <c r="D6" i="5"/>
  <c r="H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J4" i="5"/>
  <c r="D4" i="5"/>
  <c r="I4" i="5" s="1"/>
  <c r="V3" i="5"/>
  <c r="AA3" i="5" s="1"/>
  <c r="P3" i="5"/>
  <c r="U3" i="5" s="1"/>
  <c r="J3" i="5"/>
  <c r="N3" i="5" s="1"/>
  <c r="D3" i="5"/>
  <c r="I3" i="5" s="1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V52" i="4"/>
  <c r="Z52" i="4" s="1"/>
  <c r="V53" i="4"/>
  <c r="Z53" i="4" s="1"/>
  <c r="V54" i="4"/>
  <c r="AA54" i="4" s="1"/>
  <c r="V55" i="4"/>
  <c r="Z55" i="4" s="1"/>
  <c r="V56" i="4"/>
  <c r="AA56" i="4" s="1"/>
  <c r="V57" i="4"/>
  <c r="Z57" i="4" s="1"/>
  <c r="V58" i="4"/>
  <c r="AA58" i="4" s="1"/>
  <c r="V59" i="4"/>
  <c r="V60" i="4"/>
  <c r="Z60" i="4" s="1"/>
  <c r="V61" i="4"/>
  <c r="Z61" i="4" s="1"/>
  <c r="V62" i="4"/>
  <c r="AA62" i="4" s="1"/>
  <c r="V63" i="4"/>
  <c r="Z63" i="4" s="1"/>
  <c r="V64" i="4"/>
  <c r="Z64" i="4" s="1"/>
  <c r="V65" i="4"/>
  <c r="Z65" i="4" s="1"/>
  <c r="V66" i="4"/>
  <c r="AA66" i="4" s="1"/>
  <c r="T67" i="4"/>
  <c r="U67" i="4"/>
  <c r="V67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P52" i="4"/>
  <c r="P53" i="4"/>
  <c r="T53" i="4" s="1"/>
  <c r="P54" i="4"/>
  <c r="T54" i="4" s="1"/>
  <c r="P55" i="4"/>
  <c r="T55" i="4" s="1"/>
  <c r="P56" i="4"/>
  <c r="P57" i="4"/>
  <c r="U57" i="4" s="1"/>
  <c r="P58" i="4"/>
  <c r="T58" i="4" s="1"/>
  <c r="P59" i="4"/>
  <c r="T59" i="4" s="1"/>
  <c r="P60" i="4"/>
  <c r="P61" i="4"/>
  <c r="T61" i="4" s="1"/>
  <c r="P62" i="4"/>
  <c r="T62" i="4" s="1"/>
  <c r="P63" i="4"/>
  <c r="T63" i="4" s="1"/>
  <c r="P64" i="4"/>
  <c r="P65" i="4"/>
  <c r="U65" i="4" s="1"/>
  <c r="P66" i="4"/>
  <c r="T66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J52" i="4"/>
  <c r="N52" i="4" s="1"/>
  <c r="J53" i="4"/>
  <c r="N53" i="4" s="1"/>
  <c r="J54" i="4"/>
  <c r="O54" i="4" s="1"/>
  <c r="J55" i="4"/>
  <c r="N55" i="4" s="1"/>
  <c r="J56" i="4"/>
  <c r="N56" i="4" s="1"/>
  <c r="J57" i="4"/>
  <c r="O57" i="4" s="1"/>
  <c r="J58" i="4"/>
  <c r="O58" i="4" s="1"/>
  <c r="J59" i="4"/>
  <c r="N59" i="4" s="1"/>
  <c r="J60" i="4"/>
  <c r="N60" i="4" s="1"/>
  <c r="J61" i="4"/>
  <c r="N61" i="4" s="1"/>
  <c r="J62" i="4"/>
  <c r="O62" i="4" s="1"/>
  <c r="J63" i="4"/>
  <c r="N63" i="4" s="1"/>
  <c r="J64" i="4"/>
  <c r="N64" i="4" s="1"/>
  <c r="J65" i="4"/>
  <c r="O65" i="4" s="1"/>
  <c r="J66" i="4"/>
  <c r="O66" i="4" s="1"/>
  <c r="J67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D3" i="4"/>
  <c r="H3" i="4" s="1"/>
  <c r="D4" i="4"/>
  <c r="H4" i="4" s="1"/>
  <c r="D5" i="4"/>
  <c r="D6" i="4"/>
  <c r="D7" i="4"/>
  <c r="I7" i="4" s="1"/>
  <c r="D8" i="4"/>
  <c r="I8" i="4" s="1"/>
  <c r="D9" i="4"/>
  <c r="H9" i="4" s="1"/>
  <c r="D10" i="4"/>
  <c r="H10" i="4" s="1"/>
  <c r="D11" i="4"/>
  <c r="H11" i="4" s="1"/>
  <c r="D13" i="4"/>
  <c r="H13" i="4" s="1"/>
  <c r="D14" i="4"/>
  <c r="D15" i="4"/>
  <c r="D16" i="4"/>
  <c r="I16" i="4" s="1"/>
  <c r="D17" i="4"/>
  <c r="I17" i="4" s="1"/>
  <c r="D18" i="4"/>
  <c r="I18" i="4" s="1"/>
  <c r="D19" i="4"/>
  <c r="I19" i="4" s="1"/>
  <c r="D20" i="4"/>
  <c r="H20" i="4" s="1"/>
  <c r="D21" i="4"/>
  <c r="H21" i="4" s="1"/>
  <c r="D23" i="4"/>
  <c r="D24" i="4"/>
  <c r="D25" i="4"/>
  <c r="I25" i="4" s="1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0" i="4"/>
  <c r="I50" i="4" s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  <c r="N7" i="5" l="1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T44" i="4"/>
  <c r="Z66" i="4"/>
  <c r="Z56" i="4"/>
  <c r="T21" i="4"/>
  <c r="U5" i="4"/>
  <c r="U54" i="4"/>
  <c r="O28" i="4"/>
  <c r="AA43" i="4"/>
  <c r="Z20" i="4"/>
  <c r="AA7" i="4"/>
  <c r="O59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64" i="4"/>
  <c r="Z54" i="4"/>
  <c r="AA29" i="4"/>
  <c r="Z18" i="4"/>
  <c r="N65" i="4"/>
  <c r="N39" i="4"/>
  <c r="O33" i="4"/>
  <c r="U58" i="4"/>
  <c r="U53" i="4"/>
  <c r="U36" i="4"/>
  <c r="T4" i="4"/>
  <c r="AA52" i="4"/>
  <c r="Z40" i="4"/>
  <c r="AA16" i="4"/>
  <c r="Z5" i="4"/>
  <c r="N21" i="4"/>
  <c r="O63" i="4"/>
  <c r="N57" i="4"/>
  <c r="O50" i="4"/>
  <c r="N45" i="4"/>
  <c r="O19" i="4"/>
  <c r="U62" i="4"/>
  <c r="T30" i="4"/>
  <c r="U14" i="4"/>
  <c r="U8" i="4"/>
  <c r="Z62" i="4"/>
  <c r="AA38" i="4"/>
  <c r="Z27" i="4"/>
  <c r="AA3" i="4"/>
  <c r="Z31" i="4"/>
  <c r="N13" i="4"/>
  <c r="O6" i="4"/>
  <c r="T57" i="4"/>
  <c r="U40" i="4"/>
  <c r="U35" i="4"/>
  <c r="U18" i="4"/>
  <c r="AA60" i="4"/>
  <c r="Z49" i="4"/>
  <c r="AA25" i="4"/>
  <c r="Z14" i="4"/>
  <c r="O37" i="4"/>
  <c r="N30" i="4"/>
  <c r="O24" i="4"/>
  <c r="N18" i="4"/>
  <c r="U66" i="4"/>
  <c r="U61" i="4"/>
  <c r="U45" i="4"/>
  <c r="T13" i="4"/>
  <c r="AA47" i="4"/>
  <c r="Z36" i="4"/>
  <c r="AA11" i="4"/>
  <c r="N66" i="4"/>
  <c r="O55" i="4"/>
  <c r="N48" i="4"/>
  <c r="T39" i="4"/>
  <c r="U23" i="4"/>
  <c r="U17" i="4"/>
  <c r="Z58" i="4"/>
  <c r="AA34" i="4"/>
  <c r="Z23" i="4"/>
  <c r="O41" i="4"/>
  <c r="O10" i="4"/>
  <c r="N4" i="4"/>
  <c r="T65" i="4"/>
  <c r="U49" i="4"/>
  <c r="U27" i="4"/>
  <c r="Z45" i="4"/>
  <c r="Z9" i="4"/>
  <c r="T11" i="4"/>
  <c r="U11" i="4"/>
  <c r="T52" i="4"/>
  <c r="U52" i="4"/>
  <c r="N36" i="4"/>
  <c r="N14" i="4"/>
  <c r="T3" i="4"/>
  <c r="U3" i="4"/>
  <c r="Z67" i="4"/>
  <c r="AA67" i="4"/>
  <c r="N62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56" i="4"/>
  <c r="U56" i="4"/>
  <c r="T34" i="4"/>
  <c r="U34" i="4"/>
  <c r="T60" i="4"/>
  <c r="U60" i="4"/>
  <c r="T64" i="4"/>
  <c r="U64" i="4"/>
  <c r="T43" i="4"/>
  <c r="U43" i="4"/>
  <c r="N27" i="4"/>
  <c r="N5" i="4"/>
  <c r="Z59" i="4"/>
  <c r="AA59" i="4"/>
  <c r="N54" i="4"/>
  <c r="N31" i="4"/>
  <c r="T20" i="4"/>
  <c r="U20" i="4"/>
  <c r="N58" i="4"/>
  <c r="T47" i="4"/>
  <c r="U47" i="4"/>
  <c r="T25" i="4"/>
  <c r="U25" i="4"/>
  <c r="N9" i="4"/>
  <c r="Z50" i="4"/>
  <c r="AA50" i="4"/>
  <c r="O64" i="4"/>
  <c r="O56" i="4"/>
  <c r="O47" i="4"/>
  <c r="O38" i="4"/>
  <c r="O29" i="4"/>
  <c r="O20" i="4"/>
  <c r="O11" i="4"/>
  <c r="O3" i="4"/>
  <c r="U63" i="4"/>
  <c r="U55" i="4"/>
  <c r="U46" i="4"/>
  <c r="U37" i="4"/>
  <c r="U28" i="4"/>
  <c r="U19" i="4"/>
  <c r="U10" i="4"/>
  <c r="AA63" i="4"/>
  <c r="AA55" i="4"/>
  <c r="AA46" i="4"/>
  <c r="AA37" i="4"/>
  <c r="AA28" i="4"/>
  <c r="AA24" i="4"/>
  <c r="AA19" i="4"/>
  <c r="AA15" i="4"/>
  <c r="AA10" i="4"/>
  <c r="AA6" i="4"/>
  <c r="O61" i="4"/>
  <c r="O53" i="4"/>
  <c r="O44" i="4"/>
  <c r="O35" i="4"/>
  <c r="O26" i="4"/>
  <c r="O17" i="4"/>
  <c r="O8" i="4"/>
  <c r="O60" i="4"/>
  <c r="O52" i="4"/>
  <c r="O43" i="4"/>
  <c r="O34" i="4"/>
  <c r="O25" i="4"/>
  <c r="O16" i="4"/>
  <c r="O7" i="4"/>
  <c r="U59" i="4"/>
  <c r="U50" i="4"/>
  <c r="U41" i="4"/>
  <c r="U33" i="4"/>
  <c r="U24" i="4"/>
  <c r="U15" i="4"/>
  <c r="U6" i="4"/>
  <c r="AA65" i="4"/>
  <c r="AA61" i="4"/>
  <c r="AA57" i="4"/>
  <c r="AA53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O67" i="4"/>
  <c r="N67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<sst xmlns="http://schemas.openxmlformats.org/spreadsheetml/2006/main" count="234" uniqueCount="83">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</sst>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8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0" fillId="0" borderId="0" xfId="0" applyFont="1" applyAlignment="1">
      <alignment vertical="center"/>
    </xf>
    <xf numFmtId="0" fontId="11" fillId="0" borderId="5" xfId="0" applyFont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0" fillId="8" borderId="10" xfId="0" applyFill="1" applyBorder="1"/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8" fillId="11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0" fontId="9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96" totalsRowShown="0" headerRowDxfId="62" headerRowBorderDxfId="60" tableBorderDxfId="61">
  <autoFilter ref="A1:H96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7" totalsRowShown="0" dataDxfId="59" headerRowBorderDxfId="57" tableBorderDxfId="58">
  <autoFilter ref="A2:AA6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76" totalsRowShown="0" dataDxfId="29" headerRowBorderDxfId="27" tableBorderDxfId="28">
  <autoFilter ref="A2:AA76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1" activePane="topRight" state="frozen"/>
      <selection pane="topRight" activeCell="A2" sqref="A2:H50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5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8">
        <v>7</v>
      </c>
      <c r="B2" s="9" t="s">
        <v>8</v>
      </c>
      <c r="C2" s="8"/>
      <c r="D2" s="8"/>
      <c r="E2" s="8"/>
      <c r="F2" s="10"/>
      <c r="G2" s="2">
        <f t="shared" ref="G2:G10" si="0">IF((C2-D2)&lt;0,0,C2-D2)</f>
        <v>0</v>
      </c>
      <c r="H2" s="3">
        <f t="shared" ref="H2:H10" si="1">IF((D2-C2)&lt;0,0,D2-C2)</f>
        <v>0</v>
      </c>
    </row>
    <row r="3" spans="1:8" ht="29.25" customHeight="1">
      <c r="A3" s="8">
        <v>7</v>
      </c>
      <c r="B3" s="9" t="s">
        <v>9</v>
      </c>
      <c r="C3" s="8"/>
      <c r="D3" s="8"/>
      <c r="E3" s="8"/>
      <c r="F3" s="10"/>
      <c r="G3" s="2">
        <f t="shared" si="0"/>
        <v>0</v>
      </c>
      <c r="H3" s="3">
        <f t="shared" si="1"/>
        <v>0</v>
      </c>
    </row>
    <row r="4" spans="1:8" ht="21" customHeight="1">
      <c r="A4" s="8">
        <v>7</v>
      </c>
      <c r="B4" s="9" t="s">
        <v>10</v>
      </c>
      <c r="C4" s="8"/>
      <c r="D4" s="8"/>
      <c r="E4" s="8"/>
      <c r="F4" s="10"/>
      <c r="G4" s="2">
        <f t="shared" si="0"/>
        <v>0</v>
      </c>
      <c r="H4" s="3">
        <f t="shared" si="1"/>
        <v>0</v>
      </c>
    </row>
    <row r="5" spans="1:8" ht="25.5" customHeight="1">
      <c r="A5" s="8">
        <v>7</v>
      </c>
      <c r="B5" s="9" t="s">
        <v>11</v>
      </c>
      <c r="C5" s="8"/>
      <c r="D5" s="8"/>
      <c r="E5" s="8"/>
      <c r="F5" s="10"/>
      <c r="G5" s="2">
        <f t="shared" si="0"/>
        <v>0</v>
      </c>
      <c r="H5" s="3">
        <f t="shared" si="1"/>
        <v>0</v>
      </c>
    </row>
    <row r="6" spans="1:8" ht="38.25">
      <c r="A6" s="8">
        <v>7</v>
      </c>
      <c r="B6" s="9" t="s">
        <v>12</v>
      </c>
      <c r="C6" s="8"/>
      <c r="D6" s="8"/>
      <c r="E6" s="8"/>
      <c r="F6" s="10"/>
      <c r="G6" s="2">
        <f t="shared" si="0"/>
        <v>0</v>
      </c>
      <c r="H6" s="3">
        <f t="shared" si="1"/>
        <v>0</v>
      </c>
    </row>
    <row r="7" spans="1:8" s="32" customFormat="1" ht="19.5">
      <c r="A7" s="8">
        <v>7</v>
      </c>
      <c r="B7" s="9" t="s">
        <v>13</v>
      </c>
      <c r="C7" s="8"/>
      <c r="D7" s="8"/>
      <c r="E7" s="8"/>
      <c r="F7" s="10"/>
      <c r="G7" s="2">
        <f t="shared" si="0"/>
        <v>0</v>
      </c>
      <c r="H7" s="3">
        <f t="shared" si="1"/>
        <v>0</v>
      </c>
    </row>
    <row r="8" spans="1:8" ht="39.75" customHeight="1">
      <c r="A8" s="8">
        <v>7</v>
      </c>
      <c r="B8" s="9" t="s">
        <v>14</v>
      </c>
      <c r="C8" s="8"/>
      <c r="D8" s="8"/>
      <c r="E8" s="8"/>
      <c r="F8" s="10"/>
      <c r="G8" s="2">
        <f t="shared" si="0"/>
        <v>0</v>
      </c>
      <c r="H8" s="3">
        <f t="shared" si="1"/>
        <v>0</v>
      </c>
    </row>
    <row r="9" spans="1:8" ht="29.25" customHeight="1">
      <c r="A9" s="8">
        <v>7</v>
      </c>
      <c r="B9" s="9" t="s">
        <v>15</v>
      </c>
      <c r="C9" s="8"/>
      <c r="D9" s="8"/>
      <c r="E9" s="8"/>
      <c r="F9" s="10"/>
      <c r="G9" s="2">
        <f t="shared" si="0"/>
        <v>0</v>
      </c>
      <c r="H9" s="3">
        <f t="shared" si="1"/>
        <v>0</v>
      </c>
    </row>
    <row r="10" spans="1:8" ht="28.5" customHeight="1">
      <c r="A10" s="8">
        <v>7</v>
      </c>
      <c r="B10" s="9" t="s">
        <v>16</v>
      </c>
      <c r="C10" s="8"/>
      <c r="D10" s="8"/>
      <c r="E10" s="8"/>
      <c r="F10" s="10"/>
      <c r="G10" s="2">
        <f t="shared" si="0"/>
        <v>0</v>
      </c>
      <c r="H10" s="3">
        <f t="shared" si="1"/>
        <v>0</v>
      </c>
    </row>
    <row r="11" spans="1:8" ht="24" customHeight="1">
      <c r="A11" s="32"/>
      <c r="B11" s="32"/>
      <c r="C11" s="32"/>
      <c r="D11" s="32"/>
      <c r="E11" s="32"/>
      <c r="F11" s="32"/>
      <c r="G11" s="32"/>
      <c r="H11" s="32"/>
    </row>
    <row r="12" spans="1:8" ht="19.5">
      <c r="A12" s="8">
        <v>8</v>
      </c>
      <c r="B12" s="9" t="s">
        <v>8</v>
      </c>
      <c r="C12" s="8"/>
      <c r="D12" s="8"/>
      <c r="E12" s="8"/>
      <c r="F12" s="10"/>
      <c r="G12" s="2">
        <f t="shared" ref="G12:G20" si="2">IF((C12-D12)&lt;0,0,C12-D12)</f>
        <v>0</v>
      </c>
      <c r="H12" s="3">
        <f t="shared" ref="H12:H20" si="3">IF((D12-C12)&lt;0,0,D12-C12)</f>
        <v>0</v>
      </c>
    </row>
    <row r="13" spans="1:8" s="32" customFormat="1" ht="19.5">
      <c r="A13" s="8">
        <v>8</v>
      </c>
      <c r="B13" s="9" t="s">
        <v>9</v>
      </c>
      <c r="C13" s="8"/>
      <c r="D13" s="8"/>
      <c r="E13" s="8"/>
      <c r="F13" s="10"/>
      <c r="G13" s="2">
        <f t="shared" si="2"/>
        <v>0</v>
      </c>
      <c r="H13" s="3">
        <f t="shared" si="3"/>
        <v>0</v>
      </c>
    </row>
    <row r="14" spans="1:8" ht="49.5" customHeight="1">
      <c r="A14" s="8">
        <v>8</v>
      </c>
      <c r="B14" s="9" t="s">
        <v>10</v>
      </c>
      <c r="C14" s="8"/>
      <c r="D14" s="8"/>
      <c r="E14" s="8"/>
      <c r="F14" s="10"/>
      <c r="G14" s="2">
        <f t="shared" si="2"/>
        <v>0</v>
      </c>
      <c r="H14" s="3">
        <f t="shared" si="3"/>
        <v>0</v>
      </c>
    </row>
    <row r="15" spans="1:8" ht="29.25" customHeight="1">
      <c r="A15" s="8">
        <v>8</v>
      </c>
      <c r="B15" s="9" t="s">
        <v>11</v>
      </c>
      <c r="C15" s="8"/>
      <c r="D15" s="8"/>
      <c r="E15" s="8"/>
      <c r="F15" s="10"/>
      <c r="G15" s="2">
        <f t="shared" si="2"/>
        <v>0</v>
      </c>
      <c r="H15" s="3">
        <f t="shared" si="3"/>
        <v>0</v>
      </c>
    </row>
    <row r="16" spans="1:8" ht="27" customHeight="1">
      <c r="A16" s="8">
        <v>8</v>
      </c>
      <c r="B16" s="9" t="s">
        <v>17</v>
      </c>
      <c r="C16" s="8"/>
      <c r="D16" s="8"/>
      <c r="E16" s="8"/>
      <c r="F16" s="10"/>
      <c r="G16" s="2">
        <f t="shared" si="2"/>
        <v>0</v>
      </c>
      <c r="H16" s="3">
        <f t="shared" si="3"/>
        <v>0</v>
      </c>
    </row>
    <row r="17" spans="1:8" ht="23.25" customHeight="1">
      <c r="A17" s="8">
        <v>8</v>
      </c>
      <c r="B17" s="9" t="s">
        <v>13</v>
      </c>
      <c r="C17" s="8"/>
      <c r="D17" s="8"/>
      <c r="E17" s="8"/>
      <c r="F17" s="10"/>
      <c r="G17" s="2">
        <f t="shared" si="2"/>
        <v>0</v>
      </c>
      <c r="H17" s="3">
        <f t="shared" si="3"/>
        <v>0</v>
      </c>
    </row>
    <row r="18" spans="1:8" ht="21" customHeight="1">
      <c r="A18" s="8">
        <v>8</v>
      </c>
      <c r="B18" s="9" t="s">
        <v>14</v>
      </c>
      <c r="C18" s="8"/>
      <c r="D18" s="8"/>
      <c r="E18" s="8"/>
      <c r="F18" s="10"/>
      <c r="G18" s="2">
        <f t="shared" si="2"/>
        <v>0</v>
      </c>
      <c r="H18" s="3">
        <f t="shared" si="3"/>
        <v>0</v>
      </c>
    </row>
    <row r="19" spans="1:8" ht="19.5">
      <c r="A19" s="8">
        <v>8</v>
      </c>
      <c r="B19" s="9" t="s">
        <v>15</v>
      </c>
      <c r="C19" s="8"/>
      <c r="D19" s="8"/>
      <c r="E19" s="8"/>
      <c r="F19" s="10"/>
      <c r="G19" s="2">
        <f t="shared" si="2"/>
        <v>0</v>
      </c>
      <c r="H19" s="3">
        <f t="shared" si="3"/>
        <v>0</v>
      </c>
    </row>
    <row r="20" spans="1:8" s="32" customFormat="1" ht="19.5">
      <c r="A20" s="8">
        <v>8</v>
      </c>
      <c r="B20" s="9" t="s">
        <v>16</v>
      </c>
      <c r="C20" s="8"/>
      <c r="D20" s="8"/>
      <c r="E20" s="8"/>
      <c r="F20" s="10"/>
      <c r="G20" s="2">
        <f t="shared" si="2"/>
        <v>0</v>
      </c>
      <c r="H20" s="3">
        <f t="shared" si="3"/>
        <v>0</v>
      </c>
    </row>
    <row r="21" spans="1:8" ht="28.5" customHeight="1">
      <c r="A21" s="32"/>
      <c r="B21" s="32"/>
      <c r="C21" s="32"/>
      <c r="D21" s="32"/>
      <c r="E21" s="32"/>
      <c r="F21" s="32"/>
      <c r="G21" s="32"/>
      <c r="H21" s="32"/>
    </row>
    <row r="22" spans="1:8" ht="24" customHeight="1">
      <c r="A22" s="8">
        <v>9</v>
      </c>
      <c r="B22" s="9" t="s">
        <v>8</v>
      </c>
      <c r="C22" s="8"/>
      <c r="D22" s="8"/>
      <c r="E22" s="8"/>
      <c r="F22" s="10"/>
      <c r="G22" s="2">
        <f t="shared" ref="G22:G30" si="4">IF((C22-D22)&lt;0,0,C22-D22)</f>
        <v>0</v>
      </c>
      <c r="H22" s="3">
        <f t="shared" ref="H22:H30" si="5">IF((D22-C22)&lt;0,0,D22-C22)</f>
        <v>0</v>
      </c>
    </row>
    <row r="23" spans="1:8" ht="19.5">
      <c r="A23" s="8">
        <v>9</v>
      </c>
      <c r="B23" s="9" t="s">
        <v>9</v>
      </c>
      <c r="C23" s="8"/>
      <c r="D23" s="8"/>
      <c r="E23" s="8"/>
      <c r="F23" s="10"/>
      <c r="G23" s="2">
        <f t="shared" si="4"/>
        <v>0</v>
      </c>
      <c r="H23" s="3">
        <f t="shared" si="5"/>
        <v>0</v>
      </c>
    </row>
    <row r="24" spans="1:8" ht="27" customHeight="1">
      <c r="A24" s="8">
        <v>9</v>
      </c>
      <c r="B24" s="9" t="s">
        <v>10</v>
      </c>
      <c r="C24" s="8"/>
      <c r="D24" s="8"/>
      <c r="E24" s="8"/>
      <c r="F24" s="10"/>
      <c r="G24" s="2">
        <f t="shared" si="4"/>
        <v>0</v>
      </c>
      <c r="H24" s="3">
        <f t="shared" si="5"/>
        <v>0</v>
      </c>
    </row>
    <row r="25" spans="1:8" ht="33.75" customHeight="1">
      <c r="A25" s="8">
        <v>9</v>
      </c>
      <c r="B25" s="9" t="s">
        <v>11</v>
      </c>
      <c r="C25" s="8"/>
      <c r="D25" s="8"/>
      <c r="E25" s="8"/>
      <c r="F25" s="10"/>
      <c r="G25" s="2">
        <f t="shared" si="4"/>
        <v>0</v>
      </c>
      <c r="H25" s="3">
        <f t="shared" si="5"/>
        <v>0</v>
      </c>
    </row>
    <row r="26" spans="1:8" ht="33.75" customHeight="1">
      <c r="A26" s="8">
        <v>9</v>
      </c>
      <c r="B26" s="9" t="s">
        <v>17</v>
      </c>
      <c r="C26" s="8"/>
      <c r="D26" s="8"/>
      <c r="E26" s="8"/>
      <c r="F26" s="10"/>
      <c r="G26" s="2">
        <f t="shared" si="4"/>
        <v>0</v>
      </c>
      <c r="H26" s="3">
        <f t="shared" si="5"/>
        <v>0</v>
      </c>
    </row>
    <row r="27" spans="1:8" ht="33.75" customHeight="1">
      <c r="A27" s="8">
        <v>9</v>
      </c>
      <c r="B27" s="9" t="s">
        <v>13</v>
      </c>
      <c r="C27" s="8"/>
      <c r="D27" s="8"/>
      <c r="E27" s="8"/>
      <c r="F27" s="10"/>
      <c r="G27" s="2">
        <f t="shared" si="4"/>
        <v>0</v>
      </c>
      <c r="H27" s="3">
        <f t="shared" si="5"/>
        <v>0</v>
      </c>
    </row>
    <row r="28" spans="1:8" ht="27.75" customHeight="1">
      <c r="A28" s="8">
        <v>9</v>
      </c>
      <c r="B28" s="9" t="s">
        <v>14</v>
      </c>
      <c r="C28" s="8"/>
      <c r="D28" s="8"/>
      <c r="E28" s="8"/>
      <c r="F28" s="10"/>
      <c r="G28" s="2">
        <f t="shared" si="4"/>
        <v>0</v>
      </c>
      <c r="H28" s="3">
        <f t="shared" si="5"/>
        <v>0</v>
      </c>
    </row>
    <row r="29" spans="1:8" ht="27.75" customHeight="1">
      <c r="A29" s="8">
        <v>9</v>
      </c>
      <c r="B29" s="9" t="s">
        <v>15</v>
      </c>
      <c r="C29" s="8"/>
      <c r="D29" s="8"/>
      <c r="E29" s="8"/>
      <c r="F29" s="10"/>
      <c r="G29" s="2">
        <f t="shared" si="4"/>
        <v>0</v>
      </c>
      <c r="H29" s="3">
        <f t="shared" si="5"/>
        <v>0</v>
      </c>
    </row>
    <row r="30" spans="1:8" s="32" customFormat="1" ht="27.75" customHeight="1">
      <c r="A30" s="8">
        <v>9</v>
      </c>
      <c r="B30" s="9" t="s">
        <v>16</v>
      </c>
      <c r="C30" s="8"/>
      <c r="D30" s="8"/>
      <c r="E30" s="8"/>
      <c r="F30" s="10"/>
      <c r="G30" s="2">
        <f t="shared" si="4"/>
        <v>0</v>
      </c>
      <c r="H30" s="3">
        <f t="shared" si="5"/>
        <v>0</v>
      </c>
    </row>
    <row r="31" spans="1:8" ht="27.75" customHeight="1">
      <c r="A31" s="32"/>
      <c r="B31" s="32"/>
      <c r="C31" s="32"/>
      <c r="D31" s="32"/>
      <c r="E31" s="32"/>
      <c r="F31" s="32"/>
      <c r="G31" s="32"/>
      <c r="H31" s="32"/>
    </row>
    <row r="32" spans="1:8" ht="27.75" customHeight="1">
      <c r="A32" s="8">
        <v>10</v>
      </c>
      <c r="B32" s="9" t="s">
        <v>8</v>
      </c>
      <c r="C32" s="8"/>
      <c r="D32" s="8"/>
      <c r="E32" s="8"/>
      <c r="F32" s="10"/>
      <c r="G32" s="2">
        <f t="shared" ref="G32:G40" si="6">IF((C32-D32)&lt;0,0,C32-D32)</f>
        <v>0</v>
      </c>
      <c r="H32" s="3">
        <f t="shared" ref="H32:H40" si="7">IF((D32-C32)&lt;0,0,D32-C32)</f>
        <v>0</v>
      </c>
    </row>
    <row r="33" spans="1:8" ht="27.75" customHeight="1">
      <c r="A33" s="8">
        <v>10</v>
      </c>
      <c r="B33" s="9" t="s">
        <v>9</v>
      </c>
      <c r="C33" s="8"/>
      <c r="D33" s="8"/>
      <c r="E33" s="8"/>
      <c r="F33" s="10"/>
      <c r="G33" s="2">
        <f t="shared" si="6"/>
        <v>0</v>
      </c>
      <c r="H33" s="3">
        <f t="shared" si="7"/>
        <v>0</v>
      </c>
    </row>
    <row r="34" spans="1:8" ht="27.75" customHeight="1">
      <c r="A34" s="8">
        <v>10</v>
      </c>
      <c r="B34" s="9" t="s">
        <v>10</v>
      </c>
      <c r="C34" s="8"/>
      <c r="D34" s="8"/>
      <c r="E34" s="8"/>
      <c r="F34" s="10"/>
      <c r="G34" s="2">
        <f t="shared" si="6"/>
        <v>0</v>
      </c>
      <c r="H34" s="3">
        <f t="shared" si="7"/>
        <v>0</v>
      </c>
    </row>
    <row r="35" spans="1:8" ht="39" customHeight="1">
      <c r="A35" s="8">
        <v>10</v>
      </c>
      <c r="B35" s="9" t="s">
        <v>11</v>
      </c>
      <c r="C35" s="8"/>
      <c r="D35" s="8"/>
      <c r="E35" s="8"/>
      <c r="F35" s="10"/>
      <c r="G35" s="2">
        <f t="shared" si="6"/>
        <v>0</v>
      </c>
      <c r="H35" s="3">
        <f t="shared" si="7"/>
        <v>0</v>
      </c>
    </row>
    <row r="36" spans="1:8" ht="27.75" customHeight="1">
      <c r="A36" s="8">
        <v>10</v>
      </c>
      <c r="B36" s="9" t="s">
        <v>17</v>
      </c>
      <c r="C36" s="8"/>
      <c r="D36" s="8"/>
      <c r="E36" s="8"/>
      <c r="F36" s="10"/>
      <c r="G36" s="2">
        <f t="shared" si="6"/>
        <v>0</v>
      </c>
      <c r="H36" s="3">
        <f t="shared" si="7"/>
        <v>0</v>
      </c>
    </row>
    <row r="37" spans="1:8" ht="27.75" customHeight="1">
      <c r="A37" s="8">
        <v>10</v>
      </c>
      <c r="B37" s="9" t="s">
        <v>13</v>
      </c>
      <c r="C37" s="8"/>
      <c r="D37" s="8"/>
      <c r="E37" s="8"/>
      <c r="F37" s="10"/>
      <c r="G37" s="2">
        <f t="shared" si="6"/>
        <v>0</v>
      </c>
      <c r="H37" s="3">
        <f t="shared" si="7"/>
        <v>0</v>
      </c>
    </row>
    <row r="38" spans="1:8" ht="27.75" customHeight="1">
      <c r="A38" s="8">
        <v>10</v>
      </c>
      <c r="B38" s="9" t="s">
        <v>14</v>
      </c>
      <c r="C38" s="8"/>
      <c r="D38" s="8"/>
      <c r="E38" s="8"/>
      <c r="F38" s="10"/>
      <c r="G38" s="2">
        <f t="shared" si="6"/>
        <v>0</v>
      </c>
      <c r="H38" s="3">
        <f t="shared" si="7"/>
        <v>0</v>
      </c>
    </row>
    <row r="39" spans="1:8" ht="27.75" customHeight="1">
      <c r="A39" s="8">
        <v>10</v>
      </c>
      <c r="B39" s="9" t="s">
        <v>15</v>
      </c>
      <c r="C39" s="8"/>
      <c r="D39" s="8"/>
      <c r="E39" s="8"/>
      <c r="F39" s="10"/>
      <c r="G39" s="2">
        <f t="shared" si="6"/>
        <v>0</v>
      </c>
      <c r="H39" s="3">
        <f t="shared" si="7"/>
        <v>0</v>
      </c>
    </row>
    <row r="40" spans="1:8" s="32" customFormat="1" ht="27.75" customHeight="1">
      <c r="A40" s="8">
        <v>10</v>
      </c>
      <c r="B40" s="9" t="s">
        <v>16</v>
      </c>
      <c r="C40" s="8"/>
      <c r="D40" s="8"/>
      <c r="E40" s="8"/>
      <c r="F40" s="10"/>
      <c r="G40" s="2">
        <f t="shared" si="6"/>
        <v>0</v>
      </c>
      <c r="H40" s="3">
        <f t="shared" si="7"/>
        <v>0</v>
      </c>
    </row>
    <row r="41" spans="1:8" ht="27.75" customHeight="1">
      <c r="A41" s="32"/>
      <c r="B41" s="32"/>
      <c r="C41" s="32"/>
      <c r="D41" s="32"/>
      <c r="E41" s="32"/>
      <c r="F41" s="32"/>
      <c r="G41" s="32"/>
      <c r="H41" s="32"/>
    </row>
    <row r="42" spans="1:8" ht="27.75" customHeight="1">
      <c r="A42" s="1" t="s">
        <v>18</v>
      </c>
      <c r="B42" s="7" t="s">
        <v>19</v>
      </c>
      <c r="C42" s="1"/>
      <c r="D42" s="1"/>
      <c r="E42" s="1"/>
      <c r="F42" s="4"/>
      <c r="G42" s="2">
        <f t="shared" ref="G42:G49" si="8">IF((C42-D42)&lt;0,0,C42-D42)</f>
        <v>0</v>
      </c>
      <c r="H42" s="3">
        <f t="shared" ref="H42:H49" si="9">IF((D42-C42)&lt;0,0,D42-C42)</f>
        <v>0</v>
      </c>
    </row>
    <row r="43" spans="1:8" ht="27.75" customHeight="1">
      <c r="A43" s="1" t="s">
        <v>18</v>
      </c>
      <c r="B43" s="7" t="s">
        <v>20</v>
      </c>
      <c r="C43" s="1"/>
      <c r="D43" s="1"/>
      <c r="E43" s="1"/>
      <c r="F43" s="4"/>
      <c r="G43" s="2">
        <f t="shared" si="8"/>
        <v>0</v>
      </c>
      <c r="H43" s="3">
        <f t="shared" si="9"/>
        <v>0</v>
      </c>
    </row>
    <row r="44" spans="1:8" ht="27.75" customHeight="1">
      <c r="A44" s="1" t="s">
        <v>18</v>
      </c>
      <c r="B44" s="7" t="s">
        <v>21</v>
      </c>
      <c r="C44" s="1"/>
      <c r="D44" s="1"/>
      <c r="E44" s="1"/>
      <c r="F44" s="4"/>
      <c r="G44" s="2">
        <f t="shared" si="8"/>
        <v>0</v>
      </c>
      <c r="H44" s="3">
        <f t="shared" si="9"/>
        <v>0</v>
      </c>
    </row>
    <row r="45" spans="1:8" ht="36.75" customHeight="1">
      <c r="A45" s="1" t="s">
        <v>18</v>
      </c>
      <c r="B45" s="7" t="s">
        <v>22</v>
      </c>
      <c r="C45" s="1"/>
      <c r="D45" s="1"/>
      <c r="E45" s="1"/>
      <c r="F45" s="4"/>
      <c r="G45" s="2">
        <f t="shared" si="8"/>
        <v>0</v>
      </c>
      <c r="H45" s="3">
        <f t="shared" si="9"/>
        <v>0</v>
      </c>
    </row>
    <row r="46" spans="1:8" ht="27.75" customHeight="1">
      <c r="A46" s="1" t="s">
        <v>18</v>
      </c>
      <c r="B46" s="7" t="s">
        <v>23</v>
      </c>
      <c r="C46" s="1"/>
      <c r="D46" s="1"/>
      <c r="E46" s="1"/>
      <c r="F46" s="4"/>
      <c r="G46" s="2">
        <f t="shared" si="8"/>
        <v>0</v>
      </c>
      <c r="H46" s="3">
        <f t="shared" si="9"/>
        <v>0</v>
      </c>
    </row>
    <row r="47" spans="1:8" ht="27.75" customHeight="1">
      <c r="A47" s="1" t="s">
        <v>18</v>
      </c>
      <c r="B47" s="7" t="s">
        <v>24</v>
      </c>
      <c r="C47" s="1"/>
      <c r="D47" s="1"/>
      <c r="E47" s="1"/>
      <c r="F47" s="4"/>
      <c r="G47" s="2">
        <f t="shared" si="8"/>
        <v>0</v>
      </c>
      <c r="H47" s="3">
        <f t="shared" si="9"/>
        <v>0</v>
      </c>
    </row>
    <row r="48" spans="1:8" ht="27.75" customHeight="1">
      <c r="A48" s="1" t="s">
        <v>18</v>
      </c>
      <c r="B48" s="7" t="s">
        <v>25</v>
      </c>
      <c r="C48" s="1"/>
      <c r="D48" s="1"/>
      <c r="E48" s="1"/>
      <c r="F48" s="4"/>
      <c r="G48" s="2">
        <f t="shared" si="8"/>
        <v>0</v>
      </c>
      <c r="H48" s="3">
        <f t="shared" si="9"/>
        <v>0</v>
      </c>
    </row>
    <row r="49" spans="1:8" ht="27.75" customHeight="1">
      <c r="A49" s="1" t="s">
        <v>18</v>
      </c>
      <c r="B49" s="7" t="s">
        <v>26</v>
      </c>
      <c r="C49" s="1"/>
      <c r="D49" s="1"/>
      <c r="E49" s="1"/>
      <c r="F49" s="4"/>
      <c r="G49" s="2">
        <f t="shared" si="8"/>
        <v>0</v>
      </c>
      <c r="H49" s="3">
        <f t="shared" si="9"/>
        <v>0</v>
      </c>
    </row>
    <row r="50" spans="1:8" s="32" customFormat="1" ht="27.75" customHeight="1">
      <c r="A50"/>
      <c r="B50"/>
      <c r="C50"/>
      <c r="D50"/>
      <c r="E50"/>
      <c r="F50"/>
      <c r="G50"/>
      <c r="H50"/>
    </row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s="32" customFormat="1" ht="27.75" customHeight="1">
      <c r="A60"/>
      <c r="B60"/>
      <c r="C60"/>
      <c r="D60"/>
      <c r="E60"/>
      <c r="F60"/>
      <c r="G60"/>
      <c r="H60"/>
    </row>
    <row r="61" spans="1:8" ht="27.75" customHeight="1"/>
    <row r="62" spans="1:8" ht="27.75" customHeight="1"/>
    <row r="63" spans="1:8" ht="27.75" customHeight="1"/>
    <row r="64" spans="1:8" ht="27.75" customHeight="1"/>
    <row r="65" spans="1:8" ht="27.75" customHeight="1"/>
    <row r="66" spans="1:8" ht="27.75" customHeight="1"/>
    <row r="67" spans="1:8" ht="27.75" customHeight="1"/>
    <row r="68" spans="1:8" ht="27.75" customHeight="1"/>
    <row r="69" spans="1:8" ht="27.75" customHeight="1"/>
    <row r="70" spans="1:8" s="32" customFormat="1" ht="27.75" customHeight="1">
      <c r="A70"/>
      <c r="B70"/>
      <c r="C70"/>
      <c r="D70"/>
      <c r="E70"/>
      <c r="F70"/>
      <c r="G70"/>
      <c r="H70"/>
    </row>
    <row r="71" spans="1:8" ht="27.75" customHeight="1"/>
    <row r="72" spans="1:8" ht="27.75" customHeight="1"/>
    <row r="73" spans="1:8" ht="27.75" customHeight="1"/>
    <row r="74" spans="1:8" ht="27.75" customHeight="1"/>
    <row r="75" spans="1:8" ht="27.75" customHeight="1"/>
    <row r="76" spans="1:8" ht="27.75" customHeight="1"/>
    <row r="77" spans="1:8" ht="27.75" customHeight="1"/>
    <row r="78" spans="1:8" ht="27.75" customHeight="1"/>
    <row r="79" spans="1:8" ht="27.75" customHeight="1"/>
    <row r="80" spans="1:8" s="32" customFormat="1" ht="27.75" customHeight="1">
      <c r="A80"/>
      <c r="B80"/>
      <c r="C80"/>
      <c r="D80"/>
      <c r="E80"/>
      <c r="F80"/>
      <c r="G80"/>
      <c r="H80"/>
    </row>
    <row r="81" spans="1:8" ht="27.75" customHeight="1"/>
    <row r="82" spans="1:8" ht="27.75" customHeight="1"/>
    <row r="83" spans="1:8" ht="27.75" customHeight="1"/>
    <row r="84" spans="1:8" ht="27.75" customHeight="1"/>
    <row r="85" spans="1:8" ht="27.75" customHeight="1"/>
    <row r="86" spans="1:8" ht="27.75" customHeight="1"/>
    <row r="87" spans="1:8" ht="27.75" customHeight="1"/>
    <row r="88" spans="1:8" ht="27.75" customHeight="1"/>
    <row r="89" spans="1:8" ht="27.75" customHeight="1"/>
    <row r="90" spans="1:8" s="32" customFormat="1" ht="27.75" customHeight="1">
      <c r="A90"/>
      <c r="B90"/>
      <c r="C90"/>
      <c r="D90"/>
      <c r="E90"/>
      <c r="F90"/>
      <c r="G90"/>
      <c r="H90"/>
    </row>
    <row r="91" spans="1:8" ht="39.75" customHeight="1"/>
    <row r="92" spans="1:8" ht="27.75" customHeight="1"/>
    <row r="93" spans="1:8" ht="27.75" customHeight="1"/>
    <row r="94" spans="1:8" ht="27.75" customHeight="1"/>
    <row r="95" spans="1:8" ht="40.5" customHeight="1"/>
    <row r="96" spans="1:8" ht="38.25" customHeight="1"/>
    <row r="97" ht="27.75" customHeight="1"/>
    <row r="98" ht="47.25" customHeight="1"/>
  </sheetData>
  <protectedRanges>
    <protectedRange sqref="I90:XFD90 C42:E49 A41:H41 C32:E40 A31:H31 C22:E30 A21:H21 C12:E20 A11:H11 I20:XFD20 I40:XFD40 I7:XFD7 I30:XFD30 I13:XFD13 I50:XFD50 I60:XFD60 I70:XFD70 I80:XFD80 C1:E10" name="Textbooks"/>
    <protectedRange sqref="F42:F49 F32:F40 F22:F30 F12:F20 F1:F10" name="SOURCE"/>
  </protectedRanges>
  <phoneticPr fontId="7" type="noConversion"/>
  <dataValidations count="2">
    <dataValidation type="list" allowBlank="1" showInputMessage="1" showErrorMessage="1" sqref="F2:F10 F12:F20 F22:F30 F32:F40 F42:F49" xr:uid="{2F7388E0-D1A1-4571-8C10-96CB9A727EB3}">
      <formula1>"CO,RO,SDO"</formula1>
    </dataValidation>
    <dataValidation type="list" allowBlank="1" showInputMessage="1" showErrorMessage="1" sqref="E42:E49 E32:E40 E22:E30 E12:E20 E2:E10" xr:uid="{135126F4-9849-48CA-A8D5-8CE66DD1E877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selection activeCell="A3" sqref="A3:AA6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27</v>
      </c>
      <c r="E1" s="35"/>
      <c r="F1" s="35"/>
      <c r="G1" s="35"/>
      <c r="H1" s="35"/>
      <c r="I1" s="35"/>
      <c r="J1" s="36" t="s">
        <v>28</v>
      </c>
      <c r="K1" s="36"/>
      <c r="L1" s="36"/>
      <c r="M1" s="36"/>
      <c r="N1" s="36"/>
      <c r="O1" s="36"/>
      <c r="P1" s="37" t="s">
        <v>29</v>
      </c>
      <c r="Q1" s="37"/>
      <c r="R1" s="37"/>
      <c r="S1" s="37"/>
      <c r="T1" s="37"/>
      <c r="U1" s="37"/>
      <c r="V1" s="38" t="s">
        <v>30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31</v>
      </c>
      <c r="E2" s="17" t="s">
        <v>32</v>
      </c>
      <c r="F2" s="18" t="s">
        <v>33</v>
      </c>
      <c r="G2" s="21" t="s">
        <v>34</v>
      </c>
      <c r="H2" s="14" t="s">
        <v>35</v>
      </c>
      <c r="I2" s="21" t="s">
        <v>36</v>
      </c>
      <c r="J2" s="19" t="s">
        <v>37</v>
      </c>
      <c r="K2" s="19" t="s">
        <v>38</v>
      </c>
      <c r="L2" s="20" t="s">
        <v>39</v>
      </c>
      <c r="M2" s="33" t="s">
        <v>40</v>
      </c>
      <c r="N2" s="33" t="s">
        <v>41</v>
      </c>
      <c r="O2" s="19" t="s">
        <v>42</v>
      </c>
      <c r="P2" s="21" t="s">
        <v>43</v>
      </c>
      <c r="Q2" s="21" t="s">
        <v>44</v>
      </c>
      <c r="R2" s="22" t="s">
        <v>45</v>
      </c>
      <c r="S2" s="14" t="s">
        <v>46</v>
      </c>
      <c r="T2" s="14" t="s">
        <v>47</v>
      </c>
      <c r="U2" s="21" t="s">
        <v>48</v>
      </c>
      <c r="V2" s="23" t="s">
        <v>49</v>
      </c>
      <c r="W2" s="23" t="s">
        <v>50</v>
      </c>
      <c r="X2" s="24" t="s">
        <v>51</v>
      </c>
      <c r="Y2" s="34" t="s">
        <v>52</v>
      </c>
      <c r="Z2" s="34" t="s">
        <v>53</v>
      </c>
      <c r="AA2" s="23" t="s">
        <v>54</v>
      </c>
    </row>
    <row r="3" spans="1:27" ht="30.6" customHeight="1">
      <c r="A3" s="8">
        <v>7</v>
      </c>
      <c r="B3" s="9" t="s">
        <v>8</v>
      </c>
      <c r="C3" s="8"/>
      <c r="D3" s="10">
        <f>Table1[[#This Row],[Enrolment S.Y. 2025-2026 ]]*8</f>
        <v>0</v>
      </c>
      <c r="E3" s="10"/>
      <c r="F3" s="8"/>
      <c r="G3" s="10"/>
      <c r="H3" s="10">
        <f t="shared" ref="H3:H17" si="0">IF((D3-E3)&lt;0,0,(D3-E3))</f>
        <v>0</v>
      </c>
      <c r="I3" s="10">
        <f t="shared" ref="I3:I17" si="1">IF((E3-D3)&lt;0,0,(E3-D3))</f>
        <v>0</v>
      </c>
      <c r="J3" s="10">
        <f>Table1[[#This Row],[Enrolment S.Y. 2025-2026 ]]*8</f>
        <v>0</v>
      </c>
      <c r="K3" s="10"/>
      <c r="L3" s="8"/>
      <c r="M3" s="10"/>
      <c r="N3" s="10">
        <f t="shared" ref="N3:N9" si="2">IF((J3-K3)&lt;0,0,(J3-K3))</f>
        <v>0</v>
      </c>
      <c r="O3" s="10">
        <f t="shared" ref="O3:O9" si="3">IF((K3-J3)&lt;0,0,(K3-J3))</f>
        <v>0</v>
      </c>
      <c r="P3" s="10">
        <f>Table1[[#This Row],[Enrolment S.Y. 2025-2026 ]]*8</f>
        <v>0</v>
      </c>
      <c r="Q3" s="10"/>
      <c r="R3" s="8"/>
      <c r="S3" s="10"/>
      <c r="T3" s="10">
        <f t="shared" ref="T3:T9" si="4">IF((P3-Q3)&lt;0,0,(P3-Q3))</f>
        <v>0</v>
      </c>
      <c r="U3" s="10">
        <f t="shared" ref="U3:U9" si="5">IF((Q3-P3)&lt;0,0,(Q3-P3))</f>
        <v>0</v>
      </c>
      <c r="V3" s="10">
        <f>Table1[[#This Row],[Enrolment S.Y. 2025-2026 ]]*8</f>
        <v>0</v>
      </c>
      <c r="W3" s="10"/>
      <c r="X3" s="8"/>
      <c r="Y3" s="10"/>
      <c r="Z3" s="10">
        <f t="shared" ref="Z3:Z9" si="6">IF((V3-W3)&lt;0,0,(V3-W3))</f>
        <v>0</v>
      </c>
      <c r="AA3" s="10">
        <f t="shared" ref="AA3:AA9" si="7">IF((W3-V3)&lt;0,0,(W3-V3))</f>
        <v>0</v>
      </c>
    </row>
    <row r="4" spans="1:27" s="6" customFormat="1" ht="19.5">
      <c r="A4" s="8">
        <v>7</v>
      </c>
      <c r="B4" s="9" t="s">
        <v>9</v>
      </c>
      <c r="C4" s="8"/>
      <c r="D4" s="10">
        <f>Table1[[#This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10</v>
      </c>
      <c r="C5" s="8"/>
      <c r="D5" s="10">
        <f>Table1[[#This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11</v>
      </c>
      <c r="C6" s="8"/>
      <c r="D6" s="10">
        <f>Table1[[#This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12</v>
      </c>
      <c r="C7" s="8"/>
      <c r="D7" s="10">
        <f>Table1[[#This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Table1[[#This Row],[Enrolment S.Y. 2025-2026 ]]*8</f>
        <v>0</v>
      </c>
      <c r="K7" s="10"/>
      <c r="L7" s="8"/>
      <c r="M7" s="10"/>
      <c r="N7" s="10">
        <f t="shared" si="2"/>
        <v>0</v>
      </c>
      <c r="O7" s="10">
        <f t="shared" si="3"/>
        <v>0</v>
      </c>
      <c r="P7" s="10">
        <f>Table1[[#This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13</v>
      </c>
      <c r="C8" s="8"/>
      <c r="D8" s="10">
        <f>Table1[[#This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Table1[[#This Row],[Enrolment S.Y. 2025-2026 ]]*8</f>
        <v>0</v>
      </c>
      <c r="K8" s="10"/>
      <c r="L8" s="8"/>
      <c r="M8" s="10"/>
      <c r="N8" s="10">
        <f t="shared" si="2"/>
        <v>0</v>
      </c>
      <c r="O8" s="10">
        <f t="shared" si="3"/>
        <v>0</v>
      </c>
      <c r="P8" s="10">
        <f>Table1[[#This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8">
        <v>7</v>
      </c>
      <c r="B9" s="9" t="s">
        <v>14</v>
      </c>
      <c r="C9" s="8"/>
      <c r="D9" s="10">
        <f>Table1[[#This Row],[Enrolment S.Y. 2025-2026 ]]*8</f>
        <v>0</v>
      </c>
      <c r="E9" s="10"/>
      <c r="F9" s="8"/>
      <c r="G9" s="10"/>
      <c r="H9" s="10">
        <f t="shared" si="0"/>
        <v>0</v>
      </c>
      <c r="I9" s="10">
        <f t="shared" si="1"/>
        <v>0</v>
      </c>
      <c r="J9" s="10">
        <f>Table1[[#This Row],[Enrolment S.Y. 2025-2026 ]]*8</f>
        <v>0</v>
      </c>
      <c r="K9" s="10"/>
      <c r="L9" s="8"/>
      <c r="M9" s="10"/>
      <c r="N9" s="10">
        <f t="shared" si="2"/>
        <v>0</v>
      </c>
      <c r="O9" s="10">
        <f t="shared" si="3"/>
        <v>0</v>
      </c>
      <c r="P9" s="10">
        <f>Table1[[#This Row],[Enrolment S.Y. 2025-2026 ]]*8</f>
        <v>0</v>
      </c>
      <c r="Q9" s="10"/>
      <c r="R9" s="8"/>
      <c r="S9" s="10"/>
      <c r="T9" s="10">
        <f t="shared" si="4"/>
        <v>0</v>
      </c>
      <c r="U9" s="10">
        <f t="shared" si="5"/>
        <v>0</v>
      </c>
      <c r="V9" s="10">
        <f>Table1[[#This Row],[Enrolment S.Y. 2025-2026 ]]*8</f>
        <v>0</v>
      </c>
      <c r="W9" s="10"/>
      <c r="X9" s="8"/>
      <c r="Y9" s="10"/>
      <c r="Z9" s="10">
        <f t="shared" si="6"/>
        <v>0</v>
      </c>
      <c r="AA9" s="10">
        <f t="shared" si="7"/>
        <v>0</v>
      </c>
    </row>
    <row r="10" spans="1:27" ht="19.5">
      <c r="A10" s="8">
        <v>7</v>
      </c>
      <c r="B10" s="9" t="s">
        <v>15</v>
      </c>
      <c r="C10" s="8"/>
      <c r="D10" s="10">
        <f>Table1[[#This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Table1[[#This Row],[Enrolment S.Y. 2025-2026 ]]*8</f>
        <v>0</v>
      </c>
      <c r="K10" s="10"/>
      <c r="L10" s="8"/>
      <c r="M10" s="10"/>
      <c r="N10" s="10">
        <f t="shared" ref="N10:N66" si="8">IF((J10-K10)&lt;0,0,(J10-K10))</f>
        <v>0</v>
      </c>
      <c r="O10" s="10">
        <f t="shared" ref="O10:O66" si="9">IF((K10-J10)&lt;0,0,(K10-J10))</f>
        <v>0</v>
      </c>
      <c r="P10" s="10">
        <f>Table1[[#This Row],[Enrolment S.Y. 2025-2026 ]]*8</f>
        <v>0</v>
      </c>
      <c r="Q10" s="10"/>
      <c r="R10" s="8"/>
      <c r="S10" s="10"/>
      <c r="T10" s="10">
        <f t="shared" ref="T10:T67" si="10">IF((P10-Q10)&lt;0,0,(P10-Q10))</f>
        <v>0</v>
      </c>
      <c r="U10" s="10">
        <f t="shared" ref="U10:U67" si="11">IF((Q10-P10)&lt;0,0,(Q10-P10))</f>
        <v>0</v>
      </c>
      <c r="V10" s="10">
        <f>Table1[[#This Row],[Enrolment S.Y. 2025-2026 ]]*8</f>
        <v>0</v>
      </c>
      <c r="W10" s="10"/>
      <c r="X10" s="8"/>
      <c r="Y10" s="10"/>
      <c r="Z10" s="10">
        <f t="shared" ref="Z10:Z67" si="12">IF((V10-W10)&lt;0,0,(V10-W10))</f>
        <v>0</v>
      </c>
      <c r="AA10" s="10">
        <f t="shared" ref="AA10:AA67" si="13">IF((W10-V10)&lt;0,0,(W10-V10))</f>
        <v>0</v>
      </c>
    </row>
    <row r="11" spans="1:27" ht="19.5">
      <c r="A11" s="8">
        <v>7</v>
      </c>
      <c r="B11" s="9" t="s">
        <v>16</v>
      </c>
      <c r="C11" s="8"/>
      <c r="D11" s="10">
        <f>Table1[[#This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6"/>
      <c r="B12" s="6"/>
      <c r="C12" s="6"/>
      <c r="D12" s="6"/>
      <c r="E12" s="6"/>
      <c r="F12" s="6"/>
      <c r="G12" s="6"/>
      <c r="H12" s="6"/>
      <c r="I12" s="6"/>
      <c r="J12" s="11"/>
      <c r="K12" s="6"/>
      <c r="L12" s="6"/>
      <c r="M12" s="4"/>
      <c r="N12" s="11"/>
      <c r="O12" s="11"/>
      <c r="P12" s="11"/>
      <c r="Q12" s="6"/>
      <c r="R12" s="6"/>
      <c r="S12" s="4"/>
      <c r="T12" s="11"/>
      <c r="U12" s="11"/>
      <c r="V12" s="11"/>
      <c r="W12" s="6"/>
      <c r="Y12" s="4"/>
      <c r="Z12" s="11"/>
      <c r="AA12" s="11"/>
    </row>
    <row r="13" spans="1:27" s="6" customFormat="1" ht="19.5">
      <c r="A13" s="8">
        <v>8</v>
      </c>
      <c r="B13" s="9" t="s">
        <v>8</v>
      </c>
      <c r="C13" s="8"/>
      <c r="D13" s="10">
        <f>Table1[[#This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9.5">
      <c r="A14" s="8">
        <v>8</v>
      </c>
      <c r="B14" s="9" t="s">
        <v>9</v>
      </c>
      <c r="C14" s="8"/>
      <c r="D14" s="10">
        <f>Table1[[#This Row],[Enrolment S.Y. 2025-2026 ]]*8</f>
        <v>0</v>
      </c>
      <c r="E14" s="10"/>
      <c r="F14" s="8"/>
      <c r="G14" s="10"/>
      <c r="H14" s="10">
        <f t="shared" si="0"/>
        <v>0</v>
      </c>
      <c r="I14" s="10">
        <f t="shared" si="1"/>
        <v>0</v>
      </c>
      <c r="J14" s="10">
        <f>Table1[[#This Row],[Enrolment S.Y. 2025-2026 ]]*8</f>
        <v>0</v>
      </c>
      <c r="K14" s="10"/>
      <c r="L14" s="8"/>
      <c r="M14" s="10"/>
      <c r="N14" s="10">
        <f t="shared" si="8"/>
        <v>0</v>
      </c>
      <c r="O14" s="10">
        <f t="shared" si="9"/>
        <v>0</v>
      </c>
      <c r="P14" s="10">
        <f>Table1[[#This Row],[Enrolment S.Y. 2025-2026 ]]*8</f>
        <v>0</v>
      </c>
      <c r="Q14" s="10"/>
      <c r="R14" s="8"/>
      <c r="S14" s="10"/>
      <c r="T14" s="10">
        <f t="shared" si="10"/>
        <v>0</v>
      </c>
      <c r="U14" s="10">
        <f t="shared" si="11"/>
        <v>0</v>
      </c>
      <c r="V14" s="10">
        <f>Table1[[#This Row],[Enrolment S.Y. 2025-2026 ]]*8</f>
        <v>0</v>
      </c>
      <c r="W14" s="10"/>
      <c r="X14" s="8"/>
      <c r="Y14" s="10"/>
      <c r="Z14" s="10">
        <f t="shared" si="12"/>
        <v>0</v>
      </c>
      <c r="AA14" s="10">
        <f t="shared" si="13"/>
        <v>0</v>
      </c>
    </row>
    <row r="15" spans="1:27" ht="19.5">
      <c r="A15" s="8">
        <v>8</v>
      </c>
      <c r="B15" s="9" t="s">
        <v>10</v>
      </c>
      <c r="C15" s="8"/>
      <c r="D15" s="10">
        <f>Table1[[#This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Table1[[#This Row],[Enrolment S.Y. 2025-2026 ]]*8</f>
        <v>0</v>
      </c>
      <c r="K15" s="10"/>
      <c r="L15" s="8"/>
      <c r="M15" s="10"/>
      <c r="N15" s="10">
        <f t="shared" si="8"/>
        <v>0</v>
      </c>
      <c r="O15" s="10">
        <f t="shared" si="9"/>
        <v>0</v>
      </c>
      <c r="P15" s="10">
        <f>Table1[[#This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11</v>
      </c>
      <c r="C16" s="8"/>
      <c r="D16" s="10">
        <f>Table1[[#This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Table1[[#This Row],[Enrolment S.Y. 2025-2026 ]]*8</f>
        <v>0</v>
      </c>
      <c r="K16" s="10"/>
      <c r="L16" s="8"/>
      <c r="M16" s="10"/>
      <c r="N16" s="10">
        <f t="shared" si="8"/>
        <v>0</v>
      </c>
      <c r="O16" s="10">
        <f t="shared" si="9"/>
        <v>0</v>
      </c>
      <c r="P16" s="10">
        <f>Table1[[#This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17</v>
      </c>
      <c r="C17" s="8"/>
      <c r="D17" s="10">
        <f>Table1[[#This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Table1[[#This Row],[Enrolment S.Y. 2025-2026 ]]*8</f>
        <v>0</v>
      </c>
      <c r="K17" s="10"/>
      <c r="L17" s="8"/>
      <c r="M17" s="10"/>
      <c r="N17" s="10">
        <f t="shared" si="8"/>
        <v>0</v>
      </c>
      <c r="O17" s="10">
        <f t="shared" si="9"/>
        <v>0</v>
      </c>
      <c r="P17" s="10">
        <f>Table1[[#This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13</v>
      </c>
      <c r="C18" s="8"/>
      <c r="D18" s="10">
        <f>Table1[[#This Row],[Enrolment S.Y. 2025-2026 ]]*8</f>
        <v>0</v>
      </c>
      <c r="E18" s="10"/>
      <c r="F18" s="8"/>
      <c r="G18" s="10"/>
      <c r="H18" s="10">
        <f t="shared" ref="H18:H67" si="14">IF((D18-E18)&lt;0,0,(D18-E18))</f>
        <v>0</v>
      </c>
      <c r="I18" s="10">
        <f t="shared" ref="I18:I67" si="15">IF((E18-D18)&lt;0,0,(E18-D18))</f>
        <v>0</v>
      </c>
      <c r="J18" s="10">
        <f>Table1[[#This Row],[Enrolment S.Y. 2025-2026 ]]*8</f>
        <v>0</v>
      </c>
      <c r="K18" s="10"/>
      <c r="L18" s="8"/>
      <c r="M18" s="10"/>
      <c r="N18" s="10">
        <f t="shared" si="8"/>
        <v>0</v>
      </c>
      <c r="O18" s="10">
        <f t="shared" si="9"/>
        <v>0</v>
      </c>
      <c r="P18" s="10">
        <f>Table1[[#This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14</v>
      </c>
      <c r="C19" s="8"/>
      <c r="D19" s="10">
        <f>Table1[[#This Row],[Enrolment S.Y. 2025-2026 ]]*8</f>
        <v>0</v>
      </c>
      <c r="E19" s="10"/>
      <c r="F19" s="8"/>
      <c r="G19" s="10"/>
      <c r="H19" s="10">
        <f t="shared" si="14"/>
        <v>0</v>
      </c>
      <c r="I19" s="10">
        <f t="shared" si="15"/>
        <v>0</v>
      </c>
      <c r="J19" s="10">
        <f>Table1[[#This Row],[Enrolment S.Y. 2025-2026 ]]*8</f>
        <v>0</v>
      </c>
      <c r="K19" s="10"/>
      <c r="L19" s="8"/>
      <c r="M19" s="10"/>
      <c r="N19" s="10">
        <f t="shared" si="8"/>
        <v>0</v>
      </c>
      <c r="O19" s="10">
        <f t="shared" si="9"/>
        <v>0</v>
      </c>
      <c r="P19" s="10">
        <f>Table1[[#This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ht="19.5">
      <c r="A20" s="8">
        <v>8</v>
      </c>
      <c r="B20" s="9" t="s">
        <v>15</v>
      </c>
      <c r="C20" s="8"/>
      <c r="D20" s="10">
        <f>Table1[[#This Row],[Enrolment S.Y. 2025-2026 ]]*8</f>
        <v>0</v>
      </c>
      <c r="E20" s="10"/>
      <c r="F20" s="8"/>
      <c r="G20" s="10"/>
      <c r="H20" s="10">
        <f t="shared" si="14"/>
        <v>0</v>
      </c>
      <c r="I20" s="10">
        <f t="shared" si="15"/>
        <v>0</v>
      </c>
      <c r="J20" s="10">
        <f>Table1[[#This Row],[Enrolment S.Y. 2025-2026 ]]*8</f>
        <v>0</v>
      </c>
      <c r="K20" s="10"/>
      <c r="L20" s="8"/>
      <c r="M20" s="10"/>
      <c r="N20" s="10">
        <f t="shared" si="8"/>
        <v>0</v>
      </c>
      <c r="O20" s="10">
        <f t="shared" si="9"/>
        <v>0</v>
      </c>
      <c r="P20" s="10">
        <f>Table1[[#This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8">
        <v>8</v>
      </c>
      <c r="B21" s="9" t="s">
        <v>16</v>
      </c>
      <c r="C21" s="8"/>
      <c r="D21" s="10">
        <f>Table1[[#This Row],[Enrolment S.Y. 2025-2026 ]]*8</f>
        <v>0</v>
      </c>
      <c r="E21" s="10"/>
      <c r="F21" s="8"/>
      <c r="G21" s="10"/>
      <c r="H21" s="10">
        <f t="shared" si="14"/>
        <v>0</v>
      </c>
      <c r="I21" s="10">
        <f t="shared" si="15"/>
        <v>0</v>
      </c>
      <c r="J21" s="10">
        <f>Table1[[#This Row],[Enrolment S.Y. 2025-2026 ]]*8</f>
        <v>0</v>
      </c>
      <c r="K21" s="10"/>
      <c r="L21" s="8"/>
      <c r="M21" s="10"/>
      <c r="N21" s="10">
        <f t="shared" si="8"/>
        <v>0</v>
      </c>
      <c r="O21" s="10">
        <f t="shared" si="9"/>
        <v>0</v>
      </c>
      <c r="P21" s="10">
        <f>Table1[[#This Row],[Enrolment S.Y. 2025-2026 ]]*8</f>
        <v>0</v>
      </c>
      <c r="Q21" s="10"/>
      <c r="R21" s="8"/>
      <c r="S21" s="10"/>
      <c r="T21" s="10">
        <f t="shared" si="10"/>
        <v>0</v>
      </c>
      <c r="U21" s="10">
        <f t="shared" si="11"/>
        <v>0</v>
      </c>
      <c r="V21" s="10">
        <f>Table1[[#This Row],[Enrolment S.Y. 2025-2026 ]]*8</f>
        <v>0</v>
      </c>
      <c r="W21" s="10"/>
      <c r="X21" s="8"/>
      <c r="Y21" s="10"/>
      <c r="Z21" s="10">
        <f t="shared" si="12"/>
        <v>0</v>
      </c>
      <c r="AA21" s="10">
        <f t="shared" si="13"/>
        <v>0</v>
      </c>
    </row>
    <row r="22" spans="1:27" s="6" customFormat="1" ht="19.5">
      <c r="J22" s="11"/>
      <c r="M22" s="4"/>
      <c r="N22" s="11"/>
      <c r="O22" s="11"/>
      <c r="P22" s="11"/>
      <c r="S22" s="4"/>
      <c r="T22" s="11"/>
      <c r="U22" s="11"/>
      <c r="V22" s="11"/>
      <c r="X22"/>
      <c r="Y22" s="4"/>
      <c r="Z22" s="11"/>
      <c r="AA22" s="11"/>
    </row>
    <row r="23" spans="1:27" ht="19.5">
      <c r="A23" s="8">
        <v>9</v>
      </c>
      <c r="B23" s="9" t="s">
        <v>8</v>
      </c>
      <c r="C23" s="8"/>
      <c r="D23" s="10">
        <f>Table1[[#This Row],[Enrolment S.Y. 2025-2026 ]]*8</f>
        <v>0</v>
      </c>
      <c r="E23" s="10"/>
      <c r="F23" s="8"/>
      <c r="G23" s="10"/>
      <c r="H23" s="10">
        <f t="shared" si="14"/>
        <v>0</v>
      </c>
      <c r="I23" s="10">
        <f t="shared" si="15"/>
        <v>0</v>
      </c>
      <c r="J23" s="10">
        <f>Table1[[#This Row],[Enrolment S.Y. 2025-2026 ]]*8</f>
        <v>0</v>
      </c>
      <c r="K23" s="10"/>
      <c r="L23" s="8"/>
      <c r="M23" s="10"/>
      <c r="N23" s="10">
        <f t="shared" si="8"/>
        <v>0</v>
      </c>
      <c r="O23" s="10">
        <f t="shared" si="9"/>
        <v>0</v>
      </c>
      <c r="P23" s="10">
        <f>Table1[[#This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8">
        <v>9</v>
      </c>
      <c r="B24" s="9" t="s">
        <v>9</v>
      </c>
      <c r="C24" s="8"/>
      <c r="D24" s="10">
        <f>Table1[[#This Row],[Enrolment S.Y. 2025-2026 ]]*8</f>
        <v>0</v>
      </c>
      <c r="E24" s="10"/>
      <c r="F24" s="8"/>
      <c r="G24" s="10"/>
      <c r="H24" s="10">
        <f t="shared" si="14"/>
        <v>0</v>
      </c>
      <c r="I24" s="10">
        <f t="shared" si="15"/>
        <v>0</v>
      </c>
      <c r="J24" s="10">
        <f>Table1[[#This Row],[Enrolment S.Y. 2025-2026 ]]*8</f>
        <v>0</v>
      </c>
      <c r="K24" s="10"/>
      <c r="L24" s="8"/>
      <c r="M24" s="10"/>
      <c r="N24" s="10">
        <f t="shared" si="8"/>
        <v>0</v>
      </c>
      <c r="O24" s="10">
        <f t="shared" si="9"/>
        <v>0</v>
      </c>
      <c r="P24" s="10">
        <f>Table1[[#This Row],[Enrolment S.Y. 2025-2026 ]]*8</f>
        <v>0</v>
      </c>
      <c r="Q24" s="10"/>
      <c r="R24" s="8"/>
      <c r="S24" s="10"/>
      <c r="T24" s="10">
        <f t="shared" si="10"/>
        <v>0</v>
      </c>
      <c r="U24" s="10">
        <f t="shared" si="11"/>
        <v>0</v>
      </c>
      <c r="V24" s="10">
        <f>Table1[[#This Row],[Enrolment S.Y. 2025-2026 ]]*8</f>
        <v>0</v>
      </c>
      <c r="W24" s="10"/>
      <c r="X24" s="8"/>
      <c r="Y24" s="10"/>
      <c r="Z24" s="10">
        <f t="shared" si="12"/>
        <v>0</v>
      </c>
      <c r="AA24" s="10">
        <f t="shared" si="13"/>
        <v>0</v>
      </c>
    </row>
    <row r="25" spans="1:27" ht="19.5">
      <c r="A25" s="8">
        <v>9</v>
      </c>
      <c r="B25" s="9" t="s">
        <v>10</v>
      </c>
      <c r="C25" s="8"/>
      <c r="D25" s="10">
        <f>Table1[[#This Row],[Enrolment S.Y. 2025-2026 ]]*8</f>
        <v>0</v>
      </c>
      <c r="E25" s="10"/>
      <c r="F25" s="8"/>
      <c r="G25" s="10"/>
      <c r="H25" s="10">
        <f t="shared" si="14"/>
        <v>0</v>
      </c>
      <c r="I25" s="10">
        <f t="shared" si="15"/>
        <v>0</v>
      </c>
      <c r="J25" s="10">
        <f>Table1[[#This Row],[Enrolment S.Y. 2025-2026 ]]*8</f>
        <v>0</v>
      </c>
      <c r="K25" s="10"/>
      <c r="L25" s="8"/>
      <c r="M25" s="10"/>
      <c r="N25" s="10">
        <f t="shared" si="8"/>
        <v>0</v>
      </c>
      <c r="O25" s="10">
        <f t="shared" si="9"/>
        <v>0</v>
      </c>
      <c r="P25" s="10">
        <f>Table1[[#This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9.5">
      <c r="A26" s="8">
        <v>9</v>
      </c>
      <c r="B26" s="9" t="s">
        <v>11</v>
      </c>
      <c r="C26" s="8"/>
      <c r="D26" s="10">
        <f>Table1[[#This Row],[Enrolment S.Y. 2025-2026 ]]*8</f>
        <v>0</v>
      </c>
      <c r="E26" s="10"/>
      <c r="F26" s="8"/>
      <c r="G26" s="10"/>
      <c r="H26" s="10">
        <f t="shared" si="14"/>
        <v>0</v>
      </c>
      <c r="I26" s="10">
        <f t="shared" si="15"/>
        <v>0</v>
      </c>
      <c r="J26" s="10">
        <f>Table1[[#This Row],[Enrolment S.Y. 2025-2026 ]]*8</f>
        <v>0</v>
      </c>
      <c r="K26" s="10"/>
      <c r="L26" s="8"/>
      <c r="M26" s="10"/>
      <c r="N26" s="10">
        <f t="shared" si="8"/>
        <v>0</v>
      </c>
      <c r="O26" s="10">
        <f t="shared" si="9"/>
        <v>0</v>
      </c>
      <c r="P26" s="10">
        <f>Table1[[#This Row],[Enrolment S.Y. 2025-2026 ]]*8</f>
        <v>0</v>
      </c>
      <c r="Q26" s="10"/>
      <c r="R26" s="8"/>
      <c r="S26" s="10"/>
      <c r="T26" s="10">
        <f t="shared" si="10"/>
        <v>0</v>
      </c>
      <c r="U26" s="10">
        <f t="shared" si="11"/>
        <v>0</v>
      </c>
      <c r="V26" s="10">
        <f>Table1[[#This Row],[Enrolment S.Y. 2025-2026 ]]*8</f>
        <v>0</v>
      </c>
      <c r="W26" s="10"/>
      <c r="X26" s="8"/>
      <c r="Y26" s="10"/>
      <c r="Z26" s="10">
        <f t="shared" si="12"/>
        <v>0</v>
      </c>
      <c r="AA26" s="10">
        <f t="shared" si="13"/>
        <v>0</v>
      </c>
    </row>
    <row r="27" spans="1:27" ht="19.5">
      <c r="A27" s="8">
        <v>9</v>
      </c>
      <c r="B27" s="9" t="s">
        <v>17</v>
      </c>
      <c r="C27" s="8"/>
      <c r="D27" s="10">
        <f>Table1[[#This Row],[Enrolment S.Y. 2025-2026 ]]*8</f>
        <v>0</v>
      </c>
      <c r="E27" s="10"/>
      <c r="F27" s="8"/>
      <c r="G27" s="10"/>
      <c r="H27" s="10">
        <f t="shared" si="14"/>
        <v>0</v>
      </c>
      <c r="I27" s="10">
        <f t="shared" si="15"/>
        <v>0</v>
      </c>
      <c r="J27" s="10">
        <f>Table1[[#This Row],[Enrolment S.Y. 2025-2026 ]]*8</f>
        <v>0</v>
      </c>
      <c r="K27" s="10"/>
      <c r="L27" s="8"/>
      <c r="M27" s="10"/>
      <c r="N27" s="10">
        <f t="shared" si="8"/>
        <v>0</v>
      </c>
      <c r="O27" s="10">
        <f t="shared" si="9"/>
        <v>0</v>
      </c>
      <c r="P27" s="10">
        <f>Table1[[#This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13</v>
      </c>
      <c r="C28" s="8"/>
      <c r="D28" s="10">
        <f>Table1[[#This Row],[Enrolment S.Y. 2025-2026 ]]*8</f>
        <v>0</v>
      </c>
      <c r="E28" s="10"/>
      <c r="F28" s="8"/>
      <c r="G28" s="10"/>
      <c r="H28" s="10">
        <f t="shared" si="14"/>
        <v>0</v>
      </c>
      <c r="I28" s="10">
        <f t="shared" si="15"/>
        <v>0</v>
      </c>
      <c r="J28" s="10">
        <f>Table1[[#This Row],[Enrolment S.Y. 2025-2026 ]]*8</f>
        <v>0</v>
      </c>
      <c r="K28" s="10"/>
      <c r="L28" s="8"/>
      <c r="M28" s="10"/>
      <c r="N28" s="10">
        <f t="shared" si="8"/>
        <v>0</v>
      </c>
      <c r="O28" s="10">
        <f t="shared" si="9"/>
        <v>0</v>
      </c>
      <c r="P28" s="10">
        <f>Table1[[#This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14</v>
      </c>
      <c r="C29" s="8"/>
      <c r="D29" s="10">
        <f>Table1[[#This Row],[Enrolment S.Y. 2025-2026 ]]*8</f>
        <v>0</v>
      </c>
      <c r="E29" s="10"/>
      <c r="F29" s="8"/>
      <c r="G29" s="10"/>
      <c r="H29" s="10">
        <f t="shared" si="14"/>
        <v>0</v>
      </c>
      <c r="I29" s="10">
        <f t="shared" si="15"/>
        <v>0</v>
      </c>
      <c r="J29" s="10">
        <f>Table1[[#This Row],[Enrolment S.Y. 2025-2026 ]]*8</f>
        <v>0</v>
      </c>
      <c r="K29" s="10"/>
      <c r="L29" s="8"/>
      <c r="M29" s="10"/>
      <c r="N29" s="10">
        <f t="shared" si="8"/>
        <v>0</v>
      </c>
      <c r="O29" s="10">
        <f t="shared" si="9"/>
        <v>0</v>
      </c>
      <c r="P29" s="10">
        <f>Table1[[#This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ht="19.5">
      <c r="A30" s="8">
        <v>9</v>
      </c>
      <c r="B30" s="9" t="s">
        <v>15</v>
      </c>
      <c r="C30" s="8"/>
      <c r="D30" s="10">
        <f>Table1[[#This Row],[Enrolment S.Y. 2025-2026 ]]*8</f>
        <v>0</v>
      </c>
      <c r="E30" s="10"/>
      <c r="F30" s="8"/>
      <c r="G30" s="10"/>
      <c r="H30" s="10">
        <f t="shared" si="14"/>
        <v>0</v>
      </c>
      <c r="I30" s="10">
        <f t="shared" si="15"/>
        <v>0</v>
      </c>
      <c r="J30" s="10">
        <f>Table1[[#This Row],[Enrolment S.Y. 2025-2026 ]]*8</f>
        <v>0</v>
      </c>
      <c r="K30" s="10"/>
      <c r="L30" s="8"/>
      <c r="M30" s="10"/>
      <c r="N30" s="10">
        <f t="shared" si="8"/>
        <v>0</v>
      </c>
      <c r="O30" s="10">
        <f t="shared" si="9"/>
        <v>0</v>
      </c>
      <c r="P30" s="10">
        <f>Table1[[#This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16</v>
      </c>
      <c r="C31" s="8"/>
      <c r="D31" s="10">
        <f>Table1[[#This Row],[Enrolment S.Y. 2025-2026 ]]*8</f>
        <v>0</v>
      </c>
      <c r="E31" s="10"/>
      <c r="F31" s="8"/>
      <c r="G31" s="10"/>
      <c r="H31" s="10">
        <f t="shared" si="14"/>
        <v>0</v>
      </c>
      <c r="I31" s="10">
        <f t="shared" si="15"/>
        <v>0</v>
      </c>
      <c r="J31" s="10">
        <f>Table1[[#This Row],[Enrolment S.Y. 2025-2026 ]]*8</f>
        <v>0</v>
      </c>
      <c r="K31" s="10"/>
      <c r="L31" s="8"/>
      <c r="M31" s="10"/>
      <c r="N31" s="10">
        <f t="shared" si="8"/>
        <v>0</v>
      </c>
      <c r="O31" s="10">
        <f t="shared" si="9"/>
        <v>0</v>
      </c>
      <c r="P31" s="10">
        <f>Table1[[#This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s="6" customFormat="1" ht="19.5">
      <c r="J32" s="11"/>
      <c r="M32" s="4"/>
      <c r="N32" s="11"/>
      <c r="O32" s="11"/>
      <c r="P32" s="11"/>
      <c r="S32" s="4"/>
      <c r="T32" s="11"/>
      <c r="U32" s="11"/>
      <c r="V32" s="11"/>
      <c r="X32"/>
      <c r="Y32" s="4"/>
      <c r="Z32" s="11"/>
      <c r="AA32" s="11"/>
    </row>
    <row r="33" spans="1:27" ht="19.5">
      <c r="A33" s="8">
        <v>10</v>
      </c>
      <c r="B33" s="9" t="s">
        <v>8</v>
      </c>
      <c r="C33" s="8"/>
      <c r="D33" s="10">
        <f>Table1[[#This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Table1[[#This Row],[Enrolment S.Y. 2025-2026 ]]*8</f>
        <v>0</v>
      </c>
      <c r="K33" s="10"/>
      <c r="L33" s="8"/>
      <c r="M33" s="10"/>
      <c r="N33" s="10">
        <f>IF((J33-K33)&lt;0,0,(J33-K33))</f>
        <v>0</v>
      </c>
      <c r="O33" s="10">
        <f>IF((K33-J33)&lt;0,0,(K33-J33))</f>
        <v>0</v>
      </c>
      <c r="P33" s="10">
        <f>Table1[[#This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10</v>
      </c>
      <c r="B34" s="9" t="s">
        <v>9</v>
      </c>
      <c r="C34" s="8"/>
      <c r="D34" s="10">
        <f>Table1[[#This Row],[Enrolment S.Y. 2025-2026 ]]*8</f>
        <v>0</v>
      </c>
      <c r="E34" s="10"/>
      <c r="F34" s="8"/>
      <c r="G34" s="10"/>
      <c r="H34" s="10">
        <f>IF((D34-E34)&lt;0,0,(D34-E34))</f>
        <v>0</v>
      </c>
      <c r="I34" s="10">
        <f>IF((E34-D34)&lt;0,0,(E34-D34))</f>
        <v>0</v>
      </c>
      <c r="J34" s="10">
        <f>Table1[[#This Row],[Enrolment S.Y. 2025-2026 ]]*8</f>
        <v>0</v>
      </c>
      <c r="K34" s="10"/>
      <c r="L34" s="8"/>
      <c r="M34" s="10"/>
      <c r="N34" s="10">
        <f>IF((J34-K34)&lt;0,0,(J34-K34))</f>
        <v>0</v>
      </c>
      <c r="O34" s="10">
        <f>IF((K34-J34)&lt;0,0,(K34-J34))</f>
        <v>0</v>
      </c>
      <c r="P34" s="10">
        <f>Table1[[#This Row],[Enrolment S.Y. 2025-2026 ]]*8</f>
        <v>0</v>
      </c>
      <c r="Q34" s="10"/>
      <c r="R34" s="8"/>
      <c r="S34" s="10"/>
      <c r="T34" s="10">
        <f>IF((P34-Q34)&lt;0,0,(P34-Q34))</f>
        <v>0</v>
      </c>
      <c r="U34" s="10">
        <f>IF((Q34-P34)&lt;0,0,(Q34-P34))</f>
        <v>0</v>
      </c>
      <c r="V34" s="10">
        <f>Table1[[#This Row],[Enrolment S.Y. 2025-2026 ]]*8</f>
        <v>0</v>
      </c>
      <c r="W34" s="10"/>
      <c r="X34" s="8"/>
      <c r="Y34" s="10"/>
      <c r="Z34" s="10">
        <f>IF((V34-W34)&lt;0,0,(V34-W34))</f>
        <v>0</v>
      </c>
      <c r="AA34" s="10">
        <f>IF((W34-V34)&lt;0,0,(W34-V34))</f>
        <v>0</v>
      </c>
    </row>
    <row r="35" spans="1:27" ht="19.5">
      <c r="A35" s="8">
        <v>10</v>
      </c>
      <c r="B35" s="9" t="s">
        <v>10</v>
      </c>
      <c r="C35" s="8"/>
      <c r="D35" s="10">
        <f>Table1[[#This Row],[Enrolment S.Y. 2025-2026 ]]*8</f>
        <v>0</v>
      </c>
      <c r="E35" s="10"/>
      <c r="F35" s="8"/>
      <c r="G35" s="10"/>
      <c r="H35" s="10">
        <f>IF((D35-E35)&lt;0,0,(D35-E35))</f>
        <v>0</v>
      </c>
      <c r="I35" s="10">
        <f>IF((E35-D35)&lt;0,0,(E35-D35))</f>
        <v>0</v>
      </c>
      <c r="J35" s="10">
        <f>Table1[[#This Row],[Enrolment S.Y. 2025-2026 ]]*8</f>
        <v>0</v>
      </c>
      <c r="K35" s="10"/>
      <c r="L35" s="8"/>
      <c r="M35" s="10"/>
      <c r="N35" s="10">
        <f>IF((J35-K35)&lt;0,0,(J35-K35))</f>
        <v>0</v>
      </c>
      <c r="O35" s="10">
        <f>IF((K35-J35)&lt;0,0,(K35-J35))</f>
        <v>0</v>
      </c>
      <c r="P35" s="10">
        <f>Table1[[#This Row],[Enrolment S.Y. 2025-2026 ]]*8</f>
        <v>0</v>
      </c>
      <c r="Q35" s="10"/>
      <c r="R35" s="8"/>
      <c r="S35" s="10"/>
      <c r="T35" s="10">
        <f>IF((P35-Q35)&lt;0,0,(P35-Q35))</f>
        <v>0</v>
      </c>
      <c r="U35" s="10">
        <f>IF((Q35-P35)&lt;0,0,(Q35-P35))</f>
        <v>0</v>
      </c>
      <c r="V35" s="10">
        <f>Table1[[#This Row],[Enrolment S.Y. 2025-2026 ]]*8</f>
        <v>0</v>
      </c>
      <c r="W35" s="10"/>
      <c r="X35" s="8"/>
      <c r="Y35" s="10"/>
      <c r="Z35" s="10">
        <f>IF((V35-W35)&lt;0,0,(V35-W35))</f>
        <v>0</v>
      </c>
      <c r="AA35" s="10">
        <f>IF((W35-V35)&lt;0,0,(W35-V35))</f>
        <v>0</v>
      </c>
    </row>
    <row r="36" spans="1:27" ht="19.5">
      <c r="A36" s="8">
        <v>10</v>
      </c>
      <c r="B36" s="9" t="s">
        <v>11</v>
      </c>
      <c r="C36" s="8"/>
      <c r="D36" s="10">
        <f>Table1[[#This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Table1[[#This Row],[Enrolment S.Y. 2025-2026 ]]*8</f>
        <v>0</v>
      </c>
      <c r="K36" s="10"/>
      <c r="L36" s="8"/>
      <c r="M36" s="10"/>
      <c r="N36" s="10">
        <f>IF((J36-K36)&lt;0,0,(J36-K36))</f>
        <v>0</v>
      </c>
      <c r="O36" s="10">
        <f>IF((K36-J36)&lt;0,0,(K36-J36))</f>
        <v>0</v>
      </c>
      <c r="P36" s="10">
        <f>Table1[[#This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10</v>
      </c>
      <c r="B37" s="9" t="s">
        <v>17</v>
      </c>
      <c r="C37" s="8"/>
      <c r="D37" s="10">
        <f>Table1[[#This Row],[Enrolment S.Y. 2025-2026 ]]*8</f>
        <v>0</v>
      </c>
      <c r="E37" s="10"/>
      <c r="F37" s="8"/>
      <c r="G37" s="10"/>
      <c r="H37" s="10">
        <f>IF((D37-E37)&lt;0,0,(D37-E37))</f>
        <v>0</v>
      </c>
      <c r="I37" s="10">
        <f>IF((E37-D37)&lt;0,0,(E37-D37))</f>
        <v>0</v>
      </c>
      <c r="J37" s="10">
        <f>Table1[[#This Row],[Enrolment S.Y. 2025-2026 ]]*8</f>
        <v>0</v>
      </c>
      <c r="K37" s="10"/>
      <c r="L37" s="8"/>
      <c r="M37" s="10"/>
      <c r="N37" s="10">
        <f>IF((J37-K37)&lt;0,0,(J37-K37))</f>
        <v>0</v>
      </c>
      <c r="O37" s="10">
        <f>IF((K37-J37)&lt;0,0,(K37-J37))</f>
        <v>0</v>
      </c>
      <c r="P37" s="10">
        <f>Table1[[#This Row],[Enrolment S.Y. 2025-2026 ]]*8</f>
        <v>0</v>
      </c>
      <c r="Q37" s="10"/>
      <c r="R37" s="8"/>
      <c r="S37" s="10"/>
      <c r="T37" s="10">
        <f>IF((P37-Q37)&lt;0,0,(P37-Q37))</f>
        <v>0</v>
      </c>
      <c r="U37" s="10">
        <f>IF((Q37-P37)&lt;0,0,(Q37-P37))</f>
        <v>0</v>
      </c>
      <c r="V37" s="10">
        <f>Table1[[#This Row],[Enrolment S.Y. 2025-2026 ]]*8</f>
        <v>0</v>
      </c>
      <c r="W37" s="10"/>
      <c r="X37" s="8"/>
      <c r="Y37" s="10"/>
      <c r="Z37" s="10">
        <f>IF((V37-W37)&lt;0,0,(V37-W37))</f>
        <v>0</v>
      </c>
      <c r="AA37" s="10">
        <f>IF((W37-V37)&lt;0,0,(W37-V37))</f>
        <v>0</v>
      </c>
    </row>
    <row r="38" spans="1:27" ht="19.5">
      <c r="A38" s="8">
        <v>10</v>
      </c>
      <c r="B38" s="9" t="s">
        <v>13</v>
      </c>
      <c r="C38" s="8"/>
      <c r="D38" s="10">
        <f>Table1[[#This Row],[Enrolment S.Y. 2025-2026 ]]*8</f>
        <v>0</v>
      </c>
      <c r="E38" s="10"/>
      <c r="F38" s="8"/>
      <c r="G38" s="10"/>
      <c r="H38" s="10">
        <f>IF((D38-E38)&lt;0,0,(D38-E38))</f>
        <v>0</v>
      </c>
      <c r="I38" s="10">
        <f>IF((E38-D38)&lt;0,0,(E38-D38))</f>
        <v>0</v>
      </c>
      <c r="J38" s="10">
        <f>Table1[[#This Row],[Enrolment S.Y. 2025-2026 ]]*8</f>
        <v>0</v>
      </c>
      <c r="K38" s="10"/>
      <c r="L38" s="8"/>
      <c r="M38" s="10"/>
      <c r="N38" s="10">
        <f>IF((J38-K38)&lt;0,0,(J38-K38))</f>
        <v>0</v>
      </c>
      <c r="O38" s="10">
        <f>IF((K38-J38)&lt;0,0,(K38-J38))</f>
        <v>0</v>
      </c>
      <c r="P38" s="10">
        <f>Table1[[#This Row],[Enrolment S.Y. 2025-2026 ]]*8</f>
        <v>0</v>
      </c>
      <c r="Q38" s="10"/>
      <c r="R38" s="8"/>
      <c r="S38" s="10"/>
      <c r="T38" s="10">
        <f>IF((P38-Q38)&lt;0,0,(P38-Q38))</f>
        <v>0</v>
      </c>
      <c r="U38" s="10">
        <f>IF((Q38-P38)&lt;0,0,(Q38-P38))</f>
        <v>0</v>
      </c>
      <c r="V38" s="10">
        <f>Table1[[#This Row],[Enrolment S.Y. 2025-2026 ]]*8</f>
        <v>0</v>
      </c>
      <c r="W38" s="10"/>
      <c r="X38" s="8"/>
      <c r="Y38" s="10"/>
      <c r="Z38" s="10">
        <f>IF((V38-W38)&lt;0,0,(V38-W38))</f>
        <v>0</v>
      </c>
      <c r="AA38" s="10">
        <f>IF((W38-V38)&lt;0,0,(W38-V38))</f>
        <v>0</v>
      </c>
    </row>
    <row r="39" spans="1:27" ht="19.5">
      <c r="A39" s="8">
        <v>10</v>
      </c>
      <c r="B39" s="9" t="s">
        <v>14</v>
      </c>
      <c r="C39" s="8"/>
      <c r="D39" s="10">
        <f>Table1[[#This Row],[Enrolment S.Y. 2025-2026 ]]*8</f>
        <v>0</v>
      </c>
      <c r="E39" s="10"/>
      <c r="F39" s="8"/>
      <c r="G39" s="10"/>
      <c r="H39" s="10">
        <f>IF((D39-E39)&lt;0,0,(D39-E39))</f>
        <v>0</v>
      </c>
      <c r="I39" s="10">
        <f>IF((E39-D39)&lt;0,0,(E39-D39))</f>
        <v>0</v>
      </c>
      <c r="J39" s="10">
        <f>Table1[[#This Row],[Enrolment S.Y. 2025-2026 ]]*8</f>
        <v>0</v>
      </c>
      <c r="K39" s="10"/>
      <c r="L39" s="8"/>
      <c r="M39" s="10"/>
      <c r="N39" s="10">
        <f>IF((J39-K39)&lt;0,0,(J39-K39))</f>
        <v>0</v>
      </c>
      <c r="O39" s="10">
        <f>IF((K39-J39)&lt;0,0,(K39-J39))</f>
        <v>0</v>
      </c>
      <c r="P39" s="10">
        <f>Table1[[#This Row],[Enrolment S.Y. 2025-2026 ]]*8</f>
        <v>0</v>
      </c>
      <c r="Q39" s="10"/>
      <c r="R39" s="8"/>
      <c r="S39" s="10"/>
      <c r="T39" s="10">
        <f>IF((P39-Q39)&lt;0,0,(P39-Q39))</f>
        <v>0</v>
      </c>
      <c r="U39" s="10">
        <f>IF((Q39-P39)&lt;0,0,(Q39-P39))</f>
        <v>0</v>
      </c>
      <c r="V39" s="10">
        <f>Table1[[#This Row],[Enrolment S.Y. 2025-2026 ]]*8</f>
        <v>0</v>
      </c>
      <c r="W39" s="10"/>
      <c r="X39" s="8"/>
      <c r="Y39" s="10"/>
      <c r="Z39" s="10">
        <f>IF((V39-W39)&lt;0,0,(V39-W39))</f>
        <v>0</v>
      </c>
      <c r="AA39" s="10">
        <f>IF((W39-V39)&lt;0,0,(W39-V39))</f>
        <v>0</v>
      </c>
    </row>
    <row r="40" spans="1:27" ht="19.5">
      <c r="A40" s="8">
        <v>10</v>
      </c>
      <c r="B40" s="9" t="s">
        <v>15</v>
      </c>
      <c r="C40" s="8"/>
      <c r="D40" s="10">
        <f>Table1[[#This Row],[Enrolment S.Y. 2025-2026 ]]*8</f>
        <v>0</v>
      </c>
      <c r="E40" s="10"/>
      <c r="F40" s="8"/>
      <c r="G40" s="10"/>
      <c r="H40" s="10">
        <f>IF((D40-E40)&lt;0,0,(D40-E40))</f>
        <v>0</v>
      </c>
      <c r="I40" s="10">
        <f>IF((E40-D40)&lt;0,0,(E40-D40))</f>
        <v>0</v>
      </c>
      <c r="J40" s="10">
        <f>Table1[[#This Row],[Enrolment S.Y. 2025-2026 ]]*8</f>
        <v>0</v>
      </c>
      <c r="K40" s="10"/>
      <c r="L40" s="8"/>
      <c r="M40" s="10"/>
      <c r="N40" s="10">
        <f>IF((J40-K40)&lt;0,0,(J40-K40))</f>
        <v>0</v>
      </c>
      <c r="O40" s="10">
        <f>IF((K40-J40)&lt;0,0,(K40-J40))</f>
        <v>0</v>
      </c>
      <c r="P40" s="10">
        <f>Table1[[#This Row],[Enrolment S.Y. 2025-2026 ]]*8</f>
        <v>0</v>
      </c>
      <c r="Q40" s="10"/>
      <c r="R40" s="8"/>
      <c r="S40" s="10"/>
      <c r="T40" s="10">
        <f>IF((P40-Q40)&lt;0,0,(P40-Q40))</f>
        <v>0</v>
      </c>
      <c r="U40" s="10">
        <f>IF((Q40-P40)&lt;0,0,(Q40-P40))</f>
        <v>0</v>
      </c>
      <c r="V40" s="10">
        <f>Table1[[#This Row],[Enrolment S.Y. 2025-2026 ]]*8</f>
        <v>0</v>
      </c>
      <c r="W40" s="10"/>
      <c r="X40" s="8"/>
      <c r="Y40" s="10"/>
      <c r="Z40" s="10">
        <f>IF((V40-W40)&lt;0,0,(V40-W40))</f>
        <v>0</v>
      </c>
      <c r="AA40" s="10">
        <f>IF((W40-V40)&lt;0,0,(W40-V40))</f>
        <v>0</v>
      </c>
    </row>
    <row r="41" spans="1:27" ht="19.5">
      <c r="A41" s="8">
        <v>10</v>
      </c>
      <c r="B41" s="9" t="s">
        <v>16</v>
      </c>
      <c r="C41" s="8"/>
      <c r="D41" s="10">
        <f>Table1[[#This Row],[Enrolment S.Y. 2025-2026 ]]*8</f>
        <v>0</v>
      </c>
      <c r="E41" s="10"/>
      <c r="F41" s="8"/>
      <c r="G41" s="10"/>
      <c r="H41" s="10">
        <f>IF((D41-E41)&lt;0,0,(D41-E41))</f>
        <v>0</v>
      </c>
      <c r="I41" s="10">
        <f>IF((E41-D41)&lt;0,0,(E41-D41))</f>
        <v>0</v>
      </c>
      <c r="J41" s="10">
        <f>Table1[[#This Row],[Enrolment S.Y. 2025-2026 ]]*8</f>
        <v>0</v>
      </c>
      <c r="K41" s="10"/>
      <c r="L41" s="8"/>
      <c r="M41" s="10"/>
      <c r="N41" s="10">
        <f>IF((J41-K41)&lt;0,0,(J41-K41))</f>
        <v>0</v>
      </c>
      <c r="O41" s="10">
        <f>IF((K41-J41)&lt;0,0,(K41-J41))</f>
        <v>0</v>
      </c>
      <c r="P41" s="10">
        <f>Table1[[#This Row],[Enrolment S.Y. 2025-2026 ]]*8</f>
        <v>0</v>
      </c>
      <c r="Q41" s="10"/>
      <c r="R41" s="8"/>
      <c r="S41" s="10"/>
      <c r="T41" s="10">
        <f>IF((P41-Q41)&lt;0,0,(P41-Q41))</f>
        <v>0</v>
      </c>
      <c r="U41" s="10">
        <f>IF((Q41-P41)&lt;0,0,(Q41-P41))</f>
        <v>0</v>
      </c>
      <c r="V41" s="10">
        <f>Table1[[#This Row],[Enrolment S.Y. 2025-2026 ]]*8</f>
        <v>0</v>
      </c>
      <c r="W41" s="10"/>
      <c r="X41" s="8"/>
      <c r="Y41" s="10"/>
      <c r="Z41" s="10">
        <f>IF((V41-W41)&lt;0,0,(V41-W41))</f>
        <v>0</v>
      </c>
      <c r="AA41" s="10">
        <f>IF((W41-V41)&lt;0,0,(W41-V41))</f>
        <v>0</v>
      </c>
    </row>
    <row r="42" spans="1:27" s="6" customFormat="1" ht="19.5">
      <c r="J42" s="11"/>
      <c r="M42" s="4"/>
      <c r="N42" s="11"/>
      <c r="O42" s="11"/>
      <c r="P42" s="11"/>
      <c r="S42" s="4"/>
      <c r="T42" s="11"/>
      <c r="U42" s="11"/>
      <c r="V42" s="11"/>
      <c r="Y42" s="4"/>
      <c r="Z42" s="11"/>
      <c r="AA42" s="11"/>
    </row>
    <row r="43" spans="1:27" ht="38.25">
      <c r="A43" s="1" t="s">
        <v>18</v>
      </c>
      <c r="B43" s="7" t="s">
        <v>19</v>
      </c>
      <c r="C43" s="1"/>
      <c r="D43" s="4">
        <f>Table1[[#This Row],[Enrolment S.Y. 2025-2026 ]]*8</f>
        <v>0</v>
      </c>
      <c r="E43" s="4"/>
      <c r="F43" s="1"/>
      <c r="G43" s="4"/>
      <c r="H43" s="4">
        <f t="shared" si="14"/>
        <v>0</v>
      </c>
      <c r="I43" s="4">
        <f t="shared" si="15"/>
        <v>0</v>
      </c>
      <c r="J43" s="4">
        <f>Table1[[#This Row],[Enrolment S.Y. 2025-2026 ]]*8</f>
        <v>0</v>
      </c>
      <c r="K43" s="4"/>
      <c r="L43" s="1"/>
      <c r="M43" s="4"/>
      <c r="N43" s="4">
        <f t="shared" si="8"/>
        <v>0</v>
      </c>
      <c r="O43" s="4">
        <f t="shared" si="9"/>
        <v>0</v>
      </c>
      <c r="P43" s="4">
        <f>Table1[[#This Row],[Enrolment S.Y. 2025-2026 ]]*8</f>
        <v>0</v>
      </c>
      <c r="Q43" s="4"/>
      <c r="R43" s="1"/>
      <c r="S43" s="4"/>
      <c r="T43" s="4">
        <f t="shared" si="10"/>
        <v>0</v>
      </c>
      <c r="U43" s="4">
        <f t="shared" si="11"/>
        <v>0</v>
      </c>
      <c r="V43" s="4">
        <f>Table1[[#This Row],[Enrolment S.Y. 2025-2026 ]]*8</f>
        <v>0</v>
      </c>
      <c r="W43" s="4"/>
      <c r="X43" s="1"/>
      <c r="Y43" s="4"/>
      <c r="Z43" s="4">
        <f t="shared" si="12"/>
        <v>0</v>
      </c>
      <c r="AA43" s="4">
        <f t="shared" si="13"/>
        <v>0</v>
      </c>
    </row>
    <row r="44" spans="1:27" ht="19.5">
      <c r="A44" s="1" t="s">
        <v>18</v>
      </c>
      <c r="B44" s="7" t="s">
        <v>20</v>
      </c>
      <c r="C44" s="1"/>
      <c r="D44" s="4">
        <f>Table1[[#This Row],[Enrolment S.Y. 2025-2026 ]]*8</f>
        <v>0</v>
      </c>
      <c r="E44" s="4"/>
      <c r="F44" s="1"/>
      <c r="G44" s="4"/>
      <c r="H44" s="4">
        <f t="shared" si="14"/>
        <v>0</v>
      </c>
      <c r="I44" s="4">
        <f t="shared" si="15"/>
        <v>0</v>
      </c>
      <c r="J44" s="4">
        <f>Table1[[#This Row],[Enrolment S.Y. 2025-2026 ]]*8</f>
        <v>0</v>
      </c>
      <c r="K44" s="4"/>
      <c r="L44" s="1"/>
      <c r="M44" s="4"/>
      <c r="N44" s="4">
        <f t="shared" si="8"/>
        <v>0</v>
      </c>
      <c r="O44" s="4">
        <f t="shared" si="9"/>
        <v>0</v>
      </c>
      <c r="P44" s="4">
        <f>Table1[[#This Row],[Enrolment S.Y. 2025-2026 ]]*8</f>
        <v>0</v>
      </c>
      <c r="Q44" s="4"/>
      <c r="R44" s="1"/>
      <c r="S44" s="4"/>
      <c r="T44" s="4">
        <f t="shared" si="10"/>
        <v>0</v>
      </c>
      <c r="U44" s="4">
        <f t="shared" si="11"/>
        <v>0</v>
      </c>
      <c r="V44" s="4">
        <f>Table1[[#This Row],[Enrolment S.Y. 2025-2026 ]]*8</f>
        <v>0</v>
      </c>
      <c r="W44" s="4"/>
      <c r="X44" s="1"/>
      <c r="Y44" s="4"/>
      <c r="Z44" s="4">
        <f t="shared" si="12"/>
        <v>0</v>
      </c>
      <c r="AA44" s="4">
        <f t="shared" si="13"/>
        <v>0</v>
      </c>
    </row>
    <row r="45" spans="1:27" ht="19.5">
      <c r="A45" s="1" t="s">
        <v>18</v>
      </c>
      <c r="B45" s="7" t="s">
        <v>21</v>
      </c>
      <c r="C45" s="1"/>
      <c r="D45" s="4">
        <f>Table1[[#This Row],[Enrolment S.Y. 2025-2026 ]]*8</f>
        <v>0</v>
      </c>
      <c r="E45" s="4"/>
      <c r="F45" s="1"/>
      <c r="G45" s="4"/>
      <c r="H45" s="4">
        <f t="shared" si="14"/>
        <v>0</v>
      </c>
      <c r="I45" s="4">
        <f t="shared" si="15"/>
        <v>0</v>
      </c>
      <c r="J45" s="4">
        <f>Table1[[#This Row],[Enrolment S.Y. 2025-2026 ]]*8</f>
        <v>0</v>
      </c>
      <c r="K45" s="4"/>
      <c r="L45" s="1"/>
      <c r="M45" s="4"/>
      <c r="N45" s="4">
        <f t="shared" si="8"/>
        <v>0</v>
      </c>
      <c r="O45" s="4">
        <f t="shared" si="9"/>
        <v>0</v>
      </c>
      <c r="P45" s="4">
        <f>Table1[[#This Row],[Enrolment S.Y. 2025-2026 ]]*8</f>
        <v>0</v>
      </c>
      <c r="Q45" s="4"/>
      <c r="R45" s="1"/>
      <c r="S45" s="4"/>
      <c r="T45" s="4">
        <f t="shared" si="10"/>
        <v>0</v>
      </c>
      <c r="U45" s="4">
        <f t="shared" si="11"/>
        <v>0</v>
      </c>
      <c r="V45" s="4">
        <f>Table1[[#This Row],[Enrolment S.Y. 2025-2026 ]]*8</f>
        <v>0</v>
      </c>
      <c r="W45" s="4"/>
      <c r="X45" s="1"/>
      <c r="Y45" s="4"/>
      <c r="Z45" s="4">
        <f t="shared" si="12"/>
        <v>0</v>
      </c>
      <c r="AA45" s="4">
        <f t="shared" si="13"/>
        <v>0</v>
      </c>
    </row>
    <row r="46" spans="1:27" ht="19.5">
      <c r="A46" s="1" t="s">
        <v>18</v>
      </c>
      <c r="B46" s="7" t="s">
        <v>22</v>
      </c>
      <c r="C46" s="1"/>
      <c r="D46" s="4">
        <f>Table1[[#This Row],[Enrolment S.Y. 2025-2026 ]]*8</f>
        <v>0</v>
      </c>
      <c r="E46" s="4"/>
      <c r="F46" s="1"/>
      <c r="G46" s="4"/>
      <c r="H46" s="4">
        <f t="shared" si="14"/>
        <v>0</v>
      </c>
      <c r="I46" s="4">
        <f t="shared" si="15"/>
        <v>0</v>
      </c>
      <c r="J46" s="4">
        <f>Table1[[#This Row],[Enrolment S.Y. 2025-2026 ]]*8</f>
        <v>0</v>
      </c>
      <c r="K46" s="4"/>
      <c r="L46" s="1"/>
      <c r="M46" s="4"/>
      <c r="N46" s="4">
        <f t="shared" si="8"/>
        <v>0</v>
      </c>
      <c r="O46" s="4">
        <f t="shared" si="9"/>
        <v>0</v>
      </c>
      <c r="P46" s="4">
        <f>Table1[[#This Row],[Enrolment S.Y. 2025-2026 ]]*8</f>
        <v>0</v>
      </c>
      <c r="Q46" s="4"/>
      <c r="R46" s="1"/>
      <c r="S46" s="4"/>
      <c r="T46" s="4">
        <f t="shared" si="10"/>
        <v>0</v>
      </c>
      <c r="U46" s="4">
        <f t="shared" si="11"/>
        <v>0</v>
      </c>
      <c r="V46" s="4">
        <f>Table1[[#This Row],[Enrolment S.Y. 2025-2026 ]]*8</f>
        <v>0</v>
      </c>
      <c r="W46" s="4"/>
      <c r="X46" s="1"/>
      <c r="Y46" s="4"/>
      <c r="Z46" s="4">
        <f t="shared" si="12"/>
        <v>0</v>
      </c>
      <c r="AA46" s="4">
        <f t="shared" si="13"/>
        <v>0</v>
      </c>
    </row>
    <row r="47" spans="1:27" ht="38.25">
      <c r="A47" s="1" t="s">
        <v>18</v>
      </c>
      <c r="B47" s="7" t="s">
        <v>23</v>
      </c>
      <c r="C47" s="1"/>
      <c r="D47" s="4">
        <f>Table1[[#This Row],[Enrolment S.Y. 2025-2026 ]]*8</f>
        <v>0</v>
      </c>
      <c r="E47" s="4"/>
      <c r="F47" s="1"/>
      <c r="G47" s="4"/>
      <c r="H47" s="4">
        <f t="shared" si="14"/>
        <v>0</v>
      </c>
      <c r="I47" s="4">
        <f t="shared" si="15"/>
        <v>0</v>
      </c>
      <c r="J47" s="4">
        <f>Table1[[#This Row],[Enrolment S.Y. 2025-2026 ]]*8</f>
        <v>0</v>
      </c>
      <c r="K47" s="4"/>
      <c r="L47" s="1"/>
      <c r="M47" s="4"/>
      <c r="N47" s="4">
        <f t="shared" si="8"/>
        <v>0</v>
      </c>
      <c r="O47" s="4">
        <f t="shared" si="9"/>
        <v>0</v>
      </c>
      <c r="P47" s="4">
        <f>Table1[[#This Row],[Enrolment S.Y. 2025-2026 ]]*8</f>
        <v>0</v>
      </c>
      <c r="Q47" s="4"/>
      <c r="R47" s="1"/>
      <c r="S47" s="4"/>
      <c r="T47" s="4">
        <f t="shared" si="10"/>
        <v>0</v>
      </c>
      <c r="U47" s="4">
        <f t="shared" si="11"/>
        <v>0</v>
      </c>
      <c r="V47" s="4">
        <f>Table1[[#This Row],[Enrolment S.Y. 2025-2026 ]]*8</f>
        <v>0</v>
      </c>
      <c r="W47" s="4"/>
      <c r="X47" s="1"/>
      <c r="Y47" s="4"/>
      <c r="Z47" s="4">
        <f t="shared" si="12"/>
        <v>0</v>
      </c>
      <c r="AA47" s="4">
        <f t="shared" si="13"/>
        <v>0</v>
      </c>
    </row>
    <row r="48" spans="1:27" ht="38.25">
      <c r="A48" s="1" t="s">
        <v>18</v>
      </c>
      <c r="B48" s="7" t="s">
        <v>24</v>
      </c>
      <c r="C48" s="1"/>
      <c r="D48" s="4">
        <f>Table1[[#This Row],[Enrolment S.Y. 2025-2026 ]]*8</f>
        <v>0</v>
      </c>
      <c r="E48" s="4"/>
      <c r="F48" s="1"/>
      <c r="G48" s="4"/>
      <c r="H48" s="4">
        <f t="shared" si="14"/>
        <v>0</v>
      </c>
      <c r="I48" s="4">
        <f t="shared" si="15"/>
        <v>0</v>
      </c>
      <c r="J48" s="4">
        <f>Table1[[#This Row],[Enrolment S.Y. 2025-2026 ]]*8</f>
        <v>0</v>
      </c>
      <c r="K48" s="4"/>
      <c r="L48" s="1"/>
      <c r="M48" s="4"/>
      <c r="N48" s="4">
        <f t="shared" si="8"/>
        <v>0</v>
      </c>
      <c r="O48" s="4">
        <f t="shared" si="9"/>
        <v>0</v>
      </c>
      <c r="P48" s="4">
        <f>Table1[[#This Row],[Enrolment S.Y. 2025-2026 ]]*8</f>
        <v>0</v>
      </c>
      <c r="Q48" s="4"/>
      <c r="R48" s="1"/>
      <c r="S48" s="4"/>
      <c r="T48" s="4">
        <f t="shared" si="10"/>
        <v>0</v>
      </c>
      <c r="U48" s="4">
        <f t="shared" si="11"/>
        <v>0</v>
      </c>
      <c r="V48" s="4">
        <f>Table1[[#This Row],[Enrolment S.Y. 2025-2026 ]]*8</f>
        <v>0</v>
      </c>
      <c r="W48" s="4"/>
      <c r="X48" s="1"/>
      <c r="Y48" s="4"/>
      <c r="Z48" s="4">
        <f t="shared" si="12"/>
        <v>0</v>
      </c>
      <c r="AA48" s="4">
        <f t="shared" si="13"/>
        <v>0</v>
      </c>
    </row>
    <row r="49" spans="1:27" ht="57.75">
      <c r="A49" s="1" t="s">
        <v>18</v>
      </c>
      <c r="B49" s="7" t="s">
        <v>25</v>
      </c>
      <c r="C49" s="1"/>
      <c r="D49" s="4">
        <f>Table1[[#This Row],[Enrolment S.Y. 2025-2026 ]]*8</f>
        <v>0</v>
      </c>
      <c r="E49" s="4"/>
      <c r="F49" s="1"/>
      <c r="G49" s="4"/>
      <c r="H49" s="4">
        <f t="shared" si="14"/>
        <v>0</v>
      </c>
      <c r="I49" s="4">
        <f t="shared" si="15"/>
        <v>0</v>
      </c>
      <c r="J49" s="4">
        <f>Table1[[#This Row],[Enrolment S.Y. 2025-2026 ]]*8</f>
        <v>0</v>
      </c>
      <c r="K49" s="4"/>
      <c r="L49" s="1"/>
      <c r="M49" s="4"/>
      <c r="N49" s="4">
        <f t="shared" si="8"/>
        <v>0</v>
      </c>
      <c r="O49" s="4">
        <f t="shared" si="9"/>
        <v>0</v>
      </c>
      <c r="P49" s="4">
        <f>Table1[[#This Row],[Enrolment S.Y. 2025-2026 ]]*8</f>
        <v>0</v>
      </c>
      <c r="Q49" s="4"/>
      <c r="R49" s="1"/>
      <c r="S49" s="4"/>
      <c r="T49" s="4">
        <f t="shared" si="10"/>
        <v>0</v>
      </c>
      <c r="U49" s="4">
        <f t="shared" si="11"/>
        <v>0</v>
      </c>
      <c r="V49" s="4">
        <f>Table1[[#This Row],[Enrolment S.Y. 2025-2026 ]]*8</f>
        <v>0</v>
      </c>
      <c r="W49" s="4"/>
      <c r="X49" s="1"/>
      <c r="Y49" s="4"/>
      <c r="Z49" s="4">
        <f t="shared" si="12"/>
        <v>0</v>
      </c>
      <c r="AA49" s="4">
        <f t="shared" si="13"/>
        <v>0</v>
      </c>
    </row>
    <row r="50" spans="1:27" ht="38.25">
      <c r="A50" s="1" t="s">
        <v>18</v>
      </c>
      <c r="B50" s="7" t="s">
        <v>26</v>
      </c>
      <c r="C50" s="1"/>
      <c r="D50" s="4">
        <f>Table1[[#This Row],[Enrolment S.Y. 2025-2026 ]]*8</f>
        <v>0</v>
      </c>
      <c r="E50" s="4"/>
      <c r="F50" s="1"/>
      <c r="G50" s="4"/>
      <c r="H50" s="4">
        <f t="shared" si="14"/>
        <v>0</v>
      </c>
      <c r="I50" s="4">
        <f t="shared" si="15"/>
        <v>0</v>
      </c>
      <c r="J50" s="4">
        <f>Table1[[#This Row],[Enrolment S.Y. 2025-2026 ]]*8</f>
        <v>0</v>
      </c>
      <c r="K50" s="4"/>
      <c r="L50" s="1"/>
      <c r="M50" s="4"/>
      <c r="N50" s="4">
        <f t="shared" si="8"/>
        <v>0</v>
      </c>
      <c r="O50" s="4">
        <f t="shared" si="9"/>
        <v>0</v>
      </c>
      <c r="P50" s="4">
        <f>Table1[[#This Row],[Enrolment S.Y. 2025-2026 ]]*8</f>
        <v>0</v>
      </c>
      <c r="Q50" s="4"/>
      <c r="R50" s="1"/>
      <c r="S50" s="4"/>
      <c r="T50" s="4">
        <f t="shared" si="10"/>
        <v>0</v>
      </c>
      <c r="U50" s="4">
        <f t="shared" si="11"/>
        <v>0</v>
      </c>
      <c r="V50" s="4">
        <f>Table1[[#This Row],[Enrolment S.Y. 2025-2026 ]]*8</f>
        <v>0</v>
      </c>
      <c r="W50" s="4"/>
      <c r="X50" s="1"/>
      <c r="Y50" s="4"/>
      <c r="Z50" s="4">
        <f t="shared" si="12"/>
        <v>0</v>
      </c>
      <c r="AA50" s="4">
        <f t="shared" si="13"/>
        <v>0</v>
      </c>
    </row>
    <row r="51" spans="1:27" ht="19.5">
      <c r="A51" s="6"/>
      <c r="B51" s="6"/>
      <c r="C51" s="6"/>
      <c r="D51" s="6"/>
      <c r="E51" s="6"/>
      <c r="F51" s="6"/>
      <c r="G51" s="6"/>
      <c r="H51" s="6"/>
      <c r="I51" s="6"/>
      <c r="J51" s="11"/>
      <c r="K51" s="6"/>
      <c r="L51" s="6"/>
      <c r="M51" s="6"/>
      <c r="N51" s="11"/>
      <c r="O51" s="11"/>
      <c r="P51" s="11"/>
      <c r="Q51" s="6"/>
      <c r="R51" s="6"/>
      <c r="S51" s="6"/>
      <c r="T51" s="11"/>
      <c r="U51" s="11"/>
      <c r="V51" s="11"/>
      <c r="W51" s="6"/>
      <c r="X51" s="6"/>
      <c r="Y51" s="6"/>
      <c r="Z51" s="11"/>
      <c r="AA51" s="11"/>
    </row>
    <row r="52" spans="1:27" s="6" customFormat="1" ht="19.5">
      <c r="A52" s="1"/>
      <c r="B52" s="7"/>
      <c r="C52" s="1"/>
      <c r="D52" s="4"/>
      <c r="E52" s="4"/>
      <c r="F52" s="1"/>
      <c r="G52" s="4"/>
      <c r="H52" s="4">
        <f t="shared" si="14"/>
        <v>0</v>
      </c>
      <c r="I52" s="4">
        <f t="shared" si="15"/>
        <v>0</v>
      </c>
      <c r="J52" s="4">
        <f>Table1[[#This Row],[Enrolment S.Y. 2025-2026 ]]*8</f>
        <v>0</v>
      </c>
      <c r="K52" s="4"/>
      <c r="L52" s="1"/>
      <c r="M52" s="4"/>
      <c r="N52" s="4">
        <f t="shared" si="8"/>
        <v>0</v>
      </c>
      <c r="O52" s="4">
        <f t="shared" si="9"/>
        <v>0</v>
      </c>
      <c r="P52" s="4">
        <f>Table1[[#This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/>
      <c r="B53" s="7"/>
      <c r="C53" s="1"/>
      <c r="D53" s="4"/>
      <c r="E53" s="4"/>
      <c r="F53" s="1"/>
      <c r="G53" s="4"/>
      <c r="H53" s="4">
        <f t="shared" si="14"/>
        <v>0</v>
      </c>
      <c r="I53" s="4">
        <f t="shared" si="15"/>
        <v>0</v>
      </c>
      <c r="J53" s="4">
        <f>Table1[[#This Row],[Enrolment S.Y. 2025-2026 ]]*8</f>
        <v>0</v>
      </c>
      <c r="K53" s="4"/>
      <c r="L53" s="1"/>
      <c r="M53" s="4"/>
      <c r="N53" s="4">
        <f t="shared" si="8"/>
        <v>0</v>
      </c>
      <c r="O53" s="4">
        <f t="shared" si="9"/>
        <v>0</v>
      </c>
      <c r="P53" s="4">
        <f>Table1[[#This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ht="19.5">
      <c r="A54" s="1"/>
      <c r="B54" s="7"/>
      <c r="C54" s="1"/>
      <c r="D54" s="4"/>
      <c r="E54" s="4"/>
      <c r="F54" s="1"/>
      <c r="G54" s="4"/>
      <c r="H54" s="4">
        <f t="shared" si="14"/>
        <v>0</v>
      </c>
      <c r="I54" s="4">
        <f t="shared" si="15"/>
        <v>0</v>
      </c>
      <c r="J54" s="4">
        <f>Table1[[#This Row],[Enrolment S.Y. 2025-2026 ]]*8</f>
        <v>0</v>
      </c>
      <c r="K54" s="4"/>
      <c r="L54" s="1"/>
      <c r="M54" s="4"/>
      <c r="N54" s="4">
        <f t="shared" si="8"/>
        <v>0</v>
      </c>
      <c r="O54" s="4">
        <f t="shared" si="9"/>
        <v>0</v>
      </c>
      <c r="P54" s="4">
        <f>Table1[[#This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19.5">
      <c r="A55" s="1"/>
      <c r="B55" s="7"/>
      <c r="C55" s="1"/>
      <c r="D55" s="4"/>
      <c r="E55" s="4"/>
      <c r="F55" s="1"/>
      <c r="G55" s="4"/>
      <c r="H55" s="4">
        <f t="shared" si="14"/>
        <v>0</v>
      </c>
      <c r="I55" s="4">
        <f t="shared" si="15"/>
        <v>0</v>
      </c>
      <c r="J55" s="4">
        <f>Table1[[#This Row],[Enrolment S.Y. 2025-2026 ]]*8</f>
        <v>0</v>
      </c>
      <c r="K55" s="4"/>
      <c r="L55" s="1"/>
      <c r="M55" s="4"/>
      <c r="N55" s="4">
        <f t="shared" si="8"/>
        <v>0</v>
      </c>
      <c r="O55" s="4">
        <f t="shared" si="9"/>
        <v>0</v>
      </c>
      <c r="P55" s="4">
        <f>Table1[[#This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19.5">
      <c r="A56" s="1"/>
      <c r="B56" s="7"/>
      <c r="C56" s="1"/>
      <c r="D56" s="4"/>
      <c r="E56" s="4"/>
      <c r="F56" s="1"/>
      <c r="G56" s="4"/>
      <c r="H56" s="4">
        <f t="shared" si="14"/>
        <v>0</v>
      </c>
      <c r="I56" s="4">
        <f t="shared" si="15"/>
        <v>0</v>
      </c>
      <c r="J56" s="4">
        <f>Table1[[#This Row],[Enrolment S.Y. 2025-2026 ]]*8</f>
        <v>0</v>
      </c>
      <c r="K56" s="4"/>
      <c r="L56" s="1"/>
      <c r="M56" s="4"/>
      <c r="N56" s="4">
        <f t="shared" si="8"/>
        <v>0</v>
      </c>
      <c r="O56" s="4">
        <f t="shared" si="9"/>
        <v>0</v>
      </c>
      <c r="P56" s="4">
        <f>Table1[[#This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19.5">
      <c r="A57" s="1"/>
      <c r="B57" s="7"/>
      <c r="C57" s="1"/>
      <c r="D57" s="4"/>
      <c r="E57" s="4"/>
      <c r="F57" s="1"/>
      <c r="G57" s="4"/>
      <c r="H57" s="4">
        <f t="shared" si="14"/>
        <v>0</v>
      </c>
      <c r="I57" s="4">
        <f t="shared" si="15"/>
        <v>0</v>
      </c>
      <c r="J57" s="4">
        <f>Table1[[#This Row],[Enrolment S.Y. 2025-2026 ]]*8</f>
        <v>0</v>
      </c>
      <c r="K57" s="4"/>
      <c r="L57" s="1"/>
      <c r="M57" s="4"/>
      <c r="N57" s="4">
        <f t="shared" si="8"/>
        <v>0</v>
      </c>
      <c r="O57" s="4">
        <f t="shared" si="9"/>
        <v>0</v>
      </c>
      <c r="P57" s="4">
        <f>Table1[[#This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19.5">
      <c r="A58" s="1"/>
      <c r="B58" s="7"/>
      <c r="C58" s="1"/>
      <c r="D58" s="4"/>
      <c r="E58" s="4"/>
      <c r="F58" s="1"/>
      <c r="G58" s="4"/>
      <c r="H58" s="4">
        <f t="shared" si="14"/>
        <v>0</v>
      </c>
      <c r="I58" s="4">
        <f t="shared" si="15"/>
        <v>0</v>
      </c>
      <c r="J58" s="4">
        <f>Table1[[#This Row],[Enrolment S.Y. 2025-2026 ]]*8</f>
        <v>0</v>
      </c>
      <c r="K58" s="4"/>
      <c r="L58" s="1"/>
      <c r="M58" s="4"/>
      <c r="N58" s="4">
        <f t="shared" si="8"/>
        <v>0</v>
      </c>
      <c r="O58" s="4">
        <f t="shared" si="9"/>
        <v>0</v>
      </c>
      <c r="P58" s="4">
        <f>Table1[[#This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9.5">
      <c r="A59" s="1"/>
      <c r="B59" s="7"/>
      <c r="C59" s="1"/>
      <c r="D59" s="4"/>
      <c r="E59" s="4"/>
      <c r="F59" s="1"/>
      <c r="G59" s="4"/>
      <c r="H59" s="4">
        <f t="shared" si="14"/>
        <v>0</v>
      </c>
      <c r="I59" s="4">
        <f t="shared" si="15"/>
        <v>0</v>
      </c>
      <c r="J59" s="4">
        <f>Table1[[#This Row],[Enrolment S.Y. 2025-2026 ]]*8</f>
        <v>0</v>
      </c>
      <c r="K59" s="4"/>
      <c r="L59" s="1"/>
      <c r="M59" s="4"/>
      <c r="N59" s="4">
        <f t="shared" si="8"/>
        <v>0</v>
      </c>
      <c r="O59" s="4">
        <f t="shared" si="9"/>
        <v>0</v>
      </c>
      <c r="P59" s="4">
        <f>Table1[[#This Row],[Enrolment S.Y. 2025-2026 ]]*8</f>
        <v>0</v>
      </c>
      <c r="Q59" s="4"/>
      <c r="R59" s="1"/>
      <c r="S59" s="4"/>
      <c r="T59" s="4">
        <f t="shared" si="10"/>
        <v>0</v>
      </c>
      <c r="U59" s="4">
        <f t="shared" si="11"/>
        <v>0</v>
      </c>
      <c r="V59" s="4">
        <f>Table1[[#This Row],[Enrolment S.Y. 2025-2026 ]]*8</f>
        <v>0</v>
      </c>
      <c r="W59" s="4"/>
      <c r="X59" s="1"/>
      <c r="Y59" s="4"/>
      <c r="Z59" s="4">
        <f t="shared" si="12"/>
        <v>0</v>
      </c>
      <c r="AA59" s="4">
        <f t="shared" si="13"/>
        <v>0</v>
      </c>
    </row>
    <row r="60" spans="1:27" ht="19.5">
      <c r="A60" s="1"/>
      <c r="B60" s="7"/>
      <c r="C60" s="1"/>
      <c r="D60" s="4"/>
      <c r="E60" s="4"/>
      <c r="F60" s="1"/>
      <c r="G60" s="4"/>
      <c r="H60" s="4">
        <f t="shared" si="14"/>
        <v>0</v>
      </c>
      <c r="I60" s="4">
        <f t="shared" si="15"/>
        <v>0</v>
      </c>
      <c r="J60" s="4">
        <f>Table1[[#This Row],[Enrolment S.Y. 2025-2026 ]]*8</f>
        <v>0</v>
      </c>
      <c r="K60" s="4"/>
      <c r="L60" s="1"/>
      <c r="M60" s="4"/>
      <c r="N60" s="4">
        <f t="shared" si="8"/>
        <v>0</v>
      </c>
      <c r="O60" s="4">
        <f t="shared" si="9"/>
        <v>0</v>
      </c>
      <c r="P60" s="4">
        <f>Table1[[#This Row],[Enrolment S.Y. 2025-2026 ]]*8</f>
        <v>0</v>
      </c>
      <c r="Q60" s="4"/>
      <c r="R60" s="1"/>
      <c r="S60" s="4"/>
      <c r="T60" s="4">
        <f t="shared" si="10"/>
        <v>0</v>
      </c>
      <c r="U60" s="4">
        <f t="shared" si="11"/>
        <v>0</v>
      </c>
      <c r="V60" s="4">
        <f>Table1[[#This Row],[Enrolment S.Y. 2025-2026 ]]*8</f>
        <v>0</v>
      </c>
      <c r="W60" s="4"/>
      <c r="X60" s="1"/>
      <c r="Y60" s="4"/>
      <c r="Z60" s="4">
        <f t="shared" si="12"/>
        <v>0</v>
      </c>
      <c r="AA60" s="4">
        <f t="shared" si="13"/>
        <v>0</v>
      </c>
    </row>
    <row r="61" spans="1:27" ht="19.5">
      <c r="A61" s="1"/>
      <c r="B61" s="7"/>
      <c r="C61" s="1"/>
      <c r="D61" s="4"/>
      <c r="E61" s="4"/>
      <c r="F61" s="1"/>
      <c r="G61" s="4"/>
      <c r="H61" s="4">
        <f t="shared" si="14"/>
        <v>0</v>
      </c>
      <c r="I61" s="4">
        <f t="shared" si="15"/>
        <v>0</v>
      </c>
      <c r="J61" s="4">
        <f>Table1[[#This Row],[Enrolment S.Y. 2025-2026 ]]*8</f>
        <v>0</v>
      </c>
      <c r="K61" s="4"/>
      <c r="L61" s="1"/>
      <c r="M61" s="4"/>
      <c r="N61" s="4">
        <f t="shared" si="8"/>
        <v>0</v>
      </c>
      <c r="O61" s="4">
        <f t="shared" si="9"/>
        <v>0</v>
      </c>
      <c r="P61" s="4">
        <f>Table1[[#This Row],[Enrolment S.Y. 2025-2026 ]]*8</f>
        <v>0</v>
      </c>
      <c r="Q61" s="4"/>
      <c r="R61" s="1"/>
      <c r="S61" s="4"/>
      <c r="T61" s="4">
        <f t="shared" si="10"/>
        <v>0</v>
      </c>
      <c r="U61" s="4">
        <f t="shared" si="11"/>
        <v>0</v>
      </c>
      <c r="V61" s="4">
        <f>Table1[[#This Row],[Enrolment S.Y. 2025-2026 ]]*8</f>
        <v>0</v>
      </c>
      <c r="W61" s="4"/>
      <c r="X61" s="1"/>
      <c r="Y61" s="4"/>
      <c r="Z61" s="4">
        <f t="shared" si="12"/>
        <v>0</v>
      </c>
      <c r="AA61" s="4">
        <f t="shared" si="13"/>
        <v>0</v>
      </c>
    </row>
    <row r="62" spans="1:27" s="6" customFormat="1" ht="19.5">
      <c r="A62" s="1"/>
      <c r="B62" s="7"/>
      <c r="C62" s="1"/>
      <c r="D62" s="4"/>
      <c r="E62" s="4"/>
      <c r="F62" s="1"/>
      <c r="G62" s="4"/>
      <c r="H62" s="4">
        <f t="shared" si="14"/>
        <v>0</v>
      </c>
      <c r="I62" s="4">
        <f t="shared" si="15"/>
        <v>0</v>
      </c>
      <c r="J62" s="4">
        <f>Table1[[#This Row],[Enrolment S.Y. 2025-2026 ]]*8</f>
        <v>0</v>
      </c>
      <c r="K62" s="4"/>
      <c r="L62" s="1"/>
      <c r="M62" s="4"/>
      <c r="N62" s="4">
        <f t="shared" si="8"/>
        <v>0</v>
      </c>
      <c r="O62" s="4">
        <f t="shared" si="9"/>
        <v>0</v>
      </c>
      <c r="P62" s="4">
        <f>Table1[[#This Row],[Enrolment S.Y. 2025-2026 ]]*8</f>
        <v>0</v>
      </c>
      <c r="Q62" s="4"/>
      <c r="R62" s="1"/>
      <c r="S62" s="4"/>
      <c r="T62" s="4">
        <f t="shared" si="10"/>
        <v>0</v>
      </c>
      <c r="U62" s="4">
        <f t="shared" si="11"/>
        <v>0</v>
      </c>
      <c r="V62" s="4">
        <f>Table1[[#This Row],[Enrolment S.Y. 2025-2026 ]]*8</f>
        <v>0</v>
      </c>
      <c r="W62" s="4"/>
      <c r="X62" s="1"/>
      <c r="Y62" s="4"/>
      <c r="Z62" s="4">
        <f t="shared" si="12"/>
        <v>0</v>
      </c>
      <c r="AA62" s="4">
        <f t="shared" si="13"/>
        <v>0</v>
      </c>
    </row>
    <row r="63" spans="1:27" ht="19.5">
      <c r="A63" s="1"/>
      <c r="B63" s="7"/>
      <c r="C63" s="1"/>
      <c r="D63" s="4"/>
      <c r="E63" s="4"/>
      <c r="F63" s="1"/>
      <c r="G63" s="4"/>
      <c r="H63" s="4">
        <f t="shared" si="14"/>
        <v>0</v>
      </c>
      <c r="I63" s="4">
        <f t="shared" si="15"/>
        <v>0</v>
      </c>
      <c r="J63" s="4">
        <f>Table1[[#This Row],[Enrolment S.Y. 2025-2026 ]]*8</f>
        <v>0</v>
      </c>
      <c r="K63" s="4"/>
      <c r="L63" s="1"/>
      <c r="M63" s="4"/>
      <c r="N63" s="4">
        <f t="shared" si="8"/>
        <v>0</v>
      </c>
      <c r="O63" s="4">
        <f t="shared" si="9"/>
        <v>0</v>
      </c>
      <c r="P63" s="4">
        <f>Table1[[#This Row],[Enrolment S.Y. 2025-2026 ]]*8</f>
        <v>0</v>
      </c>
      <c r="Q63" s="4"/>
      <c r="R63" s="1"/>
      <c r="S63" s="4"/>
      <c r="T63" s="4">
        <f t="shared" si="10"/>
        <v>0</v>
      </c>
      <c r="U63" s="4">
        <f t="shared" si="11"/>
        <v>0</v>
      </c>
      <c r="V63" s="4">
        <f>Table1[[#This Row],[Enrolment S.Y. 2025-2026 ]]*8</f>
        <v>0</v>
      </c>
      <c r="W63" s="4"/>
      <c r="X63" s="1"/>
      <c r="Y63" s="4"/>
      <c r="Z63" s="4">
        <f t="shared" si="12"/>
        <v>0</v>
      </c>
      <c r="AA63" s="4">
        <f t="shared" si="13"/>
        <v>0</v>
      </c>
    </row>
    <row r="64" spans="1:27" ht="19.5">
      <c r="A64" s="1"/>
      <c r="B64" s="7"/>
      <c r="C64" s="1"/>
      <c r="D64" s="4"/>
      <c r="E64" s="4"/>
      <c r="F64" s="1"/>
      <c r="G64" s="4"/>
      <c r="H64" s="4">
        <f t="shared" si="14"/>
        <v>0</v>
      </c>
      <c r="I64" s="4">
        <f t="shared" si="15"/>
        <v>0</v>
      </c>
      <c r="J64" s="4">
        <f>Table1[[#This Row],[Enrolment S.Y. 2025-2026 ]]*8</f>
        <v>0</v>
      </c>
      <c r="K64" s="4"/>
      <c r="L64" s="1"/>
      <c r="M64" s="4"/>
      <c r="N64" s="4">
        <f t="shared" si="8"/>
        <v>0</v>
      </c>
      <c r="O64" s="4">
        <f t="shared" si="9"/>
        <v>0</v>
      </c>
      <c r="P64" s="4">
        <f>Table1[[#This Row],[Enrolment S.Y. 2025-2026 ]]*8</f>
        <v>0</v>
      </c>
      <c r="Q64" s="4"/>
      <c r="R64" s="1"/>
      <c r="S64" s="4"/>
      <c r="T64" s="4">
        <f t="shared" si="10"/>
        <v>0</v>
      </c>
      <c r="U64" s="4">
        <f t="shared" si="11"/>
        <v>0</v>
      </c>
      <c r="V64" s="4">
        <f>Table1[[#This Row],[Enrolment S.Y. 2025-2026 ]]*8</f>
        <v>0</v>
      </c>
      <c r="W64" s="4"/>
      <c r="X64" s="1"/>
      <c r="Y64" s="4"/>
      <c r="Z64" s="4">
        <f t="shared" si="12"/>
        <v>0</v>
      </c>
      <c r="AA64" s="4">
        <f t="shared" si="13"/>
        <v>0</v>
      </c>
    </row>
    <row r="65" spans="1:27" ht="19.5">
      <c r="A65" s="1"/>
      <c r="B65" s="7"/>
      <c r="C65" s="1"/>
      <c r="D65" s="4"/>
      <c r="E65" s="4"/>
      <c r="F65" s="1"/>
      <c r="G65" s="4"/>
      <c r="H65" s="4">
        <f t="shared" si="14"/>
        <v>0</v>
      </c>
      <c r="I65" s="4">
        <f t="shared" si="15"/>
        <v>0</v>
      </c>
      <c r="J65" s="4">
        <f>Table1[[#This Row],[Enrolment S.Y. 2025-2026 ]]*8</f>
        <v>0</v>
      </c>
      <c r="K65" s="4"/>
      <c r="L65" s="1"/>
      <c r="M65" s="4"/>
      <c r="N65" s="4">
        <f t="shared" si="8"/>
        <v>0</v>
      </c>
      <c r="O65" s="4">
        <f t="shared" si="9"/>
        <v>0</v>
      </c>
      <c r="P65" s="4">
        <f>Table1[[#This Row],[Enrolment S.Y. 2025-2026 ]]*8</f>
        <v>0</v>
      </c>
      <c r="Q65" s="4"/>
      <c r="R65" s="1"/>
      <c r="S65" s="4"/>
      <c r="T65" s="4">
        <f t="shared" si="10"/>
        <v>0</v>
      </c>
      <c r="U65" s="4">
        <f t="shared" si="11"/>
        <v>0</v>
      </c>
      <c r="V65" s="4">
        <f>Table1[[#This Row],[Enrolment S.Y. 2025-2026 ]]*8</f>
        <v>0</v>
      </c>
      <c r="W65" s="4"/>
      <c r="X65" s="1"/>
      <c r="Y65" s="4"/>
      <c r="Z65" s="4">
        <f t="shared" si="12"/>
        <v>0</v>
      </c>
      <c r="AA65" s="4">
        <f t="shared" si="13"/>
        <v>0</v>
      </c>
    </row>
    <row r="66" spans="1:27" ht="19.5">
      <c r="A66" s="1"/>
      <c r="B66" s="7"/>
      <c r="C66" s="1"/>
      <c r="D66" s="4"/>
      <c r="E66" s="4"/>
      <c r="F66" s="1"/>
      <c r="G66" s="4"/>
      <c r="H66" s="4">
        <f t="shared" si="14"/>
        <v>0</v>
      </c>
      <c r="I66" s="4">
        <f t="shared" si="15"/>
        <v>0</v>
      </c>
      <c r="J66" s="4">
        <f>Table1[[#This Row],[Enrolment S.Y. 2025-2026 ]]*8</f>
        <v>0</v>
      </c>
      <c r="K66" s="4"/>
      <c r="L66" s="1"/>
      <c r="M66" s="4"/>
      <c r="N66" s="4">
        <f t="shared" si="8"/>
        <v>0</v>
      </c>
      <c r="O66" s="4">
        <f t="shared" si="9"/>
        <v>0</v>
      </c>
      <c r="P66" s="4">
        <f>Table1[[#This Row],[Enrolment S.Y. 2025-2026 ]]*8</f>
        <v>0</v>
      </c>
      <c r="Q66" s="4"/>
      <c r="R66" s="1"/>
      <c r="S66" s="4"/>
      <c r="T66" s="4">
        <f t="shared" si="10"/>
        <v>0</v>
      </c>
      <c r="U66" s="4">
        <f t="shared" si="11"/>
        <v>0</v>
      </c>
      <c r="V66" s="4">
        <f>Table1[[#This Row],[Enrolment S.Y. 2025-2026 ]]*8</f>
        <v>0</v>
      </c>
      <c r="W66" s="4"/>
      <c r="X66" s="1"/>
      <c r="Y66" s="4"/>
      <c r="Z66" s="4">
        <f t="shared" si="12"/>
        <v>0</v>
      </c>
      <c r="AA66" s="4">
        <f t="shared" si="13"/>
        <v>0</v>
      </c>
    </row>
    <row r="67" spans="1:27" ht="19.5">
      <c r="A67" s="26"/>
      <c r="B67" s="27"/>
      <c r="C67" s="26"/>
      <c r="D67" s="4"/>
      <c r="E67" s="28"/>
      <c r="F67" s="26"/>
      <c r="G67" s="28"/>
      <c r="H67" s="4">
        <f t="shared" si="14"/>
        <v>0</v>
      </c>
      <c r="I67" s="4">
        <f t="shared" si="15"/>
        <v>0</v>
      </c>
      <c r="J67" s="4">
        <f>Table1[[#This Row],[Enrolment S.Y. 2025-2026 ]]*8</f>
        <v>0</v>
      </c>
      <c r="K67" s="28"/>
      <c r="L67" s="26"/>
      <c r="M67" s="28"/>
      <c r="N67" s="4">
        <f t="shared" ref="N67" si="16">IF((J67-K67)&lt;0,0,(J67-K67))</f>
        <v>0</v>
      </c>
      <c r="O67" s="4">
        <f t="shared" ref="O67" si="17">IF((K67-J67)&lt;0,0,(K67-J67))</f>
        <v>0</v>
      </c>
      <c r="P67" s="4"/>
      <c r="Q67" s="28"/>
      <c r="R67" s="26"/>
      <c r="S67" s="28"/>
      <c r="T67" s="4">
        <f t="shared" si="10"/>
        <v>0</v>
      </c>
      <c r="U67" s="4">
        <f t="shared" si="11"/>
        <v>0</v>
      </c>
      <c r="V67" s="4">
        <f>Table1[[#This Row],[Enrolment S.Y. 2025-2026 ]]*8</f>
        <v>0</v>
      </c>
      <c r="W67" s="28"/>
      <c r="X67" s="26"/>
      <c r="Y67" s="28"/>
      <c r="Z67" s="4">
        <f t="shared" si="12"/>
        <v>0</v>
      </c>
      <c r="AA67" s="4">
        <f t="shared" si="13"/>
        <v>0</v>
      </c>
    </row>
    <row r="68" spans="1:27" ht="15"/>
    <row r="69" spans="1:27" ht="15"/>
    <row r="70" spans="1:27" ht="15"/>
    <row r="71" spans="1:27" ht="15"/>
    <row r="72" spans="1:27" s="6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6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6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6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6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13:C21 C23:C31 C33:C41 C43:C50 C52:C67 C2:C11" name="Textbooks"/>
    <protectedRange sqref="H43:I50 Q43:R50 W43:X50 D52:F67 H52:I67 N67:R67 W52:X67 J3:J67 V2:X2 Q52:R66 P2:R2 Z3:AA67 N3:P66 T3:V67 K3:L11 K13:L21 K23:L31 K33:L41 K43:L50 K52:L67 D2:F11 H3:I11 Q3:R11 W3:X11 D13:F21 H13:I21 Q13:R21 W13:X21 D23:F31 H23:I31 Q23:R31 W23:X31 D33:F41 H33:I41 Q33:R41 W33:X41 D43:F50 J2:L2" name="LAS"/>
    <protectedRange sqref="S2:U2 M2:O2 Y2:AA2 Y3:Y50 G52:G67 M52:M67 S52:S67 Y52:Y67 G13:G21 G23:G31 S3:S50 G33:G41 G43:G50 M3:M50 G3:G11 G2:I2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52:S67 M52:M67 Y52:Y67 G52:G67" xr:uid="{8289B4A9-982E-4C7E-A8E2-4BF3404561DB}">
      <formula1>"CO,RO,SDO"</formula1>
    </dataValidation>
    <dataValidation type="list" allowBlank="1" showInputMessage="1" showErrorMessage="1" sqref="G3:G11 G13:G21 G23:G31 G33:G41 G43:G50 S3:S50 Y3:Y50 M3:M50" xr:uid="{5129D80C-83DF-45BE-B6AD-F21CA596CBA5}">
      <formula1>"CO,RO,SDO,LGU,SCHOOL"</formula1>
    </dataValidation>
    <dataValidation type="list" allowBlank="1" showInputMessage="1" showErrorMessage="1" sqref="F3:F11" xr:uid="{59647695-6946-4C9F-A76B-6A34CE83D30D}">
      <formula1>"2024,2025 ,2026"</formula1>
    </dataValidation>
    <dataValidation type="list" allowBlank="1" showInputMessage="1" showErrorMessage="1" sqref="F13:F21 F23:F31 F33:F41 F43:F50 F52:F67 L52:L67 L43:L50 L33:L41 L23:L31 L13:L21 L3:L11 R52:R67 R43:R50 R33:R41 R23:R31 R13:R21 R3:R11 X52:X67 X43:X50 X33:X41 X23:X31 X13:X21 X3:X11" xr:uid="{021B17AF-A3E4-4683-A7F4-2D6AA5F83CD8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zoomScale="55" zoomScaleNormal="55" workbookViewId="0">
      <selection activeCell="A3" sqref="A3:AA6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27</v>
      </c>
      <c r="E1" s="35"/>
      <c r="F1" s="35"/>
      <c r="G1" s="35"/>
      <c r="H1" s="35"/>
      <c r="I1" s="35"/>
      <c r="J1" s="36" t="s">
        <v>28</v>
      </c>
      <c r="K1" s="36"/>
      <c r="L1" s="36"/>
      <c r="M1" s="36"/>
      <c r="N1" s="36"/>
      <c r="O1" s="36"/>
      <c r="P1" s="37" t="s">
        <v>29</v>
      </c>
      <c r="Q1" s="37"/>
      <c r="R1" s="37"/>
      <c r="S1" s="37"/>
      <c r="T1" s="37"/>
      <c r="U1" s="37"/>
      <c r="V1" s="38" t="s">
        <v>30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55</v>
      </c>
      <c r="E2" s="17" t="s">
        <v>56</v>
      </c>
      <c r="F2" s="18" t="s">
        <v>57</v>
      </c>
      <c r="G2" s="21" t="s">
        <v>58</v>
      </c>
      <c r="H2" s="14" t="s">
        <v>59</v>
      </c>
      <c r="I2" s="21" t="s">
        <v>60</v>
      </c>
      <c r="J2" s="19" t="s">
        <v>61</v>
      </c>
      <c r="K2" s="19" t="s">
        <v>62</v>
      </c>
      <c r="L2" s="20" t="s">
        <v>63</v>
      </c>
      <c r="M2" s="33" t="s">
        <v>64</v>
      </c>
      <c r="N2" s="33" t="s">
        <v>65</v>
      </c>
      <c r="O2" s="19" t="s">
        <v>66</v>
      </c>
      <c r="P2" s="21" t="s">
        <v>67</v>
      </c>
      <c r="Q2" s="21" t="s">
        <v>68</v>
      </c>
      <c r="R2" s="22" t="s">
        <v>69</v>
      </c>
      <c r="S2" s="14" t="s">
        <v>70</v>
      </c>
      <c r="T2" s="14" t="s">
        <v>71</v>
      </c>
      <c r="U2" s="21" t="s">
        <v>72</v>
      </c>
      <c r="V2" s="23" t="s">
        <v>73</v>
      </c>
      <c r="W2" s="23" t="s">
        <v>74</v>
      </c>
      <c r="X2" s="24" t="s">
        <v>75</v>
      </c>
      <c r="Y2" s="34" t="s">
        <v>76</v>
      </c>
      <c r="Z2" s="34" t="s">
        <v>77</v>
      </c>
      <c r="AA2" s="23" t="s">
        <v>78</v>
      </c>
    </row>
    <row r="3" spans="1:27" ht="19.5">
      <c r="A3" s="8">
        <v>7</v>
      </c>
      <c r="B3" s="9" t="s">
        <v>8</v>
      </c>
      <c r="C3" s="8"/>
      <c r="D3" s="10">
        <f>Table14[[#This Row],[Enrolment S.Y. 2025-2026 ]]*8</f>
        <v>0</v>
      </c>
      <c r="E3" s="10"/>
      <c r="F3" s="8"/>
      <c r="G3" s="10"/>
      <c r="H3" s="10">
        <f t="shared" ref="H3:H19" si="0">IF((D3-E3)&lt;0,0,(D3-E3))</f>
        <v>0</v>
      </c>
      <c r="I3" s="10">
        <f t="shared" ref="I3:I19" si="1">IF((E3-D3)&lt;0,0,(E3-D3))</f>
        <v>0</v>
      </c>
      <c r="J3" s="10">
        <f>Table14[[#This Row],[Enrolment S.Y. 2025-2026 ]]*8</f>
        <v>0</v>
      </c>
      <c r="K3" s="10"/>
      <c r="L3" s="8"/>
      <c r="M3" s="10"/>
      <c r="N3" s="10">
        <f t="shared" ref="N3:N6" si="2">IF((J3-K3)&lt;0,0,(J3-K3))</f>
        <v>0</v>
      </c>
      <c r="O3" s="10">
        <f t="shared" ref="O3:O6" si="3">IF((K3-J3)&lt;0,0,(K3-J3))</f>
        <v>0</v>
      </c>
      <c r="P3" s="10">
        <f>Table14[[#This Row],[Enrolment S.Y. 2025-2026 ]]*8</f>
        <v>0</v>
      </c>
      <c r="Q3" s="10"/>
      <c r="R3" s="8"/>
      <c r="S3" s="10"/>
      <c r="T3" s="10">
        <f t="shared" ref="T3:T8" si="4">IF((P3-Q3)&lt;0,0,(P3-Q3))</f>
        <v>0</v>
      </c>
      <c r="U3" s="10">
        <f t="shared" ref="U3:U8" si="5">IF((Q3-P3)&lt;0,0,(Q3-P3))</f>
        <v>0</v>
      </c>
      <c r="V3" s="10">
        <f>Table14[[#This Row],[Enrolment S.Y. 2025-2026 ]]*8</f>
        <v>0</v>
      </c>
      <c r="W3" s="10"/>
      <c r="X3" s="8"/>
      <c r="Y3" s="10"/>
      <c r="Z3" s="10">
        <f t="shared" ref="Z3:Z8" si="6">IF((V3-W3)&lt;0,0,(V3-W3))</f>
        <v>0</v>
      </c>
      <c r="AA3" s="10">
        <f t="shared" ref="AA3:AA8" si="7">IF((W3-V3)&lt;0,0,(W3-V3))</f>
        <v>0</v>
      </c>
    </row>
    <row r="4" spans="1:27" ht="19.5">
      <c r="A4" s="8">
        <v>7</v>
      </c>
      <c r="B4" s="9" t="s">
        <v>9</v>
      </c>
      <c r="C4" s="8"/>
      <c r="D4" s="10">
        <f>Table14[[#This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Table14[[#This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Table14[[#This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Table14[[#This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10</v>
      </c>
      <c r="C5" s="8"/>
      <c r="D5" s="10">
        <f>Table14[[#This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Table14[[#This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Table14[[#This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Table14[[#This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11</v>
      </c>
      <c r="C6" s="8"/>
      <c r="D6" s="10">
        <f>Table14[[#This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Table14[[#This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Table14[[#This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Table14[[#This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12</v>
      </c>
      <c r="C7" s="8"/>
      <c r="D7" s="10">
        <f>Table14[[#This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Table14[[#This Row],[Enrolment S.Y. 2025-2026 ]]*8</f>
        <v>0</v>
      </c>
      <c r="K7" s="10"/>
      <c r="L7" s="8"/>
      <c r="M7" s="10"/>
      <c r="N7" s="10">
        <f t="shared" ref="N7:N13" si="8">IF((J7-K7)&lt;0,0,(J7-K7))</f>
        <v>0</v>
      </c>
      <c r="O7" s="10">
        <f t="shared" ref="O7:O13" si="9">IF((K7-J7)&lt;0,0,(K7-J7))</f>
        <v>0</v>
      </c>
      <c r="P7" s="10">
        <f>Table14[[#This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Table14[[#This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13</v>
      </c>
      <c r="C8" s="8"/>
      <c r="D8" s="10">
        <f>Table14[[#This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Table14[[#This Row],[Enrolment S.Y. 2025-2026 ]]*8</f>
        <v>0</v>
      </c>
      <c r="K8" s="10"/>
      <c r="L8" s="8"/>
      <c r="M8" s="10"/>
      <c r="N8" s="10">
        <f t="shared" si="8"/>
        <v>0</v>
      </c>
      <c r="O8" s="10">
        <f t="shared" si="9"/>
        <v>0</v>
      </c>
      <c r="P8" s="10">
        <f>Table14[[#This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Table14[[#This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31">
        <v>7</v>
      </c>
      <c r="B9" s="9" t="s">
        <v>79</v>
      </c>
      <c r="C9" s="10"/>
      <c r="D9" s="10">
        <f>Table14[[#This Row],[Enrolment S.Y. 2025-2026 ]]*8</f>
        <v>0</v>
      </c>
      <c r="E9" s="10"/>
      <c r="F9" s="8"/>
      <c r="G9" s="10"/>
      <c r="H9" s="10">
        <f>IF((D9-E9)&lt;0,0,(D9-E9))</f>
        <v>0</v>
      </c>
      <c r="I9" s="10">
        <f>IF((E9-D9)&lt;0,0,(E9-D9))</f>
        <v>0</v>
      </c>
      <c r="J9" s="10">
        <f>Table14[[#This Row],[Enrolment S.Y. 2025-2026 ]]*8</f>
        <v>0</v>
      </c>
      <c r="K9" s="10"/>
      <c r="L9" s="8"/>
      <c r="M9" s="10"/>
      <c r="N9" s="10">
        <f t="shared" si="8"/>
        <v>0</v>
      </c>
      <c r="O9" s="10">
        <f t="shared" si="9"/>
        <v>0</v>
      </c>
      <c r="P9" s="10">
        <f>Table14[[#This Row],[Enrolment S.Y. 2025-2026 ]]*8</f>
        <v>0</v>
      </c>
      <c r="Q9" s="10"/>
      <c r="R9" s="8"/>
      <c r="S9" s="10"/>
      <c r="T9" s="10">
        <f>IF((P9-Q9)&lt;0,0,(P9-Q9))</f>
        <v>0</v>
      </c>
      <c r="U9" s="10">
        <f>IF((Q9-P9)&lt;0,0,(Q9-P9))</f>
        <v>0</v>
      </c>
      <c r="V9" s="10">
        <f>Table14[[#This Row],[Enrolment S.Y. 2025-2026 ]]*8</f>
        <v>0</v>
      </c>
      <c r="W9" s="10"/>
      <c r="X9" s="8"/>
      <c r="Y9" s="10"/>
      <c r="Z9" s="10">
        <f>IF((V9-W9)&lt;0,0,(V9-W9))</f>
        <v>0</v>
      </c>
      <c r="AA9" s="10">
        <f>IF((W9-V9)&lt;0,0,(W9-V9))</f>
        <v>0</v>
      </c>
    </row>
    <row r="10" spans="1:27" ht="19.5">
      <c r="A10" s="8">
        <v>7</v>
      </c>
      <c r="B10" s="9" t="s">
        <v>80</v>
      </c>
      <c r="C10" s="8"/>
      <c r="D10" s="10">
        <f>Table14[[#This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Table14[[#This Row],[Enrolment S.Y. 2025-2026 ]]*8</f>
        <v>0</v>
      </c>
      <c r="K10" s="10"/>
      <c r="L10" s="8"/>
      <c r="M10" s="10"/>
      <c r="N10" s="10">
        <f t="shared" si="8"/>
        <v>0</v>
      </c>
      <c r="O10" s="10">
        <f t="shared" si="9"/>
        <v>0</v>
      </c>
      <c r="P10" s="10">
        <f>Table14[[#This Row],[Enrolment S.Y. 2025-2026 ]]*8</f>
        <v>0</v>
      </c>
      <c r="Q10" s="10"/>
      <c r="R10" s="8"/>
      <c r="S10" s="10"/>
      <c r="T10" s="10">
        <f t="shared" ref="T10:T58" si="10">IF((P10-Q10)&lt;0,0,(P10-Q10))</f>
        <v>0</v>
      </c>
      <c r="U10" s="10">
        <f t="shared" ref="U10:U58" si="11">IF((Q10-P10)&lt;0,0,(Q10-P10))</f>
        <v>0</v>
      </c>
      <c r="V10" s="10">
        <f>Table14[[#This Row],[Enrolment S.Y. 2025-2026 ]]*8</f>
        <v>0</v>
      </c>
      <c r="W10" s="10"/>
      <c r="X10" s="8"/>
      <c r="Y10" s="10"/>
      <c r="Z10" s="10">
        <f t="shared" ref="Z10:Z58" si="12">IF((V10-W10)&lt;0,0,(V10-W10))</f>
        <v>0</v>
      </c>
      <c r="AA10" s="10">
        <f t="shared" ref="AA10:AA58" si="13">IF((W10-V10)&lt;0,0,(W10-V10))</f>
        <v>0</v>
      </c>
    </row>
    <row r="11" spans="1:27" s="6" customFormat="1" ht="19.5">
      <c r="A11" s="8">
        <v>7</v>
      </c>
      <c r="B11" s="9" t="s">
        <v>15</v>
      </c>
      <c r="C11" s="8"/>
      <c r="D11" s="10">
        <f>Table14[[#This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Table14[[#This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Table14[[#This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Table14[[#This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31">
        <v>7</v>
      </c>
      <c r="B12" s="9" t="s">
        <v>81</v>
      </c>
      <c r="C12" s="10"/>
      <c r="D12" s="10">
        <f>Table14[[#This Row],[Enrolment S.Y. 2025-2026 ]]*8</f>
        <v>0</v>
      </c>
      <c r="E12" s="10"/>
      <c r="F12" s="8"/>
      <c r="G12" s="10"/>
      <c r="H12" s="10">
        <f>IF((D12-E12)&lt;0,0,(D12-E12))</f>
        <v>0</v>
      </c>
      <c r="I12" s="10">
        <f>IF((E12-D12)&lt;0,0,(E12-D12))</f>
        <v>0</v>
      </c>
      <c r="J12" s="10">
        <f>Table14[[#This Row],[Enrolment S.Y. 2025-2026 ]]*8</f>
        <v>0</v>
      </c>
      <c r="K12" s="10"/>
      <c r="L12" s="8"/>
      <c r="M12" s="10"/>
      <c r="N12" s="10">
        <f t="shared" si="8"/>
        <v>0</v>
      </c>
      <c r="O12" s="10">
        <f t="shared" si="9"/>
        <v>0</v>
      </c>
      <c r="P12" s="10">
        <f>Table14[[#This Row],[Enrolment S.Y. 2025-2026 ]]*8</f>
        <v>0</v>
      </c>
      <c r="Q12" s="10"/>
      <c r="R12" s="8"/>
      <c r="S12" s="10"/>
      <c r="T12" s="10">
        <f>IF((P12-Q12)&lt;0,0,(P12-Q12))</f>
        <v>0</v>
      </c>
      <c r="U12" s="10">
        <f>IF((Q12-P12)&lt;0,0,(Q12-P12))</f>
        <v>0</v>
      </c>
      <c r="V12" s="10">
        <f>Table14[[#This Row],[Enrolment S.Y. 2025-2026 ]]*8</f>
        <v>0</v>
      </c>
      <c r="W12" s="10"/>
      <c r="X12" s="8"/>
      <c r="Y12" s="10"/>
      <c r="Z12" s="10">
        <f>IF((V12-W12)&lt;0,0,(V12-W12))</f>
        <v>0</v>
      </c>
      <c r="AA12" s="10">
        <f>IF((W12-V12)&lt;0,0,(W12-V12))</f>
        <v>0</v>
      </c>
    </row>
    <row r="13" spans="1:27" ht="19.5">
      <c r="A13" s="8">
        <v>7</v>
      </c>
      <c r="B13" s="9" t="s">
        <v>82</v>
      </c>
      <c r="C13" s="8"/>
      <c r="D13" s="10">
        <f>Table14[[#This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Table14[[#This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Table14[[#This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Table14[[#This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5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</row>
    <row r="15" spans="1:27" ht="19.5">
      <c r="A15" s="8">
        <v>8</v>
      </c>
      <c r="B15" s="9" t="s">
        <v>8</v>
      </c>
      <c r="C15" s="8"/>
      <c r="D15" s="10">
        <f>Table14[[#This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Table14[[#This Row],[Enrolment S.Y. 2025-2026 ]]*8</f>
        <v>0</v>
      </c>
      <c r="K15" s="10"/>
      <c r="L15" s="8"/>
      <c r="M15" s="10"/>
      <c r="N15" s="10">
        <f t="shared" ref="N10:N58" si="14">IF((J15-K15)&lt;0,0,(J15-K15))</f>
        <v>0</v>
      </c>
      <c r="O15" s="10">
        <f t="shared" ref="O10:O58" si="15">IF((K15-J15)&lt;0,0,(K15-J15))</f>
        <v>0</v>
      </c>
      <c r="P15" s="10">
        <f>Table14[[#This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Table14[[#This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9</v>
      </c>
      <c r="C16" s="8"/>
      <c r="D16" s="10">
        <f>Table14[[#This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Table14[[#This Row],[Enrolment S.Y. 2025-2026 ]]*8</f>
        <v>0</v>
      </c>
      <c r="K16" s="10"/>
      <c r="L16" s="8"/>
      <c r="M16" s="10"/>
      <c r="N16" s="10">
        <f t="shared" si="14"/>
        <v>0</v>
      </c>
      <c r="O16" s="10">
        <f t="shared" si="15"/>
        <v>0</v>
      </c>
      <c r="P16" s="10">
        <f>Table14[[#This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Table14[[#This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10</v>
      </c>
      <c r="C17" s="8"/>
      <c r="D17" s="10">
        <f>Table14[[#This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Table14[[#This Row],[Enrolment S.Y. 2025-2026 ]]*8</f>
        <v>0</v>
      </c>
      <c r="K17" s="10"/>
      <c r="L17" s="8"/>
      <c r="M17" s="10"/>
      <c r="N17" s="10">
        <f t="shared" si="14"/>
        <v>0</v>
      </c>
      <c r="O17" s="10">
        <f t="shared" si="15"/>
        <v>0</v>
      </c>
      <c r="P17" s="10">
        <f>Table14[[#This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Table14[[#This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11</v>
      </c>
      <c r="C18" s="8"/>
      <c r="D18" s="10">
        <f>Table14[[#This Row],[Enrolment S.Y. 2025-2026 ]]*8</f>
        <v>0</v>
      </c>
      <c r="E18" s="10"/>
      <c r="F18" s="8"/>
      <c r="G18" s="10"/>
      <c r="H18" s="10">
        <f t="shared" si="0"/>
        <v>0</v>
      </c>
      <c r="I18" s="10">
        <f t="shared" si="1"/>
        <v>0</v>
      </c>
      <c r="J18" s="10">
        <f>Table14[[#This Row],[Enrolment S.Y. 2025-2026 ]]*8</f>
        <v>0</v>
      </c>
      <c r="K18" s="10"/>
      <c r="L18" s="8"/>
      <c r="M18" s="10"/>
      <c r="N18" s="10">
        <f t="shared" si="14"/>
        <v>0</v>
      </c>
      <c r="O18" s="10">
        <f t="shared" si="15"/>
        <v>0</v>
      </c>
      <c r="P18" s="10">
        <f>Table14[[#This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Table14[[#This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17</v>
      </c>
      <c r="C19" s="8"/>
      <c r="D19" s="10">
        <f>Table14[[#This Row],[Enrolment S.Y. 2025-2026 ]]*8</f>
        <v>0</v>
      </c>
      <c r="E19" s="10"/>
      <c r="F19" s="8"/>
      <c r="G19" s="10"/>
      <c r="H19" s="10">
        <f t="shared" si="0"/>
        <v>0</v>
      </c>
      <c r="I19" s="10">
        <f t="shared" si="1"/>
        <v>0</v>
      </c>
      <c r="J19" s="10">
        <f>Table14[[#This Row],[Enrolment S.Y. 2025-2026 ]]*8</f>
        <v>0</v>
      </c>
      <c r="K19" s="10"/>
      <c r="L19" s="8"/>
      <c r="M19" s="10"/>
      <c r="N19" s="10">
        <f t="shared" si="14"/>
        <v>0</v>
      </c>
      <c r="O19" s="10">
        <f t="shared" si="15"/>
        <v>0</v>
      </c>
      <c r="P19" s="10">
        <f>Table14[[#This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Table14[[#This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s="6" customFormat="1" ht="19.5">
      <c r="A20" s="8">
        <v>8</v>
      </c>
      <c r="B20" s="9" t="s">
        <v>13</v>
      </c>
      <c r="C20" s="8"/>
      <c r="D20" s="10">
        <f>Table14[[#This Row],[Enrolment S.Y. 2025-2026 ]]*8</f>
        <v>0</v>
      </c>
      <c r="E20" s="10"/>
      <c r="F20" s="8"/>
      <c r="G20" s="10"/>
      <c r="H20" s="10">
        <f t="shared" ref="H20:H58" si="16">IF((D20-E20)&lt;0,0,(D20-E20))</f>
        <v>0</v>
      </c>
      <c r="I20" s="10">
        <f t="shared" ref="I20:I58" si="17">IF((E20-D20)&lt;0,0,(E20-D20))</f>
        <v>0</v>
      </c>
      <c r="J20" s="10">
        <f>Table14[[#This Row],[Enrolment S.Y. 2025-2026 ]]*8</f>
        <v>0</v>
      </c>
      <c r="K20" s="10"/>
      <c r="L20" s="8"/>
      <c r="M20" s="10"/>
      <c r="N20" s="10">
        <f t="shared" ref="N20:N25" si="18">IF((J20-K20)&lt;0,0,(J20-K20))</f>
        <v>0</v>
      </c>
      <c r="O20" s="10">
        <f t="shared" ref="O20:O25" si="19">IF((K20-J20)&lt;0,0,(K20-J20))</f>
        <v>0</v>
      </c>
      <c r="P20" s="10">
        <f>Table14[[#This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Table14[[#This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31">
        <v>8</v>
      </c>
      <c r="B21" s="9" t="s">
        <v>79</v>
      </c>
      <c r="C21" s="10"/>
      <c r="D21" s="10">
        <f>Table14[[#This Row],[Enrolment S.Y. 2025-2026 ]]*8</f>
        <v>0</v>
      </c>
      <c r="E21" s="10"/>
      <c r="F21" s="8"/>
      <c r="G21" s="10"/>
      <c r="H21" s="10">
        <f>IF((D21-E21)&lt;0,0,(D21-E21))</f>
        <v>0</v>
      </c>
      <c r="I21" s="10">
        <f>IF((E21-D21)&lt;0,0,(E21-D21))</f>
        <v>0</v>
      </c>
      <c r="J21" s="10">
        <f>Table14[[#This Row],[Enrolment S.Y. 2025-2026 ]]*8</f>
        <v>0</v>
      </c>
      <c r="K21" s="10"/>
      <c r="L21" s="8"/>
      <c r="M21" s="10"/>
      <c r="N21" s="10">
        <f t="shared" si="18"/>
        <v>0</v>
      </c>
      <c r="O21" s="10">
        <f t="shared" si="19"/>
        <v>0</v>
      </c>
      <c r="P21" s="10">
        <f>Table14[[#This Row],[Enrolment S.Y. 2025-2026 ]]*8</f>
        <v>0</v>
      </c>
      <c r="Q21" s="10"/>
      <c r="R21" s="8"/>
      <c r="S21" s="10"/>
      <c r="T21" s="10">
        <f>IF((P21-Q21)&lt;0,0,(P21-Q21))</f>
        <v>0</v>
      </c>
      <c r="U21" s="10">
        <f>IF((Q21-P21)&lt;0,0,(Q21-P21))</f>
        <v>0</v>
      </c>
      <c r="V21" s="10">
        <f>Table14[[#This Row],[Enrolment S.Y. 2025-2026 ]]*8</f>
        <v>0</v>
      </c>
      <c r="W21" s="10"/>
      <c r="X21" s="8"/>
      <c r="Y21" s="10"/>
      <c r="Z21" s="10">
        <f>IF((V21-W21)&lt;0,0,(V21-W21))</f>
        <v>0</v>
      </c>
      <c r="AA21" s="10">
        <f>IF((W21-V21)&lt;0,0,(W21-V21))</f>
        <v>0</v>
      </c>
    </row>
    <row r="22" spans="1:27" ht="19.5">
      <c r="A22" s="8">
        <v>8</v>
      </c>
      <c r="B22" s="9" t="s">
        <v>80</v>
      </c>
      <c r="C22" s="8"/>
      <c r="D22" s="10">
        <f>Table14[[#This Row],[Enrolment S.Y. 2025-2026 ]]*8</f>
        <v>0</v>
      </c>
      <c r="E22" s="10"/>
      <c r="F22" s="8"/>
      <c r="G22" s="10"/>
      <c r="H22" s="10">
        <f t="shared" si="16"/>
        <v>0</v>
      </c>
      <c r="I22" s="10">
        <f t="shared" si="17"/>
        <v>0</v>
      </c>
      <c r="J22" s="10">
        <f>Table14[[#This Row],[Enrolment S.Y. 2025-2026 ]]*8</f>
        <v>0</v>
      </c>
      <c r="K22" s="10"/>
      <c r="L22" s="8"/>
      <c r="M22" s="10"/>
      <c r="N22" s="10">
        <f t="shared" si="18"/>
        <v>0</v>
      </c>
      <c r="O22" s="10">
        <f t="shared" si="19"/>
        <v>0</v>
      </c>
      <c r="P22" s="10">
        <f>Table14[[#This Row],[Enrolment S.Y. 2025-2026 ]]*8</f>
        <v>0</v>
      </c>
      <c r="Q22" s="10"/>
      <c r="R22" s="8"/>
      <c r="S22" s="10"/>
      <c r="T22" s="10">
        <f t="shared" si="10"/>
        <v>0</v>
      </c>
      <c r="U22" s="10">
        <f t="shared" si="11"/>
        <v>0</v>
      </c>
      <c r="V22" s="10">
        <f>Table14[[#This Row],[Enrolment S.Y. 2025-2026 ]]*8</f>
        <v>0</v>
      </c>
      <c r="W22" s="10"/>
      <c r="X22" s="8"/>
      <c r="Y22" s="10"/>
      <c r="Z22" s="10">
        <f t="shared" si="12"/>
        <v>0</v>
      </c>
      <c r="AA22" s="10">
        <f t="shared" si="13"/>
        <v>0</v>
      </c>
    </row>
    <row r="23" spans="1:27" ht="19.5">
      <c r="A23" s="8">
        <v>8</v>
      </c>
      <c r="B23" s="9" t="s">
        <v>15</v>
      </c>
      <c r="C23" s="8"/>
      <c r="D23" s="10">
        <f>Table14[[#This Row],[Enrolment S.Y. 2025-2026 ]]*8</f>
        <v>0</v>
      </c>
      <c r="E23" s="10"/>
      <c r="F23" s="8"/>
      <c r="G23" s="10"/>
      <c r="H23" s="10">
        <f t="shared" si="16"/>
        <v>0</v>
      </c>
      <c r="I23" s="10">
        <f t="shared" si="17"/>
        <v>0</v>
      </c>
      <c r="J23" s="10">
        <f>Table14[[#This Row],[Enrolment S.Y. 2025-2026 ]]*8</f>
        <v>0</v>
      </c>
      <c r="K23" s="10"/>
      <c r="L23" s="8"/>
      <c r="M23" s="10"/>
      <c r="N23" s="10">
        <f t="shared" si="18"/>
        <v>0</v>
      </c>
      <c r="O23" s="10">
        <f t="shared" si="19"/>
        <v>0</v>
      </c>
      <c r="P23" s="10">
        <f>Table14[[#This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Table14[[#This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31">
        <v>8</v>
      </c>
      <c r="B24" s="9" t="s">
        <v>81</v>
      </c>
      <c r="C24" s="10"/>
      <c r="D24" s="10">
        <f>Table14[[#This Row],[Enrolment S.Y. 2025-2026 ]]*8</f>
        <v>0</v>
      </c>
      <c r="E24" s="10"/>
      <c r="F24" s="8"/>
      <c r="G24" s="10"/>
      <c r="H24" s="10">
        <f>IF((D24-E24)&lt;0,0,(D24-E24))</f>
        <v>0</v>
      </c>
      <c r="I24" s="10">
        <f>IF((E24-D24)&lt;0,0,(E24-D24))</f>
        <v>0</v>
      </c>
      <c r="J24" s="10">
        <f>Table14[[#This Row],[Enrolment S.Y. 2025-2026 ]]*8</f>
        <v>0</v>
      </c>
      <c r="K24" s="10"/>
      <c r="L24" s="8"/>
      <c r="M24" s="10"/>
      <c r="N24" s="10">
        <f t="shared" si="18"/>
        <v>0</v>
      </c>
      <c r="O24" s="10">
        <f t="shared" si="19"/>
        <v>0</v>
      </c>
      <c r="P24" s="10">
        <f>Table14[[#This Row],[Enrolment S.Y. 2025-2026 ]]*8</f>
        <v>0</v>
      </c>
      <c r="Q24" s="10"/>
      <c r="R24" s="8"/>
      <c r="S24" s="10"/>
      <c r="T24" s="10">
        <f>IF((P24-Q24)&lt;0,0,(P24-Q24))</f>
        <v>0</v>
      </c>
      <c r="U24" s="10">
        <f>IF((Q24-P24)&lt;0,0,(Q24-P24))</f>
        <v>0</v>
      </c>
      <c r="V24" s="10">
        <f>Table14[[#This Row],[Enrolment S.Y. 2025-2026 ]]*8</f>
        <v>0</v>
      </c>
      <c r="W24" s="10"/>
      <c r="X24" s="8"/>
      <c r="Y24" s="10"/>
      <c r="Z24" s="10">
        <f>IF((V24-W24)&lt;0,0,(V24-W24))</f>
        <v>0</v>
      </c>
      <c r="AA24" s="10">
        <f>IF((W24-V24)&lt;0,0,(W24-V24))</f>
        <v>0</v>
      </c>
    </row>
    <row r="25" spans="1:27" ht="19.5">
      <c r="A25" s="8">
        <v>8</v>
      </c>
      <c r="B25" s="9" t="s">
        <v>82</v>
      </c>
      <c r="C25" s="8"/>
      <c r="D25" s="10">
        <f>Table14[[#This Row],[Enrolment S.Y. 2025-2026 ]]*8</f>
        <v>0</v>
      </c>
      <c r="E25" s="10"/>
      <c r="F25" s="8"/>
      <c r="G25" s="10"/>
      <c r="H25" s="10">
        <f t="shared" si="16"/>
        <v>0</v>
      </c>
      <c r="I25" s="10">
        <f t="shared" si="17"/>
        <v>0</v>
      </c>
      <c r="J25" s="10">
        <f>Table14[[#This Row],[Enrolment S.Y. 2025-2026 ]]*8</f>
        <v>0</v>
      </c>
      <c r="K25" s="10"/>
      <c r="L25" s="8"/>
      <c r="M25" s="10"/>
      <c r="N25" s="10">
        <f t="shared" si="18"/>
        <v>0</v>
      </c>
      <c r="O25" s="10">
        <f t="shared" si="19"/>
        <v>0</v>
      </c>
      <c r="P25" s="10">
        <f>Table14[[#This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Table14[[#This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5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</row>
    <row r="27" spans="1:27" ht="19.5">
      <c r="A27" s="8">
        <v>9</v>
      </c>
      <c r="B27" s="9" t="s">
        <v>8</v>
      </c>
      <c r="C27" s="8"/>
      <c r="D27" s="10">
        <f>Table14[[#This Row],[Enrolment S.Y. 2025-2026 ]]*8</f>
        <v>0</v>
      </c>
      <c r="E27" s="10"/>
      <c r="F27" s="8"/>
      <c r="G27" s="10"/>
      <c r="H27" s="10">
        <f t="shared" si="16"/>
        <v>0</v>
      </c>
      <c r="I27" s="10">
        <f t="shared" si="17"/>
        <v>0</v>
      </c>
      <c r="J27" s="10">
        <f>Table14[[#This Row],[Enrolment S.Y. 2025-2026 ]]*8</f>
        <v>0</v>
      </c>
      <c r="K27" s="10"/>
      <c r="L27" s="8"/>
      <c r="M27" s="10"/>
      <c r="N27" s="10">
        <f t="shared" si="14"/>
        <v>0</v>
      </c>
      <c r="O27" s="10">
        <f t="shared" si="15"/>
        <v>0</v>
      </c>
      <c r="P27" s="10">
        <f>Table14[[#This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Table14[[#This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9</v>
      </c>
      <c r="C28" s="8"/>
      <c r="D28" s="10">
        <f>Table14[[#This Row],[Enrolment S.Y. 2025-2026 ]]*8</f>
        <v>0</v>
      </c>
      <c r="E28" s="10"/>
      <c r="F28" s="8"/>
      <c r="G28" s="10"/>
      <c r="H28" s="10">
        <f t="shared" si="16"/>
        <v>0</v>
      </c>
      <c r="I28" s="10">
        <f t="shared" si="17"/>
        <v>0</v>
      </c>
      <c r="J28" s="10">
        <f>Table14[[#This Row],[Enrolment S.Y. 2025-2026 ]]*8</f>
        <v>0</v>
      </c>
      <c r="K28" s="10"/>
      <c r="L28" s="8"/>
      <c r="M28" s="10"/>
      <c r="N28" s="10">
        <f t="shared" si="14"/>
        <v>0</v>
      </c>
      <c r="O28" s="10">
        <f t="shared" si="15"/>
        <v>0</v>
      </c>
      <c r="P28" s="10">
        <f>Table14[[#This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Table14[[#This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10</v>
      </c>
      <c r="C29" s="8"/>
      <c r="D29" s="10">
        <f>Table14[[#This Row],[Enrolment S.Y. 2025-2026 ]]*8</f>
        <v>0</v>
      </c>
      <c r="E29" s="10"/>
      <c r="F29" s="8"/>
      <c r="G29" s="10"/>
      <c r="H29" s="10">
        <f t="shared" si="16"/>
        <v>0</v>
      </c>
      <c r="I29" s="10">
        <f t="shared" si="17"/>
        <v>0</v>
      </c>
      <c r="J29" s="10">
        <f>Table14[[#This Row],[Enrolment S.Y. 2025-2026 ]]*8</f>
        <v>0</v>
      </c>
      <c r="K29" s="10"/>
      <c r="L29" s="8"/>
      <c r="M29" s="10"/>
      <c r="N29" s="10">
        <f t="shared" si="14"/>
        <v>0</v>
      </c>
      <c r="O29" s="10">
        <f t="shared" si="15"/>
        <v>0</v>
      </c>
      <c r="P29" s="10">
        <f>Table14[[#This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Table14[[#This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s="6" customFormat="1" ht="19.5">
      <c r="A30" s="8">
        <v>9</v>
      </c>
      <c r="B30" s="9" t="s">
        <v>11</v>
      </c>
      <c r="C30" s="8"/>
      <c r="D30" s="10">
        <f>Table14[[#This Row],[Enrolment S.Y. 2025-2026 ]]*8</f>
        <v>0</v>
      </c>
      <c r="E30" s="10"/>
      <c r="F30" s="8"/>
      <c r="G30" s="10"/>
      <c r="H30" s="10">
        <f t="shared" si="16"/>
        <v>0</v>
      </c>
      <c r="I30" s="10">
        <f t="shared" si="17"/>
        <v>0</v>
      </c>
      <c r="J30" s="10">
        <f>Table14[[#This Row],[Enrolment S.Y. 2025-2026 ]]*8</f>
        <v>0</v>
      </c>
      <c r="K30" s="10"/>
      <c r="L30" s="8"/>
      <c r="M30" s="10"/>
      <c r="N30" s="10">
        <f t="shared" si="14"/>
        <v>0</v>
      </c>
      <c r="O30" s="10">
        <f t="shared" si="15"/>
        <v>0</v>
      </c>
      <c r="P30" s="10">
        <f>Table14[[#This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Table14[[#This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17</v>
      </c>
      <c r="C31" s="8"/>
      <c r="D31" s="10">
        <f>Table14[[#This Row],[Enrolment S.Y. 2025-2026 ]]*8</f>
        <v>0</v>
      </c>
      <c r="E31" s="10"/>
      <c r="F31" s="8"/>
      <c r="G31" s="10"/>
      <c r="H31" s="10">
        <f t="shared" si="16"/>
        <v>0</v>
      </c>
      <c r="I31" s="10">
        <f t="shared" si="17"/>
        <v>0</v>
      </c>
      <c r="J31" s="10">
        <f>Table14[[#This Row],[Enrolment S.Y. 2025-2026 ]]*8</f>
        <v>0</v>
      </c>
      <c r="K31" s="10"/>
      <c r="L31" s="8"/>
      <c r="M31" s="10"/>
      <c r="N31" s="10">
        <f t="shared" si="14"/>
        <v>0</v>
      </c>
      <c r="O31" s="10">
        <f t="shared" si="15"/>
        <v>0</v>
      </c>
      <c r="P31" s="10">
        <f>Table14[[#This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Table14[[#This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ht="19.5">
      <c r="A32" s="8">
        <v>9</v>
      </c>
      <c r="B32" s="9" t="s">
        <v>13</v>
      </c>
      <c r="C32" s="8"/>
      <c r="D32" s="10">
        <f>Table14[[#This Row],[Enrolment S.Y. 2025-2026 ]]*8</f>
        <v>0</v>
      </c>
      <c r="E32" s="10"/>
      <c r="F32" s="8"/>
      <c r="G32" s="10"/>
      <c r="H32" s="10">
        <f t="shared" si="16"/>
        <v>0</v>
      </c>
      <c r="I32" s="10">
        <f t="shared" si="17"/>
        <v>0</v>
      </c>
      <c r="J32" s="10">
        <f>Table14[[#This Row],[Enrolment S.Y. 2025-2026 ]]*8</f>
        <v>0</v>
      </c>
      <c r="K32" s="10"/>
      <c r="L32" s="8"/>
      <c r="M32" s="10"/>
      <c r="N32" s="10">
        <f t="shared" si="14"/>
        <v>0</v>
      </c>
      <c r="O32" s="10">
        <f t="shared" si="15"/>
        <v>0</v>
      </c>
      <c r="P32" s="10">
        <f>Table14[[#This Row],[Enrolment S.Y. 2025-2026 ]]*8</f>
        <v>0</v>
      </c>
      <c r="Q32" s="10"/>
      <c r="R32" s="8"/>
      <c r="S32" s="10"/>
      <c r="T32" s="10">
        <f t="shared" si="10"/>
        <v>0</v>
      </c>
      <c r="U32" s="10">
        <f t="shared" si="11"/>
        <v>0</v>
      </c>
      <c r="V32" s="10">
        <f>Table14[[#This Row],[Enrolment S.Y. 2025-2026 ]]*8</f>
        <v>0</v>
      </c>
      <c r="W32" s="10"/>
      <c r="X32" s="8"/>
      <c r="Y32" s="10"/>
      <c r="Z32" s="10">
        <f t="shared" si="12"/>
        <v>0</v>
      </c>
      <c r="AA32" s="10">
        <f t="shared" si="13"/>
        <v>0</v>
      </c>
    </row>
    <row r="33" spans="1:27" ht="19.5">
      <c r="A33" s="31">
        <v>9</v>
      </c>
      <c r="B33" s="9" t="s">
        <v>79</v>
      </c>
      <c r="C33" s="8"/>
      <c r="D33" s="10">
        <f>Table14[[#This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Table14[[#This Row],[Enrolment S.Y. 2025-2026 ]]*8</f>
        <v>0</v>
      </c>
      <c r="K33" s="10"/>
      <c r="L33" s="8"/>
      <c r="M33" s="10"/>
      <c r="N33" s="10">
        <f t="shared" ref="N33:N37" si="20">IF((J33-K33)&lt;0,0,(J33-K33))</f>
        <v>0</v>
      </c>
      <c r="O33" s="10">
        <f t="shared" ref="O33:O37" si="21">IF((K33-J33)&lt;0,0,(K33-J33))</f>
        <v>0</v>
      </c>
      <c r="P33" s="10">
        <f>Table14[[#This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Table14[[#This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9</v>
      </c>
      <c r="B34" s="9" t="s">
        <v>80</v>
      </c>
      <c r="C34" s="8"/>
      <c r="D34" s="10">
        <f>Table14[[#This Row],[Enrolment S.Y. 2025-2026 ]]*8</f>
        <v>0</v>
      </c>
      <c r="E34" s="10"/>
      <c r="F34" s="8"/>
      <c r="G34" s="10"/>
      <c r="H34" s="10">
        <f t="shared" si="16"/>
        <v>0</v>
      </c>
      <c r="I34" s="10">
        <f t="shared" si="17"/>
        <v>0</v>
      </c>
      <c r="J34" s="10">
        <f>Table14[[#This Row],[Enrolment S.Y. 2025-2026 ]]*8</f>
        <v>0</v>
      </c>
      <c r="K34" s="10"/>
      <c r="L34" s="8"/>
      <c r="M34" s="10"/>
      <c r="N34" s="10">
        <f t="shared" si="20"/>
        <v>0</v>
      </c>
      <c r="O34" s="10">
        <f t="shared" si="21"/>
        <v>0</v>
      </c>
      <c r="P34" s="10">
        <f>Table14[[#This Row],[Enrolment S.Y. 2025-2026 ]]*8</f>
        <v>0</v>
      </c>
      <c r="Q34" s="10"/>
      <c r="R34" s="8"/>
      <c r="S34" s="10"/>
      <c r="T34" s="10">
        <f t="shared" si="10"/>
        <v>0</v>
      </c>
      <c r="U34" s="10">
        <f t="shared" si="11"/>
        <v>0</v>
      </c>
      <c r="V34" s="10">
        <f>Table14[[#This Row],[Enrolment S.Y. 2025-2026 ]]*8</f>
        <v>0</v>
      </c>
      <c r="W34" s="10"/>
      <c r="X34" s="8"/>
      <c r="Y34" s="10"/>
      <c r="Z34" s="10">
        <f t="shared" si="12"/>
        <v>0</v>
      </c>
      <c r="AA34" s="10">
        <f t="shared" si="13"/>
        <v>0</v>
      </c>
    </row>
    <row r="35" spans="1:27" ht="19.5">
      <c r="A35" s="8">
        <v>9</v>
      </c>
      <c r="B35" s="9" t="s">
        <v>15</v>
      </c>
      <c r="C35" s="8"/>
      <c r="D35" s="10">
        <f>Table14[[#This Row],[Enrolment S.Y. 2025-2026 ]]*8</f>
        <v>0</v>
      </c>
      <c r="E35" s="10"/>
      <c r="F35" s="8"/>
      <c r="G35" s="10"/>
      <c r="H35" s="10">
        <f t="shared" si="16"/>
        <v>0</v>
      </c>
      <c r="I35" s="10">
        <f t="shared" si="17"/>
        <v>0</v>
      </c>
      <c r="J35" s="10">
        <f>Table14[[#This Row],[Enrolment S.Y. 2025-2026 ]]*8</f>
        <v>0</v>
      </c>
      <c r="K35" s="10"/>
      <c r="L35" s="8"/>
      <c r="M35" s="10"/>
      <c r="N35" s="10">
        <f t="shared" si="20"/>
        <v>0</v>
      </c>
      <c r="O35" s="10">
        <f t="shared" si="21"/>
        <v>0</v>
      </c>
      <c r="P35" s="10">
        <f>Table14[[#This Row],[Enrolment S.Y. 2025-2026 ]]*8</f>
        <v>0</v>
      </c>
      <c r="Q35" s="10"/>
      <c r="R35" s="8"/>
      <c r="S35" s="10"/>
      <c r="T35" s="10">
        <f t="shared" si="10"/>
        <v>0</v>
      </c>
      <c r="U35" s="10">
        <f t="shared" si="11"/>
        <v>0</v>
      </c>
      <c r="V35" s="10">
        <f>Table14[[#This Row],[Enrolment S.Y. 2025-2026 ]]*8</f>
        <v>0</v>
      </c>
      <c r="W35" s="10"/>
      <c r="X35" s="8"/>
      <c r="Y35" s="10"/>
      <c r="Z35" s="10">
        <f t="shared" si="12"/>
        <v>0</v>
      </c>
      <c r="AA35" s="10">
        <f t="shared" si="13"/>
        <v>0</v>
      </c>
    </row>
    <row r="36" spans="1:27" ht="19.5">
      <c r="A36" s="31">
        <v>9</v>
      </c>
      <c r="B36" s="9" t="s">
        <v>81</v>
      </c>
      <c r="C36" s="8"/>
      <c r="D36" s="10">
        <f>Table14[[#This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Table14[[#This Row],[Enrolment S.Y. 2025-2026 ]]*8</f>
        <v>0</v>
      </c>
      <c r="K36" s="10"/>
      <c r="L36" s="8"/>
      <c r="M36" s="10"/>
      <c r="N36" s="10">
        <f t="shared" si="20"/>
        <v>0</v>
      </c>
      <c r="O36" s="10">
        <f t="shared" si="21"/>
        <v>0</v>
      </c>
      <c r="P36" s="10">
        <f>Table14[[#This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Table14[[#This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9</v>
      </c>
      <c r="B37" s="9" t="s">
        <v>82</v>
      </c>
      <c r="C37" s="8"/>
      <c r="D37" s="10">
        <f>Table14[[#This Row],[Enrolment S.Y. 2025-2026 ]]*8</f>
        <v>0</v>
      </c>
      <c r="E37" s="10"/>
      <c r="F37" s="8"/>
      <c r="G37" s="10"/>
      <c r="H37" s="10">
        <f t="shared" si="16"/>
        <v>0</v>
      </c>
      <c r="I37" s="10">
        <f t="shared" si="17"/>
        <v>0</v>
      </c>
      <c r="J37" s="10">
        <f>Table14[[#This Row],[Enrolment S.Y. 2025-2026 ]]*8</f>
        <v>0</v>
      </c>
      <c r="K37" s="10"/>
      <c r="L37" s="8"/>
      <c r="M37" s="10"/>
      <c r="N37" s="10">
        <f t="shared" si="20"/>
        <v>0</v>
      </c>
      <c r="O37" s="10">
        <f t="shared" si="21"/>
        <v>0</v>
      </c>
      <c r="P37" s="10">
        <f>Table14[[#This Row],[Enrolment S.Y. 2025-2026 ]]*8</f>
        <v>0</v>
      </c>
      <c r="Q37" s="10"/>
      <c r="R37" s="8"/>
      <c r="S37" s="10"/>
      <c r="T37" s="10">
        <f t="shared" si="10"/>
        <v>0</v>
      </c>
      <c r="U37" s="10">
        <f t="shared" si="11"/>
        <v>0</v>
      </c>
      <c r="V37" s="10">
        <f>Table14[[#This Row],[Enrolment S.Y. 2025-2026 ]]*8</f>
        <v>0</v>
      </c>
      <c r="W37" s="10"/>
      <c r="X37" s="8"/>
      <c r="Y37" s="10"/>
      <c r="Z37" s="10">
        <f t="shared" si="12"/>
        <v>0</v>
      </c>
      <c r="AA37" s="10">
        <f t="shared" si="13"/>
        <v>0</v>
      </c>
    </row>
    <row r="38" spans="1:27" ht="15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</row>
    <row r="39" spans="1:27" ht="19.5">
      <c r="A39" s="8">
        <v>10</v>
      </c>
      <c r="B39" s="9" t="s">
        <v>8</v>
      </c>
      <c r="C39" s="8"/>
      <c r="D39" s="10">
        <f>Table14[[#This Row],[Enrolment S.Y. 2025-2026 ]]*8</f>
        <v>0</v>
      </c>
      <c r="E39" s="10"/>
      <c r="F39" s="8"/>
      <c r="G39" s="10"/>
      <c r="H39" s="10">
        <f t="shared" si="16"/>
        <v>0</v>
      </c>
      <c r="I39" s="10">
        <f t="shared" si="17"/>
        <v>0</v>
      </c>
      <c r="J39" s="10">
        <f>Table14[[#This Row],[Enrolment S.Y. 2025-2026 ]]*8</f>
        <v>0</v>
      </c>
      <c r="K39" s="10"/>
      <c r="L39" s="8"/>
      <c r="M39" s="10"/>
      <c r="N39" s="10">
        <f t="shared" si="14"/>
        <v>0</v>
      </c>
      <c r="O39" s="10">
        <f t="shared" si="15"/>
        <v>0</v>
      </c>
      <c r="P39" s="10">
        <f>Table14[[#This Row],[Enrolment S.Y. 2025-2026 ]]*8</f>
        <v>0</v>
      </c>
      <c r="Q39" s="10"/>
      <c r="R39" s="8"/>
      <c r="S39" s="10"/>
      <c r="T39" s="10">
        <f t="shared" si="10"/>
        <v>0</v>
      </c>
      <c r="U39" s="10">
        <f t="shared" si="11"/>
        <v>0</v>
      </c>
      <c r="V39" s="10">
        <f>Table14[[#This Row],[Enrolment S.Y. 2025-2026 ]]*8</f>
        <v>0</v>
      </c>
      <c r="W39" s="10"/>
      <c r="X39" s="8"/>
      <c r="Y39" s="10"/>
      <c r="Z39" s="10">
        <f t="shared" si="12"/>
        <v>0</v>
      </c>
      <c r="AA39" s="10">
        <f t="shared" si="13"/>
        <v>0</v>
      </c>
    </row>
    <row r="40" spans="1:27" ht="19.5">
      <c r="A40" s="8">
        <v>10</v>
      </c>
      <c r="B40" s="9" t="s">
        <v>9</v>
      </c>
      <c r="C40" s="8"/>
      <c r="D40" s="10">
        <f>Table14[[#This Row],[Enrolment S.Y. 2025-2026 ]]*8</f>
        <v>0</v>
      </c>
      <c r="E40" s="10"/>
      <c r="F40" s="8"/>
      <c r="G40" s="10"/>
      <c r="H40" s="10">
        <f t="shared" si="16"/>
        <v>0</v>
      </c>
      <c r="I40" s="10">
        <f t="shared" si="17"/>
        <v>0</v>
      </c>
      <c r="J40" s="10">
        <f>Table14[[#This Row],[Enrolment S.Y. 2025-2026 ]]*8</f>
        <v>0</v>
      </c>
      <c r="K40" s="10"/>
      <c r="L40" s="8"/>
      <c r="M40" s="10"/>
      <c r="N40" s="10">
        <f t="shared" si="14"/>
        <v>0</v>
      </c>
      <c r="O40" s="10">
        <f t="shared" si="15"/>
        <v>0</v>
      </c>
      <c r="P40" s="10">
        <f>Table14[[#This Row],[Enrolment S.Y. 2025-2026 ]]*8</f>
        <v>0</v>
      </c>
      <c r="Q40" s="10"/>
      <c r="R40" s="8"/>
      <c r="S40" s="10"/>
      <c r="T40" s="10">
        <f t="shared" si="10"/>
        <v>0</v>
      </c>
      <c r="U40" s="10">
        <f t="shared" si="11"/>
        <v>0</v>
      </c>
      <c r="V40" s="10">
        <f>Table14[[#This Row],[Enrolment S.Y. 2025-2026 ]]*8</f>
        <v>0</v>
      </c>
      <c r="W40" s="10"/>
      <c r="X40" s="8"/>
      <c r="Y40" s="10"/>
      <c r="Z40" s="10">
        <f t="shared" si="12"/>
        <v>0</v>
      </c>
      <c r="AA40" s="10">
        <f t="shared" si="13"/>
        <v>0</v>
      </c>
    </row>
    <row r="41" spans="1:27" ht="19.5">
      <c r="A41" s="8">
        <v>10</v>
      </c>
      <c r="B41" s="9" t="s">
        <v>10</v>
      </c>
      <c r="C41" s="8"/>
      <c r="D41" s="10">
        <f>Table14[[#This Row],[Enrolment S.Y. 2025-2026 ]]*8</f>
        <v>0</v>
      </c>
      <c r="E41" s="10"/>
      <c r="F41" s="8"/>
      <c r="G41" s="10"/>
      <c r="H41" s="10">
        <f t="shared" si="16"/>
        <v>0</v>
      </c>
      <c r="I41" s="10">
        <f t="shared" si="17"/>
        <v>0</v>
      </c>
      <c r="J41" s="10">
        <f>Table14[[#This Row],[Enrolment S.Y. 2025-2026 ]]*8</f>
        <v>0</v>
      </c>
      <c r="K41" s="10"/>
      <c r="L41" s="8"/>
      <c r="M41" s="10"/>
      <c r="N41" s="10">
        <f t="shared" si="14"/>
        <v>0</v>
      </c>
      <c r="O41" s="10">
        <f t="shared" si="15"/>
        <v>0</v>
      </c>
      <c r="P41" s="10">
        <f>Table14[[#This Row],[Enrolment S.Y. 2025-2026 ]]*8</f>
        <v>0</v>
      </c>
      <c r="Q41" s="10"/>
      <c r="R41" s="8"/>
      <c r="S41" s="10"/>
      <c r="T41" s="10">
        <f t="shared" si="10"/>
        <v>0</v>
      </c>
      <c r="U41" s="10">
        <f t="shared" si="11"/>
        <v>0</v>
      </c>
      <c r="V41" s="10">
        <f>Table14[[#This Row],[Enrolment S.Y. 2025-2026 ]]*8</f>
        <v>0</v>
      </c>
      <c r="W41" s="10"/>
      <c r="X41" s="8"/>
      <c r="Y41" s="10"/>
      <c r="Z41" s="10">
        <f t="shared" si="12"/>
        <v>0</v>
      </c>
      <c r="AA41" s="10">
        <f t="shared" si="13"/>
        <v>0</v>
      </c>
    </row>
    <row r="42" spans="1:27" s="6" customFormat="1" ht="19.5">
      <c r="A42" s="8">
        <v>10</v>
      </c>
      <c r="B42" s="9" t="s">
        <v>11</v>
      </c>
      <c r="C42" s="8"/>
      <c r="D42" s="10">
        <f>Table14[[#This Row],[Enrolment S.Y. 2025-2026 ]]*8</f>
        <v>0</v>
      </c>
      <c r="E42" s="10"/>
      <c r="F42" s="8"/>
      <c r="G42" s="10"/>
      <c r="H42" s="10">
        <f t="shared" si="16"/>
        <v>0</v>
      </c>
      <c r="I42" s="10">
        <f t="shared" si="17"/>
        <v>0</v>
      </c>
      <c r="J42" s="10">
        <f>Table14[[#This Row],[Enrolment S.Y. 2025-2026 ]]*8</f>
        <v>0</v>
      </c>
      <c r="K42" s="10"/>
      <c r="L42" s="8"/>
      <c r="M42" s="10"/>
      <c r="N42" s="10">
        <f t="shared" si="14"/>
        <v>0</v>
      </c>
      <c r="O42" s="10">
        <f t="shared" si="15"/>
        <v>0</v>
      </c>
      <c r="P42" s="10">
        <f>Table14[[#This Row],[Enrolment S.Y. 2025-2026 ]]*8</f>
        <v>0</v>
      </c>
      <c r="Q42" s="10"/>
      <c r="R42" s="8"/>
      <c r="S42" s="10"/>
      <c r="T42" s="10">
        <f t="shared" si="10"/>
        <v>0</v>
      </c>
      <c r="U42" s="10">
        <f t="shared" si="11"/>
        <v>0</v>
      </c>
      <c r="V42" s="10">
        <f>Table14[[#This Row],[Enrolment S.Y. 2025-2026 ]]*8</f>
        <v>0</v>
      </c>
      <c r="W42" s="10"/>
      <c r="X42" s="8"/>
      <c r="Y42" s="10"/>
      <c r="Z42" s="10">
        <f t="shared" si="12"/>
        <v>0</v>
      </c>
      <c r="AA42" s="10">
        <f t="shared" si="13"/>
        <v>0</v>
      </c>
    </row>
    <row r="43" spans="1:27" ht="19.5">
      <c r="A43" s="8">
        <v>10</v>
      </c>
      <c r="B43" s="9" t="s">
        <v>17</v>
      </c>
      <c r="C43" s="8"/>
      <c r="D43" s="10">
        <f>Table14[[#This Row],[Enrolment S.Y. 2025-2026 ]]*8</f>
        <v>0</v>
      </c>
      <c r="E43" s="10"/>
      <c r="F43" s="8"/>
      <c r="G43" s="10"/>
      <c r="H43" s="10">
        <f t="shared" si="16"/>
        <v>0</v>
      </c>
      <c r="I43" s="10">
        <f t="shared" si="17"/>
        <v>0</v>
      </c>
      <c r="J43" s="10">
        <f>Table14[[#This Row],[Enrolment S.Y. 2025-2026 ]]*8</f>
        <v>0</v>
      </c>
      <c r="K43" s="10"/>
      <c r="L43" s="8"/>
      <c r="M43" s="10"/>
      <c r="N43" s="10">
        <f t="shared" si="14"/>
        <v>0</v>
      </c>
      <c r="O43" s="10">
        <f t="shared" si="15"/>
        <v>0</v>
      </c>
      <c r="P43" s="10">
        <f>Table14[[#This Row],[Enrolment S.Y. 2025-2026 ]]*8</f>
        <v>0</v>
      </c>
      <c r="Q43" s="10"/>
      <c r="R43" s="8"/>
      <c r="S43" s="10"/>
      <c r="T43" s="10">
        <f t="shared" si="10"/>
        <v>0</v>
      </c>
      <c r="U43" s="10">
        <f t="shared" si="11"/>
        <v>0</v>
      </c>
      <c r="V43" s="10">
        <f>Table14[[#This Row],[Enrolment S.Y. 2025-2026 ]]*8</f>
        <v>0</v>
      </c>
      <c r="W43" s="10"/>
      <c r="X43" s="8"/>
      <c r="Y43" s="10"/>
      <c r="Z43" s="10">
        <f t="shared" si="12"/>
        <v>0</v>
      </c>
      <c r="AA43" s="10">
        <f t="shared" si="13"/>
        <v>0</v>
      </c>
    </row>
    <row r="44" spans="1:27" ht="19.5">
      <c r="A44" s="8">
        <v>10</v>
      </c>
      <c r="B44" s="9" t="s">
        <v>13</v>
      </c>
      <c r="C44" s="8"/>
      <c r="D44" s="10">
        <f>Table14[[#This Row],[Enrolment S.Y. 2025-2026 ]]*8</f>
        <v>0</v>
      </c>
      <c r="E44" s="10"/>
      <c r="F44" s="8"/>
      <c r="G44" s="10"/>
      <c r="H44" s="10">
        <f t="shared" si="16"/>
        <v>0</v>
      </c>
      <c r="I44" s="10">
        <f t="shared" si="17"/>
        <v>0</v>
      </c>
      <c r="J44" s="10">
        <f>Table14[[#This Row],[Enrolment S.Y. 2025-2026 ]]*8</f>
        <v>0</v>
      </c>
      <c r="K44" s="10"/>
      <c r="L44" s="8"/>
      <c r="M44" s="10"/>
      <c r="N44" s="10">
        <f t="shared" si="14"/>
        <v>0</v>
      </c>
      <c r="O44" s="10">
        <f t="shared" si="15"/>
        <v>0</v>
      </c>
      <c r="P44" s="10">
        <f>Table14[[#This Row],[Enrolment S.Y. 2025-2026 ]]*8</f>
        <v>0</v>
      </c>
      <c r="Q44" s="10"/>
      <c r="R44" s="8"/>
      <c r="S44" s="10"/>
      <c r="T44" s="10">
        <f t="shared" si="10"/>
        <v>0</v>
      </c>
      <c r="U44" s="10">
        <f t="shared" si="11"/>
        <v>0</v>
      </c>
      <c r="V44" s="10">
        <f>Table14[[#This Row],[Enrolment S.Y. 2025-2026 ]]*8</f>
        <v>0</v>
      </c>
      <c r="W44" s="10"/>
      <c r="X44" s="8"/>
      <c r="Y44" s="10"/>
      <c r="Z44" s="10">
        <f t="shared" si="12"/>
        <v>0</v>
      </c>
      <c r="AA44" s="10">
        <f t="shared" si="13"/>
        <v>0</v>
      </c>
    </row>
    <row r="45" spans="1:27" ht="19.5">
      <c r="A45" s="31">
        <v>10</v>
      </c>
      <c r="B45" s="9" t="s">
        <v>79</v>
      </c>
      <c r="C45" s="8"/>
      <c r="D45" s="10">
        <f>Table14[[#This Row],[Enrolment S.Y. 2025-2026 ]]*8</f>
        <v>0</v>
      </c>
      <c r="E45" s="10"/>
      <c r="F45" s="8"/>
      <c r="G45" s="10"/>
      <c r="H45" s="10">
        <f>IF((D45-E45)&lt;0,0,(D45-E45))</f>
        <v>0</v>
      </c>
      <c r="I45" s="10">
        <f>IF((E45-D45)&lt;0,0,(E45-D45))</f>
        <v>0</v>
      </c>
      <c r="J45" s="10">
        <f>Table14[[#This Row],[Enrolment S.Y. 2025-2026 ]]*8</f>
        <v>0</v>
      </c>
      <c r="K45" s="10"/>
      <c r="L45" s="8"/>
      <c r="M45" s="10"/>
      <c r="N45" s="10">
        <f t="shared" ref="N45:N49" si="22">IF((J45-K45)&lt;0,0,(J45-K45))</f>
        <v>0</v>
      </c>
      <c r="O45" s="10">
        <f t="shared" ref="O45:O49" si="23">IF((K45-J45)&lt;0,0,(K45-J45))</f>
        <v>0</v>
      </c>
      <c r="P45" s="10">
        <f>Table14[[#This Row],[Enrolment S.Y. 2025-2026 ]]*8</f>
        <v>0</v>
      </c>
      <c r="Q45" s="10"/>
      <c r="R45" s="8"/>
      <c r="S45" s="10"/>
      <c r="T45" s="10">
        <f>IF((P45-Q45)&lt;0,0,(P45-Q45))</f>
        <v>0</v>
      </c>
      <c r="U45" s="10">
        <f>IF((Q45-P45)&lt;0,0,(Q45-P45))</f>
        <v>0</v>
      </c>
      <c r="V45" s="10">
        <f>Table14[[#This Row],[Enrolment S.Y. 2025-2026 ]]*8</f>
        <v>0</v>
      </c>
      <c r="W45" s="10"/>
      <c r="X45" s="8"/>
      <c r="Y45" s="10"/>
      <c r="Z45" s="10">
        <f>IF((V45-W45)&lt;0,0,(V45-W45))</f>
        <v>0</v>
      </c>
      <c r="AA45" s="10">
        <f>IF((W45-V45)&lt;0,0,(W45-V45))</f>
        <v>0</v>
      </c>
    </row>
    <row r="46" spans="1:27" ht="19.5">
      <c r="A46" s="8">
        <v>10</v>
      </c>
      <c r="B46" s="9" t="s">
        <v>80</v>
      </c>
      <c r="C46" s="8"/>
      <c r="D46" s="10">
        <f>Table14[[#This Row],[Enrolment S.Y. 2025-2026 ]]*8</f>
        <v>0</v>
      </c>
      <c r="E46" s="10"/>
      <c r="F46" s="8"/>
      <c r="G46" s="10"/>
      <c r="H46" s="10">
        <f t="shared" si="16"/>
        <v>0</v>
      </c>
      <c r="I46" s="10">
        <f t="shared" si="17"/>
        <v>0</v>
      </c>
      <c r="J46" s="10">
        <f>Table14[[#This Row],[Enrolment S.Y. 2025-2026 ]]*8</f>
        <v>0</v>
      </c>
      <c r="K46" s="10"/>
      <c r="L46" s="8"/>
      <c r="M46" s="10"/>
      <c r="N46" s="10">
        <f t="shared" si="22"/>
        <v>0</v>
      </c>
      <c r="O46" s="10">
        <f t="shared" si="23"/>
        <v>0</v>
      </c>
      <c r="P46" s="10">
        <f>Table14[[#This Row],[Enrolment S.Y. 2025-2026 ]]*8</f>
        <v>0</v>
      </c>
      <c r="Q46" s="10"/>
      <c r="R46" s="8"/>
      <c r="S46" s="10"/>
      <c r="T46" s="10">
        <f t="shared" si="10"/>
        <v>0</v>
      </c>
      <c r="U46" s="10">
        <f t="shared" si="11"/>
        <v>0</v>
      </c>
      <c r="V46" s="10">
        <f>Table14[[#This Row],[Enrolment S.Y. 2025-2026 ]]*8</f>
        <v>0</v>
      </c>
      <c r="W46" s="10"/>
      <c r="X46" s="8"/>
      <c r="Y46" s="10"/>
      <c r="Z46" s="10">
        <f t="shared" si="12"/>
        <v>0</v>
      </c>
      <c r="AA46" s="10">
        <f t="shared" si="13"/>
        <v>0</v>
      </c>
    </row>
    <row r="47" spans="1:27" ht="19.5">
      <c r="A47" s="8">
        <v>10</v>
      </c>
      <c r="B47" s="9" t="s">
        <v>15</v>
      </c>
      <c r="C47" s="8"/>
      <c r="D47" s="10">
        <f>Table14[[#This Row],[Enrolment S.Y. 2025-2026 ]]*8</f>
        <v>0</v>
      </c>
      <c r="E47" s="10"/>
      <c r="F47" s="8"/>
      <c r="G47" s="10"/>
      <c r="H47" s="10">
        <f t="shared" si="16"/>
        <v>0</v>
      </c>
      <c r="I47" s="10">
        <f t="shared" si="17"/>
        <v>0</v>
      </c>
      <c r="J47" s="10">
        <f>Table14[[#This Row],[Enrolment S.Y. 2025-2026 ]]*8</f>
        <v>0</v>
      </c>
      <c r="K47" s="10"/>
      <c r="L47" s="8"/>
      <c r="M47" s="10"/>
      <c r="N47" s="10">
        <f t="shared" si="22"/>
        <v>0</v>
      </c>
      <c r="O47" s="10">
        <f t="shared" si="23"/>
        <v>0</v>
      </c>
      <c r="P47" s="10">
        <f>Table14[[#This Row],[Enrolment S.Y. 2025-2026 ]]*8</f>
        <v>0</v>
      </c>
      <c r="Q47" s="10"/>
      <c r="R47" s="8"/>
      <c r="S47" s="10"/>
      <c r="T47" s="10">
        <f t="shared" si="10"/>
        <v>0</v>
      </c>
      <c r="U47" s="10">
        <f t="shared" si="11"/>
        <v>0</v>
      </c>
      <c r="V47" s="10">
        <f>Table14[[#This Row],[Enrolment S.Y. 2025-2026 ]]*8</f>
        <v>0</v>
      </c>
      <c r="W47" s="10"/>
      <c r="X47" s="8"/>
      <c r="Y47" s="10"/>
      <c r="Z47" s="10">
        <f t="shared" si="12"/>
        <v>0</v>
      </c>
      <c r="AA47" s="10">
        <f t="shared" si="13"/>
        <v>0</v>
      </c>
    </row>
    <row r="48" spans="1:27" ht="19.5">
      <c r="A48" s="31">
        <v>10</v>
      </c>
      <c r="B48" s="9" t="s">
        <v>81</v>
      </c>
      <c r="C48" s="8"/>
      <c r="D48" s="10">
        <f>Table14[[#This Row],[Enrolment S.Y. 2025-2026 ]]*8</f>
        <v>0</v>
      </c>
      <c r="E48" s="10"/>
      <c r="F48" s="8"/>
      <c r="G48" s="10"/>
      <c r="H48" s="10">
        <f>IF((D48-E48)&lt;0,0,(D48-E48))</f>
        <v>0</v>
      </c>
      <c r="I48" s="10">
        <f>IF((E48-D48)&lt;0,0,(E48-D48))</f>
        <v>0</v>
      </c>
      <c r="J48" s="10">
        <f>Table14[[#This Row],[Enrolment S.Y. 2025-2026 ]]*8</f>
        <v>0</v>
      </c>
      <c r="K48" s="10"/>
      <c r="L48" s="8"/>
      <c r="M48" s="10"/>
      <c r="N48" s="10">
        <f t="shared" si="22"/>
        <v>0</v>
      </c>
      <c r="O48" s="10">
        <f t="shared" si="23"/>
        <v>0</v>
      </c>
      <c r="P48" s="10">
        <f>Table14[[#This Row],[Enrolment S.Y. 2025-2026 ]]*8</f>
        <v>0</v>
      </c>
      <c r="Q48" s="10"/>
      <c r="R48" s="8"/>
      <c r="S48" s="10"/>
      <c r="T48" s="10">
        <f>IF((P48-Q48)&lt;0,0,(P48-Q48))</f>
        <v>0</v>
      </c>
      <c r="U48" s="10">
        <f>IF((Q48-P48)&lt;0,0,(Q48-P48))</f>
        <v>0</v>
      </c>
      <c r="V48" s="10">
        <f>Table14[[#This Row],[Enrolment S.Y. 2025-2026 ]]*8</f>
        <v>0</v>
      </c>
      <c r="W48" s="10"/>
      <c r="X48" s="8"/>
      <c r="Y48" s="10"/>
      <c r="Z48" s="10">
        <f>IF((V48-W48)&lt;0,0,(V48-W48))</f>
        <v>0</v>
      </c>
      <c r="AA48" s="10">
        <f>IF((W48-V48)&lt;0,0,(W48-V48))</f>
        <v>0</v>
      </c>
    </row>
    <row r="49" spans="1:27" ht="19.5">
      <c r="A49" s="8">
        <v>10</v>
      </c>
      <c r="B49" s="9" t="s">
        <v>82</v>
      </c>
      <c r="C49" s="8"/>
      <c r="D49" s="10">
        <f>Table14[[#This Row],[Enrolment S.Y. 2025-2026 ]]*8</f>
        <v>0</v>
      </c>
      <c r="E49" s="10"/>
      <c r="F49" s="8"/>
      <c r="G49" s="10"/>
      <c r="H49" s="10">
        <f t="shared" si="16"/>
        <v>0</v>
      </c>
      <c r="I49" s="10">
        <f t="shared" si="17"/>
        <v>0</v>
      </c>
      <c r="J49" s="10">
        <f>Table14[[#This Row],[Enrolment S.Y. 2025-2026 ]]*8</f>
        <v>0</v>
      </c>
      <c r="K49" s="10"/>
      <c r="L49" s="8"/>
      <c r="M49" s="10"/>
      <c r="N49" s="10">
        <f t="shared" si="22"/>
        <v>0</v>
      </c>
      <c r="O49" s="10">
        <f t="shared" si="23"/>
        <v>0</v>
      </c>
      <c r="P49" s="10">
        <f>Table14[[#This Row],[Enrolment S.Y. 2025-2026 ]]*8</f>
        <v>0</v>
      </c>
      <c r="Q49" s="10"/>
      <c r="R49" s="8"/>
      <c r="S49" s="10"/>
      <c r="T49" s="10">
        <f t="shared" si="10"/>
        <v>0</v>
      </c>
      <c r="U49" s="10">
        <f t="shared" si="11"/>
        <v>0</v>
      </c>
      <c r="V49" s="10">
        <f>Table14[[#This Row],[Enrolment S.Y. 2025-2026 ]]*8</f>
        <v>0</v>
      </c>
      <c r="W49" s="10"/>
      <c r="X49" s="8"/>
      <c r="Y49" s="10"/>
      <c r="Z49" s="10">
        <f t="shared" si="12"/>
        <v>0</v>
      </c>
      <c r="AA49" s="10">
        <f t="shared" si="13"/>
        <v>0</v>
      </c>
    </row>
    <row r="50" spans="1:27" ht="15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</row>
    <row r="51" spans="1:27" ht="38.25">
      <c r="A51" s="1" t="s">
        <v>18</v>
      </c>
      <c r="B51" s="7" t="s">
        <v>19</v>
      </c>
      <c r="C51" s="1"/>
      <c r="D51" s="4">
        <f>Table14[[#This Row],[Enrolment S.Y. 2025-2026 ]]*8</f>
        <v>0</v>
      </c>
      <c r="E51" s="4"/>
      <c r="F51" s="1"/>
      <c r="G51" s="4"/>
      <c r="H51" s="4">
        <f t="shared" si="16"/>
        <v>0</v>
      </c>
      <c r="I51" s="4">
        <f t="shared" si="17"/>
        <v>0</v>
      </c>
      <c r="J51" s="4">
        <f>Table14[[#This Row],[Enrolment S.Y. 2025-2026 ]]*8</f>
        <v>0</v>
      </c>
      <c r="K51" s="4"/>
      <c r="L51" s="1"/>
      <c r="M51" s="4"/>
      <c r="N51" s="4">
        <f t="shared" si="14"/>
        <v>0</v>
      </c>
      <c r="O51" s="4">
        <f t="shared" si="15"/>
        <v>0</v>
      </c>
      <c r="P51" s="4">
        <f>Table14[[#This Row],[Enrolment S.Y. 2025-2026 ]]*8</f>
        <v>0</v>
      </c>
      <c r="Q51" s="4"/>
      <c r="R51" s="1"/>
      <c r="S51" s="4"/>
      <c r="T51" s="4">
        <f t="shared" si="10"/>
        <v>0</v>
      </c>
      <c r="U51" s="4">
        <f t="shared" si="11"/>
        <v>0</v>
      </c>
      <c r="V51" s="4">
        <f>Table14[[#This Row],[Enrolment S.Y. 2025-2026 ]]*8</f>
        <v>0</v>
      </c>
      <c r="W51" s="4"/>
      <c r="X51" s="1"/>
      <c r="Y51" s="4"/>
      <c r="Z51" s="4">
        <f t="shared" si="12"/>
        <v>0</v>
      </c>
      <c r="AA51" s="4">
        <f t="shared" si="13"/>
        <v>0</v>
      </c>
    </row>
    <row r="52" spans="1:27" ht="19.5">
      <c r="A52" s="1" t="s">
        <v>18</v>
      </c>
      <c r="B52" s="7" t="s">
        <v>20</v>
      </c>
      <c r="C52" s="1"/>
      <c r="D52" s="4">
        <f>Table14[[#This Row],[Enrolment S.Y. 2025-2026 ]]*8</f>
        <v>0</v>
      </c>
      <c r="E52" s="4"/>
      <c r="F52" s="1"/>
      <c r="G52" s="4"/>
      <c r="H52" s="4">
        <f t="shared" si="16"/>
        <v>0</v>
      </c>
      <c r="I52" s="4">
        <f t="shared" si="17"/>
        <v>0</v>
      </c>
      <c r="J52" s="4">
        <f>Table14[[#This Row],[Enrolment S.Y. 2025-2026 ]]*8</f>
        <v>0</v>
      </c>
      <c r="K52" s="4"/>
      <c r="L52" s="1"/>
      <c r="M52" s="4"/>
      <c r="N52" s="4">
        <f t="shared" si="14"/>
        <v>0</v>
      </c>
      <c r="O52" s="4">
        <f t="shared" si="15"/>
        <v>0</v>
      </c>
      <c r="P52" s="4">
        <f>Table14[[#This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Table14[[#This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 t="s">
        <v>18</v>
      </c>
      <c r="B53" s="7" t="s">
        <v>21</v>
      </c>
      <c r="C53" s="1"/>
      <c r="D53" s="4">
        <f>Table14[[#This Row],[Enrolment S.Y. 2025-2026 ]]*8</f>
        <v>0</v>
      </c>
      <c r="E53" s="4"/>
      <c r="F53" s="1"/>
      <c r="G53" s="4"/>
      <c r="H53" s="4">
        <f t="shared" si="16"/>
        <v>0</v>
      </c>
      <c r="I53" s="4">
        <f t="shared" si="17"/>
        <v>0</v>
      </c>
      <c r="J53" s="4">
        <f>Table14[[#This Row],[Enrolment S.Y. 2025-2026 ]]*8</f>
        <v>0</v>
      </c>
      <c r="K53" s="4"/>
      <c r="L53" s="1"/>
      <c r="M53" s="4"/>
      <c r="N53" s="4">
        <f t="shared" si="14"/>
        <v>0</v>
      </c>
      <c r="O53" s="4">
        <f t="shared" si="15"/>
        <v>0</v>
      </c>
      <c r="P53" s="4">
        <f>Table14[[#This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Table14[[#This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s="6" customFormat="1" ht="19.5">
      <c r="A54" s="1" t="s">
        <v>18</v>
      </c>
      <c r="B54" s="7" t="s">
        <v>22</v>
      </c>
      <c r="C54" s="1"/>
      <c r="D54" s="4">
        <f>Table14[[#This Row],[Enrolment S.Y. 2025-2026 ]]*8</f>
        <v>0</v>
      </c>
      <c r="E54" s="4"/>
      <c r="F54" s="1"/>
      <c r="G54" s="4"/>
      <c r="H54" s="4">
        <f t="shared" si="16"/>
        <v>0</v>
      </c>
      <c r="I54" s="4">
        <f t="shared" si="17"/>
        <v>0</v>
      </c>
      <c r="J54" s="4">
        <f>Table14[[#This Row],[Enrolment S.Y. 2025-2026 ]]*8</f>
        <v>0</v>
      </c>
      <c r="K54" s="4"/>
      <c r="L54" s="1"/>
      <c r="M54" s="4"/>
      <c r="N54" s="4">
        <f t="shared" si="14"/>
        <v>0</v>
      </c>
      <c r="O54" s="4">
        <f t="shared" si="15"/>
        <v>0</v>
      </c>
      <c r="P54" s="4">
        <f>Table14[[#This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Table14[[#This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38.25">
      <c r="A55" s="1" t="s">
        <v>18</v>
      </c>
      <c r="B55" s="7" t="s">
        <v>23</v>
      </c>
      <c r="C55" s="1"/>
      <c r="D55" s="4">
        <f>Table14[[#This Row],[Enrolment S.Y. 2025-2026 ]]*8</f>
        <v>0</v>
      </c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Table14[[#This Row],[Enrolment S.Y. 2025-2026 ]]*8</f>
        <v>0</v>
      </c>
      <c r="K55" s="4"/>
      <c r="L55" s="1"/>
      <c r="M55" s="4"/>
      <c r="N55" s="4">
        <f t="shared" si="14"/>
        <v>0</v>
      </c>
      <c r="O55" s="4">
        <f t="shared" si="15"/>
        <v>0</v>
      </c>
      <c r="P55" s="4">
        <f>Table14[[#This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Table14[[#This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38.25">
      <c r="A56" s="1" t="s">
        <v>18</v>
      </c>
      <c r="B56" s="7" t="s">
        <v>24</v>
      </c>
      <c r="C56" s="1"/>
      <c r="D56" s="4">
        <f>Table14[[#This Row],[Enrolment S.Y. 2025-2026 ]]*8</f>
        <v>0</v>
      </c>
      <c r="E56" s="4"/>
      <c r="F56" s="1"/>
      <c r="G56" s="4"/>
      <c r="H56" s="4">
        <f t="shared" si="16"/>
        <v>0</v>
      </c>
      <c r="I56" s="4">
        <f t="shared" si="17"/>
        <v>0</v>
      </c>
      <c r="J56" s="4">
        <f>Table14[[#This Row],[Enrolment S.Y. 2025-2026 ]]*8</f>
        <v>0</v>
      </c>
      <c r="K56" s="4"/>
      <c r="L56" s="1"/>
      <c r="M56" s="4"/>
      <c r="N56" s="4">
        <f t="shared" si="14"/>
        <v>0</v>
      </c>
      <c r="O56" s="4">
        <f t="shared" si="15"/>
        <v>0</v>
      </c>
      <c r="P56" s="4">
        <f>Table14[[#This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Table14[[#This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57.75">
      <c r="A57" s="1" t="s">
        <v>18</v>
      </c>
      <c r="B57" s="7" t="s">
        <v>25</v>
      </c>
      <c r="C57" s="1"/>
      <c r="D57" s="4">
        <f>Table14[[#This Row],[Enrolment S.Y. 2025-2026 ]]*8</f>
        <v>0</v>
      </c>
      <c r="E57" s="4"/>
      <c r="F57" s="1"/>
      <c r="G57" s="4"/>
      <c r="H57" s="4">
        <f t="shared" si="16"/>
        <v>0</v>
      </c>
      <c r="I57" s="4">
        <f t="shared" si="17"/>
        <v>0</v>
      </c>
      <c r="J57" s="4">
        <f>Table14[[#This Row],[Enrolment S.Y. 2025-2026 ]]*8</f>
        <v>0</v>
      </c>
      <c r="K57" s="4"/>
      <c r="L57" s="1"/>
      <c r="M57" s="4"/>
      <c r="N57" s="4">
        <f t="shared" si="14"/>
        <v>0</v>
      </c>
      <c r="O57" s="4">
        <f t="shared" si="15"/>
        <v>0</v>
      </c>
      <c r="P57" s="4">
        <f>Table14[[#This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Table14[[#This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38.25">
      <c r="A58" s="1" t="s">
        <v>18</v>
      </c>
      <c r="B58" s="7" t="s">
        <v>26</v>
      </c>
      <c r="C58" s="1"/>
      <c r="D58" s="4">
        <f>Table14[[#This Row],[Enrolment S.Y. 2025-2026 ]]*8</f>
        <v>0</v>
      </c>
      <c r="E58" s="4"/>
      <c r="F58" s="1"/>
      <c r="G58" s="4"/>
      <c r="H58" s="4">
        <f t="shared" si="16"/>
        <v>0</v>
      </c>
      <c r="I58" s="4">
        <f t="shared" si="17"/>
        <v>0</v>
      </c>
      <c r="J58" s="4">
        <f>Table14[[#This Row],[Enrolment S.Y. 2025-2026 ]]*8</f>
        <v>0</v>
      </c>
      <c r="K58" s="4"/>
      <c r="L58" s="1"/>
      <c r="M58" s="4"/>
      <c r="N58" s="4">
        <f t="shared" si="14"/>
        <v>0</v>
      </c>
      <c r="O58" s="4">
        <f t="shared" si="15"/>
        <v>0</v>
      </c>
      <c r="P58" s="4">
        <f>Table14[[#This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Table14[[#This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5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</row>
    <row r="60" spans="1:27" ht="15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</row>
    <row r="61" spans="1:27" ht="15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</row>
    <row r="62" spans="1:27" ht="15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</row>
    <row r="63" spans="1:27" ht="15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</row>
    <row r="64" spans="1:27" ht="15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</row>
    <row r="65" spans="1:27" ht="1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</row>
    <row r="66" spans="1:27" s="6" customFormat="1" ht="15"/>
    <row r="67" spans="1:27" ht="15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</row>
    <row r="68" spans="1:27" ht="15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</row>
    <row r="69" spans="1:27" ht="15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</row>
    <row r="70" spans="1:27" ht="15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</row>
    <row r="71" spans="1:27" ht="15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</row>
    <row r="72" spans="1:27" ht="15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</row>
    <row r="73" spans="1:27" ht="15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</row>
    <row r="74" spans="1:27" ht="15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</row>
    <row r="75" spans="1:27" ht="1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</row>
    <row r="76" spans="1:27" ht="15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</row>
    <row r="77" spans="1:27" ht="15"/>
    <row r="78" spans="1:27" s="6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6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6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6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6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6"/>
    </row>
    <row r="125" spans="1:28">
      <c r="AB125" s="6"/>
    </row>
    <row r="126" spans="1:28">
      <c r="AB126" s="6"/>
    </row>
    <row r="127" spans="1:28">
      <c r="AB127" s="6"/>
    </row>
    <row r="128" spans="1:28">
      <c r="AB128" s="6"/>
    </row>
    <row r="129" spans="28:28">
      <c r="AB129" s="6"/>
    </row>
    <row r="130" spans="28:28">
      <c r="AB130" s="6"/>
    </row>
    <row r="131" spans="28:28">
      <c r="AB131" s="6"/>
    </row>
    <row r="132" spans="28:28">
      <c r="AB132" s="6"/>
    </row>
    <row r="133" spans="28:28">
      <c r="AB133" s="6"/>
    </row>
    <row r="134" spans="28:28">
      <c r="AB134" s="6"/>
    </row>
    <row r="135" spans="28:28">
      <c r="AB135" s="6"/>
    </row>
    <row r="136" spans="28:28">
      <c r="AB136" s="6"/>
    </row>
    <row r="137" spans="28:28">
      <c r="AB137" s="6"/>
    </row>
    <row r="138" spans="28:28">
      <c r="AB138" s="6"/>
    </row>
    <row r="139" spans="28:28">
      <c r="AB139" s="6"/>
    </row>
    <row r="140" spans="28:28">
      <c r="AB140" s="6"/>
    </row>
  </sheetData>
  <protectedRanges>
    <protectedRange sqref="C27:C37 C15:C25 C51:C58 C39:C49 C2:C13" name="Textbooks"/>
    <protectedRange sqref="J2:L2 H51:L58 D39:F49 N15:R25 N27:R37 N39:R49 P2:R2 D15:F25 D27:F37 D51:F58 N3:R13 V2:X2 T3:X13 Z3:AA13 H3:L13 T15:X25 Z15:AA25 H15:L25 T27:X37 Z27:AA37 H27:L37 T39:X49 Z39:AA49 H39:L49 N51:R58 T51:X58 Z51:AA58 D2:F13" name="LAS"/>
    <protectedRange sqref="G2:I2 M2:O2 S2:U2 Y2:AA2 Y51:Y58 G51:G58 M51:M58 S51:S58 Y3:Y13 G3:G13 M3:M13 S3:S13 Y15:Y25 G15:G25 M15:M25 S15:S25 Y27:Y37 G27:G37 M27:M37 S27:S37 Y39:Y49 G39:G49 M39:M49 S39:S49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51:S58 Y51:Y58 G51:G58 M3:M13 G3:G13 Y3:Y13 S3:S13 S15:S25 M15:M25 G15:G25 Y15:Y25 Y27:Y37 S27:S37 M27:M37 G27:G37 G39:G49 Y39:Y49 S39:S49 M39:M49 M51:M58" xr:uid="{CBD486C7-A5DB-48F1-B496-5027CC51E830}">
      <formula1>"CO,RO,SDO,LGU,SCHOOL"</formula1>
    </dataValidation>
    <dataValidation type="list" allowBlank="1" showInputMessage="1" showErrorMessage="1" sqref="F51:F58 F39:F49 F27:F37 F15:F25 F3:F13 L51:L58 L39:L49 L27:L37 L15:L25 L3:L13" xr:uid="{CA393692-6A9E-4CDA-91B8-F229FFAFDF0E}">
      <formula1>"2024,2025,2026"</formula1>
    </dataValidation>
    <dataValidation type="list" allowBlank="1" showInputMessage="1" showErrorMessage="1" sqref="X51:X58 R39:R49 R51:R58 X27:X37 X39:X49 R15:R25 R27:R37 X3:X13 X15:X25 R3:R13" xr:uid="{EA94682A-3C5F-43A6-A215-9A3D61815289}">
      <formula1>"2024,2025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2026-04-15T01:24:09Z</dcterms:modified>
  <cp:category/>
  <cp:contentStatus/>
</cp:coreProperties>
</file>