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1" documentId="13_ncr:1_{BFB59F67-F0DC-4675-A682-EB0734A8026A}" xr6:coauthVersionLast="47" xr6:coauthVersionMax="47" xr10:uidLastSave="{3537AB9B-5636-4E55-8B41-5A92ADA8CA9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O43" i="4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4" i="1"/>
  <c r="G24" i="1"/>
  <c r="H23" i="1"/>
  <c r="G23" i="1"/>
  <c r="H22" i="1"/>
  <c r="G22" i="1"/>
  <c r="H21" i="1"/>
  <c r="G21" i="1"/>
  <c r="H20" i="1"/>
  <c r="G20" i="1"/>
  <c r="H19" i="1"/>
  <c r="G19" i="1"/>
  <c r="H17" i="1"/>
  <c r="H16" i="1"/>
  <c r="G16" i="1"/>
  <c r="H15" i="1"/>
  <c r="G15" i="1"/>
  <c r="H14" i="1"/>
  <c r="G14" i="1"/>
  <c r="H13" i="1"/>
  <c r="G13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<sst xmlns="http://schemas.openxmlformats.org/spreadsheetml/2006/main" count="424" uniqueCount="91">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</sst>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3"/>
      <color theme="1"/>
      <name val="Bookman Old Style"/>
      <family val="1"/>
    </font>
    <font>
      <sz val="13"/>
      <color rgb="FF000000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left" vertical="center" wrapText="1"/>
    </xf>
    <xf numFmtId="0" fontId="2" fillId="7" borderId="7" xfId="0" applyFont="1" applyFill="1" applyBorder="1" applyAlignment="1">
      <alignment horizontal="left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2" fillId="7" borderId="11" xfId="0" applyFont="1" applyFill="1" applyBorder="1" applyAlignment="1">
      <alignment horizontal="left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left" vertical="center" wrapText="1"/>
    </xf>
    <xf numFmtId="0" fontId="1" fillId="8" borderId="9" xfId="0" applyFont="1" applyFill="1" applyBorder="1" applyAlignment="1">
      <alignment horizontal="center" vertical="center" wrapText="1"/>
    </xf>
    <xf numFmtId="0" fontId="1" fillId="8" borderId="14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16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50" totalsRowShown="0" headerRowDxfId="62" headerRowBorderDxfId="60" tableBorderDxfId="61">
  <autoFilter ref="A1:H150" xr:uid="{DC451CB5-2E69-4EAA-94B0-458F89F93F29}">
    <filterColumn colId="0">
      <filters blank="1">
        <filter val="10"/>
        <filter val="2"/>
        <filter val="3"/>
        <filter val="4"/>
        <filter val="5"/>
        <filter val="6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"/>
  <sheetViews>
    <sheetView zoomScale="85" zoomScaleNormal="85" workbookViewId="0">
      <pane xSplit="2" topLeftCell="C1" activePane="topRight" state="frozen"/>
      <selection pane="topRight" activeCell="R29" sqref="R2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</row>
    <row r="2" spans="1:9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9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9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9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9" ht="19.149999999999999" hidden="1">
      <c r="A6" s="1">
        <v>1</v>
      </c>
      <c r="B6" s="45" t="s">
        <v>12</v>
      </c>
      <c r="C6" s="29"/>
      <c r="D6" s="29"/>
      <c r="E6" s="1"/>
      <c r="F6" s="31"/>
      <c r="G6" s="51">
        <f t="shared" si="0"/>
        <v>0</v>
      </c>
      <c r="H6" s="55">
        <f t="shared" si="1"/>
        <v>0</v>
      </c>
    </row>
    <row r="7" spans="1:9" ht="38.25">
      <c r="A7" s="43">
        <v>1</v>
      </c>
      <c r="B7" s="53" t="s">
        <v>8</v>
      </c>
      <c r="C7" s="37">
        <v>377</v>
      </c>
      <c r="D7" s="1">
        <v>448</v>
      </c>
      <c r="E7" s="43">
        <v>2024</v>
      </c>
      <c r="F7" s="37" t="s">
        <v>13</v>
      </c>
      <c r="G7" s="54">
        <v>0</v>
      </c>
      <c r="H7" s="54">
        <v>71</v>
      </c>
      <c r="I7" s="60"/>
    </row>
    <row r="8" spans="1:9" ht="19.5">
      <c r="A8" s="29">
        <v>1</v>
      </c>
      <c r="B8" s="44" t="s">
        <v>9</v>
      </c>
      <c r="C8" s="50">
        <v>377</v>
      </c>
      <c r="D8" s="50">
        <v>448</v>
      </c>
      <c r="E8" s="49">
        <v>2024</v>
      </c>
      <c r="F8" s="50" t="s">
        <v>13</v>
      </c>
      <c r="G8" s="52">
        <v>0</v>
      </c>
      <c r="H8" s="52">
        <v>71</v>
      </c>
      <c r="I8" s="60"/>
    </row>
    <row r="9" spans="1:9" ht="19.5">
      <c r="A9" s="46">
        <v>1</v>
      </c>
      <c r="B9" s="44" t="s">
        <v>10</v>
      </c>
      <c r="C9" s="50">
        <v>377</v>
      </c>
      <c r="D9" s="50">
        <v>448</v>
      </c>
      <c r="E9" s="50">
        <v>2024</v>
      </c>
      <c r="F9" s="50" t="s">
        <v>13</v>
      </c>
      <c r="G9" s="52">
        <v>0</v>
      </c>
      <c r="H9" s="52">
        <v>71</v>
      </c>
      <c r="I9" s="60"/>
    </row>
    <row r="10" spans="1:9" ht="19.5">
      <c r="A10" s="46">
        <v>1</v>
      </c>
      <c r="B10" s="44" t="s">
        <v>11</v>
      </c>
      <c r="C10" s="50">
        <v>377</v>
      </c>
      <c r="D10" s="50">
        <v>448</v>
      </c>
      <c r="E10" s="50">
        <v>2024</v>
      </c>
      <c r="F10" s="50" t="s">
        <v>13</v>
      </c>
      <c r="G10" s="52">
        <v>0</v>
      </c>
      <c r="H10" s="52">
        <v>71</v>
      </c>
      <c r="I10" s="60"/>
    </row>
    <row r="11" spans="1:9" ht="19.5">
      <c r="A11" s="47">
        <v>1</v>
      </c>
      <c r="B11" s="48" t="s">
        <v>12</v>
      </c>
      <c r="C11" s="50">
        <v>377</v>
      </c>
      <c r="D11" s="50"/>
      <c r="E11" s="50"/>
      <c r="F11" s="50"/>
      <c r="G11" s="52">
        <v>377</v>
      </c>
      <c r="H11" s="52">
        <v>0</v>
      </c>
      <c r="I11" s="60"/>
    </row>
    <row r="12" spans="1:9" ht="27" customHeight="1">
      <c r="A12" s="7"/>
      <c r="B12" s="8"/>
      <c r="C12" s="8"/>
      <c r="D12" s="8"/>
      <c r="E12" s="8"/>
      <c r="F12" s="7"/>
      <c r="G12" s="7"/>
      <c r="H12" s="7"/>
    </row>
    <row r="13" spans="1:9" ht="39.75" customHeight="1">
      <c r="A13" s="1">
        <v>2</v>
      </c>
      <c r="B13" s="2" t="s">
        <v>8</v>
      </c>
      <c r="C13" s="1">
        <v>417</v>
      </c>
      <c r="D13" s="1"/>
      <c r="E13" s="1"/>
      <c r="F13" s="5"/>
      <c r="G13" s="3">
        <f>IF((C13-D13)&lt;0,0,C13-D13)</f>
        <v>417</v>
      </c>
      <c r="H13" s="4">
        <f>IF((D13-C13)&lt;0,0,D13-C13)</f>
        <v>0</v>
      </c>
    </row>
    <row r="14" spans="1:9" ht="29.25" customHeight="1">
      <c r="A14" s="1">
        <v>2</v>
      </c>
      <c r="B14" s="2" t="s">
        <v>9</v>
      </c>
      <c r="C14" s="1">
        <v>417</v>
      </c>
      <c r="D14" s="1"/>
      <c r="E14" s="1"/>
      <c r="F14" s="5"/>
      <c r="G14" s="3">
        <f>IF((C14-D14)&lt;0,0,C14-D14)</f>
        <v>417</v>
      </c>
      <c r="H14" s="4">
        <f>IF((D14-C14)&lt;0,0,D14-C14)</f>
        <v>0</v>
      </c>
    </row>
    <row r="15" spans="1:9" ht="28.5" customHeight="1">
      <c r="A15" s="1">
        <v>2</v>
      </c>
      <c r="B15" s="2" t="s">
        <v>10</v>
      </c>
      <c r="C15" s="1">
        <v>417</v>
      </c>
      <c r="D15" s="1"/>
      <c r="E15" s="1"/>
      <c r="F15" s="5"/>
      <c r="G15" s="3">
        <f>IF((C15-D15)&lt;0,0,C15-D15)</f>
        <v>417</v>
      </c>
      <c r="H15" s="4">
        <f>IF((D15-C15)&lt;0,0,D15-C15)</f>
        <v>0</v>
      </c>
    </row>
    <row r="16" spans="1:9" ht="24" customHeight="1">
      <c r="A16" s="1">
        <v>2</v>
      </c>
      <c r="B16" s="2" t="s">
        <v>11</v>
      </c>
      <c r="C16" s="1">
        <v>417</v>
      </c>
      <c r="D16" s="1"/>
      <c r="E16" s="1"/>
      <c r="F16" s="5"/>
      <c r="G16" s="3">
        <f>IF((C16-D16)&lt;0,0,C16-D16)</f>
        <v>417</v>
      </c>
      <c r="H16" s="4">
        <f>IF((D16-C16)&lt;0,0,D16-C16)</f>
        <v>0</v>
      </c>
    </row>
    <row r="17" spans="1:8" ht="19.5">
      <c r="A17" s="1">
        <v>2</v>
      </c>
      <c r="B17" s="2" t="s">
        <v>12</v>
      </c>
      <c r="C17" s="1">
        <v>417</v>
      </c>
      <c r="D17" s="1"/>
      <c r="E17" s="1"/>
      <c r="F17" s="5"/>
      <c r="G17" s="3">
        <f>IF((C17-D17)&lt;0,0,C17-D17)</f>
        <v>417</v>
      </c>
      <c r="H17" s="4">
        <f>IF((D17-C17)&lt;0,0,D17-C17)</f>
        <v>0</v>
      </c>
    </row>
    <row r="18" spans="1:8">
      <c r="C18" s="6"/>
      <c r="D18" s="6"/>
      <c r="E18" s="6"/>
    </row>
    <row r="19" spans="1:8" ht="49.5" customHeight="1">
      <c r="A19" s="1">
        <v>3</v>
      </c>
      <c r="B19" s="2" t="s">
        <v>8</v>
      </c>
      <c r="C19" s="1">
        <v>370</v>
      </c>
      <c r="D19" s="1"/>
      <c r="E19" s="1"/>
      <c r="F19" s="5"/>
      <c r="G19" s="3">
        <f t="shared" ref="G19:G24" si="2">IF((C19-D19)&lt;0,0,C19-D19)</f>
        <v>370</v>
      </c>
      <c r="H19" s="4">
        <f t="shared" ref="H19:H24" si="3">IF((D19-C19)&lt;0,0,D19-C19)</f>
        <v>0</v>
      </c>
    </row>
    <row r="20" spans="1:8" ht="29.25" customHeight="1">
      <c r="A20" s="1">
        <v>3</v>
      </c>
      <c r="B20" s="2" t="s">
        <v>9</v>
      </c>
      <c r="C20" s="1">
        <v>370</v>
      </c>
      <c r="D20" s="1"/>
      <c r="E20" s="1"/>
      <c r="F20" s="5"/>
      <c r="G20" s="3">
        <f t="shared" si="2"/>
        <v>370</v>
      </c>
      <c r="H20" s="4">
        <f t="shared" si="3"/>
        <v>0</v>
      </c>
    </row>
    <row r="21" spans="1:8" ht="27" customHeight="1">
      <c r="A21" s="1">
        <v>3</v>
      </c>
      <c r="B21" s="2" t="s">
        <v>10</v>
      </c>
      <c r="C21" s="1">
        <v>370</v>
      </c>
      <c r="D21" s="1"/>
      <c r="E21" s="1"/>
      <c r="F21" s="5"/>
      <c r="G21" s="3">
        <f t="shared" si="2"/>
        <v>370</v>
      </c>
      <c r="H21" s="4">
        <f t="shared" si="3"/>
        <v>0</v>
      </c>
    </row>
    <row r="22" spans="1:8" ht="23.25" customHeight="1">
      <c r="A22" s="1">
        <v>3</v>
      </c>
      <c r="B22" s="2" t="s">
        <v>14</v>
      </c>
      <c r="C22" s="1">
        <v>370</v>
      </c>
      <c r="D22" s="1"/>
      <c r="E22" s="1"/>
      <c r="F22" s="5"/>
      <c r="G22" s="3">
        <f t="shared" si="2"/>
        <v>370</v>
      </c>
      <c r="H22" s="4">
        <f t="shared" si="3"/>
        <v>0</v>
      </c>
    </row>
    <row r="23" spans="1:8" ht="21" customHeight="1">
      <c r="A23" s="1">
        <v>3</v>
      </c>
      <c r="B23" s="2" t="s">
        <v>11</v>
      </c>
      <c r="C23" s="1">
        <v>370</v>
      </c>
      <c r="D23" s="1"/>
      <c r="E23" s="1"/>
      <c r="F23" s="5"/>
      <c r="G23" s="3">
        <f t="shared" si="2"/>
        <v>370</v>
      </c>
      <c r="H23" s="4">
        <f t="shared" si="3"/>
        <v>0</v>
      </c>
    </row>
    <row r="24" spans="1:8" ht="19.5">
      <c r="A24" s="1">
        <v>3</v>
      </c>
      <c r="B24" s="2" t="s">
        <v>12</v>
      </c>
      <c r="C24" s="1">
        <v>370</v>
      </c>
      <c r="D24" s="1"/>
      <c r="E24" s="1"/>
      <c r="F24" s="5"/>
      <c r="G24" s="3">
        <f t="shared" si="2"/>
        <v>370</v>
      </c>
      <c r="H24" s="4">
        <f t="shared" si="3"/>
        <v>0</v>
      </c>
    </row>
    <row r="25" spans="1:8" ht="26.25" customHeight="1">
      <c r="A25" s="7"/>
      <c r="B25" s="7"/>
      <c r="C25" s="8"/>
      <c r="D25" s="8"/>
      <c r="E25" s="8"/>
      <c r="F25" s="7"/>
      <c r="G25" s="7"/>
      <c r="H25" s="7"/>
    </row>
    <row r="26" spans="1:8" ht="28.5" customHeight="1">
      <c r="A26" s="1">
        <v>4</v>
      </c>
      <c r="B26" s="9" t="s">
        <v>15</v>
      </c>
      <c r="C26" s="1">
        <v>466</v>
      </c>
      <c r="D26" s="1">
        <v>520</v>
      </c>
      <c r="E26" s="1">
        <v>2024</v>
      </c>
      <c r="F26" s="5"/>
      <c r="G26" s="3">
        <f t="shared" ref="G26:G34" si="4">IF((C26-D26)&lt;0,0,C26-D26)</f>
        <v>0</v>
      </c>
      <c r="H26" s="4">
        <f t="shared" ref="H26:H34" si="5">IF((D26-C26)&lt;0,0,D26-C26)</f>
        <v>54</v>
      </c>
    </row>
    <row r="27" spans="1:8" ht="24" customHeight="1">
      <c r="A27" s="1">
        <v>4</v>
      </c>
      <c r="B27" s="9" t="s">
        <v>16</v>
      </c>
      <c r="C27" s="1">
        <v>466</v>
      </c>
      <c r="D27" s="1">
        <v>520</v>
      </c>
      <c r="E27" s="1">
        <v>2024</v>
      </c>
      <c r="F27" s="5"/>
      <c r="G27" s="3">
        <f t="shared" si="4"/>
        <v>0</v>
      </c>
      <c r="H27" s="4">
        <f t="shared" si="5"/>
        <v>54</v>
      </c>
    </row>
    <row r="28" spans="1:8" ht="19.5">
      <c r="A28" s="1">
        <v>4</v>
      </c>
      <c r="B28" s="9" t="s">
        <v>12</v>
      </c>
      <c r="C28" s="1">
        <v>466</v>
      </c>
      <c r="D28" s="1">
        <v>520</v>
      </c>
      <c r="E28" s="1">
        <v>2024</v>
      </c>
      <c r="F28" s="5"/>
      <c r="G28" s="3">
        <f t="shared" si="4"/>
        <v>0</v>
      </c>
      <c r="H28" s="4">
        <f t="shared" si="5"/>
        <v>54</v>
      </c>
    </row>
    <row r="29" spans="1:8" ht="27" customHeight="1">
      <c r="A29" s="1">
        <v>4</v>
      </c>
      <c r="B29" s="9" t="s">
        <v>10</v>
      </c>
      <c r="C29" s="1">
        <v>466</v>
      </c>
      <c r="D29" s="1">
        <v>520</v>
      </c>
      <c r="E29" s="1">
        <v>2024</v>
      </c>
      <c r="F29" s="5"/>
      <c r="G29" s="3">
        <f t="shared" si="4"/>
        <v>0</v>
      </c>
      <c r="H29" s="4">
        <f t="shared" si="5"/>
        <v>54</v>
      </c>
    </row>
    <row r="30" spans="1:8" ht="33.75" customHeight="1">
      <c r="A30" s="1">
        <v>4</v>
      </c>
      <c r="B30" s="9" t="s">
        <v>17</v>
      </c>
      <c r="C30" s="1">
        <v>466</v>
      </c>
      <c r="D30" s="1">
        <v>520</v>
      </c>
      <c r="E30" s="1">
        <v>2024</v>
      </c>
      <c r="F30" s="5"/>
      <c r="G30" s="3">
        <f t="shared" si="4"/>
        <v>0</v>
      </c>
      <c r="H30" s="4">
        <f t="shared" si="5"/>
        <v>54</v>
      </c>
    </row>
    <row r="31" spans="1:8" ht="33.75" customHeight="1">
      <c r="A31" s="1">
        <v>4</v>
      </c>
      <c r="B31" s="9" t="s">
        <v>14</v>
      </c>
      <c r="C31" s="1">
        <v>466</v>
      </c>
      <c r="D31" s="1">
        <v>520</v>
      </c>
      <c r="E31" s="1">
        <v>2024</v>
      </c>
      <c r="F31" s="5"/>
      <c r="G31" s="3">
        <f t="shared" si="4"/>
        <v>0</v>
      </c>
      <c r="H31" s="4">
        <f t="shared" si="5"/>
        <v>54</v>
      </c>
    </row>
    <row r="32" spans="1:8" ht="33.75" customHeight="1">
      <c r="A32" s="29">
        <v>4</v>
      </c>
      <c r="B32" s="30" t="s">
        <v>18</v>
      </c>
      <c r="C32" s="29">
        <v>466</v>
      </c>
      <c r="D32" s="29">
        <v>520</v>
      </c>
      <c r="E32" s="29">
        <v>2024</v>
      </c>
      <c r="F32" s="31"/>
      <c r="G32" s="51">
        <f t="shared" si="4"/>
        <v>0</v>
      </c>
      <c r="H32" s="55">
        <f t="shared" si="5"/>
        <v>54</v>
      </c>
    </row>
    <row r="33" spans="1:9" ht="27.75" customHeight="1">
      <c r="A33" s="1">
        <v>4</v>
      </c>
      <c r="B33" s="9" t="s">
        <v>19</v>
      </c>
      <c r="C33" s="1">
        <v>466</v>
      </c>
      <c r="D33" s="1"/>
      <c r="E33" s="1"/>
      <c r="F33" s="5"/>
      <c r="G33" s="54">
        <f t="shared" si="4"/>
        <v>466</v>
      </c>
      <c r="H33" s="54">
        <f t="shared" si="5"/>
        <v>0</v>
      </c>
      <c r="I33" s="60"/>
    </row>
    <row r="34" spans="1:9" ht="27.75" customHeight="1">
      <c r="A34" s="47">
        <v>4</v>
      </c>
      <c r="B34" s="56" t="s">
        <v>20</v>
      </c>
      <c r="C34" s="47">
        <v>466</v>
      </c>
      <c r="D34" s="47"/>
      <c r="E34" s="47"/>
      <c r="F34" s="57"/>
      <c r="G34" s="58">
        <f t="shared" si="4"/>
        <v>466</v>
      </c>
      <c r="H34" s="59">
        <f t="shared" si="5"/>
        <v>0</v>
      </c>
    </row>
    <row r="35" spans="1:9" ht="27.75" customHeight="1">
      <c r="A35" s="7"/>
      <c r="B35" s="7"/>
      <c r="C35" s="8"/>
      <c r="D35" s="8"/>
      <c r="E35" s="8"/>
      <c r="F35" s="7"/>
      <c r="G35" s="7"/>
      <c r="H35" s="7"/>
    </row>
    <row r="36" spans="1:9" ht="27.75" customHeight="1">
      <c r="A36" s="1">
        <v>5</v>
      </c>
      <c r="B36" s="9" t="s">
        <v>15</v>
      </c>
      <c r="C36" s="1">
        <v>398</v>
      </c>
      <c r="D36" s="1"/>
      <c r="E36" s="1"/>
      <c r="F36" s="5"/>
      <c r="G36" s="3">
        <f t="shared" ref="G36:G44" si="6">IF((C36-D36)&lt;0,0,C36-D36)</f>
        <v>398</v>
      </c>
      <c r="H36" s="4">
        <f t="shared" ref="H36:H44" si="7">IF((D36-C36)&lt;0,0,D36-C36)</f>
        <v>0</v>
      </c>
    </row>
    <row r="37" spans="1:9" ht="27.75" customHeight="1">
      <c r="A37" s="1">
        <v>5</v>
      </c>
      <c r="B37" s="9" t="s">
        <v>16</v>
      </c>
      <c r="C37" s="1">
        <v>398</v>
      </c>
      <c r="D37" s="1"/>
      <c r="E37" s="1"/>
      <c r="F37" s="5"/>
      <c r="G37" s="3">
        <f t="shared" si="6"/>
        <v>398</v>
      </c>
      <c r="H37" s="4">
        <f t="shared" si="7"/>
        <v>0</v>
      </c>
    </row>
    <row r="38" spans="1:9" ht="27.75" customHeight="1">
      <c r="A38" s="1">
        <v>5</v>
      </c>
      <c r="B38" s="9" t="s">
        <v>12</v>
      </c>
      <c r="C38" s="1">
        <v>398</v>
      </c>
      <c r="D38" s="1"/>
      <c r="E38" s="1"/>
      <c r="F38" s="5"/>
      <c r="G38" s="3">
        <f t="shared" si="6"/>
        <v>398</v>
      </c>
      <c r="H38" s="4">
        <f t="shared" si="7"/>
        <v>0</v>
      </c>
    </row>
    <row r="39" spans="1:9" ht="27.75" customHeight="1">
      <c r="A39" s="1">
        <v>5</v>
      </c>
      <c r="B39" s="9" t="s">
        <v>10</v>
      </c>
      <c r="C39" s="1">
        <v>398</v>
      </c>
      <c r="D39" s="1"/>
      <c r="E39" s="1"/>
      <c r="F39" s="5"/>
      <c r="G39" s="3">
        <f t="shared" si="6"/>
        <v>398</v>
      </c>
      <c r="H39" s="4">
        <f t="shared" si="7"/>
        <v>0</v>
      </c>
    </row>
    <row r="40" spans="1:9" ht="39" customHeight="1">
      <c r="A40" s="1">
        <v>5</v>
      </c>
      <c r="B40" s="9" t="s">
        <v>17</v>
      </c>
      <c r="C40" s="1">
        <v>398</v>
      </c>
      <c r="D40" s="1"/>
      <c r="E40" s="1"/>
      <c r="F40" s="5"/>
      <c r="G40" s="3">
        <f t="shared" si="6"/>
        <v>398</v>
      </c>
      <c r="H40" s="4">
        <f t="shared" si="7"/>
        <v>0</v>
      </c>
    </row>
    <row r="41" spans="1:9" ht="27.75" customHeight="1">
      <c r="A41" s="1">
        <v>5</v>
      </c>
      <c r="B41" s="9" t="s">
        <v>14</v>
      </c>
      <c r="C41" s="1">
        <v>398</v>
      </c>
      <c r="D41" s="1"/>
      <c r="E41" s="1"/>
      <c r="F41" s="5"/>
      <c r="G41" s="3">
        <f t="shared" si="6"/>
        <v>398</v>
      </c>
      <c r="H41" s="4">
        <f t="shared" si="7"/>
        <v>0</v>
      </c>
    </row>
    <row r="42" spans="1:9" ht="27.75" customHeight="1">
      <c r="A42" s="1">
        <v>5</v>
      </c>
      <c r="B42" s="9" t="s">
        <v>18</v>
      </c>
      <c r="C42" s="1">
        <v>398</v>
      </c>
      <c r="D42" s="1">
        <v>485</v>
      </c>
      <c r="E42" s="1"/>
      <c r="F42" s="5"/>
      <c r="G42" s="3">
        <f t="shared" si="6"/>
        <v>0</v>
      </c>
      <c r="H42" s="4">
        <f t="shared" si="7"/>
        <v>87</v>
      </c>
    </row>
    <row r="43" spans="1:9" ht="27.75" customHeight="1">
      <c r="A43" s="1">
        <v>5</v>
      </c>
      <c r="B43" s="9" t="s">
        <v>19</v>
      </c>
      <c r="C43" s="1">
        <v>398</v>
      </c>
      <c r="D43" s="1"/>
      <c r="E43" s="1"/>
      <c r="F43" s="5"/>
      <c r="G43" s="3">
        <f t="shared" si="6"/>
        <v>398</v>
      </c>
      <c r="H43" s="4">
        <f t="shared" si="7"/>
        <v>0</v>
      </c>
    </row>
    <row r="44" spans="1:9" ht="27.75" customHeight="1">
      <c r="A44" s="1">
        <v>5</v>
      </c>
      <c r="B44" s="9" t="s">
        <v>20</v>
      </c>
      <c r="C44" s="1">
        <v>398</v>
      </c>
      <c r="D44" s="1"/>
      <c r="E44" s="1"/>
      <c r="F44" s="5"/>
      <c r="G44" s="3">
        <f t="shared" si="6"/>
        <v>398</v>
      </c>
      <c r="H44" s="4">
        <f t="shared" si="7"/>
        <v>0</v>
      </c>
    </row>
    <row r="45" spans="1:9" ht="27.75" customHeight="1">
      <c r="A45" s="7"/>
      <c r="B45" s="7"/>
      <c r="C45" s="8"/>
      <c r="D45" s="8"/>
      <c r="E45" s="8"/>
      <c r="F45" s="7"/>
      <c r="G45" s="7"/>
      <c r="H45" s="7"/>
    </row>
    <row r="46" spans="1:9" ht="27.75" customHeight="1">
      <c r="A46" s="1">
        <v>6</v>
      </c>
      <c r="B46" s="9" t="s">
        <v>15</v>
      </c>
      <c r="C46" s="1">
        <v>430</v>
      </c>
      <c r="D46" s="1"/>
      <c r="E46" s="1"/>
      <c r="F46" s="5"/>
      <c r="G46" s="3">
        <f t="shared" ref="G46:G54" si="8">IF((C46-D46)&lt;0,0,C46-D46)</f>
        <v>430</v>
      </c>
      <c r="H46" s="4">
        <f t="shared" ref="H46:H54" si="9">IF((D46-C46)&lt;0,0,D46-C46)</f>
        <v>0</v>
      </c>
    </row>
    <row r="47" spans="1:9" ht="27.75" customHeight="1">
      <c r="A47" s="1">
        <v>6</v>
      </c>
      <c r="B47" s="9" t="s">
        <v>16</v>
      </c>
      <c r="C47" s="1">
        <v>430</v>
      </c>
      <c r="D47" s="1"/>
      <c r="E47" s="1"/>
      <c r="F47" s="5"/>
      <c r="G47" s="3">
        <f t="shared" si="8"/>
        <v>430</v>
      </c>
      <c r="H47" s="4">
        <f t="shared" si="9"/>
        <v>0</v>
      </c>
    </row>
    <row r="48" spans="1:9" ht="27.75" customHeight="1">
      <c r="A48" s="1">
        <v>6</v>
      </c>
      <c r="B48" s="9" t="s">
        <v>12</v>
      </c>
      <c r="C48" s="1">
        <v>430</v>
      </c>
      <c r="D48" s="1"/>
      <c r="E48" s="1"/>
      <c r="F48" s="5"/>
      <c r="G48" s="3">
        <f t="shared" si="8"/>
        <v>430</v>
      </c>
      <c r="H48" s="4">
        <f t="shared" si="9"/>
        <v>0</v>
      </c>
    </row>
    <row r="49" spans="1:8" ht="27.75" customHeight="1">
      <c r="A49" s="1">
        <v>6</v>
      </c>
      <c r="B49" s="9" t="s">
        <v>10</v>
      </c>
      <c r="C49" s="1">
        <v>430</v>
      </c>
      <c r="D49" s="1"/>
      <c r="E49" s="1"/>
      <c r="F49" s="5"/>
      <c r="G49" s="3">
        <f t="shared" si="8"/>
        <v>430</v>
      </c>
      <c r="H49" s="4">
        <f t="shared" si="9"/>
        <v>0</v>
      </c>
    </row>
    <row r="50" spans="1:8" ht="36.75" customHeight="1">
      <c r="A50" s="1">
        <v>6</v>
      </c>
      <c r="B50" s="9" t="s">
        <v>17</v>
      </c>
      <c r="C50" s="1">
        <v>430</v>
      </c>
      <c r="D50" s="1"/>
      <c r="E50" s="1"/>
      <c r="F50" s="5"/>
      <c r="G50" s="3">
        <f t="shared" si="8"/>
        <v>430</v>
      </c>
      <c r="H50" s="4">
        <f t="shared" si="9"/>
        <v>0</v>
      </c>
    </row>
    <row r="51" spans="1:8" ht="27.75" customHeight="1">
      <c r="A51" s="1">
        <v>6</v>
      </c>
      <c r="B51" s="9" t="s">
        <v>14</v>
      </c>
      <c r="C51" s="1">
        <v>430</v>
      </c>
      <c r="D51" s="1"/>
      <c r="E51" s="1"/>
      <c r="F51" s="5"/>
      <c r="G51" s="3">
        <f t="shared" si="8"/>
        <v>430</v>
      </c>
      <c r="H51" s="4">
        <f t="shared" si="9"/>
        <v>0</v>
      </c>
    </row>
    <row r="52" spans="1:8" ht="27.75" customHeight="1">
      <c r="A52" s="1">
        <v>6</v>
      </c>
      <c r="B52" s="9" t="s">
        <v>18</v>
      </c>
      <c r="C52" s="1">
        <v>430</v>
      </c>
      <c r="D52" s="1"/>
      <c r="E52" s="1"/>
      <c r="F52" s="5"/>
      <c r="G52" s="3">
        <f t="shared" si="8"/>
        <v>430</v>
      </c>
      <c r="H52" s="4">
        <f t="shared" si="9"/>
        <v>0</v>
      </c>
    </row>
    <row r="53" spans="1:8" ht="27.75" customHeight="1">
      <c r="A53" s="1">
        <v>6</v>
      </c>
      <c r="B53" s="9" t="s">
        <v>19</v>
      </c>
      <c r="C53" s="1">
        <v>430</v>
      </c>
      <c r="D53" s="1"/>
      <c r="E53" s="1"/>
      <c r="F53" s="5"/>
      <c r="G53" s="3">
        <f t="shared" si="8"/>
        <v>430</v>
      </c>
      <c r="H53" s="4">
        <f t="shared" si="9"/>
        <v>0</v>
      </c>
    </row>
    <row r="54" spans="1:8" ht="27.75" customHeight="1">
      <c r="A54" s="1">
        <v>6</v>
      </c>
      <c r="B54" s="9" t="s">
        <v>20</v>
      </c>
      <c r="C54" s="1">
        <v>430</v>
      </c>
      <c r="D54" s="1"/>
      <c r="E54" s="1"/>
      <c r="F54" s="5"/>
      <c r="G54" s="3">
        <f t="shared" si="8"/>
        <v>430</v>
      </c>
      <c r="H54" s="4">
        <f t="shared" si="9"/>
        <v>0</v>
      </c>
    </row>
    <row r="55" spans="1:8" ht="27.75" customHeight="1">
      <c r="A55" s="7"/>
      <c r="B55" s="7"/>
      <c r="C55" s="8"/>
      <c r="D55" s="8"/>
      <c r="E55" s="8"/>
      <c r="F55" s="7"/>
      <c r="G55" s="7"/>
      <c r="H55" s="7"/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ref="G56:G64" si="10">IF((C56-D56)&lt;0,0,C56-D56)</f>
        <v>0</v>
      </c>
      <c r="H56" s="4">
        <f t="shared" ref="H56:H64" si="11">IF((D56-C56)&lt;0,0,D56-C56)</f>
        <v>0</v>
      </c>
    </row>
    <row r="57" spans="1:8" ht="27.75" customHeight="1">
      <c r="A57" s="10">
        <v>7</v>
      </c>
      <c r="B57" s="11" t="s">
        <v>16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12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39" customHeight="1">
      <c r="A60" s="10">
        <v>7</v>
      </c>
      <c r="B60" s="11" t="s">
        <v>17</v>
      </c>
      <c r="C60" s="10"/>
      <c r="D60" s="10"/>
      <c r="E60" s="10"/>
      <c r="F60" s="12"/>
      <c r="G60" s="3">
        <f t="shared" si="10"/>
        <v>0</v>
      </c>
      <c r="H60" s="4">
        <f t="shared" si="11"/>
        <v>0</v>
      </c>
    </row>
    <row r="61" spans="1:8" ht="27.75" customHeight="1">
      <c r="A61" s="10">
        <v>7</v>
      </c>
      <c r="B61" s="11" t="s">
        <v>14</v>
      </c>
      <c r="C61" s="10"/>
      <c r="D61" s="10"/>
      <c r="E61" s="10"/>
      <c r="F61" s="12"/>
      <c r="G61" s="3">
        <f t="shared" si="10"/>
        <v>0</v>
      </c>
      <c r="H61" s="4">
        <f t="shared" si="11"/>
        <v>0</v>
      </c>
    </row>
    <row r="62" spans="1:8" ht="27.75" customHeight="1">
      <c r="A62" s="10">
        <v>7</v>
      </c>
      <c r="B62" s="11" t="s">
        <v>18</v>
      </c>
      <c r="C62" s="10"/>
      <c r="D62" s="10"/>
      <c r="E62" s="10"/>
      <c r="F62" s="12"/>
      <c r="G62" s="3">
        <f t="shared" si="10"/>
        <v>0</v>
      </c>
      <c r="H62" s="4">
        <f t="shared" si="11"/>
        <v>0</v>
      </c>
    </row>
    <row r="63" spans="1:8" ht="27.75" customHeight="1">
      <c r="A63" s="10">
        <v>7</v>
      </c>
      <c r="B63" s="11" t="s">
        <v>22</v>
      </c>
      <c r="C63" s="10"/>
      <c r="D63" s="10"/>
      <c r="E63" s="10"/>
      <c r="F63" s="12"/>
      <c r="G63" s="3">
        <f t="shared" si="10"/>
        <v>0</v>
      </c>
      <c r="H63" s="4">
        <f t="shared" si="11"/>
        <v>0</v>
      </c>
    </row>
    <row r="64" spans="1:8" ht="27.75" customHeight="1">
      <c r="A64" s="10">
        <v>7</v>
      </c>
      <c r="B64" s="11" t="s">
        <v>20</v>
      </c>
      <c r="C64" s="10"/>
      <c r="D64" s="10"/>
      <c r="E64" s="10"/>
      <c r="F64" s="12"/>
      <c r="G64" s="3">
        <f t="shared" si="10"/>
        <v>0</v>
      </c>
      <c r="H64" s="4">
        <f t="shared" si="11"/>
        <v>0</v>
      </c>
    </row>
    <row r="65" spans="1:8" ht="27.75" customHeight="1">
      <c r="A65" s="7"/>
      <c r="B65" s="7"/>
      <c r="C65" s="8"/>
      <c r="D65" s="8"/>
      <c r="E65" s="8"/>
      <c r="F65" s="7"/>
      <c r="G65" s="7"/>
      <c r="H65" s="7"/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ref="G66:G74" si="12">IF((C66-D66)&lt;0,0,C66-D66)</f>
        <v>0</v>
      </c>
      <c r="H66" s="4">
        <f t="shared" ref="H66:H74" si="13">IF((D66-C66)&lt;0,0,D66-C66)</f>
        <v>0</v>
      </c>
    </row>
    <row r="67" spans="1:8" ht="27.75" customHeight="1">
      <c r="A67" s="10">
        <v>8</v>
      </c>
      <c r="B67" s="11" t="s">
        <v>16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12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10">
        <v>8</v>
      </c>
      <c r="B70" s="11" t="s">
        <v>23</v>
      </c>
      <c r="C70" s="10"/>
      <c r="D70" s="10"/>
      <c r="E70" s="10"/>
      <c r="F70" s="12"/>
      <c r="G70" s="3">
        <f t="shared" si="12"/>
        <v>0</v>
      </c>
      <c r="H70" s="4">
        <f t="shared" si="13"/>
        <v>0</v>
      </c>
    </row>
    <row r="71" spans="1:8" ht="27.75" customHeight="1">
      <c r="A71" s="10">
        <v>8</v>
      </c>
      <c r="B71" s="11" t="s">
        <v>14</v>
      </c>
      <c r="C71" s="10"/>
      <c r="D71" s="10"/>
      <c r="E71" s="10"/>
      <c r="F71" s="12"/>
      <c r="G71" s="3">
        <f t="shared" si="12"/>
        <v>0</v>
      </c>
      <c r="H71" s="4">
        <f t="shared" si="13"/>
        <v>0</v>
      </c>
    </row>
    <row r="72" spans="1:8" ht="27.75" customHeight="1">
      <c r="A72" s="10">
        <v>8</v>
      </c>
      <c r="B72" s="11" t="s">
        <v>18</v>
      </c>
      <c r="C72" s="10"/>
      <c r="D72" s="10"/>
      <c r="E72" s="10"/>
      <c r="F72" s="12"/>
      <c r="G72" s="3">
        <f t="shared" si="12"/>
        <v>0</v>
      </c>
      <c r="H72" s="4">
        <f t="shared" si="13"/>
        <v>0</v>
      </c>
    </row>
    <row r="73" spans="1:8" ht="27.75" customHeight="1">
      <c r="A73" s="10">
        <v>8</v>
      </c>
      <c r="B73" s="11" t="s">
        <v>22</v>
      </c>
      <c r="C73" s="10"/>
      <c r="D73" s="10"/>
      <c r="E73" s="10"/>
      <c r="F73" s="12"/>
      <c r="G73" s="3">
        <f t="shared" si="12"/>
        <v>0</v>
      </c>
      <c r="H73" s="4">
        <f t="shared" si="13"/>
        <v>0</v>
      </c>
    </row>
    <row r="74" spans="1:8" ht="27.75" customHeight="1">
      <c r="A74" s="10">
        <v>8</v>
      </c>
      <c r="B74" s="11" t="s">
        <v>20</v>
      </c>
      <c r="C74" s="10"/>
      <c r="D74" s="10"/>
      <c r="E74" s="10"/>
      <c r="F74" s="12"/>
      <c r="G74" s="3">
        <f t="shared" si="12"/>
        <v>0</v>
      </c>
      <c r="H74" s="4">
        <f t="shared" si="13"/>
        <v>0</v>
      </c>
    </row>
    <row r="75" spans="1:8" ht="27.75" customHeight="1">
      <c r="A75" s="7"/>
      <c r="B75" s="7"/>
      <c r="C75" s="8"/>
      <c r="D75" s="8"/>
      <c r="E75" s="8"/>
      <c r="F75" s="7"/>
      <c r="G75" s="7"/>
      <c r="H75" s="7"/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ref="G76:G84" si="14">IF((C76-D76)&lt;0,0,C76-D76)</f>
        <v>0</v>
      </c>
      <c r="H76" s="4">
        <f t="shared" ref="H76:H84" si="15">IF((D76-C76)&lt;0,0,D76-C76)</f>
        <v>0</v>
      </c>
    </row>
    <row r="77" spans="1:8" ht="27.75" customHeight="1">
      <c r="A77" s="10">
        <v>9</v>
      </c>
      <c r="B77" s="11" t="s">
        <v>16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12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23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10">
        <v>9</v>
      </c>
      <c r="B81" s="11" t="s">
        <v>14</v>
      </c>
      <c r="C81" s="10"/>
      <c r="D81" s="10"/>
      <c r="E81" s="10"/>
      <c r="F81" s="12"/>
      <c r="G81" s="3">
        <f t="shared" si="14"/>
        <v>0</v>
      </c>
      <c r="H81" s="4">
        <f t="shared" si="15"/>
        <v>0</v>
      </c>
    </row>
    <row r="82" spans="1:8" ht="27.75" customHeight="1">
      <c r="A82" s="10">
        <v>9</v>
      </c>
      <c r="B82" s="11" t="s">
        <v>18</v>
      </c>
      <c r="C82" s="10"/>
      <c r="D82" s="10"/>
      <c r="E82" s="10"/>
      <c r="F82" s="12"/>
      <c r="G82" s="3">
        <f t="shared" si="14"/>
        <v>0</v>
      </c>
      <c r="H82" s="4">
        <f t="shared" si="15"/>
        <v>0</v>
      </c>
    </row>
    <row r="83" spans="1:8" ht="27.75" customHeight="1">
      <c r="A83" s="10">
        <v>9</v>
      </c>
      <c r="B83" s="11" t="s">
        <v>22</v>
      </c>
      <c r="C83" s="10"/>
      <c r="D83" s="10"/>
      <c r="E83" s="10"/>
      <c r="F83" s="12"/>
      <c r="G83" s="3">
        <f t="shared" si="14"/>
        <v>0</v>
      </c>
      <c r="H83" s="4">
        <f t="shared" si="15"/>
        <v>0</v>
      </c>
    </row>
    <row r="84" spans="1:8" ht="27.75" customHeight="1">
      <c r="A84" s="10">
        <v>9</v>
      </c>
      <c r="B84" s="11" t="s">
        <v>20</v>
      </c>
      <c r="C84" s="10"/>
      <c r="D84" s="10"/>
      <c r="E84" s="10"/>
      <c r="F84" s="12"/>
      <c r="G84" s="3">
        <f t="shared" si="14"/>
        <v>0</v>
      </c>
      <c r="H84" s="4">
        <f t="shared" si="15"/>
        <v>0</v>
      </c>
    </row>
    <row r="85" spans="1:8" ht="27.75" customHeight="1">
      <c r="A85" s="7"/>
      <c r="B85" s="8"/>
      <c r="C85" s="8"/>
      <c r="D85" s="8"/>
      <c r="E85" s="8"/>
      <c r="F85" s="7"/>
      <c r="G85" s="7"/>
      <c r="H85" s="7"/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ref="G86:G94" si="16">IF((C86-D86)&lt;0,0,C86-D86)</f>
        <v>0</v>
      </c>
      <c r="H86" s="4">
        <f t="shared" ref="H86:H94" si="17">IF((D86-C86)&lt;0,0,D86-C86)</f>
        <v>0</v>
      </c>
    </row>
    <row r="87" spans="1:8" ht="27.75" customHeight="1">
      <c r="A87" s="10">
        <v>10</v>
      </c>
      <c r="B87" s="11" t="s">
        <v>16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12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10">
        <v>10</v>
      </c>
      <c r="B90" s="11" t="s">
        <v>23</v>
      </c>
      <c r="C90" s="10"/>
      <c r="D90" s="10"/>
      <c r="E90" s="10"/>
      <c r="F90" s="12"/>
      <c r="G90" s="3">
        <f t="shared" si="16"/>
        <v>0</v>
      </c>
      <c r="H90" s="4">
        <f t="shared" si="17"/>
        <v>0</v>
      </c>
    </row>
    <row r="91" spans="1:8" ht="27.75" customHeight="1">
      <c r="A91" s="10">
        <v>10</v>
      </c>
      <c r="B91" s="11" t="s">
        <v>14</v>
      </c>
      <c r="C91" s="10"/>
      <c r="D91" s="10"/>
      <c r="E91" s="10"/>
      <c r="F91" s="12"/>
      <c r="G91" s="3">
        <f t="shared" si="16"/>
        <v>0</v>
      </c>
      <c r="H91" s="4">
        <f t="shared" si="17"/>
        <v>0</v>
      </c>
    </row>
    <row r="92" spans="1:8" ht="27.75" customHeight="1">
      <c r="A92" s="10">
        <v>10</v>
      </c>
      <c r="B92" s="11" t="s">
        <v>18</v>
      </c>
      <c r="C92" s="10"/>
      <c r="D92" s="10"/>
      <c r="E92" s="10"/>
      <c r="F92" s="12"/>
      <c r="G92" s="3">
        <f t="shared" si="16"/>
        <v>0</v>
      </c>
      <c r="H92" s="4">
        <f t="shared" si="17"/>
        <v>0</v>
      </c>
    </row>
    <row r="93" spans="1:8" ht="27.75" customHeight="1">
      <c r="A93" s="10">
        <v>10</v>
      </c>
      <c r="B93" s="11" t="s">
        <v>22</v>
      </c>
      <c r="C93" s="10"/>
      <c r="D93" s="10"/>
      <c r="E93" s="10"/>
      <c r="F93" s="12"/>
      <c r="G93" s="3">
        <f t="shared" si="16"/>
        <v>0</v>
      </c>
      <c r="H93" s="4">
        <f t="shared" si="17"/>
        <v>0</v>
      </c>
    </row>
    <row r="94" spans="1:8" ht="27.75" customHeight="1">
      <c r="A94" s="10">
        <v>10</v>
      </c>
      <c r="B94" s="11" t="s">
        <v>20</v>
      </c>
      <c r="C94" s="10"/>
      <c r="D94" s="10"/>
      <c r="E94" s="10"/>
      <c r="F94" s="12"/>
      <c r="G94" s="3">
        <f t="shared" si="16"/>
        <v>0</v>
      </c>
      <c r="H94" s="4">
        <f t="shared" si="17"/>
        <v>0</v>
      </c>
    </row>
    <row r="95" spans="1:8" ht="27.75" customHeight="1">
      <c r="A95" s="7"/>
      <c r="B95" s="7"/>
      <c r="C95" s="8"/>
      <c r="D95" s="8"/>
      <c r="E95" s="8"/>
      <c r="F95" s="7"/>
      <c r="G95" s="7"/>
      <c r="H95" s="7"/>
    </row>
    <row r="96" spans="1:8" ht="39.75" customHeight="1">
      <c r="A96" s="1" t="s">
        <v>24</v>
      </c>
      <c r="B96" s="9" t="s">
        <v>25</v>
      </c>
      <c r="C96" s="1"/>
      <c r="D96" s="1"/>
      <c r="E96" s="1"/>
      <c r="F96" s="5"/>
      <c r="G96" s="3">
        <f t="shared" ref="G96:G103" si="18">IF((C96-D96)&lt;0,0,C96-D96)</f>
        <v>0</v>
      </c>
      <c r="H96" s="4">
        <f t="shared" ref="H96:H103" si="19">IF((D96-C96)&lt;0,0,D96-C96)</f>
        <v>0</v>
      </c>
    </row>
    <row r="97" spans="1:8" ht="27.75" customHeight="1">
      <c r="A97" s="1" t="s">
        <v>24</v>
      </c>
      <c r="B97" s="9" t="s">
        <v>26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27.75" customHeight="1">
      <c r="A98" s="1" t="s">
        <v>24</v>
      </c>
      <c r="B98" s="9" t="s">
        <v>27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27.75" customHeight="1">
      <c r="A99" s="1" t="s">
        <v>24</v>
      </c>
      <c r="B99" s="9" t="s">
        <v>28</v>
      </c>
      <c r="C99" s="1"/>
      <c r="D99" s="1"/>
      <c r="E99" s="1"/>
      <c r="F99" s="5"/>
      <c r="G99" s="3">
        <f t="shared" si="18"/>
        <v>0</v>
      </c>
      <c r="H99" s="4">
        <f t="shared" si="19"/>
        <v>0</v>
      </c>
    </row>
    <row r="100" spans="1:8" ht="40.5" customHeight="1">
      <c r="A100" s="1" t="s">
        <v>24</v>
      </c>
      <c r="B100" s="9" t="s">
        <v>29</v>
      </c>
      <c r="C100" s="1"/>
      <c r="D100" s="1"/>
      <c r="E100" s="1"/>
      <c r="F100" s="5"/>
      <c r="G100" s="3">
        <f t="shared" si="18"/>
        <v>0</v>
      </c>
      <c r="H100" s="4">
        <f t="shared" si="19"/>
        <v>0</v>
      </c>
    </row>
    <row r="101" spans="1:8" ht="38.25" customHeight="1">
      <c r="A101" s="1" t="s">
        <v>24</v>
      </c>
      <c r="B101" s="9" t="s">
        <v>30</v>
      </c>
      <c r="C101" s="1"/>
      <c r="D101" s="1"/>
      <c r="E101" s="1"/>
      <c r="F101" s="5"/>
      <c r="G101" s="3">
        <f t="shared" si="18"/>
        <v>0</v>
      </c>
      <c r="H101" s="4">
        <f t="shared" si="19"/>
        <v>0</v>
      </c>
    </row>
    <row r="102" spans="1:8" ht="27.75" customHeight="1">
      <c r="A102" s="1" t="s">
        <v>24</v>
      </c>
      <c r="B102" s="9" t="s">
        <v>31</v>
      </c>
      <c r="C102" s="1"/>
      <c r="D102" s="1"/>
      <c r="E102" s="1"/>
      <c r="F102" s="5"/>
      <c r="G102" s="3">
        <f t="shared" si="18"/>
        <v>0</v>
      </c>
      <c r="H102" s="4">
        <f t="shared" si="19"/>
        <v>0</v>
      </c>
    </row>
    <row r="103" spans="1:8" ht="47.25" customHeight="1">
      <c r="A103" s="1" t="s">
        <v>24</v>
      </c>
      <c r="B103" s="9" t="s">
        <v>32</v>
      </c>
      <c r="C103" s="1"/>
      <c r="D103" s="1"/>
      <c r="E103" s="1"/>
      <c r="F103" s="5"/>
      <c r="G103" s="3">
        <f t="shared" si="18"/>
        <v>0</v>
      </c>
      <c r="H103" s="4">
        <f t="shared" si="19"/>
        <v>0</v>
      </c>
    </row>
    <row r="104" spans="1:8" ht="15"/>
  </sheetData>
  <protectedRanges>
    <protectedRange sqref="C1:E103" name="Textbooks"/>
    <protectedRange sqref="F1:F103" name="SOURCE"/>
  </protectedRanges>
  <phoneticPr fontId="8" type="noConversion"/>
  <dataValidations count="3">
    <dataValidation type="list" allowBlank="1" showInputMessage="1" showErrorMessage="1" sqref="E2:E6" xr:uid="{B46E7B13-721E-4D49-837E-C02BF9777D48}">
      <formula1>"2024,2025"</formula1>
    </dataValidation>
    <dataValidation type="list" allowBlank="1" showInputMessage="1" showErrorMessage="1" sqref="F19:F24 F26:F34 F36:F44 F46:F54 F56:F64 F66:F74 F76:F84 F86:F94 F2:F11 F13:F17 F96:F103" xr:uid="{2F7388E0-D1A1-4571-8C10-96CB9A727EB3}">
      <formula1>"CO,RO,SDO"</formula1>
    </dataValidation>
    <dataValidation type="list" allowBlank="1" showInputMessage="1" showErrorMessage="1" sqref="E96:E103 E86:E94 E76:E84 E66:E74 E56:E64 E46:E54 E36:E44 E26:E34 E19:E24 E13:E17 E7:E11" xr:uid="{6B21F709-BF2F-444C-8062-6FD55BBC5F3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03" zoomScale="70" zoomScaleNormal="70" workbookViewId="0">
      <selection activeCell="L127" sqref="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63" t="s">
        <v>33</v>
      </c>
      <c r="E1" s="63"/>
      <c r="F1" s="63"/>
      <c r="G1" s="63"/>
      <c r="H1" s="63"/>
      <c r="I1" s="63"/>
      <c r="J1" s="64" t="s">
        <v>34</v>
      </c>
      <c r="K1" s="64"/>
      <c r="L1" s="64"/>
      <c r="M1" s="64"/>
      <c r="N1" s="64"/>
      <c r="O1" s="64"/>
      <c r="P1" s="65" t="s">
        <v>35</v>
      </c>
      <c r="Q1" s="65"/>
      <c r="R1" s="65"/>
      <c r="S1" s="65"/>
      <c r="T1" s="65"/>
      <c r="U1" s="65"/>
      <c r="V1" s="66" t="s">
        <v>36</v>
      </c>
      <c r="W1" s="66"/>
      <c r="X1" s="66"/>
      <c r="Y1" s="66"/>
      <c r="Z1" s="66"/>
      <c r="AA1" s="6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411</v>
      </c>
      <c r="D3" s="34">
        <f>Table1[[#This Row],[Enrolment S.Y. 2025-2026 ]]*8</f>
        <v>3288</v>
      </c>
      <c r="E3" s="34">
        <v>0</v>
      </c>
      <c r="F3" s="32"/>
      <c r="G3" s="34"/>
      <c r="H3" s="34">
        <f>IF((D3-E3)&lt;0,0,(D3-E3))</f>
        <v>3288</v>
      </c>
      <c r="I3" s="34">
        <f>IF((E3-D3)&lt;0,0,(E3-D3))</f>
        <v>0</v>
      </c>
      <c r="J3" s="34">
        <f>Table1[[#This Row],[Enrolment S.Y. 2025-2026 ]]*8</f>
        <v>3288</v>
      </c>
      <c r="K3" s="34"/>
      <c r="L3" s="32"/>
      <c r="M3" s="34"/>
      <c r="N3" s="5">
        <f t="shared" ref="N3" si="0">IF((J3-K3)&lt;0,0,(J3-K3))</f>
        <v>3288</v>
      </c>
      <c r="O3" s="5">
        <f t="shared" ref="O3" si="1">IF((K3-J3)&lt;0,0,(K3-J3))</f>
        <v>0</v>
      </c>
      <c r="P3" s="5">
        <f>Table1[[#This Row],[Enrolment S.Y. 2025-2026 ]]*8</f>
        <v>3288</v>
      </c>
      <c r="Q3" s="34"/>
      <c r="R3" s="32"/>
      <c r="S3" s="34"/>
      <c r="T3" s="34">
        <f>IF((P3-Q3)&lt;0,0,(P3-Q3))</f>
        <v>3288</v>
      </c>
      <c r="U3" s="34">
        <f>IF((Q3-P3)&lt;0,0,(Q3-P3))</f>
        <v>0</v>
      </c>
      <c r="V3" s="34">
        <f>Table1[[#This Row],[Enrolment S.Y. 2025-2026 ]]*8</f>
        <v>3288</v>
      </c>
      <c r="W3" s="34">
        <v>1250</v>
      </c>
      <c r="X3" s="32">
        <v>2025</v>
      </c>
      <c r="Y3" s="34" t="s">
        <v>13</v>
      </c>
      <c r="Z3" s="34">
        <f>IF((V3-W3)&lt;0,0,(V3-W3))</f>
        <v>2038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13"/>
      <c r="T4" s="13"/>
      <c r="U4" s="13"/>
      <c r="V4" s="13"/>
      <c r="Z4" s="13"/>
      <c r="AA4" s="13"/>
    </row>
    <row r="5" spans="1:27" ht="19.5">
      <c r="A5" s="1">
        <v>1</v>
      </c>
      <c r="B5" s="40" t="s">
        <v>8</v>
      </c>
      <c r="C5" s="1">
        <v>377</v>
      </c>
      <c r="D5" s="5">
        <f>Table1[[#This Row],[Enrolment S.Y. 2025-2026 ]]*8</f>
        <v>3016</v>
      </c>
      <c r="E5" s="5"/>
      <c r="F5" s="1"/>
      <c r="G5" s="5"/>
      <c r="H5" s="5">
        <f t="shared" ref="H5:H77" si="2">IF((D5-E5)&lt;0,0,(D5-E5))</f>
        <v>3016</v>
      </c>
      <c r="I5" s="5">
        <f t="shared" ref="I5:I77" si="3">IF((E5-D5)&lt;0,0,(E5-D5))</f>
        <v>0</v>
      </c>
      <c r="J5" s="5">
        <f>Table1[[#This Row],[Enrolment S.Y. 2025-2026 ]]*8</f>
        <v>3016</v>
      </c>
      <c r="K5" s="5"/>
      <c r="L5" s="1"/>
      <c r="M5" s="5"/>
      <c r="N5" s="5">
        <f t="shared" ref="N5" si="4">IF((J5-K5)&lt;0,0,(J5-K5))</f>
        <v>3016</v>
      </c>
      <c r="O5" s="5">
        <f t="shared" ref="O5" si="5">IF((K5-J5)&lt;0,0,(K5-J5))</f>
        <v>0</v>
      </c>
      <c r="P5" s="5">
        <f>Table1[[#This Row],[Enrolment S.Y. 2025-2026 ]]*8</f>
        <v>3016</v>
      </c>
      <c r="Q5" s="5"/>
      <c r="R5" s="1"/>
      <c r="S5" s="5"/>
      <c r="T5" s="5">
        <f t="shared" ref="T5" si="6">IF((P5-Q5)&lt;0,0,(P5-Q5))</f>
        <v>3016</v>
      </c>
      <c r="U5" s="5">
        <f t="shared" ref="U5" si="7">IF((Q5-P5)&lt;0,0,(Q5-P5))</f>
        <v>0</v>
      </c>
      <c r="V5" s="5">
        <f>Table1[[#This Row],[Enrolment S.Y. 2025-2026 ]]*8</f>
        <v>3016</v>
      </c>
      <c r="W5" s="5"/>
      <c r="X5" s="1"/>
      <c r="Y5" s="5"/>
      <c r="Z5" s="5">
        <f t="shared" ref="Z5" si="8">IF((V5-W5)&lt;0,0,(V5-W5))</f>
        <v>3016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377</v>
      </c>
      <c r="D6" s="5">
        <f>Table1[[#This Row],[Enrolment S.Y. 2025-2026 ]]*8</f>
        <v>3016</v>
      </c>
      <c r="E6" s="5"/>
      <c r="F6" s="1"/>
      <c r="G6" s="5"/>
      <c r="H6" s="5">
        <f t="shared" si="2"/>
        <v>3016</v>
      </c>
      <c r="I6" s="5">
        <f t="shared" si="3"/>
        <v>0</v>
      </c>
      <c r="J6" s="5">
        <f>Table1[[#This Row],[Enrolment S.Y. 2025-2026 ]]*8</f>
        <v>3016</v>
      </c>
      <c r="K6" s="5"/>
      <c r="L6" s="1"/>
      <c r="M6" s="5"/>
      <c r="N6" s="5">
        <f t="shared" ref="N6:N69" si="10">IF((J6-K6)&lt;0,0,(J6-K6))</f>
        <v>3016</v>
      </c>
      <c r="O6" s="5">
        <f t="shared" ref="O6:O69" si="11">IF((K6-J6)&lt;0,0,(K6-J6))</f>
        <v>0</v>
      </c>
      <c r="P6" s="5">
        <f>Table1[[#This Row],[Enrolment S.Y. 2025-2026 ]]*8</f>
        <v>3016</v>
      </c>
      <c r="Q6" s="5"/>
      <c r="R6" s="1"/>
      <c r="S6" s="5"/>
      <c r="T6" s="5">
        <f t="shared" ref="T6:T69" si="12">IF((P6-Q6)&lt;0,0,(P6-Q6))</f>
        <v>3016</v>
      </c>
      <c r="U6" s="5">
        <f t="shared" ref="U6:U69" si="13">IF((Q6-P6)&lt;0,0,(Q6-P6))</f>
        <v>0</v>
      </c>
      <c r="V6" s="5">
        <f>Table1[[#This Row],[Enrolment S.Y. 2025-2026 ]]*8</f>
        <v>3016</v>
      </c>
      <c r="W6" s="5"/>
      <c r="X6" s="1"/>
      <c r="Y6" s="5"/>
      <c r="Z6" s="5">
        <f t="shared" ref="Z6:Z69" si="14">IF((V6-W6)&lt;0,0,(V6-W6))</f>
        <v>3016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377</v>
      </c>
      <c r="D7" s="5">
        <f>Table1[[#This Row],[Enrolment S.Y. 2025-2026 ]]*8</f>
        <v>3016</v>
      </c>
      <c r="E7" s="5"/>
      <c r="F7" s="1"/>
      <c r="G7" s="5"/>
      <c r="H7" s="5">
        <f t="shared" si="2"/>
        <v>3016</v>
      </c>
      <c r="I7" s="5">
        <f t="shared" si="3"/>
        <v>0</v>
      </c>
      <c r="J7" s="5">
        <f>Table1[[#This Row],[Enrolment S.Y. 2025-2026 ]]*8</f>
        <v>3016</v>
      </c>
      <c r="K7" s="5"/>
      <c r="L7" s="1"/>
      <c r="M7" s="5"/>
      <c r="N7" s="5">
        <f t="shared" si="10"/>
        <v>3016</v>
      </c>
      <c r="O7" s="5">
        <f t="shared" si="11"/>
        <v>0</v>
      </c>
      <c r="P7" s="5">
        <f>Table1[[#This Row],[Enrolment S.Y. 2025-2026 ]]*8</f>
        <v>3016</v>
      </c>
      <c r="Q7" s="5"/>
      <c r="R7" s="1"/>
      <c r="S7" s="5"/>
      <c r="T7" s="5">
        <f t="shared" si="12"/>
        <v>3016</v>
      </c>
      <c r="U7" s="5">
        <f t="shared" si="13"/>
        <v>0</v>
      </c>
      <c r="V7" s="5">
        <f>Table1[[#This Row],[Enrolment S.Y. 2025-2026 ]]*8</f>
        <v>3016</v>
      </c>
      <c r="W7" s="5"/>
      <c r="X7" s="1"/>
      <c r="Y7" s="5"/>
      <c r="Z7" s="5">
        <f t="shared" si="14"/>
        <v>3016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377</v>
      </c>
      <c r="D8" s="5">
        <f>Table1[[#This Row],[Enrolment S.Y. 2025-2026 ]]*8</f>
        <v>3016</v>
      </c>
      <c r="E8" s="5"/>
      <c r="F8" s="1"/>
      <c r="G8" s="5"/>
      <c r="H8" s="5">
        <f t="shared" si="2"/>
        <v>3016</v>
      </c>
      <c r="I8" s="5">
        <f t="shared" si="3"/>
        <v>0</v>
      </c>
      <c r="J8" s="5">
        <f>Table1[[#This Row],[Enrolment S.Y. 2025-2026 ]]*8</f>
        <v>3016</v>
      </c>
      <c r="K8" s="5"/>
      <c r="L8" s="1"/>
      <c r="M8" s="5"/>
      <c r="N8" s="5">
        <f t="shared" si="10"/>
        <v>3016</v>
      </c>
      <c r="O8" s="5">
        <f t="shared" si="11"/>
        <v>0</v>
      </c>
      <c r="P8" s="5">
        <f>Table1[[#This Row],[Enrolment S.Y. 2025-2026 ]]*8</f>
        <v>3016</v>
      </c>
      <c r="Q8" s="5"/>
      <c r="R8" s="1"/>
      <c r="S8" s="5"/>
      <c r="T8" s="5">
        <f t="shared" si="12"/>
        <v>3016</v>
      </c>
      <c r="U8" s="5">
        <f t="shared" si="13"/>
        <v>0</v>
      </c>
      <c r="V8" s="5">
        <f>Table1[[#This Row],[Enrolment S.Y. 2025-2026 ]]*8</f>
        <v>3016</v>
      </c>
      <c r="W8" s="5"/>
      <c r="X8" s="1"/>
      <c r="Y8" s="5"/>
      <c r="Z8" s="5">
        <f t="shared" si="14"/>
        <v>3016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377</v>
      </c>
      <c r="D9" s="5">
        <f>Table1[[#This Row],[Enrolment S.Y. 2025-2026 ]]*8</f>
        <v>3016</v>
      </c>
      <c r="E9" s="5"/>
      <c r="F9" s="1"/>
      <c r="G9" s="5"/>
      <c r="H9" s="5">
        <f t="shared" si="2"/>
        <v>3016</v>
      </c>
      <c r="I9" s="5">
        <f t="shared" si="3"/>
        <v>0</v>
      </c>
      <c r="J9" s="5">
        <f>Table1[[#This Row],[Enrolment S.Y. 2025-2026 ]]*8</f>
        <v>3016</v>
      </c>
      <c r="K9" s="5"/>
      <c r="L9" s="1"/>
      <c r="M9" s="5"/>
      <c r="N9" s="5">
        <f t="shared" si="10"/>
        <v>3016</v>
      </c>
      <c r="O9" s="5">
        <f t="shared" si="11"/>
        <v>0</v>
      </c>
      <c r="P9" s="5">
        <f>Table1[[#This Row],[Enrolment S.Y. 2025-2026 ]]*8</f>
        <v>3016</v>
      </c>
      <c r="Q9" s="5"/>
      <c r="R9" s="1"/>
      <c r="S9" s="5"/>
      <c r="T9" s="5">
        <f t="shared" si="12"/>
        <v>3016</v>
      </c>
      <c r="U9" s="5">
        <f t="shared" si="13"/>
        <v>0</v>
      </c>
      <c r="V9" s="5">
        <f>Table1[[#This Row],[Enrolment S.Y. 2025-2026 ]]*8</f>
        <v>3016</v>
      </c>
      <c r="W9" s="5"/>
      <c r="X9" s="1"/>
      <c r="Y9" s="5"/>
      <c r="Z9" s="5">
        <f t="shared" si="14"/>
        <v>3016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377</v>
      </c>
      <c r="D10" s="5">
        <f>Table1[[#This Row],[Enrolment S.Y. 2025-2026 ]]*8</f>
        <v>3016</v>
      </c>
      <c r="E10" s="5"/>
      <c r="F10" s="1"/>
      <c r="G10" s="5"/>
      <c r="H10" s="5">
        <f>IF((D10-E10)&lt;0,0,(D10-E10))</f>
        <v>3016</v>
      </c>
      <c r="I10" s="5">
        <f>IF((E10-D10)&lt;0,0,(E10-D10))</f>
        <v>0</v>
      </c>
      <c r="J10" s="5">
        <f>Table1[[#This Row],[Enrolment S.Y. 2025-2026 ]]*8</f>
        <v>3016</v>
      </c>
      <c r="K10" s="5"/>
      <c r="L10" s="1"/>
      <c r="M10" s="5"/>
      <c r="N10" s="5">
        <f t="shared" si="10"/>
        <v>3016</v>
      </c>
      <c r="O10" s="5">
        <f t="shared" si="11"/>
        <v>0</v>
      </c>
      <c r="P10" s="5">
        <f>Table1[[#This Row],[Enrolment S.Y. 2025-2026 ]]*8</f>
        <v>3016</v>
      </c>
      <c r="Q10" s="5"/>
      <c r="R10" s="1"/>
      <c r="S10" s="5"/>
      <c r="T10" s="5">
        <f t="shared" si="12"/>
        <v>3016</v>
      </c>
      <c r="U10" s="5">
        <f t="shared" si="13"/>
        <v>0</v>
      </c>
      <c r="V10" s="5">
        <f>Table1[[#This Row],[Enrolment S.Y. 2025-2026 ]]*8</f>
        <v>3016</v>
      </c>
      <c r="W10" s="5"/>
      <c r="X10" s="1"/>
      <c r="Y10" s="5"/>
      <c r="Z10" s="5">
        <f t="shared" si="14"/>
        <v>3016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377</v>
      </c>
      <c r="D11" s="5">
        <f>Table1[[#This Row],[Enrolment S.Y. 2025-2026 ]]*8</f>
        <v>3016</v>
      </c>
      <c r="E11" s="5"/>
      <c r="F11" s="1"/>
      <c r="G11" s="5"/>
      <c r="H11" s="5">
        <f>IF((D11-E11)&lt;0,0,(D11-E11))</f>
        <v>3016</v>
      </c>
      <c r="I11" s="5">
        <f>IF((E11-D11)&lt;0,0,(E11-D11))</f>
        <v>0</v>
      </c>
      <c r="J11" s="5">
        <f>Table1[[#This Row],[Enrolment S.Y. 2025-2026 ]]*8</f>
        <v>3016</v>
      </c>
      <c r="K11" s="5"/>
      <c r="L11" s="1"/>
      <c r="M11" s="5"/>
      <c r="N11" s="5">
        <f t="shared" si="10"/>
        <v>3016</v>
      </c>
      <c r="O11" s="5">
        <f t="shared" si="11"/>
        <v>0</v>
      </c>
      <c r="P11" s="5">
        <f>Table1[[#This Row],[Enrolment S.Y. 2025-2026 ]]*8</f>
        <v>3016</v>
      </c>
      <c r="Q11" s="5"/>
      <c r="R11" s="1"/>
      <c r="S11" s="5"/>
      <c r="T11" s="5">
        <f t="shared" si="12"/>
        <v>3016</v>
      </c>
      <c r="U11" s="5">
        <f t="shared" si="13"/>
        <v>0</v>
      </c>
      <c r="V11" s="5">
        <f>Table1[[#This Row],[Enrolment S.Y. 2025-2026 ]]*8</f>
        <v>3016</v>
      </c>
      <c r="W11" s="5"/>
      <c r="X11" s="1"/>
      <c r="Y11" s="5"/>
      <c r="Z11" s="5">
        <f t="shared" si="14"/>
        <v>3016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377</v>
      </c>
      <c r="D12" s="5">
        <f>Table1[[#This Row],[Enrolment S.Y. 2025-2026 ]]*8</f>
        <v>3016</v>
      </c>
      <c r="E12" s="5"/>
      <c r="F12" s="1"/>
      <c r="G12" s="5"/>
      <c r="H12" s="5">
        <f>IF((D12-E12)&lt;0,0,(D12-E12))</f>
        <v>3016</v>
      </c>
      <c r="I12" s="5">
        <f>IF((E12-D12)&lt;0,0,(E12-D12))</f>
        <v>0</v>
      </c>
      <c r="J12" s="5">
        <f>Table1[[#This Row],[Enrolment S.Y. 2025-2026 ]]*8</f>
        <v>3016</v>
      </c>
      <c r="K12" s="5"/>
      <c r="L12" s="1"/>
      <c r="M12" s="5"/>
      <c r="N12" s="5">
        <f t="shared" si="10"/>
        <v>3016</v>
      </c>
      <c r="O12" s="5">
        <f t="shared" si="11"/>
        <v>0</v>
      </c>
      <c r="P12" s="5">
        <f>Table1[[#This Row],[Enrolment S.Y. 2025-2026 ]]*8</f>
        <v>3016</v>
      </c>
      <c r="Q12" s="5"/>
      <c r="R12" s="1"/>
      <c r="S12" s="5"/>
      <c r="T12" s="5">
        <f t="shared" si="12"/>
        <v>3016</v>
      </c>
      <c r="U12" s="5">
        <f t="shared" si="13"/>
        <v>0</v>
      </c>
      <c r="V12" s="5">
        <f>Table1[[#This Row],[Enrolment S.Y. 2025-2026 ]]*8</f>
        <v>3016</v>
      </c>
      <c r="W12" s="5"/>
      <c r="X12" s="1"/>
      <c r="Y12" s="5"/>
      <c r="Z12" s="5">
        <f t="shared" si="14"/>
        <v>3016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13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40" t="s">
        <v>8</v>
      </c>
      <c r="C14" s="1">
        <v>417</v>
      </c>
      <c r="D14" s="5">
        <f>Table1[[#This Row],[Enrolment S.Y. 2025-2026 ]]*8</f>
        <v>3336</v>
      </c>
      <c r="E14" s="5"/>
      <c r="F14" s="1"/>
      <c r="G14" s="5"/>
      <c r="H14" s="5">
        <f t="shared" si="2"/>
        <v>3336</v>
      </c>
      <c r="I14" s="5">
        <f t="shared" si="3"/>
        <v>0</v>
      </c>
      <c r="J14" s="5">
        <f>Table1[[#This Row],[Enrolment S.Y. 2025-2026 ]]*8</f>
        <v>3336</v>
      </c>
      <c r="K14" s="5"/>
      <c r="L14" s="1"/>
      <c r="M14" s="5"/>
      <c r="N14" s="5">
        <f t="shared" si="10"/>
        <v>3336</v>
      </c>
      <c r="O14" s="5">
        <f t="shared" si="11"/>
        <v>0</v>
      </c>
      <c r="P14" s="5">
        <f>Table1[[#This Row],[Enrolment S.Y. 2025-2026 ]]*8</f>
        <v>3336</v>
      </c>
      <c r="Q14" s="5"/>
      <c r="R14" s="1"/>
      <c r="S14" s="5"/>
      <c r="T14" s="5">
        <f t="shared" si="12"/>
        <v>3336</v>
      </c>
      <c r="U14" s="5">
        <f t="shared" si="13"/>
        <v>0</v>
      </c>
      <c r="V14" s="5">
        <f>Table1[[#This Row],[Enrolment S.Y. 2025-2026 ]]*8</f>
        <v>3336</v>
      </c>
      <c r="W14" s="5"/>
      <c r="X14" s="1"/>
      <c r="Y14" s="5"/>
      <c r="Z14" s="5">
        <f t="shared" si="14"/>
        <v>3336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417</v>
      </c>
      <c r="D15" s="5">
        <f>Table1[[#This Row],[Enrolment S.Y. 2025-2026 ]]*8</f>
        <v>3336</v>
      </c>
      <c r="E15" s="5"/>
      <c r="F15" s="1"/>
      <c r="G15" s="5"/>
      <c r="H15" s="5">
        <f t="shared" si="2"/>
        <v>3336</v>
      </c>
      <c r="I15" s="5">
        <f t="shared" si="3"/>
        <v>0</v>
      </c>
      <c r="J15" s="5">
        <f>Table1[[#This Row],[Enrolment S.Y. 2025-2026 ]]*8</f>
        <v>3336</v>
      </c>
      <c r="K15" s="5"/>
      <c r="L15" s="1"/>
      <c r="M15" s="5"/>
      <c r="N15" s="5">
        <f t="shared" si="10"/>
        <v>3336</v>
      </c>
      <c r="O15" s="5">
        <f t="shared" si="11"/>
        <v>0</v>
      </c>
      <c r="P15" s="5">
        <f>Table1[[#This Row],[Enrolment S.Y. 2025-2026 ]]*8</f>
        <v>3336</v>
      </c>
      <c r="Q15" s="5"/>
      <c r="R15" s="1"/>
      <c r="S15" s="5"/>
      <c r="T15" s="5">
        <f t="shared" si="12"/>
        <v>3336</v>
      </c>
      <c r="U15" s="5">
        <f t="shared" si="13"/>
        <v>0</v>
      </c>
      <c r="V15" s="5">
        <f>Table1[[#This Row],[Enrolment S.Y. 2025-2026 ]]*8</f>
        <v>3336</v>
      </c>
      <c r="W15" s="5"/>
      <c r="X15" s="1"/>
      <c r="Y15" s="5"/>
      <c r="Z15" s="5">
        <f t="shared" si="14"/>
        <v>3336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417</v>
      </c>
      <c r="D16" s="5">
        <f>Table1[[#This Row],[Enrolment S.Y. 2025-2026 ]]*8</f>
        <v>3336</v>
      </c>
      <c r="E16" s="5">
        <v>3096</v>
      </c>
      <c r="F16" s="1">
        <v>2025</v>
      </c>
      <c r="G16" s="5" t="s">
        <v>13</v>
      </c>
      <c r="H16" s="5">
        <f t="shared" si="2"/>
        <v>240</v>
      </c>
      <c r="I16" s="5">
        <f t="shared" si="3"/>
        <v>0</v>
      </c>
      <c r="J16" s="5">
        <f>Table1[[#This Row],[Enrolment S.Y. 2025-2026 ]]*8</f>
        <v>3336</v>
      </c>
      <c r="K16" s="5"/>
      <c r="L16" s="1"/>
      <c r="M16" s="5"/>
      <c r="N16" s="5">
        <f t="shared" si="10"/>
        <v>3336</v>
      </c>
      <c r="O16" s="5">
        <f t="shared" si="11"/>
        <v>0</v>
      </c>
      <c r="P16" s="5">
        <f>Table1[[#This Row],[Enrolment S.Y. 2025-2026 ]]*8</f>
        <v>3336</v>
      </c>
      <c r="Q16" s="5"/>
      <c r="R16" s="1"/>
      <c r="S16" s="5"/>
      <c r="T16" s="5">
        <f t="shared" si="12"/>
        <v>3336</v>
      </c>
      <c r="U16" s="5">
        <f t="shared" si="13"/>
        <v>0</v>
      </c>
      <c r="V16" s="5">
        <f>Table1[[#This Row],[Enrolment S.Y. 2025-2026 ]]*8</f>
        <v>3336</v>
      </c>
      <c r="W16" s="5"/>
      <c r="X16" s="1"/>
      <c r="Y16" s="5"/>
      <c r="Z16" s="5">
        <f t="shared" si="14"/>
        <v>3336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417</v>
      </c>
      <c r="D17" s="5">
        <f>Table1[[#This Row],[Enrolment S.Y. 2025-2026 ]]*8</f>
        <v>3336</v>
      </c>
      <c r="E17" s="5">
        <v>3096</v>
      </c>
      <c r="F17" s="1">
        <v>2025</v>
      </c>
      <c r="G17" s="5" t="s">
        <v>13</v>
      </c>
      <c r="H17" s="5">
        <f t="shared" si="2"/>
        <v>240</v>
      </c>
      <c r="I17" s="5">
        <f t="shared" si="3"/>
        <v>0</v>
      </c>
      <c r="J17" s="5">
        <f>Table1[[#This Row],[Enrolment S.Y. 2025-2026 ]]*8</f>
        <v>3336</v>
      </c>
      <c r="K17" s="5">
        <v>413</v>
      </c>
      <c r="L17" s="1"/>
      <c r="M17" s="5"/>
      <c r="N17" s="5">
        <f t="shared" si="10"/>
        <v>2923</v>
      </c>
      <c r="O17" s="5">
        <f t="shared" si="11"/>
        <v>0</v>
      </c>
      <c r="P17" s="5">
        <f>Table1[[#This Row],[Enrolment S.Y. 2025-2026 ]]*8</f>
        <v>3336</v>
      </c>
      <c r="Q17" s="5"/>
      <c r="R17" s="1"/>
      <c r="S17" s="5"/>
      <c r="T17" s="5">
        <f t="shared" si="12"/>
        <v>3336</v>
      </c>
      <c r="U17" s="5">
        <f t="shared" si="13"/>
        <v>0</v>
      </c>
      <c r="V17" s="5">
        <f>Table1[[#This Row],[Enrolment S.Y. 2025-2026 ]]*8</f>
        <v>3336</v>
      </c>
      <c r="W17" s="5"/>
      <c r="X17" s="1"/>
      <c r="Y17" s="5"/>
      <c r="Z17" s="5">
        <f t="shared" si="14"/>
        <v>3336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417</v>
      </c>
      <c r="D18" s="5">
        <f>Table1[[#This Row],[Enrolment S.Y. 2025-2026 ]]*8</f>
        <v>3336</v>
      </c>
      <c r="E18" s="5"/>
      <c r="F18" s="1"/>
      <c r="G18" s="5"/>
      <c r="H18" s="5">
        <f t="shared" si="2"/>
        <v>3336</v>
      </c>
      <c r="I18" s="5">
        <f t="shared" si="3"/>
        <v>0</v>
      </c>
      <c r="J18" s="5">
        <f>Table1[[#This Row],[Enrolment S.Y. 2025-2026 ]]*8</f>
        <v>3336</v>
      </c>
      <c r="K18" s="5"/>
      <c r="L18" s="1"/>
      <c r="M18" s="5"/>
      <c r="N18" s="5">
        <f t="shared" si="10"/>
        <v>3336</v>
      </c>
      <c r="O18" s="5">
        <f t="shared" si="11"/>
        <v>0</v>
      </c>
      <c r="P18" s="5">
        <f>Table1[[#This Row],[Enrolment S.Y. 2025-2026 ]]*8</f>
        <v>3336</v>
      </c>
      <c r="Q18" s="5"/>
      <c r="R18" s="1"/>
      <c r="S18" s="5"/>
      <c r="T18" s="5">
        <f t="shared" si="12"/>
        <v>3336</v>
      </c>
      <c r="U18" s="5">
        <f t="shared" si="13"/>
        <v>0</v>
      </c>
      <c r="V18" s="5">
        <f>Table1[[#This Row],[Enrolment S.Y. 2025-2026 ]]*8</f>
        <v>3336</v>
      </c>
      <c r="W18" s="5"/>
      <c r="X18" s="1"/>
      <c r="Y18" s="5"/>
      <c r="Z18" s="5">
        <f t="shared" si="14"/>
        <v>3336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417</v>
      </c>
      <c r="D19" s="5">
        <f>Table1[[#This Row],[Enrolment S.Y. 2025-2026 ]]*8</f>
        <v>3336</v>
      </c>
      <c r="E19" s="5">
        <v>3096</v>
      </c>
      <c r="F19" s="1">
        <v>2025</v>
      </c>
      <c r="G19" s="5" t="s">
        <v>13</v>
      </c>
      <c r="H19" s="5">
        <f>IF((D19-E19)&lt;0,0,(D19-E19))</f>
        <v>240</v>
      </c>
      <c r="I19" s="5">
        <f>IF((E19-D19)&lt;0,0,(E19-D19))</f>
        <v>0</v>
      </c>
      <c r="J19" s="5">
        <f>Table1[[#This Row],[Enrolment S.Y. 2025-2026 ]]*8</f>
        <v>3336</v>
      </c>
      <c r="K19" s="5">
        <v>413</v>
      </c>
      <c r="L19" s="1">
        <v>2025</v>
      </c>
      <c r="M19" s="5" t="s">
        <v>13</v>
      </c>
      <c r="N19" s="5">
        <f t="shared" si="10"/>
        <v>2923</v>
      </c>
      <c r="O19" s="5">
        <f t="shared" si="11"/>
        <v>0</v>
      </c>
      <c r="P19" s="5">
        <f>Table1[[#This Row],[Enrolment S.Y. 2025-2026 ]]*8</f>
        <v>3336</v>
      </c>
      <c r="Q19" s="5"/>
      <c r="R19" s="1"/>
      <c r="S19" s="5"/>
      <c r="T19" s="5">
        <f t="shared" si="12"/>
        <v>3336</v>
      </c>
      <c r="U19" s="5">
        <f t="shared" si="13"/>
        <v>0</v>
      </c>
      <c r="V19" s="5">
        <f>Table1[[#This Row],[Enrolment S.Y. 2025-2026 ]]*8</f>
        <v>3336</v>
      </c>
      <c r="W19" s="5"/>
      <c r="X19" s="1"/>
      <c r="Y19" s="5"/>
      <c r="Z19" s="5">
        <f t="shared" si="14"/>
        <v>3336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417</v>
      </c>
      <c r="D20" s="5">
        <f>Table1[[#This Row],[Enrolment S.Y. 2025-2026 ]]*8</f>
        <v>3336</v>
      </c>
      <c r="E20" s="5">
        <v>3090</v>
      </c>
      <c r="F20" s="1">
        <v>2025</v>
      </c>
      <c r="G20" s="5" t="s">
        <v>13</v>
      </c>
      <c r="H20" s="5">
        <f>IF((D20-E20)&lt;0,0,(D20-E20))</f>
        <v>246</v>
      </c>
      <c r="I20" s="5">
        <f>IF((E20-D20)&lt;0,0,(E20-D20))</f>
        <v>0</v>
      </c>
      <c r="J20" s="5">
        <f>Table1[[#This Row],[Enrolment S.Y. 2025-2026 ]]*8</f>
        <v>3336</v>
      </c>
      <c r="K20" s="5"/>
      <c r="L20" s="1"/>
      <c r="M20" s="5"/>
      <c r="N20" s="5">
        <f t="shared" si="10"/>
        <v>3336</v>
      </c>
      <c r="O20" s="5">
        <f t="shared" si="11"/>
        <v>0</v>
      </c>
      <c r="P20" s="5">
        <f>Table1[[#This Row],[Enrolment S.Y. 2025-2026 ]]*8</f>
        <v>3336</v>
      </c>
      <c r="Q20" s="5"/>
      <c r="R20" s="1"/>
      <c r="S20" s="5"/>
      <c r="T20" s="5">
        <f t="shared" si="12"/>
        <v>3336</v>
      </c>
      <c r="U20" s="5">
        <f t="shared" si="13"/>
        <v>0</v>
      </c>
      <c r="V20" s="5">
        <f>Table1[[#This Row],[Enrolment S.Y. 2025-2026 ]]*8</f>
        <v>3336</v>
      </c>
      <c r="W20" s="5"/>
      <c r="X20" s="1"/>
      <c r="Y20" s="5"/>
      <c r="Z20" s="5">
        <f t="shared" si="14"/>
        <v>3336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417</v>
      </c>
      <c r="D21" s="5">
        <f>Table1[[#This Row],[Enrolment S.Y. 2025-2026 ]]*8</f>
        <v>3336</v>
      </c>
      <c r="E21" s="5"/>
      <c r="F21" s="1"/>
      <c r="G21" s="5"/>
      <c r="H21" s="5">
        <f>IF((D21-E21)&lt;0,0,(D21-E21))</f>
        <v>3336</v>
      </c>
      <c r="I21" s="5">
        <f>IF((E21-D21)&lt;0,0,(E21-D21))</f>
        <v>0</v>
      </c>
      <c r="J21" s="5">
        <f>Table1[[#This Row],[Enrolment S.Y. 2025-2026 ]]*8</f>
        <v>3336</v>
      </c>
      <c r="K21" s="5"/>
      <c r="L21" s="1"/>
      <c r="M21" s="5"/>
      <c r="N21" s="5">
        <f t="shared" si="10"/>
        <v>3336</v>
      </c>
      <c r="O21" s="5">
        <f t="shared" si="11"/>
        <v>0</v>
      </c>
      <c r="P21" s="5">
        <f>Table1[[#This Row],[Enrolment S.Y. 2025-2026 ]]*8</f>
        <v>3336</v>
      </c>
      <c r="Q21" s="5"/>
      <c r="R21" s="1"/>
      <c r="S21" s="5"/>
      <c r="T21" s="5">
        <f t="shared" si="12"/>
        <v>3336</v>
      </c>
      <c r="U21" s="5">
        <f t="shared" si="13"/>
        <v>0</v>
      </c>
      <c r="V21" s="5">
        <f>Table1[[#This Row],[Enrolment S.Y. 2025-2026 ]]*8</f>
        <v>3336</v>
      </c>
      <c r="W21" s="5"/>
      <c r="X21" s="1"/>
      <c r="Y21" s="5"/>
      <c r="Z21" s="5">
        <f t="shared" si="14"/>
        <v>3336</v>
      </c>
      <c r="AA21" s="5">
        <f t="shared" si="15"/>
        <v>0</v>
      </c>
    </row>
    <row r="22" spans="1:27" s="7" customFormat="1" ht="19.149999999999999">
      <c r="J22" s="13"/>
      <c r="M22" s="13"/>
      <c r="N22" s="13"/>
      <c r="O22" s="13"/>
      <c r="P22" s="13"/>
      <c r="S22" s="13"/>
      <c r="T22" s="13"/>
      <c r="U22" s="13"/>
      <c r="V22" s="13"/>
      <c r="Y22" s="13"/>
      <c r="Z22" s="13"/>
      <c r="AA22" s="13"/>
    </row>
    <row r="23" spans="1:27" ht="19.5">
      <c r="A23" s="1">
        <v>3</v>
      </c>
      <c r="B23" s="40" t="s">
        <v>8</v>
      </c>
      <c r="C23" s="1">
        <v>370</v>
      </c>
      <c r="D23" s="5">
        <f>Table1[[#This Row],[Enrolment S.Y. 2025-2026 ]]*8</f>
        <v>2960</v>
      </c>
      <c r="E23" s="5"/>
      <c r="F23" s="1"/>
      <c r="G23" s="5"/>
      <c r="H23" s="5">
        <f t="shared" si="2"/>
        <v>2960</v>
      </c>
      <c r="I23" s="5">
        <f t="shared" si="3"/>
        <v>0</v>
      </c>
      <c r="J23" s="5">
        <f>Table1[[#This Row],[Enrolment S.Y. 2025-2026 ]]*8</f>
        <v>2960</v>
      </c>
      <c r="K23" s="5"/>
      <c r="L23" s="1"/>
      <c r="M23" s="5"/>
      <c r="N23" s="5">
        <f t="shared" si="10"/>
        <v>2960</v>
      </c>
      <c r="O23" s="5">
        <f t="shared" si="11"/>
        <v>0</v>
      </c>
      <c r="P23" s="5">
        <f>Table1[[#This Row],[Enrolment S.Y. 2025-2026 ]]*8</f>
        <v>2960</v>
      </c>
      <c r="Q23" s="5"/>
      <c r="R23" s="1"/>
      <c r="S23" s="5"/>
      <c r="T23" s="5">
        <f t="shared" si="12"/>
        <v>2960</v>
      </c>
      <c r="U23" s="5">
        <f t="shared" si="13"/>
        <v>0</v>
      </c>
      <c r="V23" s="5">
        <f>Table1[[#This Row],[Enrolment S.Y. 2025-2026 ]]*8</f>
        <v>2960</v>
      </c>
      <c r="W23" s="5"/>
      <c r="X23" s="1"/>
      <c r="Y23" s="5"/>
      <c r="Z23" s="5">
        <f t="shared" si="14"/>
        <v>2960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370</v>
      </c>
      <c r="D24" s="5">
        <f>Table1[[#This Row],[Enrolment S.Y. 2025-2026 ]]*8</f>
        <v>2960</v>
      </c>
      <c r="E24" s="5"/>
      <c r="F24" s="1"/>
      <c r="G24" s="5"/>
      <c r="H24" s="5">
        <f t="shared" si="2"/>
        <v>2960</v>
      </c>
      <c r="I24" s="5">
        <f t="shared" si="3"/>
        <v>0</v>
      </c>
      <c r="J24" s="5">
        <f>Table1[[#This Row],[Enrolment S.Y. 2025-2026 ]]*8</f>
        <v>2960</v>
      </c>
      <c r="K24" s="5"/>
      <c r="L24" s="1"/>
      <c r="M24" s="5"/>
      <c r="N24" s="5">
        <f t="shared" si="10"/>
        <v>2960</v>
      </c>
      <c r="O24" s="5">
        <f t="shared" si="11"/>
        <v>0</v>
      </c>
      <c r="P24" s="5">
        <f>Table1[[#This Row],[Enrolment S.Y. 2025-2026 ]]*8</f>
        <v>2960</v>
      </c>
      <c r="Q24" s="5"/>
      <c r="R24" s="1"/>
      <c r="S24" s="5"/>
      <c r="T24" s="5">
        <f t="shared" si="12"/>
        <v>2960</v>
      </c>
      <c r="U24" s="5">
        <f t="shared" si="13"/>
        <v>0</v>
      </c>
      <c r="V24" s="5">
        <f>Table1[[#This Row],[Enrolment S.Y. 2025-2026 ]]*8</f>
        <v>2960</v>
      </c>
      <c r="W24" s="5"/>
      <c r="X24" s="1"/>
      <c r="Y24" s="5"/>
      <c r="Z24" s="5">
        <f t="shared" si="14"/>
        <v>2960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370</v>
      </c>
      <c r="D25" s="5">
        <f>Table1[[#This Row],[Enrolment S.Y. 2025-2026 ]]*8</f>
        <v>2960</v>
      </c>
      <c r="E25" s="5"/>
      <c r="F25" s="1"/>
      <c r="G25" s="5"/>
      <c r="H25" s="5">
        <f t="shared" si="2"/>
        <v>2960</v>
      </c>
      <c r="I25" s="5">
        <f t="shared" si="3"/>
        <v>0</v>
      </c>
      <c r="J25" s="5">
        <f>Table1[[#This Row],[Enrolment S.Y. 2025-2026 ]]*8</f>
        <v>2960</v>
      </c>
      <c r="K25" s="5"/>
      <c r="L25" s="1"/>
      <c r="M25" s="5"/>
      <c r="N25" s="5">
        <f t="shared" si="10"/>
        <v>2960</v>
      </c>
      <c r="O25" s="5">
        <f t="shared" si="11"/>
        <v>0</v>
      </c>
      <c r="P25" s="5">
        <f>Table1[[#This Row],[Enrolment S.Y. 2025-2026 ]]*8</f>
        <v>2960</v>
      </c>
      <c r="Q25" s="5"/>
      <c r="R25" s="1"/>
      <c r="S25" s="5"/>
      <c r="T25" s="5">
        <f t="shared" si="12"/>
        <v>2960</v>
      </c>
      <c r="U25" s="5">
        <f t="shared" si="13"/>
        <v>0</v>
      </c>
      <c r="V25" s="5">
        <f>Table1[[#This Row],[Enrolment S.Y. 2025-2026 ]]*8</f>
        <v>2960</v>
      </c>
      <c r="W25" s="5"/>
      <c r="X25" s="1"/>
      <c r="Y25" s="5"/>
      <c r="Z25" s="5">
        <f t="shared" si="14"/>
        <v>2960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370</v>
      </c>
      <c r="D26" s="5">
        <f>Table1[[#This Row],[Enrolment S.Y. 2025-2026 ]]*8</f>
        <v>2960</v>
      </c>
      <c r="E26" s="5">
        <v>3048</v>
      </c>
      <c r="F26" s="1">
        <v>2025</v>
      </c>
      <c r="G26" s="5" t="s">
        <v>13</v>
      </c>
      <c r="H26" s="5">
        <f t="shared" si="2"/>
        <v>0</v>
      </c>
      <c r="I26" s="5">
        <f t="shared" si="3"/>
        <v>88</v>
      </c>
      <c r="J26" s="5">
        <f>Table1[[#This Row],[Enrolment S.Y. 2025-2026 ]]*8</f>
        <v>2960</v>
      </c>
      <c r="K26" s="5"/>
      <c r="L26" s="1"/>
      <c r="M26" s="5"/>
      <c r="N26" s="5">
        <f t="shared" si="10"/>
        <v>2960</v>
      </c>
      <c r="O26" s="5">
        <f t="shared" si="11"/>
        <v>0</v>
      </c>
      <c r="P26" s="5">
        <f>Table1[[#This Row],[Enrolment S.Y. 2025-2026 ]]*8</f>
        <v>2960</v>
      </c>
      <c r="Q26" s="5"/>
      <c r="R26" s="1"/>
      <c r="S26" s="5"/>
      <c r="T26" s="5">
        <f t="shared" si="12"/>
        <v>2960</v>
      </c>
      <c r="U26" s="5">
        <f t="shared" si="13"/>
        <v>0</v>
      </c>
      <c r="V26" s="5">
        <f>Table1[[#This Row],[Enrolment S.Y. 2025-2026 ]]*8</f>
        <v>2960</v>
      </c>
      <c r="W26" s="5"/>
      <c r="X26" s="1"/>
      <c r="Y26" s="5"/>
      <c r="Z26" s="5">
        <f t="shared" si="14"/>
        <v>2960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370</v>
      </c>
      <c r="D27" s="5">
        <f>Table1[[#This Row],[Enrolment S.Y. 2025-2026 ]]*8</f>
        <v>2960</v>
      </c>
      <c r="E27" s="5">
        <v>3048</v>
      </c>
      <c r="F27" s="1">
        <v>2025</v>
      </c>
      <c r="G27" s="5" t="s">
        <v>13</v>
      </c>
      <c r="H27" s="5">
        <f t="shared" si="2"/>
        <v>0</v>
      </c>
      <c r="I27" s="5">
        <f t="shared" si="3"/>
        <v>88</v>
      </c>
      <c r="J27" s="5">
        <f>Table1[[#This Row],[Enrolment S.Y. 2025-2026 ]]*8</f>
        <v>2960</v>
      </c>
      <c r="K27" s="5"/>
      <c r="L27" s="1"/>
      <c r="M27" s="5"/>
      <c r="N27" s="5">
        <f t="shared" si="10"/>
        <v>2960</v>
      </c>
      <c r="O27" s="5">
        <f t="shared" si="11"/>
        <v>0</v>
      </c>
      <c r="P27" s="5">
        <f>Table1[[#This Row],[Enrolment S.Y. 2025-2026 ]]*8</f>
        <v>2960</v>
      </c>
      <c r="Q27" s="5"/>
      <c r="R27" s="1"/>
      <c r="S27" s="5"/>
      <c r="T27" s="5">
        <f t="shared" si="12"/>
        <v>2960</v>
      </c>
      <c r="U27" s="5">
        <f t="shared" si="13"/>
        <v>0</v>
      </c>
      <c r="V27" s="5">
        <f>Table1[[#This Row],[Enrolment S.Y. 2025-2026 ]]*8</f>
        <v>2960</v>
      </c>
      <c r="W27" s="5"/>
      <c r="X27" s="1"/>
      <c r="Y27" s="5"/>
      <c r="Z27" s="5">
        <f t="shared" si="14"/>
        <v>2960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370</v>
      </c>
      <c r="D28" s="5">
        <f>Table1[[#This Row],[Enrolment S.Y. 2025-2026 ]]*8</f>
        <v>2960</v>
      </c>
      <c r="E28" s="5">
        <v>3048</v>
      </c>
      <c r="F28" s="1">
        <v>2025</v>
      </c>
      <c r="G28" s="5" t="s">
        <v>13</v>
      </c>
      <c r="H28" s="5">
        <f t="shared" si="2"/>
        <v>0</v>
      </c>
      <c r="I28" s="5">
        <f t="shared" si="3"/>
        <v>88</v>
      </c>
      <c r="J28" s="5">
        <f>Table1[[#This Row],[Enrolment S.Y. 2025-2026 ]]*8</f>
        <v>2960</v>
      </c>
      <c r="K28" s="5"/>
      <c r="L28" s="1"/>
      <c r="M28" s="5"/>
      <c r="N28" s="5">
        <f t="shared" si="10"/>
        <v>2960</v>
      </c>
      <c r="O28" s="5">
        <f t="shared" si="11"/>
        <v>0</v>
      </c>
      <c r="P28" s="5">
        <f>Table1[[#This Row],[Enrolment S.Y. 2025-2026 ]]*8</f>
        <v>2960</v>
      </c>
      <c r="Q28" s="5"/>
      <c r="R28" s="1"/>
      <c r="S28" s="5"/>
      <c r="T28" s="5">
        <f t="shared" si="12"/>
        <v>2960</v>
      </c>
      <c r="U28" s="5">
        <f t="shared" si="13"/>
        <v>0</v>
      </c>
      <c r="V28" s="5">
        <f>Table1[[#This Row],[Enrolment S.Y. 2025-2026 ]]*8</f>
        <v>2960</v>
      </c>
      <c r="W28" s="5"/>
      <c r="X28" s="1"/>
      <c r="Y28" s="5"/>
      <c r="Z28" s="5">
        <f t="shared" si="14"/>
        <v>2960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370</v>
      </c>
      <c r="D29" s="5">
        <f>Table1[[#This Row],[Enrolment S.Y. 2025-2026 ]]*8</f>
        <v>2960</v>
      </c>
      <c r="E29" s="5">
        <v>3048</v>
      </c>
      <c r="F29" s="1">
        <v>2025</v>
      </c>
      <c r="G29" s="5" t="s">
        <v>13</v>
      </c>
      <c r="H29" s="5">
        <f>IF((D29-E29)&lt;0,0,(D29-E29))</f>
        <v>0</v>
      </c>
      <c r="I29" s="5">
        <f>IF((E29-D29)&lt;0,0,(E29-D29))</f>
        <v>88</v>
      </c>
      <c r="J29" s="5">
        <f>Table1[[#This Row],[Enrolment S.Y. 2025-2026 ]]*8</f>
        <v>2960</v>
      </c>
      <c r="K29" s="5"/>
      <c r="L29" s="1"/>
      <c r="M29" s="5"/>
      <c r="N29" s="5">
        <f t="shared" si="10"/>
        <v>2960</v>
      </c>
      <c r="O29" s="5">
        <f t="shared" si="11"/>
        <v>0</v>
      </c>
      <c r="P29" s="5">
        <f>Table1[[#This Row],[Enrolment S.Y. 2025-2026 ]]*8</f>
        <v>2960</v>
      </c>
      <c r="Q29" s="5"/>
      <c r="R29" s="1"/>
      <c r="S29" s="5"/>
      <c r="T29" s="5">
        <f t="shared" si="12"/>
        <v>2960</v>
      </c>
      <c r="U29" s="5">
        <f t="shared" si="13"/>
        <v>0</v>
      </c>
      <c r="V29" s="5">
        <f>Table1[[#This Row],[Enrolment S.Y. 2025-2026 ]]*8</f>
        <v>2960</v>
      </c>
      <c r="W29" s="5"/>
      <c r="X29" s="1"/>
      <c r="Y29" s="5"/>
      <c r="Z29" s="5">
        <f t="shared" si="14"/>
        <v>2960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370</v>
      </c>
      <c r="D30" s="5">
        <f>Table1[[#This Row],[Enrolment S.Y. 2025-2026 ]]*8</f>
        <v>2960</v>
      </c>
      <c r="E30" s="5"/>
      <c r="F30" s="1"/>
      <c r="G30" s="5"/>
      <c r="H30" s="5">
        <f>IF((D30-E30)&lt;0,0,(D30-E30))</f>
        <v>2960</v>
      </c>
      <c r="I30" s="5">
        <f>IF((E30-D30)&lt;0,0,(E30-D30))</f>
        <v>0</v>
      </c>
      <c r="J30" s="5">
        <f>Table1[[#This Row],[Enrolment S.Y. 2025-2026 ]]*8</f>
        <v>2960</v>
      </c>
      <c r="K30" s="5"/>
      <c r="L30" s="1"/>
      <c r="M30" s="5"/>
      <c r="N30" s="5">
        <f t="shared" si="10"/>
        <v>2960</v>
      </c>
      <c r="O30" s="5">
        <f t="shared" si="11"/>
        <v>0</v>
      </c>
      <c r="P30" s="5">
        <f>Table1[[#This Row],[Enrolment S.Y. 2025-2026 ]]*8</f>
        <v>2960</v>
      </c>
      <c r="Q30" s="5"/>
      <c r="R30" s="1"/>
      <c r="S30" s="5"/>
      <c r="T30" s="5">
        <f t="shared" si="12"/>
        <v>2960</v>
      </c>
      <c r="U30" s="5">
        <f t="shared" si="13"/>
        <v>0</v>
      </c>
      <c r="V30" s="5">
        <f>Table1[[#This Row],[Enrolment S.Y. 2025-2026 ]]*8</f>
        <v>2960</v>
      </c>
      <c r="W30" s="5"/>
      <c r="X30" s="1"/>
      <c r="Y30" s="5"/>
      <c r="Z30" s="5">
        <f t="shared" si="14"/>
        <v>2960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370</v>
      </c>
      <c r="D31" s="5">
        <f>Table1[[#This Row],[Enrolment S.Y. 2025-2026 ]]*8</f>
        <v>2960</v>
      </c>
      <c r="E31" s="5"/>
      <c r="F31" s="1"/>
      <c r="G31" s="5"/>
      <c r="H31" s="5">
        <f>IF((D31-E31)&lt;0,0,(D31-E31))</f>
        <v>2960</v>
      </c>
      <c r="I31" s="5">
        <f>IF((E31-D31)&lt;0,0,(E31-D31))</f>
        <v>0</v>
      </c>
      <c r="J31" s="5">
        <f>Table1[[#This Row],[Enrolment S.Y. 2025-2026 ]]*8</f>
        <v>2960</v>
      </c>
      <c r="K31" s="5"/>
      <c r="L31" s="1"/>
      <c r="M31" s="5"/>
      <c r="N31" s="5">
        <f t="shared" si="10"/>
        <v>2960</v>
      </c>
      <c r="O31" s="5">
        <f t="shared" si="11"/>
        <v>0</v>
      </c>
      <c r="P31" s="5">
        <f>Table1[[#This Row],[Enrolment S.Y. 2025-2026 ]]*8</f>
        <v>2960</v>
      </c>
      <c r="Q31" s="5"/>
      <c r="R31" s="1"/>
      <c r="S31" s="5"/>
      <c r="T31" s="5">
        <f t="shared" si="12"/>
        <v>2960</v>
      </c>
      <c r="U31" s="5">
        <f t="shared" si="13"/>
        <v>0</v>
      </c>
      <c r="V31" s="5">
        <f>Table1[[#This Row],[Enrolment S.Y. 2025-2026 ]]*8</f>
        <v>2960</v>
      </c>
      <c r="W31" s="5"/>
      <c r="X31" s="1"/>
      <c r="Y31" s="5"/>
      <c r="Z31" s="5">
        <f t="shared" si="14"/>
        <v>2960</v>
      </c>
      <c r="AA31" s="5">
        <f t="shared" si="15"/>
        <v>0</v>
      </c>
    </row>
    <row r="32" spans="1:27" s="7" customFormat="1" ht="19.149999999999999">
      <c r="J32" s="13"/>
      <c r="M32" s="13"/>
      <c r="N32" s="13"/>
      <c r="O32" s="13"/>
      <c r="P32" s="13"/>
      <c r="S32" s="13"/>
      <c r="T32" s="13"/>
      <c r="U32" s="13"/>
      <c r="V32" s="13"/>
      <c r="Y32" s="13"/>
      <c r="Z32" s="13"/>
      <c r="AA32" s="13"/>
    </row>
    <row r="33" spans="1:27" ht="19.5">
      <c r="A33" s="1">
        <v>4</v>
      </c>
      <c r="B33" s="9" t="s">
        <v>15</v>
      </c>
      <c r="C33" s="1">
        <v>466</v>
      </c>
      <c r="D33" s="5">
        <f>Table1[[#This Row],[Enrolment S.Y. 2025-2026 ]]*8</f>
        <v>3728</v>
      </c>
      <c r="E33" s="5"/>
      <c r="F33" s="1"/>
      <c r="G33" s="5"/>
      <c r="H33" s="5">
        <f t="shared" si="2"/>
        <v>3728</v>
      </c>
      <c r="I33" s="5">
        <f t="shared" si="3"/>
        <v>0</v>
      </c>
      <c r="J33" s="5">
        <f>Table1[[#This Row],[Enrolment S.Y. 2025-2026 ]]*8</f>
        <v>3728</v>
      </c>
      <c r="K33" s="5"/>
      <c r="L33" s="1"/>
      <c r="M33" s="5"/>
      <c r="N33" s="5">
        <f t="shared" si="10"/>
        <v>3728</v>
      </c>
      <c r="O33" s="5">
        <f t="shared" si="11"/>
        <v>0</v>
      </c>
      <c r="P33" s="5">
        <f>Table1[[#This Row],[Enrolment S.Y. 2025-2026 ]]*8</f>
        <v>3728</v>
      </c>
      <c r="Q33" s="5"/>
      <c r="R33" s="1"/>
      <c r="S33" s="5"/>
      <c r="T33" s="5">
        <f t="shared" si="12"/>
        <v>3728</v>
      </c>
      <c r="U33" s="5">
        <f t="shared" si="13"/>
        <v>0</v>
      </c>
      <c r="V33" s="5">
        <f>Table1[[#This Row],[Enrolment S.Y. 2025-2026 ]]*8</f>
        <v>3728</v>
      </c>
      <c r="W33" s="5"/>
      <c r="X33" s="1"/>
      <c r="Y33" s="5"/>
      <c r="Z33" s="5">
        <f t="shared" si="14"/>
        <v>3728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466</v>
      </c>
      <c r="D34" s="5">
        <f>Table1[[#This Row],[Enrolment S.Y. 2025-2026 ]]*8</f>
        <v>3728</v>
      </c>
      <c r="E34" s="5"/>
      <c r="F34" s="1"/>
      <c r="G34" s="5"/>
      <c r="H34" s="5">
        <f t="shared" si="2"/>
        <v>3728</v>
      </c>
      <c r="I34" s="5">
        <f t="shared" si="3"/>
        <v>0</v>
      </c>
      <c r="J34" s="5">
        <f>Table1[[#This Row],[Enrolment S.Y. 2025-2026 ]]*8</f>
        <v>3728</v>
      </c>
      <c r="K34" s="5"/>
      <c r="L34" s="1"/>
      <c r="M34" s="5"/>
      <c r="N34" s="5">
        <f t="shared" si="10"/>
        <v>3728</v>
      </c>
      <c r="O34" s="5">
        <f t="shared" si="11"/>
        <v>0</v>
      </c>
      <c r="P34" s="5">
        <f>Table1[[#This Row],[Enrolment S.Y. 2025-2026 ]]*8</f>
        <v>3728</v>
      </c>
      <c r="Q34" s="5"/>
      <c r="R34" s="1"/>
      <c r="S34" s="5"/>
      <c r="T34" s="5">
        <f t="shared" si="12"/>
        <v>3728</v>
      </c>
      <c r="U34" s="5">
        <f t="shared" si="13"/>
        <v>0</v>
      </c>
      <c r="V34" s="5">
        <f>Table1[[#This Row],[Enrolment S.Y. 2025-2026 ]]*8</f>
        <v>3728</v>
      </c>
      <c r="W34" s="5"/>
      <c r="X34" s="1"/>
      <c r="Y34" s="5"/>
      <c r="Z34" s="5">
        <f t="shared" si="14"/>
        <v>3728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466</v>
      </c>
      <c r="D35" s="5">
        <f>Table1[[#This Row],[Enrolment S.Y. 2025-2026 ]]*8</f>
        <v>3728</v>
      </c>
      <c r="E35" s="5"/>
      <c r="F35" s="1"/>
      <c r="G35" s="5"/>
      <c r="H35" s="5">
        <f t="shared" si="2"/>
        <v>3728</v>
      </c>
      <c r="I35" s="5">
        <f t="shared" si="3"/>
        <v>0</v>
      </c>
      <c r="J35" s="5">
        <f>Table1[[#This Row],[Enrolment S.Y. 2025-2026 ]]*8</f>
        <v>3728</v>
      </c>
      <c r="K35" s="5"/>
      <c r="L35" s="1"/>
      <c r="M35" s="5"/>
      <c r="N35" s="5">
        <f t="shared" si="10"/>
        <v>3728</v>
      </c>
      <c r="O35" s="5">
        <f t="shared" si="11"/>
        <v>0</v>
      </c>
      <c r="P35" s="5">
        <f>Table1[[#This Row],[Enrolment S.Y. 2025-2026 ]]*8</f>
        <v>3728</v>
      </c>
      <c r="Q35" s="5"/>
      <c r="R35" s="1"/>
      <c r="S35" s="5"/>
      <c r="T35" s="5">
        <f t="shared" si="12"/>
        <v>3728</v>
      </c>
      <c r="U35" s="5">
        <f t="shared" si="13"/>
        <v>0</v>
      </c>
      <c r="V35" s="5">
        <f>Table1[[#This Row],[Enrolment S.Y. 2025-2026 ]]*8</f>
        <v>3728</v>
      </c>
      <c r="W35" s="5"/>
      <c r="X35" s="1"/>
      <c r="Y35" s="5"/>
      <c r="Z35" s="5">
        <f t="shared" si="14"/>
        <v>3728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466</v>
      </c>
      <c r="D36" s="5">
        <f>Table1[[#This Row],[Enrolment S.Y. 2025-2026 ]]*8</f>
        <v>3728</v>
      </c>
      <c r="E36" s="5"/>
      <c r="F36" s="1"/>
      <c r="G36" s="5"/>
      <c r="H36" s="5">
        <f t="shared" si="2"/>
        <v>3728</v>
      </c>
      <c r="I36" s="5">
        <f t="shared" si="3"/>
        <v>0</v>
      </c>
      <c r="J36" s="5">
        <f>Table1[[#This Row],[Enrolment S.Y. 2025-2026 ]]*8</f>
        <v>3728</v>
      </c>
      <c r="K36" s="5"/>
      <c r="L36" s="1"/>
      <c r="M36" s="5"/>
      <c r="N36" s="5">
        <f t="shared" si="10"/>
        <v>3728</v>
      </c>
      <c r="O36" s="5">
        <f t="shared" si="11"/>
        <v>0</v>
      </c>
      <c r="P36" s="5">
        <f>Table1[[#This Row],[Enrolment S.Y. 2025-2026 ]]*8</f>
        <v>3728</v>
      </c>
      <c r="Q36" s="5"/>
      <c r="R36" s="1"/>
      <c r="S36" s="5"/>
      <c r="T36" s="5">
        <f t="shared" si="12"/>
        <v>3728</v>
      </c>
      <c r="U36" s="5">
        <f t="shared" si="13"/>
        <v>0</v>
      </c>
      <c r="V36" s="5">
        <f>Table1[[#This Row],[Enrolment S.Y. 2025-2026 ]]*8</f>
        <v>3728</v>
      </c>
      <c r="W36" s="5"/>
      <c r="X36" s="1"/>
      <c r="Y36" s="5"/>
      <c r="Z36" s="5">
        <f t="shared" si="14"/>
        <v>3728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466</v>
      </c>
      <c r="D37" s="5">
        <f>Table1[[#This Row],[Enrolment S.Y. 2025-2026 ]]*8</f>
        <v>3728</v>
      </c>
      <c r="E37" s="5"/>
      <c r="F37" s="1"/>
      <c r="G37" s="5"/>
      <c r="H37" s="5">
        <f t="shared" si="2"/>
        <v>3728</v>
      </c>
      <c r="I37" s="5">
        <f t="shared" si="3"/>
        <v>0</v>
      </c>
      <c r="J37" s="5">
        <f>Table1[[#This Row],[Enrolment S.Y. 2025-2026 ]]*8</f>
        <v>3728</v>
      </c>
      <c r="K37" s="5"/>
      <c r="L37" s="1"/>
      <c r="M37" s="5"/>
      <c r="N37" s="5">
        <f t="shared" si="10"/>
        <v>3728</v>
      </c>
      <c r="O37" s="5">
        <f t="shared" si="11"/>
        <v>0</v>
      </c>
      <c r="P37" s="5">
        <f>Table1[[#This Row],[Enrolment S.Y. 2025-2026 ]]*8</f>
        <v>3728</v>
      </c>
      <c r="Q37" s="5"/>
      <c r="R37" s="1"/>
      <c r="S37" s="5"/>
      <c r="T37" s="5">
        <f t="shared" si="12"/>
        <v>3728</v>
      </c>
      <c r="U37" s="5">
        <f t="shared" si="13"/>
        <v>0</v>
      </c>
      <c r="V37" s="5">
        <f>Table1[[#This Row],[Enrolment S.Y. 2025-2026 ]]*8</f>
        <v>3728</v>
      </c>
      <c r="W37" s="5"/>
      <c r="X37" s="1"/>
      <c r="Y37" s="5"/>
      <c r="Z37" s="5">
        <f t="shared" si="14"/>
        <v>3728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466</v>
      </c>
      <c r="D38" s="5">
        <f>Table1[[#This Row],[Enrolment S.Y. 2025-2026 ]]*8</f>
        <v>3728</v>
      </c>
      <c r="E38" s="5"/>
      <c r="F38" s="1"/>
      <c r="G38" s="5"/>
      <c r="H38" s="5">
        <f t="shared" si="2"/>
        <v>3728</v>
      </c>
      <c r="I38" s="5">
        <f t="shared" si="3"/>
        <v>0</v>
      </c>
      <c r="J38" s="5">
        <f>Table1[[#This Row],[Enrolment S.Y. 2025-2026 ]]*8</f>
        <v>3728</v>
      </c>
      <c r="K38" s="5"/>
      <c r="L38" s="1"/>
      <c r="M38" s="5"/>
      <c r="N38" s="5">
        <f t="shared" si="10"/>
        <v>3728</v>
      </c>
      <c r="O38" s="5">
        <f t="shared" si="11"/>
        <v>0</v>
      </c>
      <c r="P38" s="5">
        <f>Table1[[#This Row],[Enrolment S.Y. 2025-2026 ]]*8</f>
        <v>3728</v>
      </c>
      <c r="Q38" s="5"/>
      <c r="R38" s="1"/>
      <c r="S38" s="5"/>
      <c r="T38" s="5">
        <f t="shared" si="12"/>
        <v>3728</v>
      </c>
      <c r="U38" s="5">
        <f t="shared" si="13"/>
        <v>0</v>
      </c>
      <c r="V38" s="5">
        <f>Table1[[#This Row],[Enrolment S.Y. 2025-2026 ]]*8</f>
        <v>3728</v>
      </c>
      <c r="W38" s="5"/>
      <c r="X38" s="1"/>
      <c r="Y38" s="5"/>
      <c r="Z38" s="5">
        <f t="shared" si="14"/>
        <v>3728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466</v>
      </c>
      <c r="D39" s="5">
        <f>Table1[[#This Row],[Enrolment S.Y. 2025-2026 ]]*8</f>
        <v>3728</v>
      </c>
      <c r="E39" s="5"/>
      <c r="F39" s="1"/>
      <c r="G39" s="5"/>
      <c r="H39" s="5">
        <f t="shared" si="2"/>
        <v>3728</v>
      </c>
      <c r="I39" s="5">
        <f t="shared" si="3"/>
        <v>0</v>
      </c>
      <c r="J39" s="5">
        <f>Table1[[#This Row],[Enrolment S.Y. 2025-2026 ]]*8</f>
        <v>3728</v>
      </c>
      <c r="K39" s="5"/>
      <c r="L39" s="1"/>
      <c r="M39" s="5"/>
      <c r="N39" s="5">
        <f t="shared" si="10"/>
        <v>3728</v>
      </c>
      <c r="O39" s="5">
        <f t="shared" si="11"/>
        <v>0</v>
      </c>
      <c r="P39" s="5">
        <f>Table1[[#This Row],[Enrolment S.Y. 2025-2026 ]]*8</f>
        <v>3728</v>
      </c>
      <c r="Q39" s="5"/>
      <c r="R39" s="1"/>
      <c r="S39" s="5"/>
      <c r="T39" s="5">
        <f t="shared" si="12"/>
        <v>3728</v>
      </c>
      <c r="U39" s="5">
        <f t="shared" si="13"/>
        <v>0</v>
      </c>
      <c r="V39" s="5">
        <f>Table1[[#This Row],[Enrolment S.Y. 2025-2026 ]]*8</f>
        <v>3728</v>
      </c>
      <c r="W39" s="5"/>
      <c r="X39" s="1"/>
      <c r="Y39" s="5"/>
      <c r="Z39" s="5">
        <f t="shared" si="14"/>
        <v>3728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466</v>
      </c>
      <c r="D40" s="5">
        <f>Table1[[#This Row],[Enrolment S.Y. 2025-2026 ]]*8</f>
        <v>3728</v>
      </c>
      <c r="E40" s="5"/>
      <c r="F40" s="1"/>
      <c r="G40" s="5"/>
      <c r="H40" s="5">
        <f t="shared" si="2"/>
        <v>3728</v>
      </c>
      <c r="I40" s="5">
        <f t="shared" si="3"/>
        <v>0</v>
      </c>
      <c r="J40" s="5">
        <f>Table1[[#This Row],[Enrolment S.Y. 2025-2026 ]]*8</f>
        <v>3728</v>
      </c>
      <c r="K40" s="5"/>
      <c r="L40" s="1"/>
      <c r="M40" s="5"/>
      <c r="N40" s="5">
        <f t="shared" si="10"/>
        <v>3728</v>
      </c>
      <c r="O40" s="5">
        <f t="shared" si="11"/>
        <v>0</v>
      </c>
      <c r="P40" s="5">
        <f>Table1[[#This Row],[Enrolment S.Y. 2025-2026 ]]*8</f>
        <v>3728</v>
      </c>
      <c r="Q40" s="5"/>
      <c r="R40" s="1"/>
      <c r="S40" s="5"/>
      <c r="T40" s="5">
        <f t="shared" si="12"/>
        <v>3728</v>
      </c>
      <c r="U40" s="5">
        <f t="shared" si="13"/>
        <v>0</v>
      </c>
      <c r="V40" s="5">
        <f>Table1[[#This Row],[Enrolment S.Y. 2025-2026 ]]*8</f>
        <v>3728</v>
      </c>
      <c r="W40" s="5"/>
      <c r="X40" s="1"/>
      <c r="Y40" s="5"/>
      <c r="Z40" s="5">
        <f t="shared" si="14"/>
        <v>3728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466</v>
      </c>
      <c r="D41" s="5">
        <f>Table1[[#This Row],[Enrolment S.Y. 2025-2026 ]]*8</f>
        <v>3728</v>
      </c>
      <c r="E41" s="5"/>
      <c r="F41" s="1"/>
      <c r="G41" s="5"/>
      <c r="H41" s="5">
        <f t="shared" si="2"/>
        <v>3728</v>
      </c>
      <c r="I41" s="5">
        <f t="shared" si="3"/>
        <v>0</v>
      </c>
      <c r="J41" s="5">
        <f>Table1[[#This Row],[Enrolment S.Y. 2025-2026 ]]*8</f>
        <v>3728</v>
      </c>
      <c r="K41" s="5"/>
      <c r="L41" s="1"/>
      <c r="M41" s="5"/>
      <c r="N41" s="5">
        <f t="shared" si="10"/>
        <v>3728</v>
      </c>
      <c r="O41" s="5">
        <f t="shared" si="11"/>
        <v>0</v>
      </c>
      <c r="P41" s="5">
        <f>Table1[[#This Row],[Enrolment S.Y. 2025-2026 ]]*8</f>
        <v>3728</v>
      </c>
      <c r="Q41" s="5"/>
      <c r="R41" s="1"/>
      <c r="S41" s="5"/>
      <c r="T41" s="5">
        <f t="shared" si="12"/>
        <v>3728</v>
      </c>
      <c r="U41" s="5">
        <f t="shared" si="13"/>
        <v>0</v>
      </c>
      <c r="V41" s="5">
        <f>Table1[[#This Row],[Enrolment S.Y. 2025-2026 ]]*8</f>
        <v>3728</v>
      </c>
      <c r="W41" s="5"/>
      <c r="X41" s="1"/>
      <c r="Y41" s="5"/>
      <c r="Z41" s="5">
        <f t="shared" si="14"/>
        <v>3728</v>
      </c>
      <c r="AA41" s="5">
        <f t="shared" si="15"/>
        <v>0</v>
      </c>
    </row>
    <row r="42" spans="1:27" s="7" customFormat="1" ht="19.149999999999999">
      <c r="J42" s="13"/>
      <c r="M42" s="13"/>
      <c r="N42" s="13"/>
      <c r="O42" s="13"/>
      <c r="P42" s="13"/>
      <c r="S42" s="13"/>
      <c r="T42" s="13"/>
      <c r="U42" s="13"/>
      <c r="V42" s="13"/>
      <c r="Y42" s="13"/>
      <c r="Z42" s="13"/>
      <c r="AA42" s="13"/>
    </row>
    <row r="43" spans="1:27" ht="19.5">
      <c r="A43" s="1">
        <v>5</v>
      </c>
      <c r="B43" s="9" t="s">
        <v>15</v>
      </c>
      <c r="C43" s="1">
        <v>398</v>
      </c>
      <c r="D43" s="5">
        <f>Table1[[#This Row],[Enrolment S.Y. 2025-2026 ]]*8</f>
        <v>3184</v>
      </c>
      <c r="E43" s="5">
        <v>864</v>
      </c>
      <c r="F43" s="1">
        <v>2025</v>
      </c>
      <c r="G43" s="5" t="s">
        <v>13</v>
      </c>
      <c r="H43" s="5">
        <f t="shared" si="2"/>
        <v>2320</v>
      </c>
      <c r="I43" s="5">
        <f t="shared" si="3"/>
        <v>0</v>
      </c>
      <c r="J43" s="5">
        <v>3184</v>
      </c>
      <c r="K43" s="5">
        <v>405</v>
      </c>
      <c r="L43" s="1">
        <v>2025</v>
      </c>
      <c r="M43" s="5" t="s">
        <v>13</v>
      </c>
      <c r="N43" s="5">
        <f t="shared" si="10"/>
        <v>2779</v>
      </c>
      <c r="O43" s="5">
        <f t="shared" si="11"/>
        <v>0</v>
      </c>
      <c r="P43" s="5">
        <f>Table1[[#This Row],[Enrolment S.Y. 2025-2026 ]]*8</f>
        <v>3184</v>
      </c>
      <c r="Q43" s="5"/>
      <c r="R43" s="1"/>
      <c r="S43" s="5"/>
      <c r="T43" s="5">
        <f t="shared" si="12"/>
        <v>3184</v>
      </c>
      <c r="U43" s="5">
        <f t="shared" si="13"/>
        <v>0</v>
      </c>
      <c r="V43" s="5">
        <f>Table1[[#This Row],[Enrolment S.Y. 2025-2026 ]]*8</f>
        <v>3184</v>
      </c>
      <c r="W43" s="5"/>
      <c r="X43" s="1"/>
      <c r="Y43" s="5"/>
      <c r="Z43" s="5">
        <f t="shared" si="14"/>
        <v>3184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398</v>
      </c>
      <c r="D44" s="5">
        <f>Table1[[#This Row],[Enrolment S.Y. 2025-2026 ]]*8</f>
        <v>3184</v>
      </c>
      <c r="E44" s="5">
        <v>864</v>
      </c>
      <c r="F44" s="1">
        <v>2025</v>
      </c>
      <c r="G44" s="5" t="s">
        <v>13</v>
      </c>
      <c r="H44" s="5">
        <f t="shared" si="2"/>
        <v>2320</v>
      </c>
      <c r="I44" s="5">
        <f t="shared" si="3"/>
        <v>0</v>
      </c>
      <c r="J44" s="5">
        <f>Table1[[#This Row],[Enrolment S.Y. 2025-2026 ]]*8</f>
        <v>3184</v>
      </c>
      <c r="K44" s="5"/>
      <c r="L44" s="1"/>
      <c r="M44" s="5"/>
      <c r="N44" s="5">
        <f t="shared" si="10"/>
        <v>3184</v>
      </c>
      <c r="O44" s="5">
        <f t="shared" si="11"/>
        <v>0</v>
      </c>
      <c r="P44" s="5">
        <f>Table1[[#This Row],[Enrolment S.Y. 2025-2026 ]]*8</f>
        <v>3184</v>
      </c>
      <c r="Q44" s="5"/>
      <c r="R44" s="1"/>
      <c r="S44" s="5"/>
      <c r="T44" s="5">
        <f t="shared" si="12"/>
        <v>3184</v>
      </c>
      <c r="U44" s="5">
        <f t="shared" si="13"/>
        <v>0</v>
      </c>
      <c r="V44" s="5">
        <f>Table1[[#This Row],[Enrolment S.Y. 2025-2026 ]]*8</f>
        <v>3184</v>
      </c>
      <c r="W44" s="5"/>
      <c r="X44" s="1"/>
      <c r="Y44" s="5"/>
      <c r="Z44" s="5">
        <f t="shared" si="14"/>
        <v>3184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398</v>
      </c>
      <c r="D45" s="5">
        <f>Table1[[#This Row],[Enrolment S.Y. 2025-2026 ]]*8</f>
        <v>3184</v>
      </c>
      <c r="E45" s="5">
        <v>864</v>
      </c>
      <c r="F45" s="1">
        <v>2025</v>
      </c>
      <c r="G45" s="5" t="s">
        <v>13</v>
      </c>
      <c r="H45" s="5">
        <f>IF((D45-E45)&lt;0,0,(D45-E45))</f>
        <v>2320</v>
      </c>
      <c r="I45" s="5">
        <f>IF((E45-D45)&lt;0,0,(E45-D45))</f>
        <v>0</v>
      </c>
      <c r="J45" s="5">
        <f>Table1[[#This Row],[Enrolment S.Y. 2025-2026 ]]*8</f>
        <v>3184</v>
      </c>
      <c r="K45" s="5">
        <v>405</v>
      </c>
      <c r="L45" s="1">
        <v>2025</v>
      </c>
      <c r="M45" s="5" t="s">
        <v>13</v>
      </c>
      <c r="N45" s="5">
        <f t="shared" si="10"/>
        <v>2779</v>
      </c>
      <c r="O45" s="5">
        <f t="shared" si="11"/>
        <v>0</v>
      </c>
      <c r="P45" s="5">
        <f>Table1[[#This Row],[Enrolment S.Y. 2025-2026 ]]*8</f>
        <v>3184</v>
      </c>
      <c r="Q45" s="5"/>
      <c r="R45" s="1"/>
      <c r="S45" s="5"/>
      <c r="T45" s="5">
        <f t="shared" si="12"/>
        <v>3184</v>
      </c>
      <c r="U45" s="5">
        <f t="shared" si="13"/>
        <v>0</v>
      </c>
      <c r="V45" s="5">
        <f>Table1[[#This Row],[Enrolment S.Y. 2025-2026 ]]*8</f>
        <v>3184</v>
      </c>
      <c r="W45" s="5"/>
      <c r="X45" s="1"/>
      <c r="Y45" s="5"/>
      <c r="Z45" s="5">
        <f t="shared" si="14"/>
        <v>3184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398</v>
      </c>
      <c r="D46" s="5">
        <f>Table1[[#This Row],[Enrolment S.Y. 2025-2026 ]]*8</f>
        <v>3184</v>
      </c>
      <c r="E46" s="5"/>
      <c r="F46" s="1"/>
      <c r="G46" s="5"/>
      <c r="H46" s="5">
        <f>IF((D46-E46)&lt;0,0,(D46-E46))</f>
        <v>3184</v>
      </c>
      <c r="I46" s="5">
        <f>IF((E46-D46)&lt;0,0,(E46-D46))</f>
        <v>0</v>
      </c>
      <c r="J46" s="5">
        <f>Table1[[#This Row],[Enrolment S.Y. 2025-2026 ]]*8</f>
        <v>3184</v>
      </c>
      <c r="K46" s="5"/>
      <c r="L46" s="1"/>
      <c r="M46" s="5"/>
      <c r="N46" s="5">
        <f t="shared" si="10"/>
        <v>3184</v>
      </c>
      <c r="O46" s="5">
        <f t="shared" si="11"/>
        <v>0</v>
      </c>
      <c r="P46" s="5">
        <f>Table1[[#This Row],[Enrolment S.Y. 2025-2026 ]]*8</f>
        <v>3184</v>
      </c>
      <c r="Q46" s="5"/>
      <c r="R46" s="1"/>
      <c r="S46" s="5"/>
      <c r="T46" s="5">
        <f t="shared" si="12"/>
        <v>3184</v>
      </c>
      <c r="U46" s="5">
        <f t="shared" si="13"/>
        <v>0</v>
      </c>
      <c r="V46" s="5">
        <f>Table1[[#This Row],[Enrolment S.Y. 2025-2026 ]]*8</f>
        <v>3184</v>
      </c>
      <c r="W46" s="5"/>
      <c r="X46" s="1"/>
      <c r="Y46" s="5"/>
      <c r="Z46" s="5">
        <f t="shared" si="14"/>
        <v>3184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398</v>
      </c>
      <c r="D47" s="5">
        <f>Table1[[#This Row],[Enrolment S.Y. 2025-2026 ]]*8</f>
        <v>3184</v>
      </c>
      <c r="E47" s="5">
        <v>864</v>
      </c>
      <c r="F47" s="1">
        <v>2025</v>
      </c>
      <c r="G47" s="5" t="s">
        <v>13</v>
      </c>
      <c r="H47" s="5">
        <f t="shared" si="2"/>
        <v>2320</v>
      </c>
      <c r="I47" s="5">
        <f t="shared" si="3"/>
        <v>0</v>
      </c>
      <c r="J47" s="5">
        <f>Table1[[#This Row],[Enrolment S.Y. 2025-2026 ]]*8</f>
        <v>3184</v>
      </c>
      <c r="K47" s="5"/>
      <c r="L47" s="1"/>
      <c r="M47" s="5"/>
      <c r="N47" s="5">
        <f t="shared" si="10"/>
        <v>3184</v>
      </c>
      <c r="O47" s="5">
        <f t="shared" si="11"/>
        <v>0</v>
      </c>
      <c r="P47" s="5">
        <f>Table1[[#This Row],[Enrolment S.Y. 2025-2026 ]]*8</f>
        <v>3184</v>
      </c>
      <c r="Q47" s="5"/>
      <c r="R47" s="1"/>
      <c r="S47" s="5"/>
      <c r="T47" s="5">
        <f t="shared" si="12"/>
        <v>3184</v>
      </c>
      <c r="U47" s="5">
        <f t="shared" si="13"/>
        <v>0</v>
      </c>
      <c r="V47" s="5">
        <f>Table1[[#This Row],[Enrolment S.Y. 2025-2026 ]]*8</f>
        <v>3184</v>
      </c>
      <c r="W47" s="5"/>
      <c r="X47" s="1"/>
      <c r="Y47" s="5"/>
      <c r="Z47" s="5">
        <f t="shared" si="14"/>
        <v>3184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398</v>
      </c>
      <c r="D48" s="5">
        <f>Table1[[#This Row],[Enrolment S.Y. 2025-2026 ]]*8</f>
        <v>3184</v>
      </c>
      <c r="E48" s="5"/>
      <c r="F48" s="1"/>
      <c r="G48" s="5"/>
      <c r="H48" s="5">
        <f t="shared" si="2"/>
        <v>3184</v>
      </c>
      <c r="I48" s="5">
        <f t="shared" si="3"/>
        <v>0</v>
      </c>
      <c r="J48" s="5">
        <f>Table1[[#This Row],[Enrolment S.Y. 2025-2026 ]]*8</f>
        <v>3184</v>
      </c>
      <c r="K48" s="5"/>
      <c r="L48" s="1"/>
      <c r="M48" s="5"/>
      <c r="N48" s="5">
        <f t="shared" si="10"/>
        <v>3184</v>
      </c>
      <c r="O48" s="5">
        <f t="shared" si="11"/>
        <v>0</v>
      </c>
      <c r="P48" s="5">
        <f>Table1[[#This Row],[Enrolment S.Y. 2025-2026 ]]*8</f>
        <v>3184</v>
      </c>
      <c r="Q48" s="5"/>
      <c r="R48" s="1"/>
      <c r="S48" s="5"/>
      <c r="T48" s="5">
        <f t="shared" si="12"/>
        <v>3184</v>
      </c>
      <c r="U48" s="5">
        <f t="shared" si="13"/>
        <v>0</v>
      </c>
      <c r="V48" s="5">
        <f>Table1[[#This Row],[Enrolment S.Y. 2025-2026 ]]*8</f>
        <v>3184</v>
      </c>
      <c r="W48" s="5"/>
      <c r="X48" s="1"/>
      <c r="Y48" s="5"/>
      <c r="Z48" s="5">
        <f t="shared" si="14"/>
        <v>3184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398</v>
      </c>
      <c r="D49" s="5">
        <f>Table1[[#This Row],[Enrolment S.Y. 2025-2026 ]]*8</f>
        <v>3184</v>
      </c>
      <c r="E49" s="5">
        <v>864</v>
      </c>
      <c r="F49" s="1">
        <v>2025</v>
      </c>
      <c r="G49" s="5" t="s">
        <v>13</v>
      </c>
      <c r="H49" s="5">
        <f t="shared" si="2"/>
        <v>2320</v>
      </c>
      <c r="I49" s="5">
        <f t="shared" si="3"/>
        <v>0</v>
      </c>
      <c r="J49" s="5">
        <f>Table1[[#This Row],[Enrolment S.Y. 2025-2026 ]]*8</f>
        <v>3184</v>
      </c>
      <c r="K49" s="5"/>
      <c r="L49" s="1"/>
      <c r="M49" s="5"/>
      <c r="N49" s="5">
        <f t="shared" si="10"/>
        <v>3184</v>
      </c>
      <c r="O49" s="5">
        <f t="shared" si="11"/>
        <v>0</v>
      </c>
      <c r="P49" s="5">
        <f>Table1[[#This Row],[Enrolment S.Y. 2025-2026 ]]*8</f>
        <v>3184</v>
      </c>
      <c r="Q49" s="5"/>
      <c r="R49" s="1"/>
      <c r="S49" s="5"/>
      <c r="T49" s="5">
        <f t="shared" si="12"/>
        <v>3184</v>
      </c>
      <c r="U49" s="5">
        <f t="shared" si="13"/>
        <v>0</v>
      </c>
      <c r="V49" s="5">
        <f>Table1[[#This Row],[Enrolment S.Y. 2025-2026 ]]*8</f>
        <v>3184</v>
      </c>
      <c r="W49" s="5"/>
      <c r="X49" s="1"/>
      <c r="Y49" s="5"/>
      <c r="Z49" s="5">
        <f t="shared" si="14"/>
        <v>3184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398</v>
      </c>
      <c r="D50" s="5">
        <f>Table1[[#This Row],[Enrolment S.Y. 2025-2026 ]]*8</f>
        <v>3184</v>
      </c>
      <c r="E50" s="5">
        <v>864</v>
      </c>
      <c r="F50" s="1">
        <v>2025</v>
      </c>
      <c r="G50" s="5" t="s">
        <v>13</v>
      </c>
      <c r="H50" s="5">
        <f t="shared" si="2"/>
        <v>2320</v>
      </c>
      <c r="I50" s="5">
        <f t="shared" si="3"/>
        <v>0</v>
      </c>
      <c r="J50" s="5">
        <f>Table1[[#This Row],[Enrolment S.Y. 2025-2026 ]]*8</f>
        <v>3184</v>
      </c>
      <c r="K50" s="5"/>
      <c r="L50" s="1"/>
      <c r="M50" s="5"/>
      <c r="N50" s="5">
        <f t="shared" si="10"/>
        <v>3184</v>
      </c>
      <c r="O50" s="5">
        <f t="shared" si="11"/>
        <v>0</v>
      </c>
      <c r="P50" s="5">
        <f>Table1[[#This Row],[Enrolment S.Y. 2025-2026 ]]*8</f>
        <v>3184</v>
      </c>
      <c r="Q50" s="5"/>
      <c r="R50" s="1"/>
      <c r="S50" s="5"/>
      <c r="T50" s="5">
        <f t="shared" si="12"/>
        <v>3184</v>
      </c>
      <c r="U50" s="5">
        <f t="shared" si="13"/>
        <v>0</v>
      </c>
      <c r="V50" s="5">
        <f>Table1[[#This Row],[Enrolment S.Y. 2025-2026 ]]*8</f>
        <v>3184</v>
      </c>
      <c r="W50" s="5"/>
      <c r="X50" s="1"/>
      <c r="Y50" s="5"/>
      <c r="Z50" s="5">
        <f t="shared" si="14"/>
        <v>3184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398</v>
      </c>
      <c r="D51" s="5">
        <f>Table1[[#This Row],[Enrolment S.Y. 2025-2026 ]]*8</f>
        <v>3184</v>
      </c>
      <c r="E51" s="5">
        <v>864</v>
      </c>
      <c r="F51" s="1">
        <v>2025</v>
      </c>
      <c r="G51" s="5" t="s">
        <v>13</v>
      </c>
      <c r="H51" s="5">
        <f t="shared" si="2"/>
        <v>2320</v>
      </c>
      <c r="I51" s="5">
        <f t="shared" si="3"/>
        <v>0</v>
      </c>
      <c r="J51" s="5">
        <f>Table1[[#This Row],[Enrolment S.Y. 2025-2026 ]]*8</f>
        <v>3184</v>
      </c>
      <c r="K51" s="5"/>
      <c r="L51" s="1"/>
      <c r="M51" s="5"/>
      <c r="N51" s="5">
        <f t="shared" si="10"/>
        <v>3184</v>
      </c>
      <c r="O51" s="5">
        <f t="shared" si="11"/>
        <v>0</v>
      </c>
      <c r="P51" s="5">
        <f>Table1[[#This Row],[Enrolment S.Y. 2025-2026 ]]*8</f>
        <v>3184</v>
      </c>
      <c r="Q51" s="5"/>
      <c r="R51" s="1"/>
      <c r="S51" s="5"/>
      <c r="T51" s="5">
        <f t="shared" si="12"/>
        <v>3184</v>
      </c>
      <c r="U51" s="5">
        <f t="shared" si="13"/>
        <v>0</v>
      </c>
      <c r="V51" s="5">
        <f>Table1[[#This Row],[Enrolment S.Y. 2025-2026 ]]*8</f>
        <v>3184</v>
      </c>
      <c r="W51" s="5"/>
      <c r="X51" s="1"/>
      <c r="Y51" s="5"/>
      <c r="Z51" s="5">
        <f t="shared" si="14"/>
        <v>3184</v>
      </c>
      <c r="AA51" s="5">
        <f t="shared" si="15"/>
        <v>0</v>
      </c>
    </row>
    <row r="52" spans="1:27" s="7" customFormat="1" ht="19.149999999999999">
      <c r="J52" s="13"/>
      <c r="M52" s="13"/>
      <c r="N52" s="13"/>
      <c r="O52" s="13"/>
      <c r="P52" s="13"/>
      <c r="S52" s="13"/>
      <c r="T52" s="13"/>
      <c r="U52" s="13"/>
      <c r="V52" s="13"/>
      <c r="Y52" s="13"/>
      <c r="Z52" s="13"/>
      <c r="AA52" s="13"/>
    </row>
    <row r="53" spans="1:27" ht="19.5">
      <c r="A53" s="1">
        <v>6</v>
      </c>
      <c r="B53" s="9" t="s">
        <v>15</v>
      </c>
      <c r="C53" s="1">
        <v>430</v>
      </c>
      <c r="D53" s="5">
        <f>Table1[[#This Row],[Enrolment S.Y. 2025-2026 ]]*8</f>
        <v>3440</v>
      </c>
      <c r="E53" s="5"/>
      <c r="F53" s="1"/>
      <c r="G53" s="5"/>
      <c r="H53" s="5">
        <f t="shared" si="2"/>
        <v>3440</v>
      </c>
      <c r="I53" s="5">
        <f t="shared" si="3"/>
        <v>0</v>
      </c>
      <c r="J53" s="5">
        <f>Table1[[#This Row],[Enrolment S.Y. 2025-2026 ]]*8</f>
        <v>3440</v>
      </c>
      <c r="K53" s="5"/>
      <c r="L53" s="1"/>
      <c r="M53" s="5"/>
      <c r="N53" s="5">
        <f t="shared" si="10"/>
        <v>3440</v>
      </c>
      <c r="O53" s="5">
        <f t="shared" si="11"/>
        <v>0</v>
      </c>
      <c r="P53" s="5">
        <f>Table1[[#This Row],[Enrolment S.Y. 2025-2026 ]]*8</f>
        <v>3440</v>
      </c>
      <c r="Q53" s="5"/>
      <c r="R53" s="1"/>
      <c r="S53" s="5"/>
      <c r="T53" s="5">
        <f t="shared" si="12"/>
        <v>3440</v>
      </c>
      <c r="U53" s="5">
        <f t="shared" si="13"/>
        <v>0</v>
      </c>
      <c r="V53" s="5">
        <f>Table1[[#This Row],[Enrolment S.Y. 2025-2026 ]]*8</f>
        <v>3440</v>
      </c>
      <c r="W53" s="5"/>
      <c r="X53" s="1"/>
      <c r="Y53" s="5"/>
      <c r="Z53" s="5">
        <f t="shared" si="14"/>
        <v>3440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430</v>
      </c>
      <c r="D54" s="5">
        <f>Table1[[#This Row],[Enrolment S.Y. 2025-2026 ]]*8</f>
        <v>3440</v>
      </c>
      <c r="E54" s="5">
        <v>240</v>
      </c>
      <c r="F54" s="1">
        <v>2025</v>
      </c>
      <c r="G54" s="5" t="s">
        <v>13</v>
      </c>
      <c r="H54" s="5">
        <f t="shared" si="2"/>
        <v>3200</v>
      </c>
      <c r="I54" s="5">
        <f t="shared" si="3"/>
        <v>0</v>
      </c>
      <c r="J54" s="5">
        <f>Table1[[#This Row],[Enrolment S.Y. 2025-2026 ]]*8</f>
        <v>3440</v>
      </c>
      <c r="K54" s="5"/>
      <c r="L54" s="1"/>
      <c r="M54" s="5"/>
      <c r="N54" s="5">
        <f t="shared" si="10"/>
        <v>3440</v>
      </c>
      <c r="O54" s="5">
        <f t="shared" si="11"/>
        <v>0</v>
      </c>
      <c r="P54" s="5">
        <f>Table1[[#This Row],[Enrolment S.Y. 2025-2026 ]]*8</f>
        <v>3440</v>
      </c>
      <c r="Q54" s="5"/>
      <c r="R54" s="1"/>
      <c r="S54" s="5"/>
      <c r="T54" s="5">
        <f t="shared" si="12"/>
        <v>3440</v>
      </c>
      <c r="U54" s="5">
        <f t="shared" si="13"/>
        <v>0</v>
      </c>
      <c r="V54" s="5">
        <f>Table1[[#This Row],[Enrolment S.Y. 2025-2026 ]]*8</f>
        <v>3440</v>
      </c>
      <c r="W54" s="5"/>
      <c r="X54" s="1"/>
      <c r="Y54" s="5"/>
      <c r="Z54" s="5">
        <f t="shared" si="14"/>
        <v>3440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430</v>
      </c>
      <c r="D55" s="5">
        <f>Table1[[#This Row],[Enrolment S.Y. 2025-2026 ]]*8</f>
        <v>3440</v>
      </c>
      <c r="E55" s="5">
        <v>176</v>
      </c>
      <c r="F55" s="1">
        <v>2025</v>
      </c>
      <c r="G55" s="5" t="s">
        <v>13</v>
      </c>
      <c r="H55" s="5">
        <f t="shared" si="2"/>
        <v>3264</v>
      </c>
      <c r="I55" s="5">
        <f t="shared" si="3"/>
        <v>0</v>
      </c>
      <c r="J55" s="5">
        <f>Table1[[#This Row],[Enrolment S.Y. 2025-2026 ]]*8</f>
        <v>3440</v>
      </c>
      <c r="K55" s="5"/>
      <c r="L55" s="1"/>
      <c r="M55" s="5"/>
      <c r="N55" s="5">
        <f t="shared" si="10"/>
        <v>3440</v>
      </c>
      <c r="O55" s="5">
        <f t="shared" si="11"/>
        <v>0</v>
      </c>
      <c r="P55" s="5">
        <f>Table1[[#This Row],[Enrolment S.Y. 2025-2026 ]]*8</f>
        <v>3440</v>
      </c>
      <c r="Q55" s="5"/>
      <c r="R55" s="1"/>
      <c r="S55" s="5"/>
      <c r="T55" s="5">
        <f t="shared" si="12"/>
        <v>3440</v>
      </c>
      <c r="U55" s="5">
        <f t="shared" si="13"/>
        <v>0</v>
      </c>
      <c r="V55" s="5">
        <f>Table1[[#This Row],[Enrolment S.Y. 2025-2026 ]]*8</f>
        <v>3440</v>
      </c>
      <c r="W55" s="5"/>
      <c r="X55" s="1"/>
      <c r="Y55" s="5"/>
      <c r="Z55" s="5">
        <f t="shared" si="14"/>
        <v>3440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430</v>
      </c>
      <c r="D56" s="5">
        <f>Table1[[#This Row],[Enrolment S.Y. 2025-2026 ]]*8</f>
        <v>3440</v>
      </c>
      <c r="E56" s="5"/>
      <c r="F56" s="1"/>
      <c r="G56" s="5"/>
      <c r="H56" s="5">
        <f t="shared" si="2"/>
        <v>3440</v>
      </c>
      <c r="I56" s="5">
        <f t="shared" si="3"/>
        <v>0</v>
      </c>
      <c r="J56" s="5">
        <f>Table1[[#This Row],[Enrolment S.Y. 2025-2026 ]]*8</f>
        <v>3440</v>
      </c>
      <c r="K56" s="5"/>
      <c r="L56" s="1"/>
      <c r="M56" s="5"/>
      <c r="N56" s="5">
        <f t="shared" si="10"/>
        <v>3440</v>
      </c>
      <c r="O56" s="5">
        <f t="shared" si="11"/>
        <v>0</v>
      </c>
      <c r="P56" s="5">
        <f>Table1[[#This Row],[Enrolment S.Y. 2025-2026 ]]*8</f>
        <v>3440</v>
      </c>
      <c r="Q56" s="5"/>
      <c r="R56" s="1"/>
      <c r="S56" s="5"/>
      <c r="T56" s="5">
        <f t="shared" si="12"/>
        <v>3440</v>
      </c>
      <c r="U56" s="5">
        <f t="shared" si="13"/>
        <v>0</v>
      </c>
      <c r="V56" s="5">
        <f>Table1[[#This Row],[Enrolment S.Y. 2025-2026 ]]*8</f>
        <v>3440</v>
      </c>
      <c r="W56" s="5"/>
      <c r="X56" s="1"/>
      <c r="Y56" s="5"/>
      <c r="Z56" s="5">
        <f t="shared" si="14"/>
        <v>3440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430</v>
      </c>
      <c r="D57" s="5">
        <f>Table1[[#This Row],[Enrolment S.Y. 2025-2026 ]]*8</f>
        <v>3440</v>
      </c>
      <c r="E57" s="5"/>
      <c r="F57" s="1"/>
      <c r="G57" s="5"/>
      <c r="H57" s="5">
        <f t="shared" si="2"/>
        <v>3440</v>
      </c>
      <c r="I57" s="5">
        <f t="shared" si="3"/>
        <v>0</v>
      </c>
      <c r="J57" s="5">
        <f>Table1[[#This Row],[Enrolment S.Y. 2025-2026 ]]*8</f>
        <v>3440</v>
      </c>
      <c r="K57" s="5"/>
      <c r="L57" s="1"/>
      <c r="M57" s="5"/>
      <c r="N57" s="5">
        <f t="shared" si="10"/>
        <v>3440</v>
      </c>
      <c r="O57" s="5">
        <f t="shared" si="11"/>
        <v>0</v>
      </c>
      <c r="P57" s="5">
        <f>Table1[[#This Row],[Enrolment S.Y. 2025-2026 ]]*8</f>
        <v>3440</v>
      </c>
      <c r="Q57" s="5"/>
      <c r="R57" s="1"/>
      <c r="S57" s="5"/>
      <c r="T57" s="5">
        <f t="shared" si="12"/>
        <v>3440</v>
      </c>
      <c r="U57" s="5">
        <f t="shared" si="13"/>
        <v>0</v>
      </c>
      <c r="V57" s="5">
        <f>Table1[[#This Row],[Enrolment S.Y. 2025-2026 ]]*8</f>
        <v>3440</v>
      </c>
      <c r="W57" s="5">
        <v>560</v>
      </c>
      <c r="X57" s="1">
        <v>2025</v>
      </c>
      <c r="Y57" s="5" t="s">
        <v>13</v>
      </c>
      <c r="Z57" s="5">
        <f t="shared" si="14"/>
        <v>2880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430</v>
      </c>
      <c r="D58" s="5">
        <f>Table1[[#This Row],[Enrolment S.Y. 2025-2026 ]]*8</f>
        <v>3440</v>
      </c>
      <c r="E58" s="5"/>
      <c r="F58" s="1"/>
      <c r="G58" s="5"/>
      <c r="H58" s="5">
        <f t="shared" si="2"/>
        <v>3440</v>
      </c>
      <c r="I58" s="5">
        <f t="shared" si="3"/>
        <v>0</v>
      </c>
      <c r="J58" s="5">
        <f>Table1[[#This Row],[Enrolment S.Y. 2025-2026 ]]*8</f>
        <v>3440</v>
      </c>
      <c r="K58" s="5"/>
      <c r="L58" s="1"/>
      <c r="M58" s="5"/>
      <c r="N58" s="5">
        <f t="shared" si="10"/>
        <v>3440</v>
      </c>
      <c r="O58" s="5">
        <f t="shared" si="11"/>
        <v>0</v>
      </c>
      <c r="P58" s="5">
        <f>Table1[[#This Row],[Enrolment S.Y. 2025-2026 ]]*8</f>
        <v>3440</v>
      </c>
      <c r="Q58" s="5"/>
      <c r="R58" s="1"/>
      <c r="S58" s="5"/>
      <c r="T58" s="5">
        <f t="shared" si="12"/>
        <v>3440</v>
      </c>
      <c r="U58" s="5">
        <f t="shared" si="13"/>
        <v>0</v>
      </c>
      <c r="V58" s="5">
        <f>Table1[[#This Row],[Enrolment S.Y. 2025-2026 ]]*8</f>
        <v>3440</v>
      </c>
      <c r="W58" s="5"/>
      <c r="X58" s="1"/>
      <c r="Y58" s="5"/>
      <c r="Z58" s="5">
        <f t="shared" si="14"/>
        <v>3440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430</v>
      </c>
      <c r="D59" s="5">
        <f>Table1[[#This Row],[Enrolment S.Y. 2025-2026 ]]*8</f>
        <v>3440</v>
      </c>
      <c r="E59" s="5"/>
      <c r="F59" s="1"/>
      <c r="G59" s="5"/>
      <c r="H59" s="5">
        <f t="shared" si="2"/>
        <v>3440</v>
      </c>
      <c r="I59" s="5">
        <f t="shared" si="3"/>
        <v>0</v>
      </c>
      <c r="J59" s="5">
        <f>Table1[[#This Row],[Enrolment S.Y. 2025-2026 ]]*8</f>
        <v>3440</v>
      </c>
      <c r="K59" s="5"/>
      <c r="L59" s="1"/>
      <c r="M59" s="5"/>
      <c r="N59" s="5">
        <f t="shared" si="10"/>
        <v>3440</v>
      </c>
      <c r="O59" s="5">
        <f t="shared" si="11"/>
        <v>0</v>
      </c>
      <c r="P59" s="5">
        <f>Table1[[#This Row],[Enrolment S.Y. 2025-2026 ]]*8</f>
        <v>3440</v>
      </c>
      <c r="Q59" s="5"/>
      <c r="R59" s="1"/>
      <c r="S59" s="5"/>
      <c r="T59" s="5">
        <f t="shared" si="12"/>
        <v>3440</v>
      </c>
      <c r="U59" s="5">
        <f t="shared" si="13"/>
        <v>0</v>
      </c>
      <c r="V59" s="5">
        <f>Table1[[#This Row],[Enrolment S.Y. 2025-2026 ]]*8</f>
        <v>3440</v>
      </c>
      <c r="W59" s="5"/>
      <c r="X59" s="1"/>
      <c r="Y59" s="5"/>
      <c r="Z59" s="5">
        <f t="shared" si="14"/>
        <v>3440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430</v>
      </c>
      <c r="D60" s="5">
        <f>Table1[[#This Row],[Enrolment S.Y. 2025-2026 ]]*8</f>
        <v>3440</v>
      </c>
      <c r="E60" s="5"/>
      <c r="F60" s="1"/>
      <c r="G60" s="5"/>
      <c r="H60" s="5">
        <f t="shared" si="2"/>
        <v>3440</v>
      </c>
      <c r="I60" s="5">
        <f t="shared" si="3"/>
        <v>0</v>
      </c>
      <c r="J60" s="5">
        <f>Table1[[#This Row],[Enrolment S.Y. 2025-2026 ]]*8</f>
        <v>3440</v>
      </c>
      <c r="K60" s="5"/>
      <c r="L60" s="1"/>
      <c r="M60" s="5"/>
      <c r="N60" s="5">
        <f t="shared" si="10"/>
        <v>3440</v>
      </c>
      <c r="O60" s="5">
        <f t="shared" si="11"/>
        <v>0</v>
      </c>
      <c r="P60" s="5">
        <f>Table1[[#This Row],[Enrolment S.Y. 2025-2026 ]]*8</f>
        <v>3440</v>
      </c>
      <c r="Q60" s="5"/>
      <c r="R60" s="1"/>
      <c r="S60" s="5"/>
      <c r="T60" s="5">
        <f t="shared" si="12"/>
        <v>3440</v>
      </c>
      <c r="U60" s="5">
        <f t="shared" si="13"/>
        <v>0</v>
      </c>
      <c r="V60" s="5">
        <f>Table1[[#This Row],[Enrolment S.Y. 2025-2026 ]]*8</f>
        <v>3440</v>
      </c>
      <c r="W60" s="5"/>
      <c r="X60" s="1"/>
      <c r="Y60" s="5"/>
      <c r="Z60" s="5">
        <f t="shared" si="14"/>
        <v>3440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430</v>
      </c>
      <c r="D61" s="5">
        <f>Table1[[#This Row],[Enrolment S.Y. 2025-2026 ]]*8</f>
        <v>3440</v>
      </c>
      <c r="E61" s="5"/>
      <c r="F61" s="1"/>
      <c r="G61" s="5"/>
      <c r="H61" s="5">
        <f t="shared" si="2"/>
        <v>3440</v>
      </c>
      <c r="I61" s="5">
        <f t="shared" si="3"/>
        <v>0</v>
      </c>
      <c r="J61" s="5">
        <f>Table1[[#This Row],[Enrolment S.Y. 2025-2026 ]]*8</f>
        <v>3440</v>
      </c>
      <c r="K61" s="5"/>
      <c r="L61" s="1"/>
      <c r="M61" s="5"/>
      <c r="N61" s="5">
        <f t="shared" si="10"/>
        <v>3440</v>
      </c>
      <c r="O61" s="5">
        <f t="shared" si="11"/>
        <v>0</v>
      </c>
      <c r="P61" s="5">
        <f>Table1[[#This Row],[Enrolment S.Y. 2025-2026 ]]*8</f>
        <v>3440</v>
      </c>
      <c r="Q61" s="5"/>
      <c r="R61" s="1"/>
      <c r="S61" s="5"/>
      <c r="T61" s="5">
        <f t="shared" si="12"/>
        <v>3440</v>
      </c>
      <c r="U61" s="5">
        <f t="shared" si="13"/>
        <v>0</v>
      </c>
      <c r="V61" s="5">
        <f>Table1[[#This Row],[Enrolment S.Y. 2025-2026 ]]*8</f>
        <v>3440</v>
      </c>
      <c r="W61" s="5">
        <v>640</v>
      </c>
      <c r="X61" s="1">
        <v>2024</v>
      </c>
      <c r="Y61" s="5" t="s">
        <v>13</v>
      </c>
      <c r="Z61" s="5">
        <f t="shared" si="14"/>
        <v>2800</v>
      </c>
      <c r="AA61" s="5">
        <f t="shared" si="15"/>
        <v>0</v>
      </c>
    </row>
    <row r="62" spans="1:27" s="7" customFormat="1" ht="19.5">
      <c r="J62" s="13"/>
      <c r="M62" s="13"/>
      <c r="N62" s="13"/>
      <c r="O62" s="13"/>
      <c r="P62" s="13"/>
      <c r="S62" s="13"/>
      <c r="T62" s="13"/>
      <c r="U62" s="13"/>
      <c r="V62" s="13"/>
      <c r="Y62" s="13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13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13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3.75" customHeight="1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1" customHeight="1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63" t="s">
        <v>33</v>
      </c>
      <c r="E1" s="63"/>
      <c r="F1" s="63"/>
      <c r="G1" s="63"/>
      <c r="H1" s="63"/>
      <c r="I1" s="63"/>
      <c r="J1" s="64" t="s">
        <v>34</v>
      </c>
      <c r="K1" s="64"/>
      <c r="L1" s="64"/>
      <c r="M1" s="64"/>
      <c r="N1" s="64"/>
      <c r="O1" s="64"/>
      <c r="P1" s="65" t="s">
        <v>35</v>
      </c>
      <c r="Q1" s="65"/>
      <c r="R1" s="65"/>
      <c r="S1" s="65"/>
      <c r="T1" s="65"/>
      <c r="U1" s="65"/>
      <c r="V1" s="66" t="s">
        <v>36</v>
      </c>
      <c r="W1" s="66"/>
      <c r="X1" s="66"/>
      <c r="Y1" s="66"/>
      <c r="Z1" s="66"/>
      <c r="AA1" s="6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19.5">
      <c r="A3" s="1">
        <v>1</v>
      </c>
      <c r="B3" s="40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5">
      <c r="A12" s="1">
        <v>2</v>
      </c>
      <c r="B12" s="40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500</v>
      </c>
      <c r="X16" s="1">
        <v>2025</v>
      </c>
      <c r="Y16" s="5" t="s">
        <v>13</v>
      </c>
      <c r="Z16" s="5">
        <f t="shared" si="6"/>
        <v>0</v>
      </c>
      <c r="AA16" s="5">
        <f t="shared" si="7"/>
        <v>500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3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5">
      <c r="A47" s="1">
        <v>5</v>
      </c>
      <c r="B47" s="62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>
        <v>240</v>
      </c>
      <c r="F56" s="1">
        <v>2025</v>
      </c>
      <c r="G56" s="5" t="s">
        <v>13</v>
      </c>
      <c r="H56" s="5">
        <f t="shared" si="0"/>
        <v>0</v>
      </c>
      <c r="I56" s="5">
        <f t="shared" si="1"/>
        <v>240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176</v>
      </c>
      <c r="F57" s="1">
        <v>2025</v>
      </c>
      <c r="G57" s="5" t="s">
        <v>13</v>
      </c>
      <c r="H57" s="5">
        <f t="shared" si="0"/>
        <v>0</v>
      </c>
      <c r="I57" s="5">
        <f t="shared" si="1"/>
        <v>176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5">
      <c r="A59" s="1">
        <v>6</v>
      </c>
      <c r="B59" s="61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>
        <v>560</v>
      </c>
      <c r="X59" s="1">
        <v>2025</v>
      </c>
      <c r="Y59" s="5" t="s">
        <v>13</v>
      </c>
      <c r="Z59" s="5">
        <f t="shared" si="6"/>
        <v>0</v>
      </c>
      <c r="AA59" s="5">
        <f t="shared" si="7"/>
        <v>560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2:F19 F115:F122 F31:F41 F103:F113 F79:F89 F43:F53 F67:F77 F21:F29 F91:F101 F3:F10 F55:F65" xr:uid="{77F72D89-8371-4D0C-A323-BD25723C617C}">
      <formula1>"2024,2025"</formula1>
    </dataValidation>
    <dataValidation type="list" allowBlank="1" showInputMessage="1" showErrorMessage="1" sqref="E115:E122 E103:E113 E91:E101 E79:E89 E67:E77 E55:E65 E43:E53 E31:E41 E21:E29 E12:E19 E3:E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ECE9BE6D-3A2A-40E8-8DDF-884D9CF6703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2026-03-10T03:41:09Z</dcterms:modified>
  <cp:category/>
  <cp:contentStatus/>
</cp:coreProperties>
</file>