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7" documentId="13_ncr:1_{BFB59F67-F0DC-4675-A682-EB0734A8026A}" xr6:coauthVersionLast="47" xr6:coauthVersionMax="47" xr10:uidLastSave="{B7B04067-9F05-2448-99EC-C0A3D9AF2368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O3" i="4"/>
  <c r="N3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<sst xmlns="http://schemas.openxmlformats.org/spreadsheetml/2006/main" count="241" uniqueCount="80">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</sst>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32" headerRowBorderDxfId="31" tableBorderDxfId="30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28" headerRowBorderDxfId="29" tableBorderDxfId="27">
  <autoFilter ref="A2:AA61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61" headerRowBorderDxfId="62" tableBorderDxfId="60">
  <autoFilter ref="A2:AA65" xr:uid="{D7C37D80-F2E1-4395-8B6C-0FD477B4D8F8}"/>
  <tableColumns count="27">
    <tableColumn id="1" xr3:uid="{4B1B9E16-DDB6-464C-9C72-937B3CB9CE66}" name="Grade Level" dataDxfId="59"/>
    <tableColumn id="2" xr3:uid="{73AEA048-228E-40E8-B07A-3A7C30BA0DC7}" name="SUBJECTS" dataDxfId="58"/>
    <tableColumn id="3" xr3:uid="{187AF7E3-9651-4001-B779-AADEF0EAB05A}" name="Enrolment S.Y. 2025-2026 " dataDxfId="57"/>
    <tableColumn id="4" xr3:uid="{41F05D2B-5E6F-433A-B62B-2F1726EA10F2}" name="Quantity based on Target ADM-SLM - Q1 " dataDxfId="56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5"/>
    <tableColumn id="6" xr3:uid="{339CCB0D-A0D6-41EF-9023-6B8DF1A1D211}" name="Year of Delivery - ADM-SLM - Q1" dataDxfId="54"/>
    <tableColumn id="7" xr3:uid="{66966C8F-6B7D-4027-80F0-10F5BEB94C36}" name="SOURCE - ADM-SLM (CO,RO, SDO) - Q1" dataDxfId="53"/>
    <tableColumn id="8" xr3:uid="{F205DFF0-AD23-4608-82A0-E64C38A40A7F}" name="GAP - ADM-SLM - Q1" dataDxfId="52">
      <calculatedColumnFormula>IF((D3-E3)&lt;0,0,(D3-E3))</calculatedColumnFormula>
    </tableColumn>
    <tableColumn id="9" xr3:uid="{A97DBFEB-A833-47C5-A43D-C6E4D77683A6}" name="SURPLUS - ADM-SLM - Q1" dataDxfId="51">
      <calculatedColumnFormula>IF((E3-D3)&lt;0,0,(E3-D3))</calculatedColumnFormula>
    </tableColumn>
    <tableColumn id="10" xr3:uid="{6A093D68-BC9F-46BB-AC8F-CA208309466C}" name="Quantity based on Target ADM-SLM - Q2" dataDxfId="50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9"/>
    <tableColumn id="12" xr3:uid="{35FFB32F-868E-4FBD-946A-0482CC3DE0D4}" name="Year of Delivery - ADM-SLM Q2" dataDxfId="48"/>
    <tableColumn id="13" xr3:uid="{987FB8ED-06DA-4311-80C5-DAF78B602129}" name="SOURCE - ADM-SLM (CO,RO, SDO) Q2" dataDxfId="47"/>
    <tableColumn id="14" xr3:uid="{24CC35CF-2900-4C84-934F-7E29CCFCCEC9}" name="GAP - ADM-SLM - Q2" dataDxfId="46"/>
    <tableColumn id="15" xr3:uid="{0DA82B8D-6A8D-469A-8302-7E7DD0B1BDC4}" name="SURPLUS - ADM-SLM -Q2" dataDxfId="45"/>
    <tableColumn id="16" xr3:uid="{126A7F40-0CC3-4264-A57D-D7C0C9FE4720}" name="Quantity based on Target ADM-SLM - Q3" dataDxfId="44">
      <calculatedColumnFormula>#REF!*8</calculatedColumnFormula>
    </tableColumn>
    <tableColumn id="17" xr3:uid="{711B70A4-2160-43C1-900D-FD892755D7AB}" name="Quantity of ADM-SLM Received (Quantity received x No. of ADM-SLM) - Q3" dataDxfId="43"/>
    <tableColumn id="18" xr3:uid="{D8C99A72-7FED-4E85-8CB4-4A08C56BCB15}" name="Year of Delivery - ADM-SLM - Q3" dataDxfId="42"/>
    <tableColumn id="19" xr3:uid="{D48A881D-138B-4288-AA57-050C0AE3F5F6}" name="SOURCE - ADM-SLM(CO,RO, SDO) - Q3" dataDxfId="41"/>
    <tableColumn id="20" xr3:uid="{B03A44EC-B25E-4D0D-B9E6-71825AC6E51F}" name="GAP - ADM-SLM - Q3" dataDxfId="40">
      <calculatedColumnFormula>IF((P3-Q3)&lt;0,0,(P3-Q3))</calculatedColumnFormula>
    </tableColumn>
    <tableColumn id="21" xr3:uid="{3338E724-88DC-45DA-8F55-7AAE5A560621}" name="SURPLUS - ADM-SLM - Q3" dataDxfId="39">
      <calculatedColumnFormula>IF((Q3-P3)&lt;0,0,(Q3-P3))</calculatedColumnFormula>
    </tableColumn>
    <tableColumn id="22" xr3:uid="{AC55FA3C-A61A-4AB0-8391-EC237845F1BF}" name="Quantity based on Target ADM-SLM - Q4" dataDxfId="38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7"/>
    <tableColumn id="24" xr3:uid="{C66CE0BE-6DCF-4E05-9DBD-D908450B3841}" name="Year of Delivery - ADM-SLM- Q4" dataDxfId="36"/>
    <tableColumn id="25" xr3:uid="{AABA2263-B244-4CBF-87B1-CDAAECF763E4}" name="SOURCE - ADM-SLM - (CO,RO, SDO) - Q4" dataDxfId="35"/>
    <tableColumn id="26" xr3:uid="{21E1F5D8-F09B-453A-90E6-AA7B2E8821D1}" name="GAP - ADM-SLM - Q4" dataDxfId="34">
      <calculatedColumnFormula>IF((V3-W3)&lt;0,0,(V3-W3))</calculatedColumnFormula>
    </tableColumn>
    <tableColumn id="27" xr3:uid="{67725D86-C1DE-4DB2-8FBD-99B8821906AB}" name="SURPLUS - ADM-SLM- Q4" dataDxfId="3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28" zoomScale="85" zoomScaleNormal="85" workbookViewId="0">
      <pane xSplit="2" topLeftCell="C28" activePane="topRight" state="frozen"/>
      <selection activeCell="A19" sqref="A19"/>
      <selection pane="topRight" activeCell="F35" sqref="F35:F38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1" customFormat="1" ht="64.900000000000006" customHeight="1" x14ac:dyDescent="0.2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 x14ac:dyDescent="0.25">
      <c r="A2" s="1">
        <v>1</v>
      </c>
      <c r="B2" s="2" t="s">
        <v>8</v>
      </c>
      <c r="C2" s="1">
        <v>227</v>
      </c>
      <c r="D2" s="1">
        <v>406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179</v>
      </c>
    </row>
    <row r="3" spans="1:8" ht="29.25" customHeight="1" x14ac:dyDescent="0.25">
      <c r="A3" s="1">
        <v>1</v>
      </c>
      <c r="B3" s="2" t="s">
        <v>10</v>
      </c>
      <c r="C3" s="1">
        <v>227</v>
      </c>
      <c r="D3" s="1">
        <v>406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179</v>
      </c>
    </row>
    <row r="4" spans="1:8" ht="21" customHeight="1" x14ac:dyDescent="0.25">
      <c r="A4" s="1">
        <v>1</v>
      </c>
      <c r="B4" s="2" t="s">
        <v>11</v>
      </c>
      <c r="C4" s="1">
        <v>227</v>
      </c>
      <c r="D4" s="1">
        <v>406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179</v>
      </c>
    </row>
    <row r="5" spans="1:8" ht="25.5" customHeight="1" x14ac:dyDescent="0.25">
      <c r="A5" s="1">
        <v>1</v>
      </c>
      <c r="B5" s="2" t="s">
        <v>12</v>
      </c>
      <c r="C5" s="1">
        <v>227</v>
      </c>
      <c r="D5" s="1">
        <v>406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179</v>
      </c>
    </row>
    <row r="6" spans="1:8" ht="20.25" x14ac:dyDescent="0.25">
      <c r="A6" s="1">
        <v>1</v>
      </c>
      <c r="B6" s="2" t="s">
        <v>13</v>
      </c>
      <c r="C6" s="1">
        <v>227</v>
      </c>
      <c r="D6" s="1"/>
      <c r="E6" s="1"/>
      <c r="F6" s="5"/>
      <c r="G6" s="3">
        <f t="shared" si="0"/>
        <v>227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266</v>
      </c>
      <c r="D8" s="1"/>
      <c r="E8" s="1"/>
      <c r="F8" s="5"/>
      <c r="G8" s="3">
        <f>IF((C8-D8)&lt;0,0,C8-D8)</f>
        <v>266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10</v>
      </c>
      <c r="C9" s="1">
        <v>266</v>
      </c>
      <c r="D9" s="1"/>
      <c r="E9" s="1"/>
      <c r="F9" s="5"/>
      <c r="G9" s="3">
        <f>IF((C9-D9)&lt;0,0,C9-D9)</f>
        <v>266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11</v>
      </c>
      <c r="C10" s="1">
        <v>266</v>
      </c>
      <c r="D10" s="1"/>
      <c r="E10" s="1"/>
      <c r="F10" s="5"/>
      <c r="G10" s="3">
        <f>IF((C10-D10)&lt;0,0,C10-D10)</f>
        <v>266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12</v>
      </c>
      <c r="C11" s="1">
        <v>266</v>
      </c>
      <c r="D11" s="1">
        <v>364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98</v>
      </c>
    </row>
    <row r="12" spans="1:8" ht="20.25" x14ac:dyDescent="0.25">
      <c r="A12" s="1">
        <v>2</v>
      </c>
      <c r="B12" s="2" t="s">
        <v>13</v>
      </c>
      <c r="C12" s="1">
        <v>266</v>
      </c>
      <c r="D12" s="1"/>
      <c r="E12" s="1"/>
      <c r="F12" s="5"/>
      <c r="G12" s="3">
        <f>IF((C12-D12)&lt;0,0,C12-D12)</f>
        <v>266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265</v>
      </c>
      <c r="D14" s="1"/>
      <c r="E14" s="1"/>
      <c r="F14" s="5"/>
      <c r="G14" s="3">
        <f t="shared" ref="G14:G19" si="2">IF((C14-D14)&lt;0,0,C14-D14)</f>
        <v>265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10</v>
      </c>
      <c r="C15" s="1">
        <v>265</v>
      </c>
      <c r="D15" s="1"/>
      <c r="E15" s="1"/>
      <c r="F15" s="5"/>
      <c r="G15" s="3">
        <f t="shared" si="2"/>
        <v>265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11</v>
      </c>
      <c r="C16" s="1">
        <v>265</v>
      </c>
      <c r="D16" s="1"/>
      <c r="E16" s="1"/>
      <c r="F16" s="5"/>
      <c r="G16" s="3">
        <f t="shared" si="2"/>
        <v>265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15</v>
      </c>
      <c r="C17" s="1">
        <v>265</v>
      </c>
      <c r="D17" s="1"/>
      <c r="E17" s="1"/>
      <c r="F17" s="5"/>
      <c r="G17" s="3">
        <f t="shared" si="2"/>
        <v>265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12</v>
      </c>
      <c r="C18" s="1">
        <v>265</v>
      </c>
      <c r="D18" s="1"/>
      <c r="E18" s="1"/>
      <c r="F18" s="5"/>
      <c r="G18" s="3">
        <f t="shared" si="2"/>
        <v>265</v>
      </c>
      <c r="H18" s="4">
        <f t="shared" si="3"/>
        <v>0</v>
      </c>
    </row>
    <row r="19" spans="1:8" ht="20.25" x14ac:dyDescent="0.25">
      <c r="A19" s="1">
        <v>3</v>
      </c>
      <c r="B19" s="2" t="s">
        <v>13</v>
      </c>
      <c r="C19" s="1">
        <v>265</v>
      </c>
      <c r="D19" s="1"/>
      <c r="E19" s="1"/>
      <c r="F19" s="5"/>
      <c r="G19" s="3">
        <f t="shared" si="2"/>
        <v>265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16</v>
      </c>
      <c r="C21" s="1">
        <v>311</v>
      </c>
      <c r="D21" s="1"/>
      <c r="E21" s="1"/>
      <c r="F21" s="5"/>
      <c r="G21" s="3">
        <f t="shared" ref="G21:G29" si="4">IF((C21-D21)&lt;0,0,C21-D21)</f>
        <v>311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17</v>
      </c>
      <c r="C22" s="1">
        <v>311</v>
      </c>
      <c r="D22" s="1">
        <v>400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89</v>
      </c>
    </row>
    <row r="23" spans="1:8" ht="18" x14ac:dyDescent="0.25">
      <c r="A23" s="1">
        <v>4</v>
      </c>
      <c r="B23" s="9" t="s">
        <v>13</v>
      </c>
      <c r="C23" s="1">
        <v>311</v>
      </c>
      <c r="D23" s="1">
        <v>400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89</v>
      </c>
    </row>
    <row r="24" spans="1:8" ht="27" customHeight="1" x14ac:dyDescent="0.25">
      <c r="A24" s="1">
        <v>4</v>
      </c>
      <c r="B24" s="9" t="s">
        <v>11</v>
      </c>
      <c r="C24" s="1">
        <v>311</v>
      </c>
      <c r="D24" s="1">
        <v>400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89</v>
      </c>
    </row>
    <row r="25" spans="1:8" ht="33.75" customHeight="1" x14ac:dyDescent="0.25">
      <c r="A25" s="1">
        <v>4</v>
      </c>
      <c r="B25" s="9" t="s">
        <v>18</v>
      </c>
      <c r="C25" s="1">
        <v>311</v>
      </c>
      <c r="D25" s="1">
        <v>400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89</v>
      </c>
    </row>
    <row r="26" spans="1:8" ht="33.75" customHeight="1" x14ac:dyDescent="0.25">
      <c r="A26" s="1">
        <v>4</v>
      </c>
      <c r="B26" s="9" t="s">
        <v>15</v>
      </c>
      <c r="C26" s="1">
        <v>311</v>
      </c>
      <c r="D26" s="1">
        <v>400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89</v>
      </c>
    </row>
    <row r="27" spans="1:8" ht="33.75" customHeight="1" x14ac:dyDescent="0.25">
      <c r="A27" s="1">
        <v>4</v>
      </c>
      <c r="B27" s="9" t="s">
        <v>19</v>
      </c>
      <c r="C27" s="1">
        <v>311</v>
      </c>
      <c r="D27" s="1">
        <v>400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89</v>
      </c>
    </row>
    <row r="28" spans="1:8" ht="27.75" customHeight="1" x14ac:dyDescent="0.25">
      <c r="A28" s="1">
        <v>4</v>
      </c>
      <c r="B28" s="9" t="s">
        <v>20</v>
      </c>
      <c r="C28" s="1">
        <v>311</v>
      </c>
      <c r="D28" s="1"/>
      <c r="E28" s="1"/>
      <c r="F28" s="5"/>
      <c r="G28" s="3">
        <f t="shared" si="4"/>
        <v>311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21</v>
      </c>
      <c r="C29" s="1">
        <v>311</v>
      </c>
      <c r="D29" s="1">
        <v>400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89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16</v>
      </c>
      <c r="C31" s="1">
        <v>258</v>
      </c>
      <c r="D31" s="1">
        <v>350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92</v>
      </c>
    </row>
    <row r="32" spans="1:8" ht="27.75" customHeight="1" x14ac:dyDescent="0.25">
      <c r="A32" s="1">
        <v>5</v>
      </c>
      <c r="B32" s="9" t="s">
        <v>17</v>
      </c>
      <c r="C32" s="1">
        <v>258</v>
      </c>
      <c r="D32" s="1"/>
      <c r="E32" s="1"/>
      <c r="F32" s="5"/>
      <c r="G32" s="3">
        <f t="shared" si="6"/>
        <v>258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13</v>
      </c>
      <c r="C33" s="1">
        <v>258</v>
      </c>
      <c r="D33" s="1"/>
      <c r="E33" s="1"/>
      <c r="F33" s="5"/>
      <c r="G33" s="3">
        <f t="shared" si="6"/>
        <v>258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11</v>
      </c>
      <c r="C34" s="1">
        <v>258</v>
      </c>
      <c r="D34" s="1"/>
      <c r="E34" s="1"/>
      <c r="F34" s="5"/>
      <c r="G34" s="3">
        <f t="shared" si="6"/>
        <v>258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18</v>
      </c>
      <c r="C35" s="1">
        <v>258</v>
      </c>
      <c r="D35" s="1">
        <v>350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92</v>
      </c>
    </row>
    <row r="36" spans="1:8" ht="27.75" customHeight="1" x14ac:dyDescent="0.25">
      <c r="A36" s="1">
        <v>5</v>
      </c>
      <c r="B36" s="9" t="s">
        <v>15</v>
      </c>
      <c r="C36" s="1">
        <v>258</v>
      </c>
      <c r="D36" s="1">
        <v>350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92</v>
      </c>
    </row>
    <row r="37" spans="1:8" ht="27.75" customHeight="1" x14ac:dyDescent="0.25">
      <c r="A37" s="1">
        <v>5</v>
      </c>
      <c r="B37" s="9" t="s">
        <v>19</v>
      </c>
      <c r="C37" s="1">
        <v>258</v>
      </c>
      <c r="D37" s="1">
        <v>350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92</v>
      </c>
    </row>
    <row r="38" spans="1:8" ht="27.75" customHeight="1" x14ac:dyDescent="0.25">
      <c r="A38" s="1">
        <v>5</v>
      </c>
      <c r="B38" s="9" t="s">
        <v>20</v>
      </c>
      <c r="C38" s="1">
        <v>258</v>
      </c>
      <c r="D38" s="1">
        <v>350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92</v>
      </c>
    </row>
    <row r="39" spans="1:8" ht="27.75" customHeight="1" x14ac:dyDescent="0.25">
      <c r="A39" s="1">
        <v>5</v>
      </c>
      <c r="B39" s="9" t="s">
        <v>21</v>
      </c>
      <c r="C39" s="1">
        <v>258</v>
      </c>
      <c r="D39" s="1"/>
      <c r="E39" s="1"/>
      <c r="F39" s="5"/>
      <c r="G39" s="3">
        <f t="shared" si="6"/>
        <v>258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16</v>
      </c>
      <c r="C41" s="1">
        <v>257</v>
      </c>
      <c r="D41" s="1"/>
      <c r="E41" s="1"/>
      <c r="F41" s="5"/>
      <c r="G41" s="3">
        <f t="shared" ref="G41:G49" si="8">IF((C41-D41)&lt;0,0,C41-D41)</f>
        <v>257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17</v>
      </c>
      <c r="C42" s="1">
        <v>257</v>
      </c>
      <c r="D42" s="1"/>
      <c r="E42" s="1"/>
      <c r="F42" s="5"/>
      <c r="G42" s="3">
        <f t="shared" si="8"/>
        <v>257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13</v>
      </c>
      <c r="C43" s="1">
        <v>257</v>
      </c>
      <c r="D43" s="1"/>
      <c r="E43" s="1"/>
      <c r="F43" s="5"/>
      <c r="G43" s="3">
        <f t="shared" si="8"/>
        <v>257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11</v>
      </c>
      <c r="C44" s="1">
        <v>257</v>
      </c>
      <c r="D44" s="1"/>
      <c r="E44" s="1"/>
      <c r="F44" s="5"/>
      <c r="G44" s="3">
        <f t="shared" si="8"/>
        <v>257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18</v>
      </c>
      <c r="C45" s="1">
        <v>257</v>
      </c>
      <c r="D45" s="1"/>
      <c r="E45" s="1"/>
      <c r="F45" s="5"/>
      <c r="G45" s="3">
        <f t="shared" si="8"/>
        <v>257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15</v>
      </c>
      <c r="C46" s="1">
        <v>257</v>
      </c>
      <c r="D46" s="1"/>
      <c r="E46" s="1"/>
      <c r="F46" s="5"/>
      <c r="G46" s="3">
        <f t="shared" si="8"/>
        <v>257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19</v>
      </c>
      <c r="C47" s="1">
        <v>257</v>
      </c>
      <c r="D47" s="1"/>
      <c r="E47" s="1"/>
      <c r="F47" s="5"/>
      <c r="G47" s="3">
        <f t="shared" si="8"/>
        <v>257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20</v>
      </c>
      <c r="C48" s="1">
        <v>257</v>
      </c>
      <c r="D48" s="1"/>
      <c r="E48" s="1"/>
      <c r="F48" s="5"/>
      <c r="G48" s="3">
        <f t="shared" si="8"/>
        <v>257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21</v>
      </c>
      <c r="C49" s="1">
        <v>257</v>
      </c>
      <c r="D49" s="1"/>
      <c r="E49" s="1"/>
      <c r="F49" s="5"/>
      <c r="G49" s="3">
        <f t="shared" si="8"/>
        <v>257</v>
      </c>
      <c r="H49" s="4">
        <f t="shared" si="9"/>
        <v>0</v>
      </c>
    </row>
    <row r="50" spans="1:8" ht="27.75" customHeight="1" x14ac:dyDescent="0.2"/>
    <row r="51" spans="1:8" ht="27.75" customHeight="1" x14ac:dyDescent="0.2"/>
    <row r="52" spans="1:8" ht="27.75" customHeight="1" x14ac:dyDescent="0.2"/>
    <row r="53" spans="1:8" ht="27.75" customHeight="1" x14ac:dyDescent="0.2"/>
    <row r="54" spans="1:8" ht="27.75" customHeight="1" x14ac:dyDescent="0.2"/>
    <row r="55" spans="1:8" ht="39" customHeight="1" x14ac:dyDescent="0.2"/>
    <row r="56" spans="1:8" ht="27.75" customHeight="1" x14ac:dyDescent="0.2"/>
    <row r="57" spans="1:8" ht="27.75" customHeight="1" x14ac:dyDescent="0.2"/>
    <row r="58" spans="1:8" ht="27.75" customHeight="1" x14ac:dyDescent="0.2"/>
    <row r="59" spans="1:8" ht="27.75" customHeight="1" x14ac:dyDescent="0.2"/>
    <row r="60" spans="1:8" ht="27.75" customHeight="1" x14ac:dyDescent="0.2"/>
    <row r="61" spans="1:8" ht="27.75" customHeight="1" x14ac:dyDescent="0.2"/>
    <row r="62" spans="1:8" ht="27.75" customHeight="1" x14ac:dyDescent="0.2"/>
    <row r="63" spans="1:8" ht="27.75" customHeight="1" x14ac:dyDescent="0.2"/>
    <row r="64" spans="1:8" ht="27.75" customHeight="1" x14ac:dyDescent="0.2"/>
    <row r="65" ht="27.75" customHeight="1" x14ac:dyDescent="0.2"/>
    <row r="66" ht="27.75" customHeight="1" x14ac:dyDescent="0.2"/>
    <row r="67" ht="27.75" customHeight="1" x14ac:dyDescent="0.2"/>
    <row r="68" ht="27.75" customHeight="1" x14ac:dyDescent="0.2"/>
    <row r="69" ht="27.75" customHeight="1" x14ac:dyDescent="0.2"/>
    <row r="70" ht="27.75" customHeight="1" x14ac:dyDescent="0.2"/>
    <row r="71" ht="27.75" customHeight="1" x14ac:dyDescent="0.2"/>
    <row r="72" ht="27.75" customHeight="1" x14ac:dyDescent="0.2"/>
    <row r="73" ht="27.75" customHeight="1" x14ac:dyDescent="0.2"/>
    <row r="74" ht="27.75" customHeight="1" x14ac:dyDescent="0.2"/>
    <row r="75" ht="27.75" customHeight="1" x14ac:dyDescent="0.2"/>
    <row r="76" ht="27.75" customHeight="1" x14ac:dyDescent="0.2"/>
    <row r="77" ht="27.75" customHeight="1" x14ac:dyDescent="0.2"/>
    <row r="78" ht="27.75" customHeight="1" x14ac:dyDescent="0.2"/>
    <row r="79" ht="27.75" customHeight="1" x14ac:dyDescent="0.2"/>
    <row r="80" ht="27.75" customHeight="1" x14ac:dyDescent="0.2"/>
    <row r="81" ht="27.75" customHeight="1" x14ac:dyDescent="0.2"/>
    <row r="82" ht="27.75" customHeight="1" x14ac:dyDescent="0.2"/>
    <row r="83" ht="27.75" customHeight="1" x14ac:dyDescent="0.2"/>
    <row r="84" ht="27.75" customHeight="1" x14ac:dyDescent="0.2"/>
    <row r="85" ht="27.75" customHeight="1" x14ac:dyDescent="0.2"/>
    <row r="86" ht="27.75" customHeight="1" x14ac:dyDescent="0.2"/>
    <row r="87" ht="27.75" customHeight="1" x14ac:dyDescent="0.2"/>
    <row r="88" ht="27.75" customHeight="1" x14ac:dyDescent="0.2"/>
    <row r="89" ht="27.75" customHeight="1" x14ac:dyDescent="0.2"/>
    <row r="90" ht="27.75" customHeight="1" x14ac:dyDescent="0.2"/>
    <row r="91" ht="39.75" customHeight="1" x14ac:dyDescent="0.2"/>
    <row r="92" ht="27.75" customHeight="1" x14ac:dyDescent="0.2"/>
    <row r="93" ht="27.75" customHeight="1" x14ac:dyDescent="0.2"/>
    <row r="94" ht="27.75" customHeight="1" x14ac:dyDescent="0.2"/>
    <row r="95" ht="40.5" customHeight="1" x14ac:dyDescent="0.2"/>
    <row r="96" ht="38.25" customHeight="1" x14ac:dyDescent="0.2"/>
    <row r="97" ht="27.75" customHeight="1" x14ac:dyDescent="0.2"/>
    <row r="98" ht="47.25" customHeight="1" x14ac:dyDescent="0.2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:E6 E14:E19 E8:E12 E21:E2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49" zoomScale="70" zoomScaleNormal="70" workbookViewId="0">
      <selection activeCell="Y69" sqref="Y69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5" customFormat="1" ht="34.15" customHeight="1" x14ac:dyDescent="0.2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 x14ac:dyDescent="0.2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 x14ac:dyDescent="0.25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 x14ac:dyDescent="0.2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 x14ac:dyDescent="0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 x14ac:dyDescent="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 x14ac:dyDescent="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 x14ac:dyDescent="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 x14ac:dyDescent="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 x14ac:dyDescent="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 x14ac:dyDescent="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 x14ac:dyDescent="0.2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 x14ac:dyDescent="0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 x14ac:dyDescent="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 x14ac:dyDescent="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 x14ac:dyDescent="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 x14ac:dyDescent="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 x14ac:dyDescent="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 x14ac:dyDescent="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 x14ac:dyDescent="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 x14ac:dyDescent="0.2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 x14ac:dyDescent="0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 x14ac:dyDescent="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 x14ac:dyDescent="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 x14ac:dyDescent="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 x14ac:dyDescent="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 x14ac:dyDescent="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 x14ac:dyDescent="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 x14ac:dyDescent="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 x14ac:dyDescent="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 x14ac:dyDescent="0.2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 x14ac:dyDescent="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 x14ac:dyDescent="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 x14ac:dyDescent="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 x14ac:dyDescent="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 x14ac:dyDescent="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 x14ac:dyDescent="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 x14ac:dyDescent="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 x14ac:dyDescent="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 x14ac:dyDescent="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 x14ac:dyDescent="0.2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 x14ac:dyDescent="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 x14ac:dyDescent="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 x14ac:dyDescent="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 x14ac:dyDescent="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 x14ac:dyDescent="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 x14ac:dyDescent="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 x14ac:dyDescent="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 x14ac:dyDescent="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 x14ac:dyDescent="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 x14ac:dyDescent="0.2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 x14ac:dyDescent="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 x14ac:dyDescent="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 x14ac:dyDescent="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 x14ac:dyDescent="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 x14ac:dyDescent="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 x14ac:dyDescent="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 x14ac:dyDescent="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 x14ac:dyDescent="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 x14ac:dyDescent="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8" zoomScale="55" zoomScaleNormal="55" workbookViewId="0">
      <selection activeCell="AC145" sqref="AC145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5" customFormat="1" ht="34.15" customHeight="1" x14ac:dyDescent="0.2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 x14ac:dyDescent="0.2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 x14ac:dyDescent="0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 x14ac:dyDescent="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 x14ac:dyDescent="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 x14ac:dyDescent="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 x14ac:dyDescent="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 x14ac:dyDescent="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 x14ac:dyDescent="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 x14ac:dyDescent="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 x14ac:dyDescent="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 x14ac:dyDescent="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 x14ac:dyDescent="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 x14ac:dyDescent="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 x14ac:dyDescent="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 x14ac:dyDescent="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 x14ac:dyDescent="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 x14ac:dyDescent="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 x14ac:dyDescent="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 x14ac:dyDescent="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 x14ac:dyDescent="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 x14ac:dyDescent="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 x14ac:dyDescent="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 x14ac:dyDescent="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 x14ac:dyDescent="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 x14ac:dyDescent="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 x14ac:dyDescent="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 x14ac:dyDescent="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 x14ac:dyDescent="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 x14ac:dyDescent="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 x14ac:dyDescent="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 x14ac:dyDescent="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 x14ac:dyDescent="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 x14ac:dyDescent="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 x14ac:dyDescent="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 x14ac:dyDescent="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 x14ac:dyDescent="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 x14ac:dyDescent="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 x14ac:dyDescent="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 x14ac:dyDescent="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 x14ac:dyDescent="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 x14ac:dyDescent="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 x14ac:dyDescent="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 x14ac:dyDescent="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 x14ac:dyDescent="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 x14ac:dyDescent="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 x14ac:dyDescent="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 x14ac:dyDescent="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 x14ac:dyDescent="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x14ac:dyDescent="0.2">
      <c r="AB124" s="7"/>
    </row>
    <row r="125" spans="1:28" x14ac:dyDescent="0.2">
      <c r="AB125" s="7"/>
    </row>
    <row r="126" spans="1:28" x14ac:dyDescent="0.2">
      <c r="AB126" s="7"/>
    </row>
    <row r="127" spans="1:28" x14ac:dyDescent="0.2">
      <c r="AB127" s="7"/>
    </row>
    <row r="128" spans="1:28" x14ac:dyDescent="0.2">
      <c r="AB128" s="7"/>
    </row>
    <row r="129" spans="28:28" x14ac:dyDescent="0.2">
      <c r="AB129" s="7"/>
    </row>
    <row r="130" spans="28:28" x14ac:dyDescent="0.2">
      <c r="AB130" s="7"/>
    </row>
    <row r="131" spans="28:28" x14ac:dyDescent="0.2">
      <c r="AB131" s="7"/>
    </row>
    <row r="132" spans="28:28" x14ac:dyDescent="0.2">
      <c r="AB132" s="7"/>
    </row>
    <row r="133" spans="28:28" x14ac:dyDescent="0.2">
      <c r="AB133" s="7"/>
    </row>
    <row r="134" spans="28:28" x14ac:dyDescent="0.2">
      <c r="AB134" s="7"/>
    </row>
    <row r="135" spans="28:28" x14ac:dyDescent="0.2">
      <c r="AB135" s="7"/>
    </row>
    <row r="136" spans="28:28" x14ac:dyDescent="0.2">
      <c r="AB136" s="7"/>
    </row>
    <row r="137" spans="28:28" x14ac:dyDescent="0.2">
      <c r="AB137" s="7"/>
    </row>
    <row r="138" spans="28:28" x14ac:dyDescent="0.2">
      <c r="AB138" s="7"/>
    </row>
    <row r="139" spans="28:28" x14ac:dyDescent="0.2">
      <c r="AB139" s="7"/>
    </row>
    <row r="140" spans="28:28" x14ac:dyDescent="0.2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4:R10 X55:X65 X43:X53 X31:X41 X21:X29 X12:X19 X3:X10 R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2026-04-14T06:16:58Z</dcterms:modified>
  <cp:category/>
  <cp:contentStatus/>
</cp:coreProperties>
</file>