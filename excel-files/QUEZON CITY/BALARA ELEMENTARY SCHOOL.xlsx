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06"/>
  <workbookPr/>
  <mc:AlternateContent xmlns:mc="http://schemas.openxmlformats.org/markup-compatibility/2006">
    <mc:Choice Requires="x15">
      <x15ac:absPath xmlns:x15ac="http://schemas.microsoft.com/office/spreadsheetml/2010/11/ac" url="C:\Users\Jonathan Buquia\Downloads\OFFICE\SEMINARS\Workshop on the Strengthened Regional Inventory of Learning Resources\SCHOOLS in NCR\CALOOCAN\"/>
    </mc:Choice>
  </mc:AlternateContent>
  <xr:revisionPtr revIDLastSave="108" documentId="13_ncr:1_{BFB59F67-F0DC-4675-A682-EB0734A8026A}" xr6:coauthVersionLast="47" xr6:coauthVersionMax="47" xr10:uidLastSave="{630B87D8-53A5-4106-9FBC-CE7DB774F2E0}"/>
  <bookViews>
    <workbookView xWindow="-108" yWindow="-108" windowWidth="23256" windowHeight="12456" activeTab="2" xr2:uid="{00000000-000D-0000-FFFF-FFFF00000000}"/>
  </bookViews>
  <sheets>
    <sheet name="TextBooks" sheetId="1" r:id="rId1"/>
    <sheet name="LAS" sheetId="4" r:id="rId2"/>
    <sheet name="ADM-SLM" sheetId="5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61" i="5" l="1"/>
  <c r="T61" i="5"/>
  <c r="P62" i="5"/>
  <c r="P63" i="5"/>
  <c r="P64" i="5"/>
  <c r="P65" i="5"/>
  <c r="P48" i="5"/>
  <c r="P49" i="5"/>
  <c r="U49" i="5"/>
  <c r="P50" i="5"/>
  <c r="P51" i="5"/>
  <c r="P52" i="5"/>
  <c r="U52" i="5"/>
  <c r="P53" i="5"/>
  <c r="P36" i="5"/>
  <c r="P37" i="5"/>
  <c r="P38" i="5"/>
  <c r="P39" i="5"/>
  <c r="P40" i="5"/>
  <c r="P41" i="5"/>
  <c r="D64" i="5"/>
  <c r="H64" i="5"/>
  <c r="J64" i="5"/>
  <c r="T64" i="5"/>
  <c r="V64" i="5"/>
  <c r="Z64" i="5"/>
  <c r="D61" i="5"/>
  <c r="H61" i="5"/>
  <c r="J61" i="5"/>
  <c r="V61" i="5"/>
  <c r="Z61" i="5"/>
  <c r="D52" i="5"/>
  <c r="H52" i="5"/>
  <c r="J52" i="5"/>
  <c r="V52" i="5"/>
  <c r="Z52" i="5"/>
  <c r="D49" i="5"/>
  <c r="H49" i="5"/>
  <c r="J49" i="5"/>
  <c r="V49" i="5"/>
  <c r="Z49" i="5"/>
  <c r="D40" i="5"/>
  <c r="H40" i="5"/>
  <c r="J40" i="5"/>
  <c r="U40" i="5"/>
  <c r="V40" i="5"/>
  <c r="Z40" i="5"/>
  <c r="D37" i="5"/>
  <c r="H37" i="5"/>
  <c r="J37" i="5"/>
  <c r="U37" i="5"/>
  <c r="V37" i="5"/>
  <c r="Z37" i="5"/>
  <c r="P3" i="4"/>
  <c r="T3" i="4"/>
  <c r="D3" i="4"/>
  <c r="H3" i="4"/>
  <c r="J3" i="4"/>
  <c r="V3" i="4"/>
  <c r="Z3" i="4"/>
  <c r="V65" i="5"/>
  <c r="Z65" i="5"/>
  <c r="U65" i="5"/>
  <c r="J65" i="5"/>
  <c r="D65" i="5"/>
  <c r="I65" i="5"/>
  <c r="V63" i="5"/>
  <c r="AA63" i="5"/>
  <c r="U63" i="5"/>
  <c r="J63" i="5"/>
  <c r="D63" i="5"/>
  <c r="I63" i="5"/>
  <c r="V62" i="5"/>
  <c r="AA62" i="5"/>
  <c r="U62" i="5"/>
  <c r="J62" i="5"/>
  <c r="D62" i="5"/>
  <c r="I62" i="5"/>
  <c r="V60" i="5"/>
  <c r="AA60" i="5"/>
  <c r="P60" i="5"/>
  <c r="U60" i="5"/>
  <c r="J60" i="5"/>
  <c r="N60" i="5"/>
  <c r="D60" i="5"/>
  <c r="I60" i="5"/>
  <c r="V59" i="5"/>
  <c r="AA59" i="5"/>
  <c r="P59" i="5"/>
  <c r="U59" i="5"/>
  <c r="J59" i="5"/>
  <c r="D59" i="5"/>
  <c r="I59" i="5"/>
  <c r="V58" i="5"/>
  <c r="AA58" i="5"/>
  <c r="P58" i="5"/>
  <c r="U58" i="5"/>
  <c r="J58" i="5"/>
  <c r="N58" i="5"/>
  <c r="D58" i="5"/>
  <c r="I58" i="5"/>
  <c r="V57" i="5"/>
  <c r="AA57" i="5"/>
  <c r="P57" i="5"/>
  <c r="U57" i="5"/>
  <c r="J57" i="5"/>
  <c r="D57" i="5"/>
  <c r="H57" i="5"/>
  <c r="V56" i="5"/>
  <c r="AA56" i="5"/>
  <c r="P56" i="5"/>
  <c r="U56" i="5"/>
  <c r="J56" i="5"/>
  <c r="N56" i="5"/>
  <c r="D56" i="5"/>
  <c r="I56" i="5"/>
  <c r="V55" i="5"/>
  <c r="AA55" i="5"/>
  <c r="P55" i="5"/>
  <c r="U55" i="5"/>
  <c r="J55" i="5"/>
  <c r="D55" i="5"/>
  <c r="I55" i="5"/>
  <c r="V53" i="5"/>
  <c r="AA53" i="5"/>
  <c r="U53" i="5"/>
  <c r="J53" i="5"/>
  <c r="D53" i="5"/>
  <c r="I53" i="5"/>
  <c r="V51" i="5"/>
  <c r="AA51" i="5"/>
  <c r="U51" i="5"/>
  <c r="J51" i="5"/>
  <c r="D51" i="5"/>
  <c r="I51" i="5"/>
  <c r="V50" i="5"/>
  <c r="AA50" i="5"/>
  <c r="U50" i="5"/>
  <c r="J50" i="5"/>
  <c r="D50" i="5"/>
  <c r="I50" i="5"/>
  <c r="V48" i="5"/>
  <c r="AA48" i="5"/>
  <c r="U48" i="5"/>
  <c r="J48" i="5"/>
  <c r="D48" i="5"/>
  <c r="I48" i="5"/>
  <c r="V47" i="5"/>
  <c r="AA47" i="5"/>
  <c r="P47" i="5"/>
  <c r="U47" i="5"/>
  <c r="J47" i="5"/>
  <c r="N47" i="5"/>
  <c r="D47" i="5"/>
  <c r="I47" i="5"/>
  <c r="V46" i="5"/>
  <c r="AA46" i="5"/>
  <c r="P46" i="5"/>
  <c r="U46" i="5"/>
  <c r="J46" i="5"/>
  <c r="D46" i="5"/>
  <c r="I46" i="5"/>
  <c r="V45" i="5"/>
  <c r="AA45" i="5"/>
  <c r="P45" i="5"/>
  <c r="U45" i="5"/>
  <c r="J45" i="5"/>
  <c r="N45" i="5"/>
  <c r="D45" i="5"/>
  <c r="H45" i="5"/>
  <c r="V44" i="5"/>
  <c r="AA44" i="5"/>
  <c r="P44" i="5"/>
  <c r="U44" i="5"/>
  <c r="J44" i="5"/>
  <c r="D44" i="5"/>
  <c r="H44" i="5"/>
  <c r="V43" i="5"/>
  <c r="AA43" i="5"/>
  <c r="P43" i="5"/>
  <c r="U43" i="5"/>
  <c r="J43" i="5"/>
  <c r="N43" i="5"/>
  <c r="D43" i="5"/>
  <c r="H43" i="5"/>
  <c r="V41" i="5"/>
  <c r="AA41" i="5"/>
  <c r="U41" i="5"/>
  <c r="J41" i="5"/>
  <c r="D41" i="5"/>
  <c r="I41" i="5"/>
  <c r="V39" i="5"/>
  <c r="AA39" i="5"/>
  <c r="U39" i="5"/>
  <c r="J39" i="5"/>
  <c r="D39" i="5"/>
  <c r="H39" i="5"/>
  <c r="V38" i="5"/>
  <c r="AA38" i="5"/>
  <c r="U38" i="5"/>
  <c r="J38" i="5"/>
  <c r="D38" i="5"/>
  <c r="I38" i="5"/>
  <c r="V36" i="5"/>
  <c r="Z36" i="5"/>
  <c r="U36" i="5"/>
  <c r="J36" i="5"/>
  <c r="D36" i="5"/>
  <c r="H36" i="5"/>
  <c r="V35" i="5"/>
  <c r="AA35" i="5"/>
  <c r="P35" i="5"/>
  <c r="U35" i="5"/>
  <c r="J35" i="5"/>
  <c r="D35" i="5"/>
  <c r="I35" i="5"/>
  <c r="V34" i="5"/>
  <c r="Z34" i="5"/>
  <c r="P34" i="5"/>
  <c r="U34" i="5"/>
  <c r="J34" i="5"/>
  <c r="N34" i="5"/>
  <c r="D34" i="5"/>
  <c r="H34" i="5"/>
  <c r="V33" i="5"/>
  <c r="Z33" i="5"/>
  <c r="P33" i="5"/>
  <c r="U33" i="5"/>
  <c r="J33" i="5"/>
  <c r="D33" i="5"/>
  <c r="I33" i="5"/>
  <c r="V32" i="5"/>
  <c r="Z32" i="5"/>
  <c r="P32" i="5"/>
  <c r="U32" i="5"/>
  <c r="J32" i="5"/>
  <c r="N32" i="5"/>
  <c r="D32" i="5"/>
  <c r="H32" i="5"/>
  <c r="V31" i="5"/>
  <c r="AA31" i="5"/>
  <c r="P31" i="5"/>
  <c r="U31" i="5"/>
  <c r="J31" i="5"/>
  <c r="D31" i="5"/>
  <c r="I31" i="5"/>
  <c r="V29" i="5"/>
  <c r="AA29" i="5"/>
  <c r="P29" i="5"/>
  <c r="U29" i="5"/>
  <c r="J29" i="5"/>
  <c r="O29" i="5"/>
  <c r="D29" i="5"/>
  <c r="H29" i="5"/>
  <c r="V28" i="5"/>
  <c r="AA28" i="5"/>
  <c r="P28" i="5"/>
  <c r="U28" i="5"/>
  <c r="J28" i="5"/>
  <c r="D28" i="5"/>
  <c r="I28" i="5"/>
  <c r="V27" i="5"/>
  <c r="Z27" i="5"/>
  <c r="P27" i="5"/>
  <c r="U27" i="5"/>
  <c r="J27" i="5"/>
  <c r="O27" i="5"/>
  <c r="D27" i="5"/>
  <c r="I27" i="5"/>
  <c r="V26" i="5"/>
  <c r="AA26" i="5"/>
  <c r="P26" i="5"/>
  <c r="U26" i="5"/>
  <c r="J26" i="5"/>
  <c r="N26" i="5"/>
  <c r="D26" i="5"/>
  <c r="I26" i="5"/>
  <c r="V25" i="5"/>
  <c r="AA25" i="5"/>
  <c r="P25" i="5"/>
  <c r="U25" i="5"/>
  <c r="J25" i="5"/>
  <c r="O25" i="5"/>
  <c r="D25" i="5"/>
  <c r="I25" i="5"/>
  <c r="V24" i="5"/>
  <c r="AA24" i="5"/>
  <c r="P24" i="5"/>
  <c r="U24" i="5"/>
  <c r="J24" i="5"/>
  <c r="N24" i="5"/>
  <c r="D24" i="5"/>
  <c r="I24" i="5"/>
  <c r="V23" i="5"/>
  <c r="AA23" i="5"/>
  <c r="P23" i="5"/>
  <c r="U23" i="5"/>
  <c r="J23" i="5"/>
  <c r="O23" i="5"/>
  <c r="D23" i="5"/>
  <c r="I23" i="5"/>
  <c r="V22" i="5"/>
  <c r="AA22" i="5"/>
  <c r="P22" i="5"/>
  <c r="U22" i="5"/>
  <c r="J22" i="5"/>
  <c r="N22" i="5"/>
  <c r="D22" i="5"/>
  <c r="I22" i="5"/>
  <c r="V21" i="5"/>
  <c r="AA21" i="5"/>
  <c r="P21" i="5"/>
  <c r="U21" i="5"/>
  <c r="J21" i="5"/>
  <c r="O21" i="5"/>
  <c r="D21" i="5"/>
  <c r="I21" i="5"/>
  <c r="V19" i="5"/>
  <c r="AA19" i="5"/>
  <c r="P19" i="5"/>
  <c r="T19" i="5"/>
  <c r="J19" i="5"/>
  <c r="N19" i="5"/>
  <c r="D19" i="5"/>
  <c r="I19" i="5"/>
  <c r="V18" i="5"/>
  <c r="AA18" i="5"/>
  <c r="P18" i="5"/>
  <c r="U18" i="5"/>
  <c r="J18" i="5"/>
  <c r="O18" i="5"/>
  <c r="D18" i="5"/>
  <c r="I18" i="5"/>
  <c r="V17" i="5"/>
  <c r="AA17" i="5"/>
  <c r="P17" i="5"/>
  <c r="U17" i="5"/>
  <c r="J17" i="5"/>
  <c r="N17" i="5"/>
  <c r="D17" i="5"/>
  <c r="I17" i="5"/>
  <c r="V16" i="5"/>
  <c r="AA16" i="5"/>
  <c r="P16" i="5"/>
  <c r="U16" i="5"/>
  <c r="J16" i="5"/>
  <c r="O16" i="5"/>
  <c r="D16" i="5"/>
  <c r="I16" i="5"/>
  <c r="V15" i="5"/>
  <c r="AA15" i="5"/>
  <c r="P15" i="5"/>
  <c r="U15" i="5"/>
  <c r="J15" i="5"/>
  <c r="N15" i="5"/>
  <c r="D15" i="5"/>
  <c r="I15" i="5"/>
  <c r="V14" i="5"/>
  <c r="AA14" i="5"/>
  <c r="P14" i="5"/>
  <c r="U14" i="5"/>
  <c r="J14" i="5"/>
  <c r="O14" i="5"/>
  <c r="D14" i="5"/>
  <c r="H14" i="5"/>
  <c r="V13" i="5"/>
  <c r="AA13" i="5"/>
  <c r="P13" i="5"/>
  <c r="U13" i="5"/>
  <c r="J13" i="5"/>
  <c r="N13" i="5"/>
  <c r="D13" i="5"/>
  <c r="I13" i="5"/>
  <c r="V12" i="5"/>
  <c r="AA12" i="5"/>
  <c r="P12" i="5"/>
  <c r="U12" i="5"/>
  <c r="J12" i="5"/>
  <c r="O12" i="5"/>
  <c r="D12" i="5"/>
  <c r="I12" i="5"/>
  <c r="V10" i="5"/>
  <c r="AA10" i="5"/>
  <c r="P10" i="5"/>
  <c r="U10" i="5"/>
  <c r="J10" i="5"/>
  <c r="N10" i="5"/>
  <c r="D10" i="5"/>
  <c r="I10" i="5"/>
  <c r="V9" i="5"/>
  <c r="AA9" i="5"/>
  <c r="P9" i="5"/>
  <c r="U9" i="5"/>
  <c r="J9" i="5"/>
  <c r="O9" i="5"/>
  <c r="D9" i="5"/>
  <c r="I9" i="5"/>
  <c r="V8" i="5"/>
  <c r="AA8" i="5"/>
  <c r="P8" i="5"/>
  <c r="U8" i="5"/>
  <c r="J8" i="5"/>
  <c r="N8" i="5"/>
  <c r="D8" i="5"/>
  <c r="I8" i="5"/>
  <c r="V7" i="5"/>
  <c r="AA7" i="5"/>
  <c r="P7" i="5"/>
  <c r="U7" i="5"/>
  <c r="J7" i="5"/>
  <c r="O7" i="5"/>
  <c r="D7" i="5"/>
  <c r="I7" i="5"/>
  <c r="V6" i="5"/>
  <c r="AA6" i="5"/>
  <c r="P6" i="5"/>
  <c r="U6" i="5"/>
  <c r="J6" i="5"/>
  <c r="N6" i="5"/>
  <c r="D6" i="5"/>
  <c r="I6" i="5"/>
  <c r="V5" i="5"/>
  <c r="AA5" i="5"/>
  <c r="P5" i="5"/>
  <c r="U5" i="5"/>
  <c r="J5" i="5"/>
  <c r="O5" i="5"/>
  <c r="D5" i="5"/>
  <c r="I5" i="5"/>
  <c r="V4" i="5"/>
  <c r="AA4" i="5"/>
  <c r="P4" i="5"/>
  <c r="U4" i="5"/>
  <c r="J4" i="5"/>
  <c r="N4" i="5"/>
  <c r="D4" i="5"/>
  <c r="I4" i="5"/>
  <c r="V3" i="5"/>
  <c r="AA3" i="5"/>
  <c r="P3" i="5"/>
  <c r="U3" i="5"/>
  <c r="J3" i="5"/>
  <c r="O3" i="5"/>
  <c r="D3" i="5"/>
  <c r="I3" i="5"/>
  <c r="V6" i="4"/>
  <c r="Z6" i="4"/>
  <c r="V7" i="4"/>
  <c r="AA7" i="4"/>
  <c r="V8" i="4"/>
  <c r="Z8" i="4"/>
  <c r="V9" i="4"/>
  <c r="AA9" i="4"/>
  <c r="V10" i="4"/>
  <c r="Z10" i="4"/>
  <c r="V11" i="4"/>
  <c r="AA11" i="4"/>
  <c r="V12" i="4"/>
  <c r="Z12" i="4"/>
  <c r="V14" i="4"/>
  <c r="Z14" i="4"/>
  <c r="V15" i="4"/>
  <c r="Z15" i="4"/>
  <c r="V16" i="4"/>
  <c r="AA16" i="4"/>
  <c r="V17" i="4"/>
  <c r="Z17" i="4"/>
  <c r="V18" i="4"/>
  <c r="Z18" i="4"/>
  <c r="V19" i="4"/>
  <c r="Z19" i="4"/>
  <c r="V20" i="4"/>
  <c r="AA20" i="4"/>
  <c r="V21" i="4"/>
  <c r="Z21" i="4"/>
  <c r="V23" i="4"/>
  <c r="Z23" i="4"/>
  <c r="V24" i="4"/>
  <c r="Z24" i="4"/>
  <c r="V25" i="4"/>
  <c r="AA25" i="4"/>
  <c r="V26" i="4"/>
  <c r="Z26" i="4"/>
  <c r="V27" i="4"/>
  <c r="Z27" i="4"/>
  <c r="V28" i="4"/>
  <c r="Z28" i="4"/>
  <c r="V29" i="4"/>
  <c r="AA29" i="4"/>
  <c r="V30" i="4"/>
  <c r="Z30" i="4"/>
  <c r="V31" i="4"/>
  <c r="Z31" i="4"/>
  <c r="V33" i="4"/>
  <c r="Z33" i="4"/>
  <c r="V34" i="4"/>
  <c r="AA34" i="4"/>
  <c r="V35" i="4"/>
  <c r="Z35" i="4"/>
  <c r="V36" i="4"/>
  <c r="Z36" i="4"/>
  <c r="V37" i="4"/>
  <c r="Z37" i="4"/>
  <c r="V38" i="4"/>
  <c r="AA38" i="4"/>
  <c r="V39" i="4"/>
  <c r="Z39" i="4"/>
  <c r="V40" i="4"/>
  <c r="Z40" i="4"/>
  <c r="V41" i="4"/>
  <c r="Z41" i="4"/>
  <c r="V43" i="4"/>
  <c r="AA43" i="4"/>
  <c r="V44" i="4"/>
  <c r="Z44" i="4"/>
  <c r="V45" i="4"/>
  <c r="AA45" i="4"/>
  <c r="V46" i="4"/>
  <c r="Z46" i="4"/>
  <c r="V47" i="4"/>
  <c r="AA47" i="4"/>
  <c r="V48" i="4"/>
  <c r="Z48" i="4"/>
  <c r="V49" i="4"/>
  <c r="Z49" i="4"/>
  <c r="V50" i="4"/>
  <c r="Z50" i="4"/>
  <c r="V51" i="4"/>
  <c r="AA51" i="4"/>
  <c r="V53" i="4"/>
  <c r="Z53" i="4"/>
  <c r="V54" i="4"/>
  <c r="Z54" i="4"/>
  <c r="V55" i="4"/>
  <c r="Z55" i="4"/>
  <c r="V56" i="4"/>
  <c r="AA56" i="4"/>
  <c r="V57" i="4"/>
  <c r="Z57" i="4"/>
  <c r="V58" i="4"/>
  <c r="Z58" i="4"/>
  <c r="V59" i="4"/>
  <c r="Z59" i="4"/>
  <c r="V60" i="4"/>
  <c r="AA60" i="4"/>
  <c r="V61" i="4"/>
  <c r="Z61" i="4"/>
  <c r="P6" i="4"/>
  <c r="T6" i="4"/>
  <c r="P7" i="4"/>
  <c r="T7" i="4"/>
  <c r="P8" i="4"/>
  <c r="T8" i="4"/>
  <c r="P9" i="4"/>
  <c r="T9" i="4"/>
  <c r="P10" i="4"/>
  <c r="U10" i="4"/>
  <c r="P11" i="4"/>
  <c r="T11" i="4"/>
  <c r="P12" i="4"/>
  <c r="T12" i="4"/>
  <c r="P14" i="4"/>
  <c r="P15" i="4"/>
  <c r="T15" i="4"/>
  <c r="P16" i="4"/>
  <c r="T16" i="4"/>
  <c r="P17" i="4"/>
  <c r="T17" i="4"/>
  <c r="P18" i="4"/>
  <c r="P19" i="4"/>
  <c r="U19" i="4"/>
  <c r="P20" i="4"/>
  <c r="T20" i="4"/>
  <c r="P21" i="4"/>
  <c r="T21" i="4"/>
  <c r="P23" i="4"/>
  <c r="P24" i="4"/>
  <c r="T24" i="4"/>
  <c r="P25" i="4"/>
  <c r="T25" i="4"/>
  <c r="P26" i="4"/>
  <c r="T26" i="4"/>
  <c r="P27" i="4"/>
  <c r="P28" i="4"/>
  <c r="U28" i="4"/>
  <c r="P29" i="4"/>
  <c r="T29" i="4"/>
  <c r="P30" i="4"/>
  <c r="T30" i="4"/>
  <c r="P31" i="4"/>
  <c r="P33" i="4"/>
  <c r="U33" i="4"/>
  <c r="P34" i="4"/>
  <c r="T34" i="4"/>
  <c r="P35" i="4"/>
  <c r="T35" i="4"/>
  <c r="P36" i="4"/>
  <c r="P37" i="4"/>
  <c r="U37" i="4"/>
  <c r="P38" i="4"/>
  <c r="T38" i="4"/>
  <c r="P39" i="4"/>
  <c r="T39" i="4"/>
  <c r="P40" i="4"/>
  <c r="P41" i="4"/>
  <c r="T41" i="4"/>
  <c r="P43" i="4"/>
  <c r="T43" i="4"/>
  <c r="P44" i="4"/>
  <c r="T44" i="4"/>
  <c r="P45" i="4"/>
  <c r="P46" i="4"/>
  <c r="U46" i="4"/>
  <c r="P47" i="4"/>
  <c r="T47" i="4"/>
  <c r="P48" i="4"/>
  <c r="T48" i="4"/>
  <c r="P49" i="4"/>
  <c r="P50" i="4"/>
  <c r="T50" i="4"/>
  <c r="P51" i="4"/>
  <c r="T51" i="4"/>
  <c r="P53" i="4"/>
  <c r="T53" i="4"/>
  <c r="P54" i="4"/>
  <c r="P55" i="4"/>
  <c r="U55" i="4"/>
  <c r="P56" i="4"/>
  <c r="T56" i="4"/>
  <c r="P57" i="4"/>
  <c r="T57" i="4"/>
  <c r="P58" i="4"/>
  <c r="P59" i="4"/>
  <c r="T59" i="4"/>
  <c r="P60" i="4"/>
  <c r="T60" i="4"/>
  <c r="P61" i="4"/>
  <c r="T61" i="4"/>
  <c r="J6" i="4"/>
  <c r="N6" i="4"/>
  <c r="J7" i="4"/>
  <c r="J8" i="4"/>
  <c r="N8" i="4"/>
  <c r="J9" i="4"/>
  <c r="N9" i="4"/>
  <c r="J10" i="4"/>
  <c r="O10" i="4"/>
  <c r="J11" i="4"/>
  <c r="O11" i="4"/>
  <c r="J12" i="4"/>
  <c r="N12" i="4"/>
  <c r="J14" i="4"/>
  <c r="N14" i="4"/>
  <c r="J15" i="4"/>
  <c r="N15" i="4"/>
  <c r="J16" i="4"/>
  <c r="O16" i="4"/>
  <c r="J17" i="4"/>
  <c r="N17" i="4"/>
  <c r="J18" i="4"/>
  <c r="N18" i="4"/>
  <c r="J19" i="4"/>
  <c r="O19" i="4"/>
  <c r="J20" i="4"/>
  <c r="O20" i="4"/>
  <c r="J21" i="4"/>
  <c r="N21" i="4"/>
  <c r="J23" i="4"/>
  <c r="N23" i="4"/>
  <c r="J24" i="4"/>
  <c r="N24" i="4"/>
  <c r="J25" i="4"/>
  <c r="O25" i="4"/>
  <c r="J26" i="4"/>
  <c r="N26" i="4"/>
  <c r="J27" i="4"/>
  <c r="N27" i="4"/>
  <c r="J28" i="4"/>
  <c r="O28" i="4"/>
  <c r="J29" i="4"/>
  <c r="O29" i="4"/>
  <c r="J30" i="4"/>
  <c r="N30" i="4"/>
  <c r="J31" i="4"/>
  <c r="N31" i="4"/>
  <c r="J33" i="4"/>
  <c r="N33" i="4"/>
  <c r="J34" i="4"/>
  <c r="O34" i="4"/>
  <c r="J35" i="4"/>
  <c r="N35" i="4"/>
  <c r="J36" i="4"/>
  <c r="N36" i="4"/>
  <c r="J37" i="4"/>
  <c r="O37" i="4"/>
  <c r="J38" i="4"/>
  <c r="O38" i="4"/>
  <c r="J39" i="4"/>
  <c r="N39" i="4"/>
  <c r="J40" i="4"/>
  <c r="N40" i="4"/>
  <c r="J41" i="4"/>
  <c r="N41" i="4"/>
  <c r="J43" i="4"/>
  <c r="O43" i="4"/>
  <c r="J44" i="4"/>
  <c r="N44" i="4"/>
  <c r="J45" i="4"/>
  <c r="N45" i="4"/>
  <c r="J46" i="4"/>
  <c r="O46" i="4"/>
  <c r="J47" i="4"/>
  <c r="O47" i="4"/>
  <c r="J48" i="4"/>
  <c r="N48" i="4"/>
  <c r="J49" i="4"/>
  <c r="N49" i="4"/>
  <c r="J50" i="4"/>
  <c r="N50" i="4"/>
  <c r="J51" i="4"/>
  <c r="O51" i="4"/>
  <c r="J53" i="4"/>
  <c r="N53" i="4"/>
  <c r="J54" i="4"/>
  <c r="N54" i="4"/>
  <c r="J55" i="4"/>
  <c r="O55" i="4"/>
  <c r="J56" i="4"/>
  <c r="O56" i="4"/>
  <c r="J57" i="4"/>
  <c r="N57" i="4"/>
  <c r="J58" i="4"/>
  <c r="N58" i="4"/>
  <c r="J59" i="4"/>
  <c r="N59" i="4"/>
  <c r="J60" i="4"/>
  <c r="O60" i="4"/>
  <c r="J61" i="4"/>
  <c r="N61" i="4"/>
  <c r="D31" i="4"/>
  <c r="H31" i="4"/>
  <c r="D21" i="4"/>
  <c r="H21" i="4"/>
  <c r="D12" i="4"/>
  <c r="H12" i="4"/>
  <c r="D29" i="4"/>
  <c r="H29" i="4"/>
  <c r="D30" i="4"/>
  <c r="H30" i="4"/>
  <c r="D19" i="4"/>
  <c r="H19" i="4"/>
  <c r="D10" i="4"/>
  <c r="H10" i="4"/>
  <c r="D11" i="4"/>
  <c r="H11" i="4"/>
  <c r="D20" i="4"/>
  <c r="H20" i="4"/>
  <c r="V5" i="4"/>
  <c r="AA5" i="4"/>
  <c r="P5" i="4"/>
  <c r="T5" i="4"/>
  <c r="J5" i="4"/>
  <c r="D6" i="4"/>
  <c r="I6" i="4"/>
  <c r="D7" i="4"/>
  <c r="I7" i="4"/>
  <c r="D8" i="4"/>
  <c r="I8" i="4"/>
  <c r="D9" i="4"/>
  <c r="I9" i="4"/>
  <c r="D14" i="4"/>
  <c r="D15" i="4"/>
  <c r="I15" i="4"/>
  <c r="D16" i="4"/>
  <c r="I16" i="4"/>
  <c r="D17" i="4"/>
  <c r="I17" i="4"/>
  <c r="D18" i="4"/>
  <c r="I18" i="4"/>
  <c r="D23" i="4"/>
  <c r="H23" i="4"/>
  <c r="D24" i="4"/>
  <c r="H24" i="4"/>
  <c r="D25" i="4"/>
  <c r="D26" i="4"/>
  <c r="D27" i="4"/>
  <c r="I27" i="4"/>
  <c r="D28" i="4"/>
  <c r="I28" i="4"/>
  <c r="D33" i="4"/>
  <c r="H33" i="4"/>
  <c r="D34" i="4"/>
  <c r="H34" i="4"/>
  <c r="D35" i="4"/>
  <c r="H35" i="4"/>
  <c r="D36" i="4"/>
  <c r="H36" i="4"/>
  <c r="D37" i="4"/>
  <c r="D38" i="4"/>
  <c r="D39" i="4"/>
  <c r="I39" i="4"/>
  <c r="D40" i="4"/>
  <c r="I40" i="4"/>
  <c r="D41" i="4"/>
  <c r="I41" i="4"/>
  <c r="D43" i="4"/>
  <c r="I43" i="4"/>
  <c r="D44" i="4"/>
  <c r="H44" i="4"/>
  <c r="D45" i="4"/>
  <c r="H45" i="4"/>
  <c r="D46" i="4"/>
  <c r="D47" i="4"/>
  <c r="D48" i="4"/>
  <c r="I48" i="4"/>
  <c r="D49" i="4"/>
  <c r="I49" i="4"/>
  <c r="D50" i="4"/>
  <c r="H50" i="4"/>
  <c r="D51" i="4"/>
  <c r="H51" i="4"/>
  <c r="D53" i="4"/>
  <c r="H53" i="4"/>
  <c r="D54" i="4"/>
  <c r="H54" i="4"/>
  <c r="D55" i="4"/>
  <c r="H55" i="4"/>
  <c r="D56" i="4"/>
  <c r="D57" i="4"/>
  <c r="D58" i="4"/>
  <c r="I58" i="4"/>
  <c r="D59" i="4"/>
  <c r="I59" i="4"/>
  <c r="D60" i="4"/>
  <c r="I60" i="4"/>
  <c r="D61" i="4"/>
  <c r="I61" i="4"/>
  <c r="D5" i="4"/>
  <c r="I5" i="4"/>
  <c r="G5" i="1"/>
  <c r="H5" i="1"/>
  <c r="G6" i="1"/>
  <c r="H6" i="1"/>
  <c r="G2" i="1"/>
  <c r="H49" i="1"/>
  <c r="G49" i="1"/>
  <c r="H48" i="1"/>
  <c r="G48" i="1"/>
  <c r="H47" i="1"/>
  <c r="G47" i="1"/>
  <c r="H46" i="1"/>
  <c r="G46" i="1"/>
  <c r="H45" i="1"/>
  <c r="G45" i="1"/>
  <c r="H44" i="1"/>
  <c r="G44" i="1"/>
  <c r="H43" i="1"/>
  <c r="G43" i="1"/>
  <c r="H42" i="1"/>
  <c r="G42" i="1"/>
  <c r="H41" i="1"/>
  <c r="G41" i="1"/>
  <c r="H39" i="1"/>
  <c r="G39" i="1"/>
  <c r="H38" i="1"/>
  <c r="G38" i="1"/>
  <c r="H37" i="1"/>
  <c r="G37" i="1"/>
  <c r="H36" i="1"/>
  <c r="G36" i="1"/>
  <c r="H35" i="1"/>
  <c r="G35" i="1"/>
  <c r="H34" i="1"/>
  <c r="G34" i="1"/>
  <c r="H33" i="1"/>
  <c r="G33" i="1"/>
  <c r="H32" i="1"/>
  <c r="G32" i="1"/>
  <c r="H31" i="1"/>
  <c r="G31" i="1"/>
  <c r="H29" i="1"/>
  <c r="G29" i="1"/>
  <c r="H28" i="1"/>
  <c r="G28" i="1"/>
  <c r="H27" i="1"/>
  <c r="G27" i="1"/>
  <c r="H26" i="1"/>
  <c r="G26" i="1"/>
  <c r="H25" i="1"/>
  <c r="G25" i="1"/>
  <c r="H24" i="1"/>
  <c r="G24" i="1"/>
  <c r="H23" i="1"/>
  <c r="G23" i="1"/>
  <c r="H22" i="1"/>
  <c r="G22" i="1"/>
  <c r="H21" i="1"/>
  <c r="G21" i="1"/>
  <c r="H19" i="1"/>
  <c r="G19" i="1"/>
  <c r="H18" i="1"/>
  <c r="G18" i="1"/>
  <c r="H17" i="1"/>
  <c r="G17" i="1"/>
  <c r="H16" i="1"/>
  <c r="G16" i="1"/>
  <c r="H15" i="1"/>
  <c r="G15" i="1"/>
  <c r="H14" i="1"/>
  <c r="G14" i="1"/>
  <c r="H12" i="1"/>
  <c r="G12" i="1"/>
  <c r="H11" i="1"/>
  <c r="G11" i="1"/>
  <c r="H10" i="1"/>
  <c r="G10" i="1"/>
  <c r="H9" i="1"/>
  <c r="G9" i="1"/>
  <c r="H8" i="1"/>
  <c r="G8" i="1"/>
  <c r="H4" i="1"/>
  <c r="G4" i="1"/>
  <c r="H3" i="1"/>
  <c r="G3" i="1"/>
  <c r="H2" i="1"/>
  <c r="O3" i="4"/>
  <c r="N3" i="4"/>
  <c r="O12" i="4"/>
  <c r="Z9" i="4"/>
  <c r="T33" i="4"/>
  <c r="Z45" i="4"/>
  <c r="AA31" i="4"/>
  <c r="U3" i="4"/>
  <c r="O26" i="4"/>
  <c r="T10" i="4"/>
  <c r="U59" i="4"/>
  <c r="U43" i="4"/>
  <c r="Z56" i="4"/>
  <c r="U61" i="5"/>
  <c r="U64" i="5"/>
  <c r="T52" i="5"/>
  <c r="I61" i="5"/>
  <c r="I64" i="5"/>
  <c r="AA64" i="5"/>
  <c r="T49" i="5"/>
  <c r="AA61" i="5"/>
  <c r="T40" i="5"/>
  <c r="I52" i="5"/>
  <c r="AA52" i="5"/>
  <c r="T37" i="5"/>
  <c r="I49" i="5"/>
  <c r="AA49" i="5"/>
  <c r="I40" i="5"/>
  <c r="AA40" i="5"/>
  <c r="I37" i="5"/>
  <c r="AA37" i="5"/>
  <c r="H60" i="5"/>
  <c r="I44" i="5"/>
  <c r="N27" i="5"/>
  <c r="Z60" i="5"/>
  <c r="H62" i="5"/>
  <c r="O13" i="5"/>
  <c r="AA36" i="5"/>
  <c r="T39" i="5"/>
  <c r="O43" i="5"/>
  <c r="N9" i="5"/>
  <c r="H12" i="5"/>
  <c r="U19" i="5"/>
  <c r="AA34" i="5"/>
  <c r="H46" i="5"/>
  <c r="T22" i="5"/>
  <c r="O32" i="5"/>
  <c r="AA33" i="5"/>
  <c r="Z47" i="5"/>
  <c r="T53" i="5"/>
  <c r="H21" i="5"/>
  <c r="Z29" i="5"/>
  <c r="I45" i="5"/>
  <c r="T28" i="5"/>
  <c r="AA32" i="5"/>
  <c r="O34" i="5"/>
  <c r="Z46" i="5"/>
  <c r="Z20" i="4"/>
  <c r="N56" i="4"/>
  <c r="O44" i="4"/>
  <c r="N37" i="4"/>
  <c r="T37" i="4"/>
  <c r="U20" i="4"/>
  <c r="U15" i="4"/>
  <c r="AA54" i="4"/>
  <c r="Z43" i="4"/>
  <c r="AA18" i="4"/>
  <c r="Z7" i="4"/>
  <c r="O61" i="4"/>
  <c r="O30" i="4"/>
  <c r="U47" i="4"/>
  <c r="U41" i="4"/>
  <c r="U25" i="4"/>
  <c r="AA40" i="4"/>
  <c r="Z29" i="4"/>
  <c r="N55" i="4"/>
  <c r="O48" i="4"/>
  <c r="O17" i="4"/>
  <c r="N10" i="4"/>
  <c r="U51" i="4"/>
  <c r="T19" i="4"/>
  <c r="Z51" i="4"/>
  <c r="AA27" i="4"/>
  <c r="Z16" i="4"/>
  <c r="N19" i="4"/>
  <c r="I31" i="4"/>
  <c r="O35" i="4"/>
  <c r="T46" i="4"/>
  <c r="U29" i="4"/>
  <c r="U24" i="4"/>
  <c r="U7" i="4"/>
  <c r="AA49" i="4"/>
  <c r="Z38" i="4"/>
  <c r="AA14" i="4"/>
  <c r="N28" i="4"/>
  <c r="O21" i="4"/>
  <c r="U56" i="4"/>
  <c r="U50" i="4"/>
  <c r="U34" i="4"/>
  <c r="Z60" i="4"/>
  <c r="AA36" i="4"/>
  <c r="Z25" i="4"/>
  <c r="I3" i="4"/>
  <c r="O53" i="4"/>
  <c r="N46" i="4"/>
  <c r="O39" i="4"/>
  <c r="N34" i="4"/>
  <c r="O8" i="4"/>
  <c r="U60" i="4"/>
  <c r="T28" i="4"/>
  <c r="U11" i="4"/>
  <c r="U6" i="4"/>
  <c r="AA58" i="4"/>
  <c r="Z47" i="4"/>
  <c r="AA23" i="4"/>
  <c r="Z11" i="4"/>
  <c r="AA3" i="4"/>
  <c r="O57" i="4"/>
  <c r="T55" i="4"/>
  <c r="U38" i="4"/>
  <c r="U16" i="4"/>
  <c r="Z34" i="4"/>
  <c r="T40" i="4"/>
  <c r="U40" i="4"/>
  <c r="N25" i="4"/>
  <c r="N51" i="4"/>
  <c r="N29" i="4"/>
  <c r="T18" i="4"/>
  <c r="U18" i="4"/>
  <c r="N60" i="4"/>
  <c r="N38" i="4"/>
  <c r="T27" i="4"/>
  <c r="U27" i="4"/>
  <c r="T23" i="4"/>
  <c r="U23" i="4"/>
  <c r="T49" i="4"/>
  <c r="U49" i="4"/>
  <c r="N11" i="4"/>
  <c r="T54" i="4"/>
  <c r="U54" i="4"/>
  <c r="T31" i="4"/>
  <c r="U31" i="4"/>
  <c r="N16" i="4"/>
  <c r="T58" i="4"/>
  <c r="U58" i="4"/>
  <c r="N43" i="4"/>
  <c r="N20" i="4"/>
  <c r="T45" i="4"/>
  <c r="U45" i="4"/>
  <c r="O7" i="4"/>
  <c r="N7" i="4"/>
  <c r="N47" i="4"/>
  <c r="T36" i="4"/>
  <c r="U36" i="4"/>
  <c r="T14" i="4"/>
  <c r="U14" i="4"/>
  <c r="O54" i="4"/>
  <c r="O45" i="4"/>
  <c r="O36" i="4"/>
  <c r="O27" i="4"/>
  <c r="O18" i="4"/>
  <c r="O9" i="4"/>
  <c r="U61" i="4"/>
  <c r="U53" i="4"/>
  <c r="U44" i="4"/>
  <c r="U35" i="4"/>
  <c r="U26" i="4"/>
  <c r="U17" i="4"/>
  <c r="U8" i="4"/>
  <c r="AA61" i="4"/>
  <c r="AA57" i="4"/>
  <c r="AA53" i="4"/>
  <c r="AA48" i="4"/>
  <c r="AA44" i="4"/>
  <c r="AA39" i="4"/>
  <c r="AA35" i="4"/>
  <c r="AA30" i="4"/>
  <c r="AA26" i="4"/>
  <c r="AA21" i="4"/>
  <c r="AA17" i="4"/>
  <c r="AA12" i="4"/>
  <c r="AA8" i="4"/>
  <c r="O59" i="4"/>
  <c r="O50" i="4"/>
  <c r="O41" i="4"/>
  <c r="O33" i="4"/>
  <c r="O24" i="4"/>
  <c r="O15" i="4"/>
  <c r="O6" i="4"/>
  <c r="O58" i="4"/>
  <c r="O49" i="4"/>
  <c r="O40" i="4"/>
  <c r="O31" i="4"/>
  <c r="O23" i="4"/>
  <c r="O14" i="4"/>
  <c r="U57" i="4"/>
  <c r="U48" i="4"/>
  <c r="U39" i="4"/>
  <c r="U30" i="4"/>
  <c r="U21" i="4"/>
  <c r="U12" i="4"/>
  <c r="AA59" i="4"/>
  <c r="AA55" i="4"/>
  <c r="AA50" i="4"/>
  <c r="AA46" i="4"/>
  <c r="AA41" i="4"/>
  <c r="AA37" i="4"/>
  <c r="AA33" i="4"/>
  <c r="AA28" i="4"/>
  <c r="AA24" i="4"/>
  <c r="AA19" i="4"/>
  <c r="AA15" i="4"/>
  <c r="AA10" i="4"/>
  <c r="AA6" i="4"/>
  <c r="U9" i="4"/>
  <c r="O4" i="5"/>
  <c r="N5" i="5"/>
  <c r="Z6" i="5"/>
  <c r="T8" i="5"/>
  <c r="Z17" i="5"/>
  <c r="H23" i="5"/>
  <c r="O24" i="5"/>
  <c r="I36" i="5"/>
  <c r="T38" i="5"/>
  <c r="Z39" i="5"/>
  <c r="H50" i="5"/>
  <c r="Z53" i="5"/>
  <c r="Z55" i="5"/>
  <c r="Z56" i="5"/>
  <c r="Z63" i="5"/>
  <c r="AA65" i="5"/>
  <c r="H3" i="5"/>
  <c r="T4" i="5"/>
  <c r="T10" i="5"/>
  <c r="N12" i="5"/>
  <c r="O22" i="5"/>
  <c r="AA27" i="5"/>
  <c r="N29" i="5"/>
  <c r="H31" i="5"/>
  <c r="H48" i="5"/>
  <c r="I57" i="5"/>
  <c r="I14" i="5"/>
  <c r="Z15" i="5"/>
  <c r="O17" i="5"/>
  <c r="N18" i="5"/>
  <c r="N23" i="5"/>
  <c r="Z24" i="5"/>
  <c r="T26" i="5"/>
  <c r="T35" i="5"/>
  <c r="I39" i="5"/>
  <c r="H41" i="5"/>
  <c r="T43" i="5"/>
  <c r="O47" i="5"/>
  <c r="H55" i="5"/>
  <c r="H56" i="5"/>
  <c r="H65" i="5"/>
  <c r="H5" i="5"/>
  <c r="O6" i="5"/>
  <c r="Z10" i="5"/>
  <c r="H16" i="5"/>
  <c r="T17" i="5"/>
  <c r="T29" i="5"/>
  <c r="Z35" i="5"/>
  <c r="T46" i="5"/>
  <c r="T47" i="5"/>
  <c r="T50" i="5"/>
  <c r="T6" i="5"/>
  <c r="N7" i="5"/>
  <c r="Z13" i="5"/>
  <c r="H18" i="5"/>
  <c r="O19" i="5"/>
  <c r="T24" i="5"/>
  <c r="N25" i="5"/>
  <c r="T32" i="5"/>
  <c r="Z43" i="5"/>
  <c r="Z44" i="5"/>
  <c r="Z45" i="5"/>
  <c r="H51" i="5"/>
  <c r="H53" i="5"/>
  <c r="H58" i="5"/>
  <c r="H59" i="5"/>
  <c r="N3" i="5"/>
  <c r="Z8" i="5"/>
  <c r="O15" i="5"/>
  <c r="N21" i="5"/>
  <c r="Z26" i="5"/>
  <c r="Z28" i="5"/>
  <c r="I43" i="5"/>
  <c r="T48" i="5"/>
  <c r="T62" i="5"/>
  <c r="T65" i="5"/>
  <c r="Z4" i="5"/>
  <c r="H9" i="5"/>
  <c r="O10" i="5"/>
  <c r="T15" i="5"/>
  <c r="N16" i="5"/>
  <c r="Z22" i="5"/>
  <c r="H27" i="5"/>
  <c r="I29" i="5"/>
  <c r="I32" i="5"/>
  <c r="H47" i="5"/>
  <c r="Z48" i="5"/>
  <c r="H7" i="5"/>
  <c r="O8" i="5"/>
  <c r="T13" i="5"/>
  <c r="N14" i="5"/>
  <c r="Z19" i="5"/>
  <c r="H25" i="5"/>
  <c r="O26" i="5"/>
  <c r="H33" i="5"/>
  <c r="I34" i="5"/>
  <c r="H35" i="5"/>
  <c r="H38" i="5"/>
  <c r="O45" i="5"/>
  <c r="Z50" i="5"/>
  <c r="Z51" i="5"/>
  <c r="T56" i="5"/>
  <c r="Z58" i="5"/>
  <c r="H63" i="5"/>
  <c r="H4" i="5"/>
  <c r="H6" i="5"/>
  <c r="H8" i="5"/>
  <c r="H10" i="5"/>
  <c r="H13" i="5"/>
  <c r="H15" i="5"/>
  <c r="H17" i="5"/>
  <c r="H19" i="5"/>
  <c r="H22" i="5"/>
  <c r="H24" i="5"/>
  <c r="H26" i="5"/>
  <c r="H28" i="5"/>
  <c r="T31" i="5"/>
  <c r="O33" i="5"/>
  <c r="N33" i="5"/>
  <c r="Z38" i="5"/>
  <c r="T41" i="5"/>
  <c r="O44" i="5"/>
  <c r="N44" i="5"/>
  <c r="T57" i="5"/>
  <c r="O58" i="5"/>
  <c r="Z62" i="5"/>
  <c r="T63" i="5"/>
  <c r="T3" i="5"/>
  <c r="T5" i="5"/>
  <c r="T7" i="5"/>
  <c r="T9" i="5"/>
  <c r="T12" i="5"/>
  <c r="T14" i="5"/>
  <c r="T16" i="5"/>
  <c r="T18" i="5"/>
  <c r="T21" i="5"/>
  <c r="T23" i="5"/>
  <c r="T25" i="5"/>
  <c r="T27" i="5"/>
  <c r="O28" i="5"/>
  <c r="N28" i="5"/>
  <c r="Z31" i="5"/>
  <c r="T33" i="5"/>
  <c r="O35" i="5"/>
  <c r="N35" i="5"/>
  <c r="Z41" i="5"/>
  <c r="T44" i="5"/>
  <c r="O46" i="5"/>
  <c r="N46" i="5"/>
  <c r="T51" i="5"/>
  <c r="Z57" i="5"/>
  <c r="T58" i="5"/>
  <c r="O59" i="5"/>
  <c r="N59" i="5"/>
  <c r="T34" i="5"/>
  <c r="T45" i="5"/>
  <c r="O55" i="5"/>
  <c r="N55" i="5"/>
  <c r="T59" i="5"/>
  <c r="O60" i="5"/>
  <c r="Z3" i="5"/>
  <c r="Z5" i="5"/>
  <c r="Z7" i="5"/>
  <c r="Z9" i="5"/>
  <c r="Z12" i="5"/>
  <c r="Z14" i="5"/>
  <c r="Z16" i="5"/>
  <c r="Z18" i="5"/>
  <c r="Z21" i="5"/>
  <c r="Z23" i="5"/>
  <c r="Z25" i="5"/>
  <c r="T36" i="5"/>
  <c r="T55" i="5"/>
  <c r="O56" i="5"/>
  <c r="Z59" i="5"/>
  <c r="T60" i="5"/>
  <c r="O31" i="5"/>
  <c r="N31" i="5"/>
  <c r="O57" i="5"/>
  <c r="N57" i="5"/>
  <c r="I21" i="4"/>
  <c r="I12" i="4"/>
  <c r="I29" i="4"/>
  <c r="I30" i="4"/>
  <c r="I19" i="4"/>
  <c r="I10" i="4"/>
  <c r="I11" i="4"/>
  <c r="I20" i="4"/>
  <c r="H9" i="4"/>
  <c r="H8" i="4"/>
  <c r="H7" i="4"/>
  <c r="I51" i="4"/>
  <c r="I50" i="4"/>
  <c r="I45" i="4"/>
  <c r="Z5" i="4"/>
  <c r="I34" i="4"/>
  <c r="H61" i="4"/>
  <c r="I33" i="4"/>
  <c r="U5" i="4"/>
  <c r="H43" i="4"/>
  <c r="I24" i="4"/>
  <c r="H18" i="4"/>
  <c r="H49" i="4"/>
  <c r="O5" i="4"/>
  <c r="N5" i="4"/>
  <c r="I14" i="4"/>
  <c r="H14" i="4"/>
  <c r="I46" i="4"/>
  <c r="H46" i="4"/>
  <c r="I37" i="4"/>
  <c r="H37" i="4"/>
  <c r="I25" i="4"/>
  <c r="H25" i="4"/>
  <c r="H6" i="4"/>
  <c r="H60" i="4"/>
  <c r="H41" i="4"/>
  <c r="H17" i="4"/>
  <c r="I44" i="4"/>
  <c r="I23" i="4"/>
  <c r="H28" i="4"/>
  <c r="I38" i="4"/>
  <c r="H38" i="4"/>
  <c r="H5" i="4"/>
  <c r="H59" i="4"/>
  <c r="H40" i="4"/>
  <c r="H16" i="4"/>
  <c r="H48" i="4"/>
  <c r="I47" i="4"/>
  <c r="H47" i="4"/>
  <c r="H58" i="4"/>
  <c r="H39" i="4"/>
  <c r="H15" i="4"/>
  <c r="H27" i="4"/>
  <c r="I26" i="4"/>
  <c r="H26" i="4"/>
  <c r="I55" i="4"/>
  <c r="I36" i="4"/>
  <c r="I57" i="4"/>
  <c r="H57" i="4"/>
  <c r="I56" i="4"/>
  <c r="H56" i="4"/>
  <c r="I53" i="4"/>
  <c r="I35" i="4"/>
  <c r="I54" i="4"/>
  <c r="N36" i="5" l="1"/>
  <c r="O36" i="5"/>
  <c r="N38" i="5"/>
  <c r="O38" i="5"/>
  <c r="N39" i="5"/>
  <c r="O39" i="5"/>
  <c r="N41" i="5"/>
  <c r="O41" i="5"/>
  <c r="N48" i="5"/>
  <c r="O48" i="5"/>
  <c r="N50" i="5"/>
  <c r="O50" i="5"/>
  <c r="N51" i="5"/>
  <c r="O51" i="5"/>
  <c r="N53" i="5"/>
  <c r="O53" i="5"/>
  <c r="N62" i="5"/>
  <c r="O62" i="5"/>
  <c r="N63" i="5"/>
  <c r="O63" i="5"/>
  <c r="N65" i="5"/>
  <c r="O65" i="5"/>
  <c r="N37" i="5"/>
  <c r="O37" i="5"/>
  <c r="N40" i="5"/>
  <c r="O40" i="5"/>
  <c r="N49" i="5"/>
  <c r="O49" i="5"/>
  <c r="N52" i="5"/>
  <c r="O52" i="5"/>
  <c r="N61" i="5"/>
  <c r="O61" i="5"/>
  <c r="N64" i="5"/>
  <c r="O64" i="5"/>
</calcChain>
</file>

<file path=xl/sharedStrings.xml><?xml version="1.0" encoding="utf-8"?>
<sst xmlns="http://schemas.openxmlformats.org/spreadsheetml/2006/main" count="240" uniqueCount="79">
  <si>
    <t>Grade Level</t>
  </si>
  <si>
    <t>SUBJECTS</t>
  </si>
  <si>
    <t xml:space="preserve">Enrolment S.Y. 2025-2026 </t>
  </si>
  <si>
    <t>Quantity of Textbooks Received</t>
  </si>
  <si>
    <t>Year of Delivery-TX</t>
  </si>
  <si>
    <t>SOURCE-TX (CO,RO, SDO)</t>
  </si>
  <si>
    <t>GAP-TX</t>
  </si>
  <si>
    <t>Surplus-TX</t>
  </si>
  <si>
    <t>Reading and Literacy</t>
  </si>
  <si>
    <t>CO</t>
  </si>
  <si>
    <t>Language</t>
  </si>
  <si>
    <t>GMRC</t>
  </si>
  <si>
    <t>Makabansa</t>
  </si>
  <si>
    <t>Math</t>
  </si>
  <si>
    <t>Science</t>
  </si>
  <si>
    <t>English</t>
  </si>
  <si>
    <t>Filipino</t>
  </si>
  <si>
    <t>Araling Panlipunan</t>
  </si>
  <si>
    <t>PE and Health</t>
  </si>
  <si>
    <t>E.P.P.</t>
  </si>
  <si>
    <t>Music and Arts</t>
  </si>
  <si>
    <t>QUARTER 1</t>
  </si>
  <si>
    <t>QUARTER 2</t>
  </si>
  <si>
    <t>QUARTER 3</t>
  </si>
  <si>
    <t>QUARTER 4</t>
  </si>
  <si>
    <t xml:space="preserve">Quantity based on Target LAS - Q1 </t>
  </si>
  <si>
    <t>Quantity of Learning Activity Sheets Received (Quantity received x No. of LAS) - Q1</t>
  </si>
  <si>
    <t>Year of Delivery-LAS - Q1</t>
  </si>
  <si>
    <t>SOURCE - LAS (CO,RO, SDO) - Q1</t>
  </si>
  <si>
    <t>GAP - LAS - Q1</t>
  </si>
  <si>
    <t>SURPLUS - LAS - Q1</t>
  </si>
  <si>
    <t>Quantity based on Target LAS - Q2</t>
  </si>
  <si>
    <t>Quantity of Learning Activity Sheets Received (Quantity received x No. of LAS) Q2</t>
  </si>
  <si>
    <t>Year of Delivery-LAS Q2</t>
  </si>
  <si>
    <t>SOURCE-LAS (CO,RO, SDO) Q2</t>
  </si>
  <si>
    <t>GAP - LAS -Q2</t>
  </si>
  <si>
    <t>SURPLUS - LAS -Q2</t>
  </si>
  <si>
    <t>Quantity based on Target LAS - Q3</t>
  </si>
  <si>
    <t>Quantity of Learning Activity Sheets Received (Quantity received x No. of LAS) - Q3</t>
  </si>
  <si>
    <t>Year of Delivery-LAS - Q3</t>
  </si>
  <si>
    <t>SOURCE-LAS (CO,RO, SDO) - Q3</t>
  </si>
  <si>
    <t>GAP - LAS - Q3</t>
  </si>
  <si>
    <t>SURPLUS - LAS - Q3</t>
  </si>
  <si>
    <t>Quantity based on Target LAS - Q4</t>
  </si>
  <si>
    <t>Quantity of Learning Activity Sheets Received (Quantity received x No. of LAS)- Q4</t>
  </si>
  <si>
    <t>Year of Delivery - LAS - Q4</t>
  </si>
  <si>
    <t>SOURCE - LAS (CO,RO, SDO) - Q4</t>
  </si>
  <si>
    <t>GAP - LAS - Q4</t>
  </si>
  <si>
    <t>SURPLUS - LAS - Q4</t>
  </si>
  <si>
    <t>KINDER</t>
  </si>
  <si>
    <t>MAPEH</t>
  </si>
  <si>
    <t xml:space="preserve">Quantity based on Target ADM-SLM - Q1 </t>
  </si>
  <si>
    <t>Quantity of ADM-SLM Received (Quantity received x No. of ADM-SLM) - Q1</t>
  </si>
  <si>
    <t>Year of Delivery - ADM-SLM - Q1</t>
  </si>
  <si>
    <t>SOURCE - ADM-SLM (CO,RO, SDO) - Q1</t>
  </si>
  <si>
    <t>GAP - ADM-SLM - Q1</t>
  </si>
  <si>
    <t>SURPLUS - ADM-SLM - Q1</t>
  </si>
  <si>
    <t>Quantity based on Target ADM-SLM - Q2</t>
  </si>
  <si>
    <t>Quantity of ADM-SLM Received (Quantity received x No. of ADM-SLM) - Q2</t>
  </si>
  <si>
    <t>Year of Delivery - ADM-SLM Q2</t>
  </si>
  <si>
    <t>SOURCE - ADM-SLM (CO,RO, SDO) Q2</t>
  </si>
  <si>
    <t>GAP - ADM-SLM - Q2</t>
  </si>
  <si>
    <t>SURPLUS - ADM-SLM -Q2</t>
  </si>
  <si>
    <t>Quantity based on Target ADM-SLM - Q3</t>
  </si>
  <si>
    <t>Quantity of ADM-SLM Received (Quantity received x No. of ADM-SLM) - Q3</t>
  </si>
  <si>
    <t>Year of Delivery - ADM-SLM - Q3</t>
  </si>
  <si>
    <t>SOURCE - ADM-SLM(CO,RO, SDO) - Q3</t>
  </si>
  <si>
    <t>GAP - ADM-SLM - Q3</t>
  </si>
  <si>
    <t>SURPLUS - ADM-SLM - Q3</t>
  </si>
  <si>
    <t>Quantity based on Target ADM-SLM - Q4</t>
  </si>
  <si>
    <t>Quantity of ADM-SLM Received (Quantity received x No. of ADM-SLM)- Q4</t>
  </si>
  <si>
    <t>Year of Delivery - ADM-SLM- Q4</t>
  </si>
  <si>
    <t>SOURCE - ADM-SLM - (CO,RO, SDO) - Q4</t>
  </si>
  <si>
    <t>GAP - ADM-SLM - Q4</t>
  </si>
  <si>
    <t>SURPLUS - ADM-SLM- Q4</t>
  </si>
  <si>
    <t>PE</t>
  </si>
  <si>
    <t>Health</t>
  </si>
  <si>
    <t>Music</t>
  </si>
  <si>
    <t>Arts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</si>
</sst>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>
    <font>
      <sz val="11"/>
      <color theme="1"/>
      <name val="Aptos Narrow"/>
      <family val="2"/>
      <scheme val="minor"/>
    </font>
    <font>
      <b/>
      <sz val="15"/>
      <color theme="1"/>
      <name val="Bookman Old Style"/>
      <family val="1"/>
    </font>
    <font>
      <sz val="15"/>
      <color theme="1"/>
      <name val="Bookman Old Style"/>
      <family val="1"/>
    </font>
    <font>
      <b/>
      <sz val="11"/>
      <color theme="1"/>
      <name val="Aptos Narrow"/>
      <family val="2"/>
      <scheme val="minor"/>
    </font>
    <font>
      <b/>
      <sz val="11"/>
      <color theme="1"/>
      <name val="Bookman Old Style"/>
      <family val="1"/>
    </font>
    <font>
      <b/>
      <sz val="11"/>
      <color rgb="FFFFFFFF"/>
      <name val="Bookman Old Style"/>
      <family val="1"/>
    </font>
    <font>
      <b/>
      <sz val="11"/>
      <color rgb="FFFFFFFF"/>
      <name val="Bookman Old Style"/>
      <family val="1"/>
      <charset val="134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b/>
      <sz val="12"/>
      <color theme="2"/>
      <name val="Aptos Narrow"/>
      <family val="2"/>
      <scheme val="minor"/>
    </font>
    <font>
      <b/>
      <sz val="15"/>
      <color theme="1"/>
      <name val="Bookman Old Style"/>
      <charset val="134"/>
    </font>
    <font>
      <sz val="15"/>
      <color theme="1"/>
      <name val="Bookman Old Style"/>
      <charset val="134"/>
    </font>
    <font>
      <sz val="12"/>
      <color theme="0"/>
      <name val="Aptos Narrow"/>
      <family val="2"/>
      <scheme val="minor"/>
    </font>
    <font>
      <sz val="11"/>
      <color theme="1"/>
      <name val="Bookman Old Style"/>
      <family val="1"/>
    </font>
  </fonts>
  <fills count="12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theme="4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-0.499984740745262"/>
        <bgColor indexed="64"/>
      </patternFill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1" fillId="7" borderId="1" xfId="0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left" vertical="center" wrapText="1"/>
    </xf>
    <xf numFmtId="0" fontId="1" fillId="8" borderId="1" xfId="0" applyFont="1" applyFill="1" applyBorder="1" applyAlignment="1">
      <alignment horizontal="center" vertical="center" wrapText="1"/>
    </xf>
    <xf numFmtId="0" fontId="1" fillId="8" borderId="2" xfId="0" applyFont="1" applyFill="1" applyBorder="1" applyAlignment="1">
      <alignment horizontal="center" vertical="center" wrapText="1"/>
    </xf>
    <xf numFmtId="0" fontId="1" fillId="7" borderId="3" xfId="0" applyFont="1" applyFill="1" applyBorder="1" applyAlignment="1">
      <alignment horizontal="center" vertical="center" wrapText="1"/>
    </xf>
    <xf numFmtId="0" fontId="3" fillId="0" borderId="0" xfId="0" applyFont="1"/>
    <xf numFmtId="0" fontId="0" fillId="8" borderId="0" xfId="0" applyFill="1"/>
    <xf numFmtId="0" fontId="3" fillId="8" borderId="0" xfId="0" applyFont="1" applyFill="1"/>
    <xf numFmtId="0" fontId="2" fillId="7" borderId="1" xfId="0" applyFont="1" applyFill="1" applyBorder="1" applyAlignment="1">
      <alignment vertical="center" wrapText="1"/>
    </xf>
    <xf numFmtId="0" fontId="1" fillId="8" borderId="3" xfId="0" applyFont="1" applyFill="1" applyBorder="1" applyAlignment="1">
      <alignment horizontal="center" vertical="center" wrapText="1"/>
    </xf>
    <xf numFmtId="0" fontId="7" fillId="0" borderId="0" xfId="0" applyFont="1"/>
    <xf numFmtId="0" fontId="4" fillId="0" borderId="5" xfId="0" applyFont="1" applyBorder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 wrapText="1"/>
    </xf>
    <xf numFmtId="0" fontId="5" fillId="6" borderId="4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6" fillId="4" borderId="4" xfId="0" applyFont="1" applyFill="1" applyBorder="1" applyAlignment="1">
      <alignment horizontal="center" vertical="center" wrapText="1"/>
    </xf>
    <xf numFmtId="0" fontId="6" fillId="4" borderId="5" xfId="0" applyFont="1" applyFill="1" applyBorder="1" applyAlignment="1">
      <alignment horizontal="center" vertical="center" wrapText="1"/>
    </xf>
    <xf numFmtId="0" fontId="6" fillId="5" borderId="4" xfId="0" applyFont="1" applyFill="1" applyBorder="1" applyAlignment="1">
      <alignment horizontal="center" vertical="center" wrapText="1"/>
    </xf>
    <xf numFmtId="0" fontId="6" fillId="5" borderId="5" xfId="0" applyFont="1" applyFill="1" applyBorder="1" applyAlignment="1">
      <alignment horizontal="center" vertical="center" wrapText="1"/>
    </xf>
    <xf numFmtId="0" fontId="6" fillId="6" borderId="4" xfId="0" applyFont="1" applyFill="1" applyBorder="1" applyAlignment="1">
      <alignment horizontal="center" vertical="center" wrapText="1"/>
    </xf>
    <xf numFmtId="0" fontId="6" fillId="6" borderId="5" xfId="0" applyFont="1" applyFill="1" applyBorder="1" applyAlignment="1">
      <alignment horizontal="center" vertical="center" wrapText="1"/>
    </xf>
    <xf numFmtId="0" fontId="6" fillId="9" borderId="4" xfId="0" applyFont="1" applyFill="1" applyBorder="1" applyAlignment="1">
      <alignment horizontal="center" vertical="center" wrapText="1"/>
    </xf>
    <xf numFmtId="0" fontId="6" fillId="9" borderId="5" xfId="0" applyFont="1" applyFill="1" applyBorder="1" applyAlignment="1">
      <alignment horizontal="center" vertical="center" wrapText="1"/>
    </xf>
    <xf numFmtId="0" fontId="9" fillId="0" borderId="0" xfId="0" applyFont="1" applyAlignment="1">
      <alignment vertical="center"/>
    </xf>
    <xf numFmtId="0" fontId="11" fillId="7" borderId="1" xfId="0" applyFont="1" applyFill="1" applyBorder="1" applyAlignment="1">
      <alignment horizontal="center" vertical="center" wrapText="1"/>
    </xf>
    <xf numFmtId="0" fontId="12" fillId="7" borderId="1" xfId="0" applyFont="1" applyFill="1" applyBorder="1" applyAlignment="1">
      <alignment vertical="center" wrapText="1"/>
    </xf>
    <xf numFmtId="0" fontId="11" fillId="7" borderId="3" xfId="0" applyFont="1" applyFill="1" applyBorder="1" applyAlignment="1">
      <alignment horizontal="center" vertical="center" wrapText="1"/>
    </xf>
    <xf numFmtId="0" fontId="13" fillId="0" borderId="0" xfId="0" applyFont="1" applyAlignment="1">
      <alignment vertical="center"/>
    </xf>
    <xf numFmtId="0" fontId="14" fillId="0" borderId="5" xfId="0" applyFont="1" applyBorder="1" applyAlignment="1">
      <alignment horizontal="center" vertical="center" wrapText="1"/>
    </xf>
    <xf numFmtId="0" fontId="1" fillId="7" borderId="7" xfId="0" applyFont="1" applyFill="1" applyBorder="1" applyAlignment="1">
      <alignment horizontal="center" vertical="center" wrapText="1"/>
    </xf>
    <xf numFmtId="0" fontId="4" fillId="7" borderId="1" xfId="0" applyFont="1" applyFill="1" applyBorder="1" applyAlignment="1">
      <alignment horizontal="center" vertical="center" wrapText="1"/>
    </xf>
    <xf numFmtId="0" fontId="5" fillId="5" borderId="4" xfId="0" applyFont="1" applyFill="1" applyBorder="1" applyAlignment="1">
      <alignment horizontal="center" vertical="center" wrapText="1"/>
    </xf>
    <xf numFmtId="0" fontId="5" fillId="9" borderId="4" xfId="0" applyFont="1" applyFill="1" applyBorder="1" applyAlignment="1">
      <alignment horizontal="center" vertical="center" wrapText="1"/>
    </xf>
    <xf numFmtId="0" fontId="9" fillId="10" borderId="0" xfId="0" applyFont="1" applyFill="1" applyAlignment="1">
      <alignment horizontal="center" vertical="center"/>
    </xf>
    <xf numFmtId="0" fontId="9" fillId="5" borderId="0" xfId="0" applyFont="1" applyFill="1" applyAlignment="1">
      <alignment horizontal="center" vertical="center"/>
    </xf>
    <xf numFmtId="0" fontId="9" fillId="6" borderId="0" xfId="0" applyFont="1" applyFill="1" applyAlignment="1">
      <alignment horizontal="center" vertical="center"/>
    </xf>
    <xf numFmtId="0" fontId="10" fillId="11" borderId="0" xfId="0" applyFont="1" applyFill="1" applyAlignment="1">
      <alignment horizontal="center" vertical="center"/>
    </xf>
  </cellXfs>
  <cellStyles count="1">
    <cellStyle name="Normal" xfId="0" builtinId="0"/>
  </cellStyles>
  <dxfs count="63"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000000"/>
        </left>
        <right/>
        <top style="thin">
          <color rgb="FF000000"/>
        </top>
        <bottom style="thin">
          <color rgb="FF000000"/>
        </bottom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rgb="FF000000"/>
        <name val="Bookman Old Style"/>
        <charset val="134"/>
        <scheme val="none"/>
      </font>
      <fill>
        <patternFill patternType="solid">
          <fgColor rgb="FF000000"/>
          <bgColor rgb="FFCAEDFB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</dxf>
    <dxf>
      <border outline="0">
        <bottom style="thin">
          <color rgb="FF000000"/>
        </bottom>
      </border>
    </dxf>
    <dxf>
      <border outline="0">
        <top style="thin">
          <color rgb="FF000000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Bookman Old Style"/>
        <family val="1"/>
        <charset val="134"/>
        <scheme val="none"/>
      </font>
      <fill>
        <patternFill patternType="solid">
          <fgColor indexed="64"/>
          <bgColor theme="5" tint="-0.499984740745262"/>
        </patternFill>
      </fill>
      <alignment horizontal="center" vertical="center" textRotation="0" wrapText="1" indent="0" justifyLastLine="0" shrinkToFit="0" readingOrder="0"/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C451CB5-2E69-4EAA-94B0-458F89F93F29}" name="Table2" displayName="Table2" ref="A1:H49" totalsRowShown="0" headerRowDxfId="62" headerRowBorderDxfId="60" tableBorderDxfId="61">
  <autoFilter ref="A1:H49" xr:uid="{DC451CB5-2E69-4EAA-94B0-458F89F93F29}"/>
  <tableColumns count="8">
    <tableColumn id="1" xr3:uid="{6C961029-0F4E-47F8-B820-C81BD075C863}" name="Grade Level"/>
    <tableColumn id="2" xr3:uid="{56826189-DC15-4CA2-B5A0-8F4CEC09DDAB}" name="SUBJECTS"/>
    <tableColumn id="3" xr3:uid="{A0473A0C-B0A0-43BE-A074-CA762EC03B44}" name="Enrolment S.Y. 2025-2026 "/>
    <tableColumn id="4" xr3:uid="{335323B0-D0FB-4BA2-8E07-0C2A8AC6F6E8}" name="Quantity of Textbooks Received"/>
    <tableColumn id="5" xr3:uid="{ACA1EEAF-20BE-475A-9FEE-5830A416AC00}" name="Year of Delivery-TX"/>
    <tableColumn id="6" xr3:uid="{6A51FA4E-8B93-4F96-9A1F-4E0616923FBB}" name="SOURCE-TX (CO,RO, SDO)"/>
    <tableColumn id="7" xr3:uid="{9B68D996-4080-4D5C-B254-D9BAA4970236}" name="GAP-TX"/>
    <tableColumn id="8" xr3:uid="{632A7D93-31D4-4A89-8551-8849372E9AF8}" name="Surplus-TX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7C37D80-F2E1-4395-8B6C-0FD477B4D8F8}" name="Table1" displayName="Table1" ref="A2:AA61" totalsRowShown="0" dataDxfId="59" headerRowBorderDxfId="57" tableBorderDxfId="58">
  <autoFilter ref="A2:AA61" xr:uid="{D7C37D80-F2E1-4395-8B6C-0FD477B4D8F8}"/>
  <tableColumns count="27">
    <tableColumn id="1" xr3:uid="{451CCD6B-9C4E-44A3-945A-DE807169F46B}" name="Grade Level" dataDxfId="56"/>
    <tableColumn id="2" xr3:uid="{C6CCCB1C-6639-4C28-A4BA-B187B2F73B59}" name="SUBJECTS" dataDxfId="55"/>
    <tableColumn id="3" xr3:uid="{945324E6-140A-476C-A8C3-23A16D4D262F}" name="Enrolment S.Y. 2025-2026 " dataDxfId="54"/>
    <tableColumn id="4" xr3:uid="{A2D4C0AF-3699-4D3C-A791-2D7D8004CC89}" name="Quantity based on Target LAS - Q1 " dataDxfId="53">
      <calculatedColumnFormula>Table1[[#This Row],[Enrolment S.Y. 2025-2026 ]]*8</calculatedColumnFormula>
    </tableColumn>
    <tableColumn id="5" xr3:uid="{9CE2D7B1-8761-49A3-A313-E7834B16687D}" name="Quantity of Learning Activity Sheets Received (Quantity received x No. of LAS) - Q1" dataDxfId="52"/>
    <tableColumn id="6" xr3:uid="{FCD520AB-D938-4542-9B56-AEC07AB5F1DC}" name="Year of Delivery-LAS - Q1" dataDxfId="51"/>
    <tableColumn id="7" xr3:uid="{674474DE-9D20-41C1-8261-DA9C4A95671C}" name="SOURCE - LAS (CO,RO, SDO) - Q1" dataDxfId="50"/>
    <tableColumn id="8" xr3:uid="{58D9CB98-8F6F-4F61-9103-C27B8FFBDB51}" name="GAP - LAS - Q1" dataDxfId="49">
      <calculatedColumnFormula>IF((D3-E3)&lt;0,0,(D3-E3))</calculatedColumnFormula>
    </tableColumn>
    <tableColumn id="9" xr3:uid="{E6406FC4-4491-4FD6-9EA2-F088E94C44F4}" name="SURPLUS - LAS - Q1" dataDxfId="48">
      <calculatedColumnFormula>IF((E3-D3)&lt;0,0,(E3-D3))</calculatedColumnFormula>
    </tableColumn>
    <tableColumn id="10" xr3:uid="{1E56D889-DC27-4BCB-B61E-06BBBE734949}" name="Quantity based on Target LAS - Q2" dataDxfId="47">
      <calculatedColumnFormula>Table1[[#This Row],[Enrolment S.Y. 2025-2026 ]]*8</calculatedColumnFormula>
    </tableColumn>
    <tableColumn id="11" xr3:uid="{E933BF99-834C-4F15-8181-7D005013BD85}" name="Quantity of Learning Activity Sheets Received (Quantity received x No. of LAS) Q2" dataDxfId="46"/>
    <tableColumn id="12" xr3:uid="{F2E2CB95-E0BD-4C6E-ACFE-F201177004A0}" name="Year of Delivery-LAS Q2" dataDxfId="45"/>
    <tableColumn id="13" xr3:uid="{163FBFFB-0AB7-44C8-89C4-72AA64C1EAC7}" name="SOURCE-LAS (CO,RO, SDO) Q2" dataDxfId="44"/>
    <tableColumn id="14" xr3:uid="{EACC05A8-C68D-4495-BC08-73F093C4992F}" name="GAP - LAS -Q2" dataDxfId="43"/>
    <tableColumn id="15" xr3:uid="{28A44E24-3E28-4B7F-BADE-28BB84F0B810}" name="SURPLUS - LAS -Q2" dataDxfId="42"/>
    <tableColumn id="16" xr3:uid="{87878677-5715-46B6-9BA9-9D08DE9A3335}" name="Quantity based on Target LAS - Q3" dataDxfId="41">
      <calculatedColumnFormula>#REF!*8</calculatedColumnFormula>
    </tableColumn>
    <tableColumn id="17" xr3:uid="{48667A1F-77B1-47A6-83F7-61ED15F61DDB}" name="Quantity of Learning Activity Sheets Received (Quantity received x No. of LAS) - Q3" dataDxfId="40"/>
    <tableColumn id="18" xr3:uid="{56F2625D-2CEE-478E-A8DE-42A7191C3835}" name="Year of Delivery-LAS - Q3" dataDxfId="39"/>
    <tableColumn id="19" xr3:uid="{EF0F614F-5FED-4639-8798-840D9677B8DA}" name="SOURCE-LAS (CO,RO, SDO) - Q3" dataDxfId="38"/>
    <tableColumn id="20" xr3:uid="{FD91DDEE-DBA8-4E2C-94B2-23AE9F73CC4A}" name="GAP - LAS - Q3" dataDxfId="37">
      <calculatedColumnFormula>IF((P3-Q3)&lt;0,0,(P3-Q3))</calculatedColumnFormula>
    </tableColumn>
    <tableColumn id="21" xr3:uid="{DB598C6C-E489-4B0F-9BC6-B0981F7D2582}" name="SURPLUS - LAS - Q3" dataDxfId="36">
      <calculatedColumnFormula>IF((Q3-P3)&lt;0,0,(Q3-P3))</calculatedColumnFormula>
    </tableColumn>
    <tableColumn id="22" xr3:uid="{8CD6906A-7980-46E8-80B2-8563AEBC71F7}" name="Quantity based on Target LAS - Q4" dataDxfId="35">
      <calculatedColumnFormula>Table1[[#This Row],[Enrolment S.Y. 2025-2026 ]]*8</calculatedColumnFormula>
    </tableColumn>
    <tableColumn id="23" xr3:uid="{6287B1E4-D2AD-47C7-BD86-3391F339B1E3}" name="Quantity of Learning Activity Sheets Received (Quantity received x No. of LAS)- Q4" dataDxfId="34"/>
    <tableColumn id="24" xr3:uid="{205BCDBA-0424-492C-B4EF-841B8A3A1521}" name="Year of Delivery - LAS - Q4" dataDxfId="33"/>
    <tableColumn id="25" xr3:uid="{8226E35B-1F3B-4D2A-815B-9D4C0A24EE7E}" name="SOURCE - LAS (CO,RO, SDO) - Q4" dataDxfId="32"/>
    <tableColumn id="26" xr3:uid="{5B37A4B7-CD16-4D9A-8A47-D9EA73F613BC}" name="GAP - LAS - Q4" dataDxfId="31">
      <calculatedColumnFormula>IF((V3-W3)&lt;0,0,(V3-W3))</calculatedColumnFormula>
    </tableColumn>
    <tableColumn id="27" xr3:uid="{38E9C5F3-3FF5-4B13-A9DA-0081A90F35C5}" name="SURPLUS - LAS - Q4" dataDxfId="30">
      <calculatedColumnFormula>IF((W3-V3)&lt;0,0,(W3-V3))</calculatedColumnFormula>
    </tableColumn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9E6A4DE0-FDA1-4B9F-927F-226E420BA323}" name="Table14" displayName="Table14" ref="A2:AA65" totalsRowShown="0" dataDxfId="29" headerRowBorderDxfId="27" tableBorderDxfId="28">
  <autoFilter ref="A2:AA65" xr:uid="{D7C37D80-F2E1-4395-8B6C-0FD477B4D8F8}"/>
  <tableColumns count="27">
    <tableColumn id="1" xr3:uid="{4B1B9E16-DDB6-464C-9C72-937B3CB9CE66}" name="Grade Level" dataDxfId="26"/>
    <tableColumn id="2" xr3:uid="{73AEA048-228E-40E8-B07A-3A7C30BA0DC7}" name="SUBJECTS" dataDxfId="25"/>
    <tableColumn id="3" xr3:uid="{187AF7E3-9651-4001-B779-AADEF0EAB05A}" name="Enrolment S.Y. 2025-2026 " dataDxfId="24"/>
    <tableColumn id="4" xr3:uid="{41F05D2B-5E6F-433A-B62B-2F1726EA10F2}" name="Quantity based on Target ADM-SLM - Q1 " dataDxfId="23">
      <calculatedColumnFormula>Table14[[#This Row],[Enrolment S.Y. 2025-2026 ]]*8</calculatedColumnFormula>
    </tableColumn>
    <tableColumn id="5" xr3:uid="{CDE5FD66-559D-4D0F-A587-312B6DC04A00}" name="Quantity of ADM-SLM Received (Quantity received x No. of ADM-SLM) - Q1" dataDxfId="22"/>
    <tableColumn id="6" xr3:uid="{339CCB0D-A0D6-41EF-9023-6B8DF1A1D211}" name="Year of Delivery - ADM-SLM - Q1" dataDxfId="21"/>
    <tableColumn id="7" xr3:uid="{66966C8F-6B7D-4027-80F0-10F5BEB94C36}" name="SOURCE - ADM-SLM (CO,RO, SDO) - Q1" dataDxfId="20"/>
    <tableColumn id="8" xr3:uid="{F205DFF0-AD23-4608-82A0-E64C38A40A7F}" name="GAP - ADM-SLM - Q1" dataDxfId="19">
      <calculatedColumnFormula>IF((D3-E3)&lt;0,0,(D3-E3))</calculatedColumnFormula>
    </tableColumn>
    <tableColumn id="9" xr3:uid="{A97DBFEB-A833-47C5-A43D-C6E4D77683A6}" name="SURPLUS - ADM-SLM - Q1" dataDxfId="18">
      <calculatedColumnFormula>IF((E3-D3)&lt;0,0,(E3-D3))</calculatedColumnFormula>
    </tableColumn>
    <tableColumn id="10" xr3:uid="{6A093D68-BC9F-46BB-AC8F-CA208309466C}" name="Quantity based on Target ADM-SLM - Q2" dataDxfId="17">
      <calculatedColumnFormula>Table14[[#This Row],[Enrolment S.Y. 2025-2026 ]]*8</calculatedColumnFormula>
    </tableColumn>
    <tableColumn id="11" xr3:uid="{CB914A26-115B-4765-A39C-5A2824E73671}" name="Quantity of ADM-SLM Received (Quantity received x No. of ADM-SLM) - Q2" dataDxfId="16"/>
    <tableColumn id="12" xr3:uid="{35FFB32F-868E-4FBD-946A-0482CC3DE0D4}" name="Year of Delivery - ADM-SLM Q2" dataDxfId="15"/>
    <tableColumn id="13" xr3:uid="{987FB8ED-06DA-4311-80C5-DAF78B602129}" name="SOURCE - ADM-SLM (CO,RO, SDO) Q2" dataDxfId="14"/>
    <tableColumn id="14" xr3:uid="{24CC35CF-2900-4C84-934F-7E29CCFCCEC9}" name="GAP - ADM-SLM - Q2" dataDxfId="13"/>
    <tableColumn id="15" xr3:uid="{0DA82B8D-6A8D-469A-8302-7E7DD0B1BDC4}" name="SURPLUS - ADM-SLM -Q2" dataDxfId="12"/>
    <tableColumn id="16" xr3:uid="{126A7F40-0CC3-4264-A57D-D7C0C9FE4720}" name="Quantity based on Target ADM-SLM - Q3" dataDxfId="11">
      <calculatedColumnFormula>#REF!*8</calculatedColumnFormula>
    </tableColumn>
    <tableColumn id="17" xr3:uid="{711B70A4-2160-43C1-900D-FD892755D7AB}" name="Quantity of ADM-SLM Received (Quantity received x No. of ADM-SLM) - Q3" dataDxfId="10"/>
    <tableColumn id="18" xr3:uid="{D8C99A72-7FED-4E85-8CB4-4A08C56BCB15}" name="Year of Delivery - ADM-SLM - Q3" dataDxfId="9"/>
    <tableColumn id="19" xr3:uid="{D48A881D-138B-4288-AA57-050C0AE3F5F6}" name="SOURCE - ADM-SLM(CO,RO, SDO) - Q3" dataDxfId="8"/>
    <tableColumn id="20" xr3:uid="{B03A44EC-B25E-4D0D-B9E6-71825AC6E51F}" name="GAP - ADM-SLM - Q3" dataDxfId="7">
      <calculatedColumnFormula>IF((P3-Q3)&lt;0,0,(P3-Q3))</calculatedColumnFormula>
    </tableColumn>
    <tableColumn id="21" xr3:uid="{3338E724-88DC-45DA-8F55-7AAE5A560621}" name="SURPLUS - ADM-SLM - Q3" dataDxfId="6">
      <calculatedColumnFormula>IF((Q3-P3)&lt;0,0,(Q3-P3))</calculatedColumnFormula>
    </tableColumn>
    <tableColumn id="22" xr3:uid="{AC55FA3C-A61A-4AB0-8391-EC237845F1BF}" name="Quantity based on Target ADM-SLM - Q4" dataDxfId="5">
      <calculatedColumnFormula>Table14[[#This Row],[Enrolment S.Y. 2025-2026 ]]*8</calculatedColumnFormula>
    </tableColumn>
    <tableColumn id="23" xr3:uid="{D3F77FA4-2477-4BAF-A6FD-8446908907B9}" name="Quantity of ADM-SLM Received (Quantity received x No. of ADM-SLM)- Q4" dataDxfId="4"/>
    <tableColumn id="24" xr3:uid="{C66CE0BE-6DCF-4E05-9DBD-D908450B3841}" name="Year of Delivery - ADM-SLM- Q4" dataDxfId="3"/>
    <tableColumn id="25" xr3:uid="{AABA2263-B244-4CBF-87B1-CDAAECF763E4}" name="SOURCE - ADM-SLM - (CO,RO, SDO) - Q4" dataDxfId="2"/>
    <tableColumn id="26" xr3:uid="{21E1F5D8-F09B-453A-90E6-AA7B2E8821D1}" name="GAP - ADM-SLM - Q4" dataDxfId="1">
      <calculatedColumnFormula>IF((V3-W3)&lt;0,0,(V3-W3))</calculatedColumnFormula>
    </tableColumn>
    <tableColumn id="27" xr3:uid="{67725D86-C1DE-4DB2-8FBD-99B8821906AB}" name="SURPLUS - ADM-SLM- Q4" dataDxfId="0">
      <calculatedColumnFormula>IF((W3-V3)&lt;0,0,(W3-V3))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98"/>
  <sheetViews>
    <sheetView topLeftCell="A27" zoomScale="85" zoomScaleNormal="85" workbookViewId="0">
      <pane xSplit="2" topLeftCell="C45" activePane="topRight" state="frozen"/>
      <selection pane="topRight" activeCell="D151" sqref="D151"/>
      <selection activeCell="A18" sqref="A18"/>
    </sheetView>
  </sheetViews>
  <sheetFormatPr defaultRowHeight="15"/>
  <cols>
    <col min="1" max="1" width="10.140625" bestFit="1" customWidth="1"/>
    <col min="2" max="2" width="27.85546875" customWidth="1"/>
    <col min="3" max="5" width="24.85546875" bestFit="1" customWidth="1"/>
    <col min="6" max="6" width="19.140625" bestFit="1" customWidth="1"/>
    <col min="7" max="7" width="15.140625" customWidth="1"/>
    <col min="8" max="8" width="16.140625" bestFit="1" customWidth="1"/>
  </cols>
  <sheetData>
    <row r="1" spans="1:8" s="11" customFormat="1" ht="64.900000000000006" customHeight="1">
      <c r="A1" s="12" t="s">
        <v>0</v>
      </c>
      <c r="B1" s="12" t="s">
        <v>1</v>
      </c>
      <c r="C1" s="13" t="s">
        <v>2</v>
      </c>
      <c r="D1" s="13" t="s">
        <v>3</v>
      </c>
      <c r="E1" s="13" t="s">
        <v>4</v>
      </c>
      <c r="F1" s="14" t="s">
        <v>5</v>
      </c>
      <c r="G1" s="15" t="s">
        <v>6</v>
      </c>
      <c r="H1" s="16" t="s">
        <v>7</v>
      </c>
    </row>
    <row r="2" spans="1:8" ht="42.75" customHeight="1">
      <c r="A2" s="1">
        <v>1</v>
      </c>
      <c r="B2" s="2" t="s">
        <v>8</v>
      </c>
      <c r="C2" s="1">
        <v>564</v>
      </c>
      <c r="D2" s="1">
        <v>742</v>
      </c>
      <c r="E2" s="1">
        <v>2024</v>
      </c>
      <c r="F2" s="5" t="s">
        <v>9</v>
      </c>
      <c r="G2" s="3">
        <f>IF((C2-D2)&lt;0,0,C2-D2)</f>
        <v>0</v>
      </c>
      <c r="H2" s="4">
        <f>IF((D2-C2)&lt;0,0,D2-C2)</f>
        <v>178</v>
      </c>
    </row>
    <row r="3" spans="1:8" ht="29.25" customHeight="1">
      <c r="A3" s="1">
        <v>1</v>
      </c>
      <c r="B3" s="2" t="s">
        <v>10</v>
      </c>
      <c r="C3" s="1">
        <v>564</v>
      </c>
      <c r="D3" s="1">
        <v>742</v>
      </c>
      <c r="E3" s="1">
        <v>2024</v>
      </c>
      <c r="F3" s="5" t="s">
        <v>9</v>
      </c>
      <c r="G3" s="3">
        <f>IF((C3-D3)&lt;0,0,C3-D3)</f>
        <v>0</v>
      </c>
      <c r="H3" s="4">
        <f>IF((D3-C3)&lt;0,0,D3-C3)</f>
        <v>178</v>
      </c>
    </row>
    <row r="4" spans="1:8" ht="21" customHeight="1">
      <c r="A4" s="1">
        <v>1</v>
      </c>
      <c r="B4" s="2" t="s">
        <v>11</v>
      </c>
      <c r="C4" s="1">
        <v>564</v>
      </c>
      <c r="D4" s="1">
        <v>742</v>
      </c>
      <c r="E4" s="1">
        <v>2024</v>
      </c>
      <c r="F4" s="5" t="s">
        <v>9</v>
      </c>
      <c r="G4" s="3">
        <f>IF((C4-D4)&lt;0,0,C4-D4)</f>
        <v>0</v>
      </c>
      <c r="H4" s="4">
        <f>IF((D4-C4)&lt;0,0,D4-C4)</f>
        <v>178</v>
      </c>
    </row>
    <row r="5" spans="1:8" ht="25.5" customHeight="1">
      <c r="A5" s="1">
        <v>1</v>
      </c>
      <c r="B5" s="2" t="s">
        <v>12</v>
      </c>
      <c r="C5" s="1">
        <v>564</v>
      </c>
      <c r="D5" s="1">
        <v>742</v>
      </c>
      <c r="E5" s="1">
        <v>2024</v>
      </c>
      <c r="F5" s="5" t="s">
        <v>9</v>
      </c>
      <c r="G5" s="3">
        <f t="shared" ref="G5:G6" si="0">IF((C5-D5)&lt;0,0,C5-D5)</f>
        <v>0</v>
      </c>
      <c r="H5" s="4">
        <f t="shared" ref="H5:H6" si="1">IF((D5-C5)&lt;0,0,D5-C5)</f>
        <v>178</v>
      </c>
    </row>
    <row r="6" spans="1:8" ht="20.25">
      <c r="A6" s="1">
        <v>1</v>
      </c>
      <c r="B6" s="2" t="s">
        <v>13</v>
      </c>
      <c r="C6" s="1">
        <v>564</v>
      </c>
      <c r="D6" s="1">
        <v>0</v>
      </c>
      <c r="E6" s="1"/>
      <c r="F6" s="5"/>
      <c r="G6" s="3">
        <f t="shared" si="0"/>
        <v>564</v>
      </c>
      <c r="H6" s="4">
        <f t="shared" si="1"/>
        <v>0</v>
      </c>
    </row>
    <row r="7" spans="1:8">
      <c r="C7" s="6"/>
      <c r="D7" s="6"/>
      <c r="E7" s="6"/>
    </row>
    <row r="8" spans="1:8" ht="39.75" customHeight="1">
      <c r="A8" s="1">
        <v>2</v>
      </c>
      <c r="B8" s="2" t="s">
        <v>8</v>
      </c>
      <c r="C8" s="1">
        <v>623</v>
      </c>
      <c r="D8" s="1"/>
      <c r="E8" s="1"/>
      <c r="F8" s="5"/>
      <c r="G8" s="3">
        <f>IF((C8-D8)&lt;0,0,C8-D8)</f>
        <v>623</v>
      </c>
      <c r="H8" s="4">
        <f>IF((D8-C8)&lt;0,0,D8-C8)</f>
        <v>0</v>
      </c>
    </row>
    <row r="9" spans="1:8" ht="29.25" customHeight="1">
      <c r="A9" s="1">
        <v>2</v>
      </c>
      <c r="B9" s="2" t="s">
        <v>10</v>
      </c>
      <c r="C9" s="1">
        <v>623</v>
      </c>
      <c r="D9" s="1"/>
      <c r="E9" s="1"/>
      <c r="F9" s="5"/>
      <c r="G9" s="3">
        <f>IF((C9-D9)&lt;0,0,C9-D9)</f>
        <v>623</v>
      </c>
      <c r="H9" s="4">
        <f>IF((D9-C9)&lt;0,0,D9-C9)</f>
        <v>0</v>
      </c>
    </row>
    <row r="10" spans="1:8" ht="28.5" customHeight="1">
      <c r="A10" s="1">
        <v>2</v>
      </c>
      <c r="B10" s="2" t="s">
        <v>11</v>
      </c>
      <c r="C10" s="1">
        <v>623</v>
      </c>
      <c r="D10" s="1"/>
      <c r="E10" s="1"/>
      <c r="F10" s="5"/>
      <c r="G10" s="3">
        <f>IF((C10-D10)&lt;0,0,C10-D10)</f>
        <v>623</v>
      </c>
      <c r="H10" s="4">
        <f>IF((D10-C10)&lt;0,0,D10-C10)</f>
        <v>0</v>
      </c>
    </row>
    <row r="11" spans="1:8" ht="24" customHeight="1">
      <c r="A11" s="1">
        <v>2</v>
      </c>
      <c r="B11" s="2" t="s">
        <v>12</v>
      </c>
      <c r="C11" s="1">
        <v>623</v>
      </c>
      <c r="D11" s="1"/>
      <c r="E11" s="1"/>
      <c r="F11" s="5"/>
      <c r="G11" s="3">
        <f>IF((C11-D11)&lt;0,0,C11-D11)</f>
        <v>623</v>
      </c>
      <c r="H11" s="4">
        <f>IF((D11-C11)&lt;0,0,D11-C11)</f>
        <v>0</v>
      </c>
    </row>
    <row r="12" spans="1:8" ht="20.25">
      <c r="A12" s="1">
        <v>2</v>
      </c>
      <c r="B12" s="2" t="s">
        <v>13</v>
      </c>
      <c r="C12" s="1">
        <v>623</v>
      </c>
      <c r="D12" s="1"/>
      <c r="E12" s="1"/>
      <c r="F12" s="5"/>
      <c r="G12" s="3">
        <f>IF((C12-D12)&lt;0,0,C12-D12)</f>
        <v>623</v>
      </c>
      <c r="H12" s="4">
        <f>IF((D12-C12)&lt;0,0,D12-C12)</f>
        <v>0</v>
      </c>
    </row>
    <row r="13" spans="1:8">
      <c r="C13" s="6"/>
      <c r="D13" s="6"/>
      <c r="E13" s="6"/>
    </row>
    <row r="14" spans="1:8" ht="49.5" customHeight="1">
      <c r="A14" s="1">
        <v>3</v>
      </c>
      <c r="B14" s="2" t="s">
        <v>8</v>
      </c>
      <c r="C14" s="1">
        <v>690</v>
      </c>
      <c r="D14" s="1"/>
      <c r="E14" s="1"/>
      <c r="F14" s="5"/>
      <c r="G14" s="3">
        <f t="shared" ref="G14:G19" si="2">IF((C14-D14)&lt;0,0,C14-D14)</f>
        <v>690</v>
      </c>
      <c r="H14" s="4">
        <f t="shared" ref="H14:H19" si="3">IF((D14-C14)&lt;0,0,D14-C14)</f>
        <v>0</v>
      </c>
    </row>
    <row r="15" spans="1:8" ht="29.25" customHeight="1">
      <c r="A15" s="1">
        <v>3</v>
      </c>
      <c r="B15" s="2" t="s">
        <v>10</v>
      </c>
      <c r="C15" s="1">
        <v>690</v>
      </c>
      <c r="D15" s="1"/>
      <c r="E15" s="1"/>
      <c r="F15" s="5"/>
      <c r="G15" s="3">
        <f t="shared" si="2"/>
        <v>690</v>
      </c>
      <c r="H15" s="4">
        <f t="shared" si="3"/>
        <v>0</v>
      </c>
    </row>
    <row r="16" spans="1:8" ht="27" customHeight="1">
      <c r="A16" s="1">
        <v>3</v>
      </c>
      <c r="B16" s="2" t="s">
        <v>11</v>
      </c>
      <c r="C16" s="1">
        <v>690</v>
      </c>
      <c r="D16" s="1"/>
      <c r="E16" s="1"/>
      <c r="F16" s="5"/>
      <c r="G16" s="3">
        <f t="shared" si="2"/>
        <v>690</v>
      </c>
      <c r="H16" s="4">
        <f t="shared" si="3"/>
        <v>0</v>
      </c>
    </row>
    <row r="17" spans="1:8" ht="23.25" customHeight="1">
      <c r="A17" s="1">
        <v>3</v>
      </c>
      <c r="B17" s="2" t="s">
        <v>14</v>
      </c>
      <c r="C17" s="1">
        <v>690</v>
      </c>
      <c r="D17" s="1"/>
      <c r="E17" s="1"/>
      <c r="F17" s="5"/>
      <c r="G17" s="3">
        <f t="shared" si="2"/>
        <v>690</v>
      </c>
      <c r="H17" s="4">
        <f t="shared" si="3"/>
        <v>0</v>
      </c>
    </row>
    <row r="18" spans="1:8" ht="21" customHeight="1">
      <c r="A18" s="1">
        <v>3</v>
      </c>
      <c r="B18" s="2" t="s">
        <v>12</v>
      </c>
      <c r="C18" s="1">
        <v>690</v>
      </c>
      <c r="D18" s="1"/>
      <c r="E18" s="1"/>
      <c r="F18" s="5"/>
      <c r="G18" s="3">
        <f t="shared" si="2"/>
        <v>690</v>
      </c>
      <c r="H18" s="4">
        <f t="shared" si="3"/>
        <v>0</v>
      </c>
    </row>
    <row r="19" spans="1:8" ht="20.25">
      <c r="A19" s="1">
        <v>3</v>
      </c>
      <c r="B19" s="2" t="s">
        <v>13</v>
      </c>
      <c r="C19" s="1">
        <v>690</v>
      </c>
      <c r="D19" s="1"/>
      <c r="E19" s="1"/>
      <c r="F19" s="5"/>
      <c r="G19" s="3">
        <f t="shared" si="2"/>
        <v>690</v>
      </c>
      <c r="H19" s="4">
        <f t="shared" si="3"/>
        <v>0</v>
      </c>
    </row>
    <row r="20" spans="1:8">
      <c r="A20" s="7"/>
      <c r="B20" s="7"/>
      <c r="C20" s="8"/>
      <c r="D20" s="8"/>
      <c r="E20" s="8"/>
      <c r="F20" s="7"/>
      <c r="G20" s="7"/>
      <c r="H20" s="7"/>
    </row>
    <row r="21" spans="1:8" ht="28.5" customHeight="1">
      <c r="A21" s="1">
        <v>4</v>
      </c>
      <c r="B21" s="9" t="s">
        <v>15</v>
      </c>
      <c r="C21" s="1">
        <v>660</v>
      </c>
      <c r="D21" s="1"/>
      <c r="E21" s="1"/>
      <c r="F21" s="5"/>
      <c r="G21" s="3">
        <f t="shared" ref="G21:G29" si="4">IF((C21-D21)&lt;0,0,C21-D21)</f>
        <v>660</v>
      </c>
      <c r="H21" s="4">
        <f t="shared" ref="H21:H29" si="5">IF((D21-C21)&lt;0,0,D21-C21)</f>
        <v>0</v>
      </c>
    </row>
    <row r="22" spans="1:8" ht="24" customHeight="1">
      <c r="A22" s="1">
        <v>4</v>
      </c>
      <c r="B22" s="9" t="s">
        <v>16</v>
      </c>
      <c r="C22" s="1">
        <v>660</v>
      </c>
      <c r="D22" s="1">
        <v>670</v>
      </c>
      <c r="E22" s="1">
        <v>2024</v>
      </c>
      <c r="F22" s="5" t="s">
        <v>9</v>
      </c>
      <c r="G22" s="3">
        <f t="shared" si="4"/>
        <v>0</v>
      </c>
      <c r="H22" s="4">
        <f t="shared" si="5"/>
        <v>10</v>
      </c>
    </row>
    <row r="23" spans="1:8" ht="18">
      <c r="A23" s="1">
        <v>4</v>
      </c>
      <c r="B23" s="9" t="s">
        <v>13</v>
      </c>
      <c r="C23" s="1">
        <v>660</v>
      </c>
      <c r="D23" s="1">
        <v>670</v>
      </c>
      <c r="E23" s="1">
        <v>2025</v>
      </c>
      <c r="F23" s="5" t="s">
        <v>9</v>
      </c>
      <c r="G23" s="3">
        <f t="shared" si="4"/>
        <v>0</v>
      </c>
      <c r="H23" s="4">
        <f t="shared" si="5"/>
        <v>10</v>
      </c>
    </row>
    <row r="24" spans="1:8" ht="27" customHeight="1">
      <c r="A24" s="1">
        <v>4</v>
      </c>
      <c r="B24" s="9" t="s">
        <v>11</v>
      </c>
      <c r="C24" s="1">
        <v>660</v>
      </c>
      <c r="D24" s="1">
        <v>670</v>
      </c>
      <c r="E24" s="1">
        <v>2025</v>
      </c>
      <c r="F24" s="5" t="s">
        <v>9</v>
      </c>
      <c r="G24" s="3">
        <f t="shared" si="4"/>
        <v>0</v>
      </c>
      <c r="H24" s="4">
        <f t="shared" si="5"/>
        <v>10</v>
      </c>
    </row>
    <row r="25" spans="1:8" ht="33.75" customHeight="1">
      <c r="A25" s="1">
        <v>4</v>
      </c>
      <c r="B25" s="9" t="s">
        <v>17</v>
      </c>
      <c r="C25" s="1">
        <v>660</v>
      </c>
      <c r="D25" s="1">
        <v>670</v>
      </c>
      <c r="E25" s="1">
        <v>2024</v>
      </c>
      <c r="F25" s="5" t="s">
        <v>9</v>
      </c>
      <c r="G25" s="3">
        <f t="shared" si="4"/>
        <v>0</v>
      </c>
      <c r="H25" s="4">
        <f t="shared" si="5"/>
        <v>10</v>
      </c>
    </row>
    <row r="26" spans="1:8" ht="33.75" customHeight="1">
      <c r="A26" s="1">
        <v>4</v>
      </c>
      <c r="B26" s="9" t="s">
        <v>14</v>
      </c>
      <c r="C26" s="1">
        <v>660</v>
      </c>
      <c r="D26" s="1">
        <v>670</v>
      </c>
      <c r="E26" s="1">
        <v>2024</v>
      </c>
      <c r="F26" s="5" t="s">
        <v>9</v>
      </c>
      <c r="G26" s="3">
        <f t="shared" si="4"/>
        <v>0</v>
      </c>
      <c r="H26" s="4">
        <f t="shared" si="5"/>
        <v>10</v>
      </c>
    </row>
    <row r="27" spans="1:8" ht="33.75" customHeight="1">
      <c r="A27" s="1">
        <v>4</v>
      </c>
      <c r="B27" s="9" t="s">
        <v>18</v>
      </c>
      <c r="C27" s="1">
        <v>660</v>
      </c>
      <c r="D27" s="1">
        <v>670</v>
      </c>
      <c r="E27" s="1">
        <v>2024</v>
      </c>
      <c r="F27" s="5" t="s">
        <v>9</v>
      </c>
      <c r="G27" s="3">
        <f t="shared" si="4"/>
        <v>0</v>
      </c>
      <c r="H27" s="4">
        <f t="shared" si="5"/>
        <v>10</v>
      </c>
    </row>
    <row r="28" spans="1:8" ht="27.75" customHeight="1">
      <c r="A28" s="1">
        <v>4</v>
      </c>
      <c r="B28" s="9" t="s">
        <v>19</v>
      </c>
      <c r="C28" s="1">
        <v>660</v>
      </c>
      <c r="D28" s="1"/>
      <c r="E28" s="1"/>
      <c r="F28" s="5"/>
      <c r="G28" s="3">
        <f t="shared" si="4"/>
        <v>660</v>
      </c>
      <c r="H28" s="4">
        <f t="shared" si="5"/>
        <v>0</v>
      </c>
    </row>
    <row r="29" spans="1:8" ht="27.75" customHeight="1">
      <c r="A29" s="1">
        <v>4</v>
      </c>
      <c r="B29" s="9" t="s">
        <v>20</v>
      </c>
      <c r="C29" s="1">
        <v>660</v>
      </c>
      <c r="D29" s="1">
        <v>670</v>
      </c>
      <c r="E29" s="1">
        <v>2026</v>
      </c>
      <c r="F29" s="5" t="s">
        <v>9</v>
      </c>
      <c r="G29" s="3">
        <f t="shared" si="4"/>
        <v>0</v>
      </c>
      <c r="H29" s="4">
        <f t="shared" si="5"/>
        <v>10</v>
      </c>
    </row>
    <row r="30" spans="1:8" ht="27.75" customHeight="1">
      <c r="A30" s="7"/>
      <c r="B30" s="7"/>
      <c r="C30" s="8"/>
      <c r="D30" s="8"/>
      <c r="E30" s="8"/>
      <c r="F30" s="7"/>
      <c r="G30" s="7"/>
      <c r="H30" s="7"/>
    </row>
    <row r="31" spans="1:8" ht="27.75" customHeight="1">
      <c r="A31" s="1">
        <v>5</v>
      </c>
      <c r="B31" s="9" t="s">
        <v>15</v>
      </c>
      <c r="C31" s="1">
        <v>552</v>
      </c>
      <c r="D31" s="1">
        <v>700</v>
      </c>
      <c r="E31" s="1">
        <v>2025</v>
      </c>
      <c r="F31" s="5" t="s">
        <v>9</v>
      </c>
      <c r="G31" s="3">
        <f t="shared" ref="G31:G39" si="6">IF((C31-D31)&lt;0,0,C31-D31)</f>
        <v>0</v>
      </c>
      <c r="H31" s="4">
        <f t="shared" ref="H31:H39" si="7">IF((D31-C31)&lt;0,0,D31-C31)</f>
        <v>148</v>
      </c>
    </row>
    <row r="32" spans="1:8" ht="27.75" customHeight="1">
      <c r="A32" s="1">
        <v>5</v>
      </c>
      <c r="B32" s="9" t="s">
        <v>16</v>
      </c>
      <c r="C32" s="1">
        <v>552</v>
      </c>
      <c r="D32" s="1"/>
      <c r="E32" s="1"/>
      <c r="F32" s="5"/>
      <c r="G32" s="3">
        <f t="shared" si="6"/>
        <v>552</v>
      </c>
      <c r="H32" s="4">
        <f t="shared" si="7"/>
        <v>0</v>
      </c>
    </row>
    <row r="33" spans="1:8" ht="27.75" customHeight="1">
      <c r="A33" s="1">
        <v>5</v>
      </c>
      <c r="B33" s="9" t="s">
        <v>13</v>
      </c>
      <c r="C33" s="1">
        <v>552</v>
      </c>
      <c r="D33" s="1"/>
      <c r="E33" s="1"/>
      <c r="F33" s="5"/>
      <c r="G33" s="3">
        <f t="shared" si="6"/>
        <v>552</v>
      </c>
      <c r="H33" s="4">
        <f t="shared" si="7"/>
        <v>0</v>
      </c>
    </row>
    <row r="34" spans="1:8" ht="27.75" customHeight="1">
      <c r="A34" s="1">
        <v>5</v>
      </c>
      <c r="B34" s="9" t="s">
        <v>11</v>
      </c>
      <c r="C34" s="1">
        <v>552</v>
      </c>
      <c r="D34" s="1"/>
      <c r="E34" s="1"/>
      <c r="F34" s="5"/>
      <c r="G34" s="3">
        <f t="shared" si="6"/>
        <v>552</v>
      </c>
      <c r="H34" s="4">
        <f t="shared" si="7"/>
        <v>0</v>
      </c>
    </row>
    <row r="35" spans="1:8" ht="39" customHeight="1">
      <c r="A35" s="1">
        <v>5</v>
      </c>
      <c r="B35" s="9" t="s">
        <v>17</v>
      </c>
      <c r="C35" s="1">
        <v>552</v>
      </c>
      <c r="D35" s="1">
        <v>700</v>
      </c>
      <c r="E35" s="1">
        <v>2025</v>
      </c>
      <c r="F35" s="5" t="s">
        <v>9</v>
      </c>
      <c r="G35" s="3">
        <f t="shared" si="6"/>
        <v>0</v>
      </c>
      <c r="H35" s="4">
        <f t="shared" si="7"/>
        <v>148</v>
      </c>
    </row>
    <row r="36" spans="1:8" ht="27.75" customHeight="1">
      <c r="A36" s="1">
        <v>5</v>
      </c>
      <c r="B36" s="9" t="s">
        <v>14</v>
      </c>
      <c r="C36" s="1">
        <v>552</v>
      </c>
      <c r="D36" s="1">
        <v>700</v>
      </c>
      <c r="E36" s="1">
        <v>2026</v>
      </c>
      <c r="F36" s="5" t="s">
        <v>9</v>
      </c>
      <c r="G36" s="3">
        <f t="shared" si="6"/>
        <v>0</v>
      </c>
      <c r="H36" s="4">
        <f t="shared" si="7"/>
        <v>148</v>
      </c>
    </row>
    <row r="37" spans="1:8" ht="27.75" customHeight="1">
      <c r="A37" s="1">
        <v>5</v>
      </c>
      <c r="B37" s="9" t="s">
        <v>18</v>
      </c>
      <c r="C37" s="1">
        <v>552</v>
      </c>
      <c r="D37" s="1">
        <v>700</v>
      </c>
      <c r="E37" s="1">
        <v>2025</v>
      </c>
      <c r="F37" s="5" t="s">
        <v>9</v>
      </c>
      <c r="G37" s="3">
        <f t="shared" si="6"/>
        <v>0</v>
      </c>
      <c r="H37" s="4">
        <f t="shared" si="7"/>
        <v>148</v>
      </c>
    </row>
    <row r="38" spans="1:8" ht="27.75" customHeight="1">
      <c r="A38" s="1">
        <v>5</v>
      </c>
      <c r="B38" s="9" t="s">
        <v>19</v>
      </c>
      <c r="C38" s="1">
        <v>552</v>
      </c>
      <c r="D38" s="1">
        <v>700</v>
      </c>
      <c r="E38" s="1">
        <v>2026</v>
      </c>
      <c r="F38" s="5" t="s">
        <v>9</v>
      </c>
      <c r="G38" s="3">
        <f t="shared" si="6"/>
        <v>0</v>
      </c>
      <c r="H38" s="4">
        <f t="shared" si="7"/>
        <v>148</v>
      </c>
    </row>
    <row r="39" spans="1:8" ht="27.75" customHeight="1">
      <c r="A39" s="1">
        <v>5</v>
      </c>
      <c r="B39" s="9" t="s">
        <v>20</v>
      </c>
      <c r="C39" s="1">
        <v>552</v>
      </c>
      <c r="D39" s="1"/>
      <c r="E39" s="1"/>
      <c r="F39" s="5"/>
      <c r="G39" s="3">
        <f t="shared" si="6"/>
        <v>552</v>
      </c>
      <c r="H39" s="4">
        <f t="shared" si="7"/>
        <v>0</v>
      </c>
    </row>
    <row r="40" spans="1:8" ht="27.75" customHeight="1">
      <c r="A40" s="7"/>
      <c r="B40" s="7"/>
      <c r="C40" s="8"/>
      <c r="D40" s="8"/>
      <c r="E40" s="8"/>
      <c r="F40" s="7"/>
      <c r="G40" s="7"/>
      <c r="H40" s="7"/>
    </row>
    <row r="41" spans="1:8" ht="27.75" customHeight="1">
      <c r="A41" s="1">
        <v>6</v>
      </c>
      <c r="B41" s="9" t="s">
        <v>15</v>
      </c>
      <c r="C41" s="1">
        <v>616</v>
      </c>
      <c r="D41" s="1"/>
      <c r="E41" s="1"/>
      <c r="F41" s="5"/>
      <c r="G41" s="3">
        <f t="shared" ref="G41:G49" si="8">IF((C41-D41)&lt;0,0,C41-D41)</f>
        <v>616</v>
      </c>
      <c r="H41" s="4">
        <f t="shared" ref="H41:H49" si="9">IF((D41-C41)&lt;0,0,D41-C41)</f>
        <v>0</v>
      </c>
    </row>
    <row r="42" spans="1:8" ht="27.75" customHeight="1">
      <c r="A42" s="1">
        <v>6</v>
      </c>
      <c r="B42" s="9" t="s">
        <v>16</v>
      </c>
      <c r="C42" s="1">
        <v>616</v>
      </c>
      <c r="D42" s="1"/>
      <c r="E42" s="1"/>
      <c r="F42" s="5"/>
      <c r="G42" s="3">
        <f t="shared" si="8"/>
        <v>616</v>
      </c>
      <c r="H42" s="4">
        <f t="shared" si="9"/>
        <v>0</v>
      </c>
    </row>
    <row r="43" spans="1:8" ht="27.75" customHeight="1">
      <c r="A43" s="1">
        <v>6</v>
      </c>
      <c r="B43" s="9" t="s">
        <v>13</v>
      </c>
      <c r="C43" s="1">
        <v>616</v>
      </c>
      <c r="D43" s="1"/>
      <c r="E43" s="1"/>
      <c r="F43" s="5"/>
      <c r="G43" s="3">
        <f t="shared" si="8"/>
        <v>616</v>
      </c>
      <c r="H43" s="4">
        <f t="shared" si="9"/>
        <v>0</v>
      </c>
    </row>
    <row r="44" spans="1:8" ht="27.75" customHeight="1">
      <c r="A44" s="1">
        <v>6</v>
      </c>
      <c r="B44" s="9" t="s">
        <v>11</v>
      </c>
      <c r="C44" s="1">
        <v>616</v>
      </c>
      <c r="D44" s="1"/>
      <c r="E44" s="1"/>
      <c r="F44" s="5"/>
      <c r="G44" s="3">
        <f t="shared" si="8"/>
        <v>616</v>
      </c>
      <c r="H44" s="4">
        <f t="shared" si="9"/>
        <v>0</v>
      </c>
    </row>
    <row r="45" spans="1:8" ht="36.75" customHeight="1">
      <c r="A45" s="1">
        <v>6</v>
      </c>
      <c r="B45" s="9" t="s">
        <v>17</v>
      </c>
      <c r="C45" s="1">
        <v>616</v>
      </c>
      <c r="D45" s="1"/>
      <c r="E45" s="1"/>
      <c r="F45" s="5"/>
      <c r="G45" s="3">
        <f t="shared" si="8"/>
        <v>616</v>
      </c>
      <c r="H45" s="4">
        <f t="shared" si="9"/>
        <v>0</v>
      </c>
    </row>
    <row r="46" spans="1:8" ht="27.75" customHeight="1">
      <c r="A46" s="1">
        <v>6</v>
      </c>
      <c r="B46" s="9" t="s">
        <v>14</v>
      </c>
      <c r="C46" s="1">
        <v>616</v>
      </c>
      <c r="D46" s="1"/>
      <c r="E46" s="1"/>
      <c r="F46" s="5"/>
      <c r="G46" s="3">
        <f t="shared" si="8"/>
        <v>616</v>
      </c>
      <c r="H46" s="4">
        <f t="shared" si="9"/>
        <v>0</v>
      </c>
    </row>
    <row r="47" spans="1:8" ht="27.75" customHeight="1">
      <c r="A47" s="1">
        <v>6</v>
      </c>
      <c r="B47" s="9" t="s">
        <v>18</v>
      </c>
      <c r="C47" s="1">
        <v>616</v>
      </c>
      <c r="D47" s="1"/>
      <c r="E47" s="1"/>
      <c r="F47" s="5"/>
      <c r="G47" s="3">
        <f t="shared" si="8"/>
        <v>616</v>
      </c>
      <c r="H47" s="4">
        <f t="shared" si="9"/>
        <v>0</v>
      </c>
    </row>
    <row r="48" spans="1:8" ht="27.75" customHeight="1">
      <c r="A48" s="1">
        <v>6</v>
      </c>
      <c r="B48" s="9" t="s">
        <v>19</v>
      </c>
      <c r="C48" s="1">
        <v>616</v>
      </c>
      <c r="D48" s="1"/>
      <c r="E48" s="1"/>
      <c r="F48" s="5"/>
      <c r="G48" s="3">
        <f t="shared" si="8"/>
        <v>616</v>
      </c>
      <c r="H48" s="4">
        <f t="shared" si="9"/>
        <v>0</v>
      </c>
    </row>
    <row r="49" spans="1:8" ht="27.75" customHeight="1">
      <c r="A49" s="1">
        <v>6</v>
      </c>
      <c r="B49" s="9" t="s">
        <v>20</v>
      </c>
      <c r="C49" s="1">
        <v>616</v>
      </c>
      <c r="D49" s="1"/>
      <c r="E49" s="1"/>
      <c r="F49" s="5"/>
      <c r="G49" s="3">
        <f t="shared" si="8"/>
        <v>616</v>
      </c>
      <c r="H49" s="4">
        <f t="shared" si="9"/>
        <v>0</v>
      </c>
    </row>
    <row r="50" spans="1:8" ht="27.75" customHeight="1"/>
    <row r="51" spans="1:8" ht="27.75" customHeight="1"/>
    <row r="52" spans="1:8" ht="27.75" customHeight="1"/>
    <row r="53" spans="1:8" ht="27.75" customHeight="1"/>
    <row r="54" spans="1:8" ht="27.75" customHeight="1"/>
    <row r="55" spans="1:8" ht="39" customHeight="1"/>
    <row r="56" spans="1:8" ht="27.75" customHeight="1"/>
    <row r="57" spans="1:8" ht="27.75" customHeight="1"/>
    <row r="58" spans="1:8" ht="27.75" customHeight="1"/>
    <row r="59" spans="1:8" ht="27.75" customHeight="1"/>
    <row r="60" spans="1:8" ht="27.75" customHeight="1"/>
    <row r="61" spans="1:8" ht="27.75" customHeight="1"/>
    <row r="62" spans="1:8" ht="27.75" customHeight="1"/>
    <row r="63" spans="1:8" ht="27.75" customHeight="1"/>
    <row r="64" spans="1:8" ht="27.75" customHeight="1"/>
    <row r="65" ht="27.75" customHeight="1"/>
    <row r="66" ht="27.75" customHeight="1"/>
    <row r="67" ht="27.75" customHeight="1"/>
    <row r="68" ht="27.75" customHeight="1"/>
    <row r="69" ht="27.75" customHeight="1"/>
    <row r="70" ht="27.75" customHeight="1"/>
    <row r="71" ht="27.75" customHeight="1"/>
    <row r="72" ht="27.75" customHeight="1"/>
    <row r="73" ht="27.75" customHeight="1"/>
    <row r="74" ht="27.75" customHeight="1"/>
    <row r="75" ht="27.75" customHeight="1"/>
    <row r="76" ht="27.75" customHeight="1"/>
    <row r="77" ht="27.75" customHeight="1"/>
    <row r="78" ht="27.75" customHeight="1"/>
    <row r="79" ht="27.75" customHeight="1"/>
    <row r="80" ht="27.75" customHeight="1"/>
    <row r="81" ht="27.75" customHeight="1"/>
    <row r="82" ht="27.75" customHeight="1"/>
    <row r="83" ht="27.75" customHeight="1"/>
    <row r="84" ht="27.75" customHeight="1"/>
    <row r="85" ht="27.75" customHeight="1"/>
    <row r="86" ht="27.75" customHeight="1"/>
    <row r="87" ht="27.75" customHeight="1"/>
    <row r="88" ht="27.75" customHeight="1"/>
    <row r="89" ht="27.75" customHeight="1"/>
    <row r="90" ht="27.75" customHeight="1"/>
    <row r="91" ht="39.75" customHeight="1"/>
    <row r="92" ht="27.75" customHeight="1"/>
    <row r="93" ht="27.75" customHeight="1"/>
    <row r="94" ht="27.75" customHeight="1"/>
    <row r="95" ht="40.5" customHeight="1"/>
    <row r="96" ht="38.25" customHeight="1"/>
    <row r="97" ht="27.75" customHeight="1"/>
    <row r="98" ht="47.25" customHeight="1"/>
  </sheetData>
  <protectedRanges>
    <protectedRange sqref="C1:E49" name="Textbooks"/>
    <protectedRange sqref="F1:F49" name="SOURCE"/>
  </protectedRanges>
  <phoneticPr fontId="8" type="noConversion"/>
  <dataValidations count="2">
    <dataValidation type="list" allowBlank="1" showInputMessage="1" showErrorMessage="1" sqref="E41:E49 E31:E39 E21:E29 E14:E19 E8:E12 E2:E6" xr:uid="{B46E7B13-721E-4D49-837E-C02BF9777D48}">
      <formula1>"2024,2025,2026"</formula1>
    </dataValidation>
    <dataValidation type="list" allowBlank="1" showInputMessage="1" showErrorMessage="1" sqref="F14:F19 F21:F29 F41:F49 F2:F6 F8:F12 F31:F39" xr:uid="{2F7388E0-D1A1-4571-8C10-96CB9A727EB3}">
      <formula1>"CO,RO,SDO"</formula1>
    </dataValidation>
  </dataValidation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58F8C8-8AF8-4852-B88C-61047AF726C8}">
  <dimension ref="A1:AA111"/>
  <sheetViews>
    <sheetView topLeftCell="A49" zoomScale="70" zoomScaleNormal="70" workbookViewId="0">
      <selection activeCell="AC132" sqref="AC132"/>
    </sheetView>
  </sheetViews>
  <sheetFormatPr defaultRowHeight="15"/>
  <cols>
    <col min="1" max="1" width="9.42578125" customWidth="1"/>
    <col min="2" max="2" width="27.85546875" customWidth="1"/>
    <col min="3" max="3" width="17.140625" customWidth="1"/>
    <col min="4" max="4" width="26.140625" customWidth="1"/>
    <col min="5" max="5" width="23.140625" customWidth="1"/>
    <col min="6" max="6" width="24.85546875" bestFit="1" customWidth="1"/>
    <col min="7" max="7" width="18.5703125" customWidth="1"/>
    <col min="8" max="9" width="20.85546875" customWidth="1"/>
    <col min="10" max="10" width="13.7109375" customWidth="1"/>
    <col min="11" max="11" width="35.5703125" customWidth="1"/>
    <col min="12" max="12" width="24.85546875" bestFit="1" customWidth="1"/>
    <col min="13" max="13" width="31.5703125" customWidth="1"/>
    <col min="14" max="15" width="20.85546875" customWidth="1"/>
    <col min="16" max="16" width="21.5703125" customWidth="1"/>
    <col min="17" max="17" width="33.42578125" customWidth="1"/>
    <col min="18" max="18" width="25.85546875" customWidth="1"/>
    <col min="19" max="19" width="32.85546875" customWidth="1"/>
    <col min="20" max="21" width="20.85546875" customWidth="1"/>
    <col min="22" max="22" width="16.140625" customWidth="1"/>
    <col min="23" max="23" width="25" customWidth="1"/>
    <col min="24" max="24" width="15.28515625" customWidth="1"/>
    <col min="25" max="25" width="20.85546875" customWidth="1"/>
    <col min="26" max="26" width="14.85546875" customWidth="1"/>
    <col min="27" max="27" width="15.140625" customWidth="1"/>
  </cols>
  <sheetData>
    <row r="1" spans="1:27" s="25" customFormat="1" ht="34.15" customHeight="1">
      <c r="D1" s="35" t="s">
        <v>21</v>
      </c>
      <c r="E1" s="35"/>
      <c r="F1" s="35"/>
      <c r="G1" s="35"/>
      <c r="H1" s="35"/>
      <c r="I1" s="35"/>
      <c r="J1" s="36" t="s">
        <v>22</v>
      </c>
      <c r="K1" s="36"/>
      <c r="L1" s="36"/>
      <c r="M1" s="36"/>
      <c r="N1" s="36"/>
      <c r="O1" s="36"/>
      <c r="P1" s="37" t="s">
        <v>23</v>
      </c>
      <c r="Q1" s="37"/>
      <c r="R1" s="37"/>
      <c r="S1" s="37"/>
      <c r="T1" s="37"/>
      <c r="U1" s="37"/>
      <c r="V1" s="38" t="s">
        <v>24</v>
      </c>
      <c r="W1" s="38"/>
      <c r="X1" s="38"/>
      <c r="Y1" s="38"/>
      <c r="Z1" s="38"/>
      <c r="AA1" s="38"/>
    </row>
    <row r="2" spans="1:27" ht="69.599999999999994" customHeight="1">
      <c r="A2" s="12" t="s">
        <v>0</v>
      </c>
      <c r="B2" s="12" t="s">
        <v>1</v>
      </c>
      <c r="C2" s="13" t="s">
        <v>2</v>
      </c>
      <c r="D2" s="17" t="s">
        <v>25</v>
      </c>
      <c r="E2" s="17" t="s">
        <v>26</v>
      </c>
      <c r="F2" s="18" t="s">
        <v>27</v>
      </c>
      <c r="G2" s="21" t="s">
        <v>28</v>
      </c>
      <c r="H2" s="14" t="s">
        <v>29</v>
      </c>
      <c r="I2" s="21" t="s">
        <v>30</v>
      </c>
      <c r="J2" s="19" t="s">
        <v>31</v>
      </c>
      <c r="K2" s="19" t="s">
        <v>32</v>
      </c>
      <c r="L2" s="20" t="s">
        <v>33</v>
      </c>
      <c r="M2" s="33" t="s">
        <v>34</v>
      </c>
      <c r="N2" s="33" t="s">
        <v>35</v>
      </c>
      <c r="O2" s="19" t="s">
        <v>36</v>
      </c>
      <c r="P2" s="21" t="s">
        <v>37</v>
      </c>
      <c r="Q2" s="21" t="s">
        <v>38</v>
      </c>
      <c r="R2" s="22" t="s">
        <v>39</v>
      </c>
      <c r="S2" s="14" t="s">
        <v>40</v>
      </c>
      <c r="T2" s="14" t="s">
        <v>41</v>
      </c>
      <c r="U2" s="21" t="s">
        <v>42</v>
      </c>
      <c r="V2" s="23" t="s">
        <v>43</v>
      </c>
      <c r="W2" s="23" t="s">
        <v>44</v>
      </c>
      <c r="X2" s="24" t="s">
        <v>45</v>
      </c>
      <c r="Y2" s="34" t="s">
        <v>46</v>
      </c>
      <c r="Z2" s="34" t="s">
        <v>47</v>
      </c>
      <c r="AA2" s="23" t="s">
        <v>48</v>
      </c>
    </row>
    <row r="3" spans="1:27" ht="30.6" customHeight="1">
      <c r="A3" s="32" t="s">
        <v>49</v>
      </c>
      <c r="B3" s="27"/>
      <c r="C3" s="26"/>
      <c r="D3" s="28">
        <f>Table1[[#This Row],[Enrolment S.Y. 2025-2026 ]]*8</f>
        <v>0</v>
      </c>
      <c r="E3" s="28"/>
      <c r="F3" s="26"/>
      <c r="G3" s="28"/>
      <c r="H3" s="28">
        <f>IF((D3-E3)&lt;0,0,(D3-E3))</f>
        <v>0</v>
      </c>
      <c r="I3" s="28">
        <f>IF((E3-D3)&lt;0,0,(E3-D3))</f>
        <v>0</v>
      </c>
      <c r="J3" s="28">
        <f>Table1[[#This Row],[Enrolment S.Y. 2025-2026 ]]*8</f>
        <v>0</v>
      </c>
      <c r="K3" s="28"/>
      <c r="L3" s="26"/>
      <c r="M3" s="28"/>
      <c r="N3" s="5">
        <f t="shared" ref="N3" si="0">IF((J3-K3)&lt;0,0,(J3-K3))</f>
        <v>0</v>
      </c>
      <c r="O3" s="5">
        <f t="shared" ref="O3" si="1">IF((K3-J3)&lt;0,0,(K3-J3))</f>
        <v>0</v>
      </c>
      <c r="P3" s="5">
        <f>Table1[[#This Row],[Enrolment S.Y. 2025-2026 ]]*8</f>
        <v>0</v>
      </c>
      <c r="Q3" s="28"/>
      <c r="R3" s="26"/>
      <c r="S3" s="28"/>
      <c r="T3" s="28">
        <f>IF((P3-Q3)&lt;0,0,(P3-Q3))</f>
        <v>0</v>
      </c>
      <c r="U3" s="28">
        <f>IF((Q3-P3)&lt;0,0,(Q3-P3))</f>
        <v>0</v>
      </c>
      <c r="V3" s="28">
        <f>Table1[[#This Row],[Enrolment S.Y. 2025-2026 ]]*8</f>
        <v>0</v>
      </c>
      <c r="W3" s="28"/>
      <c r="X3" s="26"/>
      <c r="Y3" s="28"/>
      <c r="Z3" s="28">
        <f>IF((V3-W3)&lt;0,0,(V3-W3))</f>
        <v>0</v>
      </c>
      <c r="AA3" s="28">
        <f>IF((W3-V3)&lt;0,0,(W3-V3))</f>
        <v>0</v>
      </c>
    </row>
    <row r="4" spans="1:27" s="7" customFormat="1" ht="20.25">
      <c r="J4" s="10"/>
      <c r="N4" s="10"/>
      <c r="O4" s="10"/>
      <c r="P4" s="10"/>
      <c r="S4" s="5"/>
      <c r="T4" s="10"/>
      <c r="U4" s="10"/>
      <c r="V4" s="10"/>
      <c r="Z4" s="10"/>
      <c r="AA4" s="10"/>
    </row>
    <row r="5" spans="1:27" ht="34.5">
      <c r="A5" s="1">
        <v>1</v>
      </c>
      <c r="B5" s="2" t="s">
        <v>8</v>
      </c>
      <c r="C5" s="1"/>
      <c r="D5" s="5">
        <f>Table1[[#This Row],[Enrolment S.Y. 2025-2026 ]]*8</f>
        <v>0</v>
      </c>
      <c r="E5" s="5"/>
      <c r="F5" s="1"/>
      <c r="G5" s="5"/>
      <c r="H5" s="5">
        <f t="shared" ref="H5:H61" si="2">IF((D5-E5)&lt;0,0,(D5-E5))</f>
        <v>0</v>
      </c>
      <c r="I5" s="5">
        <f t="shared" ref="I5:I61" si="3">IF((E5-D5)&lt;0,0,(E5-D5))</f>
        <v>0</v>
      </c>
      <c r="J5" s="5">
        <f>Table1[[#This Row],[Enrolment S.Y. 2025-2026 ]]*8</f>
        <v>0</v>
      </c>
      <c r="K5" s="5"/>
      <c r="L5" s="1"/>
      <c r="M5" s="5"/>
      <c r="N5" s="5">
        <f t="shared" ref="N5" si="4">IF((J5-K5)&lt;0,0,(J5-K5))</f>
        <v>0</v>
      </c>
      <c r="O5" s="5">
        <f t="shared" ref="O5" si="5">IF((K5-J5)&lt;0,0,(K5-J5))</f>
        <v>0</v>
      </c>
      <c r="P5" s="5">
        <f>Table1[[#This Row],[Enrolment S.Y. 2025-2026 ]]*8</f>
        <v>0</v>
      </c>
      <c r="Q5" s="5"/>
      <c r="R5" s="1"/>
      <c r="S5" s="5"/>
      <c r="T5" s="5">
        <f t="shared" ref="T5" si="6">IF((P5-Q5)&lt;0,0,(P5-Q5))</f>
        <v>0</v>
      </c>
      <c r="U5" s="5">
        <f t="shared" ref="U5" si="7">IF((Q5-P5)&lt;0,0,(Q5-P5))</f>
        <v>0</v>
      </c>
      <c r="V5" s="5">
        <f>Table1[[#This Row],[Enrolment S.Y. 2025-2026 ]]*8</f>
        <v>0</v>
      </c>
      <c r="W5" s="5"/>
      <c r="X5" s="1"/>
      <c r="Y5" s="5"/>
      <c r="Z5" s="5">
        <f t="shared" ref="Z5" si="8">IF((V5-W5)&lt;0,0,(V5-W5))</f>
        <v>0</v>
      </c>
      <c r="AA5" s="5">
        <f t="shared" ref="AA5" si="9">IF((W5-V5)&lt;0,0,(W5-V5))</f>
        <v>0</v>
      </c>
    </row>
    <row r="6" spans="1:27" ht="20.25">
      <c r="A6" s="1">
        <v>1</v>
      </c>
      <c r="B6" s="2" t="s">
        <v>10</v>
      </c>
      <c r="C6" s="1"/>
      <c r="D6" s="5">
        <f>Table1[[#This Row],[Enrolment S.Y. 2025-2026 ]]*8</f>
        <v>0</v>
      </c>
      <c r="E6" s="5"/>
      <c r="F6" s="1"/>
      <c r="G6" s="5"/>
      <c r="H6" s="5">
        <f t="shared" si="2"/>
        <v>0</v>
      </c>
      <c r="I6" s="5">
        <f t="shared" si="3"/>
        <v>0</v>
      </c>
      <c r="J6" s="5">
        <f>Table1[[#This Row],[Enrolment S.Y. 2025-2026 ]]*8</f>
        <v>0</v>
      </c>
      <c r="K6" s="5"/>
      <c r="L6" s="1"/>
      <c r="M6" s="5"/>
      <c r="N6" s="5">
        <f t="shared" ref="N6:N61" si="10">IF((J6-K6)&lt;0,0,(J6-K6))</f>
        <v>0</v>
      </c>
      <c r="O6" s="5">
        <f t="shared" ref="O6:O61" si="11">IF((K6-J6)&lt;0,0,(K6-J6))</f>
        <v>0</v>
      </c>
      <c r="P6" s="5">
        <f>Table1[[#This Row],[Enrolment S.Y. 2025-2026 ]]*8</f>
        <v>0</v>
      </c>
      <c r="Q6" s="5"/>
      <c r="R6" s="1"/>
      <c r="S6" s="5"/>
      <c r="T6" s="5">
        <f t="shared" ref="T6:T61" si="12">IF((P6-Q6)&lt;0,0,(P6-Q6))</f>
        <v>0</v>
      </c>
      <c r="U6" s="5">
        <f t="shared" ref="U6:U61" si="13">IF((Q6-P6)&lt;0,0,(Q6-P6))</f>
        <v>0</v>
      </c>
      <c r="V6" s="5">
        <f>Table1[[#This Row],[Enrolment S.Y. 2025-2026 ]]*8</f>
        <v>0</v>
      </c>
      <c r="W6" s="5"/>
      <c r="X6" s="1"/>
      <c r="Y6" s="5"/>
      <c r="Z6" s="5">
        <f t="shared" ref="Z6:Z61" si="14">IF((V6-W6)&lt;0,0,(V6-W6))</f>
        <v>0</v>
      </c>
      <c r="AA6" s="5">
        <f t="shared" ref="AA6:AA61" si="15">IF((W6-V6)&lt;0,0,(W6-V6))</f>
        <v>0</v>
      </c>
    </row>
    <row r="7" spans="1:27" ht="20.25">
      <c r="A7" s="1">
        <v>1</v>
      </c>
      <c r="B7" s="2" t="s">
        <v>11</v>
      </c>
      <c r="C7" s="1"/>
      <c r="D7" s="5">
        <f>Table1[[#This Row],[Enrolment S.Y. 2025-2026 ]]*8</f>
        <v>0</v>
      </c>
      <c r="E7" s="5"/>
      <c r="F7" s="1"/>
      <c r="G7" s="5"/>
      <c r="H7" s="5">
        <f t="shared" si="2"/>
        <v>0</v>
      </c>
      <c r="I7" s="5">
        <f t="shared" si="3"/>
        <v>0</v>
      </c>
      <c r="J7" s="5">
        <f>Table1[[#This Row],[Enrolment S.Y. 2025-2026 ]]*8</f>
        <v>0</v>
      </c>
      <c r="K7" s="5"/>
      <c r="L7" s="1"/>
      <c r="M7" s="5"/>
      <c r="N7" s="5">
        <f t="shared" si="10"/>
        <v>0</v>
      </c>
      <c r="O7" s="5">
        <f t="shared" si="11"/>
        <v>0</v>
      </c>
      <c r="P7" s="5">
        <f>Table1[[#This Row],[Enrolment S.Y. 2025-2026 ]]*8</f>
        <v>0</v>
      </c>
      <c r="Q7" s="5"/>
      <c r="R7" s="1"/>
      <c r="S7" s="5"/>
      <c r="T7" s="5">
        <f t="shared" si="12"/>
        <v>0</v>
      </c>
      <c r="U7" s="5">
        <f t="shared" si="13"/>
        <v>0</v>
      </c>
      <c r="V7" s="5">
        <f>Table1[[#This Row],[Enrolment S.Y. 2025-2026 ]]*8</f>
        <v>0</v>
      </c>
      <c r="W7" s="5"/>
      <c r="X7" s="1"/>
      <c r="Y7" s="5"/>
      <c r="Z7" s="5">
        <f t="shared" si="14"/>
        <v>0</v>
      </c>
      <c r="AA7" s="5">
        <f t="shared" si="15"/>
        <v>0</v>
      </c>
    </row>
    <row r="8" spans="1:27" ht="20.25">
      <c r="A8" s="1">
        <v>1</v>
      </c>
      <c r="B8" s="2" t="s">
        <v>12</v>
      </c>
      <c r="C8" s="1"/>
      <c r="D8" s="5">
        <f>Table1[[#This Row],[Enrolment S.Y. 2025-2026 ]]*8</f>
        <v>0</v>
      </c>
      <c r="E8" s="5"/>
      <c r="F8" s="1"/>
      <c r="G8" s="5"/>
      <c r="H8" s="5">
        <f t="shared" si="2"/>
        <v>0</v>
      </c>
      <c r="I8" s="5">
        <f t="shared" si="3"/>
        <v>0</v>
      </c>
      <c r="J8" s="5">
        <f>Table1[[#This Row],[Enrolment S.Y. 2025-2026 ]]*8</f>
        <v>0</v>
      </c>
      <c r="K8" s="5"/>
      <c r="L8" s="1"/>
      <c r="M8" s="5"/>
      <c r="N8" s="5">
        <f t="shared" si="10"/>
        <v>0</v>
      </c>
      <c r="O8" s="5">
        <f t="shared" si="11"/>
        <v>0</v>
      </c>
      <c r="P8" s="5">
        <f>Table1[[#This Row],[Enrolment S.Y. 2025-2026 ]]*8</f>
        <v>0</v>
      </c>
      <c r="Q8" s="5"/>
      <c r="R8" s="1"/>
      <c r="S8" s="5"/>
      <c r="T8" s="5">
        <f t="shared" si="12"/>
        <v>0</v>
      </c>
      <c r="U8" s="5">
        <f t="shared" si="13"/>
        <v>0</v>
      </c>
      <c r="V8" s="5">
        <f>Table1[[#This Row],[Enrolment S.Y. 2025-2026 ]]*8</f>
        <v>0</v>
      </c>
      <c r="W8" s="5"/>
      <c r="X8" s="1"/>
      <c r="Y8" s="5"/>
      <c r="Z8" s="5">
        <f t="shared" si="14"/>
        <v>0</v>
      </c>
      <c r="AA8" s="5">
        <f t="shared" si="15"/>
        <v>0</v>
      </c>
    </row>
    <row r="9" spans="1:27" ht="20.25">
      <c r="A9" s="1">
        <v>1</v>
      </c>
      <c r="B9" s="2" t="s">
        <v>13</v>
      </c>
      <c r="C9" s="1"/>
      <c r="D9" s="5">
        <f>Table1[[#This Row],[Enrolment S.Y. 2025-2026 ]]*8</f>
        <v>0</v>
      </c>
      <c r="E9" s="5"/>
      <c r="F9" s="1"/>
      <c r="G9" s="5"/>
      <c r="H9" s="5">
        <f t="shared" si="2"/>
        <v>0</v>
      </c>
      <c r="I9" s="5">
        <f t="shared" si="3"/>
        <v>0</v>
      </c>
      <c r="J9" s="5">
        <f>Table1[[#This Row],[Enrolment S.Y. 2025-2026 ]]*8</f>
        <v>0</v>
      </c>
      <c r="K9" s="5"/>
      <c r="L9" s="1"/>
      <c r="M9" s="5"/>
      <c r="N9" s="5">
        <f t="shared" si="10"/>
        <v>0</v>
      </c>
      <c r="O9" s="5">
        <f t="shared" si="11"/>
        <v>0</v>
      </c>
      <c r="P9" s="5">
        <f>Table1[[#This Row],[Enrolment S.Y. 2025-2026 ]]*8</f>
        <v>0</v>
      </c>
      <c r="Q9" s="5"/>
      <c r="R9" s="1"/>
      <c r="S9" s="5"/>
      <c r="T9" s="5">
        <f t="shared" si="12"/>
        <v>0</v>
      </c>
      <c r="U9" s="5">
        <f t="shared" si="13"/>
        <v>0</v>
      </c>
      <c r="V9" s="5">
        <f>Table1[[#This Row],[Enrolment S.Y. 2025-2026 ]]*8</f>
        <v>0</v>
      </c>
      <c r="W9" s="5"/>
      <c r="X9" s="1"/>
      <c r="Y9" s="5"/>
      <c r="Z9" s="5">
        <f t="shared" si="14"/>
        <v>0</v>
      </c>
      <c r="AA9" s="5">
        <f t="shared" si="15"/>
        <v>0</v>
      </c>
    </row>
    <row r="10" spans="1:27" ht="20.25">
      <c r="A10" s="1">
        <v>1</v>
      </c>
      <c r="B10" s="9" t="s">
        <v>15</v>
      </c>
      <c r="C10" s="1"/>
      <c r="D10" s="5">
        <f>Table1[[#This Row],[Enrolment S.Y. 2025-2026 ]]*8</f>
        <v>0</v>
      </c>
      <c r="E10" s="5"/>
      <c r="F10" s="1"/>
      <c r="G10" s="5"/>
      <c r="H10" s="5">
        <f>IF((D10-E10)&lt;0,0,(D10-E10))</f>
        <v>0</v>
      </c>
      <c r="I10" s="5">
        <f>IF((E10-D10)&lt;0,0,(E10-D10))</f>
        <v>0</v>
      </c>
      <c r="J10" s="5">
        <f>Table1[[#This Row],[Enrolment S.Y. 2025-2026 ]]*8</f>
        <v>0</v>
      </c>
      <c r="K10" s="5"/>
      <c r="L10" s="1"/>
      <c r="M10" s="5"/>
      <c r="N10" s="5">
        <f t="shared" si="10"/>
        <v>0</v>
      </c>
      <c r="O10" s="5">
        <f t="shared" si="11"/>
        <v>0</v>
      </c>
      <c r="P10" s="5">
        <f>Table1[[#This Row],[Enrolment S.Y. 2025-2026 ]]*8</f>
        <v>0</v>
      </c>
      <c r="Q10" s="5"/>
      <c r="R10" s="1"/>
      <c r="S10" s="5"/>
      <c r="T10" s="5">
        <f t="shared" si="12"/>
        <v>0</v>
      </c>
      <c r="U10" s="5">
        <f t="shared" si="13"/>
        <v>0</v>
      </c>
      <c r="V10" s="5">
        <f>Table1[[#This Row],[Enrolment S.Y. 2025-2026 ]]*8</f>
        <v>0</v>
      </c>
      <c r="W10" s="5"/>
      <c r="X10" s="1"/>
      <c r="Y10" s="5"/>
      <c r="Z10" s="5">
        <f t="shared" si="14"/>
        <v>0</v>
      </c>
      <c r="AA10" s="5">
        <f t="shared" si="15"/>
        <v>0</v>
      </c>
    </row>
    <row r="11" spans="1:27" ht="20.25">
      <c r="A11" s="1">
        <v>1</v>
      </c>
      <c r="B11" s="9" t="s">
        <v>16</v>
      </c>
      <c r="C11" s="1"/>
      <c r="D11" s="5">
        <f>Table1[[#This Row],[Enrolment S.Y. 2025-2026 ]]*8</f>
        <v>0</v>
      </c>
      <c r="E11" s="5"/>
      <c r="F11" s="1"/>
      <c r="G11" s="5"/>
      <c r="H11" s="5">
        <f>IF((D11-E11)&lt;0,0,(D11-E11))</f>
        <v>0</v>
      </c>
      <c r="I11" s="5">
        <f>IF((E11-D11)&lt;0,0,(E11-D11))</f>
        <v>0</v>
      </c>
      <c r="J11" s="5">
        <f>Table1[[#This Row],[Enrolment S.Y. 2025-2026 ]]*8</f>
        <v>0</v>
      </c>
      <c r="K11" s="5"/>
      <c r="L11" s="1"/>
      <c r="M11" s="5"/>
      <c r="N11" s="5">
        <f t="shared" si="10"/>
        <v>0</v>
      </c>
      <c r="O11" s="5">
        <f t="shared" si="11"/>
        <v>0</v>
      </c>
      <c r="P11" s="5">
        <f>Table1[[#This Row],[Enrolment S.Y. 2025-2026 ]]*8</f>
        <v>0</v>
      </c>
      <c r="Q11" s="5"/>
      <c r="R11" s="1"/>
      <c r="S11" s="5"/>
      <c r="T11" s="5">
        <f t="shared" si="12"/>
        <v>0</v>
      </c>
      <c r="U11" s="5">
        <f t="shared" si="13"/>
        <v>0</v>
      </c>
      <c r="V11" s="5">
        <f>Table1[[#This Row],[Enrolment S.Y. 2025-2026 ]]*8</f>
        <v>0</v>
      </c>
      <c r="W11" s="5"/>
      <c r="X11" s="1"/>
      <c r="Y11" s="5"/>
      <c r="Z11" s="5">
        <f t="shared" si="14"/>
        <v>0</v>
      </c>
      <c r="AA11" s="5">
        <f t="shared" si="15"/>
        <v>0</v>
      </c>
    </row>
    <row r="12" spans="1:27" ht="20.25">
      <c r="A12" s="1">
        <v>1</v>
      </c>
      <c r="B12" s="9" t="s">
        <v>50</v>
      </c>
      <c r="C12" s="1"/>
      <c r="D12" s="5">
        <f>Table1[[#This Row],[Enrolment S.Y. 2025-2026 ]]*8</f>
        <v>0</v>
      </c>
      <c r="E12" s="5"/>
      <c r="F12" s="1"/>
      <c r="G12" s="5"/>
      <c r="H12" s="5">
        <f>IF((D12-E12)&lt;0,0,(D12-E12))</f>
        <v>0</v>
      </c>
      <c r="I12" s="5">
        <f>IF((E12-D12)&lt;0,0,(E12-D12))</f>
        <v>0</v>
      </c>
      <c r="J12" s="5">
        <f>Table1[[#This Row],[Enrolment S.Y. 2025-2026 ]]*8</f>
        <v>0</v>
      </c>
      <c r="K12" s="5"/>
      <c r="L12" s="1"/>
      <c r="M12" s="5"/>
      <c r="N12" s="5">
        <f t="shared" si="10"/>
        <v>0</v>
      </c>
      <c r="O12" s="5">
        <f t="shared" si="11"/>
        <v>0</v>
      </c>
      <c r="P12" s="5">
        <f>Table1[[#This Row],[Enrolment S.Y. 2025-2026 ]]*8</f>
        <v>0</v>
      </c>
      <c r="Q12" s="5"/>
      <c r="R12" s="1"/>
      <c r="S12" s="5"/>
      <c r="T12" s="5">
        <f t="shared" si="12"/>
        <v>0</v>
      </c>
      <c r="U12" s="5">
        <f t="shared" si="13"/>
        <v>0</v>
      </c>
      <c r="V12" s="5">
        <f>Table1[[#This Row],[Enrolment S.Y. 2025-2026 ]]*8</f>
        <v>0</v>
      </c>
      <c r="W12" s="5"/>
      <c r="X12" s="1"/>
      <c r="Y12" s="5"/>
      <c r="Z12" s="5">
        <f t="shared" si="14"/>
        <v>0</v>
      </c>
      <c r="AA12" s="5">
        <f t="shared" si="15"/>
        <v>0</v>
      </c>
    </row>
    <row r="13" spans="1:27" s="7" customFormat="1" ht="20.25">
      <c r="J13" s="10"/>
      <c r="N13" s="10"/>
      <c r="O13" s="10"/>
      <c r="P13" s="10"/>
      <c r="S13" s="5"/>
      <c r="T13" s="10"/>
      <c r="U13" s="10"/>
      <c r="V13" s="10"/>
      <c r="Y13" s="10"/>
      <c r="Z13" s="10"/>
      <c r="AA13" s="10"/>
    </row>
    <row r="14" spans="1:27" ht="34.5">
      <c r="A14" s="1">
        <v>2</v>
      </c>
      <c r="B14" s="2" t="s">
        <v>8</v>
      </c>
      <c r="C14" s="1"/>
      <c r="D14" s="5">
        <f>Table1[[#This Row],[Enrolment S.Y. 2025-2026 ]]*8</f>
        <v>0</v>
      </c>
      <c r="E14" s="5"/>
      <c r="F14" s="1"/>
      <c r="G14" s="5"/>
      <c r="H14" s="5">
        <f t="shared" si="2"/>
        <v>0</v>
      </c>
      <c r="I14" s="5">
        <f t="shared" si="3"/>
        <v>0</v>
      </c>
      <c r="J14" s="5">
        <f>Table1[[#This Row],[Enrolment S.Y. 2025-2026 ]]*8</f>
        <v>0</v>
      </c>
      <c r="K14" s="5"/>
      <c r="L14" s="1"/>
      <c r="M14" s="5"/>
      <c r="N14" s="5">
        <f t="shared" si="10"/>
        <v>0</v>
      </c>
      <c r="O14" s="5">
        <f t="shared" si="11"/>
        <v>0</v>
      </c>
      <c r="P14" s="5">
        <f>Table1[[#This Row],[Enrolment S.Y. 2025-2026 ]]*8</f>
        <v>0</v>
      </c>
      <c r="Q14" s="5"/>
      <c r="R14" s="1"/>
      <c r="S14" s="5"/>
      <c r="T14" s="5">
        <f t="shared" si="12"/>
        <v>0</v>
      </c>
      <c r="U14" s="5">
        <f t="shared" si="13"/>
        <v>0</v>
      </c>
      <c r="V14" s="5">
        <f>Table1[[#This Row],[Enrolment S.Y. 2025-2026 ]]*8</f>
        <v>0</v>
      </c>
      <c r="W14" s="5"/>
      <c r="X14" s="1"/>
      <c r="Y14" s="5"/>
      <c r="Z14" s="5">
        <f t="shared" si="14"/>
        <v>0</v>
      </c>
      <c r="AA14" s="5">
        <f t="shared" si="15"/>
        <v>0</v>
      </c>
    </row>
    <row r="15" spans="1:27" ht="20.25">
      <c r="A15" s="1">
        <v>2</v>
      </c>
      <c r="B15" s="2" t="s">
        <v>10</v>
      </c>
      <c r="C15" s="1"/>
      <c r="D15" s="5">
        <f>Table1[[#This Row],[Enrolment S.Y. 2025-2026 ]]*8</f>
        <v>0</v>
      </c>
      <c r="E15" s="5"/>
      <c r="F15" s="1"/>
      <c r="G15" s="5"/>
      <c r="H15" s="5">
        <f t="shared" si="2"/>
        <v>0</v>
      </c>
      <c r="I15" s="5">
        <f t="shared" si="3"/>
        <v>0</v>
      </c>
      <c r="J15" s="5">
        <f>Table1[[#This Row],[Enrolment S.Y. 2025-2026 ]]*8</f>
        <v>0</v>
      </c>
      <c r="K15" s="5"/>
      <c r="L15" s="1"/>
      <c r="M15" s="5"/>
      <c r="N15" s="5">
        <f t="shared" si="10"/>
        <v>0</v>
      </c>
      <c r="O15" s="5">
        <f t="shared" si="11"/>
        <v>0</v>
      </c>
      <c r="P15" s="5">
        <f>Table1[[#This Row],[Enrolment S.Y. 2025-2026 ]]*8</f>
        <v>0</v>
      </c>
      <c r="Q15" s="5"/>
      <c r="R15" s="1"/>
      <c r="S15" s="5"/>
      <c r="T15" s="5">
        <f t="shared" si="12"/>
        <v>0</v>
      </c>
      <c r="U15" s="5">
        <f t="shared" si="13"/>
        <v>0</v>
      </c>
      <c r="V15" s="5">
        <f>Table1[[#This Row],[Enrolment S.Y. 2025-2026 ]]*8</f>
        <v>0</v>
      </c>
      <c r="W15" s="5"/>
      <c r="X15" s="1"/>
      <c r="Y15" s="5"/>
      <c r="Z15" s="5">
        <f t="shared" si="14"/>
        <v>0</v>
      </c>
      <c r="AA15" s="5">
        <f t="shared" si="15"/>
        <v>0</v>
      </c>
    </row>
    <row r="16" spans="1:27" ht="20.25">
      <c r="A16" s="1">
        <v>2</v>
      </c>
      <c r="B16" s="2" t="s">
        <v>11</v>
      </c>
      <c r="C16" s="1"/>
      <c r="D16" s="5">
        <f>Table1[[#This Row],[Enrolment S.Y. 2025-2026 ]]*8</f>
        <v>0</v>
      </c>
      <c r="E16" s="5"/>
      <c r="F16" s="1"/>
      <c r="G16" s="5"/>
      <c r="H16" s="5">
        <f t="shared" si="2"/>
        <v>0</v>
      </c>
      <c r="I16" s="5">
        <f t="shared" si="3"/>
        <v>0</v>
      </c>
      <c r="J16" s="5">
        <f>Table1[[#This Row],[Enrolment S.Y. 2025-2026 ]]*8</f>
        <v>0</v>
      </c>
      <c r="K16" s="5"/>
      <c r="L16" s="1"/>
      <c r="M16" s="5"/>
      <c r="N16" s="5">
        <f t="shared" si="10"/>
        <v>0</v>
      </c>
      <c r="O16" s="5">
        <f t="shared" si="11"/>
        <v>0</v>
      </c>
      <c r="P16" s="5">
        <f>Table1[[#This Row],[Enrolment S.Y. 2025-2026 ]]*8</f>
        <v>0</v>
      </c>
      <c r="Q16" s="5"/>
      <c r="R16" s="1"/>
      <c r="S16" s="5"/>
      <c r="T16" s="5">
        <f t="shared" si="12"/>
        <v>0</v>
      </c>
      <c r="U16" s="5">
        <f t="shared" si="13"/>
        <v>0</v>
      </c>
      <c r="V16" s="5">
        <f>Table1[[#This Row],[Enrolment S.Y. 2025-2026 ]]*8</f>
        <v>0</v>
      </c>
      <c r="W16" s="5"/>
      <c r="X16" s="1"/>
      <c r="Y16" s="5"/>
      <c r="Z16" s="5">
        <f t="shared" si="14"/>
        <v>0</v>
      </c>
      <c r="AA16" s="5">
        <f t="shared" si="15"/>
        <v>0</v>
      </c>
    </row>
    <row r="17" spans="1:27" ht="20.25">
      <c r="A17" s="1">
        <v>2</v>
      </c>
      <c r="B17" s="2" t="s">
        <v>12</v>
      </c>
      <c r="C17" s="1"/>
      <c r="D17" s="5">
        <f>Table1[[#This Row],[Enrolment S.Y. 2025-2026 ]]*8</f>
        <v>0</v>
      </c>
      <c r="E17" s="5"/>
      <c r="F17" s="1"/>
      <c r="G17" s="5"/>
      <c r="H17" s="5">
        <f t="shared" si="2"/>
        <v>0</v>
      </c>
      <c r="I17" s="5">
        <f t="shared" si="3"/>
        <v>0</v>
      </c>
      <c r="J17" s="5">
        <f>Table1[[#This Row],[Enrolment S.Y. 2025-2026 ]]*8</f>
        <v>0</v>
      </c>
      <c r="K17" s="5"/>
      <c r="L17" s="1"/>
      <c r="M17" s="5"/>
      <c r="N17" s="5">
        <f t="shared" si="10"/>
        <v>0</v>
      </c>
      <c r="O17" s="5">
        <f t="shared" si="11"/>
        <v>0</v>
      </c>
      <c r="P17" s="5">
        <f>Table1[[#This Row],[Enrolment S.Y. 2025-2026 ]]*8</f>
        <v>0</v>
      </c>
      <c r="Q17" s="5"/>
      <c r="R17" s="1"/>
      <c r="S17" s="5"/>
      <c r="T17" s="5">
        <f t="shared" si="12"/>
        <v>0</v>
      </c>
      <c r="U17" s="5">
        <f t="shared" si="13"/>
        <v>0</v>
      </c>
      <c r="V17" s="5">
        <f>Table1[[#This Row],[Enrolment S.Y. 2025-2026 ]]*8</f>
        <v>0</v>
      </c>
      <c r="W17" s="5"/>
      <c r="X17" s="1"/>
      <c r="Y17" s="5"/>
      <c r="Z17" s="5">
        <f t="shared" si="14"/>
        <v>0</v>
      </c>
      <c r="AA17" s="5">
        <f t="shared" si="15"/>
        <v>0</v>
      </c>
    </row>
    <row r="18" spans="1:27" ht="20.25">
      <c r="A18" s="1">
        <v>2</v>
      </c>
      <c r="B18" s="2" t="s">
        <v>13</v>
      </c>
      <c r="C18" s="1"/>
      <c r="D18" s="5">
        <f>Table1[[#This Row],[Enrolment S.Y. 2025-2026 ]]*8</f>
        <v>0</v>
      </c>
      <c r="E18" s="5"/>
      <c r="F18" s="1"/>
      <c r="G18" s="5"/>
      <c r="H18" s="5">
        <f t="shared" si="2"/>
        <v>0</v>
      </c>
      <c r="I18" s="5">
        <f t="shared" si="3"/>
        <v>0</v>
      </c>
      <c r="J18" s="5">
        <f>Table1[[#This Row],[Enrolment S.Y. 2025-2026 ]]*8</f>
        <v>0</v>
      </c>
      <c r="K18" s="5"/>
      <c r="L18" s="1"/>
      <c r="M18" s="5"/>
      <c r="N18" s="5">
        <f t="shared" si="10"/>
        <v>0</v>
      </c>
      <c r="O18" s="5">
        <f t="shared" si="11"/>
        <v>0</v>
      </c>
      <c r="P18" s="5">
        <f>Table1[[#This Row],[Enrolment S.Y. 2025-2026 ]]*8</f>
        <v>0</v>
      </c>
      <c r="Q18" s="5"/>
      <c r="R18" s="1"/>
      <c r="S18" s="5"/>
      <c r="T18" s="5">
        <f t="shared" si="12"/>
        <v>0</v>
      </c>
      <c r="U18" s="5">
        <f t="shared" si="13"/>
        <v>0</v>
      </c>
      <c r="V18" s="5">
        <f>Table1[[#This Row],[Enrolment S.Y. 2025-2026 ]]*8</f>
        <v>0</v>
      </c>
      <c r="W18" s="5"/>
      <c r="X18" s="1"/>
      <c r="Y18" s="5"/>
      <c r="Z18" s="5">
        <f t="shared" si="14"/>
        <v>0</v>
      </c>
      <c r="AA18" s="5">
        <f t="shared" si="15"/>
        <v>0</v>
      </c>
    </row>
    <row r="19" spans="1:27" ht="20.25">
      <c r="A19" s="1">
        <v>2</v>
      </c>
      <c r="B19" s="9" t="s">
        <v>16</v>
      </c>
      <c r="C19" s="1"/>
      <c r="D19" s="5">
        <f>Table1[[#This Row],[Enrolment S.Y. 2025-2026 ]]*8</f>
        <v>0</v>
      </c>
      <c r="E19" s="5"/>
      <c r="F19" s="1"/>
      <c r="G19" s="5"/>
      <c r="H19" s="5">
        <f>IF((D19-E19)&lt;0,0,(D19-E19))</f>
        <v>0</v>
      </c>
      <c r="I19" s="5">
        <f>IF((E19-D19)&lt;0,0,(E19-D19))</f>
        <v>0</v>
      </c>
      <c r="J19" s="5">
        <f>Table1[[#This Row],[Enrolment S.Y. 2025-2026 ]]*8</f>
        <v>0</v>
      </c>
      <c r="K19" s="5"/>
      <c r="L19" s="1"/>
      <c r="M19" s="5"/>
      <c r="N19" s="5">
        <f t="shared" si="10"/>
        <v>0</v>
      </c>
      <c r="O19" s="5">
        <f t="shared" si="11"/>
        <v>0</v>
      </c>
      <c r="P19" s="5">
        <f>Table1[[#This Row],[Enrolment S.Y. 2025-2026 ]]*8</f>
        <v>0</v>
      </c>
      <c r="Q19" s="5"/>
      <c r="R19" s="1"/>
      <c r="S19" s="5"/>
      <c r="T19" s="5">
        <f t="shared" si="12"/>
        <v>0</v>
      </c>
      <c r="U19" s="5">
        <f t="shared" si="13"/>
        <v>0</v>
      </c>
      <c r="V19" s="5">
        <f>Table1[[#This Row],[Enrolment S.Y. 2025-2026 ]]*8</f>
        <v>0</v>
      </c>
      <c r="W19" s="5"/>
      <c r="X19" s="1"/>
      <c r="Y19" s="5"/>
      <c r="Z19" s="5">
        <f t="shared" si="14"/>
        <v>0</v>
      </c>
      <c r="AA19" s="5">
        <f t="shared" si="15"/>
        <v>0</v>
      </c>
    </row>
    <row r="20" spans="1:27" ht="20.25">
      <c r="A20" s="1">
        <v>2</v>
      </c>
      <c r="B20" s="9" t="s">
        <v>15</v>
      </c>
      <c r="C20" s="1"/>
      <c r="D20" s="5">
        <f>Table1[[#This Row],[Enrolment S.Y. 2025-2026 ]]*8</f>
        <v>0</v>
      </c>
      <c r="E20" s="5"/>
      <c r="F20" s="1"/>
      <c r="G20" s="5"/>
      <c r="H20" s="5">
        <f>IF((D20-E20)&lt;0,0,(D20-E20))</f>
        <v>0</v>
      </c>
      <c r="I20" s="5">
        <f>IF((E20-D20)&lt;0,0,(E20-D20))</f>
        <v>0</v>
      </c>
      <c r="J20" s="5">
        <f>Table1[[#This Row],[Enrolment S.Y. 2025-2026 ]]*8</f>
        <v>0</v>
      </c>
      <c r="K20" s="5"/>
      <c r="L20" s="1"/>
      <c r="M20" s="5"/>
      <c r="N20" s="5">
        <f t="shared" si="10"/>
        <v>0</v>
      </c>
      <c r="O20" s="5">
        <f t="shared" si="11"/>
        <v>0</v>
      </c>
      <c r="P20" s="5">
        <f>Table1[[#This Row],[Enrolment S.Y. 2025-2026 ]]*8</f>
        <v>0</v>
      </c>
      <c r="Q20" s="5"/>
      <c r="R20" s="1"/>
      <c r="S20" s="5"/>
      <c r="T20" s="5">
        <f t="shared" si="12"/>
        <v>0</v>
      </c>
      <c r="U20" s="5">
        <f t="shared" si="13"/>
        <v>0</v>
      </c>
      <c r="V20" s="5">
        <f>Table1[[#This Row],[Enrolment S.Y. 2025-2026 ]]*8</f>
        <v>0</v>
      </c>
      <c r="W20" s="5"/>
      <c r="X20" s="1"/>
      <c r="Y20" s="5"/>
      <c r="Z20" s="5">
        <f t="shared" si="14"/>
        <v>0</v>
      </c>
      <c r="AA20" s="5">
        <f t="shared" si="15"/>
        <v>0</v>
      </c>
    </row>
    <row r="21" spans="1:27" ht="20.25">
      <c r="A21" s="1">
        <v>2</v>
      </c>
      <c r="B21" s="9" t="s">
        <v>50</v>
      </c>
      <c r="C21" s="1"/>
      <c r="D21" s="5">
        <f>Table1[[#This Row],[Enrolment S.Y. 2025-2026 ]]*8</f>
        <v>0</v>
      </c>
      <c r="E21" s="5"/>
      <c r="F21" s="1"/>
      <c r="G21" s="5"/>
      <c r="H21" s="5">
        <f>IF((D21-E21)&lt;0,0,(D21-E21))</f>
        <v>0</v>
      </c>
      <c r="I21" s="5">
        <f>IF((E21-D21)&lt;0,0,(E21-D21))</f>
        <v>0</v>
      </c>
      <c r="J21" s="5">
        <f>Table1[[#This Row],[Enrolment S.Y. 2025-2026 ]]*8</f>
        <v>0</v>
      </c>
      <c r="K21" s="5"/>
      <c r="L21" s="1"/>
      <c r="M21" s="5"/>
      <c r="N21" s="5">
        <f t="shared" si="10"/>
        <v>0</v>
      </c>
      <c r="O21" s="5">
        <f t="shared" si="11"/>
        <v>0</v>
      </c>
      <c r="P21" s="5">
        <f>Table1[[#This Row],[Enrolment S.Y. 2025-2026 ]]*8</f>
        <v>0</v>
      </c>
      <c r="Q21" s="5"/>
      <c r="R21" s="1"/>
      <c r="S21" s="5"/>
      <c r="T21" s="5">
        <f t="shared" si="12"/>
        <v>0</v>
      </c>
      <c r="U21" s="5">
        <f t="shared" si="13"/>
        <v>0</v>
      </c>
      <c r="V21" s="5">
        <f>Table1[[#This Row],[Enrolment S.Y. 2025-2026 ]]*8</f>
        <v>0</v>
      </c>
      <c r="W21" s="5"/>
      <c r="X21" s="1"/>
      <c r="Y21" s="5"/>
      <c r="Z21" s="5">
        <f t="shared" si="14"/>
        <v>0</v>
      </c>
      <c r="AA21" s="5">
        <f t="shared" si="15"/>
        <v>0</v>
      </c>
    </row>
    <row r="22" spans="1:27" s="7" customFormat="1" ht="20.25">
      <c r="J22" s="10"/>
      <c r="M22" s="5"/>
      <c r="N22" s="10"/>
      <c r="O22" s="10"/>
      <c r="P22" s="10"/>
      <c r="S22" s="5"/>
      <c r="T22" s="10"/>
      <c r="U22" s="10"/>
      <c r="V22" s="10"/>
      <c r="Y22" s="5"/>
      <c r="Z22" s="10"/>
      <c r="AA22" s="10"/>
    </row>
    <row r="23" spans="1:27" ht="34.5">
      <c r="A23" s="1">
        <v>3</v>
      </c>
      <c r="B23" s="2" t="s">
        <v>8</v>
      </c>
      <c r="C23" s="1"/>
      <c r="D23" s="5">
        <f>Table1[[#This Row],[Enrolment S.Y. 2025-2026 ]]*8</f>
        <v>0</v>
      </c>
      <c r="E23" s="5"/>
      <c r="F23" s="1"/>
      <c r="G23" s="5"/>
      <c r="H23" s="5">
        <f t="shared" si="2"/>
        <v>0</v>
      </c>
      <c r="I23" s="5">
        <f t="shared" si="3"/>
        <v>0</v>
      </c>
      <c r="J23" s="5">
        <f>Table1[[#This Row],[Enrolment S.Y. 2025-2026 ]]*8</f>
        <v>0</v>
      </c>
      <c r="K23" s="5"/>
      <c r="L23" s="1"/>
      <c r="M23" s="5"/>
      <c r="N23" s="5">
        <f t="shared" si="10"/>
        <v>0</v>
      </c>
      <c r="O23" s="5">
        <f t="shared" si="11"/>
        <v>0</v>
      </c>
      <c r="P23" s="5">
        <f>Table1[[#This Row],[Enrolment S.Y. 2025-2026 ]]*8</f>
        <v>0</v>
      </c>
      <c r="Q23" s="5"/>
      <c r="R23" s="1"/>
      <c r="S23" s="5"/>
      <c r="T23" s="5">
        <f t="shared" si="12"/>
        <v>0</v>
      </c>
      <c r="U23" s="5">
        <f t="shared" si="13"/>
        <v>0</v>
      </c>
      <c r="V23" s="5">
        <f>Table1[[#This Row],[Enrolment S.Y. 2025-2026 ]]*8</f>
        <v>0</v>
      </c>
      <c r="W23" s="5"/>
      <c r="X23" s="1"/>
      <c r="Y23" s="5"/>
      <c r="Z23" s="5">
        <f t="shared" si="14"/>
        <v>0</v>
      </c>
      <c r="AA23" s="5">
        <f t="shared" si="15"/>
        <v>0</v>
      </c>
    </row>
    <row r="24" spans="1:27" ht="20.25">
      <c r="A24" s="1">
        <v>3</v>
      </c>
      <c r="B24" s="2" t="s">
        <v>10</v>
      </c>
      <c r="C24" s="1"/>
      <c r="D24" s="5">
        <f>Table1[[#This Row],[Enrolment S.Y. 2025-2026 ]]*8</f>
        <v>0</v>
      </c>
      <c r="E24" s="5"/>
      <c r="F24" s="1"/>
      <c r="G24" s="5"/>
      <c r="H24" s="5">
        <f t="shared" si="2"/>
        <v>0</v>
      </c>
      <c r="I24" s="5">
        <f t="shared" si="3"/>
        <v>0</v>
      </c>
      <c r="J24" s="5">
        <f>Table1[[#This Row],[Enrolment S.Y. 2025-2026 ]]*8</f>
        <v>0</v>
      </c>
      <c r="K24" s="5"/>
      <c r="L24" s="1"/>
      <c r="M24" s="5"/>
      <c r="N24" s="5">
        <f t="shared" si="10"/>
        <v>0</v>
      </c>
      <c r="O24" s="5">
        <f t="shared" si="11"/>
        <v>0</v>
      </c>
      <c r="P24" s="5">
        <f>Table1[[#This Row],[Enrolment S.Y. 2025-2026 ]]*8</f>
        <v>0</v>
      </c>
      <c r="Q24" s="5"/>
      <c r="R24" s="1"/>
      <c r="S24" s="5"/>
      <c r="T24" s="5">
        <f t="shared" si="12"/>
        <v>0</v>
      </c>
      <c r="U24" s="5">
        <f t="shared" si="13"/>
        <v>0</v>
      </c>
      <c r="V24" s="5">
        <f>Table1[[#This Row],[Enrolment S.Y. 2025-2026 ]]*8</f>
        <v>0</v>
      </c>
      <c r="W24" s="5"/>
      <c r="X24" s="1"/>
      <c r="Y24" s="5"/>
      <c r="Z24" s="5">
        <f t="shared" si="14"/>
        <v>0</v>
      </c>
      <c r="AA24" s="5">
        <f t="shared" si="15"/>
        <v>0</v>
      </c>
    </row>
    <row r="25" spans="1:27" ht="20.25">
      <c r="A25" s="1">
        <v>3</v>
      </c>
      <c r="B25" s="2" t="s">
        <v>11</v>
      </c>
      <c r="C25" s="1"/>
      <c r="D25" s="5">
        <f>Table1[[#This Row],[Enrolment S.Y. 2025-2026 ]]*8</f>
        <v>0</v>
      </c>
      <c r="E25" s="5"/>
      <c r="F25" s="1"/>
      <c r="G25" s="5"/>
      <c r="H25" s="5">
        <f t="shared" si="2"/>
        <v>0</v>
      </c>
      <c r="I25" s="5">
        <f t="shared" si="3"/>
        <v>0</v>
      </c>
      <c r="J25" s="5">
        <f>Table1[[#This Row],[Enrolment S.Y. 2025-2026 ]]*8</f>
        <v>0</v>
      </c>
      <c r="K25" s="5"/>
      <c r="L25" s="1"/>
      <c r="M25" s="5"/>
      <c r="N25" s="5">
        <f t="shared" si="10"/>
        <v>0</v>
      </c>
      <c r="O25" s="5">
        <f t="shared" si="11"/>
        <v>0</v>
      </c>
      <c r="P25" s="5">
        <f>Table1[[#This Row],[Enrolment S.Y. 2025-2026 ]]*8</f>
        <v>0</v>
      </c>
      <c r="Q25" s="5"/>
      <c r="R25" s="1"/>
      <c r="S25" s="5"/>
      <c r="T25" s="5">
        <f t="shared" si="12"/>
        <v>0</v>
      </c>
      <c r="U25" s="5">
        <f t="shared" si="13"/>
        <v>0</v>
      </c>
      <c r="V25" s="5">
        <f>Table1[[#This Row],[Enrolment S.Y. 2025-2026 ]]*8</f>
        <v>0</v>
      </c>
      <c r="W25" s="5"/>
      <c r="X25" s="1"/>
      <c r="Y25" s="5"/>
      <c r="Z25" s="5">
        <f t="shared" si="14"/>
        <v>0</v>
      </c>
      <c r="AA25" s="5">
        <f t="shared" si="15"/>
        <v>0</v>
      </c>
    </row>
    <row r="26" spans="1:27" ht="20.25">
      <c r="A26" s="1">
        <v>3</v>
      </c>
      <c r="B26" s="2" t="s">
        <v>14</v>
      </c>
      <c r="C26" s="1"/>
      <c r="D26" s="5">
        <f>Table1[[#This Row],[Enrolment S.Y. 2025-2026 ]]*8</f>
        <v>0</v>
      </c>
      <c r="E26" s="5"/>
      <c r="F26" s="1"/>
      <c r="G26" s="5"/>
      <c r="H26" s="5">
        <f t="shared" si="2"/>
        <v>0</v>
      </c>
      <c r="I26" s="5">
        <f t="shared" si="3"/>
        <v>0</v>
      </c>
      <c r="J26" s="5">
        <f>Table1[[#This Row],[Enrolment S.Y. 2025-2026 ]]*8</f>
        <v>0</v>
      </c>
      <c r="K26" s="5"/>
      <c r="L26" s="1"/>
      <c r="M26" s="5"/>
      <c r="N26" s="5">
        <f t="shared" si="10"/>
        <v>0</v>
      </c>
      <c r="O26" s="5">
        <f t="shared" si="11"/>
        <v>0</v>
      </c>
      <c r="P26" s="5">
        <f>Table1[[#This Row],[Enrolment S.Y. 2025-2026 ]]*8</f>
        <v>0</v>
      </c>
      <c r="Q26" s="5"/>
      <c r="R26" s="1"/>
      <c r="S26" s="5"/>
      <c r="T26" s="5">
        <f t="shared" si="12"/>
        <v>0</v>
      </c>
      <c r="U26" s="5">
        <f t="shared" si="13"/>
        <v>0</v>
      </c>
      <c r="V26" s="5">
        <f>Table1[[#This Row],[Enrolment S.Y. 2025-2026 ]]*8</f>
        <v>0</v>
      </c>
      <c r="W26" s="5"/>
      <c r="X26" s="1"/>
      <c r="Y26" s="5"/>
      <c r="Z26" s="5">
        <f t="shared" si="14"/>
        <v>0</v>
      </c>
      <c r="AA26" s="5">
        <f t="shared" si="15"/>
        <v>0</v>
      </c>
    </row>
    <row r="27" spans="1:27" ht="20.25">
      <c r="A27" s="1">
        <v>3</v>
      </c>
      <c r="B27" s="2" t="s">
        <v>12</v>
      </c>
      <c r="C27" s="1"/>
      <c r="D27" s="5">
        <f>Table1[[#This Row],[Enrolment S.Y. 2025-2026 ]]*8</f>
        <v>0</v>
      </c>
      <c r="E27" s="5"/>
      <c r="F27" s="1"/>
      <c r="G27" s="5"/>
      <c r="H27" s="5">
        <f t="shared" si="2"/>
        <v>0</v>
      </c>
      <c r="I27" s="5">
        <f t="shared" si="3"/>
        <v>0</v>
      </c>
      <c r="J27" s="5">
        <f>Table1[[#This Row],[Enrolment S.Y. 2025-2026 ]]*8</f>
        <v>0</v>
      </c>
      <c r="K27" s="5"/>
      <c r="L27" s="1"/>
      <c r="M27" s="5"/>
      <c r="N27" s="5">
        <f t="shared" si="10"/>
        <v>0</v>
      </c>
      <c r="O27" s="5">
        <f t="shared" si="11"/>
        <v>0</v>
      </c>
      <c r="P27" s="5">
        <f>Table1[[#This Row],[Enrolment S.Y. 2025-2026 ]]*8</f>
        <v>0</v>
      </c>
      <c r="Q27" s="5"/>
      <c r="R27" s="1"/>
      <c r="S27" s="5"/>
      <c r="T27" s="5">
        <f t="shared" si="12"/>
        <v>0</v>
      </c>
      <c r="U27" s="5">
        <f t="shared" si="13"/>
        <v>0</v>
      </c>
      <c r="V27" s="5">
        <f>Table1[[#This Row],[Enrolment S.Y. 2025-2026 ]]*8</f>
        <v>0</v>
      </c>
      <c r="W27" s="5"/>
      <c r="X27" s="1"/>
      <c r="Y27" s="5"/>
      <c r="Z27" s="5">
        <f t="shared" si="14"/>
        <v>0</v>
      </c>
      <c r="AA27" s="5">
        <f t="shared" si="15"/>
        <v>0</v>
      </c>
    </row>
    <row r="28" spans="1:27" ht="20.25">
      <c r="A28" s="1">
        <v>3</v>
      </c>
      <c r="B28" s="2" t="s">
        <v>13</v>
      </c>
      <c r="C28" s="1"/>
      <c r="D28" s="5">
        <f>Table1[[#This Row],[Enrolment S.Y. 2025-2026 ]]*8</f>
        <v>0</v>
      </c>
      <c r="E28" s="5"/>
      <c r="F28" s="1"/>
      <c r="G28" s="5"/>
      <c r="H28" s="5">
        <f t="shared" si="2"/>
        <v>0</v>
      </c>
      <c r="I28" s="5">
        <f t="shared" si="3"/>
        <v>0</v>
      </c>
      <c r="J28" s="5">
        <f>Table1[[#This Row],[Enrolment S.Y. 2025-2026 ]]*8</f>
        <v>0</v>
      </c>
      <c r="K28" s="5"/>
      <c r="L28" s="1"/>
      <c r="M28" s="5"/>
      <c r="N28" s="5">
        <f t="shared" si="10"/>
        <v>0</v>
      </c>
      <c r="O28" s="5">
        <f t="shared" si="11"/>
        <v>0</v>
      </c>
      <c r="P28" s="5">
        <f>Table1[[#This Row],[Enrolment S.Y. 2025-2026 ]]*8</f>
        <v>0</v>
      </c>
      <c r="Q28" s="5"/>
      <c r="R28" s="1"/>
      <c r="S28" s="5"/>
      <c r="T28" s="5">
        <f t="shared" si="12"/>
        <v>0</v>
      </c>
      <c r="U28" s="5">
        <f t="shared" si="13"/>
        <v>0</v>
      </c>
      <c r="V28" s="5">
        <f>Table1[[#This Row],[Enrolment S.Y. 2025-2026 ]]*8</f>
        <v>0</v>
      </c>
      <c r="W28" s="5"/>
      <c r="X28" s="1"/>
      <c r="Y28" s="5"/>
      <c r="Z28" s="5">
        <f t="shared" si="14"/>
        <v>0</v>
      </c>
      <c r="AA28" s="5">
        <f t="shared" si="15"/>
        <v>0</v>
      </c>
    </row>
    <row r="29" spans="1:27" ht="20.25">
      <c r="A29" s="1">
        <v>3</v>
      </c>
      <c r="B29" s="9" t="s">
        <v>15</v>
      </c>
      <c r="C29" s="1"/>
      <c r="D29" s="5">
        <f>Table1[[#This Row],[Enrolment S.Y. 2025-2026 ]]*8</f>
        <v>0</v>
      </c>
      <c r="E29" s="5"/>
      <c r="F29" s="1"/>
      <c r="G29" s="5"/>
      <c r="H29" s="5">
        <f>IF((D29-E29)&lt;0,0,(D29-E29))</f>
        <v>0</v>
      </c>
      <c r="I29" s="5">
        <f>IF((E29-D29)&lt;0,0,(E29-D29))</f>
        <v>0</v>
      </c>
      <c r="J29" s="5">
        <f>Table1[[#This Row],[Enrolment S.Y. 2025-2026 ]]*8</f>
        <v>0</v>
      </c>
      <c r="K29" s="5"/>
      <c r="L29" s="1"/>
      <c r="M29" s="5"/>
      <c r="N29" s="5">
        <f t="shared" si="10"/>
        <v>0</v>
      </c>
      <c r="O29" s="5">
        <f t="shared" si="11"/>
        <v>0</v>
      </c>
      <c r="P29" s="5">
        <f>Table1[[#This Row],[Enrolment S.Y. 2025-2026 ]]*8</f>
        <v>0</v>
      </c>
      <c r="Q29" s="5"/>
      <c r="R29" s="1"/>
      <c r="S29" s="5"/>
      <c r="T29" s="5">
        <f t="shared" si="12"/>
        <v>0</v>
      </c>
      <c r="U29" s="5">
        <f t="shared" si="13"/>
        <v>0</v>
      </c>
      <c r="V29" s="5">
        <f>Table1[[#This Row],[Enrolment S.Y. 2025-2026 ]]*8</f>
        <v>0</v>
      </c>
      <c r="W29" s="5"/>
      <c r="X29" s="1"/>
      <c r="Y29" s="5"/>
      <c r="Z29" s="5">
        <f t="shared" si="14"/>
        <v>0</v>
      </c>
      <c r="AA29" s="5">
        <f t="shared" si="15"/>
        <v>0</v>
      </c>
    </row>
    <row r="30" spans="1:27" ht="20.25">
      <c r="A30" s="1">
        <v>3</v>
      </c>
      <c r="B30" s="9" t="s">
        <v>16</v>
      </c>
      <c r="C30" s="1"/>
      <c r="D30" s="5">
        <f>Table1[[#This Row],[Enrolment S.Y. 2025-2026 ]]*8</f>
        <v>0</v>
      </c>
      <c r="E30" s="5"/>
      <c r="F30" s="1"/>
      <c r="G30" s="5"/>
      <c r="H30" s="5">
        <f>IF((D30-E30)&lt;0,0,(D30-E30))</f>
        <v>0</v>
      </c>
      <c r="I30" s="5">
        <f>IF((E30-D30)&lt;0,0,(E30-D30))</f>
        <v>0</v>
      </c>
      <c r="J30" s="5">
        <f>Table1[[#This Row],[Enrolment S.Y. 2025-2026 ]]*8</f>
        <v>0</v>
      </c>
      <c r="K30" s="5"/>
      <c r="L30" s="1"/>
      <c r="M30" s="5"/>
      <c r="N30" s="5">
        <f t="shared" si="10"/>
        <v>0</v>
      </c>
      <c r="O30" s="5">
        <f t="shared" si="11"/>
        <v>0</v>
      </c>
      <c r="P30" s="5">
        <f>Table1[[#This Row],[Enrolment S.Y. 2025-2026 ]]*8</f>
        <v>0</v>
      </c>
      <c r="Q30" s="5"/>
      <c r="R30" s="1"/>
      <c r="S30" s="5"/>
      <c r="T30" s="5">
        <f t="shared" si="12"/>
        <v>0</v>
      </c>
      <c r="U30" s="5">
        <f t="shared" si="13"/>
        <v>0</v>
      </c>
      <c r="V30" s="5">
        <f>Table1[[#This Row],[Enrolment S.Y. 2025-2026 ]]*8</f>
        <v>0</v>
      </c>
      <c r="W30" s="5"/>
      <c r="X30" s="1"/>
      <c r="Y30" s="5"/>
      <c r="Z30" s="5">
        <f t="shared" si="14"/>
        <v>0</v>
      </c>
      <c r="AA30" s="5">
        <f t="shared" si="15"/>
        <v>0</v>
      </c>
    </row>
    <row r="31" spans="1:27" ht="20.25">
      <c r="A31" s="1">
        <v>3</v>
      </c>
      <c r="B31" s="9" t="s">
        <v>50</v>
      </c>
      <c r="C31" s="1"/>
      <c r="D31" s="5">
        <f>Table1[[#This Row],[Enrolment S.Y. 2025-2026 ]]*8</f>
        <v>0</v>
      </c>
      <c r="E31" s="5"/>
      <c r="F31" s="1"/>
      <c r="G31" s="5"/>
      <c r="H31" s="5">
        <f>IF((D31-E31)&lt;0,0,(D31-E31))</f>
        <v>0</v>
      </c>
      <c r="I31" s="5">
        <f>IF((E31-D31)&lt;0,0,(E31-D31))</f>
        <v>0</v>
      </c>
      <c r="J31" s="5">
        <f>Table1[[#This Row],[Enrolment S.Y. 2025-2026 ]]*8</f>
        <v>0</v>
      </c>
      <c r="K31" s="5"/>
      <c r="L31" s="1"/>
      <c r="M31" s="5"/>
      <c r="N31" s="5">
        <f t="shared" si="10"/>
        <v>0</v>
      </c>
      <c r="O31" s="5">
        <f t="shared" si="11"/>
        <v>0</v>
      </c>
      <c r="P31" s="5">
        <f>Table1[[#This Row],[Enrolment S.Y. 2025-2026 ]]*8</f>
        <v>0</v>
      </c>
      <c r="Q31" s="5"/>
      <c r="R31" s="1"/>
      <c r="S31" s="5"/>
      <c r="T31" s="5">
        <f t="shared" si="12"/>
        <v>0</v>
      </c>
      <c r="U31" s="5">
        <f t="shared" si="13"/>
        <v>0</v>
      </c>
      <c r="V31" s="5">
        <f>Table1[[#This Row],[Enrolment S.Y. 2025-2026 ]]*8</f>
        <v>0</v>
      </c>
      <c r="W31" s="5"/>
      <c r="X31" s="1"/>
      <c r="Y31" s="5"/>
      <c r="Z31" s="5">
        <f t="shared" si="14"/>
        <v>0</v>
      </c>
      <c r="AA31" s="5">
        <f t="shared" si="15"/>
        <v>0</v>
      </c>
    </row>
    <row r="32" spans="1:27" s="7" customFormat="1" ht="20.25">
      <c r="J32" s="10"/>
      <c r="M32" s="5"/>
      <c r="N32" s="10"/>
      <c r="O32" s="10"/>
      <c r="P32" s="10"/>
      <c r="S32" s="5"/>
      <c r="T32" s="10"/>
      <c r="U32" s="10"/>
      <c r="V32" s="10"/>
      <c r="Y32" s="5"/>
      <c r="Z32" s="10"/>
      <c r="AA32" s="10"/>
    </row>
    <row r="33" spans="1:27" ht="20.25">
      <c r="A33" s="1">
        <v>4</v>
      </c>
      <c r="B33" s="9" t="s">
        <v>15</v>
      </c>
      <c r="C33" s="1"/>
      <c r="D33" s="5">
        <f>Table1[[#This Row],[Enrolment S.Y. 2025-2026 ]]*8</f>
        <v>0</v>
      </c>
      <c r="E33" s="5"/>
      <c r="F33" s="1"/>
      <c r="G33" s="5"/>
      <c r="H33" s="5">
        <f t="shared" si="2"/>
        <v>0</v>
      </c>
      <c r="I33" s="5">
        <f t="shared" si="3"/>
        <v>0</v>
      </c>
      <c r="J33" s="5">
        <f>Table1[[#This Row],[Enrolment S.Y. 2025-2026 ]]*8</f>
        <v>0</v>
      </c>
      <c r="K33" s="5"/>
      <c r="L33" s="1"/>
      <c r="M33" s="5"/>
      <c r="N33" s="5">
        <f t="shared" si="10"/>
        <v>0</v>
      </c>
      <c r="O33" s="5">
        <f t="shared" si="11"/>
        <v>0</v>
      </c>
      <c r="P33" s="5">
        <f>Table1[[#This Row],[Enrolment S.Y. 2025-2026 ]]*8</f>
        <v>0</v>
      </c>
      <c r="Q33" s="5"/>
      <c r="R33" s="1"/>
      <c r="S33" s="5"/>
      <c r="T33" s="5">
        <f t="shared" si="12"/>
        <v>0</v>
      </c>
      <c r="U33" s="5">
        <f t="shared" si="13"/>
        <v>0</v>
      </c>
      <c r="V33" s="5">
        <f>Table1[[#This Row],[Enrolment S.Y. 2025-2026 ]]*8</f>
        <v>0</v>
      </c>
      <c r="W33" s="5"/>
      <c r="X33" s="1"/>
      <c r="Y33" s="5"/>
      <c r="Z33" s="5">
        <f t="shared" si="14"/>
        <v>0</v>
      </c>
      <c r="AA33" s="5">
        <f t="shared" si="15"/>
        <v>0</v>
      </c>
    </row>
    <row r="34" spans="1:27" ht="20.25">
      <c r="A34" s="1">
        <v>4</v>
      </c>
      <c r="B34" s="9" t="s">
        <v>16</v>
      </c>
      <c r="C34" s="1"/>
      <c r="D34" s="5">
        <f>Table1[[#This Row],[Enrolment S.Y. 2025-2026 ]]*8</f>
        <v>0</v>
      </c>
      <c r="E34" s="5"/>
      <c r="F34" s="1"/>
      <c r="G34" s="5"/>
      <c r="H34" s="5">
        <f t="shared" si="2"/>
        <v>0</v>
      </c>
      <c r="I34" s="5">
        <f t="shared" si="3"/>
        <v>0</v>
      </c>
      <c r="J34" s="5">
        <f>Table1[[#This Row],[Enrolment S.Y. 2025-2026 ]]*8</f>
        <v>0</v>
      </c>
      <c r="K34" s="5"/>
      <c r="L34" s="1"/>
      <c r="M34" s="5"/>
      <c r="N34" s="5">
        <f t="shared" si="10"/>
        <v>0</v>
      </c>
      <c r="O34" s="5">
        <f t="shared" si="11"/>
        <v>0</v>
      </c>
      <c r="P34" s="5">
        <f>Table1[[#This Row],[Enrolment S.Y. 2025-2026 ]]*8</f>
        <v>0</v>
      </c>
      <c r="Q34" s="5"/>
      <c r="R34" s="1"/>
      <c r="S34" s="5"/>
      <c r="T34" s="5">
        <f t="shared" si="12"/>
        <v>0</v>
      </c>
      <c r="U34" s="5">
        <f t="shared" si="13"/>
        <v>0</v>
      </c>
      <c r="V34" s="5">
        <f>Table1[[#This Row],[Enrolment S.Y. 2025-2026 ]]*8</f>
        <v>0</v>
      </c>
      <c r="W34" s="5"/>
      <c r="X34" s="1"/>
      <c r="Y34" s="5"/>
      <c r="Z34" s="5">
        <f t="shared" si="14"/>
        <v>0</v>
      </c>
      <c r="AA34" s="5">
        <f t="shared" si="15"/>
        <v>0</v>
      </c>
    </row>
    <row r="35" spans="1:27" ht="20.25">
      <c r="A35" s="1">
        <v>4</v>
      </c>
      <c r="B35" s="9" t="s">
        <v>13</v>
      </c>
      <c r="C35" s="1"/>
      <c r="D35" s="5">
        <f>Table1[[#This Row],[Enrolment S.Y. 2025-2026 ]]*8</f>
        <v>0</v>
      </c>
      <c r="E35" s="5"/>
      <c r="F35" s="1"/>
      <c r="G35" s="5"/>
      <c r="H35" s="5">
        <f t="shared" si="2"/>
        <v>0</v>
      </c>
      <c r="I35" s="5">
        <f t="shared" si="3"/>
        <v>0</v>
      </c>
      <c r="J35" s="5">
        <f>Table1[[#This Row],[Enrolment S.Y. 2025-2026 ]]*8</f>
        <v>0</v>
      </c>
      <c r="K35" s="5"/>
      <c r="L35" s="1"/>
      <c r="M35" s="5"/>
      <c r="N35" s="5">
        <f t="shared" si="10"/>
        <v>0</v>
      </c>
      <c r="O35" s="5">
        <f t="shared" si="11"/>
        <v>0</v>
      </c>
      <c r="P35" s="5">
        <f>Table1[[#This Row],[Enrolment S.Y. 2025-2026 ]]*8</f>
        <v>0</v>
      </c>
      <c r="Q35" s="5"/>
      <c r="R35" s="1"/>
      <c r="S35" s="5"/>
      <c r="T35" s="5">
        <f t="shared" si="12"/>
        <v>0</v>
      </c>
      <c r="U35" s="5">
        <f t="shared" si="13"/>
        <v>0</v>
      </c>
      <c r="V35" s="5">
        <f>Table1[[#This Row],[Enrolment S.Y. 2025-2026 ]]*8</f>
        <v>0</v>
      </c>
      <c r="W35" s="5"/>
      <c r="X35" s="1"/>
      <c r="Y35" s="5"/>
      <c r="Z35" s="5">
        <f t="shared" si="14"/>
        <v>0</v>
      </c>
      <c r="AA35" s="5">
        <f t="shared" si="15"/>
        <v>0</v>
      </c>
    </row>
    <row r="36" spans="1:27" ht="20.25">
      <c r="A36" s="1">
        <v>4</v>
      </c>
      <c r="B36" s="9" t="s">
        <v>11</v>
      </c>
      <c r="C36" s="1"/>
      <c r="D36" s="5">
        <f>Table1[[#This Row],[Enrolment S.Y. 2025-2026 ]]*8</f>
        <v>0</v>
      </c>
      <c r="E36" s="5"/>
      <c r="F36" s="1"/>
      <c r="G36" s="5"/>
      <c r="H36" s="5">
        <f t="shared" si="2"/>
        <v>0</v>
      </c>
      <c r="I36" s="5">
        <f t="shared" si="3"/>
        <v>0</v>
      </c>
      <c r="J36" s="5">
        <f>Table1[[#This Row],[Enrolment S.Y. 2025-2026 ]]*8</f>
        <v>0</v>
      </c>
      <c r="K36" s="5"/>
      <c r="L36" s="1"/>
      <c r="M36" s="5"/>
      <c r="N36" s="5">
        <f t="shared" si="10"/>
        <v>0</v>
      </c>
      <c r="O36" s="5">
        <f t="shared" si="11"/>
        <v>0</v>
      </c>
      <c r="P36" s="5">
        <f>Table1[[#This Row],[Enrolment S.Y. 2025-2026 ]]*8</f>
        <v>0</v>
      </c>
      <c r="Q36" s="5"/>
      <c r="R36" s="1"/>
      <c r="S36" s="5"/>
      <c r="T36" s="5">
        <f t="shared" si="12"/>
        <v>0</v>
      </c>
      <c r="U36" s="5">
        <f t="shared" si="13"/>
        <v>0</v>
      </c>
      <c r="V36" s="5">
        <f>Table1[[#This Row],[Enrolment S.Y. 2025-2026 ]]*8</f>
        <v>0</v>
      </c>
      <c r="W36" s="5"/>
      <c r="X36" s="1"/>
      <c r="Y36" s="5"/>
      <c r="Z36" s="5">
        <f t="shared" si="14"/>
        <v>0</v>
      </c>
      <c r="AA36" s="5">
        <f t="shared" si="15"/>
        <v>0</v>
      </c>
    </row>
    <row r="37" spans="1:27" ht="20.25">
      <c r="A37" s="1">
        <v>4</v>
      </c>
      <c r="B37" s="9" t="s">
        <v>17</v>
      </c>
      <c r="C37" s="1"/>
      <c r="D37" s="5">
        <f>Table1[[#This Row],[Enrolment S.Y. 2025-2026 ]]*8</f>
        <v>0</v>
      </c>
      <c r="E37" s="5"/>
      <c r="F37" s="1"/>
      <c r="G37" s="5"/>
      <c r="H37" s="5">
        <f t="shared" si="2"/>
        <v>0</v>
      </c>
      <c r="I37" s="5">
        <f t="shared" si="3"/>
        <v>0</v>
      </c>
      <c r="J37" s="5">
        <f>Table1[[#This Row],[Enrolment S.Y. 2025-2026 ]]*8</f>
        <v>0</v>
      </c>
      <c r="K37" s="5"/>
      <c r="L37" s="1"/>
      <c r="M37" s="5"/>
      <c r="N37" s="5">
        <f t="shared" si="10"/>
        <v>0</v>
      </c>
      <c r="O37" s="5">
        <f t="shared" si="11"/>
        <v>0</v>
      </c>
      <c r="P37" s="5">
        <f>Table1[[#This Row],[Enrolment S.Y. 2025-2026 ]]*8</f>
        <v>0</v>
      </c>
      <c r="Q37" s="5"/>
      <c r="R37" s="1"/>
      <c r="S37" s="5"/>
      <c r="T37" s="5">
        <f t="shared" si="12"/>
        <v>0</v>
      </c>
      <c r="U37" s="5">
        <f t="shared" si="13"/>
        <v>0</v>
      </c>
      <c r="V37" s="5">
        <f>Table1[[#This Row],[Enrolment S.Y. 2025-2026 ]]*8</f>
        <v>0</v>
      </c>
      <c r="W37" s="5"/>
      <c r="X37" s="1"/>
      <c r="Y37" s="5"/>
      <c r="Z37" s="5">
        <f t="shared" si="14"/>
        <v>0</v>
      </c>
      <c r="AA37" s="5">
        <f t="shared" si="15"/>
        <v>0</v>
      </c>
    </row>
    <row r="38" spans="1:27" ht="20.25">
      <c r="A38" s="1">
        <v>4</v>
      </c>
      <c r="B38" s="9" t="s">
        <v>14</v>
      </c>
      <c r="C38" s="1"/>
      <c r="D38" s="5">
        <f>Table1[[#This Row],[Enrolment S.Y. 2025-2026 ]]*8</f>
        <v>0</v>
      </c>
      <c r="E38" s="5"/>
      <c r="F38" s="1"/>
      <c r="G38" s="5"/>
      <c r="H38" s="5">
        <f t="shared" si="2"/>
        <v>0</v>
      </c>
      <c r="I38" s="5">
        <f t="shared" si="3"/>
        <v>0</v>
      </c>
      <c r="J38" s="5">
        <f>Table1[[#This Row],[Enrolment S.Y. 2025-2026 ]]*8</f>
        <v>0</v>
      </c>
      <c r="K38" s="5"/>
      <c r="L38" s="1"/>
      <c r="M38" s="5"/>
      <c r="N38" s="5">
        <f t="shared" si="10"/>
        <v>0</v>
      </c>
      <c r="O38" s="5">
        <f t="shared" si="11"/>
        <v>0</v>
      </c>
      <c r="P38" s="5">
        <f>Table1[[#This Row],[Enrolment S.Y. 2025-2026 ]]*8</f>
        <v>0</v>
      </c>
      <c r="Q38" s="5"/>
      <c r="R38" s="1"/>
      <c r="S38" s="5"/>
      <c r="T38" s="5">
        <f t="shared" si="12"/>
        <v>0</v>
      </c>
      <c r="U38" s="5">
        <f t="shared" si="13"/>
        <v>0</v>
      </c>
      <c r="V38" s="5">
        <f>Table1[[#This Row],[Enrolment S.Y. 2025-2026 ]]*8</f>
        <v>0</v>
      </c>
      <c r="W38" s="5"/>
      <c r="X38" s="1"/>
      <c r="Y38" s="5"/>
      <c r="Z38" s="5">
        <f t="shared" si="14"/>
        <v>0</v>
      </c>
      <c r="AA38" s="5">
        <f t="shared" si="15"/>
        <v>0</v>
      </c>
    </row>
    <row r="39" spans="1:27" ht="20.25">
      <c r="A39" s="1">
        <v>4</v>
      </c>
      <c r="B39" s="9" t="s">
        <v>18</v>
      </c>
      <c r="C39" s="1"/>
      <c r="D39" s="5">
        <f>Table1[[#This Row],[Enrolment S.Y. 2025-2026 ]]*8</f>
        <v>0</v>
      </c>
      <c r="E39" s="5"/>
      <c r="F39" s="1"/>
      <c r="G39" s="5"/>
      <c r="H39" s="5">
        <f t="shared" si="2"/>
        <v>0</v>
      </c>
      <c r="I39" s="5">
        <f t="shared" si="3"/>
        <v>0</v>
      </c>
      <c r="J39" s="5">
        <f>Table1[[#This Row],[Enrolment S.Y. 2025-2026 ]]*8</f>
        <v>0</v>
      </c>
      <c r="K39" s="5"/>
      <c r="L39" s="1"/>
      <c r="M39" s="5"/>
      <c r="N39" s="5">
        <f t="shared" si="10"/>
        <v>0</v>
      </c>
      <c r="O39" s="5">
        <f t="shared" si="11"/>
        <v>0</v>
      </c>
      <c r="P39" s="5">
        <f>Table1[[#This Row],[Enrolment S.Y. 2025-2026 ]]*8</f>
        <v>0</v>
      </c>
      <c r="Q39" s="5"/>
      <c r="R39" s="1"/>
      <c r="S39" s="5"/>
      <c r="T39" s="5">
        <f t="shared" si="12"/>
        <v>0</v>
      </c>
      <c r="U39" s="5">
        <f t="shared" si="13"/>
        <v>0</v>
      </c>
      <c r="V39" s="5">
        <f>Table1[[#This Row],[Enrolment S.Y. 2025-2026 ]]*8</f>
        <v>0</v>
      </c>
      <c r="W39" s="5"/>
      <c r="X39" s="1"/>
      <c r="Y39" s="5"/>
      <c r="Z39" s="5">
        <f t="shared" si="14"/>
        <v>0</v>
      </c>
      <c r="AA39" s="5">
        <f t="shared" si="15"/>
        <v>0</v>
      </c>
    </row>
    <row r="40" spans="1:27" ht="20.25">
      <c r="A40" s="1">
        <v>4</v>
      </c>
      <c r="B40" s="9" t="s">
        <v>19</v>
      </c>
      <c r="C40" s="1"/>
      <c r="D40" s="5">
        <f>Table1[[#This Row],[Enrolment S.Y. 2025-2026 ]]*8</f>
        <v>0</v>
      </c>
      <c r="E40" s="5"/>
      <c r="F40" s="1"/>
      <c r="G40" s="5"/>
      <c r="H40" s="5">
        <f t="shared" si="2"/>
        <v>0</v>
      </c>
      <c r="I40" s="5">
        <f t="shared" si="3"/>
        <v>0</v>
      </c>
      <c r="J40" s="5">
        <f>Table1[[#This Row],[Enrolment S.Y. 2025-2026 ]]*8</f>
        <v>0</v>
      </c>
      <c r="K40" s="5"/>
      <c r="L40" s="1"/>
      <c r="M40" s="5"/>
      <c r="N40" s="5">
        <f t="shared" si="10"/>
        <v>0</v>
      </c>
      <c r="O40" s="5">
        <f t="shared" si="11"/>
        <v>0</v>
      </c>
      <c r="P40" s="5">
        <f>Table1[[#This Row],[Enrolment S.Y. 2025-2026 ]]*8</f>
        <v>0</v>
      </c>
      <c r="Q40" s="5"/>
      <c r="R40" s="1"/>
      <c r="S40" s="5"/>
      <c r="T40" s="5">
        <f t="shared" si="12"/>
        <v>0</v>
      </c>
      <c r="U40" s="5">
        <f t="shared" si="13"/>
        <v>0</v>
      </c>
      <c r="V40" s="5">
        <f>Table1[[#This Row],[Enrolment S.Y. 2025-2026 ]]*8</f>
        <v>0</v>
      </c>
      <c r="W40" s="5"/>
      <c r="X40" s="1"/>
      <c r="Y40" s="5"/>
      <c r="Z40" s="5">
        <f t="shared" si="14"/>
        <v>0</v>
      </c>
      <c r="AA40" s="5">
        <f t="shared" si="15"/>
        <v>0</v>
      </c>
    </row>
    <row r="41" spans="1:27" ht="20.25">
      <c r="A41" s="1">
        <v>4</v>
      </c>
      <c r="B41" s="9" t="s">
        <v>20</v>
      </c>
      <c r="C41" s="1"/>
      <c r="D41" s="5">
        <f>Table1[[#This Row],[Enrolment S.Y. 2025-2026 ]]*8</f>
        <v>0</v>
      </c>
      <c r="E41" s="5"/>
      <c r="F41" s="1"/>
      <c r="G41" s="5"/>
      <c r="H41" s="5">
        <f t="shared" si="2"/>
        <v>0</v>
      </c>
      <c r="I41" s="5">
        <f t="shared" si="3"/>
        <v>0</v>
      </c>
      <c r="J41" s="5">
        <f>Table1[[#This Row],[Enrolment S.Y. 2025-2026 ]]*8</f>
        <v>0</v>
      </c>
      <c r="K41" s="5"/>
      <c r="L41" s="1"/>
      <c r="M41" s="5"/>
      <c r="N41" s="5">
        <f t="shared" si="10"/>
        <v>0</v>
      </c>
      <c r="O41" s="5">
        <f t="shared" si="11"/>
        <v>0</v>
      </c>
      <c r="P41" s="5">
        <f>Table1[[#This Row],[Enrolment S.Y. 2025-2026 ]]*8</f>
        <v>0</v>
      </c>
      <c r="Q41" s="5"/>
      <c r="R41" s="1"/>
      <c r="S41" s="5"/>
      <c r="T41" s="5">
        <f t="shared" si="12"/>
        <v>0</v>
      </c>
      <c r="U41" s="5">
        <f t="shared" si="13"/>
        <v>0</v>
      </c>
      <c r="V41" s="5">
        <f>Table1[[#This Row],[Enrolment S.Y. 2025-2026 ]]*8</f>
        <v>0</v>
      </c>
      <c r="W41" s="5"/>
      <c r="X41" s="1"/>
      <c r="Y41" s="5"/>
      <c r="Z41" s="5">
        <f t="shared" si="14"/>
        <v>0</v>
      </c>
      <c r="AA41" s="5">
        <f t="shared" si="15"/>
        <v>0</v>
      </c>
    </row>
    <row r="42" spans="1:27" s="7" customFormat="1" ht="20.25">
      <c r="J42" s="10"/>
      <c r="M42" s="5"/>
      <c r="N42" s="10"/>
      <c r="O42" s="10"/>
      <c r="P42" s="10"/>
      <c r="S42" s="5"/>
      <c r="T42" s="10"/>
      <c r="U42" s="10"/>
      <c r="V42" s="10"/>
      <c r="Y42" s="5"/>
      <c r="Z42" s="10"/>
      <c r="AA42" s="10"/>
    </row>
    <row r="43" spans="1:27" ht="20.25">
      <c r="A43" s="1">
        <v>5</v>
      </c>
      <c r="B43" s="9" t="s">
        <v>15</v>
      </c>
      <c r="C43" s="1"/>
      <c r="D43" s="5">
        <f>Table1[[#This Row],[Enrolment S.Y. 2025-2026 ]]*8</f>
        <v>0</v>
      </c>
      <c r="E43" s="5"/>
      <c r="F43" s="1"/>
      <c r="G43" s="5"/>
      <c r="H43" s="5">
        <f t="shared" si="2"/>
        <v>0</v>
      </c>
      <c r="I43" s="5">
        <f t="shared" si="3"/>
        <v>0</v>
      </c>
      <c r="J43" s="5">
        <f>Table1[[#This Row],[Enrolment S.Y. 2025-2026 ]]*8</f>
        <v>0</v>
      </c>
      <c r="K43" s="5"/>
      <c r="L43" s="1"/>
      <c r="M43" s="5"/>
      <c r="N43" s="5">
        <f t="shared" si="10"/>
        <v>0</v>
      </c>
      <c r="O43" s="5">
        <f t="shared" si="11"/>
        <v>0</v>
      </c>
      <c r="P43" s="5">
        <f>Table1[[#This Row],[Enrolment S.Y. 2025-2026 ]]*8</f>
        <v>0</v>
      </c>
      <c r="Q43" s="5"/>
      <c r="R43" s="1"/>
      <c r="S43" s="5"/>
      <c r="T43" s="5">
        <f t="shared" si="12"/>
        <v>0</v>
      </c>
      <c r="U43" s="5">
        <f t="shared" si="13"/>
        <v>0</v>
      </c>
      <c r="V43" s="5">
        <f>Table1[[#This Row],[Enrolment S.Y. 2025-2026 ]]*8</f>
        <v>0</v>
      </c>
      <c r="W43" s="5"/>
      <c r="X43" s="1"/>
      <c r="Y43" s="5"/>
      <c r="Z43" s="5">
        <f t="shared" si="14"/>
        <v>0</v>
      </c>
      <c r="AA43" s="5">
        <f t="shared" si="15"/>
        <v>0</v>
      </c>
    </row>
    <row r="44" spans="1:27" ht="20.25">
      <c r="A44" s="1">
        <v>5</v>
      </c>
      <c r="B44" s="9" t="s">
        <v>16</v>
      </c>
      <c r="C44" s="1"/>
      <c r="D44" s="5">
        <f>Table1[[#This Row],[Enrolment S.Y. 2025-2026 ]]*8</f>
        <v>0</v>
      </c>
      <c r="E44" s="5"/>
      <c r="F44" s="1"/>
      <c r="G44" s="5"/>
      <c r="H44" s="5">
        <f t="shared" si="2"/>
        <v>0</v>
      </c>
      <c r="I44" s="5">
        <f t="shared" si="3"/>
        <v>0</v>
      </c>
      <c r="J44" s="5">
        <f>Table1[[#This Row],[Enrolment S.Y. 2025-2026 ]]*8</f>
        <v>0</v>
      </c>
      <c r="K44" s="5"/>
      <c r="L44" s="1"/>
      <c r="M44" s="5"/>
      <c r="N44" s="5">
        <f t="shared" si="10"/>
        <v>0</v>
      </c>
      <c r="O44" s="5">
        <f t="shared" si="11"/>
        <v>0</v>
      </c>
      <c r="P44" s="5">
        <f>Table1[[#This Row],[Enrolment S.Y. 2025-2026 ]]*8</f>
        <v>0</v>
      </c>
      <c r="Q44" s="5"/>
      <c r="R44" s="1"/>
      <c r="S44" s="5"/>
      <c r="T44" s="5">
        <f t="shared" si="12"/>
        <v>0</v>
      </c>
      <c r="U44" s="5">
        <f t="shared" si="13"/>
        <v>0</v>
      </c>
      <c r="V44" s="5">
        <f>Table1[[#This Row],[Enrolment S.Y. 2025-2026 ]]*8</f>
        <v>0</v>
      </c>
      <c r="W44" s="5"/>
      <c r="X44" s="1"/>
      <c r="Y44" s="5"/>
      <c r="Z44" s="5">
        <f t="shared" si="14"/>
        <v>0</v>
      </c>
      <c r="AA44" s="5">
        <f t="shared" si="15"/>
        <v>0</v>
      </c>
    </row>
    <row r="45" spans="1:27" ht="20.25">
      <c r="A45" s="1">
        <v>5</v>
      </c>
      <c r="B45" s="9" t="s">
        <v>13</v>
      </c>
      <c r="C45" s="1"/>
      <c r="D45" s="5">
        <f>Table1[[#This Row],[Enrolment S.Y. 2025-2026 ]]*8</f>
        <v>0</v>
      </c>
      <c r="E45" s="5"/>
      <c r="F45" s="1"/>
      <c r="G45" s="5"/>
      <c r="H45" s="5">
        <f t="shared" si="2"/>
        <v>0</v>
      </c>
      <c r="I45" s="5">
        <f t="shared" si="3"/>
        <v>0</v>
      </c>
      <c r="J45" s="5">
        <f>Table1[[#This Row],[Enrolment S.Y. 2025-2026 ]]*8</f>
        <v>0</v>
      </c>
      <c r="K45" s="5"/>
      <c r="L45" s="1"/>
      <c r="M45" s="5"/>
      <c r="N45" s="5">
        <f t="shared" si="10"/>
        <v>0</v>
      </c>
      <c r="O45" s="5">
        <f t="shared" si="11"/>
        <v>0</v>
      </c>
      <c r="P45" s="5">
        <f>Table1[[#This Row],[Enrolment S.Y. 2025-2026 ]]*8</f>
        <v>0</v>
      </c>
      <c r="Q45" s="5"/>
      <c r="R45" s="1"/>
      <c r="S45" s="5"/>
      <c r="T45" s="5">
        <f t="shared" si="12"/>
        <v>0</v>
      </c>
      <c r="U45" s="5">
        <f t="shared" si="13"/>
        <v>0</v>
      </c>
      <c r="V45" s="5">
        <f>Table1[[#This Row],[Enrolment S.Y. 2025-2026 ]]*8</f>
        <v>0</v>
      </c>
      <c r="W45" s="5"/>
      <c r="X45" s="1"/>
      <c r="Y45" s="5"/>
      <c r="Z45" s="5">
        <f t="shared" si="14"/>
        <v>0</v>
      </c>
      <c r="AA45" s="5">
        <f t="shared" si="15"/>
        <v>0</v>
      </c>
    </row>
    <row r="46" spans="1:27" ht="20.25">
      <c r="A46" s="1">
        <v>5</v>
      </c>
      <c r="B46" s="9" t="s">
        <v>11</v>
      </c>
      <c r="C46" s="1"/>
      <c r="D46" s="5">
        <f>Table1[[#This Row],[Enrolment S.Y. 2025-2026 ]]*8</f>
        <v>0</v>
      </c>
      <c r="E46" s="5"/>
      <c r="F46" s="1"/>
      <c r="G46" s="5"/>
      <c r="H46" s="5">
        <f t="shared" si="2"/>
        <v>0</v>
      </c>
      <c r="I46" s="5">
        <f t="shared" si="3"/>
        <v>0</v>
      </c>
      <c r="J46" s="5">
        <f>Table1[[#This Row],[Enrolment S.Y. 2025-2026 ]]*8</f>
        <v>0</v>
      </c>
      <c r="K46" s="5"/>
      <c r="L46" s="1"/>
      <c r="M46" s="5"/>
      <c r="N46" s="5">
        <f t="shared" si="10"/>
        <v>0</v>
      </c>
      <c r="O46" s="5">
        <f t="shared" si="11"/>
        <v>0</v>
      </c>
      <c r="P46" s="5">
        <f>Table1[[#This Row],[Enrolment S.Y. 2025-2026 ]]*8</f>
        <v>0</v>
      </c>
      <c r="Q46" s="5"/>
      <c r="R46" s="1"/>
      <c r="S46" s="5"/>
      <c r="T46" s="5">
        <f t="shared" si="12"/>
        <v>0</v>
      </c>
      <c r="U46" s="5">
        <f t="shared" si="13"/>
        <v>0</v>
      </c>
      <c r="V46" s="5">
        <f>Table1[[#This Row],[Enrolment S.Y. 2025-2026 ]]*8</f>
        <v>0</v>
      </c>
      <c r="W46" s="5"/>
      <c r="X46" s="1"/>
      <c r="Y46" s="5"/>
      <c r="Z46" s="5">
        <f t="shared" si="14"/>
        <v>0</v>
      </c>
      <c r="AA46" s="5">
        <f t="shared" si="15"/>
        <v>0</v>
      </c>
    </row>
    <row r="47" spans="1:27" ht="20.25">
      <c r="A47" s="1">
        <v>5</v>
      </c>
      <c r="B47" s="9" t="s">
        <v>17</v>
      </c>
      <c r="C47" s="1"/>
      <c r="D47" s="5">
        <f>Table1[[#This Row],[Enrolment S.Y. 2025-2026 ]]*8</f>
        <v>0</v>
      </c>
      <c r="E47" s="5"/>
      <c r="F47" s="1"/>
      <c r="G47" s="5"/>
      <c r="H47" s="5">
        <f t="shared" si="2"/>
        <v>0</v>
      </c>
      <c r="I47" s="5">
        <f t="shared" si="3"/>
        <v>0</v>
      </c>
      <c r="J47" s="5">
        <f>Table1[[#This Row],[Enrolment S.Y. 2025-2026 ]]*8</f>
        <v>0</v>
      </c>
      <c r="K47" s="5"/>
      <c r="L47" s="1"/>
      <c r="M47" s="5"/>
      <c r="N47" s="5">
        <f t="shared" si="10"/>
        <v>0</v>
      </c>
      <c r="O47" s="5">
        <f t="shared" si="11"/>
        <v>0</v>
      </c>
      <c r="P47" s="5">
        <f>Table1[[#This Row],[Enrolment S.Y. 2025-2026 ]]*8</f>
        <v>0</v>
      </c>
      <c r="Q47" s="5"/>
      <c r="R47" s="1"/>
      <c r="S47" s="5"/>
      <c r="T47" s="5">
        <f t="shared" si="12"/>
        <v>0</v>
      </c>
      <c r="U47" s="5">
        <f t="shared" si="13"/>
        <v>0</v>
      </c>
      <c r="V47" s="5">
        <f>Table1[[#This Row],[Enrolment S.Y. 2025-2026 ]]*8</f>
        <v>0</v>
      </c>
      <c r="W47" s="5"/>
      <c r="X47" s="1"/>
      <c r="Y47" s="5"/>
      <c r="Z47" s="5">
        <f t="shared" si="14"/>
        <v>0</v>
      </c>
      <c r="AA47" s="5">
        <f t="shared" si="15"/>
        <v>0</v>
      </c>
    </row>
    <row r="48" spans="1:27" ht="20.25">
      <c r="A48" s="1">
        <v>5</v>
      </c>
      <c r="B48" s="9" t="s">
        <v>14</v>
      </c>
      <c r="C48" s="1"/>
      <c r="D48" s="5">
        <f>Table1[[#This Row],[Enrolment S.Y. 2025-2026 ]]*8</f>
        <v>0</v>
      </c>
      <c r="E48" s="5"/>
      <c r="F48" s="1"/>
      <c r="G48" s="5"/>
      <c r="H48" s="5">
        <f t="shared" si="2"/>
        <v>0</v>
      </c>
      <c r="I48" s="5">
        <f t="shared" si="3"/>
        <v>0</v>
      </c>
      <c r="J48" s="5">
        <f>Table1[[#This Row],[Enrolment S.Y. 2025-2026 ]]*8</f>
        <v>0</v>
      </c>
      <c r="K48" s="5"/>
      <c r="L48" s="1"/>
      <c r="M48" s="5"/>
      <c r="N48" s="5">
        <f t="shared" si="10"/>
        <v>0</v>
      </c>
      <c r="O48" s="5">
        <f t="shared" si="11"/>
        <v>0</v>
      </c>
      <c r="P48" s="5">
        <f>Table1[[#This Row],[Enrolment S.Y. 2025-2026 ]]*8</f>
        <v>0</v>
      </c>
      <c r="Q48" s="5"/>
      <c r="R48" s="1"/>
      <c r="S48" s="5"/>
      <c r="T48" s="5">
        <f t="shared" si="12"/>
        <v>0</v>
      </c>
      <c r="U48" s="5">
        <f t="shared" si="13"/>
        <v>0</v>
      </c>
      <c r="V48" s="5">
        <f>Table1[[#This Row],[Enrolment S.Y. 2025-2026 ]]*8</f>
        <v>0</v>
      </c>
      <c r="W48" s="5"/>
      <c r="X48" s="1"/>
      <c r="Y48" s="5"/>
      <c r="Z48" s="5">
        <f t="shared" si="14"/>
        <v>0</v>
      </c>
      <c r="AA48" s="5">
        <f t="shared" si="15"/>
        <v>0</v>
      </c>
    </row>
    <row r="49" spans="1:27" ht="20.25">
      <c r="A49" s="1">
        <v>5</v>
      </c>
      <c r="B49" s="9" t="s">
        <v>18</v>
      </c>
      <c r="C49" s="1"/>
      <c r="D49" s="5">
        <f>Table1[[#This Row],[Enrolment S.Y. 2025-2026 ]]*8</f>
        <v>0</v>
      </c>
      <c r="E49" s="5"/>
      <c r="F49" s="1"/>
      <c r="G49" s="5"/>
      <c r="H49" s="5">
        <f t="shared" si="2"/>
        <v>0</v>
      </c>
      <c r="I49" s="5">
        <f t="shared" si="3"/>
        <v>0</v>
      </c>
      <c r="J49" s="5">
        <f>Table1[[#This Row],[Enrolment S.Y. 2025-2026 ]]*8</f>
        <v>0</v>
      </c>
      <c r="K49" s="5"/>
      <c r="L49" s="1"/>
      <c r="M49" s="5"/>
      <c r="N49" s="5">
        <f t="shared" si="10"/>
        <v>0</v>
      </c>
      <c r="O49" s="5">
        <f t="shared" si="11"/>
        <v>0</v>
      </c>
      <c r="P49" s="5">
        <f>Table1[[#This Row],[Enrolment S.Y. 2025-2026 ]]*8</f>
        <v>0</v>
      </c>
      <c r="Q49" s="5"/>
      <c r="R49" s="1"/>
      <c r="S49" s="5"/>
      <c r="T49" s="5">
        <f t="shared" si="12"/>
        <v>0</v>
      </c>
      <c r="U49" s="5">
        <f t="shared" si="13"/>
        <v>0</v>
      </c>
      <c r="V49" s="5">
        <f>Table1[[#This Row],[Enrolment S.Y. 2025-2026 ]]*8</f>
        <v>0</v>
      </c>
      <c r="W49" s="5"/>
      <c r="X49" s="1"/>
      <c r="Y49" s="5"/>
      <c r="Z49" s="5">
        <f t="shared" si="14"/>
        <v>0</v>
      </c>
      <c r="AA49" s="5">
        <f t="shared" si="15"/>
        <v>0</v>
      </c>
    </row>
    <row r="50" spans="1:27" ht="20.25">
      <c r="A50" s="1">
        <v>5</v>
      </c>
      <c r="B50" s="9" t="s">
        <v>19</v>
      </c>
      <c r="C50" s="1"/>
      <c r="D50" s="5">
        <f>Table1[[#This Row],[Enrolment S.Y. 2025-2026 ]]*8</f>
        <v>0</v>
      </c>
      <c r="E50" s="5"/>
      <c r="F50" s="1"/>
      <c r="G50" s="5"/>
      <c r="H50" s="5">
        <f t="shared" si="2"/>
        <v>0</v>
      </c>
      <c r="I50" s="5">
        <f t="shared" si="3"/>
        <v>0</v>
      </c>
      <c r="J50" s="5">
        <f>Table1[[#This Row],[Enrolment S.Y. 2025-2026 ]]*8</f>
        <v>0</v>
      </c>
      <c r="K50" s="5"/>
      <c r="L50" s="1"/>
      <c r="M50" s="5"/>
      <c r="N50" s="5">
        <f t="shared" si="10"/>
        <v>0</v>
      </c>
      <c r="O50" s="5">
        <f t="shared" si="11"/>
        <v>0</v>
      </c>
      <c r="P50" s="5">
        <f>Table1[[#This Row],[Enrolment S.Y. 2025-2026 ]]*8</f>
        <v>0</v>
      </c>
      <c r="Q50" s="5"/>
      <c r="R50" s="1"/>
      <c r="S50" s="5"/>
      <c r="T50" s="5">
        <f t="shared" si="12"/>
        <v>0</v>
      </c>
      <c r="U50" s="5">
        <f t="shared" si="13"/>
        <v>0</v>
      </c>
      <c r="V50" s="5">
        <f>Table1[[#This Row],[Enrolment S.Y. 2025-2026 ]]*8</f>
        <v>0</v>
      </c>
      <c r="W50" s="5"/>
      <c r="X50" s="1"/>
      <c r="Y50" s="5"/>
      <c r="Z50" s="5">
        <f t="shared" si="14"/>
        <v>0</v>
      </c>
      <c r="AA50" s="5">
        <f t="shared" si="15"/>
        <v>0</v>
      </c>
    </row>
    <row r="51" spans="1:27" ht="20.25">
      <c r="A51" s="1">
        <v>5</v>
      </c>
      <c r="B51" s="9" t="s">
        <v>20</v>
      </c>
      <c r="C51" s="1"/>
      <c r="D51" s="5">
        <f>Table1[[#This Row],[Enrolment S.Y. 2025-2026 ]]*8</f>
        <v>0</v>
      </c>
      <c r="E51" s="5"/>
      <c r="F51" s="1"/>
      <c r="G51" s="5"/>
      <c r="H51" s="5">
        <f t="shared" si="2"/>
        <v>0</v>
      </c>
      <c r="I51" s="5">
        <f t="shared" si="3"/>
        <v>0</v>
      </c>
      <c r="J51" s="5">
        <f>Table1[[#This Row],[Enrolment S.Y. 2025-2026 ]]*8</f>
        <v>0</v>
      </c>
      <c r="K51" s="5"/>
      <c r="L51" s="1"/>
      <c r="M51" s="5"/>
      <c r="N51" s="5">
        <f t="shared" si="10"/>
        <v>0</v>
      </c>
      <c r="O51" s="5">
        <f t="shared" si="11"/>
        <v>0</v>
      </c>
      <c r="P51" s="5">
        <f>Table1[[#This Row],[Enrolment S.Y. 2025-2026 ]]*8</f>
        <v>0</v>
      </c>
      <c r="Q51" s="5"/>
      <c r="R51" s="1"/>
      <c r="S51" s="5"/>
      <c r="T51" s="5">
        <f t="shared" si="12"/>
        <v>0</v>
      </c>
      <c r="U51" s="5">
        <f t="shared" si="13"/>
        <v>0</v>
      </c>
      <c r="V51" s="5">
        <f>Table1[[#This Row],[Enrolment S.Y. 2025-2026 ]]*8</f>
        <v>0</v>
      </c>
      <c r="W51" s="5"/>
      <c r="X51" s="1"/>
      <c r="Y51" s="5"/>
      <c r="Z51" s="5">
        <f t="shared" si="14"/>
        <v>0</v>
      </c>
      <c r="AA51" s="5">
        <f t="shared" si="15"/>
        <v>0</v>
      </c>
    </row>
    <row r="52" spans="1:27" s="7" customFormat="1" ht="20.25">
      <c r="J52" s="10"/>
      <c r="M52" s="5"/>
      <c r="N52" s="10"/>
      <c r="O52" s="10"/>
      <c r="P52" s="10"/>
      <c r="S52" s="5"/>
      <c r="T52" s="10"/>
      <c r="U52" s="10"/>
      <c r="V52" s="10"/>
      <c r="Y52" s="5"/>
      <c r="Z52" s="10"/>
      <c r="AA52" s="10"/>
    </row>
    <row r="53" spans="1:27" ht="20.25">
      <c r="A53" s="1">
        <v>6</v>
      </c>
      <c r="B53" s="9" t="s">
        <v>15</v>
      </c>
      <c r="C53" s="1"/>
      <c r="D53" s="5">
        <f>Table1[[#This Row],[Enrolment S.Y. 2025-2026 ]]*8</f>
        <v>0</v>
      </c>
      <c r="E53" s="5"/>
      <c r="F53" s="1"/>
      <c r="G53" s="5"/>
      <c r="H53" s="5">
        <f t="shared" si="2"/>
        <v>0</v>
      </c>
      <c r="I53" s="5">
        <f t="shared" si="3"/>
        <v>0</v>
      </c>
      <c r="J53" s="5">
        <f>Table1[[#This Row],[Enrolment S.Y. 2025-2026 ]]*8</f>
        <v>0</v>
      </c>
      <c r="K53" s="5"/>
      <c r="L53" s="1"/>
      <c r="M53" s="5"/>
      <c r="N53" s="5">
        <f t="shared" si="10"/>
        <v>0</v>
      </c>
      <c r="O53" s="5">
        <f t="shared" si="11"/>
        <v>0</v>
      </c>
      <c r="P53" s="5">
        <f>Table1[[#This Row],[Enrolment S.Y. 2025-2026 ]]*8</f>
        <v>0</v>
      </c>
      <c r="Q53" s="5"/>
      <c r="R53" s="1"/>
      <c r="S53" s="5"/>
      <c r="T53" s="5">
        <f t="shared" si="12"/>
        <v>0</v>
      </c>
      <c r="U53" s="5">
        <f t="shared" si="13"/>
        <v>0</v>
      </c>
      <c r="V53" s="5">
        <f>Table1[[#This Row],[Enrolment S.Y. 2025-2026 ]]*8</f>
        <v>0</v>
      </c>
      <c r="W53" s="5"/>
      <c r="X53" s="1"/>
      <c r="Y53" s="5"/>
      <c r="Z53" s="5">
        <f t="shared" si="14"/>
        <v>0</v>
      </c>
      <c r="AA53" s="5">
        <f t="shared" si="15"/>
        <v>0</v>
      </c>
    </row>
    <row r="54" spans="1:27" ht="20.25">
      <c r="A54" s="1">
        <v>6</v>
      </c>
      <c r="B54" s="9" t="s">
        <v>16</v>
      </c>
      <c r="C54" s="1"/>
      <c r="D54" s="5">
        <f>Table1[[#This Row],[Enrolment S.Y. 2025-2026 ]]*8</f>
        <v>0</v>
      </c>
      <c r="E54" s="5"/>
      <c r="F54" s="1"/>
      <c r="G54" s="5"/>
      <c r="H54" s="5">
        <f t="shared" si="2"/>
        <v>0</v>
      </c>
      <c r="I54" s="5">
        <f t="shared" si="3"/>
        <v>0</v>
      </c>
      <c r="J54" s="5">
        <f>Table1[[#This Row],[Enrolment S.Y. 2025-2026 ]]*8</f>
        <v>0</v>
      </c>
      <c r="K54" s="5"/>
      <c r="L54" s="1"/>
      <c r="M54" s="5"/>
      <c r="N54" s="5">
        <f t="shared" si="10"/>
        <v>0</v>
      </c>
      <c r="O54" s="5">
        <f t="shared" si="11"/>
        <v>0</v>
      </c>
      <c r="P54" s="5">
        <f>Table1[[#This Row],[Enrolment S.Y. 2025-2026 ]]*8</f>
        <v>0</v>
      </c>
      <c r="Q54" s="5"/>
      <c r="R54" s="1"/>
      <c r="S54" s="5"/>
      <c r="T54" s="5">
        <f t="shared" si="12"/>
        <v>0</v>
      </c>
      <c r="U54" s="5">
        <f t="shared" si="13"/>
        <v>0</v>
      </c>
      <c r="V54" s="5">
        <f>Table1[[#This Row],[Enrolment S.Y. 2025-2026 ]]*8</f>
        <v>0</v>
      </c>
      <c r="W54" s="5"/>
      <c r="X54" s="1"/>
      <c r="Y54" s="5"/>
      <c r="Z54" s="5">
        <f t="shared" si="14"/>
        <v>0</v>
      </c>
      <c r="AA54" s="5">
        <f t="shared" si="15"/>
        <v>0</v>
      </c>
    </row>
    <row r="55" spans="1:27" ht="20.25">
      <c r="A55" s="1">
        <v>6</v>
      </c>
      <c r="B55" s="9" t="s">
        <v>13</v>
      </c>
      <c r="C55" s="1"/>
      <c r="D55" s="5">
        <f>Table1[[#This Row],[Enrolment S.Y. 2025-2026 ]]*8</f>
        <v>0</v>
      </c>
      <c r="E55" s="5"/>
      <c r="F55" s="1"/>
      <c r="G55" s="5"/>
      <c r="H55" s="5">
        <f t="shared" si="2"/>
        <v>0</v>
      </c>
      <c r="I55" s="5">
        <f t="shared" si="3"/>
        <v>0</v>
      </c>
      <c r="J55" s="5">
        <f>Table1[[#This Row],[Enrolment S.Y. 2025-2026 ]]*8</f>
        <v>0</v>
      </c>
      <c r="K55" s="5"/>
      <c r="L55" s="1"/>
      <c r="M55" s="5"/>
      <c r="N55" s="5">
        <f t="shared" si="10"/>
        <v>0</v>
      </c>
      <c r="O55" s="5">
        <f t="shared" si="11"/>
        <v>0</v>
      </c>
      <c r="P55" s="5">
        <f>Table1[[#This Row],[Enrolment S.Y. 2025-2026 ]]*8</f>
        <v>0</v>
      </c>
      <c r="Q55" s="5"/>
      <c r="R55" s="1"/>
      <c r="S55" s="5"/>
      <c r="T55" s="5">
        <f t="shared" si="12"/>
        <v>0</v>
      </c>
      <c r="U55" s="5">
        <f t="shared" si="13"/>
        <v>0</v>
      </c>
      <c r="V55" s="5">
        <f>Table1[[#This Row],[Enrolment S.Y. 2025-2026 ]]*8</f>
        <v>0</v>
      </c>
      <c r="W55" s="5"/>
      <c r="X55" s="1"/>
      <c r="Y55" s="5"/>
      <c r="Z55" s="5">
        <f t="shared" si="14"/>
        <v>0</v>
      </c>
      <c r="AA55" s="5">
        <f t="shared" si="15"/>
        <v>0</v>
      </c>
    </row>
    <row r="56" spans="1:27" ht="20.25">
      <c r="A56" s="1">
        <v>6</v>
      </c>
      <c r="B56" s="9" t="s">
        <v>11</v>
      </c>
      <c r="C56" s="1"/>
      <c r="D56" s="5">
        <f>Table1[[#This Row],[Enrolment S.Y. 2025-2026 ]]*8</f>
        <v>0</v>
      </c>
      <c r="E56" s="5"/>
      <c r="F56" s="1"/>
      <c r="G56" s="5"/>
      <c r="H56" s="5">
        <f t="shared" si="2"/>
        <v>0</v>
      </c>
      <c r="I56" s="5">
        <f t="shared" si="3"/>
        <v>0</v>
      </c>
      <c r="J56" s="5">
        <f>Table1[[#This Row],[Enrolment S.Y. 2025-2026 ]]*8</f>
        <v>0</v>
      </c>
      <c r="K56" s="5"/>
      <c r="L56" s="1"/>
      <c r="M56" s="5"/>
      <c r="N56" s="5">
        <f t="shared" si="10"/>
        <v>0</v>
      </c>
      <c r="O56" s="5">
        <f t="shared" si="11"/>
        <v>0</v>
      </c>
      <c r="P56" s="5">
        <f>Table1[[#This Row],[Enrolment S.Y. 2025-2026 ]]*8</f>
        <v>0</v>
      </c>
      <c r="Q56" s="5"/>
      <c r="R56" s="1"/>
      <c r="S56" s="5"/>
      <c r="T56" s="5">
        <f t="shared" si="12"/>
        <v>0</v>
      </c>
      <c r="U56" s="5">
        <f t="shared" si="13"/>
        <v>0</v>
      </c>
      <c r="V56" s="5">
        <f>Table1[[#This Row],[Enrolment S.Y. 2025-2026 ]]*8</f>
        <v>0</v>
      </c>
      <c r="W56" s="5"/>
      <c r="X56" s="1"/>
      <c r="Y56" s="5"/>
      <c r="Z56" s="5">
        <f t="shared" si="14"/>
        <v>0</v>
      </c>
      <c r="AA56" s="5">
        <f t="shared" si="15"/>
        <v>0</v>
      </c>
    </row>
    <row r="57" spans="1:27" ht="20.25">
      <c r="A57" s="1">
        <v>6</v>
      </c>
      <c r="B57" s="9" t="s">
        <v>17</v>
      </c>
      <c r="C57" s="1"/>
      <c r="D57" s="5">
        <f>Table1[[#This Row],[Enrolment S.Y. 2025-2026 ]]*8</f>
        <v>0</v>
      </c>
      <c r="E57" s="5"/>
      <c r="F57" s="1"/>
      <c r="G57" s="5"/>
      <c r="H57" s="5">
        <f t="shared" si="2"/>
        <v>0</v>
      </c>
      <c r="I57" s="5">
        <f t="shared" si="3"/>
        <v>0</v>
      </c>
      <c r="J57" s="5">
        <f>Table1[[#This Row],[Enrolment S.Y. 2025-2026 ]]*8</f>
        <v>0</v>
      </c>
      <c r="K57" s="5"/>
      <c r="L57" s="1"/>
      <c r="M57" s="5"/>
      <c r="N57" s="5">
        <f t="shared" si="10"/>
        <v>0</v>
      </c>
      <c r="O57" s="5">
        <f t="shared" si="11"/>
        <v>0</v>
      </c>
      <c r="P57" s="5">
        <f>Table1[[#This Row],[Enrolment S.Y. 2025-2026 ]]*8</f>
        <v>0</v>
      </c>
      <c r="Q57" s="5"/>
      <c r="R57" s="1"/>
      <c r="S57" s="5"/>
      <c r="T57" s="5">
        <f t="shared" si="12"/>
        <v>0</v>
      </c>
      <c r="U57" s="5">
        <f t="shared" si="13"/>
        <v>0</v>
      </c>
      <c r="V57" s="5">
        <f>Table1[[#This Row],[Enrolment S.Y. 2025-2026 ]]*8</f>
        <v>0</v>
      </c>
      <c r="W57" s="5"/>
      <c r="X57" s="1"/>
      <c r="Y57" s="5"/>
      <c r="Z57" s="5">
        <f t="shared" si="14"/>
        <v>0</v>
      </c>
      <c r="AA57" s="5">
        <f t="shared" si="15"/>
        <v>0</v>
      </c>
    </row>
    <row r="58" spans="1:27" ht="20.25">
      <c r="A58" s="1">
        <v>6</v>
      </c>
      <c r="B58" s="9" t="s">
        <v>14</v>
      </c>
      <c r="C58" s="1"/>
      <c r="D58" s="5">
        <f>Table1[[#This Row],[Enrolment S.Y. 2025-2026 ]]*8</f>
        <v>0</v>
      </c>
      <c r="E58" s="5"/>
      <c r="F58" s="1"/>
      <c r="G58" s="5"/>
      <c r="H58" s="5">
        <f t="shared" si="2"/>
        <v>0</v>
      </c>
      <c r="I58" s="5">
        <f t="shared" si="3"/>
        <v>0</v>
      </c>
      <c r="J58" s="5">
        <f>Table1[[#This Row],[Enrolment S.Y. 2025-2026 ]]*8</f>
        <v>0</v>
      </c>
      <c r="K58" s="5"/>
      <c r="L58" s="1"/>
      <c r="M58" s="5"/>
      <c r="N58" s="5">
        <f t="shared" si="10"/>
        <v>0</v>
      </c>
      <c r="O58" s="5">
        <f t="shared" si="11"/>
        <v>0</v>
      </c>
      <c r="P58" s="5">
        <f>Table1[[#This Row],[Enrolment S.Y. 2025-2026 ]]*8</f>
        <v>0</v>
      </c>
      <c r="Q58" s="5"/>
      <c r="R58" s="1"/>
      <c r="S58" s="5"/>
      <c r="T58" s="5">
        <f t="shared" si="12"/>
        <v>0</v>
      </c>
      <c r="U58" s="5">
        <f t="shared" si="13"/>
        <v>0</v>
      </c>
      <c r="V58" s="5">
        <f>Table1[[#This Row],[Enrolment S.Y. 2025-2026 ]]*8</f>
        <v>0</v>
      </c>
      <c r="W58" s="5"/>
      <c r="X58" s="1"/>
      <c r="Y58" s="5"/>
      <c r="Z58" s="5">
        <f t="shared" si="14"/>
        <v>0</v>
      </c>
      <c r="AA58" s="5">
        <f t="shared" si="15"/>
        <v>0</v>
      </c>
    </row>
    <row r="59" spans="1:27" ht="20.25">
      <c r="A59" s="1">
        <v>6</v>
      </c>
      <c r="B59" s="9" t="s">
        <v>18</v>
      </c>
      <c r="C59" s="1"/>
      <c r="D59" s="5">
        <f>Table1[[#This Row],[Enrolment S.Y. 2025-2026 ]]*8</f>
        <v>0</v>
      </c>
      <c r="E59" s="5"/>
      <c r="F59" s="1"/>
      <c r="G59" s="5"/>
      <c r="H59" s="5">
        <f t="shared" si="2"/>
        <v>0</v>
      </c>
      <c r="I59" s="5">
        <f t="shared" si="3"/>
        <v>0</v>
      </c>
      <c r="J59" s="5">
        <f>Table1[[#This Row],[Enrolment S.Y. 2025-2026 ]]*8</f>
        <v>0</v>
      </c>
      <c r="K59" s="5"/>
      <c r="L59" s="1"/>
      <c r="M59" s="5"/>
      <c r="N59" s="5">
        <f t="shared" si="10"/>
        <v>0</v>
      </c>
      <c r="O59" s="5">
        <f t="shared" si="11"/>
        <v>0</v>
      </c>
      <c r="P59" s="5">
        <f>Table1[[#This Row],[Enrolment S.Y. 2025-2026 ]]*8</f>
        <v>0</v>
      </c>
      <c r="Q59" s="5"/>
      <c r="R59" s="1"/>
      <c r="S59" s="5"/>
      <c r="T59" s="5">
        <f t="shared" si="12"/>
        <v>0</v>
      </c>
      <c r="U59" s="5">
        <f t="shared" si="13"/>
        <v>0</v>
      </c>
      <c r="V59" s="5">
        <f>Table1[[#This Row],[Enrolment S.Y. 2025-2026 ]]*8</f>
        <v>0</v>
      </c>
      <c r="W59" s="5"/>
      <c r="X59" s="1"/>
      <c r="Y59" s="5"/>
      <c r="Z59" s="5">
        <f t="shared" si="14"/>
        <v>0</v>
      </c>
      <c r="AA59" s="5">
        <f t="shared" si="15"/>
        <v>0</v>
      </c>
    </row>
    <row r="60" spans="1:27" ht="20.25">
      <c r="A60" s="1">
        <v>6</v>
      </c>
      <c r="B60" s="9" t="s">
        <v>19</v>
      </c>
      <c r="C60" s="1"/>
      <c r="D60" s="5">
        <f>Table1[[#This Row],[Enrolment S.Y. 2025-2026 ]]*8</f>
        <v>0</v>
      </c>
      <c r="E60" s="5"/>
      <c r="F60" s="1"/>
      <c r="G60" s="5"/>
      <c r="H60" s="5">
        <f t="shared" si="2"/>
        <v>0</v>
      </c>
      <c r="I60" s="5">
        <f t="shared" si="3"/>
        <v>0</v>
      </c>
      <c r="J60" s="5">
        <f>Table1[[#This Row],[Enrolment S.Y. 2025-2026 ]]*8</f>
        <v>0</v>
      </c>
      <c r="K60" s="5"/>
      <c r="L60" s="1"/>
      <c r="M60" s="5"/>
      <c r="N60" s="5">
        <f t="shared" si="10"/>
        <v>0</v>
      </c>
      <c r="O60" s="5">
        <f t="shared" si="11"/>
        <v>0</v>
      </c>
      <c r="P60" s="5">
        <f>Table1[[#This Row],[Enrolment S.Y. 2025-2026 ]]*8</f>
        <v>0</v>
      </c>
      <c r="Q60" s="5"/>
      <c r="R60" s="1"/>
      <c r="S60" s="5"/>
      <c r="T60" s="5">
        <f t="shared" si="12"/>
        <v>0</v>
      </c>
      <c r="U60" s="5">
        <f t="shared" si="13"/>
        <v>0</v>
      </c>
      <c r="V60" s="5">
        <f>Table1[[#This Row],[Enrolment S.Y. 2025-2026 ]]*8</f>
        <v>0</v>
      </c>
      <c r="W60" s="5"/>
      <c r="X60" s="1"/>
      <c r="Y60" s="5"/>
      <c r="Z60" s="5">
        <f t="shared" si="14"/>
        <v>0</v>
      </c>
      <c r="AA60" s="5">
        <f t="shared" si="15"/>
        <v>0</v>
      </c>
    </row>
    <row r="61" spans="1:27" ht="20.25">
      <c r="A61" s="1">
        <v>6</v>
      </c>
      <c r="B61" s="9" t="s">
        <v>20</v>
      </c>
      <c r="C61" s="1"/>
      <c r="D61" s="5">
        <f>Table1[[#This Row],[Enrolment S.Y. 2025-2026 ]]*8</f>
        <v>0</v>
      </c>
      <c r="E61" s="5"/>
      <c r="F61" s="1"/>
      <c r="G61" s="5"/>
      <c r="H61" s="5">
        <f t="shared" si="2"/>
        <v>0</v>
      </c>
      <c r="I61" s="5">
        <f t="shared" si="3"/>
        <v>0</v>
      </c>
      <c r="J61" s="5">
        <f>Table1[[#This Row],[Enrolment S.Y. 2025-2026 ]]*8</f>
        <v>0</v>
      </c>
      <c r="K61" s="5"/>
      <c r="L61" s="1"/>
      <c r="M61" s="5"/>
      <c r="N61" s="5">
        <f t="shared" si="10"/>
        <v>0</v>
      </c>
      <c r="O61" s="5">
        <f t="shared" si="11"/>
        <v>0</v>
      </c>
      <c r="P61" s="5">
        <f>Table1[[#This Row],[Enrolment S.Y. 2025-2026 ]]*8</f>
        <v>0</v>
      </c>
      <c r="Q61" s="5"/>
      <c r="R61" s="1"/>
      <c r="S61" s="5"/>
      <c r="T61" s="5">
        <f t="shared" si="12"/>
        <v>0</v>
      </c>
      <c r="U61" s="5">
        <f t="shared" si="13"/>
        <v>0</v>
      </c>
      <c r="V61" s="5">
        <f>Table1[[#This Row],[Enrolment S.Y. 2025-2026 ]]*8</f>
        <v>0</v>
      </c>
      <c r="W61" s="5"/>
      <c r="X61" s="1"/>
      <c r="Y61" s="5"/>
      <c r="Z61" s="5">
        <f t="shared" si="14"/>
        <v>0</v>
      </c>
      <c r="AA61" s="5">
        <f t="shared" si="15"/>
        <v>0</v>
      </c>
    </row>
    <row r="62" spans="1:27" s="7" customFormat="1">
      <c r="A62"/>
      <c r="B62"/>
      <c r="C62"/>
      <c r="D62"/>
      <c r="E62"/>
      <c r="F62"/>
      <c r="G62"/>
      <c r="H62"/>
      <c r="I62"/>
      <c r="J62"/>
      <c r="K62"/>
      <c r="L62"/>
      <c r="M62"/>
      <c r="N62"/>
      <c r="O62"/>
      <c r="P62"/>
      <c r="Q62"/>
      <c r="R62"/>
      <c r="S62"/>
      <c r="T62"/>
      <c r="U62"/>
      <c r="V62"/>
      <c r="W62"/>
      <c r="X62"/>
      <c r="Y62"/>
      <c r="Z62"/>
      <c r="AA62"/>
    </row>
    <row r="72" spans="1:27" s="7" customFormat="1">
      <c r="A72"/>
      <c r="B72"/>
      <c r="C72"/>
      <c r="D72"/>
      <c r="E72"/>
      <c r="F72"/>
      <c r="G72"/>
      <c r="H72"/>
      <c r="I72"/>
      <c r="J72"/>
      <c r="K72"/>
      <c r="L72"/>
      <c r="M72"/>
      <c r="N72"/>
      <c r="O72"/>
      <c r="P72"/>
      <c r="Q72"/>
      <c r="R72"/>
      <c r="S72"/>
      <c r="T72"/>
      <c r="U72"/>
      <c r="V72"/>
      <c r="W72"/>
      <c r="X72"/>
      <c r="Y72"/>
      <c r="Z72"/>
      <c r="AA72"/>
    </row>
    <row r="82" spans="1:27" s="7" customFormat="1">
      <c r="A82"/>
      <c r="B82"/>
      <c r="C82"/>
      <c r="D82"/>
      <c r="E82"/>
      <c r="F82"/>
      <c r="G82"/>
      <c r="H82"/>
      <c r="I82"/>
      <c r="J82"/>
      <c r="K82"/>
      <c r="L82"/>
      <c r="M82"/>
      <c r="N82"/>
      <c r="O82"/>
      <c r="P82"/>
      <c r="Q82"/>
      <c r="R82"/>
      <c r="S82"/>
      <c r="T82"/>
      <c r="U82"/>
      <c r="V82"/>
      <c r="W82"/>
      <c r="X82"/>
      <c r="Y82"/>
      <c r="Z82"/>
      <c r="AA82"/>
    </row>
    <row r="92" spans="1:27" s="7" customFormat="1">
      <c r="A92"/>
      <c r="B92"/>
      <c r="C92"/>
      <c r="D92"/>
      <c r="E92"/>
      <c r="F92"/>
      <c r="G92"/>
      <c r="H92"/>
      <c r="I92"/>
      <c r="J92"/>
      <c r="K92"/>
      <c r="L92"/>
      <c r="M92"/>
      <c r="N92"/>
      <c r="O92"/>
      <c r="P92"/>
      <c r="Q92"/>
      <c r="R92"/>
      <c r="S92"/>
      <c r="T92"/>
      <c r="U92"/>
      <c r="V92"/>
      <c r="W92"/>
      <c r="X92"/>
      <c r="Y92"/>
      <c r="Z92"/>
      <c r="AA92"/>
    </row>
    <row r="102" spans="1:27" s="7" customFormat="1">
      <c r="A102"/>
      <c r="B102"/>
      <c r="C102"/>
      <c r="D102"/>
      <c r="E102"/>
      <c r="F102"/>
      <c r="G102"/>
      <c r="H102"/>
      <c r="I102"/>
      <c r="J102"/>
      <c r="K102"/>
      <c r="L102"/>
      <c r="M102"/>
      <c r="N102"/>
      <c r="O102"/>
      <c r="P102"/>
      <c r="Q102"/>
      <c r="R102"/>
      <c r="S102"/>
      <c r="T102"/>
      <c r="U102"/>
      <c r="V102"/>
      <c r="W102"/>
      <c r="X102"/>
      <c r="Y102"/>
      <c r="Z102"/>
      <c r="AA102"/>
    </row>
    <row r="111" spans="1:27" s="7" customFormat="1">
      <c r="A111"/>
      <c r="B111"/>
      <c r="C111"/>
      <c r="D111"/>
      <c r="E111"/>
      <c r="F111"/>
      <c r="G111"/>
      <c r="H111"/>
      <c r="I111"/>
      <c r="J111"/>
      <c r="K111"/>
      <c r="L111"/>
      <c r="M111"/>
      <c r="N111"/>
      <c r="O111"/>
      <c r="P111"/>
      <c r="Q111"/>
      <c r="R111"/>
      <c r="S111"/>
      <c r="T111"/>
      <c r="U111"/>
      <c r="V111"/>
      <c r="W111"/>
      <c r="X111"/>
      <c r="Y111"/>
      <c r="Z111"/>
      <c r="AA111"/>
    </row>
  </sheetData>
  <protectedRanges>
    <protectedRange sqref="C2:C3 C14:C21 C23:C31 C33:C41 C43:C51 C53:C61 C5:C12" name="Textbooks"/>
    <protectedRange sqref="J2:L3 D2:F3 H5:L5 D14:F21 Q14:R21 W14:X21 D23:F31 Q23:R31 W23:X31 D33:F41 H33:I41 Q33:R41 W33:X41 D43:F51 H43:I51 Q43:R51 W43:X51 D53:F61 H53:I61 Q53:R61 W53:X61 N5:R12 H14:I21 H23:I31 H6:I12 K6:L12 K33:L41 K43:L51 K53:L61 T5:X12 N4:P4 T4:V4 J4 Y13 N3:R3 K14:L21 K23:L31 N13:P61 P2:R2 V2:X3 T13:V61 J6:J61 Z4:AA61 D5:F12" name="LAS"/>
    <protectedRange sqref="G2:I3 M2:O2 S2:U3 Y2:AA3 G23:G31 G33:G41 G43:G51 S4:S61 G5:G12 M5:M12 M14:M61 Y5:Y12 G14:G21 Y14:Y61 M3 G53:G61" name="SOURCE"/>
  </protectedRanges>
  <dataConsolidate/>
  <mergeCells count="4">
    <mergeCell ref="D1:I1"/>
    <mergeCell ref="J1:O1"/>
    <mergeCell ref="P1:U1"/>
    <mergeCell ref="V1:AA1"/>
  </mergeCells>
  <dataValidations count="2">
    <dataValidation type="list" allowBlank="1" showInputMessage="1" showErrorMessage="1" sqref="F53:F61 F43:F51 F33:F41 F23:F31 F14:F21 F5:F12 L53:L61 L43:L51 L33:L41 L23:L31 L14:L21 L5:L12 R53:R61 R43:R51 R33:R41 R23:R31 R14:R21 R5:R12 X53:X61 X43:X51 X33:X41 X23:X31 X14:X21 X5:X12" xr:uid="{4ECCD083-8EC4-42EE-B46C-B614411F330D}">
      <formula1>"2024,2025,2026"</formula1>
    </dataValidation>
    <dataValidation type="list" allowBlank="1" showInputMessage="1" showErrorMessage="1" sqref="M14:M61 Y14:Y61 S4:S61 G5:G12 M5:M12 Y5:Y12 G14:G21 G23:G31 G33:G41 G43:G51 G53:G61" xr:uid="{5129D80C-83DF-45BE-B6AD-F21CA596CBA5}">
      <formula1>"CO,RO,SDO,LGU,SCHOOL"</formula1>
    </dataValidation>
  </dataValidations>
  <pageMargins left="0.7" right="0.7" top="0.75" bottom="0.75" header="0.3" footer="0.3"/>
  <ignoredErrors>
    <ignoredError sqref="J5 P5:P6 V5" calculatedColumn="1"/>
  </ignoredErrors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76E3C0-9A94-45E4-9AFD-70DF8ABE5E5A}">
  <dimension ref="A1:AB140"/>
  <sheetViews>
    <sheetView tabSelected="1" topLeftCell="A52" zoomScale="55" zoomScaleNormal="55" workbookViewId="0">
      <selection activeCell="AD144" sqref="AD144"/>
    </sheetView>
  </sheetViews>
  <sheetFormatPr defaultRowHeight="15"/>
  <cols>
    <col min="1" max="1" width="9.42578125" customWidth="1"/>
    <col min="2" max="2" width="27.85546875" customWidth="1"/>
    <col min="3" max="3" width="17.140625" customWidth="1"/>
    <col min="4" max="4" width="16.42578125" customWidth="1"/>
    <col min="5" max="5" width="23.140625" customWidth="1"/>
    <col min="6" max="6" width="24.85546875" bestFit="1" customWidth="1"/>
    <col min="7" max="7" width="18.5703125" customWidth="1"/>
    <col min="8" max="9" width="20.85546875" customWidth="1"/>
    <col min="10" max="10" width="13.7109375" customWidth="1"/>
    <col min="11" max="11" width="24.42578125" customWidth="1"/>
    <col min="12" max="12" width="18.140625" customWidth="1"/>
    <col min="13" max="15" width="20.85546875" customWidth="1"/>
    <col min="16" max="16" width="21.5703125" customWidth="1"/>
    <col min="17" max="17" width="29.140625" customWidth="1"/>
    <col min="18" max="18" width="25.85546875" customWidth="1"/>
    <col min="19" max="19" width="32.85546875" customWidth="1"/>
    <col min="20" max="21" width="20.85546875" customWidth="1"/>
    <col min="22" max="22" width="16.140625" customWidth="1"/>
    <col min="23" max="23" width="25" customWidth="1"/>
    <col min="24" max="24" width="15.28515625" customWidth="1"/>
    <col min="25" max="25" width="20.85546875" customWidth="1"/>
    <col min="26" max="26" width="14.85546875" customWidth="1"/>
    <col min="27" max="27" width="15.140625" customWidth="1"/>
  </cols>
  <sheetData>
    <row r="1" spans="1:27" s="25" customFormat="1" ht="34.15" customHeight="1">
      <c r="B1" s="29"/>
      <c r="D1" s="35" t="s">
        <v>21</v>
      </c>
      <c r="E1" s="35"/>
      <c r="F1" s="35"/>
      <c r="G1" s="35"/>
      <c r="H1" s="35"/>
      <c r="I1" s="35"/>
      <c r="J1" s="36" t="s">
        <v>22</v>
      </c>
      <c r="K1" s="36"/>
      <c r="L1" s="36"/>
      <c r="M1" s="36"/>
      <c r="N1" s="36"/>
      <c r="O1" s="36"/>
      <c r="P1" s="37" t="s">
        <v>23</v>
      </c>
      <c r="Q1" s="37"/>
      <c r="R1" s="37"/>
      <c r="S1" s="37"/>
      <c r="T1" s="37"/>
      <c r="U1" s="37"/>
      <c r="V1" s="38" t="s">
        <v>24</v>
      </c>
      <c r="W1" s="38"/>
      <c r="X1" s="38"/>
      <c r="Y1" s="38"/>
      <c r="Z1" s="38"/>
      <c r="AA1" s="38"/>
    </row>
    <row r="2" spans="1:27" ht="69.599999999999994" customHeight="1">
      <c r="A2" s="12" t="s">
        <v>0</v>
      </c>
      <c r="B2" s="30" t="s">
        <v>1</v>
      </c>
      <c r="C2" s="13" t="s">
        <v>2</v>
      </c>
      <c r="D2" s="17" t="s">
        <v>51</v>
      </c>
      <c r="E2" s="17" t="s">
        <v>52</v>
      </c>
      <c r="F2" s="18" t="s">
        <v>53</v>
      </c>
      <c r="G2" s="21" t="s">
        <v>54</v>
      </c>
      <c r="H2" s="14" t="s">
        <v>55</v>
      </c>
      <c r="I2" s="21" t="s">
        <v>56</v>
      </c>
      <c r="J2" s="19" t="s">
        <v>57</v>
      </c>
      <c r="K2" s="19" t="s">
        <v>58</v>
      </c>
      <c r="L2" s="20" t="s">
        <v>59</v>
      </c>
      <c r="M2" s="33" t="s">
        <v>60</v>
      </c>
      <c r="N2" s="33" t="s">
        <v>61</v>
      </c>
      <c r="O2" s="19" t="s">
        <v>62</v>
      </c>
      <c r="P2" s="21" t="s">
        <v>63</v>
      </c>
      <c r="Q2" s="21" t="s">
        <v>64</v>
      </c>
      <c r="R2" s="22" t="s">
        <v>65</v>
      </c>
      <c r="S2" s="14" t="s">
        <v>66</v>
      </c>
      <c r="T2" s="14" t="s">
        <v>67</v>
      </c>
      <c r="U2" s="21" t="s">
        <v>68</v>
      </c>
      <c r="V2" s="23" t="s">
        <v>69</v>
      </c>
      <c r="W2" s="23" t="s">
        <v>70</v>
      </c>
      <c r="X2" s="24" t="s">
        <v>71</v>
      </c>
      <c r="Y2" s="34" t="s">
        <v>72</v>
      </c>
      <c r="Z2" s="34" t="s">
        <v>73</v>
      </c>
      <c r="AA2" s="23" t="s">
        <v>74</v>
      </c>
    </row>
    <row r="3" spans="1:27" ht="34.5">
      <c r="A3" s="1">
        <v>1</v>
      </c>
      <c r="B3" s="2" t="s">
        <v>8</v>
      </c>
      <c r="C3" s="1"/>
      <c r="D3" s="5">
        <f>Table14[[#This Row],[Enrolment S.Y. 2025-2026 ]]*8</f>
        <v>0</v>
      </c>
      <c r="E3" s="5"/>
      <c r="F3" s="1"/>
      <c r="G3" s="5"/>
      <c r="H3" s="5">
        <f t="shared" ref="H3:H65" si="0">IF((D3-E3)&lt;0,0,(D3-E3))</f>
        <v>0</v>
      </c>
      <c r="I3" s="5">
        <f t="shared" ref="I3:I65" si="1">IF((E3-D3)&lt;0,0,(E3-D3))</f>
        <v>0</v>
      </c>
      <c r="J3" s="5">
        <f>Table14[[#This Row],[Enrolment S.Y. 2025-2026 ]]*8</f>
        <v>0</v>
      </c>
      <c r="K3" s="5"/>
      <c r="L3" s="1"/>
      <c r="M3" s="5"/>
      <c r="N3" s="5">
        <f t="shared" ref="N3:N60" si="2">IF((J3-K3)&lt;0,0,(J3-K3))</f>
        <v>0</v>
      </c>
      <c r="O3" s="5">
        <f t="shared" ref="O3:O60" si="3">IF((K3-J3)&lt;0,0,(K3-J3))</f>
        <v>0</v>
      </c>
      <c r="P3" s="5">
        <f>Table14[[#This Row],[Enrolment S.Y. 2025-2026 ]]*8</f>
        <v>0</v>
      </c>
      <c r="Q3" s="5"/>
      <c r="R3" s="1"/>
      <c r="S3" s="5"/>
      <c r="T3" s="5">
        <f t="shared" ref="T3:T65" si="4">IF((P3-Q3)&lt;0,0,(P3-Q3))</f>
        <v>0</v>
      </c>
      <c r="U3" s="5">
        <f t="shared" ref="U3:U65" si="5">IF((Q3-P3)&lt;0,0,(Q3-P3))</f>
        <v>0</v>
      </c>
      <c r="V3" s="5">
        <f>Table14[[#This Row],[Enrolment S.Y. 2025-2026 ]]*8</f>
        <v>0</v>
      </c>
      <c r="W3" s="5"/>
      <c r="X3" s="1"/>
      <c r="Y3" s="5"/>
      <c r="Z3" s="5">
        <f t="shared" ref="Z3:Z65" si="6">IF((V3-W3)&lt;0,0,(V3-W3))</f>
        <v>0</v>
      </c>
      <c r="AA3" s="5">
        <f t="shared" ref="AA3:AA65" si="7">IF((W3-V3)&lt;0,0,(W3-V3))</f>
        <v>0</v>
      </c>
    </row>
    <row r="4" spans="1:27" ht="20.25">
      <c r="A4" s="1">
        <v>1</v>
      </c>
      <c r="B4" s="2" t="s">
        <v>10</v>
      </c>
      <c r="C4" s="1"/>
      <c r="D4" s="5">
        <f>Table14[[#This Row],[Enrolment S.Y. 2025-2026 ]]*8</f>
        <v>0</v>
      </c>
      <c r="E4" s="5"/>
      <c r="F4" s="1"/>
      <c r="G4" s="5"/>
      <c r="H4" s="5">
        <f t="shared" si="0"/>
        <v>0</v>
      </c>
      <c r="I4" s="5">
        <f t="shared" si="1"/>
        <v>0</v>
      </c>
      <c r="J4" s="5">
        <f>Table14[[#This Row],[Enrolment S.Y. 2025-2026 ]]*8</f>
        <v>0</v>
      </c>
      <c r="K4" s="5"/>
      <c r="L4" s="1"/>
      <c r="M4" s="5"/>
      <c r="N4" s="5">
        <f t="shared" si="2"/>
        <v>0</v>
      </c>
      <c r="O4" s="5">
        <f t="shared" si="3"/>
        <v>0</v>
      </c>
      <c r="P4" s="5">
        <f>Table14[[#This Row],[Enrolment S.Y. 2025-2026 ]]*8</f>
        <v>0</v>
      </c>
      <c r="Q4" s="5"/>
      <c r="R4" s="1"/>
      <c r="S4" s="5"/>
      <c r="T4" s="5">
        <f t="shared" si="4"/>
        <v>0</v>
      </c>
      <c r="U4" s="5">
        <f t="shared" si="5"/>
        <v>0</v>
      </c>
      <c r="V4" s="5">
        <f>Table14[[#This Row],[Enrolment S.Y. 2025-2026 ]]*8</f>
        <v>0</v>
      </c>
      <c r="W4" s="5"/>
      <c r="X4" s="1"/>
      <c r="Y4" s="5"/>
      <c r="Z4" s="5">
        <f t="shared" si="6"/>
        <v>0</v>
      </c>
      <c r="AA4" s="5">
        <f t="shared" si="7"/>
        <v>0</v>
      </c>
    </row>
    <row r="5" spans="1:27" ht="20.25">
      <c r="A5" s="1">
        <v>1</v>
      </c>
      <c r="B5" s="2" t="s">
        <v>11</v>
      </c>
      <c r="C5" s="1"/>
      <c r="D5" s="5">
        <f>Table14[[#This Row],[Enrolment S.Y. 2025-2026 ]]*8</f>
        <v>0</v>
      </c>
      <c r="E5" s="5"/>
      <c r="F5" s="1"/>
      <c r="G5" s="5"/>
      <c r="H5" s="5">
        <f t="shared" si="0"/>
        <v>0</v>
      </c>
      <c r="I5" s="5">
        <f t="shared" si="1"/>
        <v>0</v>
      </c>
      <c r="J5" s="5">
        <f>Table14[[#This Row],[Enrolment S.Y. 2025-2026 ]]*8</f>
        <v>0</v>
      </c>
      <c r="K5" s="5"/>
      <c r="L5" s="1"/>
      <c r="M5" s="5"/>
      <c r="N5" s="5">
        <f t="shared" si="2"/>
        <v>0</v>
      </c>
      <c r="O5" s="5">
        <f t="shared" si="3"/>
        <v>0</v>
      </c>
      <c r="P5" s="5">
        <f>Table14[[#This Row],[Enrolment S.Y. 2025-2026 ]]*8</f>
        <v>0</v>
      </c>
      <c r="Q5" s="5"/>
      <c r="R5" s="1"/>
      <c r="S5" s="5"/>
      <c r="T5" s="5">
        <f t="shared" si="4"/>
        <v>0</v>
      </c>
      <c r="U5" s="5">
        <f t="shared" si="5"/>
        <v>0</v>
      </c>
      <c r="V5" s="5">
        <f>Table14[[#This Row],[Enrolment S.Y. 2025-2026 ]]*8</f>
        <v>0</v>
      </c>
      <c r="W5" s="5"/>
      <c r="X5" s="1"/>
      <c r="Y5" s="5"/>
      <c r="Z5" s="5">
        <f t="shared" si="6"/>
        <v>0</v>
      </c>
      <c r="AA5" s="5">
        <f t="shared" si="7"/>
        <v>0</v>
      </c>
    </row>
    <row r="6" spans="1:27" ht="20.25">
      <c r="A6" s="1">
        <v>1</v>
      </c>
      <c r="B6" s="2" t="s">
        <v>12</v>
      </c>
      <c r="C6" s="1"/>
      <c r="D6" s="5">
        <f>Table14[[#This Row],[Enrolment S.Y. 2025-2026 ]]*8</f>
        <v>0</v>
      </c>
      <c r="E6" s="5"/>
      <c r="F6" s="1"/>
      <c r="G6" s="5"/>
      <c r="H6" s="5">
        <f t="shared" si="0"/>
        <v>0</v>
      </c>
      <c r="I6" s="5">
        <f t="shared" si="1"/>
        <v>0</v>
      </c>
      <c r="J6" s="5">
        <f>Table14[[#This Row],[Enrolment S.Y. 2025-2026 ]]*8</f>
        <v>0</v>
      </c>
      <c r="K6" s="5"/>
      <c r="L6" s="1"/>
      <c r="M6" s="5"/>
      <c r="N6" s="5">
        <f t="shared" si="2"/>
        <v>0</v>
      </c>
      <c r="O6" s="5">
        <f t="shared" si="3"/>
        <v>0</v>
      </c>
      <c r="P6" s="5">
        <f>Table14[[#This Row],[Enrolment S.Y. 2025-2026 ]]*8</f>
        <v>0</v>
      </c>
      <c r="Q6" s="5"/>
      <c r="R6" s="1"/>
      <c r="S6" s="5"/>
      <c r="T6" s="5">
        <f t="shared" si="4"/>
        <v>0</v>
      </c>
      <c r="U6" s="5">
        <f t="shared" si="5"/>
        <v>0</v>
      </c>
      <c r="V6" s="5">
        <f>Table14[[#This Row],[Enrolment S.Y. 2025-2026 ]]*8</f>
        <v>0</v>
      </c>
      <c r="W6" s="5"/>
      <c r="X6" s="1"/>
      <c r="Y6" s="5"/>
      <c r="Z6" s="5">
        <f t="shared" si="6"/>
        <v>0</v>
      </c>
      <c r="AA6" s="5">
        <f t="shared" si="7"/>
        <v>0</v>
      </c>
    </row>
    <row r="7" spans="1:27" ht="20.25">
      <c r="A7" s="1">
        <v>1</v>
      </c>
      <c r="B7" s="2" t="s">
        <v>13</v>
      </c>
      <c r="C7" s="1"/>
      <c r="D7" s="5">
        <f>Table14[[#This Row],[Enrolment S.Y. 2025-2026 ]]*8</f>
        <v>0</v>
      </c>
      <c r="E7" s="5"/>
      <c r="F7" s="1"/>
      <c r="G7" s="5"/>
      <c r="H7" s="5">
        <f t="shared" si="0"/>
        <v>0</v>
      </c>
      <c r="I7" s="5">
        <f t="shared" si="1"/>
        <v>0</v>
      </c>
      <c r="J7" s="5">
        <f>Table14[[#This Row],[Enrolment S.Y. 2025-2026 ]]*8</f>
        <v>0</v>
      </c>
      <c r="K7" s="5"/>
      <c r="L7" s="1"/>
      <c r="M7" s="5"/>
      <c r="N7" s="5">
        <f t="shared" si="2"/>
        <v>0</v>
      </c>
      <c r="O7" s="5">
        <f t="shared" si="3"/>
        <v>0</v>
      </c>
      <c r="P7" s="5">
        <f>Table14[[#This Row],[Enrolment S.Y. 2025-2026 ]]*8</f>
        <v>0</v>
      </c>
      <c r="Q7" s="5"/>
      <c r="R7" s="1"/>
      <c r="S7" s="5"/>
      <c r="T7" s="5">
        <f t="shared" si="4"/>
        <v>0</v>
      </c>
      <c r="U7" s="5">
        <f t="shared" si="5"/>
        <v>0</v>
      </c>
      <c r="V7" s="5">
        <f>Table14[[#This Row],[Enrolment S.Y. 2025-2026 ]]*8</f>
        <v>0</v>
      </c>
      <c r="W7" s="5"/>
      <c r="X7" s="1"/>
      <c r="Y7" s="5"/>
      <c r="Z7" s="5">
        <f t="shared" si="6"/>
        <v>0</v>
      </c>
      <c r="AA7" s="5">
        <f t="shared" si="7"/>
        <v>0</v>
      </c>
    </row>
    <row r="8" spans="1:27" ht="20.25">
      <c r="A8" s="1">
        <v>1</v>
      </c>
      <c r="B8" s="9" t="s">
        <v>15</v>
      </c>
      <c r="C8" s="1"/>
      <c r="D8" s="5">
        <f>Table14[[#This Row],[Enrolment S.Y. 2025-2026 ]]*8</f>
        <v>0</v>
      </c>
      <c r="E8" s="5"/>
      <c r="F8" s="1"/>
      <c r="G8" s="5"/>
      <c r="H8" s="5">
        <f>IF((D8-E8)&lt;0,0,(D8-E8))</f>
        <v>0</v>
      </c>
      <c r="I8" s="5">
        <f>IF((E8-D8)&lt;0,0,(E8-D8))</f>
        <v>0</v>
      </c>
      <c r="J8" s="5">
        <f>Table14[[#This Row],[Enrolment S.Y. 2025-2026 ]]*8</f>
        <v>0</v>
      </c>
      <c r="K8" s="5"/>
      <c r="L8" s="1"/>
      <c r="M8" s="5"/>
      <c r="N8" s="5">
        <f t="shared" si="2"/>
        <v>0</v>
      </c>
      <c r="O8" s="5">
        <f t="shared" si="3"/>
        <v>0</v>
      </c>
      <c r="P8" s="5">
        <f>Table14[[#This Row],[Enrolment S.Y. 2025-2026 ]]*8</f>
        <v>0</v>
      </c>
      <c r="Q8" s="5"/>
      <c r="R8" s="1"/>
      <c r="S8" s="5"/>
      <c r="T8" s="5">
        <f t="shared" si="4"/>
        <v>0</v>
      </c>
      <c r="U8" s="5">
        <f t="shared" si="5"/>
        <v>0</v>
      </c>
      <c r="V8" s="5">
        <f>Table14[[#This Row],[Enrolment S.Y. 2025-2026 ]]*8</f>
        <v>0</v>
      </c>
      <c r="W8" s="5"/>
      <c r="X8" s="1"/>
      <c r="Y8" s="5"/>
      <c r="Z8" s="5">
        <f t="shared" si="6"/>
        <v>0</v>
      </c>
      <c r="AA8" s="5">
        <f t="shared" si="7"/>
        <v>0</v>
      </c>
    </row>
    <row r="9" spans="1:27" ht="20.25">
      <c r="A9" s="1">
        <v>1</v>
      </c>
      <c r="B9" s="9" t="s">
        <v>16</v>
      </c>
      <c r="C9" s="1"/>
      <c r="D9" s="5">
        <f>Table14[[#This Row],[Enrolment S.Y. 2025-2026 ]]*8</f>
        <v>0</v>
      </c>
      <c r="E9" s="5"/>
      <c r="F9" s="1"/>
      <c r="G9" s="5"/>
      <c r="H9" s="5">
        <f>IF((D9-E9)&lt;0,0,(D9-E9))</f>
        <v>0</v>
      </c>
      <c r="I9" s="5">
        <f>IF((E9-D9)&lt;0,0,(E9-D9))</f>
        <v>0</v>
      </c>
      <c r="J9" s="5">
        <f>Table14[[#This Row],[Enrolment S.Y. 2025-2026 ]]*8</f>
        <v>0</v>
      </c>
      <c r="K9" s="5"/>
      <c r="L9" s="1"/>
      <c r="M9" s="5"/>
      <c r="N9" s="5">
        <f t="shared" si="2"/>
        <v>0</v>
      </c>
      <c r="O9" s="5">
        <f t="shared" si="3"/>
        <v>0</v>
      </c>
      <c r="P9" s="5">
        <f>Table14[[#This Row],[Enrolment S.Y. 2025-2026 ]]*8</f>
        <v>0</v>
      </c>
      <c r="Q9" s="5"/>
      <c r="R9" s="1"/>
      <c r="S9" s="5"/>
      <c r="T9" s="5">
        <f t="shared" si="4"/>
        <v>0</v>
      </c>
      <c r="U9" s="5">
        <f t="shared" si="5"/>
        <v>0</v>
      </c>
      <c r="V9" s="5">
        <f>Table14[[#This Row],[Enrolment S.Y. 2025-2026 ]]*8</f>
        <v>0</v>
      </c>
      <c r="W9" s="5"/>
      <c r="X9" s="1"/>
      <c r="Y9" s="5"/>
      <c r="Z9" s="5">
        <f t="shared" si="6"/>
        <v>0</v>
      </c>
      <c r="AA9" s="5">
        <f t="shared" si="7"/>
        <v>0</v>
      </c>
    </row>
    <row r="10" spans="1:27" ht="20.25">
      <c r="A10" s="1">
        <v>1</v>
      </c>
      <c r="B10" s="9" t="s">
        <v>50</v>
      </c>
      <c r="C10" s="1"/>
      <c r="D10" s="5">
        <f>Table14[[#This Row],[Enrolment S.Y. 2025-2026 ]]*8</f>
        <v>0</v>
      </c>
      <c r="E10" s="5"/>
      <c r="F10" s="1"/>
      <c r="G10" s="5"/>
      <c r="H10" s="5">
        <f>IF((D10-E10)&lt;0,0,(D10-E10))</f>
        <v>0</v>
      </c>
      <c r="I10" s="5">
        <f>IF((E10-D10)&lt;0,0,(E10-D10))</f>
        <v>0</v>
      </c>
      <c r="J10" s="5">
        <f>Table14[[#This Row],[Enrolment S.Y. 2025-2026 ]]*8</f>
        <v>0</v>
      </c>
      <c r="K10" s="5"/>
      <c r="L10" s="1"/>
      <c r="M10" s="5"/>
      <c r="N10" s="5">
        <f t="shared" si="2"/>
        <v>0</v>
      </c>
      <c r="O10" s="5">
        <f t="shared" si="3"/>
        <v>0</v>
      </c>
      <c r="P10" s="5">
        <f>Table14[[#This Row],[Enrolment S.Y. 2025-2026 ]]*8</f>
        <v>0</v>
      </c>
      <c r="Q10" s="5"/>
      <c r="R10" s="1"/>
      <c r="S10" s="5"/>
      <c r="T10" s="5">
        <f t="shared" si="4"/>
        <v>0</v>
      </c>
      <c r="U10" s="5">
        <f t="shared" si="5"/>
        <v>0</v>
      </c>
      <c r="V10" s="5">
        <f>Table14[[#This Row],[Enrolment S.Y. 2025-2026 ]]*8</f>
        <v>0</v>
      </c>
      <c r="W10" s="5"/>
      <c r="X10" s="1"/>
      <c r="Y10" s="5"/>
      <c r="Z10" s="5">
        <f t="shared" si="6"/>
        <v>0</v>
      </c>
      <c r="AA10" s="5">
        <f t="shared" si="7"/>
        <v>0</v>
      </c>
    </row>
    <row r="11" spans="1:27" s="7" customFormat="1"/>
    <row r="12" spans="1:27" ht="34.5">
      <c r="A12" s="1">
        <v>2</v>
      </c>
      <c r="B12" s="2" t="s">
        <v>8</v>
      </c>
      <c r="C12" s="1"/>
      <c r="D12" s="5">
        <f>Table14[[#This Row],[Enrolment S.Y. 2025-2026 ]]*8</f>
        <v>0</v>
      </c>
      <c r="E12" s="5"/>
      <c r="F12" s="1"/>
      <c r="G12" s="5"/>
      <c r="H12" s="5">
        <f t="shared" si="0"/>
        <v>0</v>
      </c>
      <c r="I12" s="5">
        <f t="shared" si="1"/>
        <v>0</v>
      </c>
      <c r="J12" s="5">
        <f>Table14[[#This Row],[Enrolment S.Y. 2025-2026 ]]*8</f>
        <v>0</v>
      </c>
      <c r="K12" s="5"/>
      <c r="L12" s="1"/>
      <c r="M12" s="5"/>
      <c r="N12" s="5">
        <f t="shared" si="2"/>
        <v>0</v>
      </c>
      <c r="O12" s="5">
        <f t="shared" si="3"/>
        <v>0</v>
      </c>
      <c r="P12" s="5">
        <f>Table14[[#This Row],[Enrolment S.Y. 2025-2026 ]]*8</f>
        <v>0</v>
      </c>
      <c r="Q12" s="5"/>
      <c r="R12" s="1"/>
      <c r="S12" s="5"/>
      <c r="T12" s="5">
        <f t="shared" si="4"/>
        <v>0</v>
      </c>
      <c r="U12" s="5">
        <f t="shared" si="5"/>
        <v>0</v>
      </c>
      <c r="V12" s="5">
        <f>Table14[[#This Row],[Enrolment S.Y. 2025-2026 ]]*8</f>
        <v>0</v>
      </c>
      <c r="W12" s="5"/>
      <c r="X12" s="1"/>
      <c r="Y12" s="5"/>
      <c r="Z12" s="5">
        <f t="shared" si="6"/>
        <v>0</v>
      </c>
      <c r="AA12" s="5">
        <f t="shared" si="7"/>
        <v>0</v>
      </c>
    </row>
    <row r="13" spans="1:27" ht="20.25">
      <c r="A13" s="1">
        <v>2</v>
      </c>
      <c r="B13" s="2" t="s">
        <v>10</v>
      </c>
      <c r="C13" s="1"/>
      <c r="D13" s="5">
        <f>Table14[[#This Row],[Enrolment S.Y. 2025-2026 ]]*8</f>
        <v>0</v>
      </c>
      <c r="E13" s="5"/>
      <c r="F13" s="1"/>
      <c r="G13" s="5"/>
      <c r="H13" s="5">
        <f t="shared" si="0"/>
        <v>0</v>
      </c>
      <c r="I13" s="5">
        <f t="shared" si="1"/>
        <v>0</v>
      </c>
      <c r="J13" s="5">
        <f>Table14[[#This Row],[Enrolment S.Y. 2025-2026 ]]*8</f>
        <v>0</v>
      </c>
      <c r="K13" s="5"/>
      <c r="L13" s="1"/>
      <c r="M13" s="5"/>
      <c r="N13" s="5">
        <f t="shared" si="2"/>
        <v>0</v>
      </c>
      <c r="O13" s="5">
        <f t="shared" si="3"/>
        <v>0</v>
      </c>
      <c r="P13" s="5">
        <f>Table14[[#This Row],[Enrolment S.Y. 2025-2026 ]]*8</f>
        <v>0</v>
      </c>
      <c r="Q13" s="5"/>
      <c r="R13" s="1"/>
      <c r="S13" s="5"/>
      <c r="T13" s="5">
        <f t="shared" si="4"/>
        <v>0</v>
      </c>
      <c r="U13" s="5">
        <f t="shared" si="5"/>
        <v>0</v>
      </c>
      <c r="V13" s="5">
        <f>Table14[[#This Row],[Enrolment S.Y. 2025-2026 ]]*8</f>
        <v>0</v>
      </c>
      <c r="W13" s="5"/>
      <c r="X13" s="1"/>
      <c r="Y13" s="5"/>
      <c r="Z13" s="5">
        <f t="shared" si="6"/>
        <v>0</v>
      </c>
      <c r="AA13" s="5">
        <f t="shared" si="7"/>
        <v>0</v>
      </c>
    </row>
    <row r="14" spans="1:27" ht="20.25">
      <c r="A14" s="1">
        <v>2</v>
      </c>
      <c r="B14" s="2" t="s">
        <v>11</v>
      </c>
      <c r="C14" s="1"/>
      <c r="D14" s="5">
        <f>Table14[[#This Row],[Enrolment S.Y. 2025-2026 ]]*8</f>
        <v>0</v>
      </c>
      <c r="E14" s="5"/>
      <c r="F14" s="1"/>
      <c r="G14" s="5"/>
      <c r="H14" s="5">
        <f t="shared" si="0"/>
        <v>0</v>
      </c>
      <c r="I14" s="5">
        <f t="shared" si="1"/>
        <v>0</v>
      </c>
      <c r="J14" s="5">
        <f>Table14[[#This Row],[Enrolment S.Y. 2025-2026 ]]*8</f>
        <v>0</v>
      </c>
      <c r="K14" s="5"/>
      <c r="L14" s="1"/>
      <c r="M14" s="5"/>
      <c r="N14" s="5">
        <f t="shared" si="2"/>
        <v>0</v>
      </c>
      <c r="O14" s="5">
        <f t="shared" si="3"/>
        <v>0</v>
      </c>
      <c r="P14" s="5">
        <f>Table14[[#This Row],[Enrolment S.Y. 2025-2026 ]]*8</f>
        <v>0</v>
      </c>
      <c r="Q14" s="5"/>
      <c r="R14" s="1"/>
      <c r="S14" s="5"/>
      <c r="T14" s="5">
        <f t="shared" si="4"/>
        <v>0</v>
      </c>
      <c r="U14" s="5">
        <f t="shared" si="5"/>
        <v>0</v>
      </c>
      <c r="V14" s="5">
        <f>Table14[[#This Row],[Enrolment S.Y. 2025-2026 ]]*8</f>
        <v>0</v>
      </c>
      <c r="W14" s="5"/>
      <c r="X14" s="1"/>
      <c r="Y14" s="5"/>
      <c r="Z14" s="5">
        <f t="shared" si="6"/>
        <v>0</v>
      </c>
      <c r="AA14" s="5">
        <f t="shared" si="7"/>
        <v>0</v>
      </c>
    </row>
    <row r="15" spans="1:27" ht="20.25">
      <c r="A15" s="1">
        <v>2</v>
      </c>
      <c r="B15" s="2" t="s">
        <v>12</v>
      </c>
      <c r="C15" s="1"/>
      <c r="D15" s="5">
        <f>Table14[[#This Row],[Enrolment S.Y. 2025-2026 ]]*8</f>
        <v>0</v>
      </c>
      <c r="E15" s="5"/>
      <c r="F15" s="1"/>
      <c r="G15" s="5"/>
      <c r="H15" s="5">
        <f t="shared" si="0"/>
        <v>0</v>
      </c>
      <c r="I15" s="5">
        <f t="shared" si="1"/>
        <v>0</v>
      </c>
      <c r="J15" s="5">
        <f>Table14[[#This Row],[Enrolment S.Y. 2025-2026 ]]*8</f>
        <v>0</v>
      </c>
      <c r="K15" s="5"/>
      <c r="L15" s="1"/>
      <c r="M15" s="5"/>
      <c r="N15" s="5">
        <f t="shared" si="2"/>
        <v>0</v>
      </c>
      <c r="O15" s="5">
        <f t="shared" si="3"/>
        <v>0</v>
      </c>
      <c r="P15" s="5">
        <f>Table14[[#This Row],[Enrolment S.Y. 2025-2026 ]]*8</f>
        <v>0</v>
      </c>
      <c r="Q15" s="5"/>
      <c r="R15" s="1"/>
      <c r="S15" s="5"/>
      <c r="T15" s="5">
        <f t="shared" si="4"/>
        <v>0</v>
      </c>
      <c r="U15" s="5">
        <f t="shared" si="5"/>
        <v>0</v>
      </c>
      <c r="V15" s="5">
        <f>Table14[[#This Row],[Enrolment S.Y. 2025-2026 ]]*8</f>
        <v>0</v>
      </c>
      <c r="W15" s="5"/>
      <c r="X15" s="1"/>
      <c r="Y15" s="5"/>
      <c r="Z15" s="5">
        <f t="shared" si="6"/>
        <v>0</v>
      </c>
      <c r="AA15" s="5">
        <f t="shared" si="7"/>
        <v>0</v>
      </c>
    </row>
    <row r="16" spans="1:27" ht="20.25">
      <c r="A16" s="1">
        <v>2</v>
      </c>
      <c r="B16" s="2" t="s">
        <v>13</v>
      </c>
      <c r="C16" s="1"/>
      <c r="D16" s="5">
        <f>Table14[[#This Row],[Enrolment S.Y. 2025-2026 ]]*8</f>
        <v>0</v>
      </c>
      <c r="E16" s="5"/>
      <c r="F16" s="1"/>
      <c r="G16" s="5"/>
      <c r="H16" s="5">
        <f t="shared" si="0"/>
        <v>0</v>
      </c>
      <c r="I16" s="5">
        <f t="shared" si="1"/>
        <v>0</v>
      </c>
      <c r="J16" s="5">
        <f>Table14[[#This Row],[Enrolment S.Y. 2025-2026 ]]*8</f>
        <v>0</v>
      </c>
      <c r="K16" s="5"/>
      <c r="L16" s="1"/>
      <c r="M16" s="5"/>
      <c r="N16" s="5">
        <f t="shared" si="2"/>
        <v>0</v>
      </c>
      <c r="O16" s="5">
        <f t="shared" si="3"/>
        <v>0</v>
      </c>
      <c r="P16" s="5">
        <f>Table14[[#This Row],[Enrolment S.Y. 2025-2026 ]]*8</f>
        <v>0</v>
      </c>
      <c r="Q16" s="5"/>
      <c r="R16" s="1"/>
      <c r="S16" s="5"/>
      <c r="T16" s="5">
        <f t="shared" si="4"/>
        <v>0</v>
      </c>
      <c r="U16" s="5">
        <f t="shared" si="5"/>
        <v>0</v>
      </c>
      <c r="V16" s="5">
        <f>Table14[[#This Row],[Enrolment S.Y. 2025-2026 ]]*8</f>
        <v>0</v>
      </c>
      <c r="W16" s="5"/>
      <c r="X16" s="1"/>
      <c r="Y16" s="5"/>
      <c r="Z16" s="5">
        <f t="shared" si="6"/>
        <v>0</v>
      </c>
      <c r="AA16" s="5">
        <f t="shared" si="7"/>
        <v>0</v>
      </c>
    </row>
    <row r="17" spans="1:27" ht="20.25">
      <c r="A17" s="1">
        <v>2</v>
      </c>
      <c r="B17" s="9" t="s">
        <v>16</v>
      </c>
      <c r="C17" s="1"/>
      <c r="D17" s="5">
        <f>Table14[[#This Row],[Enrolment S.Y. 2025-2026 ]]*8</f>
        <v>0</v>
      </c>
      <c r="E17" s="5"/>
      <c r="F17" s="1"/>
      <c r="G17" s="5"/>
      <c r="H17" s="5">
        <f>IF((D17-E17)&lt;0,0,(D17-E17))</f>
        <v>0</v>
      </c>
      <c r="I17" s="5">
        <f>IF((E17-D17)&lt;0,0,(E17-D17))</f>
        <v>0</v>
      </c>
      <c r="J17" s="5">
        <f>Table14[[#This Row],[Enrolment S.Y. 2025-2026 ]]*8</f>
        <v>0</v>
      </c>
      <c r="K17" s="5"/>
      <c r="L17" s="1"/>
      <c r="M17" s="5"/>
      <c r="N17" s="5">
        <f t="shared" si="2"/>
        <v>0</v>
      </c>
      <c r="O17" s="5">
        <f t="shared" si="3"/>
        <v>0</v>
      </c>
      <c r="P17" s="5">
        <f>Table14[[#This Row],[Enrolment S.Y. 2025-2026 ]]*8</f>
        <v>0</v>
      </c>
      <c r="Q17" s="5"/>
      <c r="R17" s="1"/>
      <c r="S17" s="5"/>
      <c r="T17" s="5">
        <f t="shared" si="4"/>
        <v>0</v>
      </c>
      <c r="U17" s="5">
        <f t="shared" si="5"/>
        <v>0</v>
      </c>
      <c r="V17" s="5">
        <f>Table14[[#This Row],[Enrolment S.Y. 2025-2026 ]]*8</f>
        <v>0</v>
      </c>
      <c r="W17" s="5"/>
      <c r="X17" s="1"/>
      <c r="Y17" s="5"/>
      <c r="Z17" s="5">
        <f t="shared" si="6"/>
        <v>0</v>
      </c>
      <c r="AA17" s="5">
        <f t="shared" si="7"/>
        <v>0</v>
      </c>
    </row>
    <row r="18" spans="1:27" ht="20.25">
      <c r="A18" s="1">
        <v>2</v>
      </c>
      <c r="B18" s="9" t="s">
        <v>15</v>
      </c>
      <c r="C18" s="1"/>
      <c r="D18" s="5">
        <f>Table14[[#This Row],[Enrolment S.Y. 2025-2026 ]]*8</f>
        <v>0</v>
      </c>
      <c r="E18" s="5"/>
      <c r="F18" s="1"/>
      <c r="G18" s="5"/>
      <c r="H18" s="5">
        <f>IF((D18-E18)&lt;0,0,(D18-E18))</f>
        <v>0</v>
      </c>
      <c r="I18" s="5">
        <f>IF((E18-D18)&lt;0,0,(E18-D18))</f>
        <v>0</v>
      </c>
      <c r="J18" s="5">
        <f>Table14[[#This Row],[Enrolment S.Y. 2025-2026 ]]*8</f>
        <v>0</v>
      </c>
      <c r="K18" s="5"/>
      <c r="L18" s="1"/>
      <c r="M18" s="5"/>
      <c r="N18" s="5">
        <f t="shared" si="2"/>
        <v>0</v>
      </c>
      <c r="O18" s="5">
        <f t="shared" si="3"/>
        <v>0</v>
      </c>
      <c r="P18" s="5">
        <f>Table14[[#This Row],[Enrolment S.Y. 2025-2026 ]]*8</f>
        <v>0</v>
      </c>
      <c r="Q18" s="5"/>
      <c r="R18" s="1"/>
      <c r="S18" s="5"/>
      <c r="T18" s="5">
        <f t="shared" si="4"/>
        <v>0</v>
      </c>
      <c r="U18" s="5">
        <f t="shared" si="5"/>
        <v>0</v>
      </c>
      <c r="V18" s="5">
        <f>Table14[[#This Row],[Enrolment S.Y. 2025-2026 ]]*8</f>
        <v>0</v>
      </c>
      <c r="W18" s="5"/>
      <c r="X18" s="1"/>
      <c r="Y18" s="5"/>
      <c r="Z18" s="5">
        <f t="shared" si="6"/>
        <v>0</v>
      </c>
      <c r="AA18" s="5">
        <f t="shared" si="7"/>
        <v>0</v>
      </c>
    </row>
    <row r="19" spans="1:27" ht="20.25">
      <c r="A19" s="1">
        <v>2</v>
      </c>
      <c r="B19" s="9" t="s">
        <v>50</v>
      </c>
      <c r="C19" s="1"/>
      <c r="D19" s="5">
        <f>Table14[[#This Row],[Enrolment S.Y. 2025-2026 ]]*8</f>
        <v>0</v>
      </c>
      <c r="E19" s="5"/>
      <c r="F19" s="1"/>
      <c r="G19" s="5"/>
      <c r="H19" s="5">
        <f>IF((D19-E19)&lt;0,0,(D19-E19))</f>
        <v>0</v>
      </c>
      <c r="I19" s="5">
        <f>IF((E19-D19)&lt;0,0,(E19-D19))</f>
        <v>0</v>
      </c>
      <c r="J19" s="5">
        <f>Table14[[#This Row],[Enrolment S.Y. 2025-2026 ]]*8</f>
        <v>0</v>
      </c>
      <c r="K19" s="5"/>
      <c r="L19" s="1"/>
      <c r="M19" s="5"/>
      <c r="N19" s="5">
        <f t="shared" si="2"/>
        <v>0</v>
      </c>
      <c r="O19" s="5">
        <f t="shared" si="3"/>
        <v>0</v>
      </c>
      <c r="P19" s="5">
        <f>Table14[[#This Row],[Enrolment S.Y. 2025-2026 ]]*8</f>
        <v>0</v>
      </c>
      <c r="Q19" s="5"/>
      <c r="R19" s="1"/>
      <c r="S19" s="5"/>
      <c r="T19" s="5">
        <f t="shared" si="4"/>
        <v>0</v>
      </c>
      <c r="U19" s="5">
        <f t="shared" si="5"/>
        <v>0</v>
      </c>
      <c r="V19" s="5">
        <f>Table14[[#This Row],[Enrolment S.Y. 2025-2026 ]]*8</f>
        <v>0</v>
      </c>
      <c r="W19" s="5"/>
      <c r="X19" s="1"/>
      <c r="Y19" s="5"/>
      <c r="Z19" s="5">
        <f t="shared" si="6"/>
        <v>0</v>
      </c>
      <c r="AA19" s="5">
        <f t="shared" si="7"/>
        <v>0</v>
      </c>
    </row>
    <row r="20" spans="1:27" s="7" customFormat="1"/>
    <row r="21" spans="1:27" ht="34.5">
      <c r="A21" s="1">
        <v>3</v>
      </c>
      <c r="B21" s="2" t="s">
        <v>8</v>
      </c>
      <c r="C21" s="1"/>
      <c r="D21" s="5">
        <f>Table14[[#This Row],[Enrolment S.Y. 2025-2026 ]]*8</f>
        <v>0</v>
      </c>
      <c r="E21" s="5"/>
      <c r="F21" s="1"/>
      <c r="G21" s="5"/>
      <c r="H21" s="5">
        <f t="shared" si="0"/>
        <v>0</v>
      </c>
      <c r="I21" s="5">
        <f t="shared" si="1"/>
        <v>0</v>
      </c>
      <c r="J21" s="5">
        <f>Table14[[#This Row],[Enrolment S.Y. 2025-2026 ]]*8</f>
        <v>0</v>
      </c>
      <c r="K21" s="5"/>
      <c r="L21" s="1"/>
      <c r="M21" s="5"/>
      <c r="N21" s="5">
        <f t="shared" si="2"/>
        <v>0</v>
      </c>
      <c r="O21" s="5">
        <f t="shared" si="3"/>
        <v>0</v>
      </c>
      <c r="P21" s="5">
        <f>Table14[[#This Row],[Enrolment S.Y. 2025-2026 ]]*8</f>
        <v>0</v>
      </c>
      <c r="Q21" s="5"/>
      <c r="R21" s="1"/>
      <c r="S21" s="5"/>
      <c r="T21" s="5">
        <f t="shared" si="4"/>
        <v>0</v>
      </c>
      <c r="U21" s="5">
        <f t="shared" si="5"/>
        <v>0</v>
      </c>
      <c r="V21" s="5">
        <f>Table14[[#This Row],[Enrolment S.Y. 2025-2026 ]]*8</f>
        <v>0</v>
      </c>
      <c r="W21" s="5"/>
      <c r="X21" s="1"/>
      <c r="Y21" s="5"/>
      <c r="Z21" s="5">
        <f t="shared" si="6"/>
        <v>0</v>
      </c>
      <c r="AA21" s="5">
        <f t="shared" si="7"/>
        <v>0</v>
      </c>
    </row>
    <row r="22" spans="1:27" ht="20.25">
      <c r="A22" s="1">
        <v>3</v>
      </c>
      <c r="B22" s="2" t="s">
        <v>10</v>
      </c>
      <c r="C22" s="1"/>
      <c r="D22" s="5">
        <f>Table14[[#This Row],[Enrolment S.Y. 2025-2026 ]]*8</f>
        <v>0</v>
      </c>
      <c r="E22" s="5"/>
      <c r="F22" s="1"/>
      <c r="G22" s="5"/>
      <c r="H22" s="5">
        <f t="shared" si="0"/>
        <v>0</v>
      </c>
      <c r="I22" s="5">
        <f t="shared" si="1"/>
        <v>0</v>
      </c>
      <c r="J22" s="5">
        <f>Table14[[#This Row],[Enrolment S.Y. 2025-2026 ]]*8</f>
        <v>0</v>
      </c>
      <c r="K22" s="5"/>
      <c r="L22" s="1"/>
      <c r="M22" s="5"/>
      <c r="N22" s="5">
        <f t="shared" si="2"/>
        <v>0</v>
      </c>
      <c r="O22" s="5">
        <f t="shared" si="3"/>
        <v>0</v>
      </c>
      <c r="P22" s="5">
        <f>Table14[[#This Row],[Enrolment S.Y. 2025-2026 ]]*8</f>
        <v>0</v>
      </c>
      <c r="Q22" s="5"/>
      <c r="R22" s="1"/>
      <c r="S22" s="5"/>
      <c r="T22" s="5">
        <f t="shared" si="4"/>
        <v>0</v>
      </c>
      <c r="U22" s="5">
        <f t="shared" si="5"/>
        <v>0</v>
      </c>
      <c r="V22" s="5">
        <f>Table14[[#This Row],[Enrolment S.Y. 2025-2026 ]]*8</f>
        <v>0</v>
      </c>
      <c r="W22" s="5"/>
      <c r="X22" s="1"/>
      <c r="Y22" s="5"/>
      <c r="Z22" s="5">
        <f t="shared" si="6"/>
        <v>0</v>
      </c>
      <c r="AA22" s="5">
        <f t="shared" si="7"/>
        <v>0</v>
      </c>
    </row>
    <row r="23" spans="1:27" ht="20.25">
      <c r="A23" s="1">
        <v>3</v>
      </c>
      <c r="B23" s="2" t="s">
        <v>11</v>
      </c>
      <c r="C23" s="1"/>
      <c r="D23" s="5">
        <f>Table14[[#This Row],[Enrolment S.Y. 2025-2026 ]]*8</f>
        <v>0</v>
      </c>
      <c r="E23" s="5"/>
      <c r="F23" s="1"/>
      <c r="G23" s="5"/>
      <c r="H23" s="5">
        <f t="shared" si="0"/>
        <v>0</v>
      </c>
      <c r="I23" s="5">
        <f t="shared" si="1"/>
        <v>0</v>
      </c>
      <c r="J23" s="5">
        <f>Table14[[#This Row],[Enrolment S.Y. 2025-2026 ]]*8</f>
        <v>0</v>
      </c>
      <c r="K23" s="5"/>
      <c r="L23" s="1"/>
      <c r="M23" s="5"/>
      <c r="N23" s="5">
        <f t="shared" si="2"/>
        <v>0</v>
      </c>
      <c r="O23" s="5">
        <f t="shared" si="3"/>
        <v>0</v>
      </c>
      <c r="P23" s="5">
        <f>Table14[[#This Row],[Enrolment S.Y. 2025-2026 ]]*8</f>
        <v>0</v>
      </c>
      <c r="Q23" s="5"/>
      <c r="R23" s="1"/>
      <c r="S23" s="5"/>
      <c r="T23" s="5">
        <f t="shared" si="4"/>
        <v>0</v>
      </c>
      <c r="U23" s="5">
        <f t="shared" si="5"/>
        <v>0</v>
      </c>
      <c r="V23" s="5">
        <f>Table14[[#This Row],[Enrolment S.Y. 2025-2026 ]]*8</f>
        <v>0</v>
      </c>
      <c r="W23" s="5"/>
      <c r="X23" s="1"/>
      <c r="Y23" s="5"/>
      <c r="Z23" s="5">
        <f t="shared" si="6"/>
        <v>0</v>
      </c>
      <c r="AA23" s="5">
        <f t="shared" si="7"/>
        <v>0</v>
      </c>
    </row>
    <row r="24" spans="1:27" ht="20.25">
      <c r="A24" s="1">
        <v>3</v>
      </c>
      <c r="B24" s="2" t="s">
        <v>14</v>
      </c>
      <c r="C24" s="1"/>
      <c r="D24" s="5">
        <f>Table14[[#This Row],[Enrolment S.Y. 2025-2026 ]]*8</f>
        <v>0</v>
      </c>
      <c r="E24" s="5"/>
      <c r="F24" s="1"/>
      <c r="G24" s="5"/>
      <c r="H24" s="5">
        <f t="shared" si="0"/>
        <v>0</v>
      </c>
      <c r="I24" s="5">
        <f t="shared" si="1"/>
        <v>0</v>
      </c>
      <c r="J24" s="5">
        <f>Table14[[#This Row],[Enrolment S.Y. 2025-2026 ]]*8</f>
        <v>0</v>
      </c>
      <c r="K24" s="5"/>
      <c r="L24" s="1"/>
      <c r="M24" s="5"/>
      <c r="N24" s="5">
        <f t="shared" si="2"/>
        <v>0</v>
      </c>
      <c r="O24" s="5">
        <f t="shared" si="3"/>
        <v>0</v>
      </c>
      <c r="P24" s="5">
        <f>Table14[[#This Row],[Enrolment S.Y. 2025-2026 ]]*8</f>
        <v>0</v>
      </c>
      <c r="Q24" s="5"/>
      <c r="R24" s="1"/>
      <c r="S24" s="5"/>
      <c r="T24" s="5">
        <f t="shared" si="4"/>
        <v>0</v>
      </c>
      <c r="U24" s="5">
        <f t="shared" si="5"/>
        <v>0</v>
      </c>
      <c r="V24" s="5">
        <f>Table14[[#This Row],[Enrolment S.Y. 2025-2026 ]]*8</f>
        <v>0</v>
      </c>
      <c r="W24" s="5"/>
      <c r="X24" s="1"/>
      <c r="Y24" s="5"/>
      <c r="Z24" s="5">
        <f t="shared" si="6"/>
        <v>0</v>
      </c>
      <c r="AA24" s="5">
        <f t="shared" si="7"/>
        <v>0</v>
      </c>
    </row>
    <row r="25" spans="1:27" ht="20.25">
      <c r="A25" s="1">
        <v>3</v>
      </c>
      <c r="B25" s="2" t="s">
        <v>12</v>
      </c>
      <c r="C25" s="1"/>
      <c r="D25" s="5">
        <f>Table14[[#This Row],[Enrolment S.Y. 2025-2026 ]]*8</f>
        <v>0</v>
      </c>
      <c r="E25" s="5"/>
      <c r="F25" s="1"/>
      <c r="G25" s="5"/>
      <c r="H25" s="5">
        <f t="shared" si="0"/>
        <v>0</v>
      </c>
      <c r="I25" s="5">
        <f t="shared" si="1"/>
        <v>0</v>
      </c>
      <c r="J25" s="5">
        <f>Table14[[#This Row],[Enrolment S.Y. 2025-2026 ]]*8</f>
        <v>0</v>
      </c>
      <c r="K25" s="5"/>
      <c r="L25" s="1"/>
      <c r="M25" s="5"/>
      <c r="N25" s="5">
        <f t="shared" si="2"/>
        <v>0</v>
      </c>
      <c r="O25" s="5">
        <f t="shared" si="3"/>
        <v>0</v>
      </c>
      <c r="P25" s="5">
        <f>Table14[[#This Row],[Enrolment S.Y. 2025-2026 ]]*8</f>
        <v>0</v>
      </c>
      <c r="Q25" s="5"/>
      <c r="R25" s="1"/>
      <c r="S25" s="5"/>
      <c r="T25" s="5">
        <f t="shared" si="4"/>
        <v>0</v>
      </c>
      <c r="U25" s="5">
        <f t="shared" si="5"/>
        <v>0</v>
      </c>
      <c r="V25" s="5">
        <f>Table14[[#This Row],[Enrolment S.Y. 2025-2026 ]]*8</f>
        <v>0</v>
      </c>
      <c r="W25" s="5"/>
      <c r="X25" s="1"/>
      <c r="Y25" s="5"/>
      <c r="Z25" s="5">
        <f t="shared" si="6"/>
        <v>0</v>
      </c>
      <c r="AA25" s="5">
        <f t="shared" si="7"/>
        <v>0</v>
      </c>
    </row>
    <row r="26" spans="1:27" ht="20.25">
      <c r="A26" s="1">
        <v>3</v>
      </c>
      <c r="B26" s="2" t="s">
        <v>13</v>
      </c>
      <c r="C26" s="1"/>
      <c r="D26" s="5">
        <f>Table14[[#This Row],[Enrolment S.Y. 2025-2026 ]]*8</f>
        <v>0</v>
      </c>
      <c r="E26" s="5"/>
      <c r="F26" s="1"/>
      <c r="G26" s="5"/>
      <c r="H26" s="5">
        <f t="shared" si="0"/>
        <v>0</v>
      </c>
      <c r="I26" s="5">
        <f t="shared" si="1"/>
        <v>0</v>
      </c>
      <c r="J26" s="5">
        <f>Table14[[#This Row],[Enrolment S.Y. 2025-2026 ]]*8</f>
        <v>0</v>
      </c>
      <c r="K26" s="5"/>
      <c r="L26" s="1"/>
      <c r="M26" s="5"/>
      <c r="N26" s="5">
        <f t="shared" si="2"/>
        <v>0</v>
      </c>
      <c r="O26" s="5">
        <f t="shared" si="3"/>
        <v>0</v>
      </c>
      <c r="P26" s="5">
        <f>Table14[[#This Row],[Enrolment S.Y. 2025-2026 ]]*8</f>
        <v>0</v>
      </c>
      <c r="Q26" s="5"/>
      <c r="R26" s="1"/>
      <c r="S26" s="5"/>
      <c r="T26" s="5">
        <f t="shared" si="4"/>
        <v>0</v>
      </c>
      <c r="U26" s="5">
        <f t="shared" si="5"/>
        <v>0</v>
      </c>
      <c r="V26" s="5">
        <f>Table14[[#This Row],[Enrolment S.Y. 2025-2026 ]]*8</f>
        <v>0</v>
      </c>
      <c r="W26" s="5"/>
      <c r="X26" s="1"/>
      <c r="Y26" s="5"/>
      <c r="Z26" s="5">
        <f t="shared" si="6"/>
        <v>0</v>
      </c>
      <c r="AA26" s="5">
        <f t="shared" si="7"/>
        <v>0</v>
      </c>
    </row>
    <row r="27" spans="1:27" ht="20.25">
      <c r="A27" s="1">
        <v>3</v>
      </c>
      <c r="B27" s="9" t="s">
        <v>15</v>
      </c>
      <c r="C27" s="1"/>
      <c r="D27" s="5">
        <f>Table14[[#This Row],[Enrolment S.Y. 2025-2026 ]]*8</f>
        <v>0</v>
      </c>
      <c r="E27" s="5"/>
      <c r="F27" s="1"/>
      <c r="G27" s="5"/>
      <c r="H27" s="5">
        <f>IF((D27-E27)&lt;0,0,(D27-E27))</f>
        <v>0</v>
      </c>
      <c r="I27" s="5">
        <f>IF((E27-D27)&lt;0,0,(E27-D27))</f>
        <v>0</v>
      </c>
      <c r="J27" s="5">
        <f>Table14[[#This Row],[Enrolment S.Y. 2025-2026 ]]*8</f>
        <v>0</v>
      </c>
      <c r="K27" s="5"/>
      <c r="L27" s="1"/>
      <c r="M27" s="5"/>
      <c r="N27" s="5">
        <f t="shared" si="2"/>
        <v>0</v>
      </c>
      <c r="O27" s="5">
        <f t="shared" si="3"/>
        <v>0</v>
      </c>
      <c r="P27" s="5">
        <f>Table14[[#This Row],[Enrolment S.Y. 2025-2026 ]]*8</f>
        <v>0</v>
      </c>
      <c r="Q27" s="5"/>
      <c r="R27" s="1"/>
      <c r="S27" s="5"/>
      <c r="T27" s="5">
        <f t="shared" si="4"/>
        <v>0</v>
      </c>
      <c r="U27" s="5">
        <f t="shared" si="5"/>
        <v>0</v>
      </c>
      <c r="V27" s="5">
        <f>Table14[[#This Row],[Enrolment S.Y. 2025-2026 ]]*8</f>
        <v>0</v>
      </c>
      <c r="W27" s="5"/>
      <c r="X27" s="1"/>
      <c r="Y27" s="5"/>
      <c r="Z27" s="5">
        <f t="shared" si="6"/>
        <v>0</v>
      </c>
      <c r="AA27" s="5">
        <f t="shared" si="7"/>
        <v>0</v>
      </c>
    </row>
    <row r="28" spans="1:27" ht="20.25">
      <c r="A28" s="1">
        <v>3</v>
      </c>
      <c r="B28" s="9" t="s">
        <v>16</v>
      </c>
      <c r="C28" s="1"/>
      <c r="D28" s="5">
        <f>Table14[[#This Row],[Enrolment S.Y. 2025-2026 ]]*8</f>
        <v>0</v>
      </c>
      <c r="E28" s="5"/>
      <c r="F28" s="1"/>
      <c r="G28" s="5"/>
      <c r="H28" s="5">
        <f>IF((D28-E28)&lt;0,0,(D28-E28))</f>
        <v>0</v>
      </c>
      <c r="I28" s="5">
        <f>IF((E28-D28)&lt;0,0,(E28-D28))</f>
        <v>0</v>
      </c>
      <c r="J28" s="5">
        <f>Table14[[#This Row],[Enrolment S.Y. 2025-2026 ]]*8</f>
        <v>0</v>
      </c>
      <c r="K28" s="5"/>
      <c r="L28" s="1"/>
      <c r="M28" s="5"/>
      <c r="N28" s="5">
        <f t="shared" si="2"/>
        <v>0</v>
      </c>
      <c r="O28" s="5">
        <f t="shared" si="3"/>
        <v>0</v>
      </c>
      <c r="P28" s="5">
        <f>Table14[[#This Row],[Enrolment S.Y. 2025-2026 ]]*8</f>
        <v>0</v>
      </c>
      <c r="Q28" s="5"/>
      <c r="R28" s="1"/>
      <c r="S28" s="5"/>
      <c r="T28" s="5">
        <f t="shared" si="4"/>
        <v>0</v>
      </c>
      <c r="U28" s="5">
        <f t="shared" si="5"/>
        <v>0</v>
      </c>
      <c r="V28" s="5">
        <f>Table14[[#This Row],[Enrolment S.Y. 2025-2026 ]]*8</f>
        <v>0</v>
      </c>
      <c r="W28" s="5"/>
      <c r="X28" s="1"/>
      <c r="Y28" s="5"/>
      <c r="Z28" s="5">
        <f t="shared" si="6"/>
        <v>0</v>
      </c>
      <c r="AA28" s="5">
        <f t="shared" si="7"/>
        <v>0</v>
      </c>
    </row>
    <row r="29" spans="1:27" ht="20.25">
      <c r="A29" s="1">
        <v>3</v>
      </c>
      <c r="B29" s="9" t="s">
        <v>50</v>
      </c>
      <c r="C29" s="1"/>
      <c r="D29" s="5">
        <f>Table14[[#This Row],[Enrolment S.Y. 2025-2026 ]]*8</f>
        <v>0</v>
      </c>
      <c r="E29" s="5"/>
      <c r="F29" s="1"/>
      <c r="G29" s="5"/>
      <c r="H29" s="5">
        <f>IF((D29-E29)&lt;0,0,(D29-E29))</f>
        <v>0</v>
      </c>
      <c r="I29" s="5">
        <f>IF((E29-D29)&lt;0,0,(E29-D29))</f>
        <v>0</v>
      </c>
      <c r="J29" s="5">
        <f>Table14[[#This Row],[Enrolment S.Y. 2025-2026 ]]*8</f>
        <v>0</v>
      </c>
      <c r="K29" s="5"/>
      <c r="L29" s="1"/>
      <c r="M29" s="5"/>
      <c r="N29" s="5">
        <f t="shared" si="2"/>
        <v>0</v>
      </c>
      <c r="O29" s="5">
        <f t="shared" si="3"/>
        <v>0</v>
      </c>
      <c r="P29" s="5">
        <f>Table14[[#This Row],[Enrolment S.Y. 2025-2026 ]]*8</f>
        <v>0</v>
      </c>
      <c r="Q29" s="5"/>
      <c r="R29" s="1"/>
      <c r="S29" s="5"/>
      <c r="T29" s="5">
        <f t="shared" si="4"/>
        <v>0</v>
      </c>
      <c r="U29" s="5">
        <f t="shared" si="5"/>
        <v>0</v>
      </c>
      <c r="V29" s="5">
        <f>Table14[[#This Row],[Enrolment S.Y. 2025-2026 ]]*8</f>
        <v>0</v>
      </c>
      <c r="W29" s="5"/>
      <c r="X29" s="1"/>
      <c r="Y29" s="5"/>
      <c r="Z29" s="5">
        <f t="shared" si="6"/>
        <v>0</v>
      </c>
      <c r="AA29" s="5">
        <f t="shared" si="7"/>
        <v>0</v>
      </c>
    </row>
    <row r="30" spans="1:27" s="7" customFormat="1"/>
    <row r="31" spans="1:27" ht="20.25">
      <c r="A31" s="1">
        <v>4</v>
      </c>
      <c r="B31" s="9" t="s">
        <v>15</v>
      </c>
      <c r="C31" s="1"/>
      <c r="D31" s="5">
        <f>Table14[[#This Row],[Enrolment S.Y. 2025-2026 ]]*8</f>
        <v>0</v>
      </c>
      <c r="E31" s="5"/>
      <c r="F31" s="1"/>
      <c r="G31" s="5"/>
      <c r="H31" s="5">
        <f t="shared" si="0"/>
        <v>0</v>
      </c>
      <c r="I31" s="5">
        <f t="shared" si="1"/>
        <v>0</v>
      </c>
      <c r="J31" s="5">
        <f>Table14[[#This Row],[Enrolment S.Y. 2025-2026 ]]*8</f>
        <v>0</v>
      </c>
      <c r="K31" s="5"/>
      <c r="L31" s="1"/>
      <c r="M31" s="5"/>
      <c r="N31" s="5">
        <f t="shared" si="2"/>
        <v>0</v>
      </c>
      <c r="O31" s="5">
        <f t="shared" si="3"/>
        <v>0</v>
      </c>
      <c r="P31" s="5">
        <f>Table14[[#This Row],[Enrolment S.Y. 2025-2026 ]]*8</f>
        <v>0</v>
      </c>
      <c r="Q31" s="5"/>
      <c r="R31" s="1"/>
      <c r="S31" s="5"/>
      <c r="T31" s="5">
        <f t="shared" si="4"/>
        <v>0</v>
      </c>
      <c r="U31" s="5">
        <f t="shared" si="5"/>
        <v>0</v>
      </c>
      <c r="V31" s="5">
        <f>Table14[[#This Row],[Enrolment S.Y. 2025-2026 ]]*8</f>
        <v>0</v>
      </c>
      <c r="W31" s="5"/>
      <c r="X31" s="1"/>
      <c r="Y31" s="5"/>
      <c r="Z31" s="5">
        <f t="shared" si="6"/>
        <v>0</v>
      </c>
      <c r="AA31" s="5">
        <f t="shared" si="7"/>
        <v>0</v>
      </c>
    </row>
    <row r="32" spans="1:27" ht="20.25">
      <c r="A32" s="1">
        <v>4</v>
      </c>
      <c r="B32" s="9" t="s">
        <v>16</v>
      </c>
      <c r="C32" s="1"/>
      <c r="D32" s="5">
        <f>Table14[[#This Row],[Enrolment S.Y. 2025-2026 ]]*8</f>
        <v>0</v>
      </c>
      <c r="E32" s="5"/>
      <c r="F32" s="1"/>
      <c r="G32" s="5"/>
      <c r="H32" s="5">
        <f t="shared" si="0"/>
        <v>0</v>
      </c>
      <c r="I32" s="5">
        <f t="shared" si="1"/>
        <v>0</v>
      </c>
      <c r="J32" s="5">
        <f>Table14[[#This Row],[Enrolment S.Y. 2025-2026 ]]*8</f>
        <v>0</v>
      </c>
      <c r="K32" s="5"/>
      <c r="L32" s="1"/>
      <c r="M32" s="5"/>
      <c r="N32" s="5">
        <f t="shared" si="2"/>
        <v>0</v>
      </c>
      <c r="O32" s="5">
        <f t="shared" si="3"/>
        <v>0</v>
      </c>
      <c r="P32" s="5">
        <f>Table14[[#This Row],[Enrolment S.Y. 2025-2026 ]]*8</f>
        <v>0</v>
      </c>
      <c r="Q32" s="5"/>
      <c r="R32" s="1"/>
      <c r="S32" s="5"/>
      <c r="T32" s="5">
        <f t="shared" si="4"/>
        <v>0</v>
      </c>
      <c r="U32" s="5">
        <f t="shared" si="5"/>
        <v>0</v>
      </c>
      <c r="V32" s="5">
        <f>Table14[[#This Row],[Enrolment S.Y. 2025-2026 ]]*8</f>
        <v>0</v>
      </c>
      <c r="W32" s="5"/>
      <c r="X32" s="1"/>
      <c r="Y32" s="5"/>
      <c r="Z32" s="5">
        <f t="shared" si="6"/>
        <v>0</v>
      </c>
      <c r="AA32" s="5">
        <f t="shared" si="7"/>
        <v>0</v>
      </c>
    </row>
    <row r="33" spans="1:27" ht="20.25">
      <c r="A33" s="1">
        <v>4</v>
      </c>
      <c r="B33" s="9" t="s">
        <v>13</v>
      </c>
      <c r="C33" s="1"/>
      <c r="D33" s="5">
        <f>Table14[[#This Row],[Enrolment S.Y. 2025-2026 ]]*8</f>
        <v>0</v>
      </c>
      <c r="E33" s="5"/>
      <c r="F33" s="1"/>
      <c r="G33" s="5"/>
      <c r="H33" s="5">
        <f t="shared" si="0"/>
        <v>0</v>
      </c>
      <c r="I33" s="5">
        <f t="shared" si="1"/>
        <v>0</v>
      </c>
      <c r="J33" s="5">
        <f>Table14[[#This Row],[Enrolment S.Y. 2025-2026 ]]*8</f>
        <v>0</v>
      </c>
      <c r="K33" s="5"/>
      <c r="L33" s="1"/>
      <c r="M33" s="5"/>
      <c r="N33" s="5">
        <f t="shared" si="2"/>
        <v>0</v>
      </c>
      <c r="O33" s="5">
        <f t="shared" si="3"/>
        <v>0</v>
      </c>
      <c r="P33" s="5">
        <f>Table14[[#This Row],[Enrolment S.Y. 2025-2026 ]]*8</f>
        <v>0</v>
      </c>
      <c r="Q33" s="5"/>
      <c r="R33" s="1"/>
      <c r="S33" s="5"/>
      <c r="T33" s="5">
        <f t="shared" si="4"/>
        <v>0</v>
      </c>
      <c r="U33" s="5">
        <f t="shared" si="5"/>
        <v>0</v>
      </c>
      <c r="V33" s="5">
        <f>Table14[[#This Row],[Enrolment S.Y. 2025-2026 ]]*8</f>
        <v>0</v>
      </c>
      <c r="W33" s="5"/>
      <c r="X33" s="1"/>
      <c r="Y33" s="5"/>
      <c r="Z33" s="5">
        <f t="shared" si="6"/>
        <v>0</v>
      </c>
      <c r="AA33" s="5">
        <f t="shared" si="7"/>
        <v>0</v>
      </c>
    </row>
    <row r="34" spans="1:27" ht="20.25">
      <c r="A34" s="1">
        <v>4</v>
      </c>
      <c r="B34" s="9" t="s">
        <v>11</v>
      </c>
      <c r="C34" s="1"/>
      <c r="D34" s="5">
        <f>Table14[[#This Row],[Enrolment S.Y. 2025-2026 ]]*8</f>
        <v>0</v>
      </c>
      <c r="E34" s="5"/>
      <c r="F34" s="1"/>
      <c r="G34" s="5"/>
      <c r="H34" s="5">
        <f t="shared" si="0"/>
        <v>0</v>
      </c>
      <c r="I34" s="5">
        <f t="shared" si="1"/>
        <v>0</v>
      </c>
      <c r="J34" s="5">
        <f>Table14[[#This Row],[Enrolment S.Y. 2025-2026 ]]*8</f>
        <v>0</v>
      </c>
      <c r="K34" s="5"/>
      <c r="L34" s="1"/>
      <c r="M34" s="5"/>
      <c r="N34" s="5">
        <f t="shared" si="2"/>
        <v>0</v>
      </c>
      <c r="O34" s="5">
        <f t="shared" si="3"/>
        <v>0</v>
      </c>
      <c r="P34" s="5">
        <f>Table14[[#This Row],[Enrolment S.Y. 2025-2026 ]]*8</f>
        <v>0</v>
      </c>
      <c r="Q34" s="5"/>
      <c r="R34" s="1"/>
      <c r="S34" s="5"/>
      <c r="T34" s="5">
        <f t="shared" si="4"/>
        <v>0</v>
      </c>
      <c r="U34" s="5">
        <f t="shared" si="5"/>
        <v>0</v>
      </c>
      <c r="V34" s="5">
        <f>Table14[[#This Row],[Enrolment S.Y. 2025-2026 ]]*8</f>
        <v>0</v>
      </c>
      <c r="W34" s="5"/>
      <c r="X34" s="1"/>
      <c r="Y34" s="5"/>
      <c r="Z34" s="5">
        <f t="shared" si="6"/>
        <v>0</v>
      </c>
      <c r="AA34" s="5">
        <f t="shared" si="7"/>
        <v>0</v>
      </c>
    </row>
    <row r="35" spans="1:27" ht="20.25">
      <c r="A35" s="1">
        <v>4</v>
      </c>
      <c r="B35" s="9" t="s">
        <v>17</v>
      </c>
      <c r="C35" s="1"/>
      <c r="D35" s="5">
        <f>Table14[[#This Row],[Enrolment S.Y. 2025-2026 ]]*8</f>
        <v>0</v>
      </c>
      <c r="E35" s="5"/>
      <c r="F35" s="1"/>
      <c r="G35" s="5"/>
      <c r="H35" s="5">
        <f t="shared" si="0"/>
        <v>0</v>
      </c>
      <c r="I35" s="5">
        <f t="shared" si="1"/>
        <v>0</v>
      </c>
      <c r="J35" s="5">
        <f>Table14[[#This Row],[Enrolment S.Y. 2025-2026 ]]*8</f>
        <v>0</v>
      </c>
      <c r="K35" s="5"/>
      <c r="L35" s="1"/>
      <c r="M35" s="5"/>
      <c r="N35" s="5">
        <f t="shared" si="2"/>
        <v>0</v>
      </c>
      <c r="O35" s="5">
        <f t="shared" si="3"/>
        <v>0</v>
      </c>
      <c r="P35" s="5">
        <f>Table14[[#This Row],[Enrolment S.Y. 2025-2026 ]]*8</f>
        <v>0</v>
      </c>
      <c r="Q35" s="5"/>
      <c r="R35" s="1"/>
      <c r="S35" s="5"/>
      <c r="T35" s="5">
        <f t="shared" si="4"/>
        <v>0</v>
      </c>
      <c r="U35" s="5">
        <f t="shared" si="5"/>
        <v>0</v>
      </c>
      <c r="V35" s="5">
        <f>Table14[[#This Row],[Enrolment S.Y. 2025-2026 ]]*8</f>
        <v>0</v>
      </c>
      <c r="W35" s="5"/>
      <c r="X35" s="1"/>
      <c r="Y35" s="5"/>
      <c r="Z35" s="5">
        <f t="shared" si="6"/>
        <v>0</v>
      </c>
      <c r="AA35" s="5">
        <f t="shared" si="7"/>
        <v>0</v>
      </c>
    </row>
    <row r="36" spans="1:27" ht="20.25">
      <c r="A36" s="1">
        <v>4</v>
      </c>
      <c r="B36" s="9" t="s">
        <v>14</v>
      </c>
      <c r="C36" s="1"/>
      <c r="D36" s="5">
        <f>Table14[[#This Row],[Enrolment S.Y. 2025-2026 ]]*8</f>
        <v>0</v>
      </c>
      <c r="E36" s="5"/>
      <c r="F36" s="1"/>
      <c r="G36" s="5"/>
      <c r="H36" s="5">
        <f t="shared" si="0"/>
        <v>0</v>
      </c>
      <c r="I36" s="5">
        <f t="shared" si="1"/>
        <v>0</v>
      </c>
      <c r="J36" s="5">
        <f>Table14[[#This Row],[Enrolment S.Y. 2025-2026 ]]*8</f>
        <v>0</v>
      </c>
      <c r="K36" s="5"/>
      <c r="L36" s="1"/>
      <c r="M36" s="5"/>
      <c r="N36" s="5">
        <f t="shared" ref="N36:N41" si="8">IF((J36-K36)&lt;0,0,(J36-K36))</f>
        <v>0</v>
      </c>
      <c r="O36" s="5">
        <f t="shared" ref="O36:O41" si="9">IF((K36-J36)&lt;0,0,(K36-J36))</f>
        <v>0</v>
      </c>
      <c r="P36" s="5">
        <f>Table14[[#This Row],[Enrolment S.Y. 2025-2026 ]]*8</f>
        <v>0</v>
      </c>
      <c r="Q36" s="5"/>
      <c r="R36" s="1"/>
      <c r="S36" s="5"/>
      <c r="T36" s="5">
        <f t="shared" si="4"/>
        <v>0</v>
      </c>
      <c r="U36" s="5">
        <f t="shared" si="5"/>
        <v>0</v>
      </c>
      <c r="V36" s="5">
        <f>Table14[[#This Row],[Enrolment S.Y. 2025-2026 ]]*8</f>
        <v>0</v>
      </c>
      <c r="W36" s="5"/>
      <c r="X36" s="1"/>
      <c r="Y36" s="5"/>
      <c r="Z36" s="5">
        <f t="shared" si="6"/>
        <v>0</v>
      </c>
      <c r="AA36" s="5">
        <f t="shared" si="7"/>
        <v>0</v>
      </c>
    </row>
    <row r="37" spans="1:27" ht="20.25">
      <c r="A37" s="31">
        <v>4</v>
      </c>
      <c r="B37" s="9" t="s">
        <v>75</v>
      </c>
      <c r="C37" s="5"/>
      <c r="D37" s="5">
        <f>Table14[[#This Row],[Enrolment S.Y. 2025-2026 ]]*8</f>
        <v>0</v>
      </c>
      <c r="E37" s="5"/>
      <c r="F37" s="1"/>
      <c r="G37" s="5"/>
      <c r="H37" s="5">
        <f>IF((D37-E37)&lt;0,0,(D37-E37))</f>
        <v>0</v>
      </c>
      <c r="I37" s="5">
        <f>IF((E37-D37)&lt;0,0,(E37-D37))</f>
        <v>0</v>
      </c>
      <c r="J37" s="5">
        <f>Table14[[#This Row],[Enrolment S.Y. 2025-2026 ]]*8</f>
        <v>0</v>
      </c>
      <c r="K37" s="5"/>
      <c r="L37" s="1"/>
      <c r="M37" s="5"/>
      <c r="N37" s="5">
        <f t="shared" si="8"/>
        <v>0</v>
      </c>
      <c r="O37" s="5">
        <f t="shared" si="9"/>
        <v>0</v>
      </c>
      <c r="P37" s="5">
        <f>Table14[[#This Row],[Enrolment S.Y. 2025-2026 ]]*8</f>
        <v>0</v>
      </c>
      <c r="Q37" s="5"/>
      <c r="R37" s="1"/>
      <c r="S37" s="5"/>
      <c r="T37" s="5">
        <f>IF((P37-Q37)&lt;0,0,(P37-Q37))</f>
        <v>0</v>
      </c>
      <c r="U37" s="5">
        <f>IF((Q37-P37)&lt;0,0,(Q37-P37))</f>
        <v>0</v>
      </c>
      <c r="V37" s="5">
        <f>Table14[[#This Row],[Enrolment S.Y. 2025-2026 ]]*8</f>
        <v>0</v>
      </c>
      <c r="W37" s="5"/>
      <c r="X37" s="1"/>
      <c r="Y37" s="5"/>
      <c r="Z37" s="5">
        <f>IF((V37-W37)&lt;0,0,(V37-W37))</f>
        <v>0</v>
      </c>
      <c r="AA37" s="5">
        <f>IF((W37-V37)&lt;0,0,(W37-V37))</f>
        <v>0</v>
      </c>
    </row>
    <row r="38" spans="1:27" ht="20.25">
      <c r="A38" s="1">
        <v>4</v>
      </c>
      <c r="B38" s="9" t="s">
        <v>76</v>
      </c>
      <c r="C38" s="1"/>
      <c r="D38" s="5">
        <f>Table14[[#This Row],[Enrolment S.Y. 2025-2026 ]]*8</f>
        <v>0</v>
      </c>
      <c r="E38" s="5"/>
      <c r="F38" s="1"/>
      <c r="G38" s="5"/>
      <c r="H38" s="5">
        <f t="shared" si="0"/>
        <v>0</v>
      </c>
      <c r="I38" s="5">
        <f t="shared" si="1"/>
        <v>0</v>
      </c>
      <c r="J38" s="5">
        <f>Table14[[#This Row],[Enrolment S.Y. 2025-2026 ]]*8</f>
        <v>0</v>
      </c>
      <c r="K38" s="5"/>
      <c r="L38" s="1"/>
      <c r="M38" s="5"/>
      <c r="N38" s="5">
        <f t="shared" si="8"/>
        <v>0</v>
      </c>
      <c r="O38" s="5">
        <f t="shared" si="9"/>
        <v>0</v>
      </c>
      <c r="P38" s="5">
        <f>Table14[[#This Row],[Enrolment S.Y. 2025-2026 ]]*8</f>
        <v>0</v>
      </c>
      <c r="Q38" s="5"/>
      <c r="R38" s="1"/>
      <c r="S38" s="5"/>
      <c r="T38" s="5">
        <f t="shared" si="4"/>
        <v>0</v>
      </c>
      <c r="U38" s="5">
        <f t="shared" si="5"/>
        <v>0</v>
      </c>
      <c r="V38" s="5">
        <f>Table14[[#This Row],[Enrolment S.Y. 2025-2026 ]]*8</f>
        <v>0</v>
      </c>
      <c r="W38" s="5"/>
      <c r="X38" s="1"/>
      <c r="Y38" s="5"/>
      <c r="Z38" s="5">
        <f t="shared" si="6"/>
        <v>0</v>
      </c>
      <c r="AA38" s="5">
        <f t="shared" si="7"/>
        <v>0</v>
      </c>
    </row>
    <row r="39" spans="1:27" ht="20.25">
      <c r="A39" s="1">
        <v>4</v>
      </c>
      <c r="B39" s="9" t="s">
        <v>19</v>
      </c>
      <c r="C39" s="1"/>
      <c r="D39" s="5">
        <f>Table14[[#This Row],[Enrolment S.Y. 2025-2026 ]]*8</f>
        <v>0</v>
      </c>
      <c r="E39" s="5"/>
      <c r="F39" s="1"/>
      <c r="G39" s="5"/>
      <c r="H39" s="5">
        <f t="shared" si="0"/>
        <v>0</v>
      </c>
      <c r="I39" s="5">
        <f t="shared" si="1"/>
        <v>0</v>
      </c>
      <c r="J39" s="5">
        <f>Table14[[#This Row],[Enrolment S.Y. 2025-2026 ]]*8</f>
        <v>0</v>
      </c>
      <c r="K39" s="5"/>
      <c r="L39" s="1"/>
      <c r="M39" s="5"/>
      <c r="N39" s="5">
        <f t="shared" si="8"/>
        <v>0</v>
      </c>
      <c r="O39" s="5">
        <f t="shared" si="9"/>
        <v>0</v>
      </c>
      <c r="P39" s="5">
        <f>Table14[[#This Row],[Enrolment S.Y. 2025-2026 ]]*8</f>
        <v>0</v>
      </c>
      <c r="Q39" s="5"/>
      <c r="R39" s="1"/>
      <c r="S39" s="5"/>
      <c r="T39" s="5">
        <f t="shared" si="4"/>
        <v>0</v>
      </c>
      <c r="U39" s="5">
        <f t="shared" si="5"/>
        <v>0</v>
      </c>
      <c r="V39" s="5">
        <f>Table14[[#This Row],[Enrolment S.Y. 2025-2026 ]]*8</f>
        <v>0</v>
      </c>
      <c r="W39" s="5"/>
      <c r="X39" s="1"/>
      <c r="Y39" s="5"/>
      <c r="Z39" s="5">
        <f t="shared" si="6"/>
        <v>0</v>
      </c>
      <c r="AA39" s="5">
        <f t="shared" si="7"/>
        <v>0</v>
      </c>
    </row>
    <row r="40" spans="1:27" ht="20.25">
      <c r="A40" s="31">
        <v>4</v>
      </c>
      <c r="B40" s="9" t="s">
        <v>77</v>
      </c>
      <c r="C40" s="5"/>
      <c r="D40" s="5">
        <f>Table14[[#This Row],[Enrolment S.Y. 2025-2026 ]]*8</f>
        <v>0</v>
      </c>
      <c r="E40" s="5"/>
      <c r="F40" s="1"/>
      <c r="G40" s="5"/>
      <c r="H40" s="5">
        <f>IF((D40-E40)&lt;0,0,(D40-E40))</f>
        <v>0</v>
      </c>
      <c r="I40" s="5">
        <f>IF((E40-D40)&lt;0,0,(E40-D40))</f>
        <v>0</v>
      </c>
      <c r="J40" s="5">
        <f>Table14[[#This Row],[Enrolment S.Y. 2025-2026 ]]*8</f>
        <v>0</v>
      </c>
      <c r="K40" s="5"/>
      <c r="L40" s="1"/>
      <c r="M40" s="5"/>
      <c r="N40" s="5">
        <f t="shared" si="8"/>
        <v>0</v>
      </c>
      <c r="O40" s="5">
        <f t="shared" si="9"/>
        <v>0</v>
      </c>
      <c r="P40" s="5">
        <f>Table14[[#This Row],[Enrolment S.Y. 2025-2026 ]]*8</f>
        <v>0</v>
      </c>
      <c r="Q40" s="5"/>
      <c r="R40" s="1"/>
      <c r="S40" s="5"/>
      <c r="T40" s="5">
        <f>IF((P40-Q40)&lt;0,0,(P40-Q40))</f>
        <v>0</v>
      </c>
      <c r="U40" s="5">
        <f>IF((Q40-P40)&lt;0,0,(Q40-P40))</f>
        <v>0</v>
      </c>
      <c r="V40" s="5">
        <f>Table14[[#This Row],[Enrolment S.Y. 2025-2026 ]]*8</f>
        <v>0</v>
      </c>
      <c r="W40" s="5"/>
      <c r="X40" s="1"/>
      <c r="Y40" s="5"/>
      <c r="Z40" s="5">
        <f>IF((V40-W40)&lt;0,0,(V40-W40))</f>
        <v>0</v>
      </c>
      <c r="AA40" s="5">
        <f>IF((W40-V40)&lt;0,0,(W40-V40))</f>
        <v>0</v>
      </c>
    </row>
    <row r="41" spans="1:27" ht="20.25">
      <c r="A41" s="1">
        <v>4</v>
      </c>
      <c r="B41" s="9" t="s">
        <v>78</v>
      </c>
      <c r="C41" s="1"/>
      <c r="D41" s="5">
        <f>Table14[[#This Row],[Enrolment S.Y. 2025-2026 ]]*8</f>
        <v>0</v>
      </c>
      <c r="E41" s="5"/>
      <c r="F41" s="1"/>
      <c r="G41" s="5"/>
      <c r="H41" s="5">
        <f t="shared" si="0"/>
        <v>0</v>
      </c>
      <c r="I41" s="5">
        <f t="shared" si="1"/>
        <v>0</v>
      </c>
      <c r="J41" s="5">
        <f>Table14[[#This Row],[Enrolment S.Y. 2025-2026 ]]*8</f>
        <v>0</v>
      </c>
      <c r="K41" s="5"/>
      <c r="L41" s="1"/>
      <c r="M41" s="5"/>
      <c r="N41" s="5">
        <f t="shared" si="8"/>
        <v>0</v>
      </c>
      <c r="O41" s="5">
        <f t="shared" si="9"/>
        <v>0</v>
      </c>
      <c r="P41" s="5">
        <f>Table14[[#This Row],[Enrolment S.Y. 2025-2026 ]]*8</f>
        <v>0</v>
      </c>
      <c r="Q41" s="5"/>
      <c r="R41" s="1"/>
      <c r="S41" s="5"/>
      <c r="T41" s="5">
        <f t="shared" si="4"/>
        <v>0</v>
      </c>
      <c r="U41" s="5">
        <f t="shared" si="5"/>
        <v>0</v>
      </c>
      <c r="V41" s="5">
        <f>Table14[[#This Row],[Enrolment S.Y. 2025-2026 ]]*8</f>
        <v>0</v>
      </c>
      <c r="W41" s="5"/>
      <c r="X41" s="1"/>
      <c r="Y41" s="5"/>
      <c r="Z41" s="5">
        <f t="shared" si="6"/>
        <v>0</v>
      </c>
      <c r="AA41" s="5">
        <f t="shared" si="7"/>
        <v>0</v>
      </c>
    </row>
    <row r="42" spans="1:27" s="7" customFormat="1"/>
    <row r="43" spans="1:27" ht="20.25">
      <c r="A43" s="1">
        <v>5</v>
      </c>
      <c r="B43" s="9" t="s">
        <v>15</v>
      </c>
      <c r="C43" s="1"/>
      <c r="D43" s="5">
        <f>Table14[[#This Row],[Enrolment S.Y. 2025-2026 ]]*8</f>
        <v>0</v>
      </c>
      <c r="E43" s="5"/>
      <c r="F43" s="1"/>
      <c r="G43" s="5"/>
      <c r="H43" s="5">
        <f t="shared" si="0"/>
        <v>0</v>
      </c>
      <c r="I43" s="5">
        <f t="shared" si="1"/>
        <v>0</v>
      </c>
      <c r="J43" s="5">
        <f>Table14[[#This Row],[Enrolment S.Y. 2025-2026 ]]*8</f>
        <v>0</v>
      </c>
      <c r="K43" s="5"/>
      <c r="L43" s="1"/>
      <c r="M43" s="5"/>
      <c r="N43" s="5">
        <f t="shared" si="2"/>
        <v>0</v>
      </c>
      <c r="O43" s="5">
        <f t="shared" si="3"/>
        <v>0</v>
      </c>
      <c r="P43" s="5">
        <f>Table14[[#This Row],[Enrolment S.Y. 2025-2026 ]]*8</f>
        <v>0</v>
      </c>
      <c r="Q43" s="5"/>
      <c r="R43" s="1"/>
      <c r="S43" s="5"/>
      <c r="T43" s="5">
        <f t="shared" si="4"/>
        <v>0</v>
      </c>
      <c r="U43" s="5">
        <f t="shared" si="5"/>
        <v>0</v>
      </c>
      <c r="V43" s="5">
        <f>Table14[[#This Row],[Enrolment S.Y. 2025-2026 ]]*8</f>
        <v>0</v>
      </c>
      <c r="W43" s="5"/>
      <c r="X43" s="1"/>
      <c r="Y43" s="5"/>
      <c r="Z43" s="5">
        <f t="shared" si="6"/>
        <v>0</v>
      </c>
      <c r="AA43" s="5">
        <f t="shared" si="7"/>
        <v>0</v>
      </c>
    </row>
    <row r="44" spans="1:27" ht="20.25">
      <c r="A44" s="1">
        <v>5</v>
      </c>
      <c r="B44" s="9" t="s">
        <v>16</v>
      </c>
      <c r="C44" s="1"/>
      <c r="D44" s="5">
        <f>Table14[[#This Row],[Enrolment S.Y. 2025-2026 ]]*8</f>
        <v>0</v>
      </c>
      <c r="E44" s="5"/>
      <c r="F44" s="1"/>
      <c r="G44" s="5"/>
      <c r="H44" s="5">
        <f t="shared" si="0"/>
        <v>0</v>
      </c>
      <c r="I44" s="5">
        <f t="shared" si="1"/>
        <v>0</v>
      </c>
      <c r="J44" s="5">
        <f>Table14[[#This Row],[Enrolment S.Y. 2025-2026 ]]*8</f>
        <v>0</v>
      </c>
      <c r="K44" s="5"/>
      <c r="L44" s="1"/>
      <c r="M44" s="5"/>
      <c r="N44" s="5">
        <f t="shared" si="2"/>
        <v>0</v>
      </c>
      <c r="O44" s="5">
        <f t="shared" si="3"/>
        <v>0</v>
      </c>
      <c r="P44" s="5">
        <f>Table14[[#This Row],[Enrolment S.Y. 2025-2026 ]]*8</f>
        <v>0</v>
      </c>
      <c r="Q44" s="5"/>
      <c r="R44" s="1"/>
      <c r="S44" s="5"/>
      <c r="T44" s="5">
        <f t="shared" si="4"/>
        <v>0</v>
      </c>
      <c r="U44" s="5">
        <f t="shared" si="5"/>
        <v>0</v>
      </c>
      <c r="V44" s="5">
        <f>Table14[[#This Row],[Enrolment S.Y. 2025-2026 ]]*8</f>
        <v>0</v>
      </c>
      <c r="W44" s="5"/>
      <c r="X44" s="1"/>
      <c r="Y44" s="5"/>
      <c r="Z44" s="5">
        <f t="shared" si="6"/>
        <v>0</v>
      </c>
      <c r="AA44" s="5">
        <f t="shared" si="7"/>
        <v>0</v>
      </c>
    </row>
    <row r="45" spans="1:27" ht="20.25">
      <c r="A45" s="1">
        <v>5</v>
      </c>
      <c r="B45" s="9" t="s">
        <v>13</v>
      </c>
      <c r="C45" s="1"/>
      <c r="D45" s="5">
        <f>Table14[[#This Row],[Enrolment S.Y. 2025-2026 ]]*8</f>
        <v>0</v>
      </c>
      <c r="E45" s="5"/>
      <c r="F45" s="1"/>
      <c r="G45" s="5"/>
      <c r="H45" s="5">
        <f t="shared" si="0"/>
        <v>0</v>
      </c>
      <c r="I45" s="5">
        <f t="shared" si="1"/>
        <v>0</v>
      </c>
      <c r="J45" s="5">
        <f>Table14[[#This Row],[Enrolment S.Y. 2025-2026 ]]*8</f>
        <v>0</v>
      </c>
      <c r="K45" s="5"/>
      <c r="L45" s="1"/>
      <c r="M45" s="5"/>
      <c r="N45" s="5">
        <f t="shared" si="2"/>
        <v>0</v>
      </c>
      <c r="O45" s="5">
        <f t="shared" si="3"/>
        <v>0</v>
      </c>
      <c r="P45" s="5">
        <f>Table14[[#This Row],[Enrolment S.Y. 2025-2026 ]]*8</f>
        <v>0</v>
      </c>
      <c r="Q45" s="5"/>
      <c r="R45" s="1"/>
      <c r="S45" s="5"/>
      <c r="T45" s="5">
        <f t="shared" si="4"/>
        <v>0</v>
      </c>
      <c r="U45" s="5">
        <f t="shared" si="5"/>
        <v>0</v>
      </c>
      <c r="V45" s="5">
        <f>Table14[[#This Row],[Enrolment S.Y. 2025-2026 ]]*8</f>
        <v>0</v>
      </c>
      <c r="W45" s="5"/>
      <c r="X45" s="1"/>
      <c r="Y45" s="5"/>
      <c r="Z45" s="5">
        <f t="shared" si="6"/>
        <v>0</v>
      </c>
      <c r="AA45" s="5">
        <f t="shared" si="7"/>
        <v>0</v>
      </c>
    </row>
    <row r="46" spans="1:27" ht="20.25">
      <c r="A46" s="1">
        <v>5</v>
      </c>
      <c r="B46" s="9" t="s">
        <v>11</v>
      </c>
      <c r="C46" s="1"/>
      <c r="D46" s="5">
        <f>Table14[[#This Row],[Enrolment S.Y. 2025-2026 ]]*8</f>
        <v>0</v>
      </c>
      <c r="E46" s="5"/>
      <c r="F46" s="1"/>
      <c r="G46" s="5"/>
      <c r="H46" s="5">
        <f t="shared" si="0"/>
        <v>0</v>
      </c>
      <c r="I46" s="5">
        <f t="shared" si="1"/>
        <v>0</v>
      </c>
      <c r="J46" s="5">
        <f>Table14[[#This Row],[Enrolment S.Y. 2025-2026 ]]*8</f>
        <v>0</v>
      </c>
      <c r="K46" s="5"/>
      <c r="L46" s="1"/>
      <c r="M46" s="5"/>
      <c r="N46" s="5">
        <f t="shared" si="2"/>
        <v>0</v>
      </c>
      <c r="O46" s="5">
        <f t="shared" si="3"/>
        <v>0</v>
      </c>
      <c r="P46" s="5">
        <f>Table14[[#This Row],[Enrolment S.Y. 2025-2026 ]]*8</f>
        <v>0</v>
      </c>
      <c r="Q46" s="5"/>
      <c r="R46" s="1"/>
      <c r="S46" s="5"/>
      <c r="T46" s="5">
        <f t="shared" si="4"/>
        <v>0</v>
      </c>
      <c r="U46" s="5">
        <f t="shared" si="5"/>
        <v>0</v>
      </c>
      <c r="V46" s="5">
        <f>Table14[[#This Row],[Enrolment S.Y. 2025-2026 ]]*8</f>
        <v>0</v>
      </c>
      <c r="W46" s="5"/>
      <c r="X46" s="1"/>
      <c r="Y46" s="5"/>
      <c r="Z46" s="5">
        <f t="shared" si="6"/>
        <v>0</v>
      </c>
      <c r="AA46" s="5">
        <f t="shared" si="7"/>
        <v>0</v>
      </c>
    </row>
    <row r="47" spans="1:27" ht="20.25">
      <c r="A47" s="1">
        <v>5</v>
      </c>
      <c r="B47" s="9" t="s">
        <v>17</v>
      </c>
      <c r="C47" s="1"/>
      <c r="D47" s="5">
        <f>Table14[[#This Row],[Enrolment S.Y. 2025-2026 ]]*8</f>
        <v>0</v>
      </c>
      <c r="E47" s="5"/>
      <c r="F47" s="1"/>
      <c r="G47" s="5"/>
      <c r="H47" s="5">
        <f t="shared" si="0"/>
        <v>0</v>
      </c>
      <c r="I47" s="5">
        <f t="shared" si="1"/>
        <v>0</v>
      </c>
      <c r="J47" s="5">
        <f>Table14[[#This Row],[Enrolment S.Y. 2025-2026 ]]*8</f>
        <v>0</v>
      </c>
      <c r="K47" s="5"/>
      <c r="L47" s="1"/>
      <c r="M47" s="5"/>
      <c r="N47" s="5">
        <f t="shared" si="2"/>
        <v>0</v>
      </c>
      <c r="O47" s="5">
        <f t="shared" si="3"/>
        <v>0</v>
      </c>
      <c r="P47" s="5">
        <f>Table14[[#This Row],[Enrolment S.Y. 2025-2026 ]]*8</f>
        <v>0</v>
      </c>
      <c r="Q47" s="5"/>
      <c r="R47" s="1"/>
      <c r="S47" s="5"/>
      <c r="T47" s="5">
        <f t="shared" si="4"/>
        <v>0</v>
      </c>
      <c r="U47" s="5">
        <f t="shared" si="5"/>
        <v>0</v>
      </c>
      <c r="V47" s="5">
        <f>Table14[[#This Row],[Enrolment S.Y. 2025-2026 ]]*8</f>
        <v>0</v>
      </c>
      <c r="W47" s="5"/>
      <c r="X47" s="1"/>
      <c r="Y47" s="5"/>
      <c r="Z47" s="5">
        <f t="shared" si="6"/>
        <v>0</v>
      </c>
      <c r="AA47" s="5">
        <f t="shared" si="7"/>
        <v>0</v>
      </c>
    </row>
    <row r="48" spans="1:27" ht="20.25">
      <c r="A48" s="1">
        <v>5</v>
      </c>
      <c r="B48" s="9" t="s">
        <v>14</v>
      </c>
      <c r="C48" s="1"/>
      <c r="D48" s="5">
        <f>Table14[[#This Row],[Enrolment S.Y. 2025-2026 ]]*8</f>
        <v>0</v>
      </c>
      <c r="E48" s="5"/>
      <c r="F48" s="1"/>
      <c r="G48" s="5"/>
      <c r="H48" s="5">
        <f t="shared" si="0"/>
        <v>0</v>
      </c>
      <c r="I48" s="5">
        <f t="shared" si="1"/>
        <v>0</v>
      </c>
      <c r="J48" s="5">
        <f>Table14[[#This Row],[Enrolment S.Y. 2025-2026 ]]*8</f>
        <v>0</v>
      </c>
      <c r="K48" s="5"/>
      <c r="L48" s="1"/>
      <c r="M48" s="5"/>
      <c r="N48" s="5">
        <f t="shared" ref="N48:N53" si="10">IF((J48-K48)&lt;0,0,(J48-K48))</f>
        <v>0</v>
      </c>
      <c r="O48" s="5">
        <f t="shared" ref="O48:O53" si="11">IF((K48-J48)&lt;0,0,(K48-J48))</f>
        <v>0</v>
      </c>
      <c r="P48" s="5">
        <f>Table14[[#This Row],[Enrolment S.Y. 2025-2026 ]]*8</f>
        <v>0</v>
      </c>
      <c r="Q48" s="5"/>
      <c r="R48" s="1"/>
      <c r="S48" s="5"/>
      <c r="T48" s="5">
        <f t="shared" si="4"/>
        <v>0</v>
      </c>
      <c r="U48" s="5">
        <f t="shared" si="5"/>
        <v>0</v>
      </c>
      <c r="V48" s="5">
        <f>Table14[[#This Row],[Enrolment S.Y. 2025-2026 ]]*8</f>
        <v>0</v>
      </c>
      <c r="W48" s="5"/>
      <c r="X48" s="1"/>
      <c r="Y48" s="5"/>
      <c r="Z48" s="5">
        <f t="shared" si="6"/>
        <v>0</v>
      </c>
      <c r="AA48" s="5">
        <f t="shared" si="7"/>
        <v>0</v>
      </c>
    </row>
    <row r="49" spans="1:27" ht="20.25">
      <c r="A49" s="31">
        <v>5</v>
      </c>
      <c r="B49" s="9" t="s">
        <v>75</v>
      </c>
      <c r="C49" s="5"/>
      <c r="D49" s="5">
        <f>Table14[[#This Row],[Enrolment S.Y. 2025-2026 ]]*8</f>
        <v>0</v>
      </c>
      <c r="E49" s="5"/>
      <c r="F49" s="1"/>
      <c r="G49" s="5"/>
      <c r="H49" s="5">
        <f>IF((D49-E49)&lt;0,0,(D49-E49))</f>
        <v>0</v>
      </c>
      <c r="I49" s="5">
        <f>IF((E49-D49)&lt;0,0,(E49-D49))</f>
        <v>0</v>
      </c>
      <c r="J49" s="5">
        <f>Table14[[#This Row],[Enrolment S.Y. 2025-2026 ]]*8</f>
        <v>0</v>
      </c>
      <c r="K49" s="5"/>
      <c r="L49" s="1"/>
      <c r="M49" s="5"/>
      <c r="N49" s="5">
        <f t="shared" si="10"/>
        <v>0</v>
      </c>
      <c r="O49" s="5">
        <f t="shared" si="11"/>
        <v>0</v>
      </c>
      <c r="P49" s="5">
        <f>Table14[[#This Row],[Enrolment S.Y. 2025-2026 ]]*8</f>
        <v>0</v>
      </c>
      <c r="Q49" s="5"/>
      <c r="R49" s="1"/>
      <c r="S49" s="5"/>
      <c r="T49" s="5">
        <f>IF((P49-Q49)&lt;0,0,(P49-Q49))</f>
        <v>0</v>
      </c>
      <c r="U49" s="5">
        <f>IF((Q49-P49)&lt;0,0,(Q49-P49))</f>
        <v>0</v>
      </c>
      <c r="V49" s="5">
        <f>Table14[[#This Row],[Enrolment S.Y. 2025-2026 ]]*8</f>
        <v>0</v>
      </c>
      <c r="W49" s="5"/>
      <c r="X49" s="1"/>
      <c r="Y49" s="5"/>
      <c r="Z49" s="5">
        <f>IF((V49-W49)&lt;0,0,(V49-W49))</f>
        <v>0</v>
      </c>
      <c r="AA49" s="5">
        <f>IF((W49-V49)&lt;0,0,(W49-V49))</f>
        <v>0</v>
      </c>
    </row>
    <row r="50" spans="1:27" ht="20.25">
      <c r="A50" s="1">
        <v>5</v>
      </c>
      <c r="B50" s="9" t="s">
        <v>76</v>
      </c>
      <c r="C50" s="1"/>
      <c r="D50" s="5">
        <f>Table14[[#This Row],[Enrolment S.Y. 2025-2026 ]]*8</f>
        <v>0</v>
      </c>
      <c r="E50" s="5"/>
      <c r="F50" s="1"/>
      <c r="G50" s="5"/>
      <c r="H50" s="5">
        <f t="shared" si="0"/>
        <v>0</v>
      </c>
      <c r="I50" s="5">
        <f t="shared" si="1"/>
        <v>0</v>
      </c>
      <c r="J50" s="5">
        <f>Table14[[#This Row],[Enrolment S.Y. 2025-2026 ]]*8</f>
        <v>0</v>
      </c>
      <c r="K50" s="5"/>
      <c r="L50" s="1"/>
      <c r="M50" s="5"/>
      <c r="N50" s="5">
        <f t="shared" si="10"/>
        <v>0</v>
      </c>
      <c r="O50" s="5">
        <f t="shared" si="11"/>
        <v>0</v>
      </c>
      <c r="P50" s="5">
        <f>Table14[[#This Row],[Enrolment S.Y. 2025-2026 ]]*8</f>
        <v>0</v>
      </c>
      <c r="Q50" s="5"/>
      <c r="R50" s="1"/>
      <c r="S50" s="5"/>
      <c r="T50" s="5">
        <f t="shared" si="4"/>
        <v>0</v>
      </c>
      <c r="U50" s="5">
        <f t="shared" si="5"/>
        <v>0</v>
      </c>
      <c r="V50" s="5">
        <f>Table14[[#This Row],[Enrolment S.Y. 2025-2026 ]]*8</f>
        <v>0</v>
      </c>
      <c r="W50" s="5"/>
      <c r="X50" s="1"/>
      <c r="Y50" s="5"/>
      <c r="Z50" s="5">
        <f t="shared" si="6"/>
        <v>0</v>
      </c>
      <c r="AA50" s="5">
        <f t="shared" si="7"/>
        <v>0</v>
      </c>
    </row>
    <row r="51" spans="1:27" ht="20.25">
      <c r="A51" s="1">
        <v>5</v>
      </c>
      <c r="B51" s="9" t="s">
        <v>19</v>
      </c>
      <c r="C51" s="1"/>
      <c r="D51" s="5">
        <f>Table14[[#This Row],[Enrolment S.Y. 2025-2026 ]]*8</f>
        <v>0</v>
      </c>
      <c r="E51" s="5"/>
      <c r="F51" s="1"/>
      <c r="G51" s="5"/>
      <c r="H51" s="5">
        <f t="shared" si="0"/>
        <v>0</v>
      </c>
      <c r="I51" s="5">
        <f t="shared" si="1"/>
        <v>0</v>
      </c>
      <c r="J51" s="5">
        <f>Table14[[#This Row],[Enrolment S.Y. 2025-2026 ]]*8</f>
        <v>0</v>
      </c>
      <c r="K51" s="5"/>
      <c r="L51" s="1"/>
      <c r="M51" s="5"/>
      <c r="N51" s="5">
        <f t="shared" si="10"/>
        <v>0</v>
      </c>
      <c r="O51" s="5">
        <f t="shared" si="11"/>
        <v>0</v>
      </c>
      <c r="P51" s="5">
        <f>Table14[[#This Row],[Enrolment S.Y. 2025-2026 ]]*8</f>
        <v>0</v>
      </c>
      <c r="Q51" s="5"/>
      <c r="R51" s="1"/>
      <c r="S51" s="5"/>
      <c r="T51" s="5">
        <f t="shared" si="4"/>
        <v>0</v>
      </c>
      <c r="U51" s="5">
        <f t="shared" si="5"/>
        <v>0</v>
      </c>
      <c r="V51" s="5">
        <f>Table14[[#This Row],[Enrolment S.Y. 2025-2026 ]]*8</f>
        <v>0</v>
      </c>
      <c r="W51" s="5"/>
      <c r="X51" s="1"/>
      <c r="Y51" s="5"/>
      <c r="Z51" s="5">
        <f t="shared" si="6"/>
        <v>0</v>
      </c>
      <c r="AA51" s="5">
        <f t="shared" si="7"/>
        <v>0</v>
      </c>
    </row>
    <row r="52" spans="1:27" ht="20.25">
      <c r="A52" s="31">
        <v>5</v>
      </c>
      <c r="B52" s="9" t="s">
        <v>77</v>
      </c>
      <c r="C52" s="5"/>
      <c r="D52" s="5">
        <f>Table14[[#This Row],[Enrolment S.Y. 2025-2026 ]]*8</f>
        <v>0</v>
      </c>
      <c r="E52" s="5"/>
      <c r="F52" s="1"/>
      <c r="G52" s="5"/>
      <c r="H52" s="5">
        <f>IF((D52-E52)&lt;0,0,(D52-E52))</f>
        <v>0</v>
      </c>
      <c r="I52" s="5">
        <f>IF((E52-D52)&lt;0,0,(E52-D52))</f>
        <v>0</v>
      </c>
      <c r="J52" s="5">
        <f>Table14[[#This Row],[Enrolment S.Y. 2025-2026 ]]*8</f>
        <v>0</v>
      </c>
      <c r="K52" s="5"/>
      <c r="L52" s="1"/>
      <c r="M52" s="5"/>
      <c r="N52" s="5">
        <f t="shared" si="10"/>
        <v>0</v>
      </c>
      <c r="O52" s="5">
        <f t="shared" si="11"/>
        <v>0</v>
      </c>
      <c r="P52" s="5">
        <f>Table14[[#This Row],[Enrolment S.Y. 2025-2026 ]]*8</f>
        <v>0</v>
      </c>
      <c r="Q52" s="5"/>
      <c r="R52" s="1"/>
      <c r="S52" s="5"/>
      <c r="T52" s="5">
        <f>IF((P52-Q52)&lt;0,0,(P52-Q52))</f>
        <v>0</v>
      </c>
      <c r="U52" s="5">
        <f>IF((Q52-P52)&lt;0,0,(Q52-P52))</f>
        <v>0</v>
      </c>
      <c r="V52" s="5">
        <f>Table14[[#This Row],[Enrolment S.Y. 2025-2026 ]]*8</f>
        <v>0</v>
      </c>
      <c r="W52" s="5"/>
      <c r="X52" s="1"/>
      <c r="Y52" s="5"/>
      <c r="Z52" s="5">
        <f>IF((V52-W52)&lt;0,0,(V52-W52))</f>
        <v>0</v>
      </c>
      <c r="AA52" s="5">
        <f>IF((W52-V52)&lt;0,0,(W52-V52))</f>
        <v>0</v>
      </c>
    </row>
    <row r="53" spans="1:27" ht="20.25">
      <c r="A53" s="1">
        <v>5</v>
      </c>
      <c r="B53" s="9" t="s">
        <v>78</v>
      </c>
      <c r="C53" s="1"/>
      <c r="D53" s="5">
        <f>Table14[[#This Row],[Enrolment S.Y. 2025-2026 ]]*8</f>
        <v>0</v>
      </c>
      <c r="E53" s="5"/>
      <c r="F53" s="1"/>
      <c r="G53" s="5"/>
      <c r="H53" s="5">
        <f t="shared" si="0"/>
        <v>0</v>
      </c>
      <c r="I53" s="5">
        <f t="shared" si="1"/>
        <v>0</v>
      </c>
      <c r="J53" s="5">
        <f>Table14[[#This Row],[Enrolment S.Y. 2025-2026 ]]*8</f>
        <v>0</v>
      </c>
      <c r="K53" s="5"/>
      <c r="L53" s="1"/>
      <c r="M53" s="5"/>
      <c r="N53" s="5">
        <f t="shared" si="10"/>
        <v>0</v>
      </c>
      <c r="O53" s="5">
        <f t="shared" si="11"/>
        <v>0</v>
      </c>
      <c r="P53" s="5">
        <f>Table14[[#This Row],[Enrolment S.Y. 2025-2026 ]]*8</f>
        <v>0</v>
      </c>
      <c r="Q53" s="5"/>
      <c r="R53" s="1"/>
      <c r="S53" s="5"/>
      <c r="T53" s="5">
        <f t="shared" si="4"/>
        <v>0</v>
      </c>
      <c r="U53" s="5">
        <f t="shared" si="5"/>
        <v>0</v>
      </c>
      <c r="V53" s="5">
        <f>Table14[[#This Row],[Enrolment S.Y. 2025-2026 ]]*8</f>
        <v>0</v>
      </c>
      <c r="W53" s="5"/>
      <c r="X53" s="1"/>
      <c r="Y53" s="5"/>
      <c r="Z53" s="5">
        <f t="shared" si="6"/>
        <v>0</v>
      </c>
      <c r="AA53" s="5">
        <f t="shared" si="7"/>
        <v>0</v>
      </c>
    </row>
    <row r="54" spans="1:27" s="7" customFormat="1"/>
    <row r="55" spans="1:27" ht="20.25">
      <c r="A55" s="1">
        <v>6</v>
      </c>
      <c r="B55" s="9" t="s">
        <v>15</v>
      </c>
      <c r="C55" s="1"/>
      <c r="D55" s="5">
        <f>Table14[[#This Row],[Enrolment S.Y. 2025-2026 ]]*8</f>
        <v>0</v>
      </c>
      <c r="E55" s="5"/>
      <c r="F55" s="1"/>
      <c r="G55" s="5"/>
      <c r="H55" s="5">
        <f t="shared" si="0"/>
        <v>0</v>
      </c>
      <c r="I55" s="5">
        <f t="shared" si="1"/>
        <v>0</v>
      </c>
      <c r="J55" s="5">
        <f>Table14[[#This Row],[Enrolment S.Y. 2025-2026 ]]*8</f>
        <v>0</v>
      </c>
      <c r="K55" s="5"/>
      <c r="L55" s="1"/>
      <c r="M55" s="5"/>
      <c r="N55" s="5">
        <f t="shared" si="2"/>
        <v>0</v>
      </c>
      <c r="O55" s="5">
        <f t="shared" si="3"/>
        <v>0</v>
      </c>
      <c r="P55" s="5">
        <f>Table14[[#This Row],[Enrolment S.Y. 2025-2026 ]]*8</f>
        <v>0</v>
      </c>
      <c r="Q55" s="5"/>
      <c r="R55" s="1"/>
      <c r="S55" s="5"/>
      <c r="T55" s="5">
        <f t="shared" si="4"/>
        <v>0</v>
      </c>
      <c r="U55" s="5">
        <f t="shared" si="5"/>
        <v>0</v>
      </c>
      <c r="V55" s="5">
        <f>Table14[[#This Row],[Enrolment S.Y. 2025-2026 ]]*8</f>
        <v>0</v>
      </c>
      <c r="W55" s="5"/>
      <c r="X55" s="1"/>
      <c r="Y55" s="5"/>
      <c r="Z55" s="5">
        <f t="shared" si="6"/>
        <v>0</v>
      </c>
      <c r="AA55" s="5">
        <f t="shared" si="7"/>
        <v>0</v>
      </c>
    </row>
    <row r="56" spans="1:27" ht="20.25">
      <c r="A56" s="1">
        <v>6</v>
      </c>
      <c r="B56" s="9" t="s">
        <v>16</v>
      </c>
      <c r="C56" s="1"/>
      <c r="D56" s="5">
        <f>Table14[[#This Row],[Enrolment S.Y. 2025-2026 ]]*8</f>
        <v>0</v>
      </c>
      <c r="E56" s="5"/>
      <c r="F56" s="1"/>
      <c r="G56" s="5"/>
      <c r="H56" s="5">
        <f t="shared" si="0"/>
        <v>0</v>
      </c>
      <c r="I56" s="5">
        <f t="shared" si="1"/>
        <v>0</v>
      </c>
      <c r="J56" s="5">
        <f>Table14[[#This Row],[Enrolment S.Y. 2025-2026 ]]*8</f>
        <v>0</v>
      </c>
      <c r="K56" s="5"/>
      <c r="L56" s="1"/>
      <c r="M56" s="5"/>
      <c r="N56" s="5">
        <f t="shared" si="2"/>
        <v>0</v>
      </c>
      <c r="O56" s="5">
        <f t="shared" si="3"/>
        <v>0</v>
      </c>
      <c r="P56" s="5">
        <f>Table14[[#This Row],[Enrolment S.Y. 2025-2026 ]]*8</f>
        <v>0</v>
      </c>
      <c r="Q56" s="5"/>
      <c r="R56" s="1"/>
      <c r="S56" s="5"/>
      <c r="T56" s="5">
        <f t="shared" si="4"/>
        <v>0</v>
      </c>
      <c r="U56" s="5">
        <f t="shared" si="5"/>
        <v>0</v>
      </c>
      <c r="V56" s="5">
        <f>Table14[[#This Row],[Enrolment S.Y. 2025-2026 ]]*8</f>
        <v>0</v>
      </c>
      <c r="W56" s="5"/>
      <c r="X56" s="1"/>
      <c r="Y56" s="5"/>
      <c r="Z56" s="5">
        <f t="shared" si="6"/>
        <v>0</v>
      </c>
      <c r="AA56" s="5">
        <f t="shared" si="7"/>
        <v>0</v>
      </c>
    </row>
    <row r="57" spans="1:27" ht="20.25">
      <c r="A57" s="1">
        <v>6</v>
      </c>
      <c r="B57" s="9" t="s">
        <v>13</v>
      </c>
      <c r="C57" s="1"/>
      <c r="D57" s="5">
        <f>Table14[[#This Row],[Enrolment S.Y. 2025-2026 ]]*8</f>
        <v>0</v>
      </c>
      <c r="E57" s="5"/>
      <c r="F57" s="1"/>
      <c r="G57" s="5"/>
      <c r="H57" s="5">
        <f t="shared" si="0"/>
        <v>0</v>
      </c>
      <c r="I57" s="5">
        <f t="shared" si="1"/>
        <v>0</v>
      </c>
      <c r="J57" s="5">
        <f>Table14[[#This Row],[Enrolment S.Y. 2025-2026 ]]*8</f>
        <v>0</v>
      </c>
      <c r="K57" s="5"/>
      <c r="L57" s="1"/>
      <c r="M57" s="5"/>
      <c r="N57" s="5">
        <f t="shared" si="2"/>
        <v>0</v>
      </c>
      <c r="O57" s="5">
        <f t="shared" si="3"/>
        <v>0</v>
      </c>
      <c r="P57" s="5">
        <f>Table14[[#This Row],[Enrolment S.Y. 2025-2026 ]]*8</f>
        <v>0</v>
      </c>
      <c r="Q57" s="5"/>
      <c r="R57" s="1"/>
      <c r="S57" s="5"/>
      <c r="T57" s="5">
        <f t="shared" si="4"/>
        <v>0</v>
      </c>
      <c r="U57" s="5">
        <f t="shared" si="5"/>
        <v>0</v>
      </c>
      <c r="V57" s="5">
        <f>Table14[[#This Row],[Enrolment S.Y. 2025-2026 ]]*8</f>
        <v>0</v>
      </c>
      <c r="W57" s="5"/>
      <c r="X57" s="1"/>
      <c r="Y57" s="5"/>
      <c r="Z57" s="5">
        <f t="shared" si="6"/>
        <v>0</v>
      </c>
      <c r="AA57" s="5">
        <f t="shared" si="7"/>
        <v>0</v>
      </c>
    </row>
    <row r="58" spans="1:27" ht="20.25">
      <c r="A58" s="1">
        <v>6</v>
      </c>
      <c r="B58" s="9" t="s">
        <v>11</v>
      </c>
      <c r="C58" s="1"/>
      <c r="D58" s="5">
        <f>Table14[[#This Row],[Enrolment S.Y. 2025-2026 ]]*8</f>
        <v>0</v>
      </c>
      <c r="E58" s="5"/>
      <c r="F58" s="1"/>
      <c r="G58" s="5"/>
      <c r="H58" s="5">
        <f t="shared" si="0"/>
        <v>0</v>
      </c>
      <c r="I58" s="5">
        <f t="shared" si="1"/>
        <v>0</v>
      </c>
      <c r="J58" s="5">
        <f>Table14[[#This Row],[Enrolment S.Y. 2025-2026 ]]*8</f>
        <v>0</v>
      </c>
      <c r="K58" s="5"/>
      <c r="L58" s="1"/>
      <c r="M58" s="5"/>
      <c r="N58" s="5">
        <f t="shared" si="2"/>
        <v>0</v>
      </c>
      <c r="O58" s="5">
        <f t="shared" si="3"/>
        <v>0</v>
      </c>
      <c r="P58" s="5">
        <f>Table14[[#This Row],[Enrolment S.Y. 2025-2026 ]]*8</f>
        <v>0</v>
      </c>
      <c r="Q58" s="5"/>
      <c r="R58" s="1"/>
      <c r="S58" s="5"/>
      <c r="T58" s="5">
        <f t="shared" si="4"/>
        <v>0</v>
      </c>
      <c r="U58" s="5">
        <f t="shared" si="5"/>
        <v>0</v>
      </c>
      <c r="V58" s="5">
        <f>Table14[[#This Row],[Enrolment S.Y. 2025-2026 ]]*8</f>
        <v>0</v>
      </c>
      <c r="W58" s="5"/>
      <c r="X58" s="1"/>
      <c r="Y58" s="5"/>
      <c r="Z58" s="5">
        <f t="shared" si="6"/>
        <v>0</v>
      </c>
      <c r="AA58" s="5">
        <f t="shared" si="7"/>
        <v>0</v>
      </c>
    </row>
    <row r="59" spans="1:27" ht="20.25">
      <c r="A59" s="1">
        <v>6</v>
      </c>
      <c r="B59" s="9" t="s">
        <v>17</v>
      </c>
      <c r="C59" s="1"/>
      <c r="D59" s="5">
        <f>Table14[[#This Row],[Enrolment S.Y. 2025-2026 ]]*8</f>
        <v>0</v>
      </c>
      <c r="E59" s="5"/>
      <c r="F59" s="1"/>
      <c r="G59" s="5"/>
      <c r="H59" s="5">
        <f t="shared" si="0"/>
        <v>0</v>
      </c>
      <c r="I59" s="5">
        <f t="shared" si="1"/>
        <v>0</v>
      </c>
      <c r="J59" s="5">
        <f>Table14[[#This Row],[Enrolment S.Y. 2025-2026 ]]*8</f>
        <v>0</v>
      </c>
      <c r="K59" s="5"/>
      <c r="L59" s="1"/>
      <c r="M59" s="5"/>
      <c r="N59" s="5">
        <f t="shared" si="2"/>
        <v>0</v>
      </c>
      <c r="O59" s="5">
        <f t="shared" si="3"/>
        <v>0</v>
      </c>
      <c r="P59" s="5">
        <f>Table14[[#This Row],[Enrolment S.Y. 2025-2026 ]]*8</f>
        <v>0</v>
      </c>
      <c r="Q59" s="5"/>
      <c r="R59" s="1"/>
      <c r="S59" s="5"/>
      <c r="T59" s="5">
        <f t="shared" si="4"/>
        <v>0</v>
      </c>
      <c r="U59" s="5">
        <f t="shared" si="5"/>
        <v>0</v>
      </c>
      <c r="V59" s="5">
        <f>Table14[[#This Row],[Enrolment S.Y. 2025-2026 ]]*8</f>
        <v>0</v>
      </c>
      <c r="W59" s="5"/>
      <c r="X59" s="1"/>
      <c r="Y59" s="5"/>
      <c r="Z59" s="5">
        <f t="shared" si="6"/>
        <v>0</v>
      </c>
      <c r="AA59" s="5">
        <f t="shared" si="7"/>
        <v>0</v>
      </c>
    </row>
    <row r="60" spans="1:27" ht="20.25">
      <c r="A60" s="1">
        <v>6</v>
      </c>
      <c r="B60" s="9" t="s">
        <v>14</v>
      </c>
      <c r="C60" s="1"/>
      <c r="D60" s="5">
        <f>Table14[[#This Row],[Enrolment S.Y. 2025-2026 ]]*8</f>
        <v>0</v>
      </c>
      <c r="E60" s="5"/>
      <c r="F60" s="1"/>
      <c r="G60" s="5"/>
      <c r="H60" s="5">
        <f t="shared" si="0"/>
        <v>0</v>
      </c>
      <c r="I60" s="5">
        <f t="shared" si="1"/>
        <v>0</v>
      </c>
      <c r="J60" s="5">
        <f>Table14[[#This Row],[Enrolment S.Y. 2025-2026 ]]*8</f>
        <v>0</v>
      </c>
      <c r="K60" s="5"/>
      <c r="L60" s="1"/>
      <c r="M60" s="5"/>
      <c r="N60" s="5">
        <f t="shared" si="2"/>
        <v>0</v>
      </c>
      <c r="O60" s="5">
        <f t="shared" si="3"/>
        <v>0</v>
      </c>
      <c r="P60" s="5">
        <f>Table14[[#This Row],[Enrolment S.Y. 2025-2026 ]]*8</f>
        <v>0</v>
      </c>
      <c r="Q60" s="5"/>
      <c r="R60" s="1"/>
      <c r="S60" s="5"/>
      <c r="T60" s="5">
        <f t="shared" si="4"/>
        <v>0</v>
      </c>
      <c r="U60" s="5">
        <f t="shared" si="5"/>
        <v>0</v>
      </c>
      <c r="V60" s="5">
        <f>Table14[[#This Row],[Enrolment S.Y. 2025-2026 ]]*8</f>
        <v>0</v>
      </c>
      <c r="W60" s="5"/>
      <c r="X60" s="1"/>
      <c r="Y60" s="5"/>
      <c r="Z60" s="5">
        <f t="shared" si="6"/>
        <v>0</v>
      </c>
      <c r="AA60" s="5">
        <f t="shared" si="7"/>
        <v>0</v>
      </c>
    </row>
    <row r="61" spans="1:27" ht="20.25">
      <c r="A61" s="31">
        <v>6</v>
      </c>
      <c r="B61" s="9" t="s">
        <v>75</v>
      </c>
      <c r="C61" s="5"/>
      <c r="D61" s="5">
        <f>Table14[[#This Row],[Enrolment S.Y. 2025-2026 ]]*8</f>
        <v>0</v>
      </c>
      <c r="E61" s="5"/>
      <c r="F61" s="1"/>
      <c r="G61" s="5"/>
      <c r="H61" s="5">
        <f>IF((D61-E61)&lt;0,0,(D61-E61))</f>
        <v>0</v>
      </c>
      <c r="I61" s="5">
        <f>IF((E61-D61)&lt;0,0,(E61-D61))</f>
        <v>0</v>
      </c>
      <c r="J61" s="5">
        <f>Table14[[#This Row],[Enrolment S.Y. 2025-2026 ]]*8</f>
        <v>0</v>
      </c>
      <c r="K61" s="5"/>
      <c r="L61" s="1"/>
      <c r="M61" s="5"/>
      <c r="N61" s="5">
        <f t="shared" ref="N61:N65" si="12">IF((J61-K61)&lt;0,0,(J61-K61))</f>
        <v>0</v>
      </c>
      <c r="O61" s="5">
        <f t="shared" ref="O61:O65" si="13">IF((K61-J61)&lt;0,0,(K61-J61))</f>
        <v>0</v>
      </c>
      <c r="P61" s="5">
        <f>Table14[[#This Row],[Enrolment S.Y. 2025-2026 ]]*8</f>
        <v>0</v>
      </c>
      <c r="Q61" s="5"/>
      <c r="R61" s="1"/>
      <c r="S61" s="5"/>
      <c r="T61" s="5">
        <f>IF((P61-Q61)&lt;0,0,(P61-Q61))</f>
        <v>0</v>
      </c>
      <c r="U61" s="5">
        <f>IF((Q61-P61)&lt;0,0,(Q61-P61))</f>
        <v>0</v>
      </c>
      <c r="V61" s="5">
        <f>Table14[[#This Row],[Enrolment S.Y. 2025-2026 ]]*8</f>
        <v>0</v>
      </c>
      <c r="W61" s="5"/>
      <c r="X61" s="1"/>
      <c r="Y61" s="5"/>
      <c r="Z61" s="5">
        <f>IF((V61-W61)&lt;0,0,(V61-W61))</f>
        <v>0</v>
      </c>
      <c r="AA61" s="5">
        <f>IF((W61-V61)&lt;0,0,(W61-V61))</f>
        <v>0</v>
      </c>
    </row>
    <row r="62" spans="1:27" ht="20.25">
      <c r="A62" s="1">
        <v>6</v>
      </c>
      <c r="B62" s="9" t="s">
        <v>76</v>
      </c>
      <c r="C62" s="1"/>
      <c r="D62" s="5">
        <f>Table14[[#This Row],[Enrolment S.Y. 2025-2026 ]]*8</f>
        <v>0</v>
      </c>
      <c r="E62" s="5"/>
      <c r="F62" s="1"/>
      <c r="G62" s="5"/>
      <c r="H62" s="5">
        <f t="shared" si="0"/>
        <v>0</v>
      </c>
      <c r="I62" s="5">
        <f t="shared" si="1"/>
        <v>0</v>
      </c>
      <c r="J62" s="5">
        <f>Table14[[#This Row],[Enrolment S.Y. 2025-2026 ]]*8</f>
        <v>0</v>
      </c>
      <c r="K62" s="5"/>
      <c r="L62" s="1"/>
      <c r="M62" s="5"/>
      <c r="N62" s="5">
        <f t="shared" si="12"/>
        <v>0</v>
      </c>
      <c r="O62" s="5">
        <f t="shared" si="13"/>
        <v>0</v>
      </c>
      <c r="P62" s="5">
        <f>Table14[[#This Row],[Enrolment S.Y. 2025-2026 ]]*8</f>
        <v>0</v>
      </c>
      <c r="Q62" s="5"/>
      <c r="R62" s="1"/>
      <c r="S62" s="5"/>
      <c r="T62" s="5">
        <f t="shared" si="4"/>
        <v>0</v>
      </c>
      <c r="U62" s="5">
        <f t="shared" si="5"/>
        <v>0</v>
      </c>
      <c r="V62" s="5">
        <f>Table14[[#This Row],[Enrolment S.Y. 2025-2026 ]]*8</f>
        <v>0</v>
      </c>
      <c r="W62" s="5"/>
      <c r="X62" s="1"/>
      <c r="Y62" s="5"/>
      <c r="Z62" s="5">
        <f t="shared" si="6"/>
        <v>0</v>
      </c>
      <c r="AA62" s="5">
        <f t="shared" si="7"/>
        <v>0</v>
      </c>
    </row>
    <row r="63" spans="1:27" ht="20.25">
      <c r="A63" s="1">
        <v>6</v>
      </c>
      <c r="B63" s="9" t="s">
        <v>19</v>
      </c>
      <c r="C63" s="1"/>
      <c r="D63" s="5">
        <f>Table14[[#This Row],[Enrolment S.Y. 2025-2026 ]]*8</f>
        <v>0</v>
      </c>
      <c r="E63" s="5"/>
      <c r="F63" s="1"/>
      <c r="G63" s="5"/>
      <c r="H63" s="5">
        <f t="shared" si="0"/>
        <v>0</v>
      </c>
      <c r="I63" s="5">
        <f t="shared" si="1"/>
        <v>0</v>
      </c>
      <c r="J63" s="5">
        <f>Table14[[#This Row],[Enrolment S.Y. 2025-2026 ]]*8</f>
        <v>0</v>
      </c>
      <c r="K63" s="5"/>
      <c r="L63" s="1"/>
      <c r="M63" s="5"/>
      <c r="N63" s="5">
        <f t="shared" si="12"/>
        <v>0</v>
      </c>
      <c r="O63" s="5">
        <f t="shared" si="13"/>
        <v>0</v>
      </c>
      <c r="P63" s="5">
        <f>Table14[[#This Row],[Enrolment S.Y. 2025-2026 ]]*8</f>
        <v>0</v>
      </c>
      <c r="Q63" s="5"/>
      <c r="R63" s="1"/>
      <c r="S63" s="5"/>
      <c r="T63" s="5">
        <f t="shared" si="4"/>
        <v>0</v>
      </c>
      <c r="U63" s="5">
        <f t="shared" si="5"/>
        <v>0</v>
      </c>
      <c r="V63" s="5">
        <f>Table14[[#This Row],[Enrolment S.Y. 2025-2026 ]]*8</f>
        <v>0</v>
      </c>
      <c r="W63" s="5"/>
      <c r="X63" s="1"/>
      <c r="Y63" s="5"/>
      <c r="Z63" s="5">
        <f t="shared" si="6"/>
        <v>0</v>
      </c>
      <c r="AA63" s="5">
        <f t="shared" si="7"/>
        <v>0</v>
      </c>
    </row>
    <row r="64" spans="1:27" ht="20.25">
      <c r="A64" s="31">
        <v>6</v>
      </c>
      <c r="B64" s="9" t="s">
        <v>77</v>
      </c>
      <c r="C64" s="5"/>
      <c r="D64" s="5">
        <f>Table14[[#This Row],[Enrolment S.Y. 2025-2026 ]]*8</f>
        <v>0</v>
      </c>
      <c r="E64" s="5"/>
      <c r="F64" s="1"/>
      <c r="G64" s="5"/>
      <c r="H64" s="5">
        <f>IF((D64-E64)&lt;0,0,(D64-E64))</f>
        <v>0</v>
      </c>
      <c r="I64" s="5">
        <f>IF((E64-D64)&lt;0,0,(E64-D64))</f>
        <v>0</v>
      </c>
      <c r="J64" s="5">
        <f>Table14[[#This Row],[Enrolment S.Y. 2025-2026 ]]*8</f>
        <v>0</v>
      </c>
      <c r="K64" s="5"/>
      <c r="L64" s="1"/>
      <c r="M64" s="5"/>
      <c r="N64" s="5">
        <f t="shared" si="12"/>
        <v>0</v>
      </c>
      <c r="O64" s="5">
        <f t="shared" si="13"/>
        <v>0</v>
      </c>
      <c r="P64" s="5">
        <f>Table14[[#This Row],[Enrolment S.Y. 2025-2026 ]]*8</f>
        <v>0</v>
      </c>
      <c r="Q64" s="5"/>
      <c r="R64" s="1"/>
      <c r="S64" s="5"/>
      <c r="T64" s="5">
        <f>IF((P64-Q64)&lt;0,0,(P64-Q64))</f>
        <v>0</v>
      </c>
      <c r="U64" s="5">
        <f>IF((Q64-P64)&lt;0,0,(Q64-P64))</f>
        <v>0</v>
      </c>
      <c r="V64" s="5">
        <f>Table14[[#This Row],[Enrolment S.Y. 2025-2026 ]]*8</f>
        <v>0</v>
      </c>
      <c r="W64" s="5"/>
      <c r="X64" s="1"/>
      <c r="Y64" s="5"/>
      <c r="Z64" s="5">
        <f>IF((V64-W64)&lt;0,0,(V64-W64))</f>
        <v>0</v>
      </c>
      <c r="AA64" s="5">
        <f>IF((W64-V64)&lt;0,0,(W64-V64))</f>
        <v>0</v>
      </c>
    </row>
    <row r="65" spans="1:27" ht="20.25">
      <c r="A65" s="1">
        <v>6</v>
      </c>
      <c r="B65" s="9" t="s">
        <v>78</v>
      </c>
      <c r="C65" s="1"/>
      <c r="D65" s="5">
        <f>Table14[[#This Row],[Enrolment S.Y. 2025-2026 ]]*8</f>
        <v>0</v>
      </c>
      <c r="E65" s="5"/>
      <c r="F65" s="1"/>
      <c r="G65" s="5"/>
      <c r="H65" s="5">
        <f t="shared" si="0"/>
        <v>0</v>
      </c>
      <c r="I65" s="5">
        <f t="shared" si="1"/>
        <v>0</v>
      </c>
      <c r="J65" s="5">
        <f>Table14[[#This Row],[Enrolment S.Y. 2025-2026 ]]*8</f>
        <v>0</v>
      </c>
      <c r="K65" s="5"/>
      <c r="L65" s="1"/>
      <c r="M65" s="5"/>
      <c r="N65" s="5">
        <f t="shared" si="12"/>
        <v>0</v>
      </c>
      <c r="O65" s="5">
        <f t="shared" si="13"/>
        <v>0</v>
      </c>
      <c r="P65" s="5">
        <f>Table14[[#This Row],[Enrolment S.Y. 2025-2026 ]]*8</f>
        <v>0</v>
      </c>
      <c r="Q65" s="5"/>
      <c r="R65" s="1"/>
      <c r="S65" s="5"/>
      <c r="T65" s="5">
        <f t="shared" si="4"/>
        <v>0</v>
      </c>
      <c r="U65" s="5">
        <f t="shared" si="5"/>
        <v>0</v>
      </c>
      <c r="V65" s="5">
        <f>Table14[[#This Row],[Enrolment S.Y. 2025-2026 ]]*8</f>
        <v>0</v>
      </c>
      <c r="W65" s="5"/>
      <c r="X65" s="1"/>
      <c r="Y65" s="5"/>
      <c r="Z65" s="5">
        <f t="shared" si="6"/>
        <v>0</v>
      </c>
      <c r="AA65" s="5">
        <f t="shared" si="7"/>
        <v>0</v>
      </c>
    </row>
    <row r="66" spans="1:27" s="7" customFormat="1">
      <c r="A66"/>
      <c r="B66"/>
      <c r="C66"/>
      <c r="D66"/>
      <c r="E66"/>
      <c r="F66"/>
      <c r="G66"/>
      <c r="H66"/>
      <c r="I66"/>
      <c r="J66"/>
      <c r="K66"/>
      <c r="L66"/>
      <c r="M66"/>
      <c r="N66"/>
      <c r="O66"/>
      <c r="P66"/>
      <c r="Q66"/>
      <c r="R66"/>
      <c r="S66"/>
      <c r="T66"/>
      <c r="U66"/>
      <c r="V66"/>
      <c r="W66"/>
      <c r="X66"/>
      <c r="Y66"/>
      <c r="Z66"/>
      <c r="AA66"/>
    </row>
    <row r="78" spans="1:27" s="7" customFormat="1">
      <c r="A78"/>
      <c r="B78"/>
      <c r="C78"/>
      <c r="D78"/>
      <c r="E78"/>
      <c r="F78"/>
      <c r="G78"/>
      <c r="H78"/>
      <c r="I78"/>
      <c r="J78"/>
      <c r="K78"/>
      <c r="L78"/>
      <c r="M78"/>
      <c r="N78"/>
      <c r="O78"/>
      <c r="P78"/>
      <c r="Q78"/>
      <c r="R78"/>
      <c r="S78"/>
      <c r="T78"/>
      <c r="U78"/>
      <c r="V78"/>
      <c r="W78"/>
      <c r="X78"/>
      <c r="Y78"/>
      <c r="Z78"/>
      <c r="AA78"/>
    </row>
    <row r="90" spans="1:27" s="7" customFormat="1">
      <c r="A90"/>
      <c r="B90"/>
      <c r="C90"/>
      <c r="D90"/>
      <c r="E90"/>
      <c r="F90"/>
      <c r="G90"/>
      <c r="H90"/>
      <c r="I90"/>
      <c r="J90"/>
      <c r="K90"/>
      <c r="L90"/>
      <c r="M90"/>
      <c r="N90"/>
      <c r="O90"/>
      <c r="P90"/>
      <c r="Q90"/>
      <c r="R90"/>
      <c r="S90"/>
      <c r="T90"/>
      <c r="U90"/>
      <c r="V90"/>
      <c r="W90"/>
      <c r="X90"/>
      <c r="Y90"/>
      <c r="Z90"/>
      <c r="AA90"/>
    </row>
    <row r="102" spans="1:27" s="7" customFormat="1">
      <c r="A102"/>
      <c r="B102"/>
      <c r="C102"/>
      <c r="D102"/>
      <c r="E102"/>
      <c r="F102"/>
      <c r="G102"/>
      <c r="H102"/>
      <c r="I102"/>
      <c r="J102"/>
      <c r="K102"/>
      <c r="L102"/>
      <c r="M102"/>
      <c r="N102"/>
      <c r="O102"/>
      <c r="P102"/>
      <c r="Q102"/>
      <c r="R102"/>
      <c r="S102"/>
      <c r="T102"/>
      <c r="U102"/>
      <c r="V102"/>
      <c r="W102"/>
      <c r="X102"/>
      <c r="Y102"/>
      <c r="Z102"/>
      <c r="AA102"/>
    </row>
    <row r="114" spans="1:28" s="7" customFormat="1">
      <c r="A114"/>
      <c r="B114"/>
      <c r="C114"/>
      <c r="D114"/>
      <c r="E114"/>
      <c r="F114"/>
      <c r="G114"/>
      <c r="H114"/>
      <c r="I114"/>
      <c r="J114"/>
      <c r="K114"/>
      <c r="L114"/>
      <c r="M114"/>
      <c r="N114"/>
      <c r="O114"/>
      <c r="P114"/>
      <c r="Q114"/>
      <c r="R114"/>
      <c r="S114"/>
      <c r="T114"/>
      <c r="U114"/>
      <c r="V114"/>
      <c r="W114"/>
      <c r="X114"/>
      <c r="Y114"/>
      <c r="Z114"/>
      <c r="AA114"/>
    </row>
    <row r="123" spans="1:28" s="7" customFormat="1">
      <c r="A123"/>
      <c r="B123"/>
      <c r="C123"/>
      <c r="D123"/>
      <c r="E123"/>
      <c r="F123"/>
      <c r="G123"/>
      <c r="H123"/>
      <c r="I123"/>
      <c r="J123"/>
      <c r="K123"/>
      <c r="L123"/>
      <c r="M123"/>
      <c r="N123"/>
      <c r="O123"/>
      <c r="P123"/>
      <c r="Q123"/>
      <c r="R123"/>
      <c r="S123"/>
      <c r="T123"/>
      <c r="U123"/>
      <c r="V123"/>
      <c r="W123"/>
      <c r="X123"/>
      <c r="Y123"/>
      <c r="Z123"/>
      <c r="AA123"/>
    </row>
    <row r="124" spans="1:28">
      <c r="AB124" s="7"/>
    </row>
    <row r="125" spans="1:28">
      <c r="AB125" s="7"/>
    </row>
    <row r="126" spans="1:28">
      <c r="AB126" s="7"/>
    </row>
    <row r="127" spans="1:28">
      <c r="AB127" s="7"/>
    </row>
    <row r="128" spans="1:28">
      <c r="AB128" s="7"/>
    </row>
    <row r="129" spans="28:28">
      <c r="AB129" s="7"/>
    </row>
    <row r="130" spans="28:28">
      <c r="AB130" s="7"/>
    </row>
    <row r="131" spans="28:28">
      <c r="AB131" s="7"/>
    </row>
    <row r="132" spans="28:28">
      <c r="AB132" s="7"/>
    </row>
    <row r="133" spans="28:28">
      <c r="AB133" s="7"/>
    </row>
    <row r="134" spans="28:28">
      <c r="AB134" s="7"/>
    </row>
    <row r="135" spans="28:28">
      <c r="AB135" s="7"/>
    </row>
    <row r="136" spans="28:28">
      <c r="AB136" s="7"/>
    </row>
    <row r="137" spans="28:28">
      <c r="AB137" s="7"/>
    </row>
    <row r="138" spans="28:28">
      <c r="AB138" s="7"/>
    </row>
    <row r="139" spans="28:28">
      <c r="AB139" s="7"/>
    </row>
    <row r="140" spans="28:28">
      <c r="AB140" s="7"/>
    </row>
  </sheetData>
  <protectedRanges>
    <protectedRange sqref="C2:C10 C12:C19 C21:C29 C31:C41 C43:C53 C55:C65" name="Textbooks"/>
    <protectedRange sqref="J2:L2 D2:F10 D12:F19 D21:F29 D31:F41 D43:F53 D55:F65 H55:L65 N43:R53 N55:R65 N31:R41 P2:R10 N3:O10 V2:X10 T3:U10 N12:R19 T12:X19 H3:L10 Z3:AA10 Z12:AA19 H12:L19 N21:R29 T21:X29 Z21:AA29 H21:L29 T31:X41 Z31:AA41 H31:L41 T43:X53 Z43:AA53 H43:L53 T55:X65 Z55:AA65" name="LAS"/>
    <protectedRange sqref="G2:I2 M2:O2 S2:U2 Y2:AA2 G3:G10 M3:M10 S3:S10 Y3:Y10 Y12:Y19 G12:G19 M12:M19 S12:S19 Y21:Y29 G21:G29 M21:M29 S21:S29 Y31:Y41 G31:G41 M31:M41 S31:S41 Y43:Y53 G43:G53 M43:M53 S43:S53 Y55:Y65 G55:G65 M55:M65 S55:S65" name="SOURCE"/>
  </protectedRanges>
  <dataConsolidate/>
  <mergeCells count="4">
    <mergeCell ref="D1:I1"/>
    <mergeCell ref="J1:O1"/>
    <mergeCell ref="P1:U1"/>
    <mergeCell ref="V1:AA1"/>
  </mergeCells>
  <dataValidations count="2">
    <dataValidation type="list" allowBlank="1" showInputMessage="1" showErrorMessage="1" sqref="Y3:Y10 S3:S10 M3:M10 G3:G10 G12:G19 Y12:Y19 S12:S19 M12:M19 M21:M29 G21:G29 Y21:Y29 S21:S29 S31:S41 M31:M41 G31:G41 Y31:Y41 Y43:Y53 S43:S53 M43:M53 G43:G53 G55:G65 Y55:Y65 S55:S65 M55:M65" xr:uid="{CBD486C7-A5DB-48F1-B496-5027CC51E830}">
      <formula1>"CO,RO,SDO,LGU,SCHOOL"</formula1>
    </dataValidation>
    <dataValidation type="list" allowBlank="1" showInputMessage="1" showErrorMessage="1" sqref="F55:F65 F43:F53 F31:F41 F21:F29 F12:F19 F3:F10 L55:L65 L43:L53 L31:L41 L21:L29 L12:L19 L3:L10 R55:R65 R43:R53 R31:R41 R21:R29 R12:R19 R3:R10 X55:X65 X43:X53 X31:X41 X21:X29 X12:X19 X3:X10" xr:uid="{77F72D89-8371-4D0C-A323-BD25723C617C}">
      <formula1>"2024,2025,2026"</formula1>
    </dataValidation>
  </dataValidations>
  <pageMargins left="0.7" right="0.7" top="0.75" bottom="0.75" header="0.3" footer="0.3"/>
  <pageSetup orientation="portrait" horizontalDpi="0" verticalDpi="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Jonathan Buquia</cp:lastModifiedBy>
  <cp:revision/>
  <dcterms:created xsi:type="dcterms:W3CDTF">2025-11-19T20:48:15Z</dcterms:created>
  <dcterms:modified xsi:type="dcterms:W3CDTF">2026-04-14T06:00:32Z</dcterms:modified>
  <cp:category/>
  <cp:contentStatus/>
</cp:coreProperties>
</file>