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115" documentId="13_ncr:1_{BFB59F67-F0DC-4675-A682-EB0734A8026A}" xr6:coauthVersionLast="47" xr6:coauthVersionMax="47" xr10:uidLastSave="{0BDC4737-AA2A-4FF0-97D6-4D1900471661}"/>
  <bookViews>
    <workbookView xWindow="-108" yWindow="-108" windowWidth="23256" windowHeight="12456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09" i="5" l="1"/>
  <c r="O109" i="5"/>
  <c r="P109" i="5"/>
  <c r="T109" i="5" s="1"/>
  <c r="N110" i="5"/>
  <c r="O110" i="5"/>
  <c r="P110" i="5"/>
  <c r="U110" i="5" s="1"/>
  <c r="N111" i="5"/>
  <c r="O111" i="5"/>
  <c r="P111" i="5"/>
  <c r="N112" i="5"/>
  <c r="O112" i="5"/>
  <c r="P112" i="5"/>
  <c r="N113" i="5"/>
  <c r="O113" i="5"/>
  <c r="P113" i="5"/>
  <c r="N97" i="5"/>
  <c r="O97" i="5"/>
  <c r="P97" i="5"/>
  <c r="T97" i="5" s="1"/>
  <c r="N98" i="5"/>
  <c r="O98" i="5"/>
  <c r="P98" i="5"/>
  <c r="N99" i="5"/>
  <c r="O99" i="5"/>
  <c r="P99" i="5"/>
  <c r="N100" i="5"/>
  <c r="O100" i="5"/>
  <c r="P100" i="5"/>
  <c r="N101" i="5"/>
  <c r="O101" i="5"/>
  <c r="P101" i="5"/>
  <c r="N84" i="5"/>
  <c r="O84" i="5"/>
  <c r="P84" i="5"/>
  <c r="N85" i="5"/>
  <c r="O85" i="5"/>
  <c r="P85" i="5"/>
  <c r="N86" i="5"/>
  <c r="O86" i="5"/>
  <c r="P86" i="5"/>
  <c r="N87" i="5"/>
  <c r="O87" i="5"/>
  <c r="P87" i="5"/>
  <c r="N88" i="5"/>
  <c r="O88" i="5"/>
  <c r="P88" i="5"/>
  <c r="N89" i="5"/>
  <c r="O89" i="5"/>
  <c r="P89" i="5"/>
  <c r="N71" i="5"/>
  <c r="O71" i="5"/>
  <c r="P71" i="5"/>
  <c r="N72" i="5"/>
  <c r="O72" i="5"/>
  <c r="P72" i="5"/>
  <c r="N73" i="5"/>
  <c r="O73" i="5"/>
  <c r="P73" i="5"/>
  <c r="N74" i="5"/>
  <c r="O74" i="5"/>
  <c r="P74" i="5"/>
  <c r="N75" i="5"/>
  <c r="O75" i="5"/>
  <c r="P75" i="5"/>
  <c r="N76" i="5"/>
  <c r="O76" i="5"/>
  <c r="P76" i="5"/>
  <c r="N77" i="5"/>
  <c r="O77" i="5"/>
  <c r="P77" i="5"/>
  <c r="N61" i="5"/>
  <c r="O61" i="5"/>
  <c r="P61" i="5"/>
  <c r="T61" i="5" s="1"/>
  <c r="N62" i="5"/>
  <c r="O62" i="5"/>
  <c r="P62" i="5"/>
  <c r="N63" i="5"/>
  <c r="O63" i="5"/>
  <c r="P63" i="5"/>
  <c r="N64" i="5"/>
  <c r="O64" i="5"/>
  <c r="P64" i="5"/>
  <c r="N65" i="5"/>
  <c r="O65" i="5"/>
  <c r="P65" i="5"/>
  <c r="N48" i="5"/>
  <c r="O48" i="5"/>
  <c r="P48" i="5"/>
  <c r="N49" i="5"/>
  <c r="O49" i="5"/>
  <c r="P49" i="5"/>
  <c r="U49" i="5" s="1"/>
  <c r="N50" i="5"/>
  <c r="O50" i="5"/>
  <c r="P50" i="5"/>
  <c r="N51" i="5"/>
  <c r="O51" i="5"/>
  <c r="P51" i="5"/>
  <c r="N52" i="5"/>
  <c r="O52" i="5"/>
  <c r="P52" i="5"/>
  <c r="U52" i="5" s="1"/>
  <c r="N53" i="5"/>
  <c r="O53" i="5"/>
  <c r="P53" i="5"/>
  <c r="N36" i="5"/>
  <c r="O36" i="5"/>
  <c r="P36" i="5"/>
  <c r="N37" i="5"/>
  <c r="O37" i="5"/>
  <c r="P37" i="5"/>
  <c r="N38" i="5"/>
  <c r="O38" i="5"/>
  <c r="P38" i="5"/>
  <c r="N39" i="5"/>
  <c r="O39" i="5"/>
  <c r="P39" i="5"/>
  <c r="N40" i="5"/>
  <c r="O40" i="5"/>
  <c r="P40" i="5"/>
  <c r="N41" i="5"/>
  <c r="O41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O3" i="4"/>
  <c r="N3" i="4"/>
  <c r="D3" i="4"/>
  <c r="H3" i="4" s="1"/>
  <c r="J3" i="4"/>
  <c r="V3" i="4"/>
  <c r="Z3" i="4" s="1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J157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O12" i="4" l="1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<sst xmlns="http://schemas.openxmlformats.org/spreadsheetml/2006/main" count="398" uniqueCount="91">
  <si>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</si>
  <si>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</si>
  <si>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</si>
  <si>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</si>
  <si>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</si>
  <si>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</si>
  <si>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</si>
  <si>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</si>
  <si>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</si>
  <si>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</si>
  <si>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</si>
  <si>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</si>
  <si>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</si>
  <si>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</si>
  <si>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</si>
  <si>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</si>
  <si>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</si>
  <si>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</si>
  <si>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</si>
  <si>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</si>
  <si>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CO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</si>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</sst>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tabSelected="1" zoomScale="85" zoomScaleNormal="85" workbookViewId="0">
      <pane xSplit="2" topLeftCell="C58" activePane="topRight" state="frozen"/>
      <selection pane="topRight" activeCell="F66" sqref="F66"/>
    </sheetView>
  </sheetViews>
  <sheetFormatPr defaultRowHeight="13.9"/>
  <cols>
    <col min="1" max="1" width="10.140625" bestFit="1" customWidth="1"/>
    <col min="2" max="12" width="25.28515625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hidden="1" customHeight="1">
      <c r="A2" s="1">
        <v>1</v>
      </c>
      <c r="B2" s="2" t="s">
        <v>8</v>
      </c>
      <c r="C2" s="1"/>
      <c r="D2" s="1"/>
      <c r="E2" s="1"/>
      <c r="F2" s="5"/>
      <c r="G2" s="3">
        <f>IF((C2-D2)&lt;0,0,C2-D2)</f>
        <v>0</v>
      </c>
      <c r="H2" s="4">
        <f>IF((D2-C2)&lt;0,0,D2-C2)</f>
        <v>0</v>
      </c>
    </row>
    <row r="3" spans="1:8" ht="29.25" hidden="1" customHeight="1">
      <c r="A3" s="1">
        <v>1</v>
      </c>
      <c r="B3" s="2" t="s">
        <v>9</v>
      </c>
      <c r="C3" s="1"/>
      <c r="D3" s="1"/>
      <c r="E3" s="1"/>
      <c r="F3" s="5"/>
      <c r="G3" s="3">
        <f>IF((C3-D3)&lt;0,0,C3-D3)</f>
        <v>0</v>
      </c>
      <c r="H3" s="4">
        <f>IF((D3-C3)&lt;0,0,D3-C3)</f>
        <v>0</v>
      </c>
    </row>
    <row r="4" spans="1:8" ht="21" hidden="1" customHeight="1">
      <c r="A4" s="1">
        <v>1</v>
      </c>
      <c r="B4" s="2" t="s">
        <v>10</v>
      </c>
      <c r="C4" s="1"/>
      <c r="D4" s="1"/>
      <c r="E4" s="1"/>
      <c r="F4" s="5"/>
      <c r="G4" s="3">
        <f>IF((C4-D4)&lt;0,0,C4-D4)</f>
        <v>0</v>
      </c>
      <c r="H4" s="4">
        <f>IF((D4-C4)&lt;0,0,D4-C4)</f>
        <v>0</v>
      </c>
    </row>
    <row r="5" spans="1:8" ht="25.5" hidden="1" customHeight="1">
      <c r="A5" s="1">
        <v>1</v>
      </c>
      <c r="B5" s="2" t="s">
        <v>11</v>
      </c>
      <c r="C5" s="1"/>
      <c r="D5" s="1"/>
      <c r="E5" s="1"/>
      <c r="F5" s="5"/>
      <c r="G5" s="3">
        <f t="shared" ref="G5:G6" si="0">IF((C5-D5)&lt;0,0,C5-D5)</f>
        <v>0</v>
      </c>
      <c r="H5" s="4">
        <f t="shared" ref="H5:H6" si="1">IF((D5-C5)&lt;0,0,D5-C5)</f>
        <v>0</v>
      </c>
    </row>
    <row r="6" spans="1:8" ht="19.149999999999999" hidden="1">
      <c r="A6" s="1">
        <v>1</v>
      </c>
      <c r="B6" s="2" t="s">
        <v>12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 hidden="1">
      <c r="C7" s="6"/>
      <c r="D7" s="6"/>
      <c r="E7" s="6"/>
    </row>
    <row r="8" spans="1:8" ht="39.75" hidden="1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hidden="1" customHeight="1">
      <c r="A9" s="1">
        <v>2</v>
      </c>
      <c r="B9" s="2" t="s">
        <v>9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hidden="1" customHeight="1">
      <c r="A10" s="1">
        <v>2</v>
      </c>
      <c r="B10" s="2" t="s">
        <v>10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hidden="1" customHeight="1">
      <c r="A11" s="1">
        <v>2</v>
      </c>
      <c r="B11" s="2" t="s">
        <v>11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149999999999999" hidden="1">
      <c r="A12" s="1">
        <v>2</v>
      </c>
      <c r="B12" s="2" t="s">
        <v>12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 hidden="1">
      <c r="C13" s="6"/>
      <c r="D13" s="6"/>
      <c r="E13" s="6"/>
    </row>
    <row r="14" spans="1:8" ht="49.5" hidden="1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hidden="1" customHeight="1">
      <c r="A15" s="1">
        <v>3</v>
      </c>
      <c r="B15" s="2" t="s">
        <v>9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hidden="1" customHeight="1">
      <c r="A16" s="1">
        <v>3</v>
      </c>
      <c r="B16" s="2" t="s">
        <v>10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hidden="1" customHeight="1">
      <c r="A17" s="1">
        <v>3</v>
      </c>
      <c r="B17" s="2" t="s">
        <v>13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hidden="1" customHeight="1">
      <c r="A18" s="1">
        <v>3</v>
      </c>
      <c r="B18" s="2" t="s">
        <v>11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149999999999999" hidden="1">
      <c r="A19" s="1">
        <v>3</v>
      </c>
      <c r="B19" s="2" t="s">
        <v>12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 hidden="1">
      <c r="A20" s="7"/>
      <c r="B20" s="7"/>
      <c r="C20" s="8"/>
      <c r="D20" s="8"/>
      <c r="E20" s="8"/>
      <c r="F20" s="7"/>
      <c r="G20" s="7"/>
      <c r="H20" s="7"/>
    </row>
    <row r="21" spans="1:8" ht="28.5" hidden="1" customHeight="1">
      <c r="A21" s="1">
        <v>4</v>
      </c>
      <c r="B21" s="9" t="s">
        <v>14</v>
      </c>
      <c r="C21" s="1"/>
      <c r="D21" s="1"/>
      <c r="E21" s="1"/>
      <c r="F21" s="5"/>
      <c r="G21" s="3">
        <f t="shared" ref="G21:G29" si="4">IF((C21-D21)&lt;0,0,C21-D21)</f>
        <v>0</v>
      </c>
      <c r="H21" s="4">
        <f t="shared" ref="H21:H29" si="5">IF((D21-C21)&lt;0,0,D21-C21)</f>
        <v>0</v>
      </c>
    </row>
    <row r="22" spans="1:8" ht="24" hidden="1" customHeight="1">
      <c r="A22" s="1">
        <v>4</v>
      </c>
      <c r="B22" s="9" t="s">
        <v>15</v>
      </c>
      <c r="C22" s="1"/>
      <c r="D22" s="1"/>
      <c r="E22" s="1"/>
      <c r="F22" s="5"/>
      <c r="G22" s="3">
        <f t="shared" si="4"/>
        <v>0</v>
      </c>
      <c r="H22" s="4">
        <f t="shared" si="5"/>
        <v>0</v>
      </c>
    </row>
    <row r="23" spans="1:8" ht="19.149999999999999" hidden="1">
      <c r="A23" s="1">
        <v>4</v>
      </c>
      <c r="B23" s="9" t="s">
        <v>12</v>
      </c>
      <c r="C23" s="1"/>
      <c r="D23" s="1"/>
      <c r="E23" s="1"/>
      <c r="F23" s="5"/>
      <c r="G23" s="3">
        <f t="shared" si="4"/>
        <v>0</v>
      </c>
      <c r="H23" s="4">
        <f t="shared" si="5"/>
        <v>0</v>
      </c>
    </row>
    <row r="24" spans="1:8" ht="27" hidden="1" customHeight="1">
      <c r="A24" s="1">
        <v>4</v>
      </c>
      <c r="B24" s="9" t="s">
        <v>10</v>
      </c>
      <c r="C24" s="1"/>
      <c r="D24" s="1"/>
      <c r="E24" s="1"/>
      <c r="F24" s="5"/>
      <c r="G24" s="3">
        <f t="shared" si="4"/>
        <v>0</v>
      </c>
      <c r="H24" s="4">
        <f t="shared" si="5"/>
        <v>0</v>
      </c>
    </row>
    <row r="25" spans="1:8" ht="33.75" hidden="1" customHeight="1">
      <c r="A25" s="1">
        <v>4</v>
      </c>
      <c r="B25" s="9" t="s">
        <v>16</v>
      </c>
      <c r="C25" s="1"/>
      <c r="D25" s="1"/>
      <c r="E25" s="1"/>
      <c r="F25" s="5"/>
      <c r="G25" s="3">
        <f t="shared" si="4"/>
        <v>0</v>
      </c>
      <c r="H25" s="4">
        <f t="shared" si="5"/>
        <v>0</v>
      </c>
    </row>
    <row r="26" spans="1:8" ht="33.75" hidden="1" customHeight="1">
      <c r="A26" s="1">
        <v>4</v>
      </c>
      <c r="B26" s="9" t="s">
        <v>13</v>
      </c>
      <c r="C26" s="1"/>
      <c r="D26" s="1"/>
      <c r="E26" s="1"/>
      <c r="F26" s="5"/>
      <c r="G26" s="3">
        <f t="shared" si="4"/>
        <v>0</v>
      </c>
      <c r="H26" s="4">
        <f t="shared" si="5"/>
        <v>0</v>
      </c>
    </row>
    <row r="27" spans="1:8" ht="33.75" hidden="1" customHeight="1">
      <c r="A27" s="1">
        <v>4</v>
      </c>
      <c r="B27" s="9" t="s">
        <v>17</v>
      </c>
      <c r="C27" s="1"/>
      <c r="D27" s="1"/>
      <c r="E27" s="1"/>
      <c r="F27" s="5"/>
      <c r="G27" s="3">
        <f t="shared" si="4"/>
        <v>0</v>
      </c>
      <c r="H27" s="4">
        <f t="shared" si="5"/>
        <v>0</v>
      </c>
    </row>
    <row r="28" spans="1:8" ht="27.75" hidden="1" customHeight="1">
      <c r="A28" s="1">
        <v>4</v>
      </c>
      <c r="B28" s="9" t="s">
        <v>18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hidden="1" customHeight="1">
      <c r="A29" s="1">
        <v>4</v>
      </c>
      <c r="B29" s="9" t="s">
        <v>19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hidden="1" customHeight="1">
      <c r="A30" s="7"/>
      <c r="B30" s="7"/>
      <c r="C30" s="8"/>
      <c r="D30" s="8"/>
      <c r="E30" s="8"/>
      <c r="F30" s="7"/>
      <c r="G30" s="7"/>
      <c r="H30" s="7"/>
    </row>
    <row r="31" spans="1:8" ht="27.75" hidden="1" customHeight="1">
      <c r="A31" s="1">
        <v>5</v>
      </c>
      <c r="B31" s="9" t="s">
        <v>14</v>
      </c>
      <c r="C31" s="1"/>
      <c r="D31" s="1"/>
      <c r="E31" s="1"/>
      <c r="F31" s="5"/>
      <c r="G31" s="3">
        <f t="shared" ref="G31:G39" si="6">IF((C31-D31)&lt;0,0,C31-D31)</f>
        <v>0</v>
      </c>
      <c r="H31" s="4">
        <f t="shared" ref="H31:H39" si="7">IF((D31-C31)&lt;0,0,D31-C31)</f>
        <v>0</v>
      </c>
    </row>
    <row r="32" spans="1:8" ht="27.75" hidden="1" customHeight="1">
      <c r="A32" s="1">
        <v>5</v>
      </c>
      <c r="B32" s="9" t="s">
        <v>15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hidden="1" customHeight="1">
      <c r="A33" s="1">
        <v>5</v>
      </c>
      <c r="B33" s="9" t="s">
        <v>12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hidden="1" customHeight="1">
      <c r="A34" s="1">
        <v>5</v>
      </c>
      <c r="B34" s="9" t="s">
        <v>10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hidden="1" customHeight="1">
      <c r="A35" s="1">
        <v>5</v>
      </c>
      <c r="B35" s="9" t="s">
        <v>16</v>
      </c>
      <c r="C35" s="1"/>
      <c r="D35" s="1"/>
      <c r="E35" s="1"/>
      <c r="F35" s="5"/>
      <c r="G35" s="3">
        <f t="shared" si="6"/>
        <v>0</v>
      </c>
      <c r="H35" s="4">
        <f t="shared" si="7"/>
        <v>0</v>
      </c>
    </row>
    <row r="36" spans="1:8" ht="27.75" hidden="1" customHeight="1">
      <c r="A36" s="1">
        <v>5</v>
      </c>
      <c r="B36" s="9" t="s">
        <v>13</v>
      </c>
      <c r="C36" s="1"/>
      <c r="D36" s="1"/>
      <c r="E36" s="1"/>
      <c r="F36" s="5"/>
      <c r="G36" s="3">
        <f t="shared" si="6"/>
        <v>0</v>
      </c>
      <c r="H36" s="4">
        <f t="shared" si="7"/>
        <v>0</v>
      </c>
    </row>
    <row r="37" spans="1:8" ht="27.75" hidden="1" customHeight="1">
      <c r="A37" s="1">
        <v>5</v>
      </c>
      <c r="B37" s="9" t="s">
        <v>17</v>
      </c>
      <c r="C37" s="1"/>
      <c r="D37" s="1"/>
      <c r="E37" s="1"/>
      <c r="F37" s="5"/>
      <c r="G37" s="3">
        <f t="shared" si="6"/>
        <v>0</v>
      </c>
      <c r="H37" s="4">
        <f t="shared" si="7"/>
        <v>0</v>
      </c>
    </row>
    <row r="38" spans="1:8" ht="27.75" hidden="1" customHeight="1">
      <c r="A38" s="1">
        <v>5</v>
      </c>
      <c r="B38" s="9" t="s">
        <v>18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8" ht="27.75" hidden="1" customHeight="1">
      <c r="A39" s="1">
        <v>5</v>
      </c>
      <c r="B39" s="9" t="s">
        <v>19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hidden="1" customHeight="1">
      <c r="A40" s="7"/>
      <c r="B40" s="7"/>
      <c r="C40" s="8"/>
      <c r="D40" s="8"/>
      <c r="E40" s="8"/>
      <c r="F40" s="7"/>
      <c r="G40" s="7"/>
      <c r="H40" s="7"/>
    </row>
    <row r="41" spans="1:8" ht="27.75" hidden="1" customHeight="1">
      <c r="A41" s="1">
        <v>6</v>
      </c>
      <c r="B41" s="9" t="s">
        <v>14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hidden="1" customHeight="1">
      <c r="A42" s="1">
        <v>6</v>
      </c>
      <c r="B42" s="9" t="s">
        <v>15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hidden="1" customHeight="1">
      <c r="A43" s="1">
        <v>6</v>
      </c>
      <c r="B43" s="9" t="s">
        <v>12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hidden="1" customHeight="1">
      <c r="A44" s="1">
        <v>6</v>
      </c>
      <c r="B44" s="9" t="s">
        <v>10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hidden="1" customHeight="1">
      <c r="A45" s="1">
        <v>6</v>
      </c>
      <c r="B45" s="9" t="s">
        <v>16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hidden="1" customHeight="1">
      <c r="A46" s="1">
        <v>6</v>
      </c>
      <c r="B46" s="9" t="s">
        <v>13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hidden="1" customHeight="1">
      <c r="A47" s="1">
        <v>6</v>
      </c>
      <c r="B47" s="9" t="s">
        <v>17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hidden="1" customHeight="1">
      <c r="A48" s="1">
        <v>6</v>
      </c>
      <c r="B48" s="9" t="s">
        <v>18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hidden="1" customHeight="1">
      <c r="A49" s="1">
        <v>6</v>
      </c>
      <c r="B49" s="9" t="s">
        <v>19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14</v>
      </c>
      <c r="C51" s="10">
        <v>886</v>
      </c>
      <c r="D51" s="10">
        <v>945</v>
      </c>
      <c r="E51" s="10">
        <v>2025</v>
      </c>
      <c r="F51" s="12" t="s">
        <v>20</v>
      </c>
      <c r="G51" s="3">
        <f t="shared" ref="G51:G59" si="10">IF((C51-D51)&lt;0,0,C51-D51)</f>
        <v>0</v>
      </c>
      <c r="H51" s="4">
        <f t="shared" ref="H51:H59" si="11">IF((D51-C51)&lt;0,0,D51-C51)</f>
        <v>59</v>
      </c>
    </row>
    <row r="52" spans="1:8" ht="27.75" customHeight="1">
      <c r="A52" s="10">
        <v>7</v>
      </c>
      <c r="B52" s="11" t="s">
        <v>15</v>
      </c>
      <c r="C52" s="10">
        <v>886</v>
      </c>
      <c r="D52" s="10">
        <v>945</v>
      </c>
      <c r="E52" s="10">
        <v>2025</v>
      </c>
      <c r="F52" s="12" t="s">
        <v>20</v>
      </c>
      <c r="G52" s="3">
        <f t="shared" si="10"/>
        <v>0</v>
      </c>
      <c r="H52" s="4">
        <f t="shared" si="11"/>
        <v>59</v>
      </c>
    </row>
    <row r="53" spans="1:8" ht="27.75" customHeight="1">
      <c r="A53" s="10">
        <v>7</v>
      </c>
      <c r="B53" s="11" t="s">
        <v>12</v>
      </c>
      <c r="C53" s="10">
        <v>886</v>
      </c>
      <c r="D53" s="10">
        <v>945</v>
      </c>
      <c r="E53" s="10">
        <v>2025</v>
      </c>
      <c r="F53" s="12" t="s">
        <v>20</v>
      </c>
      <c r="G53" s="3">
        <f t="shared" si="10"/>
        <v>0</v>
      </c>
      <c r="H53" s="4">
        <f t="shared" si="11"/>
        <v>59</v>
      </c>
    </row>
    <row r="54" spans="1:8" ht="27.75" customHeight="1">
      <c r="A54" s="10">
        <v>7</v>
      </c>
      <c r="B54" s="11" t="s">
        <v>21</v>
      </c>
      <c r="C54" s="10">
        <v>886</v>
      </c>
      <c r="D54" s="10"/>
      <c r="E54" s="10"/>
      <c r="F54" s="12"/>
      <c r="G54" s="3">
        <f t="shared" si="10"/>
        <v>886</v>
      </c>
      <c r="H54" s="4">
        <f t="shared" si="11"/>
        <v>0</v>
      </c>
    </row>
    <row r="55" spans="1:8" ht="39" customHeight="1">
      <c r="A55" s="10">
        <v>7</v>
      </c>
      <c r="B55" s="11" t="s">
        <v>16</v>
      </c>
      <c r="C55" s="10">
        <v>886</v>
      </c>
      <c r="D55" s="10">
        <v>945</v>
      </c>
      <c r="E55" s="10">
        <v>2025</v>
      </c>
      <c r="F55" s="12" t="s">
        <v>20</v>
      </c>
      <c r="G55" s="3">
        <f t="shared" si="10"/>
        <v>0</v>
      </c>
      <c r="H55" s="4">
        <f t="shared" si="11"/>
        <v>59</v>
      </c>
    </row>
    <row r="56" spans="1:8" ht="27.75" customHeight="1">
      <c r="A56" s="10">
        <v>7</v>
      </c>
      <c r="B56" s="11" t="s">
        <v>13</v>
      </c>
      <c r="C56" s="10">
        <v>886</v>
      </c>
      <c r="D56" s="10">
        <v>945</v>
      </c>
      <c r="E56" s="10">
        <v>2025</v>
      </c>
      <c r="F56" s="12" t="s">
        <v>20</v>
      </c>
      <c r="G56" s="3">
        <f t="shared" si="10"/>
        <v>0</v>
      </c>
      <c r="H56" s="4">
        <f t="shared" si="11"/>
        <v>59</v>
      </c>
    </row>
    <row r="57" spans="1:8" ht="27.75" customHeight="1">
      <c r="A57" s="10">
        <v>7</v>
      </c>
      <c r="B57" s="11" t="s">
        <v>17</v>
      </c>
      <c r="C57" s="10">
        <v>886</v>
      </c>
      <c r="D57" s="10">
        <v>945</v>
      </c>
      <c r="E57" s="10">
        <v>2025</v>
      </c>
      <c r="F57" s="12" t="s">
        <v>20</v>
      </c>
      <c r="G57" s="3">
        <f t="shared" si="10"/>
        <v>0</v>
      </c>
      <c r="H57" s="4">
        <f t="shared" si="11"/>
        <v>59</v>
      </c>
    </row>
    <row r="58" spans="1:8" ht="27.75" customHeight="1">
      <c r="A58" s="10">
        <v>7</v>
      </c>
      <c r="B58" s="11" t="s">
        <v>22</v>
      </c>
      <c r="C58" s="10">
        <v>886</v>
      </c>
      <c r="D58" s="10">
        <v>945</v>
      </c>
      <c r="E58" s="10">
        <v>2025</v>
      </c>
      <c r="F58" s="12" t="s">
        <v>20</v>
      </c>
      <c r="G58" s="3">
        <f t="shared" si="10"/>
        <v>0</v>
      </c>
      <c r="H58" s="4">
        <f t="shared" si="11"/>
        <v>59</v>
      </c>
    </row>
    <row r="59" spans="1:8" ht="27.75" customHeight="1">
      <c r="A59" s="10">
        <v>7</v>
      </c>
      <c r="B59" s="11" t="s">
        <v>19</v>
      </c>
      <c r="C59" s="10">
        <v>886</v>
      </c>
      <c r="D59" s="10">
        <v>945</v>
      </c>
      <c r="E59" s="10">
        <v>2025</v>
      </c>
      <c r="F59" s="12" t="s">
        <v>20</v>
      </c>
      <c r="G59" s="3">
        <f t="shared" si="10"/>
        <v>0</v>
      </c>
      <c r="H59" s="4">
        <f t="shared" si="11"/>
        <v>59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14</v>
      </c>
      <c r="C61" s="10">
        <v>795</v>
      </c>
      <c r="D61" s="10"/>
      <c r="E61" s="10"/>
      <c r="F61" s="12"/>
      <c r="G61" s="3">
        <f t="shared" ref="G61:G69" si="12">IF((C61-D61)&lt;0,0,C61-D61)</f>
        <v>795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15</v>
      </c>
      <c r="C62" s="10">
        <v>795</v>
      </c>
      <c r="D62" s="10"/>
      <c r="E62" s="10"/>
      <c r="F62" s="12"/>
      <c r="G62" s="3">
        <f t="shared" si="12"/>
        <v>795</v>
      </c>
      <c r="H62" s="4">
        <f t="shared" si="13"/>
        <v>0</v>
      </c>
    </row>
    <row r="63" spans="1:8" ht="27.75" customHeight="1">
      <c r="A63" s="10">
        <v>8</v>
      </c>
      <c r="B63" s="11" t="s">
        <v>12</v>
      </c>
      <c r="C63" s="10">
        <v>795</v>
      </c>
      <c r="D63" s="10">
        <v>884</v>
      </c>
      <c r="E63" s="10">
        <v>2025</v>
      </c>
      <c r="F63" s="12" t="s">
        <v>20</v>
      </c>
      <c r="G63" s="3">
        <f t="shared" si="12"/>
        <v>0</v>
      </c>
      <c r="H63" s="4">
        <f t="shared" si="13"/>
        <v>89</v>
      </c>
    </row>
    <row r="64" spans="1:8" ht="27.75" customHeight="1">
      <c r="A64" s="10">
        <v>8</v>
      </c>
      <c r="B64" s="11" t="s">
        <v>21</v>
      </c>
      <c r="C64" s="10">
        <v>795</v>
      </c>
      <c r="D64" s="10">
        <v>884</v>
      </c>
      <c r="E64" s="10">
        <v>2025</v>
      </c>
      <c r="F64" s="12" t="s">
        <v>20</v>
      </c>
      <c r="G64" s="3">
        <f t="shared" si="12"/>
        <v>0</v>
      </c>
      <c r="H64" s="4">
        <f t="shared" si="13"/>
        <v>89</v>
      </c>
    </row>
    <row r="65" spans="1:8" ht="27.75" customHeight="1">
      <c r="A65" s="10">
        <v>8</v>
      </c>
      <c r="B65" s="11" t="s">
        <v>23</v>
      </c>
      <c r="C65" s="10">
        <v>795</v>
      </c>
      <c r="D65" s="10"/>
      <c r="E65" s="10"/>
      <c r="F65" s="12"/>
      <c r="G65" s="3">
        <f t="shared" si="12"/>
        <v>795</v>
      </c>
      <c r="H65" s="4">
        <f t="shared" si="13"/>
        <v>0</v>
      </c>
    </row>
    <row r="66" spans="1:8" ht="27.75" customHeight="1">
      <c r="A66" s="10">
        <v>8</v>
      </c>
      <c r="B66" s="11" t="s">
        <v>13</v>
      </c>
      <c r="C66" s="10">
        <v>795</v>
      </c>
      <c r="D66" s="10"/>
      <c r="E66" s="10"/>
      <c r="F66" s="12"/>
      <c r="G66" s="3">
        <f t="shared" si="12"/>
        <v>795</v>
      </c>
      <c r="H66" s="4">
        <f t="shared" si="13"/>
        <v>0</v>
      </c>
    </row>
    <row r="67" spans="1:8" ht="27.75" customHeight="1">
      <c r="A67" s="10">
        <v>8</v>
      </c>
      <c r="B67" s="11" t="s">
        <v>17</v>
      </c>
      <c r="C67" s="10">
        <v>795</v>
      </c>
      <c r="D67" s="10"/>
      <c r="E67" s="10"/>
      <c r="F67" s="12"/>
      <c r="G67" s="3">
        <f t="shared" si="12"/>
        <v>795</v>
      </c>
      <c r="H67" s="4">
        <f t="shared" si="13"/>
        <v>0</v>
      </c>
    </row>
    <row r="68" spans="1:8" ht="27.75" customHeight="1">
      <c r="A68" s="10">
        <v>8</v>
      </c>
      <c r="B68" s="11" t="s">
        <v>22</v>
      </c>
      <c r="C68" s="10">
        <v>795</v>
      </c>
      <c r="D68" s="10"/>
      <c r="E68" s="10"/>
      <c r="F68" s="12"/>
      <c r="G68" s="3">
        <f t="shared" si="12"/>
        <v>795</v>
      </c>
      <c r="H68" s="4">
        <f t="shared" si="13"/>
        <v>0</v>
      </c>
    </row>
    <row r="69" spans="1:8" ht="27.75" customHeight="1">
      <c r="A69" s="10">
        <v>8</v>
      </c>
      <c r="B69" s="11" t="s">
        <v>19</v>
      </c>
      <c r="C69" s="10">
        <v>795</v>
      </c>
      <c r="D69" s="10"/>
      <c r="E69" s="10"/>
      <c r="F69" s="12"/>
      <c r="G69" s="3">
        <f t="shared" si="12"/>
        <v>795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14</v>
      </c>
      <c r="C71" s="10">
        <v>652</v>
      </c>
      <c r="D71" s="10"/>
      <c r="E71" s="10"/>
      <c r="F71" s="12"/>
      <c r="G71" s="3">
        <f t="shared" ref="G71:G79" si="14">IF((C71-D71)&lt;0,0,C71-D71)</f>
        <v>652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15</v>
      </c>
      <c r="C72" s="10">
        <v>652</v>
      </c>
      <c r="D72" s="10"/>
      <c r="E72" s="10"/>
      <c r="F72" s="12"/>
      <c r="G72" s="3">
        <f t="shared" si="14"/>
        <v>652</v>
      </c>
      <c r="H72" s="4">
        <f t="shared" si="15"/>
        <v>0</v>
      </c>
    </row>
    <row r="73" spans="1:8" ht="27.75" customHeight="1">
      <c r="A73" s="10">
        <v>9</v>
      </c>
      <c r="B73" s="11" t="s">
        <v>12</v>
      </c>
      <c r="C73" s="10">
        <v>652</v>
      </c>
      <c r="D73" s="10"/>
      <c r="E73" s="10"/>
      <c r="F73" s="12"/>
      <c r="G73" s="3">
        <f t="shared" si="14"/>
        <v>652</v>
      </c>
      <c r="H73" s="4">
        <f t="shared" si="15"/>
        <v>0</v>
      </c>
    </row>
    <row r="74" spans="1:8" ht="27.75" customHeight="1">
      <c r="A74" s="10">
        <v>9</v>
      </c>
      <c r="B74" s="11" t="s">
        <v>21</v>
      </c>
      <c r="C74" s="10">
        <v>652</v>
      </c>
      <c r="D74" s="10"/>
      <c r="E74" s="10"/>
      <c r="F74" s="12"/>
      <c r="G74" s="3">
        <f t="shared" si="14"/>
        <v>652</v>
      </c>
      <c r="H74" s="4">
        <f t="shared" si="15"/>
        <v>0</v>
      </c>
    </row>
    <row r="75" spans="1:8" ht="27.75" customHeight="1">
      <c r="A75" s="10">
        <v>9</v>
      </c>
      <c r="B75" s="11" t="s">
        <v>23</v>
      </c>
      <c r="C75" s="10">
        <v>652</v>
      </c>
      <c r="D75" s="10"/>
      <c r="E75" s="10"/>
      <c r="F75" s="12"/>
      <c r="G75" s="3">
        <f t="shared" si="14"/>
        <v>652</v>
      </c>
      <c r="H75" s="4">
        <f t="shared" si="15"/>
        <v>0</v>
      </c>
    </row>
    <row r="76" spans="1:8" ht="27.75" customHeight="1">
      <c r="A76" s="10">
        <v>9</v>
      </c>
      <c r="B76" s="11" t="s">
        <v>13</v>
      </c>
      <c r="C76" s="10">
        <v>652</v>
      </c>
      <c r="D76" s="10"/>
      <c r="E76" s="10"/>
      <c r="F76" s="12"/>
      <c r="G76" s="3">
        <f t="shared" si="14"/>
        <v>652</v>
      </c>
      <c r="H76" s="4">
        <f t="shared" si="15"/>
        <v>0</v>
      </c>
    </row>
    <row r="77" spans="1:8" ht="27.75" customHeight="1">
      <c r="A77" s="10">
        <v>9</v>
      </c>
      <c r="B77" s="11" t="s">
        <v>17</v>
      </c>
      <c r="C77" s="10">
        <v>652</v>
      </c>
      <c r="D77" s="10"/>
      <c r="E77" s="10"/>
      <c r="F77" s="12"/>
      <c r="G77" s="3">
        <f t="shared" si="14"/>
        <v>652</v>
      </c>
      <c r="H77" s="4">
        <f t="shared" si="15"/>
        <v>0</v>
      </c>
    </row>
    <row r="78" spans="1:8" ht="27.75" customHeight="1">
      <c r="A78" s="10">
        <v>9</v>
      </c>
      <c r="B78" s="11" t="s">
        <v>22</v>
      </c>
      <c r="C78" s="10">
        <v>652</v>
      </c>
      <c r="D78" s="10"/>
      <c r="E78" s="10"/>
      <c r="F78" s="12"/>
      <c r="G78" s="3">
        <f t="shared" si="14"/>
        <v>652</v>
      </c>
      <c r="H78" s="4">
        <f t="shared" si="15"/>
        <v>0</v>
      </c>
    </row>
    <row r="79" spans="1:8" ht="27.75" customHeight="1">
      <c r="A79" s="10">
        <v>9</v>
      </c>
      <c r="B79" s="11" t="s">
        <v>19</v>
      </c>
      <c r="C79" s="10">
        <v>652</v>
      </c>
      <c r="D79" s="10"/>
      <c r="E79" s="10"/>
      <c r="F79" s="12"/>
      <c r="G79" s="3">
        <f t="shared" si="14"/>
        <v>652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14</v>
      </c>
      <c r="C81" s="10">
        <v>748</v>
      </c>
      <c r="D81" s="10"/>
      <c r="E81" s="10"/>
      <c r="F81" s="12"/>
      <c r="G81" s="3">
        <f t="shared" ref="G81:G89" si="16">IF((C81-D81)&lt;0,0,C81-D81)</f>
        <v>748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15</v>
      </c>
      <c r="C82" s="10">
        <v>748</v>
      </c>
      <c r="D82" s="10"/>
      <c r="E82" s="10"/>
      <c r="F82" s="12"/>
      <c r="G82" s="3">
        <f t="shared" si="16"/>
        <v>748</v>
      </c>
      <c r="H82" s="4">
        <f t="shared" si="17"/>
        <v>0</v>
      </c>
    </row>
    <row r="83" spans="1:8" ht="27.75" customHeight="1">
      <c r="A83" s="10">
        <v>10</v>
      </c>
      <c r="B83" s="11" t="s">
        <v>12</v>
      </c>
      <c r="C83" s="10">
        <v>748</v>
      </c>
      <c r="D83" s="10"/>
      <c r="E83" s="10"/>
      <c r="F83" s="12"/>
      <c r="G83" s="3">
        <f t="shared" si="16"/>
        <v>748</v>
      </c>
      <c r="H83" s="4">
        <f t="shared" si="17"/>
        <v>0</v>
      </c>
    </row>
    <row r="84" spans="1:8" ht="27.75" customHeight="1">
      <c r="A84" s="10">
        <v>10</v>
      </c>
      <c r="B84" s="11" t="s">
        <v>21</v>
      </c>
      <c r="C84" s="10">
        <v>748</v>
      </c>
      <c r="D84" s="10"/>
      <c r="E84" s="10"/>
      <c r="F84" s="12"/>
      <c r="G84" s="3">
        <f t="shared" si="16"/>
        <v>748</v>
      </c>
      <c r="H84" s="4">
        <f t="shared" si="17"/>
        <v>0</v>
      </c>
    </row>
    <row r="85" spans="1:8" ht="27.75" customHeight="1">
      <c r="A85" s="10">
        <v>10</v>
      </c>
      <c r="B85" s="11" t="s">
        <v>23</v>
      </c>
      <c r="C85" s="10">
        <v>748</v>
      </c>
      <c r="D85" s="10"/>
      <c r="E85" s="10"/>
      <c r="F85" s="12"/>
      <c r="G85" s="3">
        <f t="shared" si="16"/>
        <v>748</v>
      </c>
      <c r="H85" s="4">
        <f t="shared" si="17"/>
        <v>0</v>
      </c>
    </row>
    <row r="86" spans="1:8" ht="27.75" customHeight="1">
      <c r="A86" s="10">
        <v>10</v>
      </c>
      <c r="B86" s="11" t="s">
        <v>13</v>
      </c>
      <c r="C86" s="10">
        <v>748</v>
      </c>
      <c r="D86" s="10"/>
      <c r="E86" s="10"/>
      <c r="F86" s="12"/>
      <c r="G86" s="3">
        <f t="shared" si="16"/>
        <v>748</v>
      </c>
      <c r="H86" s="4">
        <f t="shared" si="17"/>
        <v>0</v>
      </c>
    </row>
    <row r="87" spans="1:8" ht="27.75" customHeight="1">
      <c r="A87" s="10">
        <v>10</v>
      </c>
      <c r="B87" s="11" t="s">
        <v>17</v>
      </c>
      <c r="C87" s="10">
        <v>748</v>
      </c>
      <c r="D87" s="10"/>
      <c r="E87" s="10"/>
      <c r="F87" s="12"/>
      <c r="G87" s="3">
        <f t="shared" si="16"/>
        <v>748</v>
      </c>
      <c r="H87" s="4">
        <f t="shared" si="17"/>
        <v>0</v>
      </c>
    </row>
    <row r="88" spans="1:8" ht="27.75" customHeight="1">
      <c r="A88" s="10">
        <v>10</v>
      </c>
      <c r="B88" s="11" t="s">
        <v>22</v>
      </c>
      <c r="C88" s="10">
        <v>748</v>
      </c>
      <c r="D88" s="10"/>
      <c r="E88" s="10"/>
      <c r="F88" s="12"/>
      <c r="G88" s="3">
        <f t="shared" si="16"/>
        <v>748</v>
      </c>
      <c r="H88" s="4">
        <f t="shared" si="17"/>
        <v>0</v>
      </c>
    </row>
    <row r="89" spans="1:8" ht="27.75" customHeight="1">
      <c r="A89" s="10">
        <v>10</v>
      </c>
      <c r="B89" s="11" t="s">
        <v>19</v>
      </c>
      <c r="C89" s="10">
        <v>748</v>
      </c>
      <c r="D89" s="10"/>
      <c r="E89" s="10"/>
      <c r="F89" s="12"/>
      <c r="G89" s="3">
        <f t="shared" si="16"/>
        <v>748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24</v>
      </c>
      <c r="B91" s="9" t="s">
        <v>25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24</v>
      </c>
      <c r="B92" s="9" t="s">
        <v>26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24</v>
      </c>
      <c r="B93" s="9" t="s">
        <v>27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24</v>
      </c>
      <c r="B94" s="9" t="s">
        <v>28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24</v>
      </c>
      <c r="B95" s="9" t="s">
        <v>29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24</v>
      </c>
      <c r="B96" s="9" t="s">
        <v>30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24</v>
      </c>
      <c r="B97" s="9" t="s">
        <v>31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24</v>
      </c>
      <c r="B98" s="9" t="s">
        <v>32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14:E19 E21:E29 E31:E39 E51:E59 E61:E69 E41:E49 E2:E6 E71:E79 E81:E89 E8:E12 E91:E98" xr:uid="{B46E7B13-721E-4D49-837E-C02BF9777D48}">
      <formula1>"2024,2025"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57"/>
  <sheetViews>
    <sheetView zoomScale="70" zoomScaleNormal="70" workbookViewId="0"/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2" t="s">
        <v>33</v>
      </c>
      <c r="E1" s="42"/>
      <c r="F1" s="42"/>
      <c r="G1" s="42"/>
      <c r="H1" s="42"/>
      <c r="I1" s="42"/>
      <c r="J1" s="43" t="s">
        <v>34</v>
      </c>
      <c r="K1" s="43"/>
      <c r="L1" s="43"/>
      <c r="M1" s="43"/>
      <c r="N1" s="43"/>
      <c r="O1" s="43"/>
      <c r="P1" s="44" t="s">
        <v>35</v>
      </c>
      <c r="Q1" s="44"/>
      <c r="R1" s="44"/>
      <c r="S1" s="44"/>
      <c r="T1" s="44"/>
      <c r="U1" s="44"/>
      <c r="V1" s="45" t="s">
        <v>36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37</v>
      </c>
      <c r="E2" s="20" t="s">
        <v>38</v>
      </c>
      <c r="F2" s="21" t="s">
        <v>39</v>
      </c>
      <c r="G2" s="24" t="s">
        <v>40</v>
      </c>
      <c r="H2" s="17" t="s">
        <v>41</v>
      </c>
      <c r="I2" s="24" t="s">
        <v>42</v>
      </c>
      <c r="J2" s="22" t="s">
        <v>43</v>
      </c>
      <c r="K2" s="22" t="s">
        <v>44</v>
      </c>
      <c r="L2" s="23" t="s">
        <v>45</v>
      </c>
      <c r="M2" s="40" t="s">
        <v>46</v>
      </c>
      <c r="N2" s="40" t="s">
        <v>47</v>
      </c>
      <c r="O2" s="22" t="s">
        <v>48</v>
      </c>
      <c r="P2" s="24" t="s">
        <v>49</v>
      </c>
      <c r="Q2" s="24" t="s">
        <v>50</v>
      </c>
      <c r="R2" s="25" t="s">
        <v>51</v>
      </c>
      <c r="S2" s="17" t="s">
        <v>52</v>
      </c>
      <c r="T2" s="17" t="s">
        <v>53</v>
      </c>
      <c r="U2" s="24" t="s">
        <v>54</v>
      </c>
      <c r="V2" s="26" t="s">
        <v>55</v>
      </c>
      <c r="W2" s="26" t="s">
        <v>56</v>
      </c>
      <c r="X2" s="27" t="s">
        <v>57</v>
      </c>
      <c r="Y2" s="41" t="s">
        <v>58</v>
      </c>
      <c r="Z2" s="41" t="s">
        <v>59</v>
      </c>
      <c r="AA2" s="26" t="s">
        <v>60</v>
      </c>
    </row>
    <row r="3" spans="1:27" ht="30.6" customHeight="1">
      <c r="A3" s="39" t="s">
        <v>61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38.25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77" si="2">IF((D5-E5)&lt;0,0,(D5-E5))</f>
        <v>0</v>
      </c>
      <c r="I5" s="5">
        <f t="shared" ref="I5:I77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149999999999999">
      <c r="A6" s="1">
        <v>1</v>
      </c>
      <c r="B6" s="2" t="s">
        <v>9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9" si="10">IF((J6-K6)&lt;0,0,(J6-K6))</f>
        <v>0</v>
      </c>
      <c r="O6" s="5">
        <f t="shared" ref="O6:O69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9" si="12">IF((P6-Q6)&lt;0,0,(P6-Q6))</f>
        <v>0</v>
      </c>
      <c r="U6" s="5">
        <f t="shared" ref="U6:U69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9" si="14">IF((V6-W6)&lt;0,0,(V6-W6))</f>
        <v>0</v>
      </c>
      <c r="AA6" s="5">
        <f t="shared" ref="AA6:AA69" si="15">IF((W6-V6)&lt;0,0,(W6-V6))</f>
        <v>0</v>
      </c>
    </row>
    <row r="7" spans="1:27" ht="19.149999999999999">
      <c r="A7" s="1">
        <v>1</v>
      </c>
      <c r="B7" s="2" t="s">
        <v>10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149999999999999">
      <c r="A8" s="1">
        <v>1</v>
      </c>
      <c r="B8" s="2" t="s">
        <v>11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149999999999999">
      <c r="A9" s="1">
        <v>1</v>
      </c>
      <c r="B9" s="2" t="s">
        <v>12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149999999999999">
      <c r="A10" s="1">
        <v>1</v>
      </c>
      <c r="B10" s="9" t="s">
        <v>14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149999999999999">
      <c r="A11" s="1">
        <v>1</v>
      </c>
      <c r="B11" s="9" t="s">
        <v>15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149999999999999">
      <c r="A12" s="1">
        <v>1</v>
      </c>
      <c r="B12" s="9" t="s">
        <v>62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38.25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149999999999999">
      <c r="A15" s="1">
        <v>2</v>
      </c>
      <c r="B15" s="2" t="s">
        <v>9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149999999999999">
      <c r="A16" s="1">
        <v>2</v>
      </c>
      <c r="B16" s="2" t="s">
        <v>10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149999999999999">
      <c r="A17" s="1">
        <v>2</v>
      </c>
      <c r="B17" s="2" t="s">
        <v>11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149999999999999">
      <c r="A18" s="1">
        <v>2</v>
      </c>
      <c r="B18" s="2" t="s">
        <v>12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149999999999999">
      <c r="A19" s="1">
        <v>2</v>
      </c>
      <c r="B19" s="9" t="s">
        <v>15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149999999999999">
      <c r="A20" s="1">
        <v>2</v>
      </c>
      <c r="B20" s="9" t="s">
        <v>14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149999999999999">
      <c r="A21" s="1">
        <v>2</v>
      </c>
      <c r="B21" s="9" t="s">
        <v>62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38.25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149999999999999">
      <c r="A24" s="1">
        <v>3</v>
      </c>
      <c r="B24" s="2" t="s">
        <v>9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149999999999999">
      <c r="A25" s="1">
        <v>3</v>
      </c>
      <c r="B25" s="2" t="s">
        <v>10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149999999999999">
      <c r="A26" s="1">
        <v>3</v>
      </c>
      <c r="B26" s="2" t="s">
        <v>13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149999999999999">
      <c r="A27" s="1">
        <v>3</v>
      </c>
      <c r="B27" s="2" t="s">
        <v>11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149999999999999">
      <c r="A28" s="1">
        <v>3</v>
      </c>
      <c r="B28" s="2" t="s">
        <v>12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149999999999999">
      <c r="A29" s="1">
        <v>3</v>
      </c>
      <c r="B29" s="9" t="s">
        <v>14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149999999999999">
      <c r="A30" s="1">
        <v>3</v>
      </c>
      <c r="B30" s="9" t="s">
        <v>15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149999999999999">
      <c r="A31" s="1">
        <v>3</v>
      </c>
      <c r="B31" s="9" t="s">
        <v>62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149999999999999">
      <c r="A33" s="1">
        <v>4</v>
      </c>
      <c r="B33" s="9" t="s">
        <v>14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149999999999999">
      <c r="A34" s="1">
        <v>4</v>
      </c>
      <c r="B34" s="9" t="s">
        <v>15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149999999999999">
      <c r="A35" s="1">
        <v>4</v>
      </c>
      <c r="B35" s="9" t="s">
        <v>12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149999999999999">
      <c r="A36" s="1">
        <v>4</v>
      </c>
      <c r="B36" s="9" t="s">
        <v>10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38.25">
      <c r="A37" s="1">
        <v>4</v>
      </c>
      <c r="B37" s="9" t="s">
        <v>16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149999999999999">
      <c r="A38" s="1">
        <v>4</v>
      </c>
      <c r="B38" s="9" t="s">
        <v>13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149999999999999">
      <c r="A39" s="1">
        <v>4</v>
      </c>
      <c r="B39" s="9" t="s">
        <v>17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149999999999999">
      <c r="A40" s="1">
        <v>4</v>
      </c>
      <c r="B40" s="9" t="s">
        <v>18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149999999999999">
      <c r="A41" s="1">
        <v>4</v>
      </c>
      <c r="B41" s="9" t="s">
        <v>19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149999999999999">
      <c r="A43" s="1">
        <v>5</v>
      </c>
      <c r="B43" s="9" t="s">
        <v>14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149999999999999">
      <c r="A44" s="1">
        <v>5</v>
      </c>
      <c r="B44" s="9" t="s">
        <v>15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149999999999999">
      <c r="A45" s="1">
        <v>5</v>
      </c>
      <c r="B45" s="9" t="s">
        <v>12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149999999999999">
      <c r="A46" s="1">
        <v>5</v>
      </c>
      <c r="B46" s="9" t="s">
        <v>10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38.25">
      <c r="A47" s="1">
        <v>5</v>
      </c>
      <c r="B47" s="9" t="s">
        <v>16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149999999999999">
      <c r="A48" s="1">
        <v>5</v>
      </c>
      <c r="B48" s="9" t="s">
        <v>13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149999999999999">
      <c r="A49" s="1">
        <v>5</v>
      </c>
      <c r="B49" s="9" t="s">
        <v>17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149999999999999">
      <c r="A50" s="1">
        <v>5</v>
      </c>
      <c r="B50" s="9" t="s">
        <v>18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149999999999999">
      <c r="A51" s="1">
        <v>5</v>
      </c>
      <c r="B51" s="9" t="s">
        <v>19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149999999999999">
      <c r="A53" s="1">
        <v>6</v>
      </c>
      <c r="B53" s="9" t="s">
        <v>14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149999999999999">
      <c r="A54" s="1">
        <v>6</v>
      </c>
      <c r="B54" s="9" t="s">
        <v>15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149999999999999">
      <c r="A55" s="1">
        <v>6</v>
      </c>
      <c r="B55" s="9" t="s">
        <v>12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>
      <c r="A56" s="1">
        <v>6</v>
      </c>
      <c r="B56" s="9" t="s">
        <v>10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38.25">
      <c r="A57" s="1">
        <v>6</v>
      </c>
      <c r="B57" s="9" t="s">
        <v>16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>
      <c r="A58" s="1">
        <v>6</v>
      </c>
      <c r="B58" s="9" t="s">
        <v>13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149999999999999">
      <c r="A59" s="1">
        <v>6</v>
      </c>
      <c r="B59" s="9" t="s">
        <v>17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>
      <c r="A60" s="1">
        <v>6</v>
      </c>
      <c r="B60" s="9" t="s">
        <v>18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149999999999999">
      <c r="A61" s="1">
        <v>6</v>
      </c>
      <c r="B61" s="9" t="s">
        <v>19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14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15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12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21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38.25">
      <c r="A67" s="10">
        <v>7</v>
      </c>
      <c r="B67" s="11" t="s">
        <v>16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13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17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22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19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14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15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12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21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23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13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17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22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19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14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15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12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21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23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13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17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22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19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14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15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12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21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23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13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17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22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19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24</v>
      </c>
      <c r="B103" s="9" t="s">
        <v>25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24</v>
      </c>
      <c r="B104" s="9" t="s">
        <v>26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24</v>
      </c>
      <c r="B105" s="9" t="s">
        <v>27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24</v>
      </c>
      <c r="B106" s="9" t="s">
        <v>28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24</v>
      </c>
      <c r="B107" s="9" t="s">
        <v>29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24</v>
      </c>
      <c r="B108" s="9" t="s">
        <v>30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24</v>
      </c>
      <c r="B109" s="9" t="s">
        <v>31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24</v>
      </c>
      <c r="B110" s="9" t="s">
        <v>32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  <row r="128" spans="1:27">
      <c r="J128" t="e">
        <f>#REF!*8</f>
        <v>#REF!</v>
      </c>
    </row>
    <row r="129" spans="10:10">
      <c r="J129" t="e">
        <f>#REF!*8</f>
        <v>#REF!</v>
      </c>
    </row>
    <row r="130" spans="10:10">
      <c r="J130" t="e">
        <f>#REF!*8</f>
        <v>#REF!</v>
      </c>
    </row>
    <row r="131" spans="10:10">
      <c r="J131" t="e">
        <f>#REF!*8</f>
        <v>#REF!</v>
      </c>
    </row>
    <row r="132" spans="10:10">
      <c r="J132" t="e">
        <f>#REF!*8</f>
        <v>#REF!</v>
      </c>
    </row>
    <row r="133" spans="10:10">
      <c r="J133" t="e">
        <f>#REF!*8</f>
        <v>#REF!</v>
      </c>
    </row>
    <row r="134" spans="10:10">
      <c r="J134" t="e">
        <f>#REF!*8</f>
        <v>#REF!</v>
      </c>
    </row>
    <row r="135" spans="10:10">
      <c r="J135" t="e">
        <f>#REF!*8</f>
        <v>#REF!</v>
      </c>
    </row>
    <row r="136" spans="10:10">
      <c r="J136" t="e">
        <f>#REF!*8</f>
        <v>#REF!</v>
      </c>
    </row>
    <row r="137" spans="10:10">
      <c r="J137" t="e">
        <f>#REF!*8</f>
        <v>#REF!</v>
      </c>
    </row>
    <row r="138" spans="10:10">
      <c r="J138" t="e">
        <f>#REF!*8</f>
        <v>#REF!</v>
      </c>
    </row>
    <row r="139" spans="10:10">
      <c r="J139" t="e">
        <f>#REF!*8</f>
        <v>#REF!</v>
      </c>
    </row>
    <row r="140" spans="10:10">
      <c r="J140" t="e">
        <f>#REF!*8</f>
        <v>#REF!</v>
      </c>
    </row>
    <row r="141" spans="10:10">
      <c r="J141" t="e">
        <f>#REF!*8</f>
        <v>#REF!</v>
      </c>
    </row>
    <row r="142" spans="10:10">
      <c r="J142" t="e">
        <f>#REF!*8</f>
        <v>#REF!</v>
      </c>
    </row>
    <row r="143" spans="10:10">
      <c r="J143" t="e">
        <f>#REF!*8</f>
        <v>#REF!</v>
      </c>
    </row>
    <row r="144" spans="10:10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</sheetData>
  <protectedRanges>
    <protectedRange sqref="C2:C3 C14:C21 C23:C31 C33:C41 C43:C51 C53:C61 C63:C71 C73:C81 C83:C91 C93:C101 C103:C110 C112:C127 C5:C12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23:X31 X33:X41 X43:X51 X63:X71 X73:X81 X53:X61 L112:L127 X83:X91 X93:X101 X14:X21 X5:X12 L23:L31 L33:L41 L43:L51 L63:L71 L73:L81 L53:L61 R112:R127 L83:L91 L93:L101 L14:L21 L5:L12 R23:R31 R33:R41 R43:R51 R63:R71 R73:R81 R53:R61 F112:F127 R83:R91 R93:R101 R14:R21 R5:R12 F23:F31 F33:F41 F43:F51 F63:F71 F73:F81 F53:F61 F5:F12 F83:F91 F93:F101 F14:F21 F103:F110 R103:R110 L103:L110 X103:X110 X112:X127" xr:uid="{4ECCD083-8EC4-42EE-B46C-B614411F330D}">
      <formula1>"2024,2025"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0"/>
  <sheetViews>
    <sheetView zoomScale="55" zoomScaleNormal="55" workbookViewId="0">
      <selection activeCell="G3" sqref="G3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2" t="s">
        <v>33</v>
      </c>
      <c r="E1" s="42"/>
      <c r="F1" s="42"/>
      <c r="G1" s="42"/>
      <c r="H1" s="42"/>
      <c r="I1" s="42"/>
      <c r="J1" s="43" t="s">
        <v>34</v>
      </c>
      <c r="K1" s="43"/>
      <c r="L1" s="43"/>
      <c r="M1" s="43"/>
      <c r="N1" s="43"/>
      <c r="O1" s="43"/>
      <c r="P1" s="44" t="s">
        <v>35</v>
      </c>
      <c r="Q1" s="44"/>
      <c r="R1" s="44"/>
      <c r="S1" s="44"/>
      <c r="T1" s="44"/>
      <c r="U1" s="44"/>
      <c r="V1" s="45" t="s">
        <v>36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63</v>
      </c>
      <c r="E2" s="20" t="s">
        <v>64</v>
      </c>
      <c r="F2" s="21" t="s">
        <v>65</v>
      </c>
      <c r="G2" s="24" t="s">
        <v>66</v>
      </c>
      <c r="H2" s="17" t="s">
        <v>67</v>
      </c>
      <c r="I2" s="24" t="s">
        <v>68</v>
      </c>
      <c r="J2" s="22" t="s">
        <v>69</v>
      </c>
      <c r="K2" s="22" t="s">
        <v>70</v>
      </c>
      <c r="L2" s="23" t="s">
        <v>71</v>
      </c>
      <c r="M2" s="40" t="s">
        <v>72</v>
      </c>
      <c r="N2" s="40" t="s">
        <v>73</v>
      </c>
      <c r="O2" s="22" t="s">
        <v>74</v>
      </c>
      <c r="P2" s="24" t="s">
        <v>75</v>
      </c>
      <c r="Q2" s="24" t="s">
        <v>76</v>
      </c>
      <c r="R2" s="25" t="s">
        <v>77</v>
      </c>
      <c r="S2" s="17" t="s">
        <v>78</v>
      </c>
      <c r="T2" s="17" t="s">
        <v>79</v>
      </c>
      <c r="U2" s="24" t="s">
        <v>80</v>
      </c>
      <c r="V2" s="26" t="s">
        <v>81</v>
      </c>
      <c r="W2" s="26" t="s">
        <v>82</v>
      </c>
      <c r="X2" s="27" t="s">
        <v>83</v>
      </c>
      <c r="Y2" s="41" t="s">
        <v>84</v>
      </c>
      <c r="Z2" s="41" t="s">
        <v>85</v>
      </c>
      <c r="AA2" s="26" t="s">
        <v>86</v>
      </c>
    </row>
    <row r="3" spans="1:27" ht="36" customHeight="1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2" si="2">IF((J3-K3)&lt;0,0,(J3-K3))</f>
        <v>0</v>
      </c>
      <c r="O3" s="5">
        <f t="shared" ref="O3:O72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149999999999999">
      <c r="A4" s="1">
        <v>1</v>
      </c>
      <c r="B4" s="2" t="s">
        <v>9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149999999999999">
      <c r="A5" s="1">
        <v>1</v>
      </c>
      <c r="B5" s="2" t="s">
        <v>10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149999999999999">
      <c r="A6" s="1">
        <v>1</v>
      </c>
      <c r="B6" s="2" t="s">
        <v>11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149999999999999">
      <c r="A7" s="1">
        <v>1</v>
      </c>
      <c r="B7" s="2" t="s">
        <v>12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>
      <c r="A8" s="1">
        <v>1</v>
      </c>
      <c r="B8" s="9" t="s">
        <v>14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>
      <c r="A9" s="1">
        <v>1</v>
      </c>
      <c r="B9" s="9" t="s">
        <v>15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149999999999999">
      <c r="A10" s="1">
        <v>1</v>
      </c>
      <c r="B10" s="9" t="s">
        <v>62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35.25" customHeight="1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149999999999999">
      <c r="A13" s="1">
        <v>2</v>
      </c>
      <c r="B13" s="2" t="s">
        <v>9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149999999999999">
      <c r="A14" s="1">
        <v>2</v>
      </c>
      <c r="B14" s="2" t="s">
        <v>10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149999999999999">
      <c r="A15" s="1">
        <v>2</v>
      </c>
      <c r="B15" s="2" t="s">
        <v>11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149999999999999">
      <c r="A16" s="1">
        <v>2</v>
      </c>
      <c r="B16" s="2" t="s">
        <v>12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149999999999999">
      <c r="A17" s="1">
        <v>2</v>
      </c>
      <c r="B17" s="9" t="s">
        <v>15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149999999999999">
      <c r="A18" s="1">
        <v>2</v>
      </c>
      <c r="B18" s="9" t="s">
        <v>14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149999999999999">
      <c r="A19" s="1">
        <v>2</v>
      </c>
      <c r="B19" s="9" t="s">
        <v>62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38.25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149999999999999">
      <c r="A22" s="1">
        <v>3</v>
      </c>
      <c r="B22" s="2" t="s">
        <v>9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149999999999999">
      <c r="A23" s="1">
        <v>3</v>
      </c>
      <c r="B23" s="2" t="s">
        <v>10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149999999999999">
      <c r="A24" s="1">
        <v>3</v>
      </c>
      <c r="B24" s="2" t="s">
        <v>13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149999999999999">
      <c r="A25" s="1">
        <v>3</v>
      </c>
      <c r="B25" s="2" t="s">
        <v>11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149999999999999">
      <c r="A26" s="1">
        <v>3</v>
      </c>
      <c r="B26" s="2" t="s">
        <v>12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149999999999999">
      <c r="A27" s="1">
        <v>3</v>
      </c>
      <c r="B27" s="9" t="s">
        <v>14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149999999999999">
      <c r="A28" s="1">
        <v>3</v>
      </c>
      <c r="B28" s="9" t="s">
        <v>15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149999999999999">
      <c r="A29" s="1">
        <v>3</v>
      </c>
      <c r="B29" s="9" t="s">
        <v>62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149999999999999">
      <c r="A31" s="1">
        <v>4</v>
      </c>
      <c r="B31" s="9" t="s">
        <v>14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149999999999999">
      <c r="A32" s="1">
        <v>4</v>
      </c>
      <c r="B32" s="9" t="s">
        <v>15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>
      <c r="A33" s="1">
        <v>4</v>
      </c>
      <c r="B33" s="9" t="s">
        <v>12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>
      <c r="A34" s="1">
        <v>4</v>
      </c>
      <c r="B34" s="9" t="s">
        <v>10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38.25">
      <c r="A35" s="1">
        <v>4</v>
      </c>
      <c r="B35" s="9" t="s">
        <v>16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>
      <c r="A36" s="1">
        <v>4</v>
      </c>
      <c r="B36" s="9" t="s">
        <v>13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>
      <c r="A37" s="37">
        <v>4</v>
      </c>
      <c r="B37" s="9" t="s">
        <v>87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>
      <c r="A38" s="1">
        <v>4</v>
      </c>
      <c r="B38" s="9" t="s">
        <v>88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>
      <c r="A39" s="1">
        <v>4</v>
      </c>
      <c r="B39" s="9" t="s">
        <v>18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>
      <c r="A40" s="37">
        <v>4</v>
      </c>
      <c r="B40" s="9" t="s">
        <v>89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>
      <c r="A41" s="1">
        <v>4</v>
      </c>
      <c r="B41" s="9" t="s">
        <v>90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149999999999999">
      <c r="A43" s="1">
        <v>5</v>
      </c>
      <c r="B43" s="9" t="s">
        <v>14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149999999999999">
      <c r="A44" s="1">
        <v>5</v>
      </c>
      <c r="B44" s="9" t="s">
        <v>15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149999999999999">
      <c r="A45" s="1">
        <v>5</v>
      </c>
      <c r="B45" s="9" t="s">
        <v>12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149999999999999">
      <c r="A46" s="1">
        <v>5</v>
      </c>
      <c r="B46" s="9" t="s">
        <v>10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38.25">
      <c r="A47" s="1">
        <v>5</v>
      </c>
      <c r="B47" s="9" t="s">
        <v>16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>
      <c r="A48" s="1">
        <v>5</v>
      </c>
      <c r="B48" s="9" t="s">
        <v>13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>
      <c r="A49" s="37">
        <v>5</v>
      </c>
      <c r="B49" s="9" t="s">
        <v>87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>
      <c r="A50" s="1">
        <v>5</v>
      </c>
      <c r="B50" s="9" t="s">
        <v>88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149999999999999">
      <c r="A51" s="1">
        <v>5</v>
      </c>
      <c r="B51" s="9" t="s">
        <v>18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>
      <c r="A52" s="37">
        <v>5</v>
      </c>
      <c r="B52" s="9" t="s">
        <v>89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>
      <c r="A53" s="1">
        <v>5</v>
      </c>
      <c r="B53" s="9" t="s">
        <v>90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149999999999999">
      <c r="A55" s="1">
        <v>6</v>
      </c>
      <c r="B55" s="9" t="s">
        <v>14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149999999999999">
      <c r="A56" s="1">
        <v>6</v>
      </c>
      <c r="B56" s="9" t="s">
        <v>15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149999999999999">
      <c r="A57" s="1">
        <v>6</v>
      </c>
      <c r="B57" s="9" t="s">
        <v>12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149999999999999">
      <c r="A58" s="1">
        <v>6</v>
      </c>
      <c r="B58" s="9" t="s">
        <v>10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38.25">
      <c r="A59" s="1">
        <v>6</v>
      </c>
      <c r="B59" s="9" t="s">
        <v>16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149999999999999">
      <c r="A60" s="1">
        <v>6</v>
      </c>
      <c r="B60" s="9" t="s">
        <v>13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149999999999999">
      <c r="A61" s="37">
        <v>6</v>
      </c>
      <c r="B61" s="9" t="s">
        <v>87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149999999999999">
      <c r="A62" s="1">
        <v>6</v>
      </c>
      <c r="B62" s="9" t="s">
        <v>88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149999999999999">
      <c r="A63" s="1">
        <v>6</v>
      </c>
      <c r="B63" s="9" t="s">
        <v>18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149999999999999">
      <c r="A64" s="37">
        <v>6</v>
      </c>
      <c r="B64" s="9" t="s">
        <v>89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149999999999999">
      <c r="A65" s="1">
        <v>6</v>
      </c>
      <c r="B65" s="9" t="s">
        <v>90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14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15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12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21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16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13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87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88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22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89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90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14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15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12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21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23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13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87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88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22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89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90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14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15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12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21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23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13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87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88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22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89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90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14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15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12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21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23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13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87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88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22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89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90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24</v>
      </c>
      <c r="B115" s="9" t="s">
        <v>25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24</v>
      </c>
      <c r="B116" s="9" t="s">
        <v>26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24</v>
      </c>
      <c r="B117" s="9" t="s">
        <v>27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24</v>
      </c>
      <c r="B118" s="9" t="s">
        <v>28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24</v>
      </c>
      <c r="B119" s="9" t="s">
        <v>29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24</v>
      </c>
      <c r="B120" s="9" t="s">
        <v>30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24</v>
      </c>
      <c r="B121" s="9" t="s">
        <v>31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24</v>
      </c>
      <c r="B122" s="9" t="s">
        <v>32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>
      <c r="J141" t="e">
        <f>#REF!*8</f>
        <v>#REF!</v>
      </c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</sheetData>
  <protectedRanges>
    <protectedRange sqref="C2:C10 C12:C19 C21:C29 C31:C41 C43:C53 C55:C65 C67:C77 C79:C89 C115:C122 C103:C113 C91:C101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X21:X29 X31:X41 X43:X53 X67:X77 X79:X89 X55:X65 X91:X101 X103:X113 X12:X19 X3:X10 L21:L29 L31:L41 L43:L53 L67:L77 L79:L89 L55:L65 L91:L101 L103:L113 L12:L19 L3:L10 R21:R29 R31:R41 R43:R53 R67:R77 R79:R89 R55:R65 R91:R101 R103:R113 R12:R19 R3:R10 F21:F29 F31:F41 F43:F53 F67:F77 F79:F89 F55:F65 F3:F10 F91:F101 X115:X122 F12:F19 F115:F122 R115:R122 L115:L122 F103:F113" xr:uid="{77F72D89-8371-4D0C-A323-BD25723C617C}">
      <formula1>"2024,2025"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Guest User</cp:lastModifiedBy>
  <cp:revision/>
  <dcterms:created xsi:type="dcterms:W3CDTF">2025-11-19T20:48:15Z</dcterms:created>
  <dcterms:modified xsi:type="dcterms:W3CDTF">2026-01-29T08:28:36Z</dcterms:modified>
  <cp:category/>
  <cp:contentStatus/>
</cp:coreProperties>
</file>