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4" documentId="13_ncr:1_{BFB59F67-F0DC-4675-A682-EB0734A8026A}" xr6:coauthVersionLast="47" xr6:coauthVersionMax="47" xr10:uidLastSave="{7B4BD6F2-A9BD-402F-9802-7A95F8B5AA2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H3" i="5"/>
  <c r="I3" i="5"/>
  <c r="J3" i="5"/>
  <c r="N3" i="5"/>
  <c r="O3" i="5"/>
  <c r="P3" i="5"/>
  <c r="T3" i="5"/>
  <c r="U3" i="5"/>
  <c r="V3" i="5"/>
  <c r="Z3" i="5"/>
  <c r="AA3" i="5"/>
  <c r="D4" i="5"/>
  <c r="H4" i="5"/>
  <c r="I4" i="5"/>
  <c r="J4" i="5"/>
  <c r="N4" i="5"/>
  <c r="O4" i="5"/>
  <c r="P4" i="5"/>
  <c r="T4" i="5"/>
  <c r="U4" i="5"/>
  <c r="V4" i="5"/>
  <c r="Z4" i="5"/>
  <c r="AA4" i="5"/>
  <c r="D5" i="5"/>
  <c r="H5" i="5"/>
  <c r="I5" i="5"/>
  <c r="J5" i="5"/>
  <c r="N5" i="5"/>
  <c r="O5" i="5"/>
  <c r="P5" i="5"/>
  <c r="T5" i="5"/>
  <c r="U5" i="5"/>
  <c r="V5" i="5"/>
  <c r="Z5" i="5"/>
  <c r="AA5" i="5"/>
  <c r="D6" i="5"/>
  <c r="H6" i="5"/>
  <c r="I6" i="5"/>
  <c r="J6" i="5"/>
  <c r="N6" i="5"/>
  <c r="O6" i="5"/>
  <c r="P6" i="5"/>
  <c r="T6" i="5"/>
  <c r="U6" i="5"/>
  <c r="V6" i="5"/>
  <c r="Z6" i="5"/>
  <c r="AA6" i="5"/>
  <c r="D7" i="5"/>
  <c r="H7" i="5"/>
  <c r="I7" i="5"/>
  <c r="J7" i="5"/>
  <c r="N7" i="5"/>
  <c r="O7" i="5"/>
  <c r="P7" i="5"/>
  <c r="T7" i="5"/>
  <c r="U7" i="5"/>
  <c r="V7" i="5"/>
  <c r="Z7" i="5"/>
  <c r="AA7" i="5"/>
  <c r="D8" i="5"/>
  <c r="H8" i="5"/>
  <c r="I8" i="5"/>
  <c r="J8" i="5"/>
  <c r="N8" i="5"/>
  <c r="O8" i="5"/>
  <c r="P8" i="5"/>
  <c r="T8" i="5"/>
  <c r="U8" i="5"/>
  <c r="V8" i="5"/>
  <c r="Z8" i="5"/>
  <c r="AA8" i="5"/>
  <c r="D9" i="5"/>
  <c r="H9" i="5"/>
  <c r="I9" i="5"/>
  <c r="J9" i="5"/>
  <c r="N9" i="5"/>
  <c r="O9" i="5"/>
  <c r="P9" i="5"/>
  <c r="T9" i="5"/>
  <c r="U9" i="5"/>
  <c r="V9" i="5"/>
  <c r="Z9" i="5"/>
  <c r="AA9" i="5"/>
  <c r="D10" i="5"/>
  <c r="H10" i="5"/>
  <c r="I10" i="5"/>
  <c r="J10" i="5"/>
  <c r="N10" i="5"/>
  <c r="O10" i="5"/>
  <c r="P10" i="5"/>
  <c r="T10" i="5"/>
  <c r="U10" i="5"/>
  <c r="V10" i="5"/>
  <c r="Z10" i="5"/>
  <c r="AA10" i="5"/>
  <c r="D11" i="5"/>
  <c r="H11" i="5"/>
  <c r="I11" i="5"/>
  <c r="J11" i="5"/>
  <c r="N11" i="5"/>
  <c r="O11" i="5"/>
  <c r="P11" i="5"/>
  <c r="T11" i="5"/>
  <c r="U11" i="5"/>
  <c r="V11" i="5"/>
  <c r="Z11" i="5"/>
  <c r="AA11" i="5"/>
  <c r="D12" i="5"/>
  <c r="H12" i="5"/>
  <c r="I12" i="5"/>
  <c r="J12" i="5"/>
  <c r="N12" i="5"/>
  <c r="O12" i="5"/>
  <c r="P12" i="5"/>
  <c r="T12" i="5"/>
  <c r="U12" i="5"/>
  <c r="V12" i="5"/>
  <c r="Z12" i="5"/>
  <c r="AA12" i="5"/>
  <c r="D13" i="5"/>
  <c r="H13" i="5"/>
  <c r="I13" i="5"/>
  <c r="J13" i="5"/>
  <c r="N13" i="5"/>
  <c r="O13" i="5"/>
  <c r="P13" i="5"/>
  <c r="T13" i="5"/>
  <c r="U13" i="5"/>
  <c r="V13" i="5"/>
  <c r="Z13" i="5"/>
  <c r="AA13" i="5"/>
  <c r="D15" i="5"/>
  <c r="H15" i="5"/>
  <c r="I15" i="5"/>
  <c r="J15" i="5"/>
  <c r="N15" i="5"/>
  <c r="O15" i="5"/>
  <c r="P15" i="5"/>
  <c r="T15" i="5"/>
  <c r="U15" i="5"/>
  <c r="V15" i="5"/>
  <c r="Z15" i="5"/>
  <c r="AA15" i="5"/>
  <c r="D16" i="5"/>
  <c r="H16" i="5"/>
  <c r="I16" i="5"/>
  <c r="J16" i="5"/>
  <c r="N16" i="5"/>
  <c r="O16" i="5"/>
  <c r="P16" i="5"/>
  <c r="T16" i="5"/>
  <c r="U16" i="5"/>
  <c r="V16" i="5"/>
  <c r="Z16" i="5"/>
  <c r="AA16" i="5"/>
  <c r="D17" i="5"/>
  <c r="H17" i="5"/>
  <c r="I17" i="5"/>
  <c r="J17" i="5"/>
  <c r="N17" i="5"/>
  <c r="O17" i="5"/>
  <c r="P17" i="5"/>
  <c r="T17" i="5"/>
  <c r="U17" i="5"/>
  <c r="V17" i="5"/>
  <c r="Z17" i="5"/>
  <c r="AA17" i="5"/>
  <c r="D18" i="5"/>
  <c r="H18" i="5"/>
  <c r="I18" i="5"/>
  <c r="J18" i="5"/>
  <c r="N18" i="5"/>
  <c r="O18" i="5"/>
  <c r="P18" i="5"/>
  <c r="T18" i="5"/>
  <c r="U18" i="5"/>
  <c r="V18" i="5"/>
  <c r="Z18" i="5"/>
  <c r="AA18" i="5"/>
  <c r="D19" i="5"/>
  <c r="H19" i="5"/>
  <c r="I19" i="5"/>
  <c r="J19" i="5"/>
  <c r="N19" i="5"/>
  <c r="O19" i="5"/>
  <c r="P19" i="5"/>
  <c r="T19" i="5"/>
  <c r="U19" i="5"/>
  <c r="V19" i="5"/>
  <c r="Z19" i="5"/>
  <c r="AA19" i="5"/>
  <c r="D20" i="5"/>
  <c r="H20" i="5"/>
  <c r="I20" i="5"/>
  <c r="J20" i="5"/>
  <c r="N20" i="5"/>
  <c r="O20" i="5"/>
  <c r="P20" i="5"/>
  <c r="T20" i="5"/>
  <c r="U20" i="5"/>
  <c r="V20" i="5"/>
  <c r="Z20" i="5"/>
  <c r="AA20" i="5"/>
  <c r="D21" i="5"/>
  <c r="H21" i="5"/>
  <c r="I21" i="5"/>
  <c r="J21" i="5"/>
  <c r="N21" i="5"/>
  <c r="O21" i="5"/>
  <c r="P21" i="5"/>
  <c r="T21" i="5"/>
  <c r="U21" i="5"/>
  <c r="V21" i="5"/>
  <c r="Z21" i="5"/>
  <c r="AA21" i="5"/>
  <c r="D22" i="5"/>
  <c r="H22" i="5"/>
  <c r="I22" i="5"/>
  <c r="J22" i="5"/>
  <c r="N22" i="5"/>
  <c r="O22" i="5"/>
  <c r="P22" i="5"/>
  <c r="T22" i="5"/>
  <c r="U22" i="5"/>
  <c r="V22" i="5"/>
  <c r="Z22" i="5"/>
  <c r="AA22" i="5"/>
  <c r="D23" i="5"/>
  <c r="H23" i="5"/>
  <c r="I23" i="5"/>
  <c r="J23" i="5"/>
  <c r="N23" i="5"/>
  <c r="O23" i="5"/>
  <c r="P23" i="5"/>
  <c r="T23" i="5"/>
  <c r="U23" i="5"/>
  <c r="V23" i="5"/>
  <c r="Z23" i="5"/>
  <c r="AA23" i="5"/>
  <c r="D24" i="5"/>
  <c r="H24" i="5"/>
  <c r="I24" i="5"/>
  <c r="J24" i="5"/>
  <c r="N24" i="5"/>
  <c r="O24" i="5"/>
  <c r="P24" i="5"/>
  <c r="T24" i="5"/>
  <c r="U24" i="5"/>
  <c r="V24" i="5"/>
  <c r="Z24" i="5"/>
  <c r="AA24" i="5"/>
  <c r="D25" i="5"/>
  <c r="H25" i="5"/>
  <c r="I25" i="5"/>
  <c r="J25" i="5"/>
  <c r="N25" i="5"/>
  <c r="O25" i="5"/>
  <c r="P25" i="5"/>
  <c r="T25" i="5"/>
  <c r="U25" i="5"/>
  <c r="V25" i="5"/>
  <c r="Z25" i="5"/>
  <c r="AA25" i="5"/>
  <c r="D27" i="5"/>
  <c r="H27" i="5"/>
  <c r="I27" i="5"/>
  <c r="J27" i="5"/>
  <c r="N27" i="5"/>
  <c r="O27" i="5"/>
  <c r="P27" i="5"/>
  <c r="T27" i="5"/>
  <c r="U27" i="5"/>
  <c r="V27" i="5"/>
  <c r="Z27" i="5"/>
  <c r="AA27" i="5"/>
  <c r="D28" i="5"/>
  <c r="H28" i="5"/>
  <c r="I28" i="5"/>
  <c r="J28" i="5"/>
  <c r="N28" i="5"/>
  <c r="O28" i="5"/>
  <c r="P28" i="5"/>
  <c r="T28" i="5"/>
  <c r="U28" i="5"/>
  <c r="V28" i="5"/>
  <c r="Z28" i="5"/>
  <c r="AA28" i="5"/>
  <c r="D29" i="5"/>
  <c r="H29" i="5"/>
  <c r="I29" i="5"/>
  <c r="J29" i="5"/>
  <c r="N29" i="5"/>
  <c r="O29" i="5"/>
  <c r="P29" i="5"/>
  <c r="T29" i="5"/>
  <c r="U29" i="5"/>
  <c r="V29" i="5"/>
  <c r="Z29" i="5"/>
  <c r="AA29" i="5"/>
  <c r="D30" i="5"/>
  <c r="H30" i="5"/>
  <c r="I30" i="5"/>
  <c r="J30" i="5"/>
  <c r="N30" i="5"/>
  <c r="O30" i="5"/>
  <c r="P30" i="5"/>
  <c r="T30" i="5"/>
  <c r="U30" i="5"/>
  <c r="V30" i="5"/>
  <c r="Z30" i="5"/>
  <c r="AA30" i="5"/>
  <c r="D31" i="5"/>
  <c r="H31" i="5"/>
  <c r="I31" i="5"/>
  <c r="J31" i="5"/>
  <c r="N31" i="5"/>
  <c r="O31" i="5"/>
  <c r="P31" i="5"/>
  <c r="T31" i="5"/>
  <c r="U31" i="5"/>
  <c r="V31" i="5"/>
  <c r="Z31" i="5"/>
  <c r="AA31" i="5"/>
  <c r="D32" i="5"/>
  <c r="H32" i="5"/>
  <c r="I32" i="5"/>
  <c r="J32" i="5"/>
  <c r="N32" i="5"/>
  <c r="O32" i="5"/>
  <c r="P32" i="5"/>
  <c r="T32" i="5"/>
  <c r="U32" i="5"/>
  <c r="V32" i="5"/>
  <c r="Z32" i="5"/>
  <c r="AA32" i="5"/>
  <c r="D33" i="5"/>
  <c r="H33" i="5"/>
  <c r="I33" i="5"/>
  <c r="J33" i="5"/>
  <c r="N33" i="5"/>
  <c r="O33" i="5"/>
  <c r="P33" i="5"/>
  <c r="T33" i="5"/>
  <c r="U33" i="5"/>
  <c r="V33" i="5"/>
  <c r="Z33" i="5"/>
  <c r="AA33" i="5"/>
  <c r="D34" i="5"/>
  <c r="H34" i="5"/>
  <c r="I34" i="5"/>
  <c r="J34" i="5"/>
  <c r="N34" i="5"/>
  <c r="O34" i="5"/>
  <c r="P34" i="5"/>
  <c r="T34" i="5"/>
  <c r="U34" i="5"/>
  <c r="V34" i="5"/>
  <c r="Z34" i="5"/>
  <c r="AA34" i="5"/>
  <c r="D35" i="5"/>
  <c r="H35" i="5"/>
  <c r="I35" i="5"/>
  <c r="J35" i="5"/>
  <c r="N35" i="5"/>
  <c r="O35" i="5"/>
  <c r="P35" i="5"/>
  <c r="T35" i="5"/>
  <c r="U35" i="5"/>
  <c r="V35" i="5"/>
  <c r="Z35" i="5"/>
  <c r="AA35" i="5"/>
  <c r="D36" i="5"/>
  <c r="H36" i="5"/>
  <c r="I36" i="5"/>
  <c r="J36" i="5"/>
  <c r="N36" i="5"/>
  <c r="O36" i="5"/>
  <c r="P36" i="5"/>
  <c r="T36" i="5"/>
  <c r="U36" i="5"/>
  <c r="V36" i="5"/>
  <c r="Z36" i="5"/>
  <c r="AA36" i="5"/>
  <c r="D37" i="5"/>
  <c r="H37" i="5"/>
  <c r="I37" i="5"/>
  <c r="J37" i="5"/>
  <c r="N37" i="5"/>
  <c r="O37" i="5"/>
  <c r="P37" i="5"/>
  <c r="T37" i="5"/>
  <c r="U37" i="5"/>
  <c r="V37" i="5"/>
  <c r="Z37" i="5"/>
  <c r="AA37" i="5"/>
  <c r="D39" i="5"/>
  <c r="H39" i="5"/>
  <c r="I39" i="5"/>
  <c r="J39" i="5"/>
  <c r="N39" i="5"/>
  <c r="O39" i="5"/>
  <c r="P39" i="5"/>
  <c r="T39" i="5"/>
  <c r="U39" i="5"/>
  <c r="V39" i="5"/>
  <c r="Z39" i="5"/>
  <c r="AA39" i="5"/>
  <c r="D40" i="5"/>
  <c r="H40" i="5"/>
  <c r="I40" i="5"/>
  <c r="J40" i="5"/>
  <c r="N40" i="5"/>
  <c r="O40" i="5"/>
  <c r="P40" i="5"/>
  <c r="T40" i="5"/>
  <c r="U40" i="5"/>
  <c r="V40" i="5"/>
  <c r="Z40" i="5"/>
  <c r="AA40" i="5"/>
  <c r="D41" i="5"/>
  <c r="H41" i="5"/>
  <c r="I41" i="5"/>
  <c r="J41" i="5"/>
  <c r="N41" i="5"/>
  <c r="O41" i="5"/>
  <c r="P41" i="5"/>
  <c r="T41" i="5"/>
  <c r="U41" i="5"/>
  <c r="V41" i="5"/>
  <c r="Z41" i="5"/>
  <c r="AA41" i="5"/>
  <c r="D42" i="5"/>
  <c r="H42" i="5"/>
  <c r="I42" i="5"/>
  <c r="J42" i="5"/>
  <c r="N42" i="5"/>
  <c r="O42" i="5"/>
  <c r="P42" i="5"/>
  <c r="T42" i="5"/>
  <c r="U42" i="5"/>
  <c r="V42" i="5"/>
  <c r="Z42" i="5"/>
  <c r="AA42" i="5"/>
  <c r="D43" i="5"/>
  <c r="H43" i="5"/>
  <c r="I43" i="5"/>
  <c r="J43" i="5"/>
  <c r="N43" i="5"/>
  <c r="O43" i="5"/>
  <c r="P43" i="5"/>
  <c r="T43" i="5"/>
  <c r="U43" i="5"/>
  <c r="V43" i="5"/>
  <c r="Z43" i="5"/>
  <c r="AA43" i="5"/>
  <c r="D44" i="5"/>
  <c r="H44" i="5"/>
  <c r="I44" i="5"/>
  <c r="J44" i="5"/>
  <c r="N44" i="5"/>
  <c r="O44" i="5"/>
  <c r="P44" i="5"/>
  <c r="T44" i="5"/>
  <c r="U44" i="5"/>
  <c r="V44" i="5"/>
  <c r="Z44" i="5"/>
  <c r="AA44" i="5"/>
  <c r="D45" i="5"/>
  <c r="H45" i="5"/>
  <c r="I45" i="5"/>
  <c r="J45" i="5"/>
  <c r="N45" i="5"/>
  <c r="O45" i="5"/>
  <c r="P45" i="5"/>
  <c r="T45" i="5"/>
  <c r="U45" i="5"/>
  <c r="V45" i="5"/>
  <c r="Z45" i="5"/>
  <c r="AA45" i="5"/>
  <c r="D46" i="5"/>
  <c r="H46" i="5"/>
  <c r="I46" i="5"/>
  <c r="J46" i="5"/>
  <c r="N46" i="5"/>
  <c r="O46" i="5"/>
  <c r="P46" i="5"/>
  <c r="T46" i="5"/>
  <c r="U46" i="5"/>
  <c r="V46" i="5"/>
  <c r="Z46" i="5"/>
  <c r="AA46" i="5"/>
  <c r="D47" i="5"/>
  <c r="H47" i="5"/>
  <c r="I47" i="5"/>
  <c r="J47" i="5"/>
  <c r="N47" i="5"/>
  <c r="O47" i="5"/>
  <c r="P47" i="5"/>
  <c r="T47" i="5"/>
  <c r="U47" i="5"/>
  <c r="V47" i="5"/>
  <c r="Z47" i="5"/>
  <c r="AA47" i="5"/>
  <c r="D48" i="5"/>
  <c r="H48" i="5"/>
  <c r="I48" i="5"/>
  <c r="J48" i="5"/>
  <c r="N48" i="5"/>
  <c r="O48" i="5"/>
  <c r="P48" i="5"/>
  <c r="T48" i="5"/>
  <c r="U48" i="5"/>
  <c r="V48" i="5"/>
  <c r="Z48" i="5"/>
  <c r="AA48" i="5"/>
  <c r="D49" i="5"/>
  <c r="H49" i="5"/>
  <c r="I49" i="5"/>
  <c r="J49" i="5"/>
  <c r="N49" i="5"/>
  <c r="O49" i="5"/>
  <c r="P49" i="5"/>
  <c r="T49" i="5"/>
  <c r="U49" i="5"/>
  <c r="V49" i="5"/>
  <c r="Z49" i="5"/>
  <c r="AA49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T44" i="4" l="1"/>
  <c r="Z66" i="4"/>
  <c r="Z56" i="4"/>
  <c r="T21" i="4"/>
  <c r="U5" i="4"/>
  <c r="U54" i="4"/>
  <c r="O28" i="4"/>
  <c r="AA43" i="4"/>
  <c r="Z20" i="4"/>
  <c r="AA7" i="4"/>
  <c r="O59" i="4"/>
  <c r="AA53" i="5"/>
  <c r="AA55" i="5"/>
  <c r="H56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AA51" i="5"/>
  <c r="H52" i="5"/>
  <c r="T56" i="5"/>
  <c r="O53" i="5"/>
  <c r="AA57" i="5"/>
  <c r="O51" i="5"/>
  <c r="T54" i="5"/>
  <c r="T52" i="5"/>
  <c r="Z56" i="5"/>
  <c r="H58" i="5"/>
  <c r="Z52" i="5"/>
  <c r="H54" i="5"/>
  <c r="O57" i="5"/>
  <c r="O55" i="5"/>
  <c r="Z54" i="5"/>
  <c r="U57" i="5"/>
  <c r="T57" i="5"/>
  <c r="U55" i="5"/>
  <c r="T55" i="5"/>
  <c r="U53" i="5"/>
  <c r="T53" i="5"/>
  <c r="U51" i="5"/>
  <c r="T51" i="5"/>
  <c r="Z58" i="5"/>
  <c r="N52" i="5"/>
  <c r="N54" i="5"/>
  <c r="N56" i="5"/>
  <c r="N58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<sst xmlns="http://schemas.openxmlformats.org/spreadsheetml/2006/main" count="242" uniqueCount="84">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</sst>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713</v>
      </c>
      <c r="D2" s="8">
        <v>883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170</v>
      </c>
    </row>
    <row r="3" spans="1:8" ht="29.25" customHeight="1">
      <c r="A3" s="8">
        <v>7</v>
      </c>
      <c r="B3" s="9" t="s">
        <v>10</v>
      </c>
      <c r="C3" s="8">
        <v>713</v>
      </c>
      <c r="D3" s="8">
        <v>883</v>
      </c>
      <c r="E3" s="8">
        <v>2025</v>
      </c>
      <c r="F3" s="10" t="s">
        <v>9</v>
      </c>
      <c r="G3" s="2">
        <f t="shared" si="0"/>
        <v>0</v>
      </c>
      <c r="H3" s="3">
        <f t="shared" si="1"/>
        <v>170</v>
      </c>
    </row>
    <row r="4" spans="1:8" ht="21" customHeight="1">
      <c r="A4" s="8">
        <v>7</v>
      </c>
      <c r="B4" s="9" t="s">
        <v>11</v>
      </c>
      <c r="C4" s="8">
        <v>713</v>
      </c>
      <c r="D4" s="8"/>
      <c r="E4" s="8"/>
      <c r="F4" s="10"/>
      <c r="G4" s="2">
        <f t="shared" si="0"/>
        <v>713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713</v>
      </c>
      <c r="D5" s="8"/>
      <c r="E5" s="8"/>
      <c r="F5" s="10"/>
      <c r="G5" s="2">
        <f t="shared" si="0"/>
        <v>713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713</v>
      </c>
      <c r="D6" s="8">
        <v>883</v>
      </c>
      <c r="E6" s="8">
        <v>2025</v>
      </c>
      <c r="F6" s="10" t="s">
        <v>9</v>
      </c>
      <c r="G6" s="2">
        <f t="shared" si="0"/>
        <v>0</v>
      </c>
      <c r="H6" s="3">
        <f t="shared" si="1"/>
        <v>170</v>
      </c>
    </row>
    <row r="7" spans="1:8" ht="19.5">
      <c r="A7" s="8">
        <v>7</v>
      </c>
      <c r="B7" s="9" t="s">
        <v>14</v>
      </c>
      <c r="C7" s="8">
        <v>713</v>
      </c>
      <c r="D7" s="8">
        <v>883</v>
      </c>
      <c r="E7" s="8">
        <v>2024</v>
      </c>
      <c r="F7" s="10" t="s">
        <v>9</v>
      </c>
      <c r="G7" s="2">
        <f t="shared" si="0"/>
        <v>0</v>
      </c>
      <c r="H7" s="3">
        <f t="shared" si="1"/>
        <v>170</v>
      </c>
    </row>
    <row r="8" spans="1:8" ht="39.75" customHeight="1">
      <c r="A8" s="8">
        <v>7</v>
      </c>
      <c r="B8" s="9" t="s">
        <v>15</v>
      </c>
      <c r="C8" s="8">
        <v>713</v>
      </c>
      <c r="D8" s="8">
        <v>883</v>
      </c>
      <c r="E8" s="8">
        <v>2025</v>
      </c>
      <c r="F8" s="10" t="s">
        <v>9</v>
      </c>
      <c r="G8" s="2">
        <f t="shared" si="0"/>
        <v>0</v>
      </c>
      <c r="H8" s="3">
        <f t="shared" si="1"/>
        <v>170</v>
      </c>
    </row>
    <row r="9" spans="1:8" ht="29.25" customHeight="1">
      <c r="A9" s="8">
        <v>7</v>
      </c>
      <c r="B9" s="9" t="s">
        <v>16</v>
      </c>
      <c r="C9" s="8">
        <v>713</v>
      </c>
      <c r="D9" s="8"/>
      <c r="E9" s="8"/>
      <c r="F9" s="10"/>
      <c r="G9" s="2">
        <f t="shared" si="0"/>
        <v>713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713</v>
      </c>
      <c r="D10" s="8">
        <v>883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170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693</v>
      </c>
      <c r="D12" s="8"/>
      <c r="E12" s="8"/>
      <c r="F12" s="10"/>
      <c r="G12" s="2">
        <f>IF((C12-D12)&lt;0,0,C12-D12)</f>
        <v>693</v>
      </c>
      <c r="H12" s="3">
        <f>IF((D12-C12)&lt;0,0,D12-C12)</f>
        <v>0</v>
      </c>
    </row>
    <row r="13" spans="1:8" ht="19.5">
      <c r="A13" s="8">
        <v>8</v>
      </c>
      <c r="B13" s="9" t="s">
        <v>10</v>
      </c>
      <c r="C13" s="8">
        <v>693</v>
      </c>
      <c r="D13" s="8"/>
      <c r="E13" s="8"/>
      <c r="F13" s="10"/>
      <c r="G13" s="2">
        <f>IF((C13-D13)&lt;0,0,C13-D13)</f>
        <v>693</v>
      </c>
      <c r="H13" s="3">
        <f>IF((D13-C13)&lt;0,0,D13-C13)</f>
        <v>0</v>
      </c>
    </row>
    <row r="14" spans="1:8" ht="49.5" customHeight="1">
      <c r="A14" s="8">
        <v>8</v>
      </c>
      <c r="B14" s="9" t="s">
        <v>11</v>
      </c>
      <c r="C14" s="8">
        <v>693</v>
      </c>
      <c r="D14" s="8">
        <v>677</v>
      </c>
      <c r="E14" s="8">
        <v>2025</v>
      </c>
      <c r="F14" s="10" t="s">
        <v>9</v>
      </c>
      <c r="G14" s="2">
        <f t="shared" ref="G14:G18" si="2">IF((C14-D14)&lt;0,0,C14-D14)</f>
        <v>16</v>
      </c>
      <c r="H14" s="3">
        <f t="shared" ref="H14:H18" si="3">IF((D14-C14)&lt;0,0,D14-C14)</f>
        <v>0</v>
      </c>
    </row>
    <row r="15" spans="1:8" ht="29.25" customHeight="1">
      <c r="A15" s="8">
        <v>8</v>
      </c>
      <c r="B15" s="9" t="s">
        <v>12</v>
      </c>
      <c r="C15" s="8">
        <v>693</v>
      </c>
      <c r="D15" s="8">
        <v>677</v>
      </c>
      <c r="E15" s="8">
        <v>2025</v>
      </c>
      <c r="F15" s="10" t="s">
        <v>9</v>
      </c>
      <c r="G15" s="2">
        <f t="shared" si="2"/>
        <v>16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693</v>
      </c>
      <c r="D16" s="8"/>
      <c r="E16" s="8"/>
      <c r="F16" s="10"/>
      <c r="G16" s="2">
        <f t="shared" si="2"/>
        <v>693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693</v>
      </c>
      <c r="D17" s="8"/>
      <c r="E17" s="8"/>
      <c r="F17" s="10"/>
      <c r="G17" s="2">
        <f t="shared" si="2"/>
        <v>693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693</v>
      </c>
      <c r="D18" s="8"/>
      <c r="E18" s="8"/>
      <c r="F18" s="10"/>
      <c r="G18" s="2">
        <f t="shared" si="2"/>
        <v>693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693</v>
      </c>
      <c r="D19" s="8"/>
      <c r="E19" s="8"/>
      <c r="F19" s="10"/>
      <c r="G19" s="2">
        <f>IF((C19-D19)&lt;0,0,C19-D19)</f>
        <v>693</v>
      </c>
      <c r="H19" s="3">
        <f>IF((D19-C19)&lt;0,0,D19-C19)</f>
        <v>0</v>
      </c>
    </row>
    <row r="20" spans="1:8" ht="19.5">
      <c r="A20" s="8">
        <v>8</v>
      </c>
      <c r="B20" s="9" t="s">
        <v>17</v>
      </c>
      <c r="C20" s="8">
        <v>693</v>
      </c>
      <c r="D20" s="8"/>
      <c r="E20" s="8"/>
      <c r="F20" s="10"/>
      <c r="G20" s="2">
        <f>IF((C20-D20)&lt;0,0,C20-D20)</f>
        <v>693</v>
      </c>
      <c r="H20" s="3">
        <f>IF((D20-C20)&lt;0,0,D20-C20)</f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607</v>
      </c>
      <c r="D22" s="8"/>
      <c r="E22" s="8"/>
      <c r="F22" s="10"/>
      <c r="G22" s="2">
        <f t="shared" ref="G22:G30" si="4">IF((C22-D22)&lt;0,0,C22-D22)</f>
        <v>607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607</v>
      </c>
      <c r="D23" s="8"/>
      <c r="E23" s="8"/>
      <c r="F23" s="10"/>
      <c r="G23" s="2">
        <f t="shared" si="4"/>
        <v>607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607</v>
      </c>
      <c r="D24" s="8"/>
      <c r="E24" s="8"/>
      <c r="F24" s="10"/>
      <c r="G24" s="2">
        <f t="shared" si="4"/>
        <v>607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607</v>
      </c>
      <c r="D25" s="8"/>
      <c r="E25" s="8"/>
      <c r="F25" s="10"/>
      <c r="G25" s="2">
        <f t="shared" si="4"/>
        <v>607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607</v>
      </c>
      <c r="D26" s="8"/>
      <c r="E26" s="8"/>
      <c r="F26" s="10"/>
      <c r="G26" s="2">
        <f t="shared" si="4"/>
        <v>607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607</v>
      </c>
      <c r="D27" s="8"/>
      <c r="E27" s="8"/>
      <c r="F27" s="10"/>
      <c r="G27" s="2">
        <f t="shared" si="4"/>
        <v>607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607</v>
      </c>
      <c r="D28" s="8"/>
      <c r="E28" s="8"/>
      <c r="F28" s="10"/>
      <c r="G28" s="2">
        <f t="shared" si="4"/>
        <v>607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607</v>
      </c>
      <c r="D29" s="8"/>
      <c r="E29" s="8"/>
      <c r="F29" s="10"/>
      <c r="G29" s="2">
        <f t="shared" si="4"/>
        <v>607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607</v>
      </c>
      <c r="D30" s="8"/>
      <c r="E30" s="8"/>
      <c r="F30" s="10"/>
      <c r="G30" s="2">
        <f t="shared" si="4"/>
        <v>607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586</v>
      </c>
      <c r="D32" s="8"/>
      <c r="E32" s="8"/>
      <c r="F32" s="10"/>
      <c r="G32" s="2">
        <f t="shared" ref="G32:G40" si="6">IF((C32-D32)&lt;0,0,C32-D32)</f>
        <v>586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586</v>
      </c>
      <c r="D33" s="8"/>
      <c r="E33" s="8"/>
      <c r="F33" s="10"/>
      <c r="G33" s="2">
        <f t="shared" si="6"/>
        <v>586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586</v>
      </c>
      <c r="D34" s="8"/>
      <c r="E34" s="8"/>
      <c r="F34" s="10"/>
      <c r="G34" s="2">
        <f t="shared" si="6"/>
        <v>586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586</v>
      </c>
      <c r="D35" s="8"/>
      <c r="E35" s="8"/>
      <c r="F35" s="10"/>
      <c r="G35" s="2">
        <f t="shared" si="6"/>
        <v>586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586</v>
      </c>
      <c r="D36" s="8"/>
      <c r="E36" s="8"/>
      <c r="F36" s="10"/>
      <c r="G36" s="2">
        <f t="shared" si="6"/>
        <v>586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586</v>
      </c>
      <c r="D37" s="8"/>
      <c r="E37" s="8"/>
      <c r="F37" s="10"/>
      <c r="G37" s="2">
        <f t="shared" si="6"/>
        <v>586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586</v>
      </c>
      <c r="D38" s="8"/>
      <c r="E38" s="8"/>
      <c r="F38" s="10"/>
      <c r="G38" s="2">
        <f t="shared" si="6"/>
        <v>586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586</v>
      </c>
      <c r="D39" s="8"/>
      <c r="E39" s="8"/>
      <c r="F39" s="10"/>
      <c r="G39" s="2">
        <f t="shared" si="6"/>
        <v>586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586</v>
      </c>
      <c r="D40" s="8"/>
      <c r="E40" s="8"/>
      <c r="F40" s="10"/>
      <c r="G40" s="2">
        <f t="shared" si="6"/>
        <v>586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351</v>
      </c>
      <c r="D42" s="1">
        <v>536</v>
      </c>
      <c r="E42" s="1">
        <v>2024</v>
      </c>
      <c r="F42" s="4"/>
      <c r="G42" s="2">
        <f t="shared" ref="G42:G49" si="8">IF((C42-D42)&lt;0,0,C42-D42)</f>
        <v>0</v>
      </c>
      <c r="H42" s="3">
        <f t="shared" ref="H42:H49" si="9">IF((D42-C42)&lt;0,0,D42-C42)</f>
        <v>185</v>
      </c>
    </row>
    <row r="43" spans="1:8" ht="27.75" customHeight="1">
      <c r="A43" s="1" t="s">
        <v>19</v>
      </c>
      <c r="B43" s="7" t="s">
        <v>21</v>
      </c>
      <c r="C43" s="1">
        <v>351</v>
      </c>
      <c r="D43" s="1"/>
      <c r="E43" s="1"/>
      <c r="F43" s="4"/>
      <c r="G43" s="2">
        <f t="shared" si="8"/>
        <v>351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351</v>
      </c>
      <c r="D44" s="1">
        <v>536</v>
      </c>
      <c r="E44" s="1">
        <v>2024</v>
      </c>
      <c r="F44" s="4"/>
      <c r="G44" s="2">
        <f t="shared" si="8"/>
        <v>0</v>
      </c>
      <c r="H44" s="3">
        <f t="shared" si="9"/>
        <v>185</v>
      </c>
    </row>
    <row r="45" spans="1:8" ht="36.75" customHeight="1">
      <c r="A45" s="1" t="s">
        <v>19</v>
      </c>
      <c r="B45" s="7" t="s">
        <v>23</v>
      </c>
      <c r="C45" s="1">
        <v>351</v>
      </c>
      <c r="D45" s="1"/>
      <c r="E45" s="1"/>
      <c r="F45" s="4"/>
      <c r="G45" s="2">
        <f t="shared" si="8"/>
        <v>351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351</v>
      </c>
      <c r="D46" s="1">
        <v>536</v>
      </c>
      <c r="E46" s="1">
        <v>2025</v>
      </c>
      <c r="F46" s="4"/>
      <c r="G46" s="2">
        <f t="shared" si="8"/>
        <v>0</v>
      </c>
      <c r="H46" s="3">
        <f t="shared" si="9"/>
        <v>185</v>
      </c>
    </row>
    <row r="47" spans="1:8" ht="27.75" customHeight="1">
      <c r="A47" s="1" t="s">
        <v>19</v>
      </c>
      <c r="B47" s="7" t="s">
        <v>25</v>
      </c>
      <c r="C47" s="1">
        <v>351</v>
      </c>
      <c r="D47" s="1">
        <v>536</v>
      </c>
      <c r="E47" s="1">
        <v>2025</v>
      </c>
      <c r="F47" s="4"/>
      <c r="G47" s="2">
        <f t="shared" si="8"/>
        <v>0</v>
      </c>
      <c r="H47" s="3">
        <f t="shared" si="9"/>
        <v>185</v>
      </c>
    </row>
    <row r="48" spans="1:8" ht="27.75" customHeight="1">
      <c r="A48" s="1" t="s">
        <v>19</v>
      </c>
      <c r="B48" s="7" t="s">
        <v>26</v>
      </c>
      <c r="C48" s="1">
        <v>351</v>
      </c>
      <c r="D48" s="1">
        <v>536</v>
      </c>
      <c r="E48" s="1">
        <v>2025</v>
      </c>
      <c r="F48" s="4"/>
      <c r="G48" s="2">
        <f t="shared" si="8"/>
        <v>0</v>
      </c>
      <c r="H48" s="3">
        <f t="shared" si="9"/>
        <v>185</v>
      </c>
    </row>
    <row r="49" spans="1:8" ht="27.75" customHeight="1">
      <c r="A49" s="1" t="s">
        <v>19</v>
      </c>
      <c r="B49" s="7" t="s">
        <v>27</v>
      </c>
      <c r="C49" s="1">
        <v>351</v>
      </c>
      <c r="D49" s="1">
        <v>536</v>
      </c>
      <c r="E49" s="1">
        <v>2025</v>
      </c>
      <c r="F49" s="4"/>
      <c r="G49" s="2">
        <f t="shared" si="8"/>
        <v>0</v>
      </c>
      <c r="H49" s="3">
        <f t="shared" si="9"/>
        <v>185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282"/>
  <sheetViews>
    <sheetView zoomScale="55" zoomScaleNormal="55" workbookViewId="0">
      <selection activeCell="AF63" sqref="AF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>IF((D3-E3)&lt;0,0,(D3-E3))</f>
        <v>0</v>
      </c>
      <c r="I3" s="10">
        <f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>IF((J3-K3)&lt;0,0,(J3-K3))</f>
        <v>0</v>
      </c>
      <c r="O3" s="10">
        <f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>IF((P3-Q3)&lt;0,0,(P3-Q3))</f>
        <v>0</v>
      </c>
      <c r="U3" s="10">
        <f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>IF((V3-W3)&lt;0,0,(V3-W3))</f>
        <v>0</v>
      </c>
      <c r="AA3" s="10">
        <f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>IF((D4-E4)&lt;0,0,(D4-E4))</f>
        <v>0</v>
      </c>
      <c r="I4" s="10">
        <f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>IF((J4-K4)&lt;0,0,(J4-K4))</f>
        <v>0</v>
      </c>
      <c r="O4" s="10">
        <f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>IF((P4-Q4)&lt;0,0,(P4-Q4))</f>
        <v>0</v>
      </c>
      <c r="U4" s="10">
        <f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>IF((V4-W4)&lt;0,0,(V4-W4))</f>
        <v>0</v>
      </c>
      <c r="AA4" s="10">
        <f>IF((W4-V4)&lt;0,0,(W4-V4))</f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>IF((D5-E5)&lt;0,0,(D5-E5))</f>
        <v>0</v>
      </c>
      <c r="I5" s="10">
        <f>IF((E5-D5)&lt;0,0,(E5-D5))</f>
        <v>0</v>
      </c>
      <c r="J5" s="10">
        <f>Table14[[#This Row],[Enrolment S.Y. 2025-2026 ]]*8</f>
        <v>0</v>
      </c>
      <c r="K5" s="10"/>
      <c r="L5" s="8"/>
      <c r="M5" s="10"/>
      <c r="N5" s="10">
        <f>IF((J5-K5)&lt;0,0,(J5-K5))</f>
        <v>0</v>
      </c>
      <c r="O5" s="10">
        <f>IF((K5-J5)&lt;0,0,(K5-J5))</f>
        <v>0</v>
      </c>
      <c r="P5" s="10">
        <f>Table14[[#This Row],[Enrolment S.Y. 2025-2026 ]]*8</f>
        <v>0</v>
      </c>
      <c r="Q5" s="10"/>
      <c r="R5" s="8"/>
      <c r="S5" s="10"/>
      <c r="T5" s="10">
        <f>IF((P5-Q5)&lt;0,0,(P5-Q5))</f>
        <v>0</v>
      </c>
      <c r="U5" s="10">
        <f>IF((Q5-P5)&lt;0,0,(Q5-P5))</f>
        <v>0</v>
      </c>
      <c r="V5" s="10">
        <f>Table14[[#This Row],[Enrolment S.Y. 2025-2026 ]]*8</f>
        <v>0</v>
      </c>
      <c r="W5" s="10"/>
      <c r="X5" s="8"/>
      <c r="Y5" s="10"/>
      <c r="Z5" s="10">
        <f>IF((V5-W5)&lt;0,0,(V5-W5))</f>
        <v>0</v>
      </c>
      <c r="AA5" s="10">
        <f>IF((W5-V5)&lt;0,0,(W5-V5))</f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>IF((D6-E6)&lt;0,0,(D6-E6))</f>
        <v>0</v>
      </c>
      <c r="I6" s="10">
        <f>IF((E6-D6)&lt;0,0,(E6-D6))</f>
        <v>0</v>
      </c>
      <c r="J6" s="10">
        <f>Table14[[#This Row],[Enrolment S.Y. 2025-2026 ]]*8</f>
        <v>0</v>
      </c>
      <c r="K6" s="10"/>
      <c r="L6" s="8"/>
      <c r="M6" s="10"/>
      <c r="N6" s="10">
        <f>IF((J6-K6)&lt;0,0,(J6-K6))</f>
        <v>0</v>
      </c>
      <c r="O6" s="10">
        <f>IF((K6-J6)&lt;0,0,(K6-J6))</f>
        <v>0</v>
      </c>
      <c r="P6" s="10">
        <f>Table14[[#This Row],[Enrolment S.Y. 2025-2026 ]]*8</f>
        <v>0</v>
      </c>
      <c r="Q6" s="10"/>
      <c r="R6" s="8"/>
      <c r="S6" s="10"/>
      <c r="T6" s="10">
        <f>IF((P6-Q6)&lt;0,0,(P6-Q6))</f>
        <v>0</v>
      </c>
      <c r="U6" s="10">
        <f>IF((Q6-P6)&lt;0,0,(Q6-P6))</f>
        <v>0</v>
      </c>
      <c r="V6" s="10">
        <f>Table14[[#This Row],[Enrolment S.Y. 2025-2026 ]]*8</f>
        <v>0</v>
      </c>
      <c r="W6" s="10"/>
      <c r="X6" s="8"/>
      <c r="Y6" s="10"/>
      <c r="Z6" s="10">
        <f>IF((V6-W6)&lt;0,0,(V6-W6))</f>
        <v>0</v>
      </c>
      <c r="AA6" s="10">
        <f>IF((W6-V6)&lt;0,0,(W6-V6))</f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>IF((D7-E7)&lt;0,0,(D7-E7))</f>
        <v>0</v>
      </c>
      <c r="I7" s="10">
        <f>IF((E7-D7)&lt;0,0,(E7-D7))</f>
        <v>0</v>
      </c>
      <c r="J7" s="10">
        <f>Table14[[#This Row],[Enrolment S.Y. 2025-2026 ]]*8</f>
        <v>0</v>
      </c>
      <c r="K7" s="10"/>
      <c r="L7" s="8"/>
      <c r="M7" s="10"/>
      <c r="N7" s="10">
        <f>IF((J7-K7)&lt;0,0,(J7-K7))</f>
        <v>0</v>
      </c>
      <c r="O7" s="10">
        <f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>IF((P7-Q7)&lt;0,0,(P7-Q7))</f>
        <v>0</v>
      </c>
      <c r="U7" s="10">
        <f>IF((Q7-P7)&lt;0,0,(Q7-P7))</f>
        <v>0</v>
      </c>
      <c r="V7" s="10">
        <f>Table14[[#This Row],[Enrolment S.Y. 2025-2026 ]]*8</f>
        <v>0</v>
      </c>
      <c r="W7" s="10"/>
      <c r="X7" s="8"/>
      <c r="Y7" s="10"/>
      <c r="Z7" s="10">
        <f>IF((V7-W7)&lt;0,0,(V7-W7))</f>
        <v>0</v>
      </c>
      <c r="AA7" s="10">
        <f>IF((W7-V7)&lt;0,0,(W7-V7))</f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>IF((D8-E8)&lt;0,0,(D8-E8))</f>
        <v>0</v>
      </c>
      <c r="I8" s="10">
        <f>IF((E8-D8)&lt;0,0,(E8-D8))</f>
        <v>0</v>
      </c>
      <c r="J8" s="10">
        <f>Table14[[#This Row],[Enrolment S.Y. 2025-2026 ]]*8</f>
        <v>0</v>
      </c>
      <c r="K8" s="10"/>
      <c r="L8" s="8"/>
      <c r="M8" s="10"/>
      <c r="N8" s="10">
        <f>IF((J8-K8)&lt;0,0,(J8-K8))</f>
        <v>0</v>
      </c>
      <c r="O8" s="10">
        <f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>IF((P8-Q8)&lt;0,0,(P8-Q8))</f>
        <v>0</v>
      </c>
      <c r="U8" s="10">
        <f>IF((Q8-P8)&lt;0,0,(Q8-P8))</f>
        <v>0</v>
      </c>
      <c r="V8" s="10">
        <f>Table14[[#This Row],[Enrolment S.Y. 2025-2026 ]]*8</f>
        <v>0</v>
      </c>
      <c r="W8" s="10"/>
      <c r="X8" s="8"/>
      <c r="Y8" s="10"/>
      <c r="Z8" s="10">
        <f>IF((V8-W8)&lt;0,0,(V8-W8))</f>
        <v>0</v>
      </c>
      <c r="AA8" s="10">
        <f>IF((W8-V8)&lt;0,0,(W8-V8))</f>
        <v>0</v>
      </c>
    </row>
    <row r="9" spans="1:27" ht="19.5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>IF((J9-K9)&lt;0,0,(J9-K9))</f>
        <v>0</v>
      </c>
      <c r="O9" s="10">
        <f>IF((K9-J9)&lt;0,0,(K9-J9))</f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>IF((J10-K10)&lt;0,0,(J10-K10))</f>
        <v>0</v>
      </c>
      <c r="O10" s="10">
        <f>IF((K10-J10)&lt;0,0,(K10-J10))</f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>IF((D11-E11)&lt;0,0,(D11-E11))</f>
        <v>0</v>
      </c>
      <c r="I11" s="10">
        <f>IF((E11-D11)&lt;0,0,(E11-D11))</f>
        <v>0</v>
      </c>
      <c r="J11" s="10">
        <f>Table14[[#This Row],[Enrolment S.Y. 2025-2026 ]]*8</f>
        <v>0</v>
      </c>
      <c r="K11" s="10"/>
      <c r="L11" s="8"/>
      <c r="M11" s="10"/>
      <c r="N11" s="10">
        <f>IF((J11-K11)&lt;0,0,(J11-K11))</f>
        <v>0</v>
      </c>
      <c r="O11" s="10">
        <f>IF((K11-J11)&lt;0,0,(K11-J11))</f>
        <v>0</v>
      </c>
      <c r="P11" s="10">
        <f>Table14[[#This Row],[Enrolment S.Y. 2025-2026 ]]*8</f>
        <v>0</v>
      </c>
      <c r="Q11" s="10"/>
      <c r="R11" s="8"/>
      <c r="S11" s="10"/>
      <c r="T11" s="10">
        <f>IF((P11-Q11)&lt;0,0,(P11-Q11))</f>
        <v>0</v>
      </c>
      <c r="U11" s="10">
        <f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>IF((V11-W11)&lt;0,0,(V11-W11))</f>
        <v>0</v>
      </c>
      <c r="AA11" s="10">
        <f>IF((W11-V11)&lt;0,0,(W11-V11))</f>
        <v>0</v>
      </c>
    </row>
    <row r="12" spans="1:27" ht="19.5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>IF((J12-K12)&lt;0,0,(J12-K12))</f>
        <v>0</v>
      </c>
      <c r="O12" s="10">
        <f>IF((K12-J12)&lt;0,0,(K12-J12))</f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>IF((J13-K13)&lt;0,0,(J13-K13))</f>
        <v>0</v>
      </c>
      <c r="O13" s="10">
        <f>IF((K13-J13)&lt;0,0,(K13-J13))</f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>IF((D15-E15)&lt;0,0,(D15-E15))</f>
        <v>0</v>
      </c>
      <c r="I15" s="10">
        <f>IF((E15-D15)&lt;0,0,(E15-D15))</f>
        <v>0</v>
      </c>
      <c r="J15" s="10">
        <f>Table14[[#This Row],[Enrolment S.Y. 2025-2026 ]]*8</f>
        <v>0</v>
      </c>
      <c r="K15" s="10"/>
      <c r="L15" s="8"/>
      <c r="M15" s="10"/>
      <c r="N15" s="10">
        <f>IF((J15-K15)&lt;0,0,(J15-K15))</f>
        <v>0</v>
      </c>
      <c r="O15" s="10">
        <f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>IF((P15-Q15)&lt;0,0,(P15-Q15))</f>
        <v>0</v>
      </c>
      <c r="U15" s="10">
        <f>IF((Q15-P15)&lt;0,0,(Q15-P15))</f>
        <v>0</v>
      </c>
      <c r="V15" s="10">
        <f>Table14[[#This Row],[Enrolment S.Y. 2025-2026 ]]*8</f>
        <v>0</v>
      </c>
      <c r="W15" s="10"/>
      <c r="X15" s="8"/>
      <c r="Y15" s="10"/>
      <c r="Z15" s="10">
        <f>IF((V15-W15)&lt;0,0,(V15-W15))</f>
        <v>0</v>
      </c>
      <c r="AA15" s="10">
        <f>IF((W15-V15)&lt;0,0,(W15-V15))</f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>IF((D16-E16)&lt;0,0,(D16-E16))</f>
        <v>0</v>
      </c>
      <c r="I16" s="10">
        <f>IF((E16-D16)&lt;0,0,(E16-D16))</f>
        <v>0</v>
      </c>
      <c r="J16" s="10">
        <f>Table14[[#This Row],[Enrolment S.Y. 2025-2026 ]]*8</f>
        <v>0</v>
      </c>
      <c r="K16" s="10"/>
      <c r="L16" s="8"/>
      <c r="M16" s="10"/>
      <c r="N16" s="10">
        <f>IF((J16-K16)&lt;0,0,(J16-K16))</f>
        <v>0</v>
      </c>
      <c r="O16" s="10">
        <f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>IF((P16-Q16)&lt;0,0,(P16-Q16))</f>
        <v>0</v>
      </c>
      <c r="U16" s="10">
        <f>IF((Q16-P16)&lt;0,0,(Q16-P16))</f>
        <v>0</v>
      </c>
      <c r="V16" s="10">
        <f>Table14[[#This Row],[Enrolment S.Y. 2025-2026 ]]*8</f>
        <v>0</v>
      </c>
      <c r="W16" s="10"/>
      <c r="X16" s="8"/>
      <c r="Y16" s="10"/>
      <c r="Z16" s="10">
        <f>IF((V16-W16)&lt;0,0,(V16-W16))</f>
        <v>0</v>
      </c>
      <c r="AA16" s="10">
        <f>IF((W16-V16)&lt;0,0,(W16-V16))</f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>IF((D17-E17)&lt;0,0,(D17-E17))</f>
        <v>0</v>
      </c>
      <c r="I17" s="10">
        <f>IF((E17-D17)&lt;0,0,(E17-D17))</f>
        <v>0</v>
      </c>
      <c r="J17" s="10">
        <f>Table14[[#This Row],[Enrolment S.Y. 2025-2026 ]]*8</f>
        <v>0</v>
      </c>
      <c r="K17" s="10"/>
      <c r="L17" s="8"/>
      <c r="M17" s="10"/>
      <c r="N17" s="10">
        <f>IF((J17-K17)&lt;0,0,(J17-K17))</f>
        <v>0</v>
      </c>
      <c r="O17" s="10">
        <f>IF((K17-J17)&lt;0,0,(K17-J17))</f>
        <v>0</v>
      </c>
      <c r="P17" s="10">
        <f>Table14[[#This Row],[Enrolment S.Y. 2025-2026 ]]*8</f>
        <v>0</v>
      </c>
      <c r="Q17" s="10"/>
      <c r="R17" s="8"/>
      <c r="S17" s="10"/>
      <c r="T17" s="10">
        <f>IF((P17-Q17)&lt;0,0,(P17-Q17))</f>
        <v>0</v>
      </c>
      <c r="U17" s="10">
        <f>IF((Q17-P17)&lt;0,0,(Q17-P17))</f>
        <v>0</v>
      </c>
      <c r="V17" s="10">
        <f>Table14[[#This Row],[Enrolment S.Y. 2025-2026 ]]*8</f>
        <v>0</v>
      </c>
      <c r="W17" s="10"/>
      <c r="X17" s="8"/>
      <c r="Y17" s="10"/>
      <c r="Z17" s="10">
        <f>IF((V17-W17)&lt;0,0,(V17-W17))</f>
        <v>0</v>
      </c>
      <c r="AA17" s="10">
        <f>IF((W17-V17)&lt;0,0,(W17-V17))</f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>IF((D18-E18)&lt;0,0,(D18-E18))</f>
        <v>0</v>
      </c>
      <c r="I18" s="10">
        <f>IF((E18-D18)&lt;0,0,(E18-D18))</f>
        <v>0</v>
      </c>
      <c r="J18" s="10">
        <f>Table14[[#This Row],[Enrolment S.Y. 2025-2026 ]]*8</f>
        <v>0</v>
      </c>
      <c r="K18" s="10"/>
      <c r="L18" s="8"/>
      <c r="M18" s="10"/>
      <c r="N18" s="10">
        <f>IF((J18-K18)&lt;0,0,(J18-K18))</f>
        <v>0</v>
      </c>
      <c r="O18" s="10">
        <f>IF((K18-J18)&lt;0,0,(K18-J18))</f>
        <v>0</v>
      </c>
      <c r="P18" s="10">
        <f>Table14[[#This Row],[Enrolment S.Y. 2025-2026 ]]*8</f>
        <v>0</v>
      </c>
      <c r="Q18" s="10"/>
      <c r="R18" s="8"/>
      <c r="S18" s="10"/>
      <c r="T18" s="10">
        <f>IF((P18-Q18)&lt;0,0,(P18-Q18))</f>
        <v>0</v>
      </c>
      <c r="U18" s="10">
        <f>IF((Q18-P18)&lt;0,0,(Q18-P18))</f>
        <v>0</v>
      </c>
      <c r="V18" s="10">
        <f>Table14[[#This Row],[Enrolment S.Y. 2025-2026 ]]*8</f>
        <v>0</v>
      </c>
      <c r="W18" s="10"/>
      <c r="X18" s="8"/>
      <c r="Y18" s="10"/>
      <c r="Z18" s="10">
        <f>IF((V18-W18)&lt;0,0,(V18-W18))</f>
        <v>0</v>
      </c>
      <c r="AA18" s="10">
        <f>IF((W18-V18)&lt;0,0,(W18-V18))</f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>IF((D19-E19)&lt;0,0,(D19-E19))</f>
        <v>0</v>
      </c>
      <c r="I19" s="10">
        <f>IF((E19-D19)&lt;0,0,(E19-D19))</f>
        <v>0</v>
      </c>
      <c r="J19" s="10">
        <f>Table14[[#This Row],[Enrolment S.Y. 2025-2026 ]]*8</f>
        <v>0</v>
      </c>
      <c r="K19" s="10"/>
      <c r="L19" s="8"/>
      <c r="M19" s="10"/>
      <c r="N19" s="10">
        <f>IF((J19-K19)&lt;0,0,(J19-K19))</f>
        <v>0</v>
      </c>
      <c r="O19" s="10">
        <f>IF((K19-J19)&lt;0,0,(K19-J19))</f>
        <v>0</v>
      </c>
      <c r="P19" s="10">
        <f>Table14[[#This Row],[Enrolment S.Y. 2025-2026 ]]*8</f>
        <v>0</v>
      </c>
      <c r="Q19" s="10"/>
      <c r="R19" s="8"/>
      <c r="S19" s="10"/>
      <c r="T19" s="10">
        <f>IF((P19-Q19)&lt;0,0,(P19-Q19))</f>
        <v>0</v>
      </c>
      <c r="U19" s="10">
        <f>IF((Q19-P19)&lt;0,0,(Q19-P19))</f>
        <v>0</v>
      </c>
      <c r="V19" s="10">
        <f>Table14[[#This Row],[Enrolment S.Y. 2025-2026 ]]*8</f>
        <v>0</v>
      </c>
      <c r="W19" s="10"/>
      <c r="X19" s="8"/>
      <c r="Y19" s="10"/>
      <c r="Z19" s="10">
        <f>IF((V19-W19)&lt;0,0,(V19-W19))</f>
        <v>0</v>
      </c>
      <c r="AA19" s="10">
        <f>IF((W19-V19)&lt;0,0,(W19-V19))</f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>IF((D20-E20)&lt;0,0,(D20-E20))</f>
        <v>0</v>
      </c>
      <c r="I20" s="10">
        <f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>IF((J20-K20)&lt;0,0,(J20-K20))</f>
        <v>0</v>
      </c>
      <c r="O20" s="10">
        <f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>IF((P20-Q20)&lt;0,0,(P20-Q20))</f>
        <v>0</v>
      </c>
      <c r="U20" s="10">
        <f>IF((Q20-P20)&lt;0,0,(Q20-P20))</f>
        <v>0</v>
      </c>
      <c r="V20" s="10">
        <f>Table14[[#This Row],[Enrolment S.Y. 2025-2026 ]]*8</f>
        <v>0</v>
      </c>
      <c r="W20" s="10"/>
      <c r="X20" s="8"/>
      <c r="Y20" s="10"/>
      <c r="Z20" s="10">
        <f>IF((V20-W20)&lt;0,0,(V20-W20))</f>
        <v>0</v>
      </c>
      <c r="AA20" s="10">
        <f>IF((W20-V20)&lt;0,0,(W20-V20))</f>
        <v>0</v>
      </c>
    </row>
    <row r="21" spans="1:27" ht="19.5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>IF((J21-K21)&lt;0,0,(J21-K21))</f>
        <v>0</v>
      </c>
      <c r="O21" s="10">
        <f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>IF((J22-K22)&lt;0,0,(J22-K22))</f>
        <v>0</v>
      </c>
      <c r="O22" s="10">
        <f>IF((K22-J22)&lt;0,0,(K22-J22))</f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>IF((D23-E23)&lt;0,0,(D23-E23))</f>
        <v>0</v>
      </c>
      <c r="I23" s="10">
        <f>IF((E23-D23)&lt;0,0,(E23-D23))</f>
        <v>0</v>
      </c>
      <c r="J23" s="10">
        <f>Table14[[#This Row],[Enrolment S.Y. 2025-2026 ]]*8</f>
        <v>0</v>
      </c>
      <c r="K23" s="10"/>
      <c r="L23" s="8"/>
      <c r="M23" s="10"/>
      <c r="N23" s="10">
        <f>IF((J23-K23)&lt;0,0,(J23-K23))</f>
        <v>0</v>
      </c>
      <c r="O23" s="10">
        <f>IF((K23-J23)&lt;0,0,(K23-J23))</f>
        <v>0</v>
      </c>
      <c r="P23" s="10">
        <f>Table14[[#This Row],[Enrolment S.Y. 2025-2026 ]]*8</f>
        <v>0</v>
      </c>
      <c r="Q23" s="10"/>
      <c r="R23" s="8"/>
      <c r="S23" s="10"/>
      <c r="T23" s="10">
        <f>IF((P23-Q23)&lt;0,0,(P23-Q23))</f>
        <v>0</v>
      </c>
      <c r="U23" s="10">
        <f>IF((Q23-P23)&lt;0,0,(Q23-P23))</f>
        <v>0</v>
      </c>
      <c r="V23" s="10">
        <f>Table14[[#This Row],[Enrolment S.Y. 2025-2026 ]]*8</f>
        <v>0</v>
      </c>
      <c r="W23" s="10"/>
      <c r="X23" s="8"/>
      <c r="Y23" s="10"/>
      <c r="Z23" s="10">
        <f>IF((V23-W23)&lt;0,0,(V23-W23))</f>
        <v>0</v>
      </c>
      <c r="AA23" s="10">
        <f>IF((W23-V23)&lt;0,0,(W23-V23))</f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>IF((J24-K24)&lt;0,0,(J24-K24))</f>
        <v>0</v>
      </c>
      <c r="O24" s="10">
        <f>IF((K24-J24)&lt;0,0,(K24-J24))</f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>IF((J25-K25)&lt;0,0,(J25-K25))</f>
        <v>0</v>
      </c>
      <c r="O25" s="10">
        <f>IF((K25-J25)&lt;0,0,(K25-J25))</f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>IF((D27-E27)&lt;0,0,(D27-E27))</f>
        <v>0</v>
      </c>
      <c r="I27" s="10">
        <f>IF((E27-D27)&lt;0,0,(E27-D27))</f>
        <v>0</v>
      </c>
      <c r="J27" s="10">
        <f>Table14[[#This Row],[Enrolment S.Y. 2025-2026 ]]*8</f>
        <v>0</v>
      </c>
      <c r="K27" s="10"/>
      <c r="L27" s="8"/>
      <c r="M27" s="10"/>
      <c r="N27" s="10">
        <f>IF((J27-K27)&lt;0,0,(J27-K27))</f>
        <v>0</v>
      </c>
      <c r="O27" s="10">
        <f>IF((K27-J27)&lt;0,0,(K27-J27))</f>
        <v>0</v>
      </c>
      <c r="P27" s="10">
        <f>Table14[[#This Row],[Enrolment S.Y. 2025-2026 ]]*8</f>
        <v>0</v>
      </c>
      <c r="Q27" s="10"/>
      <c r="R27" s="8"/>
      <c r="S27" s="10"/>
      <c r="T27" s="10">
        <f>IF((P27-Q27)&lt;0,0,(P27-Q27))</f>
        <v>0</v>
      </c>
      <c r="U27" s="10">
        <f>IF((Q27-P27)&lt;0,0,(Q27-P27))</f>
        <v>0</v>
      </c>
      <c r="V27" s="10">
        <f>Table14[[#This Row],[Enrolment S.Y. 2025-2026 ]]*8</f>
        <v>0</v>
      </c>
      <c r="W27" s="10"/>
      <c r="X27" s="8"/>
      <c r="Y27" s="10"/>
      <c r="Z27" s="10">
        <f>IF((V27-W27)&lt;0,0,(V27-W27))</f>
        <v>0</v>
      </c>
      <c r="AA27" s="10">
        <f>IF((W27-V27)&lt;0,0,(W27-V27))</f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>IF((D28-E28)&lt;0,0,(D28-E28))</f>
        <v>0</v>
      </c>
      <c r="I28" s="10">
        <f>IF((E28-D28)&lt;0,0,(E28-D28))</f>
        <v>0</v>
      </c>
      <c r="J28" s="10">
        <f>Table14[[#This Row],[Enrolment S.Y. 2025-2026 ]]*8</f>
        <v>0</v>
      </c>
      <c r="K28" s="10"/>
      <c r="L28" s="8"/>
      <c r="M28" s="10"/>
      <c r="N28" s="10">
        <f>IF((J28-K28)&lt;0,0,(J28-K28))</f>
        <v>0</v>
      </c>
      <c r="O28" s="10">
        <f>IF((K28-J28)&lt;0,0,(K28-J28))</f>
        <v>0</v>
      </c>
      <c r="P28" s="10">
        <f>Table14[[#This Row],[Enrolment S.Y. 2025-2026 ]]*8</f>
        <v>0</v>
      </c>
      <c r="Q28" s="10"/>
      <c r="R28" s="8"/>
      <c r="S28" s="10"/>
      <c r="T28" s="10">
        <f>IF((P28-Q28)&lt;0,0,(P28-Q28))</f>
        <v>0</v>
      </c>
      <c r="U28" s="10">
        <f>IF((Q28-P28)&lt;0,0,(Q28-P28))</f>
        <v>0</v>
      </c>
      <c r="V28" s="10">
        <f>Table14[[#This Row],[Enrolment S.Y. 2025-2026 ]]*8</f>
        <v>0</v>
      </c>
      <c r="W28" s="10"/>
      <c r="X28" s="8"/>
      <c r="Y28" s="10"/>
      <c r="Z28" s="10">
        <f>IF((V28-W28)&lt;0,0,(V28-W28))</f>
        <v>0</v>
      </c>
      <c r="AA28" s="10">
        <f>IF((W28-V28)&lt;0,0,(W28-V28))</f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>IF((D29-E29)&lt;0,0,(D29-E29))</f>
        <v>0</v>
      </c>
      <c r="I29" s="10">
        <f>IF((E29-D29)&lt;0,0,(E29-D29))</f>
        <v>0</v>
      </c>
      <c r="J29" s="10">
        <f>Table14[[#This Row],[Enrolment S.Y. 2025-2026 ]]*8</f>
        <v>0</v>
      </c>
      <c r="K29" s="10"/>
      <c r="L29" s="8"/>
      <c r="M29" s="10"/>
      <c r="N29" s="10">
        <f>IF((J29-K29)&lt;0,0,(J29-K29))</f>
        <v>0</v>
      </c>
      <c r="O29" s="10">
        <f>IF((K29-J29)&lt;0,0,(K29-J29))</f>
        <v>0</v>
      </c>
      <c r="P29" s="10">
        <f>Table14[[#This Row],[Enrolment S.Y. 2025-2026 ]]*8</f>
        <v>0</v>
      </c>
      <c r="Q29" s="10"/>
      <c r="R29" s="8"/>
      <c r="S29" s="10"/>
      <c r="T29" s="10">
        <f>IF((P29-Q29)&lt;0,0,(P29-Q29))</f>
        <v>0</v>
      </c>
      <c r="U29" s="10">
        <f>IF((Q29-P29)&lt;0,0,(Q29-P29))</f>
        <v>0</v>
      </c>
      <c r="V29" s="10">
        <f>Table14[[#This Row],[Enrolment S.Y. 2025-2026 ]]*8</f>
        <v>0</v>
      </c>
      <c r="W29" s="10"/>
      <c r="X29" s="8"/>
      <c r="Y29" s="10"/>
      <c r="Z29" s="10">
        <f>IF((V29-W29)&lt;0,0,(V29-W29))</f>
        <v>0</v>
      </c>
      <c r="AA29" s="10">
        <f>IF((W29-V29)&lt;0,0,(W29-V29))</f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>IF((D30-E30)&lt;0,0,(D30-E30))</f>
        <v>0</v>
      </c>
      <c r="I30" s="10">
        <f>IF((E30-D30)&lt;0,0,(E30-D30))</f>
        <v>0</v>
      </c>
      <c r="J30" s="10">
        <f>Table14[[#This Row],[Enrolment S.Y. 2025-2026 ]]*8</f>
        <v>0</v>
      </c>
      <c r="K30" s="10"/>
      <c r="L30" s="8"/>
      <c r="M30" s="10"/>
      <c r="N30" s="10">
        <f>IF((J30-K30)&lt;0,0,(J30-K30))</f>
        <v>0</v>
      </c>
      <c r="O30" s="10">
        <f>IF((K30-J30)&lt;0,0,(K30-J30))</f>
        <v>0</v>
      </c>
      <c r="P30" s="10">
        <f>Table14[[#This Row],[Enrolment S.Y. 2025-2026 ]]*8</f>
        <v>0</v>
      </c>
      <c r="Q30" s="10"/>
      <c r="R30" s="8"/>
      <c r="S30" s="10"/>
      <c r="T30" s="10">
        <f>IF((P30-Q30)&lt;0,0,(P30-Q30))</f>
        <v>0</v>
      </c>
      <c r="U30" s="10">
        <f>IF((Q30-P30)&lt;0,0,(Q30-P30))</f>
        <v>0</v>
      </c>
      <c r="V30" s="10">
        <f>Table14[[#This Row],[Enrolment S.Y. 2025-2026 ]]*8</f>
        <v>0</v>
      </c>
      <c r="W30" s="10"/>
      <c r="X30" s="8"/>
      <c r="Y30" s="10"/>
      <c r="Z30" s="10">
        <f>IF((V30-W30)&lt;0,0,(V30-W30))</f>
        <v>0</v>
      </c>
      <c r="AA30" s="10">
        <f>IF((W30-V30)&lt;0,0,(W30-V30))</f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>IF((D31-E31)&lt;0,0,(D31-E31))</f>
        <v>0</v>
      </c>
      <c r="I31" s="10">
        <f>IF((E31-D31)&lt;0,0,(E31-D31))</f>
        <v>0</v>
      </c>
      <c r="J31" s="10">
        <f>Table14[[#This Row],[Enrolment S.Y. 2025-2026 ]]*8</f>
        <v>0</v>
      </c>
      <c r="K31" s="10"/>
      <c r="L31" s="8"/>
      <c r="M31" s="10"/>
      <c r="N31" s="10">
        <f>IF((J31-K31)&lt;0,0,(J31-K31))</f>
        <v>0</v>
      </c>
      <c r="O31" s="10">
        <f>IF((K31-J31)&lt;0,0,(K31-J31))</f>
        <v>0</v>
      </c>
      <c r="P31" s="10">
        <f>Table14[[#This Row],[Enrolment S.Y. 2025-2026 ]]*8</f>
        <v>0</v>
      </c>
      <c r="Q31" s="10"/>
      <c r="R31" s="8"/>
      <c r="S31" s="10"/>
      <c r="T31" s="10">
        <f>IF((P31-Q31)&lt;0,0,(P31-Q31))</f>
        <v>0</v>
      </c>
      <c r="U31" s="10">
        <f>IF((Q31-P31)&lt;0,0,(Q31-P31))</f>
        <v>0</v>
      </c>
      <c r="V31" s="10">
        <f>Table14[[#This Row],[Enrolment S.Y. 2025-2026 ]]*8</f>
        <v>0</v>
      </c>
      <c r="W31" s="10"/>
      <c r="X31" s="8"/>
      <c r="Y31" s="10"/>
      <c r="Z31" s="10">
        <f>IF((V31-W31)&lt;0,0,(V31-W31))</f>
        <v>0</v>
      </c>
      <c r="AA31" s="10">
        <f>IF((W31-V31)&lt;0,0,(W31-V31))</f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>IF((D32-E32)&lt;0,0,(D32-E32))</f>
        <v>0</v>
      </c>
      <c r="I32" s="10">
        <f>IF((E32-D32)&lt;0,0,(E32-D32))</f>
        <v>0</v>
      </c>
      <c r="J32" s="10">
        <f>Table14[[#This Row],[Enrolment S.Y. 2025-2026 ]]*8</f>
        <v>0</v>
      </c>
      <c r="K32" s="10"/>
      <c r="L32" s="8"/>
      <c r="M32" s="10"/>
      <c r="N32" s="10">
        <f>IF((J32-K32)&lt;0,0,(J32-K32))</f>
        <v>0</v>
      </c>
      <c r="O32" s="10">
        <f>IF((K32-J32)&lt;0,0,(K32-J32))</f>
        <v>0</v>
      </c>
      <c r="P32" s="10">
        <f>Table14[[#This Row],[Enrolment S.Y. 2025-2026 ]]*8</f>
        <v>0</v>
      </c>
      <c r="Q32" s="10"/>
      <c r="R32" s="8"/>
      <c r="S32" s="10"/>
      <c r="T32" s="10">
        <f>IF((P32-Q32)&lt;0,0,(P32-Q32))</f>
        <v>0</v>
      </c>
      <c r="U32" s="10">
        <f>IF((Q32-P32)&lt;0,0,(Q32-P32))</f>
        <v>0</v>
      </c>
      <c r="V32" s="10">
        <f>Table14[[#This Row],[Enrolment S.Y. 2025-2026 ]]*8</f>
        <v>0</v>
      </c>
      <c r="W32" s="10"/>
      <c r="X32" s="8"/>
      <c r="Y32" s="10"/>
      <c r="Z32" s="10">
        <f>IF((V32-W32)&lt;0,0,(V32-W32))</f>
        <v>0</v>
      </c>
      <c r="AA32" s="10">
        <f>IF((W32-V32)&lt;0,0,(W32-V32))</f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Table14[[#This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Table14[[#This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Table14[[#This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Table14[[#This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Table14[[#This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Table14[[#This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Table14[[#This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Table14[[#This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Table14[[#This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Table14[[#This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Table14[[#This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Table14[[#This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Table14[[#This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Table14[[#This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Table14[[#This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Table14[[#This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Table14[[#This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Table14[[#This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Table14[[#This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Table14[[#This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Table14[[#This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>IF((J45-K45)&lt;0,0,(J45-K45))</f>
        <v>0</v>
      </c>
      <c r="O45" s="10">
        <f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>IF((J46-K46)&lt;0,0,(J46-K46))</f>
        <v>0</v>
      </c>
      <c r="O46" s="10">
        <f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>IF((D47-E47)&lt;0,0,(D47-E47))</f>
        <v>0</v>
      </c>
      <c r="I47" s="10">
        <f>IF((E47-D47)&lt;0,0,(E47-D47))</f>
        <v>0</v>
      </c>
      <c r="J47" s="10">
        <f>Table14[[#This Row],[Enrolment S.Y. 2025-2026 ]]*8</f>
        <v>0</v>
      </c>
      <c r="K47" s="10"/>
      <c r="L47" s="8"/>
      <c r="M47" s="10"/>
      <c r="N47" s="10">
        <f>IF((J47-K47)&lt;0,0,(J47-K47))</f>
        <v>0</v>
      </c>
      <c r="O47" s="10">
        <f>IF((K47-J47)&lt;0,0,(K47-J47))</f>
        <v>0</v>
      </c>
      <c r="P47" s="10">
        <f>Table14[[#This Row],[Enrolment S.Y. 2025-2026 ]]*8</f>
        <v>0</v>
      </c>
      <c r="Q47" s="10"/>
      <c r="R47" s="8"/>
      <c r="S47" s="10"/>
      <c r="T47" s="10">
        <f>IF((P47-Q47)&lt;0,0,(P47-Q47))</f>
        <v>0</v>
      </c>
      <c r="U47" s="10">
        <f>IF((Q47-P47)&lt;0,0,(Q47-P47))</f>
        <v>0</v>
      </c>
      <c r="V47" s="10">
        <f>Table14[[#This Row],[Enrolment S.Y. 2025-2026 ]]*8</f>
        <v>0</v>
      </c>
      <c r="W47" s="10"/>
      <c r="X47" s="8"/>
      <c r="Y47" s="10"/>
      <c r="Z47" s="10">
        <f>IF((V47-W47)&lt;0,0,(V47-W47))</f>
        <v>0</v>
      </c>
      <c r="AA47" s="10">
        <f>IF((W47-V47)&lt;0,0,(W47-V47))</f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>IF((J48-K48)&lt;0,0,(J48-K48))</f>
        <v>0</v>
      </c>
      <c r="O48" s="10">
        <f>IF((K48-J48)&lt;0,0,(K48-J48))</f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>IF((J49-K49)&lt;0,0,(J49-K49))</f>
        <v>0</v>
      </c>
      <c r="O49" s="10">
        <f>IF((K49-J49)&lt;0,0,(K49-J49))</f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ref="H51:H58" si="0">IF((D51-E51)&lt;0,0,(D51-E51))</f>
        <v>0</v>
      </c>
      <c r="I51" s="4">
        <f t="shared" ref="I51:I58" si="1">IF((E51-D51)&lt;0,0,(E51-D51))</f>
        <v>0</v>
      </c>
      <c r="J51" s="4">
        <f>Table14[[#This Row],[Enrolment S.Y. 2025-2026 ]]*8</f>
        <v>0</v>
      </c>
      <c r="K51" s="4"/>
      <c r="L51" s="1"/>
      <c r="M51" s="4"/>
      <c r="N51" s="4">
        <f t="shared" ref="N51:N58" si="2">IF((J51-K51)&lt;0,0,(J51-K51))</f>
        <v>0</v>
      </c>
      <c r="O51" s="4">
        <f t="shared" ref="O51:O58" si="3">IF((K51-J51)&lt;0,0,(K51-J51))</f>
        <v>0</v>
      </c>
      <c r="P51" s="4">
        <f>Table14[[#This Row],[Enrolment S.Y. 2025-2026 ]]*8</f>
        <v>0</v>
      </c>
      <c r="Q51" s="4"/>
      <c r="R51" s="1"/>
      <c r="S51" s="4"/>
      <c r="T51" s="4">
        <f t="shared" ref="T51:T58" si="4">IF((P51-Q51)&lt;0,0,(P51-Q51))</f>
        <v>0</v>
      </c>
      <c r="U51" s="4">
        <f t="shared" ref="U51:U58" si="5">IF((Q51-P51)&lt;0,0,(Q51-P51))</f>
        <v>0</v>
      </c>
      <c r="V51" s="4">
        <f>Table14[[#This Row],[Enrolment S.Y. 2025-2026 ]]*8</f>
        <v>0</v>
      </c>
      <c r="W51" s="4"/>
      <c r="X51" s="1"/>
      <c r="Y51" s="4"/>
      <c r="Z51" s="4">
        <f t="shared" ref="Z51:Z58" si="6">IF((V51-W51)&lt;0,0,(V51-W51))</f>
        <v>0</v>
      </c>
      <c r="AA51" s="4">
        <f t="shared" ref="AA51:AA58" si="7">IF((W51-V51)&lt;0,0,(W51-V51))</f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0"/>
        <v>0</v>
      </c>
      <c r="I52" s="4">
        <f t="shared" si="1"/>
        <v>0</v>
      </c>
      <c r="J52" s="4">
        <f>Table14[[#This Row],[Enrolment S.Y. 2025-2026 ]]*8</f>
        <v>0</v>
      </c>
      <c r="K52" s="4"/>
      <c r="L52" s="1"/>
      <c r="M52" s="4"/>
      <c r="N52" s="4">
        <f t="shared" si="2"/>
        <v>0</v>
      </c>
      <c r="O52" s="4">
        <f t="shared" si="3"/>
        <v>0</v>
      </c>
      <c r="P52" s="4">
        <f>Table14[[#This Row],[Enrolment S.Y. 2025-2026 ]]*8</f>
        <v>0</v>
      </c>
      <c r="Q52" s="4"/>
      <c r="R52" s="1"/>
      <c r="S52" s="4"/>
      <c r="T52" s="4">
        <f t="shared" si="4"/>
        <v>0</v>
      </c>
      <c r="U52" s="4">
        <f t="shared" si="5"/>
        <v>0</v>
      </c>
      <c r="V52" s="4">
        <f>Table14[[#This Row],[Enrolment S.Y. 2025-2026 ]]*8</f>
        <v>0</v>
      </c>
      <c r="W52" s="4"/>
      <c r="X52" s="1"/>
      <c r="Y52" s="4"/>
      <c r="Z52" s="4">
        <f t="shared" si="6"/>
        <v>0</v>
      </c>
      <c r="AA52" s="4">
        <f t="shared" si="7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0"/>
        <v>0</v>
      </c>
      <c r="I53" s="4">
        <f t="shared" si="1"/>
        <v>0</v>
      </c>
      <c r="J53" s="4">
        <f>Table14[[#This Row],[Enrolment S.Y. 2025-2026 ]]*8</f>
        <v>0</v>
      </c>
      <c r="K53" s="4"/>
      <c r="L53" s="1"/>
      <c r="M53" s="4"/>
      <c r="N53" s="4">
        <f t="shared" si="2"/>
        <v>0</v>
      </c>
      <c r="O53" s="4">
        <f t="shared" si="3"/>
        <v>0</v>
      </c>
      <c r="P53" s="4">
        <f>Table14[[#This Row],[Enrolment S.Y. 2025-2026 ]]*8</f>
        <v>0</v>
      </c>
      <c r="Q53" s="4"/>
      <c r="R53" s="1"/>
      <c r="S53" s="4"/>
      <c r="T53" s="4">
        <f t="shared" si="4"/>
        <v>0</v>
      </c>
      <c r="U53" s="4">
        <f t="shared" si="5"/>
        <v>0</v>
      </c>
      <c r="V53" s="4">
        <f>Table14[[#This Row],[Enrolment S.Y. 2025-2026 ]]*8</f>
        <v>0</v>
      </c>
      <c r="W53" s="4"/>
      <c r="X53" s="1"/>
      <c r="Y53" s="4"/>
      <c r="Z53" s="4">
        <f t="shared" si="6"/>
        <v>0</v>
      </c>
      <c r="AA53" s="4">
        <f t="shared" si="7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0"/>
        <v>0</v>
      </c>
      <c r="I54" s="4">
        <f t="shared" si="1"/>
        <v>0</v>
      </c>
      <c r="J54" s="4">
        <f>Table14[[#This Row],[Enrolment S.Y. 2025-2026 ]]*8</f>
        <v>0</v>
      </c>
      <c r="K54" s="4"/>
      <c r="L54" s="1"/>
      <c r="M54" s="4"/>
      <c r="N54" s="4">
        <f t="shared" si="2"/>
        <v>0</v>
      </c>
      <c r="O54" s="4">
        <f t="shared" si="3"/>
        <v>0</v>
      </c>
      <c r="P54" s="4">
        <f>Table14[[#This Row],[Enrolment S.Y. 2025-2026 ]]*8</f>
        <v>0</v>
      </c>
      <c r="Q54" s="4"/>
      <c r="R54" s="1"/>
      <c r="S54" s="4"/>
      <c r="T54" s="4">
        <f t="shared" si="4"/>
        <v>0</v>
      </c>
      <c r="U54" s="4">
        <f t="shared" si="5"/>
        <v>0</v>
      </c>
      <c r="V54" s="4">
        <f>Table14[[#This Row],[Enrolment S.Y. 2025-2026 ]]*8</f>
        <v>0</v>
      </c>
      <c r="W54" s="4"/>
      <c r="X54" s="1"/>
      <c r="Y54" s="4"/>
      <c r="Z54" s="4">
        <f t="shared" si="6"/>
        <v>0</v>
      </c>
      <c r="AA54" s="4">
        <f t="shared" si="7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0"/>
        <v>0</v>
      </c>
      <c r="I55" s="4">
        <f t="shared" si="1"/>
        <v>0</v>
      </c>
      <c r="J55" s="4">
        <f>Table14[[#This Row],[Enrolment S.Y. 2025-2026 ]]*8</f>
        <v>0</v>
      </c>
      <c r="K55" s="4"/>
      <c r="L55" s="1"/>
      <c r="M55" s="4"/>
      <c r="N55" s="4">
        <f t="shared" si="2"/>
        <v>0</v>
      </c>
      <c r="O55" s="4">
        <f t="shared" si="3"/>
        <v>0</v>
      </c>
      <c r="P55" s="4">
        <f>Table14[[#This Row],[Enrolment S.Y. 2025-2026 ]]*8</f>
        <v>0</v>
      </c>
      <c r="Q55" s="4"/>
      <c r="R55" s="1"/>
      <c r="S55" s="4"/>
      <c r="T55" s="4">
        <f t="shared" si="4"/>
        <v>0</v>
      </c>
      <c r="U55" s="4">
        <f t="shared" si="5"/>
        <v>0</v>
      </c>
      <c r="V55" s="4">
        <f>Table14[[#This Row],[Enrolment S.Y. 2025-2026 ]]*8</f>
        <v>0</v>
      </c>
      <c r="W55" s="4"/>
      <c r="X55" s="1"/>
      <c r="Y55" s="4"/>
      <c r="Z55" s="4">
        <f t="shared" si="6"/>
        <v>0</v>
      </c>
      <c r="AA55" s="4">
        <f t="shared" si="7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0"/>
        <v>0</v>
      </c>
      <c r="I56" s="4">
        <f t="shared" si="1"/>
        <v>0</v>
      </c>
      <c r="J56" s="4">
        <f>Table14[[#This Row],[Enrolment S.Y. 2025-2026 ]]*8</f>
        <v>0</v>
      </c>
      <c r="K56" s="4"/>
      <c r="L56" s="1"/>
      <c r="M56" s="4"/>
      <c r="N56" s="4">
        <f t="shared" si="2"/>
        <v>0</v>
      </c>
      <c r="O56" s="4">
        <f t="shared" si="3"/>
        <v>0</v>
      </c>
      <c r="P56" s="4">
        <f>Table14[[#This Row],[Enrolment S.Y. 2025-2026 ]]*8</f>
        <v>0</v>
      </c>
      <c r="Q56" s="4"/>
      <c r="R56" s="1"/>
      <c r="S56" s="4"/>
      <c r="T56" s="4">
        <f t="shared" si="4"/>
        <v>0</v>
      </c>
      <c r="U56" s="4">
        <f t="shared" si="5"/>
        <v>0</v>
      </c>
      <c r="V56" s="4">
        <f>Table14[[#This Row],[Enrolment S.Y. 2025-2026 ]]*8</f>
        <v>0</v>
      </c>
      <c r="W56" s="4"/>
      <c r="X56" s="1"/>
      <c r="Y56" s="4"/>
      <c r="Z56" s="4">
        <f t="shared" si="6"/>
        <v>0</v>
      </c>
      <c r="AA56" s="4">
        <f t="shared" si="7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0"/>
        <v>0</v>
      </c>
      <c r="I57" s="4">
        <f t="shared" si="1"/>
        <v>0</v>
      </c>
      <c r="J57" s="4">
        <f>Table14[[#This Row],[Enrolment S.Y. 2025-2026 ]]*8</f>
        <v>0</v>
      </c>
      <c r="K57" s="4"/>
      <c r="L57" s="1"/>
      <c r="M57" s="4"/>
      <c r="N57" s="4">
        <f t="shared" si="2"/>
        <v>0</v>
      </c>
      <c r="O57" s="4">
        <f t="shared" si="3"/>
        <v>0</v>
      </c>
      <c r="P57" s="4">
        <f>Table14[[#This Row],[Enrolment S.Y. 2025-2026 ]]*8</f>
        <v>0</v>
      </c>
      <c r="Q57" s="4"/>
      <c r="R57" s="1"/>
      <c r="S57" s="4"/>
      <c r="T57" s="4">
        <f t="shared" si="4"/>
        <v>0</v>
      </c>
      <c r="U57" s="4">
        <f t="shared" si="5"/>
        <v>0</v>
      </c>
      <c r="V57" s="4">
        <f>Table14[[#This Row],[Enrolment S.Y. 2025-2026 ]]*8</f>
        <v>0</v>
      </c>
      <c r="W57" s="4"/>
      <c r="X57" s="1"/>
      <c r="Y57" s="4"/>
      <c r="Z57" s="4">
        <f t="shared" si="6"/>
        <v>0</v>
      </c>
      <c r="AA57" s="4">
        <f t="shared" si="7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0"/>
        <v>0</v>
      </c>
      <c r="I58" s="4">
        <f t="shared" si="1"/>
        <v>0</v>
      </c>
      <c r="J58" s="4">
        <f>Table14[[#This Row],[Enrolment S.Y. 2025-2026 ]]*8</f>
        <v>0</v>
      </c>
      <c r="K58" s="4"/>
      <c r="L58" s="1"/>
      <c r="M58" s="4"/>
      <c r="N58" s="4">
        <f t="shared" si="2"/>
        <v>0</v>
      </c>
      <c r="O58" s="4">
        <f t="shared" si="3"/>
        <v>0</v>
      </c>
      <c r="P58" s="4">
        <f>Table14[[#This Row],[Enrolment S.Y. 2025-2026 ]]*8</f>
        <v>0</v>
      </c>
      <c r="Q58" s="4"/>
      <c r="R58" s="1"/>
      <c r="S58" s="4"/>
      <c r="T58" s="4">
        <f t="shared" si="4"/>
        <v>0</v>
      </c>
      <c r="U58" s="4">
        <f t="shared" si="5"/>
        <v>0</v>
      </c>
      <c r="V58" s="4">
        <f>Table14[[#This Row],[Enrolment S.Y. 2025-2026 ]]*8</f>
        <v>0</v>
      </c>
      <c r="W58" s="4"/>
      <c r="X58" s="1"/>
      <c r="Y58" s="4"/>
      <c r="Z58" s="4">
        <f t="shared" si="6"/>
        <v>0</v>
      </c>
      <c r="AA58" s="4">
        <f t="shared" si="7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2026-04-15T02:51:26Z</dcterms:modified>
  <cp:category/>
  <cp:contentStatus/>
</cp:coreProperties>
</file>