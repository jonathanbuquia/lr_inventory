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54" documentId="13_ncr:1_{BFB59F67-F0DC-4675-A682-EB0734A8026A}" xr6:coauthVersionLast="47" xr6:coauthVersionMax="47" xr10:uidLastSave="{B6EA97A7-08C6-41A3-80D1-DA89D825EAB2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definedNames>
    <definedName name="_xlnm._FilterDatabase" localSheetId="0" hidden="1">TextBooks!$K$63:$K$63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<sst xmlns="http://schemas.openxmlformats.org/spreadsheetml/2006/main" count="398" uniqueCount="91">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</sst>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ySplit="1" topLeftCell="A83" activePane="bottomLeft" state="frozen"/>
      <selection pane="bottomLeft" activeCell="E91" sqref="E91:E98"/>
    </sheetView>
  </sheetViews>
  <sheetFormatPr defaultRowHeight="13.9"/>
  <cols>
    <col min="1" max="1" width="10.140625" bestFit="1" customWidth="1"/>
    <col min="2" max="12" width="25.28515625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886</v>
      </c>
      <c r="D51" s="10">
        <v>945</v>
      </c>
      <c r="E51" s="10">
        <v>2025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59</v>
      </c>
    </row>
    <row r="52" spans="1:8" ht="27.75" customHeight="1">
      <c r="A52" s="10">
        <v>7</v>
      </c>
      <c r="B52" s="11" t="s">
        <v>15</v>
      </c>
      <c r="C52" s="10">
        <v>886</v>
      </c>
      <c r="D52" s="10">
        <v>945</v>
      </c>
      <c r="E52" s="10">
        <v>2025</v>
      </c>
      <c r="F52" s="12" t="s">
        <v>20</v>
      </c>
      <c r="G52" s="3">
        <f t="shared" si="10"/>
        <v>0</v>
      </c>
      <c r="H52" s="4">
        <f t="shared" si="11"/>
        <v>59</v>
      </c>
    </row>
    <row r="53" spans="1:8" ht="27.75" customHeight="1">
      <c r="A53" s="10">
        <v>7</v>
      </c>
      <c r="B53" s="11" t="s">
        <v>12</v>
      </c>
      <c r="C53" s="10">
        <v>886</v>
      </c>
      <c r="D53" s="10">
        <v>945</v>
      </c>
      <c r="E53" s="10">
        <v>2025</v>
      </c>
      <c r="F53" s="12" t="s">
        <v>20</v>
      </c>
      <c r="G53" s="3">
        <f t="shared" si="10"/>
        <v>0</v>
      </c>
      <c r="H53" s="4">
        <f t="shared" si="11"/>
        <v>59</v>
      </c>
    </row>
    <row r="54" spans="1:8" ht="27.75" customHeight="1">
      <c r="A54" s="10">
        <v>7</v>
      </c>
      <c r="B54" s="11" t="s">
        <v>21</v>
      </c>
      <c r="C54" s="10">
        <v>886</v>
      </c>
      <c r="D54" s="10"/>
      <c r="E54" s="10"/>
      <c r="F54" s="12"/>
      <c r="G54" s="3">
        <f t="shared" si="10"/>
        <v>886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886</v>
      </c>
      <c r="D55" s="10">
        <v>945</v>
      </c>
      <c r="E55" s="10">
        <v>2025</v>
      </c>
      <c r="F55" s="12" t="s">
        <v>20</v>
      </c>
      <c r="G55" s="3">
        <f t="shared" si="10"/>
        <v>0</v>
      </c>
      <c r="H55" s="4">
        <f t="shared" si="11"/>
        <v>59</v>
      </c>
    </row>
    <row r="56" spans="1:8" ht="27.75" customHeight="1">
      <c r="A56" s="10">
        <v>7</v>
      </c>
      <c r="B56" s="11" t="s">
        <v>13</v>
      </c>
      <c r="C56" s="10">
        <v>886</v>
      </c>
      <c r="D56" s="10">
        <v>945</v>
      </c>
      <c r="E56" s="10">
        <v>2025</v>
      </c>
      <c r="F56" s="12" t="s">
        <v>20</v>
      </c>
      <c r="G56" s="3">
        <f t="shared" si="10"/>
        <v>0</v>
      </c>
      <c r="H56" s="4">
        <f t="shared" si="11"/>
        <v>59</v>
      </c>
    </row>
    <row r="57" spans="1:8" ht="27.75" customHeight="1">
      <c r="A57" s="10">
        <v>7</v>
      </c>
      <c r="B57" s="11" t="s">
        <v>17</v>
      </c>
      <c r="C57" s="10">
        <v>886</v>
      </c>
      <c r="D57" s="10">
        <v>945</v>
      </c>
      <c r="E57" s="10">
        <v>2025</v>
      </c>
      <c r="F57" s="12" t="s">
        <v>20</v>
      </c>
      <c r="G57" s="3">
        <f t="shared" si="10"/>
        <v>0</v>
      </c>
      <c r="H57" s="4">
        <f t="shared" si="11"/>
        <v>59</v>
      </c>
    </row>
    <row r="58" spans="1:8" ht="27.75" customHeight="1">
      <c r="A58" s="10">
        <v>7</v>
      </c>
      <c r="B58" s="11" t="s">
        <v>22</v>
      </c>
      <c r="C58" s="10">
        <v>886</v>
      </c>
      <c r="D58" s="10">
        <v>945</v>
      </c>
      <c r="E58" s="10">
        <v>2025</v>
      </c>
      <c r="F58" s="12" t="s">
        <v>20</v>
      </c>
      <c r="G58" s="3">
        <f t="shared" si="10"/>
        <v>0</v>
      </c>
      <c r="H58" s="4">
        <f t="shared" si="11"/>
        <v>59</v>
      </c>
    </row>
    <row r="59" spans="1:8" ht="27.75" customHeight="1">
      <c r="A59" s="10">
        <v>7</v>
      </c>
      <c r="B59" s="11" t="s">
        <v>19</v>
      </c>
      <c r="C59" s="10">
        <v>886</v>
      </c>
      <c r="D59" s="10">
        <v>945</v>
      </c>
      <c r="E59" s="10">
        <v>2025</v>
      </c>
      <c r="F59" s="12" t="s">
        <v>20</v>
      </c>
      <c r="G59" s="3">
        <f t="shared" si="10"/>
        <v>0</v>
      </c>
      <c r="H59" s="4">
        <f t="shared" si="11"/>
        <v>59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795</v>
      </c>
      <c r="D61" s="10"/>
      <c r="E61" s="10"/>
      <c r="F61" s="12"/>
      <c r="G61" s="3">
        <f t="shared" ref="G61:G69" si="12">IF((C61-D61)&lt;0,0,C61-D61)</f>
        <v>795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795</v>
      </c>
      <c r="D62" s="10"/>
      <c r="E62" s="10"/>
      <c r="F62" s="12"/>
      <c r="G62" s="3">
        <f t="shared" si="12"/>
        <v>795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795</v>
      </c>
      <c r="D63" s="10">
        <v>884</v>
      </c>
      <c r="E63" s="10">
        <v>2025</v>
      </c>
      <c r="F63" s="12" t="s">
        <v>20</v>
      </c>
      <c r="G63" s="3">
        <f t="shared" si="12"/>
        <v>0</v>
      </c>
      <c r="H63" s="4">
        <f t="shared" si="13"/>
        <v>89</v>
      </c>
    </row>
    <row r="64" spans="1:8" ht="27.75" customHeight="1">
      <c r="A64" s="10">
        <v>8</v>
      </c>
      <c r="B64" s="11" t="s">
        <v>21</v>
      </c>
      <c r="C64" s="10">
        <v>795</v>
      </c>
      <c r="D64" s="10">
        <v>884</v>
      </c>
      <c r="E64" s="10">
        <v>2025</v>
      </c>
      <c r="F64" s="12" t="s">
        <v>20</v>
      </c>
      <c r="G64" s="3">
        <f t="shared" si="12"/>
        <v>0</v>
      </c>
      <c r="H64" s="4">
        <f t="shared" si="13"/>
        <v>89</v>
      </c>
    </row>
    <row r="65" spans="1:8" ht="27.75" customHeight="1">
      <c r="A65" s="10">
        <v>8</v>
      </c>
      <c r="B65" s="11" t="s">
        <v>23</v>
      </c>
      <c r="C65" s="10">
        <v>795</v>
      </c>
      <c r="D65" s="10"/>
      <c r="E65" s="10"/>
      <c r="F65" s="12"/>
      <c r="G65" s="3">
        <f t="shared" si="12"/>
        <v>795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795</v>
      </c>
      <c r="D66" s="10"/>
      <c r="E66" s="10"/>
      <c r="F66" s="12"/>
      <c r="G66" s="3">
        <f t="shared" si="12"/>
        <v>795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795</v>
      </c>
      <c r="D67" s="10"/>
      <c r="E67" s="10"/>
      <c r="F67" s="12"/>
      <c r="G67" s="3">
        <f t="shared" si="12"/>
        <v>795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>
        <v>795</v>
      </c>
      <c r="D68" s="10"/>
      <c r="E68" s="10"/>
      <c r="F68" s="12"/>
      <c r="G68" s="3">
        <f t="shared" si="12"/>
        <v>795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795</v>
      </c>
      <c r="D69" s="10"/>
      <c r="E69" s="10"/>
      <c r="F69" s="12"/>
      <c r="G69" s="3">
        <f t="shared" si="12"/>
        <v>795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652</v>
      </c>
      <c r="D71" s="10"/>
      <c r="E71" s="10"/>
      <c r="F71" s="12"/>
      <c r="G71" s="3">
        <f t="shared" ref="G71:G79" si="14">IF((C71-D71)&lt;0,0,C71-D71)</f>
        <v>652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652</v>
      </c>
      <c r="D72" s="10"/>
      <c r="E72" s="10"/>
      <c r="F72" s="12"/>
      <c r="G72" s="3">
        <f t="shared" si="14"/>
        <v>652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>
        <v>652</v>
      </c>
      <c r="D73" s="10"/>
      <c r="E73" s="10"/>
      <c r="F73" s="12"/>
      <c r="G73" s="3">
        <f t="shared" si="14"/>
        <v>652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>
        <v>652</v>
      </c>
      <c r="D74" s="10"/>
      <c r="E74" s="10"/>
      <c r="F74" s="12"/>
      <c r="G74" s="3">
        <f t="shared" si="14"/>
        <v>652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>
        <v>652</v>
      </c>
      <c r="D75" s="10"/>
      <c r="E75" s="10"/>
      <c r="F75" s="12"/>
      <c r="G75" s="3">
        <f t="shared" si="14"/>
        <v>652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652</v>
      </c>
      <c r="D76" s="10"/>
      <c r="E76" s="10"/>
      <c r="F76" s="12"/>
      <c r="G76" s="3">
        <f t="shared" si="14"/>
        <v>652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652</v>
      </c>
      <c r="D77" s="10"/>
      <c r="E77" s="10"/>
      <c r="F77" s="12"/>
      <c r="G77" s="3">
        <f t="shared" si="14"/>
        <v>652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>
        <v>652</v>
      </c>
      <c r="D78" s="10"/>
      <c r="E78" s="10"/>
      <c r="F78" s="12"/>
      <c r="G78" s="3">
        <f t="shared" si="14"/>
        <v>652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652</v>
      </c>
      <c r="D79" s="10"/>
      <c r="E79" s="10"/>
      <c r="F79" s="12"/>
      <c r="G79" s="3">
        <f t="shared" si="14"/>
        <v>652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748</v>
      </c>
      <c r="D81" s="10"/>
      <c r="E81" s="10"/>
      <c r="F81" s="12"/>
      <c r="G81" s="3">
        <f t="shared" ref="G81:G89" si="16">IF((C81-D81)&lt;0,0,C81-D81)</f>
        <v>748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748</v>
      </c>
      <c r="D82" s="10"/>
      <c r="E82" s="10"/>
      <c r="F82" s="12"/>
      <c r="G82" s="3">
        <f t="shared" si="16"/>
        <v>748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>
        <v>748</v>
      </c>
      <c r="D83" s="10"/>
      <c r="E83" s="10"/>
      <c r="F83" s="12"/>
      <c r="G83" s="3">
        <f t="shared" si="16"/>
        <v>748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>
        <v>748</v>
      </c>
      <c r="D84" s="10"/>
      <c r="E84" s="10"/>
      <c r="F84" s="12"/>
      <c r="G84" s="3">
        <f t="shared" si="16"/>
        <v>748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>
        <v>748</v>
      </c>
      <c r="D85" s="10"/>
      <c r="E85" s="10"/>
      <c r="F85" s="12"/>
      <c r="G85" s="3">
        <f t="shared" si="16"/>
        <v>748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748</v>
      </c>
      <c r="D86" s="10"/>
      <c r="E86" s="10"/>
      <c r="F86" s="12"/>
      <c r="G86" s="3">
        <f t="shared" si="16"/>
        <v>748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748</v>
      </c>
      <c r="D87" s="10"/>
      <c r="E87" s="10"/>
      <c r="F87" s="12"/>
      <c r="G87" s="3">
        <f t="shared" si="16"/>
        <v>748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>
        <v>748</v>
      </c>
      <c r="D88" s="10"/>
      <c r="E88" s="10"/>
      <c r="F88" s="12"/>
      <c r="G88" s="3">
        <f t="shared" si="16"/>
        <v>748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748</v>
      </c>
      <c r="D89" s="10"/>
      <c r="E89" s="10"/>
      <c r="F89" s="12"/>
      <c r="G89" s="3">
        <f t="shared" si="16"/>
        <v>748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91:E98" xr:uid="{B46E7B13-721E-4D49-837E-C02BF9777D48}">
      <formula1>"2024,2025  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 E8:E12 E14:E19 E21:E29 E31:E39 E41:E49 E51:E59 E61:E69 E71:E79 E81:E89" xr:uid="{83344111-A09A-4FBF-A2CD-D8D16C2EA1DF}">
      <formula1>"2024,2025  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F138" zoomScale="70" zoomScaleNormal="70" workbookViewId="0">
      <selection activeCell="J128" sqref="J128:J15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5:X12" xr:uid="{4ECCD083-8EC4-42EE-B46C-B614411F330D}">
      <formula1>"2024,2025  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 L112:L127 L103:L110 L93:L101 L83:L91 L73:L81 L63:L71 L53:L61 L43:L51 L33:L41 L23:L31 L14:L21 L5:L12 R5:R12 R14:R21 R23:R31 R33:R41 R43:R51 R53:R61 R63:R71 R73:R81 R83:R91 R93:R101 R103:R110 R112:R127 X112:X127 X103:X110 X93:X101 X83:X91 X73:X81 X63:X71 X53:X61 X43:X51 X33:X41 X23:X31 X14:X21" xr:uid="{19C7189D-14BD-4AA2-A391-72EC43240D94}">
      <formula1>"2024,2025  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selection activeCell="J141" sqref="J141:J1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6" customHeight="1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5.25" customHeight="1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3:X10" xr:uid="{77F72D89-8371-4D0C-A323-BD25723C617C}">
      <formula1>"2024,2025  ,2026"</formula1>
    </dataValidation>
    <dataValidation type="list" allowBlank="1" showInputMessage="1" showErrorMessage="1" sqref="F3:F10 F12:F19 F21:F29 F31:F41 F43:F53 F55:F65 F67:F77 F79:F89 F91:F101 F103:F113 F115:F122 L115:L122 L103:L113 L91:L101 L79:L89 L67:L77 L55:L65 L43:L53 L31:L41 L21:L29 L12:L19 L3:L10 R3:R10 R12:R19 R21:R29 R31:R41 R43:R53 R55:R65 R67:R77 R79:R89 R91:R101 R103:R113 R115:R122 X115:X122 X103:X113 X91:X101 X79:X89 X67:X77 X55:X65 X43:X53 X31:X41 X21:X29 X12:X19" xr:uid="{F52B1CFC-6974-4CED-B8A7-0B42DE0492C5}">
      <formula1>"2024,2025 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2026-03-23T07:05:10Z</dcterms:modified>
  <cp:category/>
  <cp:contentStatus/>
</cp:coreProperties>
</file>