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4" documentId="13_ncr:1_{BFB59F67-F0DC-4675-A682-EB0734A8026A}" xr6:coauthVersionLast="47" xr6:coauthVersionMax="47" xr10:uidLastSave="{1093C9E3-9C30-439F-A8E2-1940BDD83A13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I40" i="5"/>
  <c r="V39" i="5"/>
  <c r="AA39" i="5" s="1"/>
  <c r="P39" i="5"/>
  <c r="U39" i="5" s="1"/>
  <c r="J39" i="5"/>
  <c r="O39" i="5" s="1"/>
  <c r="I39" i="5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I29" i="5"/>
  <c r="V28" i="5"/>
  <c r="AA28" i="5" s="1"/>
  <c r="P28" i="5"/>
  <c r="U28" i="5" s="1"/>
  <c r="J28" i="5"/>
  <c r="O28" i="5" s="1"/>
  <c r="I28" i="5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31" i="5" l="1"/>
  <c r="O31" i="5"/>
  <c r="U46" i="5"/>
  <c r="T46" i="5"/>
  <c r="N7" i="5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<sst xmlns="http://schemas.openxmlformats.org/spreadsheetml/2006/main" count="278" uniqueCount="84">
  <si>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</si>
  <si>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</si>
  <si>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</si>
  <si>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</si>
  <si>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</si>
  <si>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</si>
  <si>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</si>
  <si>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</si>
  <si>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</si>
  <si>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RO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</si>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</sst>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682</v>
      </c>
      <c r="D2" s="8">
        <v>859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177</v>
      </c>
    </row>
    <row r="3" spans="1:8" ht="29.25" customHeight="1">
      <c r="A3" s="8">
        <v>7</v>
      </c>
      <c r="B3" s="9" t="s">
        <v>10</v>
      </c>
      <c r="C3" s="8">
        <v>682</v>
      </c>
      <c r="D3" s="8">
        <v>859</v>
      </c>
      <c r="E3" s="8">
        <v>2025</v>
      </c>
      <c r="F3" s="10" t="s">
        <v>9</v>
      </c>
      <c r="G3" s="2">
        <f t="shared" si="0"/>
        <v>0</v>
      </c>
      <c r="H3" s="3">
        <f t="shared" si="1"/>
        <v>177</v>
      </c>
    </row>
    <row r="4" spans="1:8" ht="21" customHeight="1">
      <c r="A4" s="8">
        <v>7</v>
      </c>
      <c r="B4" s="9" t="s">
        <v>11</v>
      </c>
      <c r="C4" s="8">
        <v>682</v>
      </c>
      <c r="D4" s="8">
        <v>859</v>
      </c>
      <c r="E4" s="8">
        <v>2024</v>
      </c>
      <c r="F4" s="10" t="s">
        <v>9</v>
      </c>
      <c r="G4" s="2">
        <f t="shared" si="0"/>
        <v>0</v>
      </c>
      <c r="H4" s="3">
        <f t="shared" si="1"/>
        <v>177</v>
      </c>
    </row>
    <row r="5" spans="1:8" ht="25.5" customHeight="1">
      <c r="A5" s="8">
        <v>7</v>
      </c>
      <c r="B5" s="9" t="s">
        <v>12</v>
      </c>
      <c r="C5" s="8">
        <v>682</v>
      </c>
      <c r="D5" s="8"/>
      <c r="E5" s="8"/>
      <c r="F5" s="10"/>
      <c r="G5" s="2">
        <f t="shared" si="0"/>
        <v>682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682</v>
      </c>
      <c r="D6" s="8">
        <v>859</v>
      </c>
      <c r="E6" s="8">
        <v>2025</v>
      </c>
      <c r="F6" s="10" t="s">
        <v>9</v>
      </c>
      <c r="G6" s="2">
        <f t="shared" si="0"/>
        <v>0</v>
      </c>
      <c r="H6" s="3">
        <f t="shared" si="1"/>
        <v>177</v>
      </c>
    </row>
    <row r="7" spans="1:8" ht="19.5">
      <c r="A7" s="8">
        <v>7</v>
      </c>
      <c r="B7" s="9" t="s">
        <v>14</v>
      </c>
      <c r="C7" s="8">
        <v>682</v>
      </c>
      <c r="D7" s="8">
        <v>859</v>
      </c>
      <c r="E7" s="8">
        <v>2024</v>
      </c>
      <c r="F7" s="10" t="s">
        <v>9</v>
      </c>
      <c r="G7" s="2">
        <f t="shared" si="0"/>
        <v>0</v>
      </c>
      <c r="H7" s="3">
        <f t="shared" si="1"/>
        <v>177</v>
      </c>
    </row>
    <row r="8" spans="1:8" ht="39.75" customHeight="1">
      <c r="A8" s="8">
        <v>7</v>
      </c>
      <c r="B8" s="9" t="s">
        <v>15</v>
      </c>
      <c r="C8" s="8">
        <v>682</v>
      </c>
      <c r="D8" s="8">
        <v>859</v>
      </c>
      <c r="E8" s="8">
        <v>2025</v>
      </c>
      <c r="F8" s="10" t="s">
        <v>9</v>
      </c>
      <c r="G8" s="2">
        <f t="shared" si="0"/>
        <v>0</v>
      </c>
      <c r="H8" s="3">
        <f t="shared" si="1"/>
        <v>177</v>
      </c>
    </row>
    <row r="9" spans="1:8" ht="29.25" customHeight="1">
      <c r="A9" s="8">
        <v>7</v>
      </c>
      <c r="B9" s="9" t="s">
        <v>16</v>
      </c>
      <c r="C9" s="8">
        <v>682</v>
      </c>
      <c r="D9" s="8"/>
      <c r="E9" s="8"/>
      <c r="F9" s="10"/>
      <c r="G9" s="2">
        <f t="shared" si="0"/>
        <v>682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>
        <v>682</v>
      </c>
      <c r="D10" s="8">
        <v>859</v>
      </c>
      <c r="E10" s="8">
        <v>2025</v>
      </c>
      <c r="F10" s="10" t="s">
        <v>9</v>
      </c>
      <c r="G10" s="2">
        <f t="shared" si="0"/>
        <v>0</v>
      </c>
      <c r="H10" s="3">
        <f t="shared" si="1"/>
        <v>177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643</v>
      </c>
      <c r="D12" s="8"/>
      <c r="E12" s="8"/>
      <c r="F12" s="10"/>
      <c r="G12" s="2">
        <f t="shared" ref="G12:G20" si="2">IF((C12-D12)&lt;0,0,C12-D12)</f>
        <v>643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643</v>
      </c>
      <c r="D13" s="8"/>
      <c r="E13" s="8"/>
      <c r="F13" s="10"/>
      <c r="G13" s="2">
        <f t="shared" si="2"/>
        <v>643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643</v>
      </c>
      <c r="D14" s="8">
        <v>652</v>
      </c>
      <c r="E14" s="8">
        <v>2025</v>
      </c>
      <c r="F14" s="10" t="s">
        <v>9</v>
      </c>
      <c r="G14" s="2">
        <f t="shared" si="2"/>
        <v>0</v>
      </c>
      <c r="H14" s="3">
        <f t="shared" si="3"/>
        <v>9</v>
      </c>
    </row>
    <row r="15" spans="1:8" ht="29.25" customHeight="1">
      <c r="A15" s="8">
        <v>8</v>
      </c>
      <c r="B15" s="9" t="s">
        <v>12</v>
      </c>
      <c r="C15" s="8">
        <v>643</v>
      </c>
      <c r="D15" s="8">
        <v>652</v>
      </c>
      <c r="E15" s="8">
        <v>2025</v>
      </c>
      <c r="F15" s="10" t="s">
        <v>9</v>
      </c>
      <c r="G15" s="2">
        <f t="shared" si="2"/>
        <v>0</v>
      </c>
      <c r="H15" s="3">
        <f t="shared" si="3"/>
        <v>9</v>
      </c>
    </row>
    <row r="16" spans="1:8" ht="27" customHeight="1">
      <c r="A16" s="8">
        <v>8</v>
      </c>
      <c r="B16" s="9" t="s">
        <v>18</v>
      </c>
      <c r="C16" s="8">
        <v>643</v>
      </c>
      <c r="D16" s="8"/>
      <c r="E16" s="8"/>
      <c r="F16" s="10"/>
      <c r="G16" s="2">
        <f t="shared" si="2"/>
        <v>643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643</v>
      </c>
      <c r="D17" s="8">
        <v>652</v>
      </c>
      <c r="E17" s="8">
        <v>2025</v>
      </c>
      <c r="F17" s="10" t="s">
        <v>9</v>
      </c>
      <c r="G17" s="2">
        <f t="shared" si="2"/>
        <v>0</v>
      </c>
      <c r="H17" s="3">
        <f t="shared" si="3"/>
        <v>9</v>
      </c>
    </row>
    <row r="18" spans="1:8" ht="21" customHeight="1">
      <c r="A18" s="8">
        <v>8</v>
      </c>
      <c r="B18" s="9" t="s">
        <v>15</v>
      </c>
      <c r="C18" s="8">
        <v>643</v>
      </c>
      <c r="D18" s="8"/>
      <c r="E18" s="8"/>
      <c r="F18" s="10"/>
      <c r="G18" s="2">
        <f t="shared" si="2"/>
        <v>643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643</v>
      </c>
      <c r="D19" s="8"/>
      <c r="E19" s="8"/>
      <c r="F19" s="10"/>
      <c r="G19" s="2">
        <f t="shared" si="2"/>
        <v>643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643</v>
      </c>
      <c r="D20" s="8"/>
      <c r="E20" s="8"/>
      <c r="F20" s="10"/>
      <c r="G20" s="2">
        <f t="shared" si="2"/>
        <v>643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542</v>
      </c>
      <c r="D22" s="8"/>
      <c r="E22" s="8"/>
      <c r="F22" s="10"/>
      <c r="G22" s="2">
        <f t="shared" ref="G22:G30" si="4">IF((C22-D22)&lt;0,0,C22-D22)</f>
        <v>542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542</v>
      </c>
      <c r="D23" s="8"/>
      <c r="E23" s="8"/>
      <c r="F23" s="10"/>
      <c r="G23" s="2">
        <f t="shared" si="4"/>
        <v>542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542</v>
      </c>
      <c r="D24" s="8"/>
      <c r="E24" s="8"/>
      <c r="F24" s="10"/>
      <c r="G24" s="2">
        <f t="shared" si="4"/>
        <v>542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542</v>
      </c>
      <c r="D25" s="8"/>
      <c r="E25" s="8"/>
      <c r="F25" s="10"/>
      <c r="G25" s="2">
        <f t="shared" si="4"/>
        <v>542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542</v>
      </c>
      <c r="D26" s="8"/>
      <c r="E26" s="8"/>
      <c r="F26" s="10"/>
      <c r="G26" s="2">
        <f t="shared" si="4"/>
        <v>542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542</v>
      </c>
      <c r="D27" s="8"/>
      <c r="E27" s="8"/>
      <c r="F27" s="10"/>
      <c r="G27" s="2">
        <f t="shared" si="4"/>
        <v>542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542</v>
      </c>
      <c r="D28" s="8"/>
      <c r="E28" s="8"/>
      <c r="F28" s="10"/>
      <c r="G28" s="2">
        <f t="shared" si="4"/>
        <v>542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542</v>
      </c>
      <c r="D29" s="8"/>
      <c r="E29" s="8"/>
      <c r="F29" s="10"/>
      <c r="G29" s="2">
        <f t="shared" si="4"/>
        <v>542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542</v>
      </c>
      <c r="D30" s="8"/>
      <c r="E30" s="8"/>
      <c r="F30" s="10"/>
      <c r="G30" s="2">
        <f t="shared" si="4"/>
        <v>542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580</v>
      </c>
      <c r="D32" s="8"/>
      <c r="E32" s="8"/>
      <c r="F32" s="10"/>
      <c r="G32" s="2">
        <f t="shared" ref="G32:G40" si="6">IF((C32-D32)&lt;0,0,C32-D32)</f>
        <v>580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580</v>
      </c>
      <c r="D33" s="8"/>
      <c r="E33" s="8"/>
      <c r="F33" s="10"/>
      <c r="G33" s="2">
        <f t="shared" si="6"/>
        <v>580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580</v>
      </c>
      <c r="D34" s="8"/>
      <c r="E34" s="8"/>
      <c r="F34" s="10"/>
      <c r="G34" s="2">
        <f t="shared" si="6"/>
        <v>580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580</v>
      </c>
      <c r="D35" s="8"/>
      <c r="E35" s="8"/>
      <c r="F35" s="10"/>
      <c r="G35" s="2">
        <f t="shared" si="6"/>
        <v>580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580</v>
      </c>
      <c r="D36" s="8"/>
      <c r="E36" s="8"/>
      <c r="F36" s="10"/>
      <c r="G36" s="2">
        <f t="shared" si="6"/>
        <v>580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580</v>
      </c>
      <c r="D37" s="8"/>
      <c r="E37" s="8"/>
      <c r="F37" s="10"/>
      <c r="G37" s="2">
        <f t="shared" si="6"/>
        <v>580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580</v>
      </c>
      <c r="D38" s="8"/>
      <c r="E38" s="8"/>
      <c r="F38" s="10"/>
      <c r="G38" s="2">
        <f t="shared" si="6"/>
        <v>580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580</v>
      </c>
      <c r="D39" s="8"/>
      <c r="E39" s="8"/>
      <c r="F39" s="10"/>
      <c r="G39" s="2">
        <f t="shared" si="6"/>
        <v>580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580</v>
      </c>
      <c r="D40" s="8"/>
      <c r="E40" s="8"/>
      <c r="F40" s="10"/>
      <c r="G40" s="2">
        <f t="shared" si="6"/>
        <v>580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521</v>
      </c>
      <c r="D42" s="1">
        <v>418</v>
      </c>
      <c r="E42" s="1">
        <v>2024</v>
      </c>
      <c r="F42" s="4" t="s">
        <v>9</v>
      </c>
      <c r="G42" s="2">
        <f t="shared" ref="G42:G49" si="8">IF((C42-D42)&lt;0,0,C42-D42)</f>
        <v>103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>
        <v>521</v>
      </c>
      <c r="D43" s="1"/>
      <c r="E43" s="1"/>
      <c r="F43" s="4"/>
      <c r="G43" s="2">
        <f t="shared" si="8"/>
        <v>521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521</v>
      </c>
      <c r="D44" s="1">
        <v>418</v>
      </c>
      <c r="E44" s="1">
        <v>2024</v>
      </c>
      <c r="F44" s="4" t="s">
        <v>9</v>
      </c>
      <c r="G44" s="2">
        <f t="shared" si="8"/>
        <v>103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>
        <v>521</v>
      </c>
      <c r="D45" s="1">
        <v>418</v>
      </c>
      <c r="E45" s="1">
        <v>2025</v>
      </c>
      <c r="F45" s="4" t="s">
        <v>9</v>
      </c>
      <c r="G45" s="2">
        <f t="shared" si="8"/>
        <v>103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>
        <v>521</v>
      </c>
      <c r="D46" s="1">
        <v>418</v>
      </c>
      <c r="E46" s="1">
        <v>2025</v>
      </c>
      <c r="F46" s="4" t="s">
        <v>9</v>
      </c>
      <c r="G46" s="2">
        <f t="shared" si="8"/>
        <v>103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>
        <v>521</v>
      </c>
      <c r="D47" s="1">
        <v>418</v>
      </c>
      <c r="E47" s="1">
        <v>2025</v>
      </c>
      <c r="F47" s="4" t="s">
        <v>9</v>
      </c>
      <c r="G47" s="2">
        <f t="shared" si="8"/>
        <v>103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>
        <v>521</v>
      </c>
      <c r="D48" s="1">
        <v>418</v>
      </c>
      <c r="E48" s="1">
        <v>2025</v>
      </c>
      <c r="F48" s="4" t="s">
        <v>9</v>
      </c>
      <c r="G48" s="2">
        <f t="shared" si="8"/>
        <v>103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>
        <v>521</v>
      </c>
      <c r="D49" s="1">
        <v>418</v>
      </c>
      <c r="E49" s="1">
        <v>2025</v>
      </c>
      <c r="F49" s="4" t="s">
        <v>9</v>
      </c>
      <c r="G49" s="2">
        <f t="shared" si="8"/>
        <v>103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W61"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F3:F11 F13:F21 F23:F31 F33:F41 F43:F50 F52:F67 L3:L11 L13:L21 L23:L31 L33:L41 L43:L50 L52:L67 X3:X11 X13:X21 X23:X31 X33:X41 X43:X50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R3:R11 R13:R21 R23:R31 R33:R41" xr:uid="{FEE54931-5B7E-4DC6-AA45-3B2C181594FE}">
      <formula1>"2024,2025 ,2026"</formula1>
    </dataValidation>
    <dataValidation type="list" allowBlank="1" showInputMessage="1" showErrorMessage="1" sqref="R43:R50 R52:R67" xr:uid="{6B1E93E6-2798-4503-B6F6-94EBFE1B46D3}">
      <formula1>"2024,2025,2026 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542</v>
      </c>
      <c r="D27" s="10">
        <f>Table14[[#This Row],[Enrolment S.Y. 2025-2026 ]]*8</f>
        <v>4336</v>
      </c>
      <c r="E27" s="10"/>
      <c r="F27" s="8"/>
      <c r="G27" s="10"/>
      <c r="H27" s="10">
        <f t="shared" si="16"/>
        <v>4336</v>
      </c>
      <c r="I27" s="10">
        <f t="shared" si="17"/>
        <v>0</v>
      </c>
      <c r="J27" s="10">
        <f>Table14[[#This Row],[Enrolment S.Y. 2025-2026 ]]*8</f>
        <v>4336</v>
      </c>
      <c r="K27" s="10"/>
      <c r="L27" s="8"/>
      <c r="M27" s="10"/>
      <c r="N27" s="10">
        <f t="shared" si="14"/>
        <v>4336</v>
      </c>
      <c r="O27" s="10">
        <f t="shared" si="15"/>
        <v>0</v>
      </c>
      <c r="P27" s="10">
        <f>Table14[[#This Row],[Enrolment S.Y. 2025-2026 ]]*8</f>
        <v>4336</v>
      </c>
      <c r="Q27" s="10"/>
      <c r="R27" s="8"/>
      <c r="S27" s="10"/>
      <c r="T27" s="10">
        <f t="shared" si="10"/>
        <v>4336</v>
      </c>
      <c r="U27" s="10">
        <f t="shared" si="11"/>
        <v>0</v>
      </c>
      <c r="V27" s="10">
        <f>Table14[[#This Row],[Enrolment S.Y. 2025-2026 ]]*8</f>
        <v>4336</v>
      </c>
      <c r="W27" s="10">
        <v>100</v>
      </c>
      <c r="X27" s="8">
        <v>2025</v>
      </c>
      <c r="Y27" s="10" t="s">
        <v>9</v>
      </c>
      <c r="Z27" s="10">
        <f t="shared" si="12"/>
        <v>4236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542</v>
      </c>
      <c r="D28" s="10">
        <v>220</v>
      </c>
      <c r="E28" s="10"/>
      <c r="F28" s="8">
        <v>2025</v>
      </c>
      <c r="G28" s="10" t="s">
        <v>9</v>
      </c>
      <c r="H28" s="10">
        <f t="shared" si="16"/>
        <v>220</v>
      </c>
      <c r="I28" s="10">
        <f t="shared" si="17"/>
        <v>0</v>
      </c>
      <c r="J28" s="10">
        <f>Table14[[#This Row],[Enrolment S.Y. 2025-2026 ]]*8</f>
        <v>4336</v>
      </c>
      <c r="K28" s="10"/>
      <c r="L28" s="8"/>
      <c r="M28" s="10"/>
      <c r="N28" s="10">
        <f t="shared" si="14"/>
        <v>4336</v>
      </c>
      <c r="O28" s="10">
        <f t="shared" si="15"/>
        <v>0</v>
      </c>
      <c r="P28" s="10">
        <f>Table14[[#This Row],[Enrolment S.Y. 2025-2026 ]]*8</f>
        <v>4336</v>
      </c>
      <c r="Q28" s="10">
        <v>100</v>
      </c>
      <c r="R28" s="8">
        <v>2025</v>
      </c>
      <c r="S28" s="10" t="s">
        <v>9</v>
      </c>
      <c r="T28" s="10">
        <f t="shared" si="10"/>
        <v>4236</v>
      </c>
      <c r="U28" s="10">
        <f t="shared" si="11"/>
        <v>0</v>
      </c>
      <c r="V28" s="10">
        <f>Table14[[#This Row],[Enrolment S.Y. 2025-2026 ]]*8</f>
        <v>4336</v>
      </c>
      <c r="W28" s="10">
        <v>100</v>
      </c>
      <c r="X28" s="8">
        <v>2025</v>
      </c>
      <c r="Y28" s="10" t="s">
        <v>9</v>
      </c>
      <c r="Z28" s="10">
        <f t="shared" si="12"/>
        <v>4236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542</v>
      </c>
      <c r="D29" s="10">
        <v>220</v>
      </c>
      <c r="E29" s="10"/>
      <c r="F29" s="8">
        <v>2025</v>
      </c>
      <c r="G29" s="10" t="s">
        <v>9</v>
      </c>
      <c r="H29" s="10">
        <f t="shared" si="16"/>
        <v>220</v>
      </c>
      <c r="I29" s="10">
        <f t="shared" si="17"/>
        <v>0</v>
      </c>
      <c r="J29" s="10">
        <f>Table14[[#This Row],[Enrolment S.Y. 2025-2026 ]]*8</f>
        <v>4336</v>
      </c>
      <c r="K29" s="10"/>
      <c r="L29" s="8"/>
      <c r="M29" s="10"/>
      <c r="N29" s="10">
        <f t="shared" si="14"/>
        <v>4336</v>
      </c>
      <c r="O29" s="10">
        <f t="shared" si="15"/>
        <v>0</v>
      </c>
      <c r="P29" s="10">
        <f>Table14[[#This Row],[Enrolment S.Y. 2025-2026 ]]*8</f>
        <v>4336</v>
      </c>
      <c r="Q29" s="10">
        <v>100</v>
      </c>
      <c r="R29" s="8">
        <v>2025</v>
      </c>
      <c r="S29" s="10" t="s">
        <v>9</v>
      </c>
      <c r="T29" s="10">
        <f t="shared" si="10"/>
        <v>4236</v>
      </c>
      <c r="U29" s="10">
        <f t="shared" si="11"/>
        <v>0</v>
      </c>
      <c r="V29" s="10">
        <f>Table14[[#This Row],[Enrolment S.Y. 2025-2026 ]]*8</f>
        <v>4336</v>
      </c>
      <c r="W29" s="10"/>
      <c r="X29" s="8"/>
      <c r="Y29" s="10"/>
      <c r="Z29" s="10">
        <f t="shared" si="12"/>
        <v>4336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542</v>
      </c>
      <c r="D30" s="10">
        <f>Table14[[#This Row],[Enrolment S.Y. 2025-2026 ]]*8</f>
        <v>4336</v>
      </c>
      <c r="E30" s="10"/>
      <c r="F30" s="8"/>
      <c r="G30" s="10"/>
      <c r="H30" s="10">
        <f t="shared" si="16"/>
        <v>4336</v>
      </c>
      <c r="I30" s="10">
        <f t="shared" si="17"/>
        <v>0</v>
      </c>
      <c r="J30" s="10">
        <f>Table14[[#This Row],[Enrolment S.Y. 2025-2026 ]]*8</f>
        <v>4336</v>
      </c>
      <c r="K30" s="10"/>
      <c r="L30" s="8"/>
      <c r="M30" s="10"/>
      <c r="N30" s="10">
        <f t="shared" si="14"/>
        <v>4336</v>
      </c>
      <c r="O30" s="10">
        <f t="shared" si="15"/>
        <v>0</v>
      </c>
      <c r="P30" s="10">
        <f>Table14[[#This Row],[Enrolment S.Y. 2025-2026 ]]*8</f>
        <v>4336</v>
      </c>
      <c r="Q30" s="10">
        <v>100</v>
      </c>
      <c r="R30" s="8">
        <v>2025</v>
      </c>
      <c r="S30" s="10" t="s">
        <v>9</v>
      </c>
      <c r="T30" s="10">
        <f t="shared" si="10"/>
        <v>4236</v>
      </c>
      <c r="U30" s="10">
        <f t="shared" si="11"/>
        <v>0</v>
      </c>
      <c r="V30" s="10">
        <f>Table14[[#This Row],[Enrolment S.Y. 2025-2026 ]]*8</f>
        <v>4336</v>
      </c>
      <c r="W30" s="10">
        <v>100</v>
      </c>
      <c r="X30" s="8">
        <v>2025</v>
      </c>
      <c r="Y30" s="10" t="s">
        <v>9</v>
      </c>
      <c r="Z30" s="10">
        <f t="shared" si="12"/>
        <v>4236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542</v>
      </c>
      <c r="D31" s="10">
        <f>Table14[[#This Row],[Enrolment S.Y. 2025-2026 ]]*8</f>
        <v>4336</v>
      </c>
      <c r="E31" s="10"/>
      <c r="F31" s="8"/>
      <c r="G31" s="10"/>
      <c r="H31" s="10">
        <f t="shared" si="16"/>
        <v>4336</v>
      </c>
      <c r="I31" s="10">
        <f t="shared" si="17"/>
        <v>0</v>
      </c>
      <c r="J31" s="10">
        <f>Table14[[#This Row],[Enrolment S.Y. 2025-2026 ]]*8</f>
        <v>4336</v>
      </c>
      <c r="K31" s="10"/>
      <c r="L31" s="8"/>
      <c r="M31" s="10"/>
      <c r="N31" s="10">
        <f t="shared" si="14"/>
        <v>4336</v>
      </c>
      <c r="O31" s="10">
        <f t="shared" si="15"/>
        <v>0</v>
      </c>
      <c r="P31" s="10">
        <f>Table14[[#This Row],[Enrolment S.Y. 2025-2026 ]]*8</f>
        <v>4336</v>
      </c>
      <c r="Q31" s="10">
        <v>100</v>
      </c>
      <c r="R31" s="8">
        <v>2025</v>
      </c>
      <c r="S31" s="10" t="s">
        <v>9</v>
      </c>
      <c r="T31" s="10">
        <f t="shared" si="10"/>
        <v>4236</v>
      </c>
      <c r="U31" s="10">
        <f t="shared" si="11"/>
        <v>0</v>
      </c>
      <c r="V31" s="10">
        <f>Table14[[#This Row],[Enrolment S.Y. 2025-2026 ]]*8</f>
        <v>4336</v>
      </c>
      <c r="W31" s="10">
        <v>100</v>
      </c>
      <c r="X31" s="8">
        <v>2025</v>
      </c>
      <c r="Y31" s="10" t="s">
        <v>9</v>
      </c>
      <c r="Z31" s="10">
        <f t="shared" si="12"/>
        <v>4236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542</v>
      </c>
      <c r="D32" s="10">
        <f>Table14[[#This Row],[Enrolment S.Y. 2025-2026 ]]*8</f>
        <v>4336</v>
      </c>
      <c r="E32" s="10"/>
      <c r="F32" s="8"/>
      <c r="G32" s="10"/>
      <c r="H32" s="10">
        <f t="shared" si="16"/>
        <v>4336</v>
      </c>
      <c r="I32" s="10">
        <f t="shared" si="17"/>
        <v>0</v>
      </c>
      <c r="J32" s="10">
        <f>Table14[[#This Row],[Enrolment S.Y. 2025-2026 ]]*8</f>
        <v>4336</v>
      </c>
      <c r="K32" s="10"/>
      <c r="L32" s="8"/>
      <c r="M32" s="10"/>
      <c r="N32" s="10">
        <f t="shared" si="14"/>
        <v>4336</v>
      </c>
      <c r="O32" s="10">
        <f t="shared" si="15"/>
        <v>0</v>
      </c>
      <c r="P32" s="10">
        <f>Table14[[#This Row],[Enrolment S.Y. 2025-2026 ]]*8</f>
        <v>4336</v>
      </c>
      <c r="Q32" s="10">
        <v>100</v>
      </c>
      <c r="R32" s="8">
        <v>2025</v>
      </c>
      <c r="S32" s="10" t="s">
        <v>9</v>
      </c>
      <c r="T32" s="10">
        <f t="shared" si="10"/>
        <v>4236</v>
      </c>
      <c r="U32" s="10">
        <f t="shared" si="11"/>
        <v>0</v>
      </c>
      <c r="V32" s="10">
        <f>Table14[[#This Row],[Enrolment S.Y. 2025-2026 ]]*8</f>
        <v>4336</v>
      </c>
      <c r="W32" s="10">
        <v>100</v>
      </c>
      <c r="X32" s="8">
        <v>2025</v>
      </c>
      <c r="Y32" s="10" t="s">
        <v>9</v>
      </c>
      <c r="Z32" s="10">
        <f t="shared" si="12"/>
        <v>4236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>
        <v>542</v>
      </c>
      <c r="D33" s="10">
        <f>Table14[[#This Row],[Enrolment S.Y. 2025-2026 ]]*8</f>
        <v>4336</v>
      </c>
      <c r="E33" s="10"/>
      <c r="F33" s="8"/>
      <c r="G33" s="10"/>
      <c r="H33" s="10">
        <f>IF((D33-E33)&lt;0,0,(D33-E33))</f>
        <v>4336</v>
      </c>
      <c r="I33" s="10">
        <f>IF((E33-D33)&lt;0,0,(E33-D33))</f>
        <v>0</v>
      </c>
      <c r="J33" s="10">
        <f>Table14[[#This Row],[Enrolment S.Y. 2025-2026 ]]*8</f>
        <v>4336</v>
      </c>
      <c r="K33" s="10"/>
      <c r="L33" s="8"/>
      <c r="M33" s="10"/>
      <c r="N33" s="10">
        <f t="shared" ref="N33:N37" si="20">IF((J33-K33)&lt;0,0,(J33-K33))</f>
        <v>4336</v>
      </c>
      <c r="O33" s="10">
        <f t="shared" ref="O33:O37" si="21">IF((K33-J33)&lt;0,0,(K33-J33))</f>
        <v>0</v>
      </c>
      <c r="P33" s="10">
        <f>Table14[[#This Row],[Enrolment S.Y. 2025-2026 ]]*8</f>
        <v>4336</v>
      </c>
      <c r="Q33" s="10"/>
      <c r="R33" s="8"/>
      <c r="S33" s="10"/>
      <c r="T33" s="10">
        <f>IF((P33-Q33)&lt;0,0,(P33-Q33))</f>
        <v>4336</v>
      </c>
      <c r="U33" s="10">
        <f>IF((Q33-P33)&lt;0,0,(Q33-P33))</f>
        <v>0</v>
      </c>
      <c r="V33" s="10">
        <f>Table14[[#This Row],[Enrolment S.Y. 2025-2026 ]]*8</f>
        <v>4336</v>
      </c>
      <c r="W33" s="10">
        <v>100</v>
      </c>
      <c r="X33" s="8">
        <v>2025</v>
      </c>
      <c r="Y33" s="10" t="s">
        <v>9</v>
      </c>
      <c r="Z33" s="10">
        <f>IF((V33-W33)&lt;0,0,(V33-W33))</f>
        <v>4236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>
        <v>542</v>
      </c>
      <c r="D34" s="10">
        <f>Table14[[#This Row],[Enrolment S.Y. 2025-2026 ]]*8</f>
        <v>4336</v>
      </c>
      <c r="E34" s="10"/>
      <c r="F34" s="8"/>
      <c r="G34" s="10"/>
      <c r="H34" s="10">
        <f t="shared" si="16"/>
        <v>4336</v>
      </c>
      <c r="I34" s="10">
        <f t="shared" si="17"/>
        <v>0</v>
      </c>
      <c r="J34" s="10">
        <f>Table14[[#This Row],[Enrolment S.Y. 2025-2026 ]]*8</f>
        <v>4336</v>
      </c>
      <c r="K34" s="10"/>
      <c r="L34" s="8"/>
      <c r="M34" s="10"/>
      <c r="N34" s="10">
        <f t="shared" si="20"/>
        <v>4336</v>
      </c>
      <c r="O34" s="10">
        <f t="shared" si="21"/>
        <v>0</v>
      </c>
      <c r="P34" s="10">
        <f>Table14[[#This Row],[Enrolment S.Y. 2025-2026 ]]*8</f>
        <v>4336</v>
      </c>
      <c r="Q34" s="10"/>
      <c r="R34" s="8"/>
      <c r="S34" s="10"/>
      <c r="T34" s="10">
        <f t="shared" si="10"/>
        <v>4336</v>
      </c>
      <c r="U34" s="10">
        <f t="shared" si="11"/>
        <v>0</v>
      </c>
      <c r="V34" s="10">
        <f>Table14[[#This Row],[Enrolment S.Y. 2025-2026 ]]*8</f>
        <v>4336</v>
      </c>
      <c r="W34" s="10">
        <v>100</v>
      </c>
      <c r="X34" s="8">
        <v>2025</v>
      </c>
      <c r="Y34" s="10" t="s">
        <v>9</v>
      </c>
      <c r="Z34" s="10">
        <f t="shared" si="12"/>
        <v>4236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>
        <v>542</v>
      </c>
      <c r="D36" s="10">
        <f>Table14[[#This Row],[Enrolment S.Y. 2025-2026 ]]*8</f>
        <v>4336</v>
      </c>
      <c r="E36" s="10"/>
      <c r="F36" s="8"/>
      <c r="G36" s="10"/>
      <c r="H36" s="10">
        <f>IF((D36-E36)&lt;0,0,(D36-E36))</f>
        <v>4336</v>
      </c>
      <c r="I36" s="10">
        <f>IF((E36-D36)&lt;0,0,(E36-D36))</f>
        <v>0</v>
      </c>
      <c r="J36" s="10">
        <f>Table14[[#This Row],[Enrolment S.Y. 2025-2026 ]]*8</f>
        <v>4336</v>
      </c>
      <c r="K36" s="10"/>
      <c r="L36" s="8"/>
      <c r="M36" s="10"/>
      <c r="N36" s="10">
        <f t="shared" si="20"/>
        <v>4336</v>
      </c>
      <c r="O36" s="10">
        <f t="shared" si="21"/>
        <v>0</v>
      </c>
      <c r="P36" s="10">
        <f>Table14[[#This Row],[Enrolment S.Y. 2025-2026 ]]*8</f>
        <v>4336</v>
      </c>
      <c r="Q36" s="10">
        <v>100</v>
      </c>
      <c r="R36" s="8">
        <v>2025</v>
      </c>
      <c r="S36" s="10" t="s">
        <v>9</v>
      </c>
      <c r="T36" s="10">
        <f>IF((P36-Q36)&lt;0,0,(P36-Q36))</f>
        <v>4236</v>
      </c>
      <c r="U36" s="10">
        <f>IF((Q36-P36)&lt;0,0,(Q36-P36))</f>
        <v>0</v>
      </c>
      <c r="V36" s="10">
        <f>Table14[[#This Row],[Enrolment S.Y. 2025-2026 ]]*8</f>
        <v>4336</v>
      </c>
      <c r="W36" s="10">
        <v>100</v>
      </c>
      <c r="X36" s="8">
        <v>2025</v>
      </c>
      <c r="Y36" s="10" t="s">
        <v>9</v>
      </c>
      <c r="Z36" s="10">
        <f>IF((V36-W36)&lt;0,0,(V36-W36))</f>
        <v>4236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>
        <v>542</v>
      </c>
      <c r="D37" s="10">
        <f>Table14[[#This Row],[Enrolment S.Y. 2025-2026 ]]*8</f>
        <v>4336</v>
      </c>
      <c r="E37" s="10"/>
      <c r="F37" s="8"/>
      <c r="G37" s="10"/>
      <c r="H37" s="10">
        <f t="shared" si="16"/>
        <v>4336</v>
      </c>
      <c r="I37" s="10">
        <f t="shared" si="17"/>
        <v>0</v>
      </c>
      <c r="J37" s="10">
        <f>Table14[[#This Row],[Enrolment S.Y. 2025-2026 ]]*8</f>
        <v>4336</v>
      </c>
      <c r="K37" s="10"/>
      <c r="L37" s="8"/>
      <c r="M37" s="10"/>
      <c r="N37" s="10">
        <f t="shared" si="20"/>
        <v>4336</v>
      </c>
      <c r="O37" s="10">
        <f t="shared" si="21"/>
        <v>0</v>
      </c>
      <c r="P37" s="10">
        <f>Table14[[#This Row],[Enrolment S.Y. 2025-2026 ]]*8</f>
        <v>4336</v>
      </c>
      <c r="Q37" s="10">
        <v>100</v>
      </c>
      <c r="R37" s="8">
        <v>2025</v>
      </c>
      <c r="S37" s="10" t="s">
        <v>9</v>
      </c>
      <c r="T37" s="10">
        <f t="shared" si="10"/>
        <v>4236</v>
      </c>
      <c r="U37" s="10">
        <f t="shared" si="11"/>
        <v>0</v>
      </c>
      <c r="V37" s="10">
        <f>Table14[[#This Row],[Enrolment S.Y. 2025-2026 ]]*8</f>
        <v>4336</v>
      </c>
      <c r="W37" s="10">
        <v>100</v>
      </c>
      <c r="X37" s="8">
        <v>2025</v>
      </c>
      <c r="Y37" s="10" t="s">
        <v>9</v>
      </c>
      <c r="Z37" s="10">
        <f t="shared" si="12"/>
        <v>4236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580</v>
      </c>
      <c r="D39" s="10">
        <v>180</v>
      </c>
      <c r="E39" s="10"/>
      <c r="F39" s="8">
        <v>2025</v>
      </c>
      <c r="G39" s="10" t="s">
        <v>9</v>
      </c>
      <c r="H39" s="10">
        <f t="shared" si="16"/>
        <v>180</v>
      </c>
      <c r="I39" s="10">
        <f t="shared" si="17"/>
        <v>0</v>
      </c>
      <c r="J39" s="10">
        <f>Table14[[#This Row],[Enrolment S.Y. 2025-2026 ]]*8</f>
        <v>4640</v>
      </c>
      <c r="K39" s="10"/>
      <c r="L39" s="8"/>
      <c r="M39" s="10"/>
      <c r="N39" s="10">
        <f t="shared" si="14"/>
        <v>4640</v>
      </c>
      <c r="O39" s="10">
        <f t="shared" si="15"/>
        <v>0</v>
      </c>
      <c r="P39" s="10">
        <f>Table14[[#This Row],[Enrolment S.Y. 2025-2026 ]]*8</f>
        <v>4640</v>
      </c>
      <c r="Q39" s="10">
        <v>100</v>
      </c>
      <c r="R39" s="8">
        <v>2025</v>
      </c>
      <c r="S39" s="10" t="s">
        <v>9</v>
      </c>
      <c r="T39" s="10">
        <f t="shared" si="10"/>
        <v>4540</v>
      </c>
      <c r="U39" s="10">
        <f t="shared" si="11"/>
        <v>0</v>
      </c>
      <c r="V39" s="10">
        <f>Table14[[#This Row],[Enrolment S.Y. 2025-2026 ]]*8</f>
        <v>4640</v>
      </c>
      <c r="W39" s="10"/>
      <c r="X39" s="8"/>
      <c r="Y39" s="10"/>
      <c r="Z39" s="10">
        <f t="shared" si="12"/>
        <v>4640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580</v>
      </c>
      <c r="D40" s="10">
        <v>180</v>
      </c>
      <c r="E40" s="10"/>
      <c r="F40" s="8">
        <v>2025</v>
      </c>
      <c r="G40" s="10" t="s">
        <v>9</v>
      </c>
      <c r="H40" s="10">
        <f t="shared" si="16"/>
        <v>180</v>
      </c>
      <c r="I40" s="10">
        <f t="shared" si="17"/>
        <v>0</v>
      </c>
      <c r="J40" s="10">
        <f>Table14[[#This Row],[Enrolment S.Y. 2025-2026 ]]*8</f>
        <v>4640</v>
      </c>
      <c r="K40" s="10"/>
      <c r="L40" s="8"/>
      <c r="M40" s="10"/>
      <c r="N40" s="10">
        <f t="shared" si="14"/>
        <v>4640</v>
      </c>
      <c r="O40" s="10">
        <f t="shared" si="15"/>
        <v>0</v>
      </c>
      <c r="P40" s="10">
        <f>Table14[[#This Row],[Enrolment S.Y. 2025-2026 ]]*8</f>
        <v>4640</v>
      </c>
      <c r="Q40" s="10">
        <v>100</v>
      </c>
      <c r="R40" s="8">
        <v>2025</v>
      </c>
      <c r="S40" s="10" t="s">
        <v>9</v>
      </c>
      <c r="T40" s="10">
        <f t="shared" si="10"/>
        <v>4540</v>
      </c>
      <c r="U40" s="10">
        <f t="shared" si="11"/>
        <v>0</v>
      </c>
      <c r="V40" s="10">
        <f>Table14[[#This Row],[Enrolment S.Y. 2025-2026 ]]*8</f>
        <v>4640</v>
      </c>
      <c r="W40" s="10"/>
      <c r="X40" s="8"/>
      <c r="Y40" s="10"/>
      <c r="Z40" s="10">
        <f t="shared" si="12"/>
        <v>4640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580</v>
      </c>
      <c r="D42" s="10">
        <f>Table14[[#This Row],[Enrolment S.Y. 2025-2026 ]]*8</f>
        <v>4640</v>
      </c>
      <c r="E42" s="10"/>
      <c r="F42" s="8"/>
      <c r="G42" s="10"/>
      <c r="H42" s="10">
        <f t="shared" si="16"/>
        <v>4640</v>
      </c>
      <c r="I42" s="10">
        <f t="shared" si="17"/>
        <v>0</v>
      </c>
      <c r="J42" s="10">
        <f>Table14[[#This Row],[Enrolment S.Y. 2025-2026 ]]*8</f>
        <v>4640</v>
      </c>
      <c r="K42" s="10"/>
      <c r="L42" s="8"/>
      <c r="M42" s="10"/>
      <c r="N42" s="10">
        <f t="shared" si="14"/>
        <v>4640</v>
      </c>
      <c r="O42" s="10">
        <f t="shared" si="15"/>
        <v>0</v>
      </c>
      <c r="P42" s="10">
        <f>Table14[[#This Row],[Enrolment S.Y. 2025-2026 ]]*8</f>
        <v>4640</v>
      </c>
      <c r="Q42" s="10">
        <v>100</v>
      </c>
      <c r="R42" s="8">
        <v>2025</v>
      </c>
      <c r="S42" s="10" t="s">
        <v>9</v>
      </c>
      <c r="T42" s="10">
        <f t="shared" si="10"/>
        <v>4540</v>
      </c>
      <c r="U42" s="10">
        <f t="shared" si="11"/>
        <v>0</v>
      </c>
      <c r="V42" s="10">
        <f>Table14[[#This Row],[Enrolment S.Y. 2025-2026 ]]*8</f>
        <v>4640</v>
      </c>
      <c r="W42" s="10"/>
      <c r="X42" s="8"/>
      <c r="Y42" s="10"/>
      <c r="Z42" s="10">
        <f t="shared" si="12"/>
        <v>4640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580</v>
      </c>
      <c r="D43" s="10">
        <f>Table14[[#This Row],[Enrolment S.Y. 2025-2026 ]]*8</f>
        <v>4640</v>
      </c>
      <c r="E43" s="10"/>
      <c r="F43" s="8"/>
      <c r="G43" s="10"/>
      <c r="H43" s="10">
        <f t="shared" si="16"/>
        <v>4640</v>
      </c>
      <c r="I43" s="10">
        <f t="shared" si="17"/>
        <v>0</v>
      </c>
      <c r="J43" s="10">
        <f>Table14[[#This Row],[Enrolment S.Y. 2025-2026 ]]*8</f>
        <v>4640</v>
      </c>
      <c r="K43" s="10"/>
      <c r="L43" s="8"/>
      <c r="M43" s="10"/>
      <c r="N43" s="10">
        <f t="shared" si="14"/>
        <v>4640</v>
      </c>
      <c r="O43" s="10">
        <f t="shared" si="15"/>
        <v>0</v>
      </c>
      <c r="P43" s="10">
        <f>Table14[[#This Row],[Enrolment S.Y. 2025-2026 ]]*8</f>
        <v>4640</v>
      </c>
      <c r="Q43" s="10">
        <v>100</v>
      </c>
      <c r="R43" s="8">
        <v>2025</v>
      </c>
      <c r="S43" s="10" t="s">
        <v>9</v>
      </c>
      <c r="T43" s="10">
        <f t="shared" si="10"/>
        <v>4540</v>
      </c>
      <c r="U43" s="10">
        <f t="shared" si="11"/>
        <v>0</v>
      </c>
      <c r="V43" s="10">
        <f>Table14[[#This Row],[Enrolment S.Y. 2025-2026 ]]*8</f>
        <v>4640</v>
      </c>
      <c r="W43" s="10"/>
      <c r="X43" s="8"/>
      <c r="Y43" s="10"/>
      <c r="Z43" s="10">
        <f t="shared" si="12"/>
        <v>4640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580</v>
      </c>
      <c r="D44" s="10">
        <f>Table14[[#This Row],[Enrolment S.Y. 2025-2026 ]]*8</f>
        <v>4640</v>
      </c>
      <c r="E44" s="10"/>
      <c r="F44" s="8"/>
      <c r="G44" s="10"/>
      <c r="H44" s="10">
        <f t="shared" si="16"/>
        <v>4640</v>
      </c>
      <c r="I44" s="10">
        <f t="shared" si="17"/>
        <v>0</v>
      </c>
      <c r="J44" s="10">
        <f>Table14[[#This Row],[Enrolment S.Y. 2025-2026 ]]*8</f>
        <v>4640</v>
      </c>
      <c r="K44" s="10"/>
      <c r="L44" s="8"/>
      <c r="M44" s="10"/>
      <c r="N44" s="10">
        <f t="shared" si="14"/>
        <v>4640</v>
      </c>
      <c r="O44" s="10">
        <f t="shared" si="15"/>
        <v>0</v>
      </c>
      <c r="P44" s="10">
        <f>Table14[[#This Row],[Enrolment S.Y. 2025-2026 ]]*8</f>
        <v>4640</v>
      </c>
      <c r="Q44" s="10">
        <v>100</v>
      </c>
      <c r="R44" s="8">
        <v>2025</v>
      </c>
      <c r="S44" s="10" t="s">
        <v>9</v>
      </c>
      <c r="T44" s="10">
        <f t="shared" si="10"/>
        <v>4540</v>
      </c>
      <c r="U44" s="10">
        <f t="shared" si="11"/>
        <v>0</v>
      </c>
      <c r="V44" s="10">
        <f>Table14[[#This Row],[Enrolment S.Y. 2025-2026 ]]*8</f>
        <v>4640</v>
      </c>
      <c r="W44" s="10"/>
      <c r="X44" s="8"/>
      <c r="Y44" s="10"/>
      <c r="Z44" s="10">
        <f t="shared" si="12"/>
        <v>4640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>
        <v>580</v>
      </c>
      <c r="D46" s="10">
        <f>Table14[[#This Row],[Enrolment S.Y. 2025-2026 ]]*8</f>
        <v>4640</v>
      </c>
      <c r="E46" s="10"/>
      <c r="F46" s="8"/>
      <c r="G46" s="10"/>
      <c r="H46" s="10">
        <f t="shared" si="16"/>
        <v>4640</v>
      </c>
      <c r="I46" s="10">
        <f t="shared" si="17"/>
        <v>0</v>
      </c>
      <c r="J46" s="10">
        <f>Table14[[#This Row],[Enrolment S.Y. 2025-2026 ]]*8</f>
        <v>4640</v>
      </c>
      <c r="K46" s="10"/>
      <c r="L46" s="8"/>
      <c r="M46" s="10"/>
      <c r="N46" s="10">
        <f t="shared" si="22"/>
        <v>4640</v>
      </c>
      <c r="O46" s="10">
        <f t="shared" si="23"/>
        <v>0</v>
      </c>
      <c r="P46" s="10">
        <f>Table14[[#This Row],[Enrolment S.Y. 2025-2026 ]]*8</f>
        <v>4640</v>
      </c>
      <c r="Q46" s="10">
        <v>100</v>
      </c>
      <c r="R46" s="8">
        <v>2025</v>
      </c>
      <c r="S46" s="10" t="s">
        <v>9</v>
      </c>
      <c r="T46" s="10">
        <f>IF((P46-Q46)&lt;0,0,(P46-Q46))</f>
        <v>4540</v>
      </c>
      <c r="U46" s="10">
        <f t="shared" si="11"/>
        <v>0</v>
      </c>
      <c r="V46" s="10">
        <f>Table14[[#This Row],[Enrolment S.Y. 2025-2026 ]]*8</f>
        <v>4640</v>
      </c>
      <c r="W46" s="10"/>
      <c r="X46" s="8"/>
      <c r="Y46" s="10"/>
      <c r="Z46" s="10">
        <f t="shared" si="12"/>
        <v>4640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>
        <v>580</v>
      </c>
      <c r="D49" s="10">
        <f>Table14[[#This Row],[Enrolment S.Y. 2025-2026 ]]*8</f>
        <v>4640</v>
      </c>
      <c r="E49" s="10"/>
      <c r="F49" s="8"/>
      <c r="G49" s="10"/>
      <c r="H49" s="10">
        <f t="shared" si="16"/>
        <v>4640</v>
      </c>
      <c r="I49" s="10">
        <f t="shared" si="17"/>
        <v>0</v>
      </c>
      <c r="J49" s="10">
        <f>Table14[[#This Row],[Enrolment S.Y. 2025-2026 ]]*8</f>
        <v>4640</v>
      </c>
      <c r="K49" s="10"/>
      <c r="L49" s="8"/>
      <c r="M49" s="10"/>
      <c r="N49" s="10">
        <f t="shared" si="22"/>
        <v>4640</v>
      </c>
      <c r="O49" s="10">
        <f t="shared" si="23"/>
        <v>0</v>
      </c>
      <c r="P49" s="10">
        <f>Table14[[#This Row],[Enrolment S.Y. 2025-2026 ]]*8</f>
        <v>4640</v>
      </c>
      <c r="Q49" s="10">
        <v>100</v>
      </c>
      <c r="R49" s="8">
        <v>2025</v>
      </c>
      <c r="S49" s="10" t="s">
        <v>9</v>
      </c>
      <c r="T49" s="10">
        <f t="shared" si="10"/>
        <v>4540</v>
      </c>
      <c r="U49" s="10">
        <f t="shared" si="11"/>
        <v>0</v>
      </c>
      <c r="V49" s="10">
        <f>Table14[[#This Row],[Enrolment S.Y. 2025-2026 ]]*8</f>
        <v>4640</v>
      </c>
      <c r="W49" s="10"/>
      <c r="X49" s="8"/>
      <c r="Y49" s="10"/>
      <c r="Z49" s="10">
        <f t="shared" si="12"/>
        <v>4640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36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J77" t="e">
        <f>#REF!*8</f>
        <v>#REF!</v>
      </c>
    </row>
    <row r="78" spans="1:27" s="5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5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>
      <c r="J98" t="e">
        <f>#REF!*8</f>
        <v>#REF!</v>
      </c>
    </row>
    <row r="99" spans="1:27" ht="15">
      <c r="J99" t="e">
        <f>#REF!*8</f>
        <v>#REF!</v>
      </c>
    </row>
    <row r="100" spans="1:27" ht="15">
      <c r="J100" t="e">
        <f>#REF!*8</f>
        <v>#REF!</v>
      </c>
    </row>
    <row r="101" spans="1:27" ht="15">
      <c r="J101" t="e">
        <f>#REF!*8</f>
        <v>#REF!</v>
      </c>
    </row>
    <row r="102" spans="1:27" s="5" customFormat="1" ht="15">
      <c r="A102"/>
      <c r="B102"/>
      <c r="C102"/>
      <c r="D102"/>
      <c r="E102"/>
      <c r="F102"/>
      <c r="G102"/>
      <c r="H102"/>
      <c r="I102"/>
      <c r="J102" t="e">
        <f>#REF!*8</f>
        <v>#REF!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>
      <c r="J103" t="e">
        <f>#REF!*8</f>
        <v>#REF!</v>
      </c>
    </row>
    <row r="104" spans="1:27" ht="15">
      <c r="J104" t="e">
        <f>#REF!*8</f>
        <v>#REF!</v>
      </c>
    </row>
    <row r="105" spans="1:27" ht="15">
      <c r="J105" t="e">
        <f>#REF!*8</f>
        <v>#REF!</v>
      </c>
    </row>
    <row r="106" spans="1:27" ht="15">
      <c r="J106" t="e">
        <f>#REF!*8</f>
        <v>#REF!</v>
      </c>
    </row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D39:F49 N39:R49 T39:X49 N27:R37 N3:R13 P2:R2 D15:F25 D27:F37 D51:F58 N15:R25 V2:X2 T3:X13 Z3:AA13 H3:L13 T15:X25 Z15:AA25 H15:L25 T27:X37 Z27:AA37 H27:L37 Z39:AA49 H39:L49 N51:R58 T51:X58 Z51:AA58 H51:L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3:F13 F15:F25 F27:F37 F39:F49 F51:F58 L3:L13 L15:L25 L27:L37 L39:L49 L51:L58 R3:R13 R15:R25 R27:R37 R39:R49 R51:R58 X3:X13 X15:X25 X27:X37 X39:X49 X51:X58" xr:uid="{6D926D4A-B601-4A1A-818C-873461218711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2026-04-15T02:43:12Z</dcterms:modified>
  <cp:category/>
  <cp:contentStatus/>
</cp:coreProperties>
</file>