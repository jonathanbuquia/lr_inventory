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8" documentId="13_ncr:1_{BFB59F67-F0DC-4675-A682-EB0734A8026A}" xr6:coauthVersionLast="47" xr6:coauthVersionMax="47" xr10:uidLastSave="{279791B3-D639-4E40-A3FD-FC6CE007474C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I104" i="5"/>
  <c r="V103" i="5"/>
  <c r="AA103" i="5" s="1"/>
  <c r="P103" i="5"/>
  <c r="U103" i="5" s="1"/>
  <c r="J103" i="5"/>
  <c r="O103" i="5" s="1"/>
  <c r="I103" i="5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I93" i="5"/>
  <c r="V92" i="5"/>
  <c r="AA92" i="5" s="1"/>
  <c r="P92" i="5"/>
  <c r="U92" i="5" s="1"/>
  <c r="J92" i="5"/>
  <c r="O92" i="5" s="1"/>
  <c r="I92" i="5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95" i="5" l="1"/>
  <c r="O95" i="5"/>
  <c r="U110" i="5"/>
  <c r="T110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<sst xmlns="http://schemas.openxmlformats.org/spreadsheetml/2006/main" count="432" uniqueCount="91">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</sst>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4" activePane="topRight" state="frozen"/>
      <selection pane="topRight" activeCell="C91" sqref="C91:C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682</v>
      </c>
      <c r="D51" s="10">
        <v>859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177</v>
      </c>
    </row>
    <row r="52" spans="1:8" ht="27.75" customHeight="1">
      <c r="A52" s="10">
        <v>7</v>
      </c>
      <c r="B52" s="11" t="s">
        <v>15</v>
      </c>
      <c r="C52" s="10">
        <v>682</v>
      </c>
      <c r="D52" s="10">
        <v>859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177</v>
      </c>
    </row>
    <row r="53" spans="1:8" ht="27.75" customHeight="1">
      <c r="A53" s="10">
        <v>7</v>
      </c>
      <c r="B53" s="11" t="s">
        <v>12</v>
      </c>
      <c r="C53" s="10">
        <v>682</v>
      </c>
      <c r="D53" s="10">
        <v>859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177</v>
      </c>
    </row>
    <row r="54" spans="1:8" ht="27.75" customHeight="1">
      <c r="A54" s="10">
        <v>7</v>
      </c>
      <c r="B54" s="11" t="s">
        <v>21</v>
      </c>
      <c r="C54" s="10">
        <v>682</v>
      </c>
      <c r="D54" s="10"/>
      <c r="E54" s="10"/>
      <c r="F54" s="12"/>
      <c r="G54" s="3">
        <f t="shared" si="10"/>
        <v>682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682</v>
      </c>
      <c r="D55" s="10">
        <v>859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177</v>
      </c>
    </row>
    <row r="56" spans="1:8" ht="27.75" customHeight="1">
      <c r="A56" s="10">
        <v>7</v>
      </c>
      <c r="B56" s="11" t="s">
        <v>13</v>
      </c>
      <c r="C56" s="10">
        <v>682</v>
      </c>
      <c r="D56" s="10">
        <v>859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177</v>
      </c>
    </row>
    <row r="57" spans="1:8" ht="27.75" customHeight="1">
      <c r="A57" s="10">
        <v>7</v>
      </c>
      <c r="B57" s="11" t="s">
        <v>17</v>
      </c>
      <c r="C57" s="10">
        <v>682</v>
      </c>
      <c r="D57" s="10">
        <v>859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177</v>
      </c>
    </row>
    <row r="58" spans="1:8" ht="27.75" customHeight="1">
      <c r="A58" s="10">
        <v>7</v>
      </c>
      <c r="B58" s="11" t="s">
        <v>22</v>
      </c>
      <c r="C58" s="10">
        <v>682</v>
      </c>
      <c r="D58" s="10"/>
      <c r="E58" s="10"/>
      <c r="F58" s="12"/>
      <c r="G58" s="3">
        <f t="shared" si="10"/>
        <v>682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682</v>
      </c>
      <c r="D59" s="10">
        <v>859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177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643</v>
      </c>
      <c r="D61" s="10"/>
      <c r="E61" s="10"/>
      <c r="F61" s="12"/>
      <c r="G61" s="3">
        <f t="shared" ref="G61:G69" si="12">IF((C61-D61)&lt;0,0,C61-D61)</f>
        <v>643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643</v>
      </c>
      <c r="D62" s="10"/>
      <c r="E62" s="10"/>
      <c r="F62" s="12"/>
      <c r="G62" s="3">
        <f t="shared" si="12"/>
        <v>643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643</v>
      </c>
      <c r="D63" s="10">
        <v>652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9</v>
      </c>
    </row>
    <row r="64" spans="1:8" ht="27.75" customHeight="1">
      <c r="A64" s="10">
        <v>8</v>
      </c>
      <c r="B64" s="11" t="s">
        <v>21</v>
      </c>
      <c r="C64" s="10">
        <v>643</v>
      </c>
      <c r="D64" s="10">
        <v>652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9</v>
      </c>
    </row>
    <row r="65" spans="1:8" ht="27.75" customHeight="1">
      <c r="A65" s="10">
        <v>8</v>
      </c>
      <c r="B65" s="11" t="s">
        <v>23</v>
      </c>
      <c r="C65" s="10">
        <v>643</v>
      </c>
      <c r="D65" s="10"/>
      <c r="E65" s="10"/>
      <c r="F65" s="12"/>
      <c r="G65" s="3">
        <f t="shared" si="12"/>
        <v>643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643</v>
      </c>
      <c r="D66" s="10">
        <v>652</v>
      </c>
      <c r="E66" s="10">
        <v>2025</v>
      </c>
      <c r="F66" s="12" t="s">
        <v>20</v>
      </c>
      <c r="G66" s="3">
        <f t="shared" si="12"/>
        <v>0</v>
      </c>
      <c r="H66" s="4">
        <f t="shared" si="13"/>
        <v>9</v>
      </c>
    </row>
    <row r="67" spans="1:8" ht="27.75" customHeight="1">
      <c r="A67" s="10">
        <v>8</v>
      </c>
      <c r="B67" s="11" t="s">
        <v>17</v>
      </c>
      <c r="C67" s="10">
        <v>643</v>
      </c>
      <c r="D67" s="10"/>
      <c r="E67" s="10"/>
      <c r="F67" s="12"/>
      <c r="G67" s="3">
        <f t="shared" si="12"/>
        <v>643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643</v>
      </c>
      <c r="D68" s="10"/>
      <c r="E68" s="10"/>
      <c r="F68" s="12"/>
      <c r="G68" s="3">
        <f t="shared" si="12"/>
        <v>643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643</v>
      </c>
      <c r="D69" s="10"/>
      <c r="E69" s="10"/>
      <c r="F69" s="12"/>
      <c r="G69" s="3">
        <f t="shared" si="12"/>
        <v>643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542</v>
      </c>
      <c r="D71" s="10"/>
      <c r="E71" s="10"/>
      <c r="F71" s="12"/>
      <c r="G71" s="3">
        <f t="shared" ref="G71:G79" si="14">IF((C71-D71)&lt;0,0,C71-D71)</f>
        <v>542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542</v>
      </c>
      <c r="D72" s="10"/>
      <c r="E72" s="10"/>
      <c r="F72" s="12"/>
      <c r="G72" s="3">
        <f t="shared" si="14"/>
        <v>542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542</v>
      </c>
      <c r="D73" s="10"/>
      <c r="E73" s="10"/>
      <c r="F73" s="12"/>
      <c r="G73" s="3">
        <f t="shared" si="14"/>
        <v>542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542</v>
      </c>
      <c r="D74" s="10"/>
      <c r="E74" s="10"/>
      <c r="F74" s="12"/>
      <c r="G74" s="3">
        <f t="shared" si="14"/>
        <v>542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542</v>
      </c>
      <c r="D75" s="10"/>
      <c r="E75" s="10"/>
      <c r="F75" s="12"/>
      <c r="G75" s="3">
        <f t="shared" si="14"/>
        <v>542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542</v>
      </c>
      <c r="D76" s="10"/>
      <c r="E76" s="10"/>
      <c r="F76" s="12"/>
      <c r="G76" s="3">
        <f t="shared" si="14"/>
        <v>542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542</v>
      </c>
      <c r="D77" s="10"/>
      <c r="E77" s="10"/>
      <c r="F77" s="12"/>
      <c r="G77" s="3">
        <f t="shared" si="14"/>
        <v>542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542</v>
      </c>
      <c r="D78" s="10"/>
      <c r="E78" s="10"/>
      <c r="F78" s="12"/>
      <c r="G78" s="3">
        <f t="shared" si="14"/>
        <v>542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542</v>
      </c>
      <c r="D79" s="10"/>
      <c r="E79" s="10"/>
      <c r="F79" s="12"/>
      <c r="G79" s="3">
        <f t="shared" si="14"/>
        <v>542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580</v>
      </c>
      <c r="D81" s="10"/>
      <c r="E81" s="10"/>
      <c r="F81" s="12"/>
      <c r="G81" s="3">
        <f t="shared" ref="G81:G89" si="16">IF((C81-D81)&lt;0,0,C81-D81)</f>
        <v>580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580</v>
      </c>
      <c r="D82" s="10"/>
      <c r="E82" s="10"/>
      <c r="F82" s="12"/>
      <c r="G82" s="3">
        <f t="shared" si="16"/>
        <v>580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580</v>
      </c>
      <c r="D83" s="10"/>
      <c r="E83" s="10"/>
      <c r="F83" s="12"/>
      <c r="G83" s="3">
        <f t="shared" si="16"/>
        <v>580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580</v>
      </c>
      <c r="D84" s="10"/>
      <c r="E84" s="10"/>
      <c r="F84" s="12"/>
      <c r="G84" s="3">
        <f t="shared" si="16"/>
        <v>580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580</v>
      </c>
      <c r="D85" s="10"/>
      <c r="E85" s="10"/>
      <c r="F85" s="12"/>
      <c r="G85" s="3">
        <f t="shared" si="16"/>
        <v>580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580</v>
      </c>
      <c r="D86" s="10"/>
      <c r="E86" s="10"/>
      <c r="F86" s="12"/>
      <c r="G86" s="3">
        <f t="shared" si="16"/>
        <v>580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580</v>
      </c>
      <c r="D87" s="10"/>
      <c r="E87" s="10"/>
      <c r="F87" s="12"/>
      <c r="G87" s="3">
        <f t="shared" si="16"/>
        <v>580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580</v>
      </c>
      <c r="D88" s="10"/>
      <c r="E88" s="10"/>
      <c r="F88" s="12"/>
      <c r="G88" s="3">
        <f t="shared" si="16"/>
        <v>580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580</v>
      </c>
      <c r="D89" s="10"/>
      <c r="E89" s="10"/>
      <c r="F89" s="12"/>
      <c r="G89" s="3">
        <f t="shared" si="16"/>
        <v>580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521</v>
      </c>
      <c r="D91" s="1">
        <v>418</v>
      </c>
      <c r="E91" s="1">
        <v>2024</v>
      </c>
      <c r="F91" s="5" t="s">
        <v>20</v>
      </c>
      <c r="G91" s="3">
        <f t="shared" ref="G91:G98" si="18">IF((C91-D91)&lt;0,0,C91-D91)</f>
        <v>103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521</v>
      </c>
      <c r="D92" s="1"/>
      <c r="E92" s="1"/>
      <c r="F92" s="5"/>
      <c r="G92" s="3">
        <f t="shared" si="18"/>
        <v>521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521</v>
      </c>
      <c r="D93" s="1">
        <v>418</v>
      </c>
      <c r="E93" s="1">
        <v>2024</v>
      </c>
      <c r="F93" s="5" t="s">
        <v>20</v>
      </c>
      <c r="G93" s="3">
        <f t="shared" si="18"/>
        <v>103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521</v>
      </c>
      <c r="D94" s="1">
        <v>418</v>
      </c>
      <c r="E94" s="1">
        <v>2025</v>
      </c>
      <c r="F94" s="5" t="s">
        <v>20</v>
      </c>
      <c r="G94" s="3">
        <f t="shared" si="18"/>
        <v>103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521</v>
      </c>
      <c r="D95" s="1">
        <v>418</v>
      </c>
      <c r="E95" s="1">
        <v>2025</v>
      </c>
      <c r="F95" s="5" t="s">
        <v>20</v>
      </c>
      <c r="G95" s="3">
        <f t="shared" si="18"/>
        <v>103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521</v>
      </c>
      <c r="D96" s="1">
        <v>418</v>
      </c>
      <c r="E96" s="1">
        <v>2025</v>
      </c>
      <c r="F96" s="5" t="s">
        <v>20</v>
      </c>
      <c r="G96" s="3">
        <f t="shared" si="18"/>
        <v>103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521</v>
      </c>
      <c r="D97" s="1">
        <v>418</v>
      </c>
      <c r="E97" s="1">
        <v>2025</v>
      </c>
      <c r="F97" s="5" t="s">
        <v>20</v>
      </c>
      <c r="G97" s="3">
        <f t="shared" si="18"/>
        <v>103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521</v>
      </c>
      <c r="D98" s="1">
        <v>418</v>
      </c>
      <c r="E98" s="1">
        <v>2025</v>
      </c>
      <c r="F98" s="5" t="s">
        <v>20</v>
      </c>
      <c r="G98" s="3">
        <f t="shared" si="18"/>
        <v>103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8" zoomScale="70" zoomScaleNormal="70" workbookViewId="0">
      <selection activeCell="E71" sqref="E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106" zoomScale="55" zoomScaleNormal="55" workbookViewId="0">
      <selection activeCell="S88" sqref="S8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6" customHeight="1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542</v>
      </c>
      <c r="D91" s="12">
        <f>Table14[[#This Row],[Enrolment S.Y. 2025-2026 ]]*8</f>
        <v>4336</v>
      </c>
      <c r="E91" s="12"/>
      <c r="F91" s="10"/>
      <c r="G91" s="12"/>
      <c r="H91" s="12">
        <f t="shared" si="22"/>
        <v>4336</v>
      </c>
      <c r="I91" s="12">
        <f t="shared" si="23"/>
        <v>0</v>
      </c>
      <c r="J91" s="12">
        <f>Table14[[#This Row],[Enrolment S.Y. 2025-2026 ]]*8</f>
        <v>4336</v>
      </c>
      <c r="K91" s="12"/>
      <c r="L91" s="10"/>
      <c r="M91" s="12"/>
      <c r="N91" s="12">
        <f t="shared" si="20"/>
        <v>4336</v>
      </c>
      <c r="O91" s="12">
        <f t="shared" si="21"/>
        <v>0</v>
      </c>
      <c r="P91" s="12">
        <f>Table14[[#This Row],[Enrolment S.Y. 2025-2026 ]]*8</f>
        <v>4336</v>
      </c>
      <c r="Q91" s="12"/>
      <c r="R91" s="10"/>
      <c r="S91" s="12"/>
      <c r="T91" s="12">
        <f t="shared" si="16"/>
        <v>4336</v>
      </c>
      <c r="U91" s="12">
        <f t="shared" si="17"/>
        <v>0</v>
      </c>
      <c r="V91" s="12">
        <f>Table14[[#This Row],[Enrolment S.Y. 2025-2026 ]]*8</f>
        <v>4336</v>
      </c>
      <c r="W91" s="12">
        <v>100</v>
      </c>
      <c r="X91" s="10">
        <v>2025</v>
      </c>
      <c r="Y91" s="12" t="s">
        <v>20</v>
      </c>
      <c r="Z91" s="12">
        <f t="shared" si="18"/>
        <v>4236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542</v>
      </c>
      <c r="D92" s="12">
        <v>220</v>
      </c>
      <c r="E92" s="12"/>
      <c r="F92" s="10">
        <v>2025</v>
      </c>
      <c r="G92" s="12" t="s">
        <v>20</v>
      </c>
      <c r="H92" s="12">
        <f t="shared" si="22"/>
        <v>220</v>
      </c>
      <c r="I92" s="12">
        <f t="shared" si="23"/>
        <v>0</v>
      </c>
      <c r="J92" s="12">
        <f>Table14[[#This Row],[Enrolment S.Y. 2025-2026 ]]*8</f>
        <v>4336</v>
      </c>
      <c r="K92" s="12"/>
      <c r="L92" s="10"/>
      <c r="M92" s="12"/>
      <c r="N92" s="12">
        <f t="shared" si="20"/>
        <v>4336</v>
      </c>
      <c r="O92" s="12">
        <f t="shared" si="21"/>
        <v>0</v>
      </c>
      <c r="P92" s="12">
        <f>Table14[[#This Row],[Enrolment S.Y. 2025-2026 ]]*8</f>
        <v>4336</v>
      </c>
      <c r="Q92" s="12">
        <v>100</v>
      </c>
      <c r="R92" s="10">
        <v>2025</v>
      </c>
      <c r="S92" s="12" t="s">
        <v>20</v>
      </c>
      <c r="T92" s="12">
        <f t="shared" si="16"/>
        <v>4236</v>
      </c>
      <c r="U92" s="12">
        <f t="shared" si="17"/>
        <v>0</v>
      </c>
      <c r="V92" s="12">
        <f>Table14[[#This Row],[Enrolment S.Y. 2025-2026 ]]*8</f>
        <v>4336</v>
      </c>
      <c r="W92" s="12">
        <v>100</v>
      </c>
      <c r="X92" s="10">
        <v>2025</v>
      </c>
      <c r="Y92" s="12" t="s">
        <v>20</v>
      </c>
      <c r="Z92" s="12">
        <f t="shared" si="18"/>
        <v>4236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542</v>
      </c>
      <c r="D93" s="12">
        <v>220</v>
      </c>
      <c r="E93" s="12"/>
      <c r="F93" s="10">
        <v>2025</v>
      </c>
      <c r="G93" s="12" t="s">
        <v>20</v>
      </c>
      <c r="H93" s="12">
        <f t="shared" si="22"/>
        <v>220</v>
      </c>
      <c r="I93" s="12">
        <f t="shared" si="23"/>
        <v>0</v>
      </c>
      <c r="J93" s="12">
        <f>Table14[[#This Row],[Enrolment S.Y. 2025-2026 ]]*8</f>
        <v>4336</v>
      </c>
      <c r="K93" s="12"/>
      <c r="L93" s="10"/>
      <c r="M93" s="12"/>
      <c r="N93" s="12">
        <f t="shared" si="20"/>
        <v>4336</v>
      </c>
      <c r="O93" s="12">
        <f t="shared" si="21"/>
        <v>0</v>
      </c>
      <c r="P93" s="12">
        <f>Table14[[#This Row],[Enrolment S.Y. 2025-2026 ]]*8</f>
        <v>4336</v>
      </c>
      <c r="Q93" s="12">
        <v>100</v>
      </c>
      <c r="R93" s="10">
        <v>2025</v>
      </c>
      <c r="S93" s="12" t="s">
        <v>20</v>
      </c>
      <c r="T93" s="12">
        <f t="shared" si="16"/>
        <v>4236</v>
      </c>
      <c r="U93" s="12">
        <f t="shared" si="17"/>
        <v>0</v>
      </c>
      <c r="V93" s="12">
        <f>Table14[[#This Row],[Enrolment S.Y. 2025-2026 ]]*8</f>
        <v>4336</v>
      </c>
      <c r="W93" s="12"/>
      <c r="X93" s="10"/>
      <c r="Y93" s="12"/>
      <c r="Z93" s="12">
        <f t="shared" si="18"/>
        <v>4336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542</v>
      </c>
      <c r="D94" s="12">
        <f>Table14[[#This Row],[Enrolment S.Y. 2025-2026 ]]*8</f>
        <v>4336</v>
      </c>
      <c r="E94" s="12"/>
      <c r="F94" s="10"/>
      <c r="G94" s="12"/>
      <c r="H94" s="12">
        <f t="shared" si="22"/>
        <v>4336</v>
      </c>
      <c r="I94" s="12">
        <f t="shared" si="23"/>
        <v>0</v>
      </c>
      <c r="J94" s="12">
        <f>Table14[[#This Row],[Enrolment S.Y. 2025-2026 ]]*8</f>
        <v>4336</v>
      </c>
      <c r="K94" s="12"/>
      <c r="L94" s="10"/>
      <c r="M94" s="12"/>
      <c r="N94" s="12">
        <f t="shared" si="20"/>
        <v>4336</v>
      </c>
      <c r="O94" s="12">
        <f t="shared" si="21"/>
        <v>0</v>
      </c>
      <c r="P94" s="12">
        <f>Table14[[#This Row],[Enrolment S.Y. 2025-2026 ]]*8</f>
        <v>4336</v>
      </c>
      <c r="Q94" s="12">
        <v>100</v>
      </c>
      <c r="R94" s="10">
        <v>2025</v>
      </c>
      <c r="S94" s="12" t="s">
        <v>20</v>
      </c>
      <c r="T94" s="12">
        <f t="shared" si="16"/>
        <v>4236</v>
      </c>
      <c r="U94" s="12">
        <f t="shared" si="17"/>
        <v>0</v>
      </c>
      <c r="V94" s="12">
        <f>Table14[[#This Row],[Enrolment S.Y. 2025-2026 ]]*8</f>
        <v>4336</v>
      </c>
      <c r="W94" s="12">
        <v>100</v>
      </c>
      <c r="X94" s="10">
        <v>2025</v>
      </c>
      <c r="Y94" s="12" t="s">
        <v>20</v>
      </c>
      <c r="Z94" s="12">
        <f t="shared" si="18"/>
        <v>4236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542</v>
      </c>
      <c r="D95" s="12">
        <f>Table14[[#This Row],[Enrolment S.Y. 2025-2026 ]]*8</f>
        <v>4336</v>
      </c>
      <c r="E95" s="12"/>
      <c r="F95" s="10"/>
      <c r="G95" s="12"/>
      <c r="H95" s="12">
        <f t="shared" si="22"/>
        <v>4336</v>
      </c>
      <c r="I95" s="12">
        <f t="shared" si="23"/>
        <v>0</v>
      </c>
      <c r="J95" s="12">
        <f>Table14[[#This Row],[Enrolment S.Y. 2025-2026 ]]*8</f>
        <v>4336</v>
      </c>
      <c r="K95" s="12"/>
      <c r="L95" s="10"/>
      <c r="M95" s="12"/>
      <c r="N95" s="12">
        <f t="shared" si="20"/>
        <v>4336</v>
      </c>
      <c r="O95" s="12">
        <f t="shared" si="21"/>
        <v>0</v>
      </c>
      <c r="P95" s="12">
        <f>Table14[[#This Row],[Enrolment S.Y. 2025-2026 ]]*8</f>
        <v>4336</v>
      </c>
      <c r="Q95" s="12">
        <v>100</v>
      </c>
      <c r="R95" s="10">
        <v>2025</v>
      </c>
      <c r="S95" s="12" t="s">
        <v>20</v>
      </c>
      <c r="T95" s="12">
        <f t="shared" si="16"/>
        <v>4236</v>
      </c>
      <c r="U95" s="12">
        <f t="shared" si="17"/>
        <v>0</v>
      </c>
      <c r="V95" s="12">
        <f>Table14[[#This Row],[Enrolment S.Y. 2025-2026 ]]*8</f>
        <v>4336</v>
      </c>
      <c r="W95" s="12">
        <v>100</v>
      </c>
      <c r="X95" s="10">
        <v>2025</v>
      </c>
      <c r="Y95" s="12" t="s">
        <v>20</v>
      </c>
      <c r="Z95" s="12">
        <f t="shared" si="18"/>
        <v>4236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542</v>
      </c>
      <c r="D96" s="12">
        <f>Table14[[#This Row],[Enrolment S.Y. 2025-2026 ]]*8</f>
        <v>4336</v>
      </c>
      <c r="E96" s="12"/>
      <c r="F96" s="10"/>
      <c r="G96" s="12"/>
      <c r="H96" s="12">
        <f t="shared" si="22"/>
        <v>4336</v>
      </c>
      <c r="I96" s="12">
        <f t="shared" si="23"/>
        <v>0</v>
      </c>
      <c r="J96" s="12">
        <f>Table14[[#This Row],[Enrolment S.Y. 2025-2026 ]]*8</f>
        <v>4336</v>
      </c>
      <c r="K96" s="12"/>
      <c r="L96" s="10"/>
      <c r="M96" s="12"/>
      <c r="N96" s="12">
        <f t="shared" si="20"/>
        <v>4336</v>
      </c>
      <c r="O96" s="12">
        <f t="shared" si="21"/>
        <v>0</v>
      </c>
      <c r="P96" s="12">
        <f>Table14[[#This Row],[Enrolment S.Y. 2025-2026 ]]*8</f>
        <v>4336</v>
      </c>
      <c r="Q96" s="12">
        <v>100</v>
      </c>
      <c r="R96" s="10">
        <v>2025</v>
      </c>
      <c r="S96" s="12" t="s">
        <v>20</v>
      </c>
      <c r="T96" s="12">
        <f t="shared" si="16"/>
        <v>4236</v>
      </c>
      <c r="U96" s="12">
        <f t="shared" si="17"/>
        <v>0</v>
      </c>
      <c r="V96" s="12">
        <f>Table14[[#This Row],[Enrolment S.Y. 2025-2026 ]]*8</f>
        <v>4336</v>
      </c>
      <c r="W96" s="12">
        <v>100</v>
      </c>
      <c r="X96" s="10">
        <v>2025</v>
      </c>
      <c r="Y96" s="12" t="s">
        <v>20</v>
      </c>
      <c r="Z96" s="12">
        <f t="shared" si="18"/>
        <v>4236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542</v>
      </c>
      <c r="D97" s="12">
        <f>Table14[[#This Row],[Enrolment S.Y. 2025-2026 ]]*8</f>
        <v>4336</v>
      </c>
      <c r="E97" s="12"/>
      <c r="F97" s="10"/>
      <c r="G97" s="12"/>
      <c r="H97" s="12">
        <f>IF((D97-E97)&lt;0,0,(D97-E97))</f>
        <v>4336</v>
      </c>
      <c r="I97" s="12">
        <f>IF((E97-D97)&lt;0,0,(E97-D97))</f>
        <v>0</v>
      </c>
      <c r="J97" s="12">
        <f>Table14[[#This Row],[Enrolment S.Y. 2025-2026 ]]*8</f>
        <v>4336</v>
      </c>
      <c r="K97" s="12"/>
      <c r="L97" s="10"/>
      <c r="M97" s="12"/>
      <c r="N97" s="12">
        <f t="shared" ref="N97:N101" si="26">IF((J97-K97)&lt;0,0,(J97-K97))</f>
        <v>4336</v>
      </c>
      <c r="O97" s="12">
        <f t="shared" ref="O97:O101" si="27">IF((K97-J97)&lt;0,0,(K97-J97))</f>
        <v>0</v>
      </c>
      <c r="P97" s="12">
        <f>Table14[[#This Row],[Enrolment S.Y. 2025-2026 ]]*8</f>
        <v>4336</v>
      </c>
      <c r="Q97" s="12"/>
      <c r="R97" s="10"/>
      <c r="S97" s="12"/>
      <c r="T97" s="12">
        <f>IF((P97-Q97)&lt;0,0,(P97-Q97))</f>
        <v>4336</v>
      </c>
      <c r="U97" s="12">
        <f>IF((Q97-P97)&lt;0,0,(Q97-P97))</f>
        <v>0</v>
      </c>
      <c r="V97" s="12">
        <f>Table14[[#This Row],[Enrolment S.Y. 2025-2026 ]]*8</f>
        <v>4336</v>
      </c>
      <c r="W97" s="12">
        <v>100</v>
      </c>
      <c r="X97" s="10">
        <v>2025</v>
      </c>
      <c r="Y97" s="12" t="s">
        <v>20</v>
      </c>
      <c r="Z97" s="12">
        <f>IF((V97-W97)&lt;0,0,(V97-W97))</f>
        <v>4236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542</v>
      </c>
      <c r="D98" s="12">
        <f>Table14[[#This Row],[Enrolment S.Y. 2025-2026 ]]*8</f>
        <v>4336</v>
      </c>
      <c r="E98" s="12"/>
      <c r="F98" s="10"/>
      <c r="G98" s="12"/>
      <c r="H98" s="12">
        <f t="shared" si="22"/>
        <v>4336</v>
      </c>
      <c r="I98" s="12">
        <f t="shared" si="23"/>
        <v>0</v>
      </c>
      <c r="J98" s="12">
        <f>Table14[[#This Row],[Enrolment S.Y. 2025-2026 ]]*8</f>
        <v>4336</v>
      </c>
      <c r="K98" s="12"/>
      <c r="L98" s="10"/>
      <c r="M98" s="12"/>
      <c r="N98" s="12">
        <f t="shared" si="26"/>
        <v>4336</v>
      </c>
      <c r="O98" s="12">
        <f t="shared" si="27"/>
        <v>0</v>
      </c>
      <c r="P98" s="12">
        <f>Table14[[#This Row],[Enrolment S.Y. 2025-2026 ]]*8</f>
        <v>4336</v>
      </c>
      <c r="Q98" s="12"/>
      <c r="R98" s="10"/>
      <c r="S98" s="12"/>
      <c r="T98" s="12">
        <f t="shared" si="16"/>
        <v>4336</v>
      </c>
      <c r="U98" s="12">
        <f t="shared" si="17"/>
        <v>0</v>
      </c>
      <c r="V98" s="12">
        <f>Table14[[#This Row],[Enrolment S.Y. 2025-2026 ]]*8</f>
        <v>4336</v>
      </c>
      <c r="W98" s="12">
        <v>100</v>
      </c>
      <c r="X98" s="10">
        <v>2025</v>
      </c>
      <c r="Y98" s="12" t="s">
        <v>20</v>
      </c>
      <c r="Z98" s="12">
        <f t="shared" si="18"/>
        <v>4236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542</v>
      </c>
      <c r="D100" s="12">
        <f>Table14[[#This Row],[Enrolment S.Y. 2025-2026 ]]*8</f>
        <v>4336</v>
      </c>
      <c r="E100" s="12"/>
      <c r="F100" s="10"/>
      <c r="G100" s="12"/>
      <c r="H100" s="12">
        <f>IF((D100-E100)&lt;0,0,(D100-E100))</f>
        <v>4336</v>
      </c>
      <c r="I100" s="12">
        <f>IF((E100-D100)&lt;0,0,(E100-D100))</f>
        <v>0</v>
      </c>
      <c r="J100" s="12">
        <f>Table14[[#This Row],[Enrolment S.Y. 2025-2026 ]]*8</f>
        <v>4336</v>
      </c>
      <c r="K100" s="12"/>
      <c r="L100" s="10"/>
      <c r="M100" s="12"/>
      <c r="N100" s="12">
        <f t="shared" si="26"/>
        <v>4336</v>
      </c>
      <c r="O100" s="12">
        <f t="shared" si="27"/>
        <v>0</v>
      </c>
      <c r="P100" s="12">
        <f>Table14[[#This Row],[Enrolment S.Y. 2025-2026 ]]*8</f>
        <v>4336</v>
      </c>
      <c r="Q100" s="12">
        <v>100</v>
      </c>
      <c r="R100" s="10">
        <v>2025</v>
      </c>
      <c r="S100" s="12" t="s">
        <v>20</v>
      </c>
      <c r="T100" s="12">
        <f>IF((P100-Q100)&lt;0,0,(P100-Q100))</f>
        <v>4236</v>
      </c>
      <c r="U100" s="12">
        <f>IF((Q100-P100)&lt;0,0,(Q100-P100))</f>
        <v>0</v>
      </c>
      <c r="V100" s="12">
        <f>Table14[[#This Row],[Enrolment S.Y. 2025-2026 ]]*8</f>
        <v>4336</v>
      </c>
      <c r="W100" s="12">
        <v>100</v>
      </c>
      <c r="X100" s="10">
        <v>2025</v>
      </c>
      <c r="Y100" s="12" t="s">
        <v>20</v>
      </c>
      <c r="Z100" s="12">
        <f>IF((V100-W100)&lt;0,0,(V100-W100))</f>
        <v>4236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542</v>
      </c>
      <c r="D101" s="12">
        <f>Table14[[#This Row],[Enrolment S.Y. 2025-2026 ]]*8</f>
        <v>4336</v>
      </c>
      <c r="E101" s="12"/>
      <c r="F101" s="10"/>
      <c r="G101" s="12"/>
      <c r="H101" s="12">
        <f t="shared" si="22"/>
        <v>4336</v>
      </c>
      <c r="I101" s="12">
        <f t="shared" si="23"/>
        <v>0</v>
      </c>
      <c r="J101" s="12">
        <f>Table14[[#This Row],[Enrolment S.Y. 2025-2026 ]]*8</f>
        <v>4336</v>
      </c>
      <c r="K101" s="12"/>
      <c r="L101" s="10"/>
      <c r="M101" s="12"/>
      <c r="N101" s="12">
        <f t="shared" si="26"/>
        <v>4336</v>
      </c>
      <c r="O101" s="12">
        <f t="shared" si="27"/>
        <v>0</v>
      </c>
      <c r="P101" s="12">
        <f>Table14[[#This Row],[Enrolment S.Y. 2025-2026 ]]*8</f>
        <v>4336</v>
      </c>
      <c r="Q101" s="12">
        <v>100</v>
      </c>
      <c r="R101" s="10">
        <v>2025</v>
      </c>
      <c r="S101" s="12" t="s">
        <v>20</v>
      </c>
      <c r="T101" s="12">
        <f t="shared" si="16"/>
        <v>4236</v>
      </c>
      <c r="U101" s="12">
        <f t="shared" si="17"/>
        <v>0</v>
      </c>
      <c r="V101" s="12">
        <f>Table14[[#This Row],[Enrolment S.Y. 2025-2026 ]]*8</f>
        <v>4336</v>
      </c>
      <c r="W101" s="12">
        <v>100</v>
      </c>
      <c r="X101" s="10">
        <v>2025</v>
      </c>
      <c r="Y101" s="12" t="s">
        <v>20</v>
      </c>
      <c r="Z101" s="12">
        <f t="shared" si="18"/>
        <v>4236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580</v>
      </c>
      <c r="D103" s="12">
        <v>180</v>
      </c>
      <c r="E103" s="12"/>
      <c r="F103" s="10">
        <v>2025</v>
      </c>
      <c r="G103" s="12" t="s">
        <v>20</v>
      </c>
      <c r="H103" s="12">
        <f t="shared" si="22"/>
        <v>180</v>
      </c>
      <c r="I103" s="12">
        <f t="shared" si="23"/>
        <v>0</v>
      </c>
      <c r="J103" s="12">
        <f>Table14[[#This Row],[Enrolment S.Y. 2025-2026 ]]*8</f>
        <v>4640</v>
      </c>
      <c r="K103" s="12"/>
      <c r="L103" s="10"/>
      <c r="M103" s="12"/>
      <c r="N103" s="12">
        <f t="shared" si="20"/>
        <v>4640</v>
      </c>
      <c r="O103" s="12">
        <f t="shared" si="21"/>
        <v>0</v>
      </c>
      <c r="P103" s="12">
        <f>Table14[[#This Row],[Enrolment S.Y. 2025-2026 ]]*8</f>
        <v>4640</v>
      </c>
      <c r="Q103" s="12">
        <v>100</v>
      </c>
      <c r="R103" s="10">
        <v>2025</v>
      </c>
      <c r="S103" s="12" t="s">
        <v>20</v>
      </c>
      <c r="T103" s="12">
        <f t="shared" si="16"/>
        <v>4540</v>
      </c>
      <c r="U103" s="12">
        <f t="shared" si="17"/>
        <v>0</v>
      </c>
      <c r="V103" s="12">
        <f>Table14[[#This Row],[Enrolment S.Y. 2025-2026 ]]*8</f>
        <v>4640</v>
      </c>
      <c r="W103" s="12"/>
      <c r="X103" s="10"/>
      <c r="Y103" s="12"/>
      <c r="Z103" s="12">
        <f t="shared" si="18"/>
        <v>4640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580</v>
      </c>
      <c r="D104" s="12">
        <v>180</v>
      </c>
      <c r="E104" s="12"/>
      <c r="F104" s="10">
        <v>2025</v>
      </c>
      <c r="G104" s="12" t="s">
        <v>20</v>
      </c>
      <c r="H104" s="12">
        <f t="shared" si="22"/>
        <v>180</v>
      </c>
      <c r="I104" s="12">
        <f t="shared" si="23"/>
        <v>0</v>
      </c>
      <c r="J104" s="12">
        <f>Table14[[#This Row],[Enrolment S.Y. 2025-2026 ]]*8</f>
        <v>4640</v>
      </c>
      <c r="K104" s="12"/>
      <c r="L104" s="10"/>
      <c r="M104" s="12"/>
      <c r="N104" s="12">
        <f t="shared" si="20"/>
        <v>4640</v>
      </c>
      <c r="O104" s="12">
        <f t="shared" si="21"/>
        <v>0</v>
      </c>
      <c r="P104" s="12">
        <f>Table14[[#This Row],[Enrolment S.Y. 2025-2026 ]]*8</f>
        <v>4640</v>
      </c>
      <c r="Q104" s="12">
        <v>100</v>
      </c>
      <c r="R104" s="10">
        <v>2025</v>
      </c>
      <c r="S104" s="12" t="s">
        <v>20</v>
      </c>
      <c r="T104" s="12">
        <f t="shared" si="16"/>
        <v>4540</v>
      </c>
      <c r="U104" s="12">
        <f t="shared" si="17"/>
        <v>0</v>
      </c>
      <c r="V104" s="12">
        <f>Table14[[#This Row],[Enrolment S.Y. 2025-2026 ]]*8</f>
        <v>4640</v>
      </c>
      <c r="W104" s="12"/>
      <c r="X104" s="10"/>
      <c r="Y104" s="12"/>
      <c r="Z104" s="12">
        <f t="shared" si="18"/>
        <v>4640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580</v>
      </c>
      <c r="D106" s="12">
        <f>Table14[[#This Row],[Enrolment S.Y. 2025-2026 ]]*8</f>
        <v>4640</v>
      </c>
      <c r="E106" s="12"/>
      <c r="F106" s="10"/>
      <c r="G106" s="12"/>
      <c r="H106" s="12">
        <f t="shared" si="22"/>
        <v>4640</v>
      </c>
      <c r="I106" s="12">
        <f t="shared" si="23"/>
        <v>0</v>
      </c>
      <c r="J106" s="12">
        <f>Table14[[#This Row],[Enrolment S.Y. 2025-2026 ]]*8</f>
        <v>4640</v>
      </c>
      <c r="K106" s="12"/>
      <c r="L106" s="10"/>
      <c r="M106" s="12"/>
      <c r="N106" s="12">
        <f t="shared" si="20"/>
        <v>4640</v>
      </c>
      <c r="O106" s="12">
        <f t="shared" si="21"/>
        <v>0</v>
      </c>
      <c r="P106" s="12">
        <f>Table14[[#This Row],[Enrolment S.Y. 2025-2026 ]]*8</f>
        <v>4640</v>
      </c>
      <c r="Q106" s="12">
        <v>100</v>
      </c>
      <c r="R106" s="10">
        <v>2025</v>
      </c>
      <c r="S106" s="12" t="s">
        <v>20</v>
      </c>
      <c r="T106" s="12">
        <f t="shared" si="16"/>
        <v>4540</v>
      </c>
      <c r="U106" s="12">
        <f t="shared" si="17"/>
        <v>0</v>
      </c>
      <c r="V106" s="12">
        <f>Table14[[#This Row],[Enrolment S.Y. 2025-2026 ]]*8</f>
        <v>4640</v>
      </c>
      <c r="W106" s="12"/>
      <c r="X106" s="10"/>
      <c r="Y106" s="12"/>
      <c r="Z106" s="12">
        <f t="shared" si="18"/>
        <v>4640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580</v>
      </c>
      <c r="D107" s="12">
        <f>Table14[[#This Row],[Enrolment S.Y. 2025-2026 ]]*8</f>
        <v>4640</v>
      </c>
      <c r="E107" s="12"/>
      <c r="F107" s="10"/>
      <c r="G107" s="12"/>
      <c r="H107" s="12">
        <f t="shared" si="22"/>
        <v>4640</v>
      </c>
      <c r="I107" s="12">
        <f t="shared" si="23"/>
        <v>0</v>
      </c>
      <c r="J107" s="12">
        <f>Table14[[#This Row],[Enrolment S.Y. 2025-2026 ]]*8</f>
        <v>4640</v>
      </c>
      <c r="K107" s="12"/>
      <c r="L107" s="10"/>
      <c r="M107" s="12"/>
      <c r="N107" s="12">
        <f t="shared" si="20"/>
        <v>4640</v>
      </c>
      <c r="O107" s="12">
        <f t="shared" si="21"/>
        <v>0</v>
      </c>
      <c r="P107" s="12">
        <f>Table14[[#This Row],[Enrolment S.Y. 2025-2026 ]]*8</f>
        <v>4640</v>
      </c>
      <c r="Q107" s="12">
        <v>100</v>
      </c>
      <c r="R107" s="10">
        <v>2025</v>
      </c>
      <c r="S107" s="12" t="s">
        <v>20</v>
      </c>
      <c r="T107" s="12">
        <f t="shared" si="16"/>
        <v>4540</v>
      </c>
      <c r="U107" s="12">
        <f t="shared" si="17"/>
        <v>0</v>
      </c>
      <c r="V107" s="12">
        <f>Table14[[#This Row],[Enrolment S.Y. 2025-2026 ]]*8</f>
        <v>4640</v>
      </c>
      <c r="W107" s="12"/>
      <c r="X107" s="10"/>
      <c r="Y107" s="12"/>
      <c r="Z107" s="12">
        <f t="shared" si="18"/>
        <v>4640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580</v>
      </c>
      <c r="D108" s="12">
        <f>Table14[[#This Row],[Enrolment S.Y. 2025-2026 ]]*8</f>
        <v>4640</v>
      </c>
      <c r="E108" s="12"/>
      <c r="F108" s="10"/>
      <c r="G108" s="12"/>
      <c r="H108" s="12">
        <f t="shared" si="22"/>
        <v>4640</v>
      </c>
      <c r="I108" s="12">
        <f t="shared" si="23"/>
        <v>0</v>
      </c>
      <c r="J108" s="12">
        <f>Table14[[#This Row],[Enrolment S.Y. 2025-2026 ]]*8</f>
        <v>4640</v>
      </c>
      <c r="K108" s="12"/>
      <c r="L108" s="10"/>
      <c r="M108" s="12"/>
      <c r="N108" s="12">
        <f t="shared" si="20"/>
        <v>4640</v>
      </c>
      <c r="O108" s="12">
        <f t="shared" si="21"/>
        <v>0</v>
      </c>
      <c r="P108" s="12">
        <f>Table14[[#This Row],[Enrolment S.Y. 2025-2026 ]]*8</f>
        <v>4640</v>
      </c>
      <c r="Q108" s="12">
        <v>100</v>
      </c>
      <c r="R108" s="10">
        <v>2025</v>
      </c>
      <c r="S108" s="12" t="s">
        <v>20</v>
      </c>
      <c r="T108" s="12">
        <f t="shared" si="16"/>
        <v>4540</v>
      </c>
      <c r="U108" s="12">
        <f t="shared" si="17"/>
        <v>0</v>
      </c>
      <c r="V108" s="12">
        <f>Table14[[#This Row],[Enrolment S.Y. 2025-2026 ]]*8</f>
        <v>4640</v>
      </c>
      <c r="W108" s="12"/>
      <c r="X108" s="10"/>
      <c r="Y108" s="12"/>
      <c r="Z108" s="12">
        <f t="shared" si="18"/>
        <v>4640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580</v>
      </c>
      <c r="D110" s="12">
        <f>Table14[[#This Row],[Enrolment S.Y. 2025-2026 ]]*8</f>
        <v>4640</v>
      </c>
      <c r="E110" s="12"/>
      <c r="F110" s="10"/>
      <c r="G110" s="12"/>
      <c r="H110" s="12">
        <f t="shared" si="22"/>
        <v>4640</v>
      </c>
      <c r="I110" s="12">
        <f t="shared" si="23"/>
        <v>0</v>
      </c>
      <c r="J110" s="12">
        <f>Table14[[#This Row],[Enrolment S.Y. 2025-2026 ]]*8</f>
        <v>4640</v>
      </c>
      <c r="K110" s="12"/>
      <c r="L110" s="10"/>
      <c r="M110" s="12"/>
      <c r="N110" s="12">
        <f t="shared" si="28"/>
        <v>4640</v>
      </c>
      <c r="O110" s="12">
        <f t="shared" si="29"/>
        <v>0</v>
      </c>
      <c r="P110" s="12">
        <f>Table14[[#This Row],[Enrolment S.Y. 2025-2026 ]]*8</f>
        <v>4640</v>
      </c>
      <c r="Q110" s="12">
        <v>100</v>
      </c>
      <c r="R110" s="10">
        <v>2025</v>
      </c>
      <c r="S110" s="12" t="s">
        <v>20</v>
      </c>
      <c r="T110" s="12">
        <f>IF((P110-Q110)&lt;0,0,(P110-Q110))</f>
        <v>4540</v>
      </c>
      <c r="U110" s="12">
        <f t="shared" si="17"/>
        <v>0</v>
      </c>
      <c r="V110" s="12">
        <f>Table14[[#This Row],[Enrolment S.Y. 2025-2026 ]]*8</f>
        <v>4640</v>
      </c>
      <c r="W110" s="12"/>
      <c r="X110" s="10"/>
      <c r="Y110" s="12"/>
      <c r="Z110" s="12">
        <f t="shared" si="18"/>
        <v>4640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580</v>
      </c>
      <c r="D113" s="12">
        <f>Table14[[#This Row],[Enrolment S.Y. 2025-2026 ]]*8</f>
        <v>4640</v>
      </c>
      <c r="E113" s="12"/>
      <c r="F113" s="10"/>
      <c r="G113" s="12"/>
      <c r="H113" s="12">
        <f t="shared" si="22"/>
        <v>4640</v>
      </c>
      <c r="I113" s="12">
        <f t="shared" si="23"/>
        <v>0</v>
      </c>
      <c r="J113" s="12">
        <f>Table14[[#This Row],[Enrolment S.Y. 2025-2026 ]]*8</f>
        <v>4640</v>
      </c>
      <c r="K113" s="12"/>
      <c r="L113" s="10"/>
      <c r="M113" s="12"/>
      <c r="N113" s="12">
        <f t="shared" si="28"/>
        <v>4640</v>
      </c>
      <c r="O113" s="12">
        <f t="shared" si="29"/>
        <v>0</v>
      </c>
      <c r="P113" s="12">
        <f>Table14[[#This Row],[Enrolment S.Y. 2025-2026 ]]*8</f>
        <v>4640</v>
      </c>
      <c r="Q113" s="12">
        <v>100</v>
      </c>
      <c r="R113" s="10">
        <v>2025</v>
      </c>
      <c r="S113" s="12" t="s">
        <v>20</v>
      </c>
      <c r="T113" s="12">
        <f t="shared" si="16"/>
        <v>4540</v>
      </c>
      <c r="U113" s="12">
        <f t="shared" si="17"/>
        <v>0</v>
      </c>
      <c r="V113" s="12">
        <f>Table14[[#This Row],[Enrolment S.Y. 2025-2026 ]]*8</f>
        <v>4640</v>
      </c>
      <c r="W113" s="12"/>
      <c r="X113" s="10"/>
      <c r="Y113" s="12"/>
      <c r="Z113" s="12">
        <f t="shared" si="18"/>
        <v>4640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Z103:AA113 H103:L113 N115:R122 T115:X122 Z115:AA122 H115:L122 D103:F113 N31:R41 N43:R53 N55:R65 N67:R77 N79:R89 N103:R113 T103:X113 N91:R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2026-02-02T03:10:25Z</dcterms:modified>
  <cp:category/>
  <cp:contentStatus/>
</cp:coreProperties>
</file>