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10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101" documentId="13_ncr:1_{BFB59F67-F0DC-4675-A682-EB0734A8026A}" xr6:coauthVersionLast="47" xr6:coauthVersionMax="47" xr10:uidLastSave="{EEE6029E-364C-48C9-BBCA-4851F0D97414}"/>
  <bookViews>
    <workbookView xWindow="-108" yWindow="-108" windowWidth="23256" windowHeight="12456" firstSheet="2" activeTab="2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H51" i="4" s="1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G5" i="1"/>
  <c r="H5" i="1"/>
  <c r="G6" i="1"/>
  <c r="H6" i="1"/>
  <c r="G2" i="1"/>
  <c r="H98" i="1"/>
  <c r="G98" i="1"/>
  <c r="H97" i="1"/>
  <c r="G97" i="1"/>
  <c r="H96" i="1"/>
  <c r="G96" i="1"/>
  <c r="H95" i="1"/>
  <c r="G95" i="1"/>
  <c r="H94" i="1"/>
  <c r="G94" i="1"/>
  <c r="H93" i="1"/>
  <c r="G93" i="1"/>
  <c r="H92" i="1"/>
  <c r="G92" i="1"/>
  <c r="H91" i="1"/>
  <c r="G91" i="1"/>
  <c r="H89" i="1"/>
  <c r="G89" i="1"/>
  <c r="H88" i="1"/>
  <c r="G88" i="1"/>
  <c r="H87" i="1"/>
  <c r="G87" i="1"/>
  <c r="H86" i="1"/>
  <c r="G86" i="1"/>
  <c r="H85" i="1"/>
  <c r="G85" i="1"/>
  <c r="H84" i="1"/>
  <c r="G84" i="1"/>
  <c r="H83" i="1"/>
  <c r="G83" i="1"/>
  <c r="H82" i="1"/>
  <c r="G82" i="1"/>
  <c r="H81" i="1"/>
  <c r="G81" i="1"/>
  <c r="H79" i="1"/>
  <c r="G79" i="1"/>
  <c r="H78" i="1"/>
  <c r="G78" i="1"/>
  <c r="H77" i="1"/>
  <c r="G77" i="1"/>
  <c r="H76" i="1"/>
  <c r="G76" i="1"/>
  <c r="H75" i="1"/>
  <c r="G75" i="1"/>
  <c r="H74" i="1"/>
  <c r="G74" i="1"/>
  <c r="H73" i="1"/>
  <c r="G73" i="1"/>
  <c r="H72" i="1"/>
  <c r="G72" i="1"/>
  <c r="H71" i="1"/>
  <c r="G71" i="1"/>
  <c r="H69" i="1"/>
  <c r="G69" i="1"/>
  <c r="H68" i="1"/>
  <c r="G68" i="1"/>
  <c r="H67" i="1"/>
  <c r="G67" i="1"/>
  <c r="H66" i="1"/>
  <c r="H65" i="1"/>
  <c r="G65" i="1"/>
  <c r="H62" i="1"/>
  <c r="G62" i="1"/>
  <c r="H61" i="1"/>
  <c r="G61" i="1"/>
  <c r="H58" i="1"/>
  <c r="G58" i="1"/>
  <c r="H55" i="1"/>
  <c r="G55" i="1"/>
  <c r="H54" i="1"/>
  <c r="G54" i="1"/>
  <c r="H49" i="1"/>
  <c r="G49" i="1"/>
  <c r="H48" i="1"/>
  <c r="G48" i="1"/>
  <c r="H47" i="1"/>
  <c r="G47" i="1"/>
  <c r="H46" i="1"/>
  <c r="G46" i="1"/>
  <c r="H45" i="1"/>
  <c r="G45" i="1"/>
  <c r="H44" i="1"/>
  <c r="G44" i="1"/>
  <c r="H43" i="1"/>
  <c r="G43" i="1"/>
  <c r="H42" i="1"/>
  <c r="G42" i="1"/>
  <c r="H41" i="1"/>
  <c r="G41" i="1"/>
  <c r="H39" i="1"/>
  <c r="G39" i="1"/>
  <c r="H38" i="1"/>
  <c r="G38" i="1"/>
  <c r="H37" i="1"/>
  <c r="G37" i="1"/>
  <c r="H36" i="1"/>
  <c r="G36" i="1"/>
  <c r="H35" i="1"/>
  <c r="G35" i="1"/>
  <c r="H34" i="1"/>
  <c r="G34" i="1"/>
  <c r="H33" i="1"/>
  <c r="G33" i="1"/>
  <c r="H32" i="1"/>
  <c r="G32" i="1"/>
  <c r="H31" i="1"/>
  <c r="G31" i="1"/>
  <c r="H29" i="1"/>
  <c r="G29" i="1"/>
  <c r="H28" i="1"/>
  <c r="G28" i="1"/>
  <c r="H27" i="1"/>
  <c r="G27" i="1"/>
  <c r="H26" i="1"/>
  <c r="G26" i="1"/>
  <c r="H25" i="1"/>
  <c r="G25" i="1"/>
  <c r="H24" i="1"/>
  <c r="G24" i="1"/>
  <c r="H23" i="1"/>
  <c r="G23" i="1"/>
  <c r="H22" i="1"/>
  <c r="G22" i="1"/>
  <c r="H21" i="1"/>
  <c r="G21" i="1"/>
  <c r="H19" i="1"/>
  <c r="G19" i="1"/>
  <c r="H18" i="1"/>
  <c r="G18" i="1"/>
  <c r="H17" i="1"/>
  <c r="G17" i="1"/>
  <c r="H16" i="1"/>
  <c r="G16" i="1"/>
  <c r="H15" i="1"/>
  <c r="G15" i="1"/>
  <c r="H14" i="1"/>
  <c r="G14" i="1"/>
  <c r="H12" i="1"/>
  <c r="G12" i="1"/>
  <c r="H11" i="1"/>
  <c r="G11" i="1"/>
  <c r="H10" i="1"/>
  <c r="G10" i="1"/>
  <c r="H9" i="1"/>
  <c r="G9" i="1"/>
  <c r="H8" i="1"/>
  <c r="G8" i="1"/>
  <c r="H4" i="1"/>
  <c r="G4" i="1"/>
  <c r="H3" i="1"/>
  <c r="G3" i="1"/>
  <c r="H2" i="1"/>
  <c r="N36" i="5" l="1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1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<sst xmlns="http://schemas.openxmlformats.org/spreadsheetml/2006/main" count="397" uniqueCount="92">
  <si>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</si>
  <si>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</si>
  <si>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</si>
  <si>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</si>
  <si>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</si>
  <si>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</si>
  <si>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</si>
  <si>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Surplus-TX</t>
  </si>
  <si>
    <t>Reading and Literacy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</si>
  <si>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</si>
  <si>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</si>
  <si>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</si>
  <si>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</si>
  <si>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</si>
  <si>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</si>
  <si>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</si>
  <si>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</si>
  <si>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</si>
  <si>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</si>
  <si>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</si>
  <si>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CO</t>
  </si>
  <si>
    <t>VE</t>
  </si>
  <si>
    <t>RO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</si>
  <si>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</si>
  <si>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</si>
  <si>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</si>
  <si>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</si>
  <si>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</si>
  <si>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</si>
  <si>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</si>
  <si>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</si>
  <si>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</si>
  <si>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</si>
  <si>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</si>
  <si>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</si>
  <si>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</si>
  <si>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</si>
  <si>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</si>
  <si>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</si>
  <si>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</si>
  <si>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</si>
  <si>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</si>
  <si>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</si>
  <si>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</si>
  <si>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</si>
  <si>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</si>
  <si>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</si>
  <si>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</si>
  <si>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</si>
  <si>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</si>
  <si>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</si>
  <si>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</si>
  <si>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</si>
  <si>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</si>
  <si>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</si>
  <si>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</si>
  <si>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</si>
  <si>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</si>
  <si>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</si>
  <si>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</si>
  <si>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</si>
  <si>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</si>
  <si>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</si>
  <si>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MAPEH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</si>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</sst>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</fonts>
  <fills count="13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H145" totalsRowShown="0" headerRowDxfId="62" headerRowBorderDxfId="60" tableBorderDxfId="61">
  <autoFilter ref="A1:H145" xr:uid="{DC451CB5-2E69-4EAA-94B0-458F89F93F29}"/>
  <tableColumns count="8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98"/>
  <sheetViews>
    <sheetView zoomScale="85" zoomScaleNormal="85" workbookViewId="0">
      <pane xSplit="2" topLeftCell="D95" activePane="topRight" state="frozen"/>
      <selection pane="topRight" activeCell="E104" sqref="E104"/>
    </sheetView>
  </sheetViews>
  <sheetFormatPr defaultRowHeight="13.9"/>
  <cols>
    <col min="1" max="1" width="10.140625" bestFit="1" customWidth="1"/>
    <col min="2" max="2" width="27.85546875" customWidth="1"/>
    <col min="3" max="5" width="24.85546875" bestFit="1" customWidth="1"/>
    <col min="6" max="6" width="19.140625" bestFit="1" customWidth="1"/>
    <col min="7" max="7" width="15.140625" customWidth="1"/>
    <col min="8" max="8" width="16.140625" bestFit="1" customWidth="1"/>
  </cols>
  <sheetData>
    <row r="1" spans="1:8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19" t="s">
        <v>7</v>
      </c>
    </row>
    <row r="2" spans="1:8" ht="42.75" customHeight="1">
      <c r="A2" s="1">
        <v>1</v>
      </c>
      <c r="B2" s="2" t="s">
        <v>8</v>
      </c>
      <c r="C2" s="1"/>
      <c r="D2" s="1"/>
      <c r="E2" s="1"/>
      <c r="F2" s="5"/>
      <c r="G2" s="3">
        <f>IF((C2-D2)&lt;0,0,C2-D2)</f>
        <v>0</v>
      </c>
      <c r="H2" s="4">
        <f>IF((D2-C2)&lt;0,0,D2-C2)</f>
        <v>0</v>
      </c>
    </row>
    <row r="3" spans="1:8" ht="29.25" customHeight="1">
      <c r="A3" s="1">
        <v>1</v>
      </c>
      <c r="B3" s="2" t="s">
        <v>9</v>
      </c>
      <c r="C3" s="1"/>
      <c r="D3" s="1"/>
      <c r="E3" s="1"/>
      <c r="F3" s="5"/>
      <c r="G3" s="3">
        <f>IF((C3-D3)&lt;0,0,C3-D3)</f>
        <v>0</v>
      </c>
      <c r="H3" s="4">
        <f>IF((D3-C3)&lt;0,0,D3-C3)</f>
        <v>0</v>
      </c>
    </row>
    <row r="4" spans="1:8" ht="21" customHeight="1">
      <c r="A4" s="1">
        <v>1</v>
      </c>
      <c r="B4" s="2" t="s">
        <v>10</v>
      </c>
      <c r="C4" s="1"/>
      <c r="D4" s="1"/>
      <c r="E4" s="1"/>
      <c r="F4" s="5"/>
      <c r="G4" s="3">
        <f>IF((C4-D4)&lt;0,0,C4-D4)</f>
        <v>0</v>
      </c>
      <c r="H4" s="4">
        <f>IF((D4-C4)&lt;0,0,D4-C4)</f>
        <v>0</v>
      </c>
    </row>
    <row r="5" spans="1:8" ht="25.5" customHeight="1">
      <c r="A5" s="1">
        <v>1</v>
      </c>
      <c r="B5" s="2" t="s">
        <v>11</v>
      </c>
      <c r="C5" s="1"/>
      <c r="D5" s="1"/>
      <c r="E5" s="1"/>
      <c r="F5" s="5"/>
      <c r="G5" s="3">
        <f t="shared" ref="G5:G6" si="0">IF((C5-D5)&lt;0,0,C5-D5)</f>
        <v>0</v>
      </c>
      <c r="H5" s="4">
        <f t="shared" ref="H5:H6" si="1">IF((D5-C5)&lt;0,0,D5-C5)</f>
        <v>0</v>
      </c>
    </row>
    <row r="6" spans="1:8" ht="19.149999999999999">
      <c r="A6" s="1">
        <v>1</v>
      </c>
      <c r="B6" s="2" t="s">
        <v>12</v>
      </c>
      <c r="C6" s="1"/>
      <c r="D6" s="1"/>
      <c r="E6" s="1"/>
      <c r="F6" s="5"/>
      <c r="G6" s="3">
        <f t="shared" si="0"/>
        <v>0</v>
      </c>
      <c r="H6" s="4">
        <f t="shared" si="1"/>
        <v>0</v>
      </c>
    </row>
    <row r="7" spans="1:8">
      <c r="C7" s="6"/>
      <c r="D7" s="6"/>
      <c r="E7" s="6"/>
    </row>
    <row r="8" spans="1:8" ht="39.75" customHeight="1">
      <c r="A8" s="1">
        <v>2</v>
      </c>
      <c r="B8" s="2" t="s">
        <v>8</v>
      </c>
      <c r="C8" s="1"/>
      <c r="D8" s="1"/>
      <c r="E8" s="1"/>
      <c r="F8" s="5"/>
      <c r="G8" s="3">
        <f>IF((C8-D8)&lt;0,0,C8-D8)</f>
        <v>0</v>
      </c>
      <c r="H8" s="4">
        <f>IF((D8-C8)&lt;0,0,D8-C8)</f>
        <v>0</v>
      </c>
    </row>
    <row r="9" spans="1:8" ht="29.25" customHeight="1">
      <c r="A9" s="1">
        <v>2</v>
      </c>
      <c r="B9" s="2" t="s">
        <v>9</v>
      </c>
      <c r="C9" s="1"/>
      <c r="D9" s="1"/>
      <c r="E9" s="1"/>
      <c r="F9" s="5"/>
      <c r="G9" s="3">
        <f>IF((C9-D9)&lt;0,0,C9-D9)</f>
        <v>0</v>
      </c>
      <c r="H9" s="4">
        <f>IF((D9-C9)&lt;0,0,D9-C9)</f>
        <v>0</v>
      </c>
    </row>
    <row r="10" spans="1:8" ht="28.5" customHeight="1">
      <c r="A10" s="1">
        <v>2</v>
      </c>
      <c r="B10" s="2" t="s">
        <v>10</v>
      </c>
      <c r="C10" s="1"/>
      <c r="D10" s="1"/>
      <c r="E10" s="1"/>
      <c r="F10" s="5"/>
      <c r="G10" s="3">
        <f>IF((C10-D10)&lt;0,0,C10-D10)</f>
        <v>0</v>
      </c>
      <c r="H10" s="4">
        <f>IF((D10-C10)&lt;0,0,D10-C10)</f>
        <v>0</v>
      </c>
    </row>
    <row r="11" spans="1:8" ht="24" customHeight="1">
      <c r="A11" s="1">
        <v>2</v>
      </c>
      <c r="B11" s="2" t="s">
        <v>11</v>
      </c>
      <c r="C11" s="1"/>
      <c r="D11" s="1"/>
      <c r="E11" s="1"/>
      <c r="F11" s="5"/>
      <c r="G11" s="3">
        <f>IF((C11-D11)&lt;0,0,C11-D11)</f>
        <v>0</v>
      </c>
      <c r="H11" s="4">
        <f>IF((D11-C11)&lt;0,0,D11-C11)</f>
        <v>0</v>
      </c>
    </row>
    <row r="12" spans="1:8" ht="19.149999999999999">
      <c r="A12" s="1">
        <v>2</v>
      </c>
      <c r="B12" s="2" t="s">
        <v>12</v>
      </c>
      <c r="C12" s="1"/>
      <c r="D12" s="1"/>
      <c r="E12" s="1"/>
      <c r="F12" s="5"/>
      <c r="G12" s="3">
        <f>IF((C12-D12)&lt;0,0,C12-D12)</f>
        <v>0</v>
      </c>
      <c r="H12" s="4">
        <f>IF((D12-C12)&lt;0,0,D12-C12)</f>
        <v>0</v>
      </c>
    </row>
    <row r="13" spans="1:8">
      <c r="C13" s="6"/>
      <c r="D13" s="6"/>
      <c r="E13" s="6"/>
    </row>
    <row r="14" spans="1:8" ht="49.5" customHeight="1">
      <c r="A14" s="1">
        <v>3</v>
      </c>
      <c r="B14" s="2" t="s">
        <v>8</v>
      </c>
      <c r="C14" s="1"/>
      <c r="D14" s="1"/>
      <c r="E14" s="1"/>
      <c r="F14" s="5"/>
      <c r="G14" s="3">
        <f t="shared" ref="G14:G19" si="2">IF((C14-D14)&lt;0,0,C14-D14)</f>
        <v>0</v>
      </c>
      <c r="H14" s="4">
        <f t="shared" ref="H14:H19" si="3">IF((D14-C14)&lt;0,0,D14-C14)</f>
        <v>0</v>
      </c>
    </row>
    <row r="15" spans="1:8" ht="29.25" customHeight="1">
      <c r="A15" s="1">
        <v>3</v>
      </c>
      <c r="B15" s="2" t="s">
        <v>9</v>
      </c>
      <c r="C15" s="1"/>
      <c r="D15" s="1"/>
      <c r="E15" s="1"/>
      <c r="F15" s="5"/>
      <c r="G15" s="3">
        <f t="shared" si="2"/>
        <v>0</v>
      </c>
      <c r="H15" s="4">
        <f t="shared" si="3"/>
        <v>0</v>
      </c>
    </row>
    <row r="16" spans="1:8" ht="27" customHeight="1">
      <c r="A16" s="1">
        <v>3</v>
      </c>
      <c r="B16" s="2" t="s">
        <v>10</v>
      </c>
      <c r="C16" s="1"/>
      <c r="D16" s="1"/>
      <c r="E16" s="1"/>
      <c r="F16" s="5"/>
      <c r="G16" s="3">
        <f t="shared" si="2"/>
        <v>0</v>
      </c>
      <c r="H16" s="4">
        <f t="shared" si="3"/>
        <v>0</v>
      </c>
    </row>
    <row r="17" spans="1:8" ht="23.25" customHeight="1">
      <c r="A17" s="1">
        <v>3</v>
      </c>
      <c r="B17" s="2" t="s">
        <v>13</v>
      </c>
      <c r="C17" s="1"/>
      <c r="D17" s="1"/>
      <c r="E17" s="1"/>
      <c r="F17" s="5"/>
      <c r="G17" s="3">
        <f t="shared" si="2"/>
        <v>0</v>
      </c>
      <c r="H17" s="4">
        <f t="shared" si="3"/>
        <v>0</v>
      </c>
    </row>
    <row r="18" spans="1:8" ht="21" customHeight="1">
      <c r="A18" s="1">
        <v>3</v>
      </c>
      <c r="B18" s="2" t="s">
        <v>11</v>
      </c>
      <c r="C18" s="1"/>
      <c r="D18" s="1"/>
      <c r="E18" s="1"/>
      <c r="F18" s="5"/>
      <c r="G18" s="3">
        <f t="shared" si="2"/>
        <v>0</v>
      </c>
      <c r="H18" s="4">
        <f t="shared" si="3"/>
        <v>0</v>
      </c>
    </row>
    <row r="19" spans="1:8" ht="19.149999999999999">
      <c r="A19" s="1">
        <v>3</v>
      </c>
      <c r="B19" s="2" t="s">
        <v>12</v>
      </c>
      <c r="C19" s="1"/>
      <c r="D19" s="1"/>
      <c r="E19" s="1"/>
      <c r="F19" s="5"/>
      <c r="G19" s="3">
        <f t="shared" si="2"/>
        <v>0</v>
      </c>
      <c r="H19" s="4">
        <f t="shared" si="3"/>
        <v>0</v>
      </c>
    </row>
    <row r="20" spans="1:8">
      <c r="A20" s="7"/>
      <c r="B20" s="7"/>
      <c r="C20" s="8"/>
      <c r="D20" s="8"/>
      <c r="E20" s="8"/>
      <c r="F20" s="7"/>
      <c r="G20" s="7"/>
      <c r="H20" s="7"/>
    </row>
    <row r="21" spans="1:8" ht="28.5" customHeight="1">
      <c r="A21" s="1">
        <v>4</v>
      </c>
      <c r="B21" s="9" t="s">
        <v>14</v>
      </c>
      <c r="C21" s="1"/>
      <c r="D21" s="1"/>
      <c r="E21" s="1"/>
      <c r="F21" s="5"/>
      <c r="G21" s="3">
        <f t="shared" ref="G21:G29" si="4">IF((C21-D21)&lt;0,0,C21-D21)</f>
        <v>0</v>
      </c>
      <c r="H21" s="4">
        <f t="shared" ref="H21:H29" si="5">IF((D21-C21)&lt;0,0,D21-C21)</f>
        <v>0</v>
      </c>
    </row>
    <row r="22" spans="1:8" ht="24" customHeight="1">
      <c r="A22" s="1">
        <v>4</v>
      </c>
      <c r="B22" s="9" t="s">
        <v>15</v>
      </c>
      <c r="C22" s="1"/>
      <c r="D22" s="1"/>
      <c r="E22" s="1"/>
      <c r="F22" s="5"/>
      <c r="G22" s="3">
        <f t="shared" si="4"/>
        <v>0</v>
      </c>
      <c r="H22" s="4">
        <f t="shared" si="5"/>
        <v>0</v>
      </c>
    </row>
    <row r="23" spans="1:8" ht="19.149999999999999">
      <c r="A23" s="1">
        <v>4</v>
      </c>
      <c r="B23" s="9" t="s">
        <v>12</v>
      </c>
      <c r="C23" s="1"/>
      <c r="D23" s="1"/>
      <c r="E23" s="1"/>
      <c r="F23" s="5"/>
      <c r="G23" s="3">
        <f t="shared" si="4"/>
        <v>0</v>
      </c>
      <c r="H23" s="4">
        <f t="shared" si="5"/>
        <v>0</v>
      </c>
    </row>
    <row r="24" spans="1:8" ht="27" customHeight="1">
      <c r="A24" s="1">
        <v>4</v>
      </c>
      <c r="B24" s="9" t="s">
        <v>10</v>
      </c>
      <c r="C24" s="1"/>
      <c r="D24" s="1"/>
      <c r="E24" s="1"/>
      <c r="F24" s="5"/>
      <c r="G24" s="3">
        <f t="shared" si="4"/>
        <v>0</v>
      </c>
      <c r="H24" s="4">
        <f t="shared" si="5"/>
        <v>0</v>
      </c>
    </row>
    <row r="25" spans="1:8" ht="33.75" customHeight="1">
      <c r="A25" s="1">
        <v>4</v>
      </c>
      <c r="B25" s="9" t="s">
        <v>16</v>
      </c>
      <c r="C25" s="1"/>
      <c r="D25" s="1"/>
      <c r="E25" s="1"/>
      <c r="F25" s="5"/>
      <c r="G25" s="3">
        <f t="shared" si="4"/>
        <v>0</v>
      </c>
      <c r="H25" s="4">
        <f t="shared" si="5"/>
        <v>0</v>
      </c>
    </row>
    <row r="26" spans="1:8" ht="33.75" customHeight="1">
      <c r="A26" s="1">
        <v>4</v>
      </c>
      <c r="B26" s="9" t="s">
        <v>13</v>
      </c>
      <c r="C26" s="1"/>
      <c r="D26" s="1"/>
      <c r="E26" s="1"/>
      <c r="F26" s="5"/>
      <c r="G26" s="3">
        <f t="shared" si="4"/>
        <v>0</v>
      </c>
      <c r="H26" s="4">
        <f t="shared" si="5"/>
        <v>0</v>
      </c>
    </row>
    <row r="27" spans="1:8" ht="33.75" customHeight="1">
      <c r="A27" s="1">
        <v>4</v>
      </c>
      <c r="B27" s="9" t="s">
        <v>17</v>
      </c>
      <c r="C27" s="1"/>
      <c r="D27" s="1"/>
      <c r="E27" s="1"/>
      <c r="F27" s="5"/>
      <c r="G27" s="3">
        <f t="shared" si="4"/>
        <v>0</v>
      </c>
      <c r="H27" s="4">
        <f t="shared" si="5"/>
        <v>0</v>
      </c>
    </row>
    <row r="28" spans="1:8" ht="27.75" customHeight="1">
      <c r="A28" s="1">
        <v>4</v>
      </c>
      <c r="B28" s="9" t="s">
        <v>18</v>
      </c>
      <c r="C28" s="1"/>
      <c r="D28" s="1"/>
      <c r="E28" s="1"/>
      <c r="F28" s="5"/>
      <c r="G28" s="3">
        <f t="shared" si="4"/>
        <v>0</v>
      </c>
      <c r="H28" s="4">
        <f t="shared" si="5"/>
        <v>0</v>
      </c>
    </row>
    <row r="29" spans="1:8" ht="27.75" customHeight="1">
      <c r="A29" s="1">
        <v>4</v>
      </c>
      <c r="B29" s="9" t="s">
        <v>19</v>
      </c>
      <c r="C29" s="1"/>
      <c r="D29" s="1"/>
      <c r="E29" s="1"/>
      <c r="F29" s="5"/>
      <c r="G29" s="3">
        <f t="shared" si="4"/>
        <v>0</v>
      </c>
      <c r="H29" s="4">
        <f t="shared" si="5"/>
        <v>0</v>
      </c>
    </row>
    <row r="30" spans="1:8" ht="27.75" customHeight="1">
      <c r="A30" s="7"/>
      <c r="B30" s="7"/>
      <c r="C30" s="8"/>
      <c r="D30" s="8"/>
      <c r="E30" s="8"/>
      <c r="F30" s="7"/>
      <c r="G30" s="7"/>
      <c r="H30" s="7"/>
    </row>
    <row r="31" spans="1:8" ht="27.75" customHeight="1">
      <c r="A31" s="1">
        <v>5</v>
      </c>
      <c r="B31" s="9" t="s">
        <v>14</v>
      </c>
      <c r="C31" s="1"/>
      <c r="D31" s="1"/>
      <c r="E31" s="1"/>
      <c r="F31" s="5"/>
      <c r="G31" s="3">
        <f t="shared" ref="G31:G39" si="6">IF((C31-D31)&lt;0,0,C31-D31)</f>
        <v>0</v>
      </c>
      <c r="H31" s="4">
        <f t="shared" ref="H31:H39" si="7">IF((D31-C31)&lt;0,0,D31-C31)</f>
        <v>0</v>
      </c>
    </row>
    <row r="32" spans="1:8" ht="27.75" customHeight="1">
      <c r="A32" s="1">
        <v>5</v>
      </c>
      <c r="B32" s="9" t="s">
        <v>15</v>
      </c>
      <c r="C32" s="1"/>
      <c r="D32" s="1"/>
      <c r="E32" s="1"/>
      <c r="F32" s="5"/>
      <c r="G32" s="3">
        <f t="shared" si="6"/>
        <v>0</v>
      </c>
      <c r="H32" s="4">
        <f t="shared" si="7"/>
        <v>0</v>
      </c>
    </row>
    <row r="33" spans="1:8" ht="27.75" customHeight="1">
      <c r="A33" s="1">
        <v>5</v>
      </c>
      <c r="B33" s="9" t="s">
        <v>12</v>
      </c>
      <c r="C33" s="1"/>
      <c r="D33" s="1"/>
      <c r="E33" s="1"/>
      <c r="F33" s="5"/>
      <c r="G33" s="3">
        <f t="shared" si="6"/>
        <v>0</v>
      </c>
      <c r="H33" s="4">
        <f t="shared" si="7"/>
        <v>0</v>
      </c>
    </row>
    <row r="34" spans="1:8" ht="27.75" customHeight="1">
      <c r="A34" s="1">
        <v>5</v>
      </c>
      <c r="B34" s="9" t="s">
        <v>10</v>
      </c>
      <c r="C34" s="1"/>
      <c r="D34" s="1"/>
      <c r="E34" s="1"/>
      <c r="F34" s="5"/>
      <c r="G34" s="3">
        <f t="shared" si="6"/>
        <v>0</v>
      </c>
      <c r="H34" s="4">
        <f t="shared" si="7"/>
        <v>0</v>
      </c>
    </row>
    <row r="35" spans="1:8" ht="39" customHeight="1">
      <c r="A35" s="1">
        <v>5</v>
      </c>
      <c r="B35" s="9" t="s">
        <v>16</v>
      </c>
      <c r="C35" s="1"/>
      <c r="D35" s="1"/>
      <c r="E35" s="1"/>
      <c r="F35" s="5"/>
      <c r="G35" s="3">
        <f t="shared" si="6"/>
        <v>0</v>
      </c>
      <c r="H35" s="4">
        <f t="shared" si="7"/>
        <v>0</v>
      </c>
    </row>
    <row r="36" spans="1:8" ht="27.75" customHeight="1">
      <c r="A36" s="1">
        <v>5</v>
      </c>
      <c r="B36" s="9" t="s">
        <v>13</v>
      </c>
      <c r="C36" s="1"/>
      <c r="D36" s="1"/>
      <c r="E36" s="1"/>
      <c r="F36" s="5"/>
      <c r="G36" s="3">
        <f t="shared" si="6"/>
        <v>0</v>
      </c>
      <c r="H36" s="4">
        <f t="shared" si="7"/>
        <v>0</v>
      </c>
    </row>
    <row r="37" spans="1:8" ht="27.75" customHeight="1">
      <c r="A37" s="1">
        <v>5</v>
      </c>
      <c r="B37" s="9" t="s">
        <v>17</v>
      </c>
      <c r="C37" s="1"/>
      <c r="D37" s="1"/>
      <c r="E37" s="1"/>
      <c r="F37" s="5"/>
      <c r="G37" s="3">
        <f t="shared" si="6"/>
        <v>0</v>
      </c>
      <c r="H37" s="4">
        <f t="shared" si="7"/>
        <v>0</v>
      </c>
    </row>
    <row r="38" spans="1:8" ht="27.75" customHeight="1">
      <c r="A38" s="1">
        <v>5</v>
      </c>
      <c r="B38" s="9" t="s">
        <v>18</v>
      </c>
      <c r="C38" s="1"/>
      <c r="D38" s="1"/>
      <c r="E38" s="1"/>
      <c r="F38" s="5"/>
      <c r="G38" s="3">
        <f t="shared" si="6"/>
        <v>0</v>
      </c>
      <c r="H38" s="4">
        <f t="shared" si="7"/>
        <v>0</v>
      </c>
    </row>
    <row r="39" spans="1:8" ht="27.75" customHeight="1">
      <c r="A39" s="1">
        <v>5</v>
      </c>
      <c r="B39" s="9" t="s">
        <v>19</v>
      </c>
      <c r="C39" s="1"/>
      <c r="D39" s="1"/>
      <c r="E39" s="1"/>
      <c r="F39" s="5"/>
      <c r="G39" s="3">
        <f t="shared" si="6"/>
        <v>0</v>
      </c>
      <c r="H39" s="4">
        <f t="shared" si="7"/>
        <v>0</v>
      </c>
    </row>
    <row r="40" spans="1:8" ht="27.75" customHeight="1">
      <c r="A40" s="7"/>
      <c r="B40" s="7"/>
      <c r="C40" s="8"/>
      <c r="D40" s="8"/>
      <c r="E40" s="8"/>
      <c r="F40" s="7"/>
      <c r="G40" s="7"/>
      <c r="H40" s="7"/>
    </row>
    <row r="41" spans="1:8" ht="27.75" customHeight="1">
      <c r="A41" s="1">
        <v>6</v>
      </c>
      <c r="B41" s="9" t="s">
        <v>14</v>
      </c>
      <c r="C41" s="1"/>
      <c r="D41" s="1"/>
      <c r="E41" s="1"/>
      <c r="F41" s="5"/>
      <c r="G41" s="3">
        <f t="shared" ref="G41:G49" si="8">IF((C41-D41)&lt;0,0,C41-D41)</f>
        <v>0</v>
      </c>
      <c r="H41" s="4">
        <f t="shared" ref="H41:H49" si="9">IF((D41-C41)&lt;0,0,D41-C41)</f>
        <v>0</v>
      </c>
    </row>
    <row r="42" spans="1:8" ht="27.75" customHeight="1">
      <c r="A42" s="1">
        <v>6</v>
      </c>
      <c r="B42" s="9" t="s">
        <v>15</v>
      </c>
      <c r="C42" s="1"/>
      <c r="D42" s="1"/>
      <c r="E42" s="1"/>
      <c r="F42" s="5"/>
      <c r="G42" s="3">
        <f t="shared" si="8"/>
        <v>0</v>
      </c>
      <c r="H42" s="4">
        <f t="shared" si="9"/>
        <v>0</v>
      </c>
    </row>
    <row r="43" spans="1:8" ht="27.75" customHeight="1">
      <c r="A43" s="1">
        <v>6</v>
      </c>
      <c r="B43" s="9" t="s">
        <v>12</v>
      </c>
      <c r="C43" s="1"/>
      <c r="D43" s="1"/>
      <c r="E43" s="1"/>
      <c r="F43" s="5"/>
      <c r="G43" s="3">
        <f t="shared" si="8"/>
        <v>0</v>
      </c>
      <c r="H43" s="4">
        <f t="shared" si="9"/>
        <v>0</v>
      </c>
    </row>
    <row r="44" spans="1:8" ht="27.75" customHeight="1">
      <c r="A44" s="1">
        <v>6</v>
      </c>
      <c r="B44" s="9" t="s">
        <v>10</v>
      </c>
      <c r="C44" s="1"/>
      <c r="D44" s="1"/>
      <c r="E44" s="1"/>
      <c r="F44" s="5"/>
      <c r="G44" s="3">
        <f t="shared" si="8"/>
        <v>0</v>
      </c>
      <c r="H44" s="4">
        <f t="shared" si="9"/>
        <v>0</v>
      </c>
    </row>
    <row r="45" spans="1:8" ht="36.75" customHeight="1">
      <c r="A45" s="1">
        <v>6</v>
      </c>
      <c r="B45" s="9" t="s">
        <v>16</v>
      </c>
      <c r="C45" s="1"/>
      <c r="D45" s="1"/>
      <c r="E45" s="1"/>
      <c r="F45" s="5"/>
      <c r="G45" s="3">
        <f t="shared" si="8"/>
        <v>0</v>
      </c>
      <c r="H45" s="4">
        <f t="shared" si="9"/>
        <v>0</v>
      </c>
    </row>
    <row r="46" spans="1:8" ht="27.75" customHeight="1">
      <c r="A46" s="1">
        <v>6</v>
      </c>
      <c r="B46" s="9" t="s">
        <v>13</v>
      </c>
      <c r="C46" s="1"/>
      <c r="D46" s="1"/>
      <c r="E46" s="1"/>
      <c r="F46" s="5"/>
      <c r="G46" s="3">
        <f t="shared" si="8"/>
        <v>0</v>
      </c>
      <c r="H46" s="4">
        <f t="shared" si="9"/>
        <v>0</v>
      </c>
    </row>
    <row r="47" spans="1:8" ht="27.75" customHeight="1">
      <c r="A47" s="1">
        <v>6</v>
      </c>
      <c r="B47" s="9" t="s">
        <v>17</v>
      </c>
      <c r="C47" s="1"/>
      <c r="D47" s="1"/>
      <c r="E47" s="1"/>
      <c r="F47" s="5"/>
      <c r="G47" s="3">
        <f t="shared" si="8"/>
        <v>0</v>
      </c>
      <c r="H47" s="4">
        <f t="shared" si="9"/>
        <v>0</v>
      </c>
    </row>
    <row r="48" spans="1:8" ht="27.75" customHeight="1">
      <c r="A48" s="1">
        <v>6</v>
      </c>
      <c r="B48" s="9" t="s">
        <v>18</v>
      </c>
      <c r="C48" s="1"/>
      <c r="D48" s="1"/>
      <c r="E48" s="1"/>
      <c r="F48" s="5"/>
      <c r="G48" s="3">
        <f t="shared" si="8"/>
        <v>0</v>
      </c>
      <c r="H48" s="4">
        <f t="shared" si="9"/>
        <v>0</v>
      </c>
    </row>
    <row r="49" spans="1:8" ht="27.75" customHeight="1">
      <c r="A49" s="1">
        <v>6</v>
      </c>
      <c r="B49" s="9" t="s">
        <v>19</v>
      </c>
      <c r="C49" s="1"/>
      <c r="D49" s="1"/>
      <c r="E49" s="1"/>
      <c r="F49" s="5"/>
      <c r="G49" s="3">
        <f t="shared" si="8"/>
        <v>0</v>
      </c>
      <c r="H49" s="4">
        <f t="shared" si="9"/>
        <v>0</v>
      </c>
    </row>
    <row r="50" spans="1:8" ht="27.75" customHeight="1">
      <c r="A50" s="7"/>
      <c r="B50" s="7"/>
      <c r="C50" s="8"/>
      <c r="D50" s="8"/>
      <c r="E50" s="8"/>
      <c r="F50" s="7"/>
      <c r="G50" s="7"/>
      <c r="H50" s="7"/>
    </row>
    <row r="51" spans="1:8" ht="27.75" customHeight="1">
      <c r="A51" s="10">
        <v>7</v>
      </c>
      <c r="B51" s="11" t="s">
        <v>14</v>
      </c>
      <c r="C51" s="10"/>
      <c r="D51" s="10">
        <v>752</v>
      </c>
      <c r="E51" s="10">
        <v>2025</v>
      </c>
      <c r="F51" s="12" t="s">
        <v>20</v>
      </c>
      <c r="G51" s="3">
        <v>752</v>
      </c>
      <c r="H51" s="4">
        <v>0</v>
      </c>
    </row>
    <row r="52" spans="1:8" ht="27.75" customHeight="1">
      <c r="A52" s="10">
        <v>7</v>
      </c>
      <c r="B52" s="11" t="s">
        <v>15</v>
      </c>
      <c r="C52" s="10"/>
      <c r="D52" s="10">
        <v>752</v>
      </c>
      <c r="E52" s="10">
        <v>2025</v>
      </c>
      <c r="F52" s="12" t="s">
        <v>20</v>
      </c>
      <c r="G52" s="3">
        <v>752</v>
      </c>
      <c r="H52" s="4">
        <v>0</v>
      </c>
    </row>
    <row r="53" spans="1:8" ht="27.75" customHeight="1">
      <c r="A53" s="10">
        <v>7</v>
      </c>
      <c r="B53" s="11" t="s">
        <v>12</v>
      </c>
      <c r="C53" s="10"/>
      <c r="D53" s="10">
        <v>752</v>
      </c>
      <c r="E53" s="10">
        <v>2025</v>
      </c>
      <c r="F53" s="12" t="s">
        <v>20</v>
      </c>
      <c r="G53" s="3">
        <v>752</v>
      </c>
      <c r="H53" s="4">
        <v>0</v>
      </c>
    </row>
    <row r="54" spans="1:8" ht="27.75" customHeight="1">
      <c r="A54" s="10">
        <v>7</v>
      </c>
      <c r="B54" s="11" t="s">
        <v>21</v>
      </c>
      <c r="C54" s="10"/>
      <c r="D54" s="10"/>
      <c r="E54" s="10"/>
      <c r="F54" s="12"/>
      <c r="G54" s="3">
        <f t="shared" ref="G51:G59" si="10">IF((C54-D54)&lt;0,0,C54-D54)</f>
        <v>0</v>
      </c>
      <c r="H54" s="4">
        <f t="shared" ref="H51:H59" si="11">IF((D54-C54)&lt;0,0,D54-C54)</f>
        <v>0</v>
      </c>
    </row>
    <row r="55" spans="1:8" ht="39" customHeight="1">
      <c r="A55" s="10">
        <v>7</v>
      </c>
      <c r="B55" s="11" t="s">
        <v>16</v>
      </c>
      <c r="C55" s="10"/>
      <c r="D55" s="10"/>
      <c r="E55" s="10"/>
      <c r="F55" s="12"/>
      <c r="G55" s="3">
        <f t="shared" si="10"/>
        <v>0</v>
      </c>
      <c r="H55" s="4">
        <f t="shared" si="11"/>
        <v>0</v>
      </c>
    </row>
    <row r="56" spans="1:8" ht="27.75" customHeight="1">
      <c r="A56" s="10">
        <v>7</v>
      </c>
      <c r="B56" s="11" t="s">
        <v>13</v>
      </c>
      <c r="C56" s="10"/>
      <c r="D56" s="10">
        <v>752</v>
      </c>
      <c r="E56" s="10">
        <v>2024</v>
      </c>
      <c r="F56" s="12" t="s">
        <v>22</v>
      </c>
      <c r="G56" s="3">
        <v>752</v>
      </c>
      <c r="H56" s="4">
        <v>0</v>
      </c>
    </row>
    <row r="57" spans="1:8" ht="27.75" customHeight="1">
      <c r="A57" s="10">
        <v>7</v>
      </c>
      <c r="B57" s="11" t="s">
        <v>17</v>
      </c>
      <c r="C57" s="10"/>
      <c r="D57" s="10">
        <v>752</v>
      </c>
      <c r="E57" s="10">
        <v>2025</v>
      </c>
      <c r="F57" s="12" t="s">
        <v>20</v>
      </c>
      <c r="G57" s="3">
        <v>752</v>
      </c>
      <c r="H57" s="4">
        <v>0</v>
      </c>
    </row>
    <row r="58" spans="1:8" ht="27.75" customHeight="1">
      <c r="A58" s="10">
        <v>7</v>
      </c>
      <c r="B58" s="11" t="s">
        <v>23</v>
      </c>
      <c r="C58" s="10"/>
      <c r="D58" s="10"/>
      <c r="E58" s="10"/>
      <c r="F58" s="12"/>
      <c r="G58" s="3">
        <f t="shared" si="10"/>
        <v>0</v>
      </c>
      <c r="H58" s="4">
        <f t="shared" si="11"/>
        <v>0</v>
      </c>
    </row>
    <row r="59" spans="1:8" ht="27.75" customHeight="1">
      <c r="A59" s="10">
        <v>7</v>
      </c>
      <c r="B59" s="11" t="s">
        <v>19</v>
      </c>
      <c r="C59" s="10"/>
      <c r="D59" s="10">
        <v>752</v>
      </c>
      <c r="E59" s="10">
        <v>2025</v>
      </c>
      <c r="F59" s="12" t="s">
        <v>20</v>
      </c>
      <c r="G59" s="3">
        <v>752</v>
      </c>
      <c r="H59" s="4">
        <v>0</v>
      </c>
    </row>
    <row r="60" spans="1:8" ht="27.75" customHeight="1">
      <c r="A60" s="7"/>
      <c r="B60" s="7"/>
      <c r="C60" s="8"/>
      <c r="D60" s="8"/>
      <c r="E60" s="8"/>
      <c r="F60" s="7"/>
      <c r="G60" s="7"/>
      <c r="H60" s="7"/>
    </row>
    <row r="61" spans="1:8" ht="27.75" customHeight="1">
      <c r="A61" s="10">
        <v>8</v>
      </c>
      <c r="B61" s="11" t="s">
        <v>14</v>
      </c>
      <c r="C61" s="10"/>
      <c r="D61" s="10"/>
      <c r="E61" s="10"/>
      <c r="F61" s="12"/>
      <c r="G61" s="3">
        <f t="shared" ref="G61:G69" si="12">IF((C61-D61)&lt;0,0,C61-D61)</f>
        <v>0</v>
      </c>
      <c r="H61" s="4">
        <f t="shared" ref="H61:H69" si="13">IF((D61-C61)&lt;0,0,D61-C61)</f>
        <v>0</v>
      </c>
    </row>
    <row r="62" spans="1:8" ht="27.75" customHeight="1">
      <c r="A62" s="10">
        <v>8</v>
      </c>
      <c r="B62" s="11" t="s">
        <v>15</v>
      </c>
      <c r="C62" s="10"/>
      <c r="D62" s="10"/>
      <c r="E62" s="10"/>
      <c r="F62" s="12"/>
      <c r="G62" s="3">
        <f t="shared" si="12"/>
        <v>0</v>
      </c>
      <c r="H62" s="4">
        <f t="shared" si="13"/>
        <v>0</v>
      </c>
    </row>
    <row r="63" spans="1:8" ht="27.75" customHeight="1">
      <c r="A63" s="10">
        <v>8</v>
      </c>
      <c r="B63" s="11" t="s">
        <v>12</v>
      </c>
      <c r="C63" s="10"/>
      <c r="D63" s="10">
        <v>603</v>
      </c>
      <c r="E63" s="10">
        <v>2025</v>
      </c>
      <c r="F63" s="12" t="s">
        <v>20</v>
      </c>
      <c r="G63" s="3">
        <v>603</v>
      </c>
      <c r="H63" s="4">
        <v>0</v>
      </c>
    </row>
    <row r="64" spans="1:8" ht="27.75" customHeight="1">
      <c r="A64" s="10">
        <v>8</v>
      </c>
      <c r="B64" s="11" t="s">
        <v>21</v>
      </c>
      <c r="C64" s="10"/>
      <c r="D64" s="10">
        <v>603</v>
      </c>
      <c r="E64" s="10">
        <v>2025</v>
      </c>
      <c r="F64" s="12" t="s">
        <v>20</v>
      </c>
      <c r="G64" s="3">
        <v>603</v>
      </c>
      <c r="H64" s="4">
        <v>0</v>
      </c>
    </row>
    <row r="65" spans="1:8" ht="27.75" customHeight="1">
      <c r="A65" s="10">
        <v>8</v>
      </c>
      <c r="B65" s="11" t="s">
        <v>24</v>
      </c>
      <c r="C65" s="10"/>
      <c r="D65" s="10"/>
      <c r="E65" s="10"/>
      <c r="F65" s="12"/>
      <c r="G65" s="3">
        <f t="shared" si="12"/>
        <v>0</v>
      </c>
      <c r="H65" s="4">
        <f t="shared" si="13"/>
        <v>0</v>
      </c>
    </row>
    <row r="66" spans="1:8" ht="27.75" customHeight="1">
      <c r="A66" s="10">
        <v>8</v>
      </c>
      <c r="B66" s="11" t="s">
        <v>13</v>
      </c>
      <c r="C66" s="10"/>
      <c r="D66" s="10"/>
      <c r="E66" s="10"/>
      <c r="F66" s="12" t="s">
        <v>20</v>
      </c>
      <c r="G66" s="3">
        <v>603</v>
      </c>
      <c r="H66" s="4">
        <f t="shared" si="13"/>
        <v>0</v>
      </c>
    </row>
    <row r="67" spans="1:8" ht="27.75" customHeight="1">
      <c r="A67" s="10">
        <v>8</v>
      </c>
      <c r="B67" s="11" t="s">
        <v>17</v>
      </c>
      <c r="C67" s="10"/>
      <c r="D67" s="10"/>
      <c r="E67" s="10"/>
      <c r="F67" s="12"/>
      <c r="G67" s="3">
        <f t="shared" si="12"/>
        <v>0</v>
      </c>
      <c r="H67" s="4">
        <f t="shared" si="13"/>
        <v>0</v>
      </c>
    </row>
    <row r="68" spans="1:8" ht="27.75" customHeight="1">
      <c r="A68" s="10">
        <v>8</v>
      </c>
      <c r="B68" s="11" t="s">
        <v>23</v>
      </c>
      <c r="C68" s="10"/>
      <c r="D68" s="10"/>
      <c r="E68" s="10"/>
      <c r="F68" s="12"/>
      <c r="G68" s="3">
        <f t="shared" si="12"/>
        <v>0</v>
      </c>
      <c r="H68" s="4">
        <f t="shared" si="13"/>
        <v>0</v>
      </c>
    </row>
    <row r="69" spans="1:8" ht="27.75" customHeight="1">
      <c r="A69" s="10">
        <v>8</v>
      </c>
      <c r="B69" s="11" t="s">
        <v>19</v>
      </c>
      <c r="C69" s="10"/>
      <c r="D69" s="10"/>
      <c r="E69" s="10"/>
      <c r="F69" s="12"/>
      <c r="G69" s="3">
        <f t="shared" si="12"/>
        <v>0</v>
      </c>
      <c r="H69" s="4">
        <f t="shared" si="13"/>
        <v>0</v>
      </c>
    </row>
    <row r="70" spans="1:8" ht="27.75" customHeight="1">
      <c r="A70" s="7"/>
      <c r="B70" s="7"/>
      <c r="C70" s="8"/>
      <c r="D70" s="8"/>
      <c r="E70" s="8"/>
      <c r="F70" s="7"/>
      <c r="G70" s="7"/>
      <c r="H70" s="7"/>
    </row>
    <row r="71" spans="1:8" ht="27.75" customHeight="1">
      <c r="A71" s="10">
        <v>9</v>
      </c>
      <c r="B71" s="11" t="s">
        <v>14</v>
      </c>
      <c r="C71" s="10"/>
      <c r="D71" s="10"/>
      <c r="E71" s="10"/>
      <c r="F71" s="12"/>
      <c r="G71" s="3">
        <f t="shared" ref="G71:G79" si="14">IF((C71-D71)&lt;0,0,C71-D71)</f>
        <v>0</v>
      </c>
      <c r="H71" s="4">
        <f t="shared" ref="H71:H79" si="15">IF((D71-C71)&lt;0,0,D71-C71)</f>
        <v>0</v>
      </c>
    </row>
    <row r="72" spans="1:8" ht="27.75" customHeight="1">
      <c r="A72" s="10">
        <v>9</v>
      </c>
      <c r="B72" s="11" t="s">
        <v>15</v>
      </c>
      <c r="C72" s="10"/>
      <c r="D72" s="10"/>
      <c r="E72" s="10"/>
      <c r="F72" s="12"/>
      <c r="G72" s="3">
        <f t="shared" si="14"/>
        <v>0</v>
      </c>
      <c r="H72" s="4">
        <f t="shared" si="15"/>
        <v>0</v>
      </c>
    </row>
    <row r="73" spans="1:8" ht="27.75" customHeight="1">
      <c r="A73" s="10">
        <v>9</v>
      </c>
      <c r="B73" s="11" t="s">
        <v>12</v>
      </c>
      <c r="C73" s="10"/>
      <c r="D73" s="10"/>
      <c r="E73" s="10"/>
      <c r="F73" s="12"/>
      <c r="G73" s="3">
        <f t="shared" si="14"/>
        <v>0</v>
      </c>
      <c r="H73" s="4">
        <f t="shared" si="15"/>
        <v>0</v>
      </c>
    </row>
    <row r="74" spans="1:8" ht="27.75" customHeight="1">
      <c r="A74" s="10">
        <v>9</v>
      </c>
      <c r="B74" s="11" t="s">
        <v>21</v>
      </c>
      <c r="C74" s="10"/>
      <c r="D74" s="10"/>
      <c r="E74" s="10"/>
      <c r="F74" s="12"/>
      <c r="G74" s="3">
        <f t="shared" si="14"/>
        <v>0</v>
      </c>
      <c r="H74" s="4">
        <f t="shared" si="15"/>
        <v>0</v>
      </c>
    </row>
    <row r="75" spans="1:8" ht="27.75" customHeight="1">
      <c r="A75" s="10">
        <v>9</v>
      </c>
      <c r="B75" s="11" t="s">
        <v>24</v>
      </c>
      <c r="C75" s="10"/>
      <c r="D75" s="10"/>
      <c r="E75" s="10"/>
      <c r="F75" s="12"/>
      <c r="G75" s="3">
        <f t="shared" si="14"/>
        <v>0</v>
      </c>
      <c r="H75" s="4">
        <f t="shared" si="15"/>
        <v>0</v>
      </c>
    </row>
    <row r="76" spans="1:8" ht="27.75" customHeight="1">
      <c r="A76" s="10">
        <v>9</v>
      </c>
      <c r="B76" s="11" t="s">
        <v>13</v>
      </c>
      <c r="C76" s="10"/>
      <c r="D76" s="10"/>
      <c r="E76" s="10"/>
      <c r="F76" s="12"/>
      <c r="G76" s="3">
        <f t="shared" si="14"/>
        <v>0</v>
      </c>
      <c r="H76" s="4">
        <f t="shared" si="15"/>
        <v>0</v>
      </c>
    </row>
    <row r="77" spans="1:8" ht="27.75" customHeight="1">
      <c r="A77" s="10">
        <v>9</v>
      </c>
      <c r="B77" s="11" t="s">
        <v>17</v>
      </c>
      <c r="C77" s="10"/>
      <c r="D77" s="10"/>
      <c r="E77" s="10"/>
      <c r="F77" s="12"/>
      <c r="G77" s="3">
        <f t="shared" si="14"/>
        <v>0</v>
      </c>
      <c r="H77" s="4">
        <f t="shared" si="15"/>
        <v>0</v>
      </c>
    </row>
    <row r="78" spans="1:8" ht="27.75" customHeight="1">
      <c r="A78" s="10">
        <v>9</v>
      </c>
      <c r="B78" s="11" t="s">
        <v>23</v>
      </c>
      <c r="C78" s="10"/>
      <c r="D78" s="10"/>
      <c r="E78" s="10"/>
      <c r="F78" s="12"/>
      <c r="G78" s="3">
        <f t="shared" si="14"/>
        <v>0</v>
      </c>
      <c r="H78" s="4">
        <f t="shared" si="15"/>
        <v>0</v>
      </c>
    </row>
    <row r="79" spans="1:8" ht="27.75" customHeight="1">
      <c r="A79" s="10">
        <v>9</v>
      </c>
      <c r="B79" s="11" t="s">
        <v>19</v>
      </c>
      <c r="C79" s="10"/>
      <c r="D79" s="10"/>
      <c r="E79" s="10"/>
      <c r="F79" s="12"/>
      <c r="G79" s="3">
        <f t="shared" si="14"/>
        <v>0</v>
      </c>
      <c r="H79" s="4">
        <f t="shared" si="15"/>
        <v>0</v>
      </c>
    </row>
    <row r="80" spans="1:8" ht="27.75" customHeight="1">
      <c r="A80" s="7"/>
      <c r="B80" s="8"/>
      <c r="C80" s="8"/>
      <c r="D80" s="8"/>
      <c r="E80" s="8"/>
      <c r="F80" s="7"/>
      <c r="G80" s="7"/>
      <c r="H80" s="7"/>
    </row>
    <row r="81" spans="1:8" ht="27.75" customHeight="1">
      <c r="A81" s="10">
        <v>10</v>
      </c>
      <c r="B81" s="11" t="s">
        <v>14</v>
      </c>
      <c r="C81" s="10"/>
      <c r="D81" s="10"/>
      <c r="E81" s="10"/>
      <c r="F81" s="12"/>
      <c r="G81" s="3">
        <f t="shared" ref="G81:G89" si="16">IF((C81-D81)&lt;0,0,C81-D81)</f>
        <v>0</v>
      </c>
      <c r="H81" s="4">
        <f t="shared" ref="H81:H89" si="17">IF((D81-C81)&lt;0,0,D81-C81)</f>
        <v>0</v>
      </c>
    </row>
    <row r="82" spans="1:8" ht="27.75" customHeight="1">
      <c r="A82" s="10">
        <v>10</v>
      </c>
      <c r="B82" s="11" t="s">
        <v>15</v>
      </c>
      <c r="C82" s="10"/>
      <c r="D82" s="10"/>
      <c r="E82" s="10"/>
      <c r="F82" s="12"/>
      <c r="G82" s="3">
        <f t="shared" si="16"/>
        <v>0</v>
      </c>
      <c r="H82" s="4">
        <f t="shared" si="17"/>
        <v>0</v>
      </c>
    </row>
    <row r="83" spans="1:8" ht="27.75" customHeight="1">
      <c r="A83" s="10">
        <v>10</v>
      </c>
      <c r="B83" s="11" t="s">
        <v>12</v>
      </c>
      <c r="C83" s="10"/>
      <c r="D83" s="10"/>
      <c r="E83" s="10"/>
      <c r="F83" s="12"/>
      <c r="G83" s="3">
        <f t="shared" si="16"/>
        <v>0</v>
      </c>
      <c r="H83" s="4">
        <f t="shared" si="17"/>
        <v>0</v>
      </c>
    </row>
    <row r="84" spans="1:8" ht="27.75" customHeight="1">
      <c r="A84" s="10">
        <v>10</v>
      </c>
      <c r="B84" s="11" t="s">
        <v>21</v>
      </c>
      <c r="C84" s="10"/>
      <c r="D84" s="10"/>
      <c r="E84" s="10"/>
      <c r="F84" s="12"/>
      <c r="G84" s="3">
        <f t="shared" si="16"/>
        <v>0</v>
      </c>
      <c r="H84" s="4">
        <f t="shared" si="17"/>
        <v>0</v>
      </c>
    </row>
    <row r="85" spans="1:8" ht="27.75" customHeight="1">
      <c r="A85" s="10">
        <v>10</v>
      </c>
      <c r="B85" s="11" t="s">
        <v>24</v>
      </c>
      <c r="C85" s="10"/>
      <c r="D85" s="10"/>
      <c r="E85" s="10"/>
      <c r="F85" s="12"/>
      <c r="G85" s="3">
        <f t="shared" si="16"/>
        <v>0</v>
      </c>
      <c r="H85" s="4">
        <f t="shared" si="17"/>
        <v>0</v>
      </c>
    </row>
    <row r="86" spans="1:8" ht="27.75" customHeight="1">
      <c r="A86" s="10">
        <v>10</v>
      </c>
      <c r="B86" s="11" t="s">
        <v>13</v>
      </c>
      <c r="C86" s="10"/>
      <c r="D86" s="10"/>
      <c r="E86" s="10"/>
      <c r="F86" s="12"/>
      <c r="G86" s="3">
        <f t="shared" si="16"/>
        <v>0</v>
      </c>
      <c r="H86" s="4">
        <f t="shared" si="17"/>
        <v>0</v>
      </c>
    </row>
    <row r="87" spans="1:8" ht="27.75" customHeight="1">
      <c r="A87" s="10">
        <v>10</v>
      </c>
      <c r="B87" s="11" t="s">
        <v>17</v>
      </c>
      <c r="C87" s="10"/>
      <c r="D87" s="10"/>
      <c r="E87" s="10"/>
      <c r="F87" s="12"/>
      <c r="G87" s="3">
        <f t="shared" si="16"/>
        <v>0</v>
      </c>
      <c r="H87" s="4">
        <f t="shared" si="17"/>
        <v>0</v>
      </c>
    </row>
    <row r="88" spans="1:8" ht="27.75" customHeight="1">
      <c r="A88" s="10">
        <v>10</v>
      </c>
      <c r="B88" s="11" t="s">
        <v>23</v>
      </c>
      <c r="C88" s="10"/>
      <c r="D88" s="10"/>
      <c r="E88" s="10"/>
      <c r="F88" s="12"/>
      <c r="G88" s="3">
        <f t="shared" si="16"/>
        <v>0</v>
      </c>
      <c r="H88" s="4">
        <f t="shared" si="17"/>
        <v>0</v>
      </c>
    </row>
    <row r="89" spans="1:8" ht="27.75" customHeight="1">
      <c r="A89" s="10">
        <v>10</v>
      </c>
      <c r="B89" s="11" t="s">
        <v>19</v>
      </c>
      <c r="C89" s="10"/>
      <c r="D89" s="10"/>
      <c r="E89" s="10"/>
      <c r="F89" s="12"/>
      <c r="G89" s="3">
        <f t="shared" si="16"/>
        <v>0</v>
      </c>
      <c r="H89" s="4">
        <f t="shared" si="17"/>
        <v>0</v>
      </c>
    </row>
    <row r="90" spans="1:8" ht="27.75" customHeight="1">
      <c r="A90" s="7"/>
      <c r="B90" s="7"/>
      <c r="C90" s="8"/>
      <c r="D90" s="8"/>
      <c r="E90" s="8"/>
      <c r="F90" s="7"/>
      <c r="G90" s="7"/>
      <c r="H90" s="7"/>
    </row>
    <row r="91" spans="1:8" ht="39.75" customHeight="1">
      <c r="A91" s="1" t="s">
        <v>25</v>
      </c>
      <c r="B91" s="9" t="s">
        <v>26</v>
      </c>
      <c r="C91" s="1"/>
      <c r="D91" s="1"/>
      <c r="E91" s="1"/>
      <c r="F91" s="5"/>
      <c r="G91" s="3">
        <f t="shared" ref="G91:G98" si="18">IF((C91-D91)&lt;0,0,C91-D91)</f>
        <v>0</v>
      </c>
      <c r="H91" s="4">
        <f t="shared" ref="H91:H98" si="19">IF((D91-C91)&lt;0,0,D91-C91)</f>
        <v>0</v>
      </c>
    </row>
    <row r="92" spans="1:8" ht="27.75" customHeight="1">
      <c r="A92" s="1" t="s">
        <v>25</v>
      </c>
      <c r="B92" s="9" t="s">
        <v>27</v>
      </c>
      <c r="C92" s="1"/>
      <c r="D92" s="1"/>
      <c r="E92" s="1"/>
      <c r="F92" s="5"/>
      <c r="G92" s="3">
        <f t="shared" si="18"/>
        <v>0</v>
      </c>
      <c r="H92" s="4">
        <f t="shared" si="19"/>
        <v>0</v>
      </c>
    </row>
    <row r="93" spans="1:8" ht="27.75" customHeight="1">
      <c r="A93" s="1" t="s">
        <v>25</v>
      </c>
      <c r="B93" s="9" t="s">
        <v>28</v>
      </c>
      <c r="C93" s="1"/>
      <c r="D93" s="1"/>
      <c r="E93" s="1"/>
      <c r="F93" s="5"/>
      <c r="G93" s="3">
        <f t="shared" si="18"/>
        <v>0</v>
      </c>
      <c r="H93" s="4">
        <f t="shared" si="19"/>
        <v>0</v>
      </c>
    </row>
    <row r="94" spans="1:8" ht="27.75" customHeight="1">
      <c r="A94" s="1" t="s">
        <v>25</v>
      </c>
      <c r="B94" s="9" t="s">
        <v>29</v>
      </c>
      <c r="C94" s="1"/>
      <c r="D94" s="1"/>
      <c r="E94" s="1"/>
      <c r="F94" s="5"/>
      <c r="G94" s="3">
        <f t="shared" si="18"/>
        <v>0</v>
      </c>
      <c r="H94" s="4">
        <f t="shared" si="19"/>
        <v>0</v>
      </c>
    </row>
    <row r="95" spans="1:8" ht="40.5" customHeight="1">
      <c r="A95" s="1" t="s">
        <v>25</v>
      </c>
      <c r="B95" s="9" t="s">
        <v>30</v>
      </c>
      <c r="C95" s="1"/>
      <c r="D95" s="1"/>
      <c r="E95" s="1"/>
      <c r="F95" s="5"/>
      <c r="G95" s="3">
        <f t="shared" si="18"/>
        <v>0</v>
      </c>
      <c r="H95" s="4">
        <f t="shared" si="19"/>
        <v>0</v>
      </c>
    </row>
    <row r="96" spans="1:8" ht="38.25" customHeight="1">
      <c r="A96" s="1" t="s">
        <v>25</v>
      </c>
      <c r="B96" s="9" t="s">
        <v>31</v>
      </c>
      <c r="C96" s="1"/>
      <c r="D96" s="1"/>
      <c r="E96" s="1"/>
      <c r="F96" s="5"/>
      <c r="G96" s="3">
        <f t="shared" si="18"/>
        <v>0</v>
      </c>
      <c r="H96" s="4">
        <f t="shared" si="19"/>
        <v>0</v>
      </c>
    </row>
    <row r="97" spans="1:8" ht="27.75" customHeight="1">
      <c r="A97" s="1" t="s">
        <v>25</v>
      </c>
      <c r="B97" s="9" t="s">
        <v>32</v>
      </c>
      <c r="C97" s="1"/>
      <c r="D97" s="1"/>
      <c r="E97" s="1"/>
      <c r="F97" s="5"/>
      <c r="G97" s="3">
        <f t="shared" si="18"/>
        <v>0</v>
      </c>
      <c r="H97" s="4">
        <f t="shared" si="19"/>
        <v>0</v>
      </c>
    </row>
    <row r="98" spans="1:8" ht="47.25" customHeight="1">
      <c r="A98" s="1" t="s">
        <v>25</v>
      </c>
      <c r="B98" s="9" t="s">
        <v>33</v>
      </c>
      <c r="C98" s="1"/>
      <c r="D98" s="1"/>
      <c r="E98" s="1"/>
      <c r="F98" s="5"/>
      <c r="G98" s="3">
        <f t="shared" si="18"/>
        <v>0</v>
      </c>
      <c r="H98" s="4">
        <f t="shared" si="19"/>
        <v>0</v>
      </c>
    </row>
  </sheetData>
  <protectedRanges>
    <protectedRange sqref="C1:E98" name="Textbooks"/>
    <protectedRange sqref="F1:F98" name="SOURCE"/>
  </protectedRanges>
  <phoneticPr fontId="8" type="noConversion"/>
  <dataValidations count="3">
    <dataValidation type="list" allowBlank="1" showInputMessage="1" showErrorMessage="1" sqref="E91:E98" xr:uid="{B46E7B13-721E-4D49-837E-C02BF9777D48}">
      <formula1>"2024,2025  ,2026"</formula1>
    </dataValidation>
    <dataValidation type="list" allowBlank="1" showInputMessage="1" showErrorMessage="1" sqref="F14:F19 F21:F29 F31:F39 F41:F49 F51:F59 F61:F69 F71:F79 F81:F89 F2:F6 F8:F12 F91:F98" xr:uid="{2F7388E0-D1A1-4571-8C10-96CB9A727EB3}">
      <formula1>"CO,RO,SDO"</formula1>
    </dataValidation>
    <dataValidation type="list" allowBlank="1" showInputMessage="1" showErrorMessage="1" sqref="E2:E6 E8:E12 E14:E19 E21:E29 E31:E39 E41:E49 E51:E59 E61:E69 E71:E79 E81:E89" xr:uid="{077A1059-C57C-4F69-97E0-BC967C3E91E3}">
      <formula1>"2024,2025  ,2026"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27"/>
  <sheetViews>
    <sheetView topLeftCell="I133" zoomScale="70" zoomScaleNormal="70" workbookViewId="0">
      <selection activeCell="J128" sqref="J128:J157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38</v>
      </c>
      <c r="E2" s="20" t="s">
        <v>39</v>
      </c>
      <c r="F2" s="21" t="s">
        <v>40</v>
      </c>
      <c r="G2" s="24" t="s">
        <v>41</v>
      </c>
      <c r="H2" s="17" t="s">
        <v>42</v>
      </c>
      <c r="I2" s="24" t="s">
        <v>43</v>
      </c>
      <c r="J2" s="22" t="s">
        <v>44</v>
      </c>
      <c r="K2" s="22" t="s">
        <v>45</v>
      </c>
      <c r="L2" s="23" t="s">
        <v>46</v>
      </c>
      <c r="M2" s="40" t="s">
        <v>47</v>
      </c>
      <c r="N2" s="40" t="s">
        <v>48</v>
      </c>
      <c r="O2" s="22" t="s">
        <v>49</v>
      </c>
      <c r="P2" s="24" t="s">
        <v>50</v>
      </c>
      <c r="Q2" s="24" t="s">
        <v>51</v>
      </c>
      <c r="R2" s="25" t="s">
        <v>52</v>
      </c>
      <c r="S2" s="17" t="s">
        <v>53</v>
      </c>
      <c r="T2" s="17" t="s">
        <v>54</v>
      </c>
      <c r="U2" s="24" t="s">
        <v>55</v>
      </c>
      <c r="V2" s="26" t="s">
        <v>56</v>
      </c>
      <c r="W2" s="26" t="s">
        <v>57</v>
      </c>
      <c r="X2" s="27" t="s">
        <v>58</v>
      </c>
      <c r="Y2" s="41" t="s">
        <v>59</v>
      </c>
      <c r="Z2" s="41" t="s">
        <v>60</v>
      </c>
      <c r="AA2" s="26" t="s">
        <v>61</v>
      </c>
    </row>
    <row r="3" spans="1:27" ht="30.6" customHeight="1">
      <c r="A3" s="39" t="s">
        <v>62</v>
      </c>
      <c r="B3" s="33"/>
      <c r="C3" s="32"/>
      <c r="D3" s="34">
        <f>Table1[[#This Row],[Enrolment S.Y. 2025-2026 ]]*8</f>
        <v>0</v>
      </c>
      <c r="E3" s="34"/>
      <c r="F3" s="32"/>
      <c r="G3" s="34"/>
      <c r="H3" s="34">
        <f>IF((D3-E3)&lt;0,0,(D3-E3))</f>
        <v>0</v>
      </c>
      <c r="I3" s="34">
        <f>IF((E3-D3)&lt;0,0,(E3-D3))</f>
        <v>0</v>
      </c>
      <c r="J3" s="34">
        <f>Table1[[#This Row],[Enrolment S.Y. 2025-2026 ]]*8</f>
        <v>0</v>
      </c>
      <c r="K3" s="34"/>
      <c r="L3" s="32"/>
      <c r="M3" s="34"/>
      <c r="N3" s="5">
        <f t="shared" ref="N3" si="0">IF((J3-K3)&lt;0,0,(J3-K3))</f>
        <v>0</v>
      </c>
      <c r="O3" s="5">
        <f t="shared" ref="O3" si="1">IF((K3-J3)&lt;0,0,(K3-J3))</f>
        <v>0</v>
      </c>
      <c r="P3" s="5">
        <f>Table1[[#This Row],[Enrolment S.Y. 2025-2026 ]]*8</f>
        <v>0</v>
      </c>
      <c r="Q3" s="34"/>
      <c r="R3" s="32"/>
      <c r="S3" s="34"/>
      <c r="T3" s="34">
        <f>IF((P3-Q3)&lt;0,0,(P3-Q3))</f>
        <v>0</v>
      </c>
      <c r="U3" s="34">
        <f>IF((Q3-P3)&lt;0,0,(Q3-P3))</f>
        <v>0</v>
      </c>
      <c r="V3" s="34">
        <f>Table1[[#This Row],[Enrolment S.Y. 2025-2026 ]]*8</f>
        <v>0</v>
      </c>
      <c r="W3" s="34"/>
      <c r="X3" s="32"/>
      <c r="Y3" s="34"/>
      <c r="Z3" s="34">
        <f>IF((V3-W3)&lt;0,0,(V3-W3))</f>
        <v>0</v>
      </c>
      <c r="AA3" s="34">
        <f>IF((W3-V3)&lt;0,0,(W3-V3))</f>
        <v>0</v>
      </c>
    </row>
    <row r="4" spans="1:27" s="7" customFormat="1" ht="19.149999999999999"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19.149999999999999">
      <c r="A5" s="1">
        <v>1</v>
      </c>
      <c r="B5" s="2" t="s">
        <v>8</v>
      </c>
      <c r="C5" s="1"/>
      <c r="D5" s="5">
        <f>Table1[[#This Row],[Enrolment S.Y. 2025-2026 ]]*8</f>
        <v>0</v>
      </c>
      <c r="E5" s="5"/>
      <c r="F5" s="1"/>
      <c r="G5" s="5"/>
      <c r="H5" s="5">
        <f t="shared" ref="H5:H77" si="2">IF((D5-E5)&lt;0,0,(D5-E5))</f>
        <v>0</v>
      </c>
      <c r="I5" s="5">
        <f t="shared" ref="I5:I77" si="3">IF((E5-D5)&lt;0,0,(E5-D5))</f>
        <v>0</v>
      </c>
      <c r="J5" s="5">
        <f>Table1[[#This Row],[Enrolment S.Y. 2025-2026 ]]*8</f>
        <v>0</v>
      </c>
      <c r="K5" s="5"/>
      <c r="L5" s="1"/>
      <c r="M5" s="5"/>
      <c r="N5" s="5">
        <f t="shared" ref="N5" si="4">IF((J5-K5)&lt;0,0,(J5-K5))</f>
        <v>0</v>
      </c>
      <c r="O5" s="5">
        <f t="shared" ref="O5" si="5">IF((K5-J5)&lt;0,0,(K5-J5))</f>
        <v>0</v>
      </c>
      <c r="P5" s="5">
        <f>Table1[[#This Row],[Enrolment S.Y. 2025-2026 ]]*8</f>
        <v>0</v>
      </c>
      <c r="Q5" s="5"/>
      <c r="R5" s="1"/>
      <c r="S5" s="5"/>
      <c r="T5" s="5">
        <f t="shared" ref="T5" si="6">IF((P5-Q5)&lt;0,0,(P5-Q5))</f>
        <v>0</v>
      </c>
      <c r="U5" s="5">
        <f t="shared" ref="U5" si="7">IF((Q5-P5)&lt;0,0,(Q5-P5))</f>
        <v>0</v>
      </c>
      <c r="V5" s="5">
        <f>Table1[[#This Row],[Enrolment S.Y. 2025-2026 ]]*8</f>
        <v>0</v>
      </c>
      <c r="W5" s="5"/>
      <c r="X5" s="1"/>
      <c r="Y5" s="5"/>
      <c r="Z5" s="5">
        <f t="shared" ref="Z5" si="8">IF((V5-W5)&lt;0,0,(V5-W5))</f>
        <v>0</v>
      </c>
      <c r="AA5" s="5">
        <f t="shared" ref="AA5" si="9">IF((W5-V5)&lt;0,0,(W5-V5))</f>
        <v>0</v>
      </c>
    </row>
    <row r="6" spans="1:27" ht="19.149999999999999">
      <c r="A6" s="1">
        <v>1</v>
      </c>
      <c r="B6" s="2" t="s">
        <v>9</v>
      </c>
      <c r="C6" s="1"/>
      <c r="D6" s="5">
        <f>Table1[[#This Row],[Enrolment S.Y. 2025-2026 ]]*8</f>
        <v>0</v>
      </c>
      <c r="E6" s="5"/>
      <c r="F6" s="1"/>
      <c r="G6" s="5"/>
      <c r="H6" s="5">
        <f t="shared" si="2"/>
        <v>0</v>
      </c>
      <c r="I6" s="5">
        <f t="shared" si="3"/>
        <v>0</v>
      </c>
      <c r="J6" s="5">
        <f>Table1[[#This Row],[Enrolment S.Y. 2025-2026 ]]*8</f>
        <v>0</v>
      </c>
      <c r="K6" s="5"/>
      <c r="L6" s="1"/>
      <c r="M6" s="5"/>
      <c r="N6" s="5">
        <f t="shared" ref="N6:N69" si="10">IF((J6-K6)&lt;0,0,(J6-K6))</f>
        <v>0</v>
      </c>
      <c r="O6" s="5">
        <f t="shared" ref="O6:O69" si="11">IF((K6-J6)&lt;0,0,(K6-J6))</f>
        <v>0</v>
      </c>
      <c r="P6" s="5">
        <f>Table1[[#This Row],[Enrolment S.Y. 2025-2026 ]]*8</f>
        <v>0</v>
      </c>
      <c r="Q6" s="5"/>
      <c r="R6" s="1"/>
      <c r="S6" s="5"/>
      <c r="T6" s="5">
        <f t="shared" ref="T6:T69" si="12">IF((P6-Q6)&lt;0,0,(P6-Q6))</f>
        <v>0</v>
      </c>
      <c r="U6" s="5">
        <f t="shared" ref="U6:U69" si="13">IF((Q6-P6)&lt;0,0,(Q6-P6))</f>
        <v>0</v>
      </c>
      <c r="V6" s="5">
        <f>Table1[[#This Row],[Enrolment S.Y. 2025-2026 ]]*8</f>
        <v>0</v>
      </c>
      <c r="W6" s="5"/>
      <c r="X6" s="1"/>
      <c r="Y6" s="5"/>
      <c r="Z6" s="5">
        <f t="shared" ref="Z6:Z69" si="14">IF((V6-W6)&lt;0,0,(V6-W6))</f>
        <v>0</v>
      </c>
      <c r="AA6" s="5">
        <f t="shared" ref="AA6:AA69" si="15">IF((W6-V6)&lt;0,0,(W6-V6))</f>
        <v>0</v>
      </c>
    </row>
    <row r="7" spans="1:27" ht="19.149999999999999">
      <c r="A7" s="1">
        <v>1</v>
      </c>
      <c r="B7" s="2" t="s">
        <v>10</v>
      </c>
      <c r="C7" s="1"/>
      <c r="D7" s="5">
        <f>Table1[[#This Row],[Enrolment S.Y. 2025-2026 ]]*8</f>
        <v>0</v>
      </c>
      <c r="E7" s="5"/>
      <c r="F7" s="1"/>
      <c r="G7" s="5"/>
      <c r="H7" s="5">
        <f t="shared" si="2"/>
        <v>0</v>
      </c>
      <c r="I7" s="5">
        <f t="shared" si="3"/>
        <v>0</v>
      </c>
      <c r="J7" s="5">
        <f>Table1[[#This Row],[Enrolment S.Y. 2025-2026 ]]*8</f>
        <v>0</v>
      </c>
      <c r="K7" s="5"/>
      <c r="L7" s="1"/>
      <c r="M7" s="5"/>
      <c r="N7" s="5">
        <f t="shared" si="10"/>
        <v>0</v>
      </c>
      <c r="O7" s="5">
        <f t="shared" si="11"/>
        <v>0</v>
      </c>
      <c r="P7" s="5">
        <f>Table1[[#This Row],[Enrolment S.Y. 2025-2026 ]]*8</f>
        <v>0</v>
      </c>
      <c r="Q7" s="5"/>
      <c r="R7" s="1"/>
      <c r="S7" s="5"/>
      <c r="T7" s="5">
        <f t="shared" si="12"/>
        <v>0</v>
      </c>
      <c r="U7" s="5">
        <f t="shared" si="13"/>
        <v>0</v>
      </c>
      <c r="V7" s="5">
        <f>Table1[[#This Row],[Enrolment S.Y. 2025-2026 ]]*8</f>
        <v>0</v>
      </c>
      <c r="W7" s="5"/>
      <c r="X7" s="1"/>
      <c r="Y7" s="5"/>
      <c r="Z7" s="5">
        <f t="shared" si="14"/>
        <v>0</v>
      </c>
      <c r="AA7" s="5">
        <f t="shared" si="15"/>
        <v>0</v>
      </c>
    </row>
    <row r="8" spans="1:27" ht="19.149999999999999">
      <c r="A8" s="1">
        <v>1</v>
      </c>
      <c r="B8" s="2" t="s">
        <v>11</v>
      </c>
      <c r="C8" s="1"/>
      <c r="D8" s="5">
        <f>Table1[[#This Row],[Enrolment S.Y. 2025-2026 ]]*8</f>
        <v>0</v>
      </c>
      <c r="E8" s="5"/>
      <c r="F8" s="1"/>
      <c r="G8" s="5"/>
      <c r="H8" s="5">
        <f t="shared" si="2"/>
        <v>0</v>
      </c>
      <c r="I8" s="5">
        <f t="shared" si="3"/>
        <v>0</v>
      </c>
      <c r="J8" s="5">
        <f>Table1[[#This Row],[Enrolment S.Y. 2025-2026 ]]*8</f>
        <v>0</v>
      </c>
      <c r="K8" s="5"/>
      <c r="L8" s="1"/>
      <c r="M8" s="5"/>
      <c r="N8" s="5">
        <f t="shared" si="10"/>
        <v>0</v>
      </c>
      <c r="O8" s="5">
        <f t="shared" si="11"/>
        <v>0</v>
      </c>
      <c r="P8" s="5">
        <f>Table1[[#This Row],[Enrolment S.Y. 2025-2026 ]]*8</f>
        <v>0</v>
      </c>
      <c r="Q8" s="5"/>
      <c r="R8" s="1"/>
      <c r="S8" s="5"/>
      <c r="T8" s="5">
        <f t="shared" si="12"/>
        <v>0</v>
      </c>
      <c r="U8" s="5">
        <f t="shared" si="13"/>
        <v>0</v>
      </c>
      <c r="V8" s="5">
        <f>Table1[[#This Row],[Enrolment S.Y. 2025-2026 ]]*8</f>
        <v>0</v>
      </c>
      <c r="W8" s="5"/>
      <c r="X8" s="1"/>
      <c r="Y8" s="5"/>
      <c r="Z8" s="5">
        <f t="shared" si="14"/>
        <v>0</v>
      </c>
      <c r="AA8" s="5">
        <f t="shared" si="15"/>
        <v>0</v>
      </c>
    </row>
    <row r="9" spans="1:27" ht="19.149999999999999">
      <c r="A9" s="1">
        <v>1</v>
      </c>
      <c r="B9" s="2" t="s">
        <v>12</v>
      </c>
      <c r="C9" s="1"/>
      <c r="D9" s="5">
        <f>Table1[[#This Row],[Enrolment S.Y. 2025-2026 ]]*8</f>
        <v>0</v>
      </c>
      <c r="E9" s="5"/>
      <c r="F9" s="1"/>
      <c r="G9" s="5"/>
      <c r="H9" s="5">
        <f t="shared" si="2"/>
        <v>0</v>
      </c>
      <c r="I9" s="5">
        <f t="shared" si="3"/>
        <v>0</v>
      </c>
      <c r="J9" s="5">
        <f>Table1[[#This Row],[Enrolment S.Y. 2025-2026 ]]*8</f>
        <v>0</v>
      </c>
      <c r="K9" s="5"/>
      <c r="L9" s="1"/>
      <c r="M9" s="5"/>
      <c r="N9" s="5">
        <f t="shared" si="10"/>
        <v>0</v>
      </c>
      <c r="O9" s="5">
        <f t="shared" si="11"/>
        <v>0</v>
      </c>
      <c r="P9" s="5">
        <f>Table1[[#This Row],[Enrolment S.Y. 2025-2026 ]]*8</f>
        <v>0</v>
      </c>
      <c r="Q9" s="5"/>
      <c r="R9" s="1"/>
      <c r="S9" s="5"/>
      <c r="T9" s="5">
        <f t="shared" si="12"/>
        <v>0</v>
      </c>
      <c r="U9" s="5">
        <f t="shared" si="13"/>
        <v>0</v>
      </c>
      <c r="V9" s="5">
        <f>Table1[[#This Row],[Enrolment S.Y. 2025-2026 ]]*8</f>
        <v>0</v>
      </c>
      <c r="W9" s="5"/>
      <c r="X9" s="1"/>
      <c r="Y9" s="5"/>
      <c r="Z9" s="5">
        <f t="shared" si="14"/>
        <v>0</v>
      </c>
      <c r="AA9" s="5">
        <f t="shared" si="15"/>
        <v>0</v>
      </c>
    </row>
    <row r="10" spans="1:27" ht="19.149999999999999">
      <c r="A10" s="1">
        <v>1</v>
      </c>
      <c r="B10" s="9" t="s">
        <v>14</v>
      </c>
      <c r="C10" s="1"/>
      <c r="D10" s="5">
        <f>Table1[[#This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Table1[[#This Row],[Enrolment S.Y. 2025-2026 ]]*8</f>
        <v>0</v>
      </c>
      <c r="K10" s="5"/>
      <c r="L10" s="1"/>
      <c r="M10" s="5"/>
      <c r="N10" s="5">
        <f t="shared" si="10"/>
        <v>0</v>
      </c>
      <c r="O10" s="5">
        <f t="shared" si="11"/>
        <v>0</v>
      </c>
      <c r="P10" s="5">
        <f>Table1[[#This Row],[Enrolment S.Y. 2025-2026 ]]*8</f>
        <v>0</v>
      </c>
      <c r="Q10" s="5"/>
      <c r="R10" s="1"/>
      <c r="S10" s="5"/>
      <c r="T10" s="5">
        <f t="shared" si="12"/>
        <v>0</v>
      </c>
      <c r="U10" s="5">
        <f t="shared" si="13"/>
        <v>0</v>
      </c>
      <c r="V10" s="5">
        <f>Table1[[#This Row],[Enrolment S.Y. 2025-2026 ]]*8</f>
        <v>0</v>
      </c>
      <c r="W10" s="5"/>
      <c r="X10" s="1"/>
      <c r="Y10" s="5"/>
      <c r="Z10" s="5">
        <f t="shared" si="14"/>
        <v>0</v>
      </c>
      <c r="AA10" s="5">
        <f t="shared" si="15"/>
        <v>0</v>
      </c>
    </row>
    <row r="11" spans="1:27" ht="19.149999999999999">
      <c r="A11" s="1">
        <v>1</v>
      </c>
      <c r="B11" s="9" t="s">
        <v>15</v>
      </c>
      <c r="C11" s="1"/>
      <c r="D11" s="5">
        <f>Table1[[#This Row],[Enrolment S.Y. 2025-2026 ]]*8</f>
        <v>0</v>
      </c>
      <c r="E11" s="5"/>
      <c r="F11" s="1"/>
      <c r="G11" s="5"/>
      <c r="H11" s="5">
        <f>IF((D11-E11)&lt;0,0,(D11-E11))</f>
        <v>0</v>
      </c>
      <c r="I11" s="5">
        <f>IF((E11-D11)&lt;0,0,(E11-D11))</f>
        <v>0</v>
      </c>
      <c r="J11" s="5">
        <f>Table1[[#This Row],[Enrolment S.Y. 2025-2026 ]]*8</f>
        <v>0</v>
      </c>
      <c r="K11" s="5"/>
      <c r="L11" s="1"/>
      <c r="M11" s="5"/>
      <c r="N11" s="5">
        <f t="shared" si="10"/>
        <v>0</v>
      </c>
      <c r="O11" s="5">
        <f t="shared" si="11"/>
        <v>0</v>
      </c>
      <c r="P11" s="5">
        <f>Table1[[#This Row],[Enrolment S.Y. 2025-2026 ]]*8</f>
        <v>0</v>
      </c>
      <c r="Q11" s="5"/>
      <c r="R11" s="1"/>
      <c r="S11" s="5"/>
      <c r="T11" s="5">
        <f t="shared" si="12"/>
        <v>0</v>
      </c>
      <c r="U11" s="5">
        <f t="shared" si="13"/>
        <v>0</v>
      </c>
      <c r="V11" s="5">
        <f>Table1[[#This Row],[Enrolment S.Y. 2025-2026 ]]*8</f>
        <v>0</v>
      </c>
      <c r="W11" s="5"/>
      <c r="X11" s="1"/>
      <c r="Y11" s="5"/>
      <c r="Z11" s="5">
        <f t="shared" si="14"/>
        <v>0</v>
      </c>
      <c r="AA11" s="5">
        <f t="shared" si="15"/>
        <v>0</v>
      </c>
    </row>
    <row r="12" spans="1:27" ht="19.149999999999999">
      <c r="A12" s="1">
        <v>1</v>
      </c>
      <c r="B12" s="9" t="s">
        <v>63</v>
      </c>
      <c r="C12" s="1"/>
      <c r="D12" s="5">
        <f>Table1[[#This Row],[Enrolment S.Y. 2025-2026 ]]*8</f>
        <v>0</v>
      </c>
      <c r="E12" s="5"/>
      <c r="F12" s="1"/>
      <c r="G12" s="5"/>
      <c r="H12" s="5">
        <f>IF((D12-E12)&lt;0,0,(D12-E12))</f>
        <v>0</v>
      </c>
      <c r="I12" s="5">
        <f>IF((E12-D12)&lt;0,0,(E12-D12))</f>
        <v>0</v>
      </c>
      <c r="J12" s="5">
        <f>Table1[[#This Row],[Enrolment S.Y. 2025-2026 ]]*8</f>
        <v>0</v>
      </c>
      <c r="K12" s="5"/>
      <c r="L12" s="1"/>
      <c r="M12" s="5"/>
      <c r="N12" s="5">
        <f t="shared" si="10"/>
        <v>0</v>
      </c>
      <c r="O12" s="5">
        <f t="shared" si="11"/>
        <v>0</v>
      </c>
      <c r="P12" s="5">
        <f>Table1[[#This Row],[Enrolment S.Y. 2025-2026 ]]*8</f>
        <v>0</v>
      </c>
      <c r="Q12" s="5"/>
      <c r="R12" s="1"/>
      <c r="S12" s="5"/>
      <c r="T12" s="5">
        <f t="shared" si="12"/>
        <v>0</v>
      </c>
      <c r="U12" s="5">
        <f t="shared" si="13"/>
        <v>0</v>
      </c>
      <c r="V12" s="5">
        <f>Table1[[#This Row],[Enrolment S.Y. 2025-2026 ]]*8</f>
        <v>0</v>
      </c>
      <c r="W12" s="5"/>
      <c r="X12" s="1"/>
      <c r="Y12" s="5"/>
      <c r="Z12" s="5">
        <f t="shared" si="14"/>
        <v>0</v>
      </c>
      <c r="AA12" s="5">
        <f t="shared" si="15"/>
        <v>0</v>
      </c>
    </row>
    <row r="13" spans="1:27" s="7" customFormat="1" ht="19.149999999999999"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19.149999999999999">
      <c r="A14" s="1">
        <v>2</v>
      </c>
      <c r="B14" s="2" t="s">
        <v>8</v>
      </c>
      <c r="C14" s="1"/>
      <c r="D14" s="5">
        <f>Table1[[#This Row],[Enrolment S.Y. 2025-2026 ]]*8</f>
        <v>0</v>
      </c>
      <c r="E14" s="5"/>
      <c r="F14" s="1"/>
      <c r="G14" s="5"/>
      <c r="H14" s="5">
        <f t="shared" si="2"/>
        <v>0</v>
      </c>
      <c r="I14" s="5">
        <f t="shared" si="3"/>
        <v>0</v>
      </c>
      <c r="J14" s="5">
        <f>Table1[[#This Row],[Enrolment S.Y. 2025-2026 ]]*8</f>
        <v>0</v>
      </c>
      <c r="K14" s="5"/>
      <c r="L14" s="1"/>
      <c r="M14" s="5"/>
      <c r="N14" s="5">
        <f t="shared" si="10"/>
        <v>0</v>
      </c>
      <c r="O14" s="5">
        <f t="shared" si="11"/>
        <v>0</v>
      </c>
      <c r="P14" s="5">
        <f>Table1[[#This Row],[Enrolment S.Y. 2025-2026 ]]*8</f>
        <v>0</v>
      </c>
      <c r="Q14" s="5"/>
      <c r="R14" s="1"/>
      <c r="S14" s="5"/>
      <c r="T14" s="5">
        <f t="shared" si="12"/>
        <v>0</v>
      </c>
      <c r="U14" s="5">
        <f t="shared" si="13"/>
        <v>0</v>
      </c>
      <c r="V14" s="5">
        <f>Table1[[#This Row],[Enrolment S.Y. 2025-2026 ]]*8</f>
        <v>0</v>
      </c>
      <c r="W14" s="5"/>
      <c r="X14" s="1"/>
      <c r="Y14" s="5"/>
      <c r="Z14" s="5">
        <f t="shared" si="14"/>
        <v>0</v>
      </c>
      <c r="AA14" s="5">
        <f t="shared" si="15"/>
        <v>0</v>
      </c>
    </row>
    <row r="15" spans="1:27" ht="19.149999999999999">
      <c r="A15" s="1">
        <v>2</v>
      </c>
      <c r="B15" s="2" t="s">
        <v>9</v>
      </c>
      <c r="C15" s="1"/>
      <c r="D15" s="5">
        <f>Table1[[#This Row],[Enrolment S.Y. 2025-2026 ]]*8</f>
        <v>0</v>
      </c>
      <c r="E15" s="5"/>
      <c r="F15" s="1"/>
      <c r="G15" s="5"/>
      <c r="H15" s="5">
        <f t="shared" si="2"/>
        <v>0</v>
      </c>
      <c r="I15" s="5">
        <f t="shared" si="3"/>
        <v>0</v>
      </c>
      <c r="J15" s="5">
        <f>Table1[[#This Row],[Enrolment S.Y. 2025-2026 ]]*8</f>
        <v>0</v>
      </c>
      <c r="K15" s="5"/>
      <c r="L15" s="1"/>
      <c r="M15" s="5"/>
      <c r="N15" s="5">
        <f t="shared" si="10"/>
        <v>0</v>
      </c>
      <c r="O15" s="5">
        <f t="shared" si="11"/>
        <v>0</v>
      </c>
      <c r="P15" s="5">
        <f>Table1[[#This Row],[Enrolment S.Y. 2025-2026 ]]*8</f>
        <v>0</v>
      </c>
      <c r="Q15" s="5"/>
      <c r="R15" s="1"/>
      <c r="S15" s="5"/>
      <c r="T15" s="5">
        <f t="shared" si="12"/>
        <v>0</v>
      </c>
      <c r="U15" s="5">
        <f t="shared" si="13"/>
        <v>0</v>
      </c>
      <c r="V15" s="5">
        <f>Table1[[#This Row],[Enrolment S.Y. 2025-2026 ]]*8</f>
        <v>0</v>
      </c>
      <c r="W15" s="5"/>
      <c r="X15" s="1"/>
      <c r="Y15" s="5"/>
      <c r="Z15" s="5">
        <f t="shared" si="14"/>
        <v>0</v>
      </c>
      <c r="AA15" s="5">
        <f t="shared" si="15"/>
        <v>0</v>
      </c>
    </row>
    <row r="16" spans="1:27" ht="19.149999999999999">
      <c r="A16" s="1">
        <v>2</v>
      </c>
      <c r="B16" s="2" t="s">
        <v>10</v>
      </c>
      <c r="C16" s="1"/>
      <c r="D16" s="5">
        <f>Table1[[#This Row],[Enrolment S.Y. 2025-2026 ]]*8</f>
        <v>0</v>
      </c>
      <c r="E16" s="5"/>
      <c r="F16" s="1"/>
      <c r="G16" s="5"/>
      <c r="H16" s="5">
        <f t="shared" si="2"/>
        <v>0</v>
      </c>
      <c r="I16" s="5">
        <f t="shared" si="3"/>
        <v>0</v>
      </c>
      <c r="J16" s="5">
        <f>Table1[[#This Row],[Enrolment S.Y. 2025-2026 ]]*8</f>
        <v>0</v>
      </c>
      <c r="K16" s="5"/>
      <c r="L16" s="1"/>
      <c r="M16" s="5"/>
      <c r="N16" s="5">
        <f t="shared" si="10"/>
        <v>0</v>
      </c>
      <c r="O16" s="5">
        <f t="shared" si="11"/>
        <v>0</v>
      </c>
      <c r="P16" s="5">
        <f>Table1[[#This Row],[Enrolment S.Y. 2025-2026 ]]*8</f>
        <v>0</v>
      </c>
      <c r="Q16" s="5"/>
      <c r="R16" s="1"/>
      <c r="S16" s="5"/>
      <c r="T16" s="5">
        <f t="shared" si="12"/>
        <v>0</v>
      </c>
      <c r="U16" s="5">
        <f t="shared" si="13"/>
        <v>0</v>
      </c>
      <c r="V16" s="5">
        <f>Table1[[#This Row],[Enrolment S.Y. 2025-2026 ]]*8</f>
        <v>0</v>
      </c>
      <c r="W16" s="5"/>
      <c r="X16" s="1"/>
      <c r="Y16" s="5"/>
      <c r="Z16" s="5">
        <f t="shared" si="14"/>
        <v>0</v>
      </c>
      <c r="AA16" s="5">
        <f t="shared" si="15"/>
        <v>0</v>
      </c>
    </row>
    <row r="17" spans="1:27" ht="19.149999999999999">
      <c r="A17" s="1">
        <v>2</v>
      </c>
      <c r="B17" s="2" t="s">
        <v>11</v>
      </c>
      <c r="C17" s="1"/>
      <c r="D17" s="5">
        <f>Table1[[#This Row],[Enrolment S.Y. 2025-2026 ]]*8</f>
        <v>0</v>
      </c>
      <c r="E17" s="5"/>
      <c r="F17" s="1"/>
      <c r="G17" s="5"/>
      <c r="H17" s="5">
        <f t="shared" si="2"/>
        <v>0</v>
      </c>
      <c r="I17" s="5">
        <f t="shared" si="3"/>
        <v>0</v>
      </c>
      <c r="J17" s="5">
        <f>Table1[[#This Row],[Enrolment S.Y. 2025-2026 ]]*8</f>
        <v>0</v>
      </c>
      <c r="K17" s="5"/>
      <c r="L17" s="1"/>
      <c r="M17" s="5"/>
      <c r="N17" s="5">
        <f t="shared" si="10"/>
        <v>0</v>
      </c>
      <c r="O17" s="5">
        <f t="shared" si="11"/>
        <v>0</v>
      </c>
      <c r="P17" s="5">
        <f>Table1[[#This Row],[Enrolment S.Y. 2025-2026 ]]*8</f>
        <v>0</v>
      </c>
      <c r="Q17" s="5"/>
      <c r="R17" s="1"/>
      <c r="S17" s="5"/>
      <c r="T17" s="5">
        <f t="shared" si="12"/>
        <v>0</v>
      </c>
      <c r="U17" s="5">
        <f t="shared" si="13"/>
        <v>0</v>
      </c>
      <c r="V17" s="5">
        <f>Table1[[#This Row],[Enrolment S.Y. 2025-2026 ]]*8</f>
        <v>0</v>
      </c>
      <c r="W17" s="5"/>
      <c r="X17" s="1"/>
      <c r="Y17" s="5"/>
      <c r="Z17" s="5">
        <f t="shared" si="14"/>
        <v>0</v>
      </c>
      <c r="AA17" s="5">
        <f t="shared" si="15"/>
        <v>0</v>
      </c>
    </row>
    <row r="18" spans="1:27" ht="19.149999999999999">
      <c r="A18" s="1">
        <v>2</v>
      </c>
      <c r="B18" s="2" t="s">
        <v>12</v>
      </c>
      <c r="C18" s="1"/>
      <c r="D18" s="5">
        <f>Table1[[#This Row],[Enrolment S.Y. 2025-2026 ]]*8</f>
        <v>0</v>
      </c>
      <c r="E18" s="5"/>
      <c r="F18" s="1"/>
      <c r="G18" s="5"/>
      <c r="H18" s="5">
        <f t="shared" si="2"/>
        <v>0</v>
      </c>
      <c r="I18" s="5">
        <f t="shared" si="3"/>
        <v>0</v>
      </c>
      <c r="J18" s="5">
        <f>Table1[[#This Row],[Enrolment S.Y. 2025-2026 ]]*8</f>
        <v>0</v>
      </c>
      <c r="K18" s="5"/>
      <c r="L18" s="1"/>
      <c r="M18" s="5"/>
      <c r="N18" s="5">
        <f t="shared" si="10"/>
        <v>0</v>
      </c>
      <c r="O18" s="5">
        <f t="shared" si="11"/>
        <v>0</v>
      </c>
      <c r="P18" s="5">
        <f>Table1[[#This Row],[Enrolment S.Y. 2025-2026 ]]*8</f>
        <v>0</v>
      </c>
      <c r="Q18" s="5"/>
      <c r="R18" s="1"/>
      <c r="S18" s="5"/>
      <c r="T18" s="5">
        <f t="shared" si="12"/>
        <v>0</v>
      </c>
      <c r="U18" s="5">
        <f t="shared" si="13"/>
        <v>0</v>
      </c>
      <c r="V18" s="5">
        <f>Table1[[#This Row],[Enrolment S.Y. 2025-2026 ]]*8</f>
        <v>0</v>
      </c>
      <c r="W18" s="5"/>
      <c r="X18" s="1"/>
      <c r="Y18" s="5"/>
      <c r="Z18" s="5">
        <f t="shared" si="14"/>
        <v>0</v>
      </c>
      <c r="AA18" s="5">
        <f t="shared" si="15"/>
        <v>0</v>
      </c>
    </row>
    <row r="19" spans="1:27" ht="19.149999999999999">
      <c r="A19" s="1">
        <v>2</v>
      </c>
      <c r="B19" s="9" t="s">
        <v>15</v>
      </c>
      <c r="C19" s="1"/>
      <c r="D19" s="5">
        <f>Table1[[#This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Table1[[#This Row],[Enrolment S.Y. 2025-2026 ]]*8</f>
        <v>0</v>
      </c>
      <c r="K19" s="5"/>
      <c r="L19" s="1"/>
      <c r="M19" s="5"/>
      <c r="N19" s="5">
        <f t="shared" si="10"/>
        <v>0</v>
      </c>
      <c r="O19" s="5">
        <f t="shared" si="11"/>
        <v>0</v>
      </c>
      <c r="P19" s="5">
        <f>Table1[[#This Row],[Enrolment S.Y. 2025-2026 ]]*8</f>
        <v>0</v>
      </c>
      <c r="Q19" s="5"/>
      <c r="R19" s="1"/>
      <c r="S19" s="5"/>
      <c r="T19" s="5">
        <f t="shared" si="12"/>
        <v>0</v>
      </c>
      <c r="U19" s="5">
        <f t="shared" si="13"/>
        <v>0</v>
      </c>
      <c r="V19" s="5">
        <f>Table1[[#This Row],[Enrolment S.Y. 2025-2026 ]]*8</f>
        <v>0</v>
      </c>
      <c r="W19" s="5"/>
      <c r="X19" s="1"/>
      <c r="Y19" s="5"/>
      <c r="Z19" s="5">
        <f t="shared" si="14"/>
        <v>0</v>
      </c>
      <c r="AA19" s="5">
        <f t="shared" si="15"/>
        <v>0</v>
      </c>
    </row>
    <row r="20" spans="1:27" ht="19.149999999999999">
      <c r="A20" s="1">
        <v>2</v>
      </c>
      <c r="B20" s="9" t="s">
        <v>14</v>
      </c>
      <c r="C20" s="1"/>
      <c r="D20" s="5">
        <f>Table1[[#This Row],[Enrolment S.Y. 2025-2026 ]]*8</f>
        <v>0</v>
      </c>
      <c r="E20" s="5"/>
      <c r="F20" s="1"/>
      <c r="G20" s="5"/>
      <c r="H20" s="5">
        <f>IF((D20-E20)&lt;0,0,(D20-E20))</f>
        <v>0</v>
      </c>
      <c r="I20" s="5">
        <f>IF((E20-D20)&lt;0,0,(E20-D20))</f>
        <v>0</v>
      </c>
      <c r="J20" s="5">
        <f>Table1[[#This Row],[Enrolment S.Y. 2025-2026 ]]*8</f>
        <v>0</v>
      </c>
      <c r="K20" s="5"/>
      <c r="L20" s="1"/>
      <c r="M20" s="5"/>
      <c r="N20" s="5">
        <f t="shared" si="10"/>
        <v>0</v>
      </c>
      <c r="O20" s="5">
        <f t="shared" si="11"/>
        <v>0</v>
      </c>
      <c r="P20" s="5">
        <f>Table1[[#This Row],[Enrolment S.Y. 2025-2026 ]]*8</f>
        <v>0</v>
      </c>
      <c r="Q20" s="5"/>
      <c r="R20" s="1"/>
      <c r="S20" s="5"/>
      <c r="T20" s="5">
        <f t="shared" si="12"/>
        <v>0</v>
      </c>
      <c r="U20" s="5">
        <f t="shared" si="13"/>
        <v>0</v>
      </c>
      <c r="V20" s="5">
        <f>Table1[[#This Row],[Enrolment S.Y. 2025-2026 ]]*8</f>
        <v>0</v>
      </c>
      <c r="W20" s="5"/>
      <c r="X20" s="1"/>
      <c r="Y20" s="5"/>
      <c r="Z20" s="5">
        <f t="shared" si="14"/>
        <v>0</v>
      </c>
      <c r="AA20" s="5">
        <f t="shared" si="15"/>
        <v>0</v>
      </c>
    </row>
    <row r="21" spans="1:27" ht="19.149999999999999">
      <c r="A21" s="1">
        <v>2</v>
      </c>
      <c r="B21" s="9" t="s">
        <v>63</v>
      </c>
      <c r="C21" s="1"/>
      <c r="D21" s="5">
        <f>Table1[[#This Row],[Enrolment S.Y. 2025-2026 ]]*8</f>
        <v>0</v>
      </c>
      <c r="E21" s="5"/>
      <c r="F21" s="1"/>
      <c r="G21" s="5"/>
      <c r="H21" s="5">
        <f>IF((D21-E21)&lt;0,0,(D21-E21))</f>
        <v>0</v>
      </c>
      <c r="I21" s="5">
        <f>IF((E21-D21)&lt;0,0,(E21-D21))</f>
        <v>0</v>
      </c>
      <c r="J21" s="5">
        <f>Table1[[#This Row],[Enrolment S.Y. 2025-2026 ]]*8</f>
        <v>0</v>
      </c>
      <c r="K21" s="5"/>
      <c r="L21" s="1"/>
      <c r="M21" s="5"/>
      <c r="N21" s="5">
        <f t="shared" si="10"/>
        <v>0</v>
      </c>
      <c r="O21" s="5">
        <f t="shared" si="11"/>
        <v>0</v>
      </c>
      <c r="P21" s="5">
        <f>Table1[[#This Row],[Enrolment S.Y. 2025-2026 ]]*8</f>
        <v>0</v>
      </c>
      <c r="Q21" s="5"/>
      <c r="R21" s="1"/>
      <c r="S21" s="5"/>
      <c r="T21" s="5">
        <f t="shared" si="12"/>
        <v>0</v>
      </c>
      <c r="U21" s="5">
        <f t="shared" si="13"/>
        <v>0</v>
      </c>
      <c r="V21" s="5">
        <f>Table1[[#This Row],[Enrolment S.Y. 2025-2026 ]]*8</f>
        <v>0</v>
      </c>
      <c r="W21" s="5"/>
      <c r="X21" s="1"/>
      <c r="Y21" s="5"/>
      <c r="Z21" s="5">
        <f t="shared" si="14"/>
        <v>0</v>
      </c>
      <c r="AA21" s="5">
        <f t="shared" si="15"/>
        <v>0</v>
      </c>
    </row>
    <row r="22" spans="1:27" s="7" customFormat="1" ht="19.149999999999999"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19.149999999999999">
      <c r="A23" s="1">
        <v>3</v>
      </c>
      <c r="B23" s="2" t="s">
        <v>8</v>
      </c>
      <c r="C23" s="1"/>
      <c r="D23" s="5">
        <f>Table1[[#This Row],[Enrolment S.Y. 2025-2026 ]]*8</f>
        <v>0</v>
      </c>
      <c r="E23" s="5"/>
      <c r="F23" s="1"/>
      <c r="G23" s="5"/>
      <c r="H23" s="5">
        <f t="shared" si="2"/>
        <v>0</v>
      </c>
      <c r="I23" s="5">
        <f t="shared" si="3"/>
        <v>0</v>
      </c>
      <c r="J23" s="5">
        <f>Table1[[#This Row],[Enrolment S.Y. 2025-2026 ]]*8</f>
        <v>0</v>
      </c>
      <c r="K23" s="5"/>
      <c r="L23" s="1"/>
      <c r="M23" s="5"/>
      <c r="N23" s="5">
        <f t="shared" si="10"/>
        <v>0</v>
      </c>
      <c r="O23" s="5">
        <f t="shared" si="11"/>
        <v>0</v>
      </c>
      <c r="P23" s="5">
        <f>Table1[[#This Row],[Enrolment S.Y. 2025-2026 ]]*8</f>
        <v>0</v>
      </c>
      <c r="Q23" s="5"/>
      <c r="R23" s="1"/>
      <c r="S23" s="5"/>
      <c r="T23" s="5">
        <f t="shared" si="12"/>
        <v>0</v>
      </c>
      <c r="U23" s="5">
        <f t="shared" si="13"/>
        <v>0</v>
      </c>
      <c r="V23" s="5">
        <f>Table1[[#This Row],[Enrolment S.Y. 2025-2026 ]]*8</f>
        <v>0</v>
      </c>
      <c r="W23" s="5"/>
      <c r="X23" s="1"/>
      <c r="Y23" s="5"/>
      <c r="Z23" s="5">
        <f t="shared" si="14"/>
        <v>0</v>
      </c>
      <c r="AA23" s="5">
        <f t="shared" si="15"/>
        <v>0</v>
      </c>
    </row>
    <row r="24" spans="1:27" ht="19.149999999999999">
      <c r="A24" s="1">
        <v>3</v>
      </c>
      <c r="B24" s="2" t="s">
        <v>9</v>
      </c>
      <c r="C24" s="1"/>
      <c r="D24" s="5">
        <f>Table1[[#This Row],[Enrolment S.Y. 2025-2026 ]]*8</f>
        <v>0</v>
      </c>
      <c r="E24" s="5"/>
      <c r="F24" s="1"/>
      <c r="G24" s="5"/>
      <c r="H24" s="5">
        <f t="shared" si="2"/>
        <v>0</v>
      </c>
      <c r="I24" s="5">
        <f t="shared" si="3"/>
        <v>0</v>
      </c>
      <c r="J24" s="5">
        <f>Table1[[#This Row],[Enrolment S.Y. 2025-2026 ]]*8</f>
        <v>0</v>
      </c>
      <c r="K24" s="5"/>
      <c r="L24" s="1"/>
      <c r="M24" s="5"/>
      <c r="N24" s="5">
        <f t="shared" si="10"/>
        <v>0</v>
      </c>
      <c r="O24" s="5">
        <f t="shared" si="11"/>
        <v>0</v>
      </c>
      <c r="P24" s="5">
        <f>Table1[[#This Row],[Enrolment S.Y. 2025-2026 ]]*8</f>
        <v>0</v>
      </c>
      <c r="Q24" s="5"/>
      <c r="R24" s="1"/>
      <c r="S24" s="5"/>
      <c r="T24" s="5">
        <f t="shared" si="12"/>
        <v>0</v>
      </c>
      <c r="U24" s="5">
        <f t="shared" si="13"/>
        <v>0</v>
      </c>
      <c r="V24" s="5">
        <f>Table1[[#This Row],[Enrolment S.Y. 2025-2026 ]]*8</f>
        <v>0</v>
      </c>
      <c r="W24" s="5"/>
      <c r="X24" s="1"/>
      <c r="Y24" s="5"/>
      <c r="Z24" s="5">
        <f t="shared" si="14"/>
        <v>0</v>
      </c>
      <c r="AA24" s="5">
        <f t="shared" si="15"/>
        <v>0</v>
      </c>
    </row>
    <row r="25" spans="1:27" ht="19.149999999999999">
      <c r="A25" s="1">
        <v>3</v>
      </c>
      <c r="B25" s="2" t="s">
        <v>10</v>
      </c>
      <c r="C25" s="1"/>
      <c r="D25" s="5">
        <f>Table1[[#This Row],[Enrolment S.Y. 2025-2026 ]]*8</f>
        <v>0</v>
      </c>
      <c r="E25" s="5"/>
      <c r="F25" s="1"/>
      <c r="G25" s="5"/>
      <c r="H25" s="5">
        <f t="shared" si="2"/>
        <v>0</v>
      </c>
      <c r="I25" s="5">
        <f t="shared" si="3"/>
        <v>0</v>
      </c>
      <c r="J25" s="5">
        <f>Table1[[#This Row],[Enrolment S.Y. 2025-2026 ]]*8</f>
        <v>0</v>
      </c>
      <c r="K25" s="5"/>
      <c r="L25" s="1"/>
      <c r="M25" s="5"/>
      <c r="N25" s="5">
        <f t="shared" si="10"/>
        <v>0</v>
      </c>
      <c r="O25" s="5">
        <f t="shared" si="11"/>
        <v>0</v>
      </c>
      <c r="P25" s="5">
        <f>Table1[[#This Row],[Enrolment S.Y. 2025-2026 ]]*8</f>
        <v>0</v>
      </c>
      <c r="Q25" s="5"/>
      <c r="R25" s="1"/>
      <c r="S25" s="5"/>
      <c r="T25" s="5">
        <f t="shared" si="12"/>
        <v>0</v>
      </c>
      <c r="U25" s="5">
        <f t="shared" si="13"/>
        <v>0</v>
      </c>
      <c r="V25" s="5">
        <f>Table1[[#This Row],[Enrolment S.Y. 2025-2026 ]]*8</f>
        <v>0</v>
      </c>
      <c r="W25" s="5"/>
      <c r="X25" s="1"/>
      <c r="Y25" s="5"/>
      <c r="Z25" s="5">
        <f t="shared" si="14"/>
        <v>0</v>
      </c>
      <c r="AA25" s="5">
        <f t="shared" si="15"/>
        <v>0</v>
      </c>
    </row>
    <row r="26" spans="1:27" ht="19.149999999999999">
      <c r="A26" s="1">
        <v>3</v>
      </c>
      <c r="B26" s="2" t="s">
        <v>13</v>
      </c>
      <c r="C26" s="1"/>
      <c r="D26" s="5">
        <f>Table1[[#This Row],[Enrolment S.Y. 2025-2026 ]]*8</f>
        <v>0</v>
      </c>
      <c r="E26" s="5"/>
      <c r="F26" s="1"/>
      <c r="G26" s="5"/>
      <c r="H26" s="5">
        <f t="shared" si="2"/>
        <v>0</v>
      </c>
      <c r="I26" s="5">
        <f t="shared" si="3"/>
        <v>0</v>
      </c>
      <c r="J26" s="5">
        <f>Table1[[#This Row],[Enrolment S.Y. 2025-2026 ]]*8</f>
        <v>0</v>
      </c>
      <c r="K26" s="5"/>
      <c r="L26" s="1"/>
      <c r="M26" s="5"/>
      <c r="N26" s="5">
        <f t="shared" si="10"/>
        <v>0</v>
      </c>
      <c r="O26" s="5">
        <f t="shared" si="11"/>
        <v>0</v>
      </c>
      <c r="P26" s="5">
        <f>Table1[[#This Row],[Enrolment S.Y. 2025-2026 ]]*8</f>
        <v>0</v>
      </c>
      <c r="Q26" s="5"/>
      <c r="R26" s="1"/>
      <c r="S26" s="5"/>
      <c r="T26" s="5">
        <f t="shared" si="12"/>
        <v>0</v>
      </c>
      <c r="U26" s="5">
        <f t="shared" si="13"/>
        <v>0</v>
      </c>
      <c r="V26" s="5">
        <f>Table1[[#This Row],[Enrolment S.Y. 2025-2026 ]]*8</f>
        <v>0</v>
      </c>
      <c r="W26" s="5"/>
      <c r="X26" s="1"/>
      <c r="Y26" s="5"/>
      <c r="Z26" s="5">
        <f t="shared" si="14"/>
        <v>0</v>
      </c>
      <c r="AA26" s="5">
        <f t="shared" si="15"/>
        <v>0</v>
      </c>
    </row>
    <row r="27" spans="1:27" ht="19.149999999999999">
      <c r="A27" s="1">
        <v>3</v>
      </c>
      <c r="B27" s="2" t="s">
        <v>11</v>
      </c>
      <c r="C27" s="1"/>
      <c r="D27" s="5">
        <f>Table1[[#This Row],[Enrolment S.Y. 2025-2026 ]]*8</f>
        <v>0</v>
      </c>
      <c r="E27" s="5"/>
      <c r="F27" s="1"/>
      <c r="G27" s="5"/>
      <c r="H27" s="5">
        <f t="shared" si="2"/>
        <v>0</v>
      </c>
      <c r="I27" s="5">
        <f t="shared" si="3"/>
        <v>0</v>
      </c>
      <c r="J27" s="5">
        <f>Table1[[#This Row],[Enrolment S.Y. 2025-2026 ]]*8</f>
        <v>0</v>
      </c>
      <c r="K27" s="5"/>
      <c r="L27" s="1"/>
      <c r="M27" s="5"/>
      <c r="N27" s="5">
        <f t="shared" si="10"/>
        <v>0</v>
      </c>
      <c r="O27" s="5">
        <f t="shared" si="11"/>
        <v>0</v>
      </c>
      <c r="P27" s="5">
        <f>Table1[[#This Row],[Enrolment S.Y. 2025-2026 ]]*8</f>
        <v>0</v>
      </c>
      <c r="Q27" s="5"/>
      <c r="R27" s="1"/>
      <c r="S27" s="5"/>
      <c r="T27" s="5">
        <f t="shared" si="12"/>
        <v>0</v>
      </c>
      <c r="U27" s="5">
        <f t="shared" si="13"/>
        <v>0</v>
      </c>
      <c r="V27" s="5">
        <f>Table1[[#This Row],[Enrolment S.Y. 2025-2026 ]]*8</f>
        <v>0</v>
      </c>
      <c r="W27" s="5"/>
      <c r="X27" s="1"/>
      <c r="Y27" s="5"/>
      <c r="Z27" s="5">
        <f t="shared" si="14"/>
        <v>0</v>
      </c>
      <c r="AA27" s="5">
        <f t="shared" si="15"/>
        <v>0</v>
      </c>
    </row>
    <row r="28" spans="1:27" ht="19.149999999999999">
      <c r="A28" s="1">
        <v>3</v>
      </c>
      <c r="B28" s="2" t="s">
        <v>12</v>
      </c>
      <c r="C28" s="1"/>
      <c r="D28" s="5">
        <f>Table1[[#This Row],[Enrolment S.Y. 2025-2026 ]]*8</f>
        <v>0</v>
      </c>
      <c r="E28" s="5"/>
      <c r="F28" s="1"/>
      <c r="G28" s="5"/>
      <c r="H28" s="5">
        <f t="shared" si="2"/>
        <v>0</v>
      </c>
      <c r="I28" s="5">
        <f t="shared" si="3"/>
        <v>0</v>
      </c>
      <c r="J28" s="5">
        <f>Table1[[#This Row],[Enrolment S.Y. 2025-2026 ]]*8</f>
        <v>0</v>
      </c>
      <c r="K28" s="5"/>
      <c r="L28" s="1"/>
      <c r="M28" s="5"/>
      <c r="N28" s="5">
        <f t="shared" si="10"/>
        <v>0</v>
      </c>
      <c r="O28" s="5">
        <f t="shared" si="11"/>
        <v>0</v>
      </c>
      <c r="P28" s="5">
        <f>Table1[[#This Row],[Enrolment S.Y. 2025-2026 ]]*8</f>
        <v>0</v>
      </c>
      <c r="Q28" s="5"/>
      <c r="R28" s="1"/>
      <c r="S28" s="5"/>
      <c r="T28" s="5">
        <f t="shared" si="12"/>
        <v>0</v>
      </c>
      <c r="U28" s="5">
        <f t="shared" si="13"/>
        <v>0</v>
      </c>
      <c r="V28" s="5">
        <f>Table1[[#This Row],[Enrolment S.Y. 2025-2026 ]]*8</f>
        <v>0</v>
      </c>
      <c r="W28" s="5"/>
      <c r="X28" s="1"/>
      <c r="Y28" s="5"/>
      <c r="Z28" s="5">
        <f t="shared" si="14"/>
        <v>0</v>
      </c>
      <c r="AA28" s="5">
        <f t="shared" si="15"/>
        <v>0</v>
      </c>
    </row>
    <row r="29" spans="1:27" ht="19.149999999999999">
      <c r="A29" s="1">
        <v>3</v>
      </c>
      <c r="B29" s="9" t="s">
        <v>14</v>
      </c>
      <c r="C29" s="1"/>
      <c r="D29" s="5">
        <f>Table1[[#This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Table1[[#This Row],[Enrolment S.Y. 2025-2026 ]]*8</f>
        <v>0</v>
      </c>
      <c r="K29" s="5"/>
      <c r="L29" s="1"/>
      <c r="M29" s="5"/>
      <c r="N29" s="5">
        <f t="shared" si="10"/>
        <v>0</v>
      </c>
      <c r="O29" s="5">
        <f t="shared" si="11"/>
        <v>0</v>
      </c>
      <c r="P29" s="5">
        <f>Table1[[#This Row],[Enrolment S.Y. 2025-2026 ]]*8</f>
        <v>0</v>
      </c>
      <c r="Q29" s="5"/>
      <c r="R29" s="1"/>
      <c r="S29" s="5"/>
      <c r="T29" s="5">
        <f t="shared" si="12"/>
        <v>0</v>
      </c>
      <c r="U29" s="5">
        <f t="shared" si="13"/>
        <v>0</v>
      </c>
      <c r="V29" s="5">
        <f>Table1[[#This Row],[Enrolment S.Y. 2025-2026 ]]*8</f>
        <v>0</v>
      </c>
      <c r="W29" s="5"/>
      <c r="X29" s="1"/>
      <c r="Y29" s="5"/>
      <c r="Z29" s="5">
        <f t="shared" si="14"/>
        <v>0</v>
      </c>
      <c r="AA29" s="5">
        <f t="shared" si="15"/>
        <v>0</v>
      </c>
    </row>
    <row r="30" spans="1:27" ht="19.149999999999999">
      <c r="A30" s="1">
        <v>3</v>
      </c>
      <c r="B30" s="9" t="s">
        <v>15</v>
      </c>
      <c r="C30" s="1"/>
      <c r="D30" s="5">
        <f>Table1[[#This Row],[Enrolment S.Y. 2025-2026 ]]*8</f>
        <v>0</v>
      </c>
      <c r="E30" s="5"/>
      <c r="F30" s="1"/>
      <c r="G30" s="5"/>
      <c r="H30" s="5">
        <f>IF((D30-E30)&lt;0,0,(D30-E30))</f>
        <v>0</v>
      </c>
      <c r="I30" s="5">
        <f>IF((E30-D30)&lt;0,0,(E30-D30))</f>
        <v>0</v>
      </c>
      <c r="J30" s="5">
        <f>Table1[[#This Row],[Enrolment S.Y. 2025-2026 ]]*8</f>
        <v>0</v>
      </c>
      <c r="K30" s="5"/>
      <c r="L30" s="1"/>
      <c r="M30" s="5"/>
      <c r="N30" s="5">
        <f t="shared" si="10"/>
        <v>0</v>
      </c>
      <c r="O30" s="5">
        <f t="shared" si="11"/>
        <v>0</v>
      </c>
      <c r="P30" s="5">
        <f>Table1[[#This Row],[Enrolment S.Y. 2025-2026 ]]*8</f>
        <v>0</v>
      </c>
      <c r="Q30" s="5"/>
      <c r="R30" s="1"/>
      <c r="S30" s="5"/>
      <c r="T30" s="5">
        <f t="shared" si="12"/>
        <v>0</v>
      </c>
      <c r="U30" s="5">
        <f t="shared" si="13"/>
        <v>0</v>
      </c>
      <c r="V30" s="5">
        <f>Table1[[#This Row],[Enrolment S.Y. 2025-2026 ]]*8</f>
        <v>0</v>
      </c>
      <c r="W30" s="5"/>
      <c r="X30" s="1"/>
      <c r="Y30" s="5"/>
      <c r="Z30" s="5">
        <f t="shared" si="14"/>
        <v>0</v>
      </c>
      <c r="AA30" s="5">
        <f t="shared" si="15"/>
        <v>0</v>
      </c>
    </row>
    <row r="31" spans="1:27" ht="19.149999999999999">
      <c r="A31" s="1">
        <v>3</v>
      </c>
      <c r="B31" s="9" t="s">
        <v>63</v>
      </c>
      <c r="C31" s="1"/>
      <c r="D31" s="5">
        <f>Table1[[#This Row],[Enrolment S.Y. 2025-2026 ]]*8</f>
        <v>0</v>
      </c>
      <c r="E31" s="5"/>
      <c r="F31" s="1"/>
      <c r="G31" s="5"/>
      <c r="H31" s="5">
        <f>IF((D31-E31)&lt;0,0,(D31-E31))</f>
        <v>0</v>
      </c>
      <c r="I31" s="5">
        <f>IF((E31-D31)&lt;0,0,(E31-D31))</f>
        <v>0</v>
      </c>
      <c r="J31" s="5">
        <f>Table1[[#This Row],[Enrolment S.Y. 2025-2026 ]]*8</f>
        <v>0</v>
      </c>
      <c r="K31" s="5"/>
      <c r="L31" s="1"/>
      <c r="M31" s="5"/>
      <c r="N31" s="5">
        <f t="shared" si="10"/>
        <v>0</v>
      </c>
      <c r="O31" s="5">
        <f t="shared" si="11"/>
        <v>0</v>
      </c>
      <c r="P31" s="5">
        <f>Table1[[#This Row],[Enrolment S.Y. 2025-2026 ]]*8</f>
        <v>0</v>
      </c>
      <c r="Q31" s="5"/>
      <c r="R31" s="1"/>
      <c r="S31" s="5"/>
      <c r="T31" s="5">
        <f t="shared" si="12"/>
        <v>0</v>
      </c>
      <c r="U31" s="5">
        <f t="shared" si="13"/>
        <v>0</v>
      </c>
      <c r="V31" s="5">
        <f>Table1[[#This Row],[Enrolment S.Y. 2025-2026 ]]*8</f>
        <v>0</v>
      </c>
      <c r="W31" s="5"/>
      <c r="X31" s="1"/>
      <c r="Y31" s="5"/>
      <c r="Z31" s="5">
        <f t="shared" si="14"/>
        <v>0</v>
      </c>
      <c r="AA31" s="5">
        <f t="shared" si="15"/>
        <v>0</v>
      </c>
    </row>
    <row r="32" spans="1:27" s="7" customFormat="1" ht="19.149999999999999"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149999999999999">
      <c r="A33" s="1">
        <v>4</v>
      </c>
      <c r="B33" s="9" t="s">
        <v>14</v>
      </c>
      <c r="C33" s="1"/>
      <c r="D33" s="5">
        <f>Table1[[#This Row],[Enrolment S.Y. 2025-2026 ]]*8</f>
        <v>0</v>
      </c>
      <c r="E33" s="5"/>
      <c r="F33" s="1"/>
      <c r="G33" s="5"/>
      <c r="H33" s="5">
        <f t="shared" si="2"/>
        <v>0</v>
      </c>
      <c r="I33" s="5">
        <f t="shared" si="3"/>
        <v>0</v>
      </c>
      <c r="J33" s="5">
        <f>Table1[[#This Row],[Enrolment S.Y. 2025-2026 ]]*8</f>
        <v>0</v>
      </c>
      <c r="K33" s="5"/>
      <c r="L33" s="1"/>
      <c r="M33" s="5"/>
      <c r="N33" s="5">
        <f t="shared" si="10"/>
        <v>0</v>
      </c>
      <c r="O33" s="5">
        <f t="shared" si="11"/>
        <v>0</v>
      </c>
      <c r="P33" s="5">
        <f>Table1[[#This Row],[Enrolment S.Y. 2025-2026 ]]*8</f>
        <v>0</v>
      </c>
      <c r="Q33" s="5"/>
      <c r="R33" s="1"/>
      <c r="S33" s="5"/>
      <c r="T33" s="5">
        <f t="shared" si="12"/>
        <v>0</v>
      </c>
      <c r="U33" s="5">
        <f t="shared" si="13"/>
        <v>0</v>
      </c>
      <c r="V33" s="5">
        <f>Table1[[#This Row],[Enrolment S.Y. 2025-2026 ]]*8</f>
        <v>0</v>
      </c>
      <c r="W33" s="5"/>
      <c r="X33" s="1"/>
      <c r="Y33" s="5"/>
      <c r="Z33" s="5">
        <f t="shared" si="14"/>
        <v>0</v>
      </c>
      <c r="AA33" s="5">
        <f t="shared" si="15"/>
        <v>0</v>
      </c>
    </row>
    <row r="34" spans="1:27" ht="19.149999999999999">
      <c r="A34" s="1">
        <v>4</v>
      </c>
      <c r="B34" s="9" t="s">
        <v>15</v>
      </c>
      <c r="C34" s="1"/>
      <c r="D34" s="5">
        <f>Table1[[#This Row],[Enrolment S.Y. 2025-2026 ]]*8</f>
        <v>0</v>
      </c>
      <c r="E34" s="5"/>
      <c r="F34" s="1"/>
      <c r="G34" s="5"/>
      <c r="H34" s="5">
        <f t="shared" si="2"/>
        <v>0</v>
      </c>
      <c r="I34" s="5">
        <f t="shared" si="3"/>
        <v>0</v>
      </c>
      <c r="J34" s="5">
        <f>Table1[[#This Row],[Enrolment S.Y. 2025-2026 ]]*8</f>
        <v>0</v>
      </c>
      <c r="K34" s="5"/>
      <c r="L34" s="1"/>
      <c r="M34" s="5"/>
      <c r="N34" s="5">
        <f t="shared" si="10"/>
        <v>0</v>
      </c>
      <c r="O34" s="5">
        <f t="shared" si="11"/>
        <v>0</v>
      </c>
      <c r="P34" s="5">
        <f>Table1[[#This Row],[Enrolment S.Y. 2025-2026 ]]*8</f>
        <v>0</v>
      </c>
      <c r="Q34" s="5"/>
      <c r="R34" s="1"/>
      <c r="S34" s="5"/>
      <c r="T34" s="5">
        <f t="shared" si="12"/>
        <v>0</v>
      </c>
      <c r="U34" s="5">
        <f t="shared" si="13"/>
        <v>0</v>
      </c>
      <c r="V34" s="5">
        <f>Table1[[#This Row],[Enrolment S.Y. 2025-2026 ]]*8</f>
        <v>0</v>
      </c>
      <c r="W34" s="5"/>
      <c r="X34" s="1"/>
      <c r="Y34" s="5"/>
      <c r="Z34" s="5">
        <f t="shared" si="14"/>
        <v>0</v>
      </c>
      <c r="AA34" s="5">
        <f t="shared" si="15"/>
        <v>0</v>
      </c>
    </row>
    <row r="35" spans="1:27" ht="19.149999999999999">
      <c r="A35" s="1">
        <v>4</v>
      </c>
      <c r="B35" s="9" t="s">
        <v>12</v>
      </c>
      <c r="C35" s="1"/>
      <c r="D35" s="5">
        <f>Table1[[#This Row],[Enrolment S.Y. 2025-2026 ]]*8</f>
        <v>0</v>
      </c>
      <c r="E35" s="5"/>
      <c r="F35" s="1"/>
      <c r="G35" s="5"/>
      <c r="H35" s="5">
        <f t="shared" si="2"/>
        <v>0</v>
      </c>
      <c r="I35" s="5">
        <f t="shared" si="3"/>
        <v>0</v>
      </c>
      <c r="J35" s="5">
        <f>Table1[[#This Row],[Enrolment S.Y. 2025-2026 ]]*8</f>
        <v>0</v>
      </c>
      <c r="K35" s="5"/>
      <c r="L35" s="1"/>
      <c r="M35" s="5"/>
      <c r="N35" s="5">
        <f t="shared" si="10"/>
        <v>0</v>
      </c>
      <c r="O35" s="5">
        <f t="shared" si="11"/>
        <v>0</v>
      </c>
      <c r="P35" s="5">
        <f>Table1[[#This Row],[Enrolment S.Y. 2025-2026 ]]*8</f>
        <v>0</v>
      </c>
      <c r="Q35" s="5"/>
      <c r="R35" s="1"/>
      <c r="S35" s="5"/>
      <c r="T35" s="5">
        <f t="shared" si="12"/>
        <v>0</v>
      </c>
      <c r="U35" s="5">
        <f t="shared" si="13"/>
        <v>0</v>
      </c>
      <c r="V35" s="5">
        <f>Table1[[#This Row],[Enrolment S.Y. 2025-2026 ]]*8</f>
        <v>0</v>
      </c>
      <c r="W35" s="5"/>
      <c r="X35" s="1"/>
      <c r="Y35" s="5"/>
      <c r="Z35" s="5">
        <f t="shared" si="14"/>
        <v>0</v>
      </c>
      <c r="AA35" s="5">
        <f t="shared" si="15"/>
        <v>0</v>
      </c>
    </row>
    <row r="36" spans="1:27" ht="19.149999999999999">
      <c r="A36" s="1">
        <v>4</v>
      </c>
      <c r="B36" s="9" t="s">
        <v>10</v>
      </c>
      <c r="C36" s="1"/>
      <c r="D36" s="5">
        <f>Table1[[#This Row],[Enrolment S.Y. 2025-2026 ]]*8</f>
        <v>0</v>
      </c>
      <c r="E36" s="5"/>
      <c r="F36" s="1"/>
      <c r="G36" s="5"/>
      <c r="H36" s="5">
        <f t="shared" si="2"/>
        <v>0</v>
      </c>
      <c r="I36" s="5">
        <f t="shared" si="3"/>
        <v>0</v>
      </c>
      <c r="J36" s="5">
        <f>Table1[[#This Row],[Enrolment S.Y. 2025-2026 ]]*8</f>
        <v>0</v>
      </c>
      <c r="K36" s="5"/>
      <c r="L36" s="1"/>
      <c r="M36" s="5"/>
      <c r="N36" s="5">
        <f t="shared" si="10"/>
        <v>0</v>
      </c>
      <c r="O36" s="5">
        <f t="shared" si="11"/>
        <v>0</v>
      </c>
      <c r="P36" s="5">
        <f>Table1[[#This Row],[Enrolment S.Y. 2025-2026 ]]*8</f>
        <v>0</v>
      </c>
      <c r="Q36" s="5"/>
      <c r="R36" s="1"/>
      <c r="S36" s="5"/>
      <c r="T36" s="5">
        <f t="shared" si="12"/>
        <v>0</v>
      </c>
      <c r="U36" s="5">
        <f t="shared" si="13"/>
        <v>0</v>
      </c>
      <c r="V36" s="5">
        <f>Table1[[#This Row],[Enrolment S.Y. 2025-2026 ]]*8</f>
        <v>0</v>
      </c>
      <c r="W36" s="5"/>
      <c r="X36" s="1"/>
      <c r="Y36" s="5"/>
      <c r="Z36" s="5">
        <f t="shared" si="14"/>
        <v>0</v>
      </c>
      <c r="AA36" s="5">
        <f t="shared" si="15"/>
        <v>0</v>
      </c>
    </row>
    <row r="37" spans="1:27" ht="19.149999999999999">
      <c r="A37" s="1">
        <v>4</v>
      </c>
      <c r="B37" s="9" t="s">
        <v>16</v>
      </c>
      <c r="C37" s="1"/>
      <c r="D37" s="5">
        <f>Table1[[#This Row],[Enrolment S.Y. 2025-2026 ]]*8</f>
        <v>0</v>
      </c>
      <c r="E37" s="5"/>
      <c r="F37" s="1"/>
      <c r="G37" s="5"/>
      <c r="H37" s="5">
        <f t="shared" si="2"/>
        <v>0</v>
      </c>
      <c r="I37" s="5">
        <f t="shared" si="3"/>
        <v>0</v>
      </c>
      <c r="J37" s="5">
        <f>Table1[[#This Row],[Enrolment S.Y. 2025-2026 ]]*8</f>
        <v>0</v>
      </c>
      <c r="K37" s="5"/>
      <c r="L37" s="1"/>
      <c r="M37" s="5"/>
      <c r="N37" s="5">
        <f t="shared" si="10"/>
        <v>0</v>
      </c>
      <c r="O37" s="5">
        <f t="shared" si="11"/>
        <v>0</v>
      </c>
      <c r="P37" s="5">
        <f>Table1[[#This Row],[Enrolment S.Y. 2025-2026 ]]*8</f>
        <v>0</v>
      </c>
      <c r="Q37" s="5"/>
      <c r="R37" s="1"/>
      <c r="S37" s="5"/>
      <c r="T37" s="5">
        <f t="shared" si="12"/>
        <v>0</v>
      </c>
      <c r="U37" s="5">
        <f t="shared" si="13"/>
        <v>0</v>
      </c>
      <c r="V37" s="5">
        <f>Table1[[#This Row],[Enrolment S.Y. 2025-2026 ]]*8</f>
        <v>0</v>
      </c>
      <c r="W37" s="5"/>
      <c r="X37" s="1"/>
      <c r="Y37" s="5"/>
      <c r="Z37" s="5">
        <f t="shared" si="14"/>
        <v>0</v>
      </c>
      <c r="AA37" s="5">
        <f t="shared" si="15"/>
        <v>0</v>
      </c>
    </row>
    <row r="38" spans="1:27" ht="19.149999999999999">
      <c r="A38" s="1">
        <v>4</v>
      </c>
      <c r="B38" s="9" t="s">
        <v>13</v>
      </c>
      <c r="C38" s="1"/>
      <c r="D38" s="5">
        <f>Table1[[#This Row],[Enrolment S.Y. 2025-2026 ]]*8</f>
        <v>0</v>
      </c>
      <c r="E38" s="5"/>
      <c r="F38" s="1"/>
      <c r="G38" s="5"/>
      <c r="H38" s="5">
        <f t="shared" si="2"/>
        <v>0</v>
      </c>
      <c r="I38" s="5">
        <f t="shared" si="3"/>
        <v>0</v>
      </c>
      <c r="J38" s="5">
        <f>Table1[[#This Row],[Enrolment S.Y. 2025-2026 ]]*8</f>
        <v>0</v>
      </c>
      <c r="K38" s="5"/>
      <c r="L38" s="1"/>
      <c r="M38" s="5"/>
      <c r="N38" s="5">
        <f t="shared" si="10"/>
        <v>0</v>
      </c>
      <c r="O38" s="5">
        <f t="shared" si="11"/>
        <v>0</v>
      </c>
      <c r="P38" s="5">
        <f>Table1[[#This Row],[Enrolment S.Y. 2025-2026 ]]*8</f>
        <v>0</v>
      </c>
      <c r="Q38" s="5"/>
      <c r="R38" s="1"/>
      <c r="S38" s="5"/>
      <c r="T38" s="5">
        <f t="shared" si="12"/>
        <v>0</v>
      </c>
      <c r="U38" s="5">
        <f t="shared" si="13"/>
        <v>0</v>
      </c>
      <c r="V38" s="5">
        <f>Table1[[#This Row],[Enrolment S.Y. 2025-2026 ]]*8</f>
        <v>0</v>
      </c>
      <c r="W38" s="5"/>
      <c r="X38" s="1"/>
      <c r="Y38" s="5"/>
      <c r="Z38" s="5">
        <f t="shared" si="14"/>
        <v>0</v>
      </c>
      <c r="AA38" s="5">
        <f t="shared" si="15"/>
        <v>0</v>
      </c>
    </row>
    <row r="39" spans="1:27" ht="19.149999999999999">
      <c r="A39" s="1">
        <v>4</v>
      </c>
      <c r="B39" s="9" t="s">
        <v>17</v>
      </c>
      <c r="C39" s="1"/>
      <c r="D39" s="5">
        <f>Table1[[#This Row],[Enrolment S.Y. 2025-2026 ]]*8</f>
        <v>0</v>
      </c>
      <c r="E39" s="5"/>
      <c r="F39" s="1"/>
      <c r="G39" s="5"/>
      <c r="H39" s="5">
        <f t="shared" si="2"/>
        <v>0</v>
      </c>
      <c r="I39" s="5">
        <f t="shared" si="3"/>
        <v>0</v>
      </c>
      <c r="J39" s="5">
        <f>Table1[[#This Row],[Enrolment S.Y. 2025-2026 ]]*8</f>
        <v>0</v>
      </c>
      <c r="K39" s="5"/>
      <c r="L39" s="1"/>
      <c r="M39" s="5"/>
      <c r="N39" s="5">
        <f t="shared" si="10"/>
        <v>0</v>
      </c>
      <c r="O39" s="5">
        <f t="shared" si="11"/>
        <v>0</v>
      </c>
      <c r="P39" s="5">
        <f>Table1[[#This Row],[Enrolment S.Y. 2025-2026 ]]*8</f>
        <v>0</v>
      </c>
      <c r="Q39" s="5"/>
      <c r="R39" s="1"/>
      <c r="S39" s="5"/>
      <c r="T39" s="5">
        <f t="shared" si="12"/>
        <v>0</v>
      </c>
      <c r="U39" s="5">
        <f t="shared" si="13"/>
        <v>0</v>
      </c>
      <c r="V39" s="5">
        <f>Table1[[#This Row],[Enrolment S.Y. 2025-2026 ]]*8</f>
        <v>0</v>
      </c>
      <c r="W39" s="5"/>
      <c r="X39" s="1"/>
      <c r="Y39" s="5"/>
      <c r="Z39" s="5">
        <f t="shared" si="14"/>
        <v>0</v>
      </c>
      <c r="AA39" s="5">
        <f t="shared" si="15"/>
        <v>0</v>
      </c>
    </row>
    <row r="40" spans="1:27" ht="19.149999999999999">
      <c r="A40" s="1">
        <v>4</v>
      </c>
      <c r="B40" s="9" t="s">
        <v>18</v>
      </c>
      <c r="C40" s="1"/>
      <c r="D40" s="5">
        <f>Table1[[#This Row],[Enrolment S.Y. 2025-2026 ]]*8</f>
        <v>0</v>
      </c>
      <c r="E40" s="5"/>
      <c r="F40" s="1"/>
      <c r="G40" s="5"/>
      <c r="H40" s="5">
        <f t="shared" si="2"/>
        <v>0</v>
      </c>
      <c r="I40" s="5">
        <f t="shared" si="3"/>
        <v>0</v>
      </c>
      <c r="J40" s="5">
        <f>Table1[[#This Row],[Enrolment S.Y. 2025-2026 ]]*8</f>
        <v>0</v>
      </c>
      <c r="K40" s="5"/>
      <c r="L40" s="1"/>
      <c r="M40" s="5"/>
      <c r="N40" s="5">
        <f t="shared" si="10"/>
        <v>0</v>
      </c>
      <c r="O40" s="5">
        <f t="shared" si="11"/>
        <v>0</v>
      </c>
      <c r="P40" s="5">
        <f>Table1[[#This Row],[Enrolment S.Y. 2025-2026 ]]*8</f>
        <v>0</v>
      </c>
      <c r="Q40" s="5"/>
      <c r="R40" s="1"/>
      <c r="S40" s="5"/>
      <c r="T40" s="5">
        <f t="shared" si="12"/>
        <v>0</v>
      </c>
      <c r="U40" s="5">
        <f t="shared" si="13"/>
        <v>0</v>
      </c>
      <c r="V40" s="5">
        <f>Table1[[#This Row],[Enrolment S.Y. 2025-2026 ]]*8</f>
        <v>0</v>
      </c>
      <c r="W40" s="5"/>
      <c r="X40" s="1"/>
      <c r="Y40" s="5"/>
      <c r="Z40" s="5">
        <f t="shared" si="14"/>
        <v>0</v>
      </c>
      <c r="AA40" s="5">
        <f t="shared" si="15"/>
        <v>0</v>
      </c>
    </row>
    <row r="41" spans="1:27" ht="19.149999999999999">
      <c r="A41" s="1">
        <v>4</v>
      </c>
      <c r="B41" s="9" t="s">
        <v>19</v>
      </c>
      <c r="C41" s="1"/>
      <c r="D41" s="5">
        <f>Table1[[#This Row],[Enrolment S.Y. 2025-2026 ]]*8</f>
        <v>0</v>
      </c>
      <c r="E41" s="5"/>
      <c r="F41" s="1"/>
      <c r="G41" s="5"/>
      <c r="H41" s="5">
        <f t="shared" si="2"/>
        <v>0</v>
      </c>
      <c r="I41" s="5">
        <f t="shared" si="3"/>
        <v>0</v>
      </c>
      <c r="J41" s="5">
        <f>Table1[[#This Row],[Enrolment S.Y. 2025-2026 ]]*8</f>
        <v>0</v>
      </c>
      <c r="K41" s="5"/>
      <c r="L41" s="1"/>
      <c r="M41" s="5"/>
      <c r="N41" s="5">
        <f t="shared" si="10"/>
        <v>0</v>
      </c>
      <c r="O41" s="5">
        <f t="shared" si="11"/>
        <v>0</v>
      </c>
      <c r="P41" s="5">
        <f>Table1[[#This Row],[Enrolment S.Y. 2025-2026 ]]*8</f>
        <v>0</v>
      </c>
      <c r="Q41" s="5"/>
      <c r="R41" s="1"/>
      <c r="S41" s="5"/>
      <c r="T41" s="5">
        <f t="shared" si="12"/>
        <v>0</v>
      </c>
      <c r="U41" s="5">
        <f t="shared" si="13"/>
        <v>0</v>
      </c>
      <c r="V41" s="5">
        <f>Table1[[#This Row],[Enrolment S.Y. 2025-2026 ]]*8</f>
        <v>0</v>
      </c>
      <c r="W41" s="5"/>
      <c r="X41" s="1"/>
      <c r="Y41" s="5"/>
      <c r="Z41" s="5">
        <f t="shared" si="14"/>
        <v>0</v>
      </c>
      <c r="AA41" s="5">
        <f t="shared" si="15"/>
        <v>0</v>
      </c>
    </row>
    <row r="42" spans="1:27" s="7" customFormat="1" ht="19.149999999999999"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149999999999999">
      <c r="A43" s="1">
        <v>5</v>
      </c>
      <c r="B43" s="9" t="s">
        <v>14</v>
      </c>
      <c r="C43" s="1"/>
      <c r="D43" s="5">
        <f>Table1[[#This Row],[Enrolment S.Y. 2025-2026 ]]*8</f>
        <v>0</v>
      </c>
      <c r="E43" s="5"/>
      <c r="F43" s="1"/>
      <c r="G43" s="5"/>
      <c r="H43" s="5">
        <f t="shared" si="2"/>
        <v>0</v>
      </c>
      <c r="I43" s="5">
        <f t="shared" si="3"/>
        <v>0</v>
      </c>
      <c r="J43" s="5">
        <f>Table1[[#This Row],[Enrolment S.Y. 2025-2026 ]]*8</f>
        <v>0</v>
      </c>
      <c r="K43" s="5"/>
      <c r="L43" s="1"/>
      <c r="M43" s="5"/>
      <c r="N43" s="5">
        <f t="shared" si="10"/>
        <v>0</v>
      </c>
      <c r="O43" s="5">
        <f t="shared" si="11"/>
        <v>0</v>
      </c>
      <c r="P43" s="5">
        <f>Table1[[#This Row],[Enrolment S.Y. 2025-2026 ]]*8</f>
        <v>0</v>
      </c>
      <c r="Q43" s="5"/>
      <c r="R43" s="1"/>
      <c r="S43" s="5"/>
      <c r="T43" s="5">
        <f t="shared" si="12"/>
        <v>0</v>
      </c>
      <c r="U43" s="5">
        <f t="shared" si="13"/>
        <v>0</v>
      </c>
      <c r="V43" s="5">
        <f>Table1[[#This Row],[Enrolment S.Y. 2025-2026 ]]*8</f>
        <v>0</v>
      </c>
      <c r="W43" s="5"/>
      <c r="X43" s="1"/>
      <c r="Y43" s="5"/>
      <c r="Z43" s="5">
        <f t="shared" si="14"/>
        <v>0</v>
      </c>
      <c r="AA43" s="5">
        <f t="shared" si="15"/>
        <v>0</v>
      </c>
    </row>
    <row r="44" spans="1:27" ht="19.149999999999999">
      <c r="A44" s="1">
        <v>5</v>
      </c>
      <c r="B44" s="9" t="s">
        <v>15</v>
      </c>
      <c r="C44" s="1"/>
      <c r="D44" s="5">
        <f>Table1[[#This Row],[Enrolment S.Y. 2025-2026 ]]*8</f>
        <v>0</v>
      </c>
      <c r="E44" s="5"/>
      <c r="F44" s="1"/>
      <c r="G44" s="5"/>
      <c r="H44" s="5">
        <f t="shared" si="2"/>
        <v>0</v>
      </c>
      <c r="I44" s="5">
        <f t="shared" si="3"/>
        <v>0</v>
      </c>
      <c r="J44" s="5">
        <f>Table1[[#This Row],[Enrolment S.Y. 2025-2026 ]]*8</f>
        <v>0</v>
      </c>
      <c r="K44" s="5"/>
      <c r="L44" s="1"/>
      <c r="M44" s="5"/>
      <c r="N44" s="5">
        <f t="shared" si="10"/>
        <v>0</v>
      </c>
      <c r="O44" s="5">
        <f t="shared" si="11"/>
        <v>0</v>
      </c>
      <c r="P44" s="5">
        <f>Table1[[#This Row],[Enrolment S.Y. 2025-2026 ]]*8</f>
        <v>0</v>
      </c>
      <c r="Q44" s="5"/>
      <c r="R44" s="1"/>
      <c r="S44" s="5"/>
      <c r="T44" s="5">
        <f t="shared" si="12"/>
        <v>0</v>
      </c>
      <c r="U44" s="5">
        <f t="shared" si="13"/>
        <v>0</v>
      </c>
      <c r="V44" s="5">
        <f>Table1[[#This Row],[Enrolment S.Y. 2025-2026 ]]*8</f>
        <v>0</v>
      </c>
      <c r="W44" s="5"/>
      <c r="X44" s="1"/>
      <c r="Y44" s="5"/>
      <c r="Z44" s="5">
        <f t="shared" si="14"/>
        <v>0</v>
      </c>
      <c r="AA44" s="5">
        <f t="shared" si="15"/>
        <v>0</v>
      </c>
    </row>
    <row r="45" spans="1:27" ht="19.149999999999999">
      <c r="A45" s="1">
        <v>5</v>
      </c>
      <c r="B45" s="9" t="s">
        <v>12</v>
      </c>
      <c r="C45" s="1"/>
      <c r="D45" s="5">
        <f>Table1[[#This Row],[Enrolment S.Y. 2025-2026 ]]*8</f>
        <v>0</v>
      </c>
      <c r="E45" s="5"/>
      <c r="F45" s="1"/>
      <c r="G45" s="5"/>
      <c r="H45" s="5">
        <f t="shared" si="2"/>
        <v>0</v>
      </c>
      <c r="I45" s="5">
        <f t="shared" si="3"/>
        <v>0</v>
      </c>
      <c r="J45" s="5">
        <f>Table1[[#This Row],[Enrolment S.Y. 2025-2026 ]]*8</f>
        <v>0</v>
      </c>
      <c r="K45" s="5"/>
      <c r="L45" s="1"/>
      <c r="M45" s="5"/>
      <c r="N45" s="5">
        <f t="shared" si="10"/>
        <v>0</v>
      </c>
      <c r="O45" s="5">
        <f t="shared" si="11"/>
        <v>0</v>
      </c>
      <c r="P45" s="5">
        <f>Table1[[#This Row],[Enrolment S.Y. 2025-2026 ]]*8</f>
        <v>0</v>
      </c>
      <c r="Q45" s="5"/>
      <c r="R45" s="1"/>
      <c r="S45" s="5"/>
      <c r="T45" s="5">
        <f t="shared" si="12"/>
        <v>0</v>
      </c>
      <c r="U45" s="5">
        <f t="shared" si="13"/>
        <v>0</v>
      </c>
      <c r="V45" s="5">
        <f>Table1[[#This Row],[Enrolment S.Y. 2025-2026 ]]*8</f>
        <v>0</v>
      </c>
      <c r="W45" s="5"/>
      <c r="X45" s="1"/>
      <c r="Y45" s="5"/>
      <c r="Z45" s="5">
        <f t="shared" si="14"/>
        <v>0</v>
      </c>
      <c r="AA45" s="5">
        <f t="shared" si="15"/>
        <v>0</v>
      </c>
    </row>
    <row r="46" spans="1:27" ht="19.149999999999999">
      <c r="A46" s="1">
        <v>5</v>
      </c>
      <c r="B46" s="9" t="s">
        <v>10</v>
      </c>
      <c r="C46" s="1"/>
      <c r="D46" s="5">
        <f>Table1[[#This Row],[Enrolment S.Y. 2025-2026 ]]*8</f>
        <v>0</v>
      </c>
      <c r="E46" s="5"/>
      <c r="F46" s="1"/>
      <c r="G46" s="5"/>
      <c r="H46" s="5">
        <f t="shared" si="2"/>
        <v>0</v>
      </c>
      <c r="I46" s="5">
        <f t="shared" si="3"/>
        <v>0</v>
      </c>
      <c r="J46" s="5">
        <f>Table1[[#This Row],[Enrolment S.Y. 2025-2026 ]]*8</f>
        <v>0</v>
      </c>
      <c r="K46" s="5"/>
      <c r="L46" s="1"/>
      <c r="M46" s="5"/>
      <c r="N46" s="5">
        <f t="shared" si="10"/>
        <v>0</v>
      </c>
      <c r="O46" s="5">
        <f t="shared" si="11"/>
        <v>0</v>
      </c>
      <c r="P46" s="5">
        <f>Table1[[#This Row],[Enrolment S.Y. 2025-2026 ]]*8</f>
        <v>0</v>
      </c>
      <c r="Q46" s="5"/>
      <c r="R46" s="1"/>
      <c r="S46" s="5"/>
      <c r="T46" s="5">
        <f t="shared" si="12"/>
        <v>0</v>
      </c>
      <c r="U46" s="5">
        <f t="shared" si="13"/>
        <v>0</v>
      </c>
      <c r="V46" s="5">
        <f>Table1[[#This Row],[Enrolment S.Y. 2025-2026 ]]*8</f>
        <v>0</v>
      </c>
      <c r="W46" s="5"/>
      <c r="X46" s="1"/>
      <c r="Y46" s="5"/>
      <c r="Z46" s="5">
        <f t="shared" si="14"/>
        <v>0</v>
      </c>
      <c r="AA46" s="5">
        <f t="shared" si="15"/>
        <v>0</v>
      </c>
    </row>
    <row r="47" spans="1:27" ht="19.149999999999999">
      <c r="A47" s="1">
        <v>5</v>
      </c>
      <c r="B47" s="9" t="s">
        <v>16</v>
      </c>
      <c r="C47" s="1"/>
      <c r="D47" s="5">
        <f>Table1[[#This Row],[Enrolment S.Y. 2025-2026 ]]*8</f>
        <v>0</v>
      </c>
      <c r="E47" s="5"/>
      <c r="F47" s="1"/>
      <c r="G47" s="5"/>
      <c r="H47" s="5">
        <f t="shared" si="2"/>
        <v>0</v>
      </c>
      <c r="I47" s="5">
        <f t="shared" si="3"/>
        <v>0</v>
      </c>
      <c r="J47" s="5">
        <f>Table1[[#This Row],[Enrolment S.Y. 2025-2026 ]]*8</f>
        <v>0</v>
      </c>
      <c r="K47" s="5"/>
      <c r="L47" s="1"/>
      <c r="M47" s="5"/>
      <c r="N47" s="5">
        <f t="shared" si="10"/>
        <v>0</v>
      </c>
      <c r="O47" s="5">
        <f t="shared" si="11"/>
        <v>0</v>
      </c>
      <c r="P47" s="5">
        <f>Table1[[#This Row],[Enrolment S.Y. 2025-2026 ]]*8</f>
        <v>0</v>
      </c>
      <c r="Q47" s="5"/>
      <c r="R47" s="1"/>
      <c r="S47" s="5"/>
      <c r="T47" s="5">
        <f t="shared" si="12"/>
        <v>0</v>
      </c>
      <c r="U47" s="5">
        <f t="shared" si="13"/>
        <v>0</v>
      </c>
      <c r="V47" s="5">
        <f>Table1[[#This Row],[Enrolment S.Y. 2025-2026 ]]*8</f>
        <v>0</v>
      </c>
      <c r="W47" s="5"/>
      <c r="X47" s="1"/>
      <c r="Y47" s="5"/>
      <c r="Z47" s="5">
        <f t="shared" si="14"/>
        <v>0</v>
      </c>
      <c r="AA47" s="5">
        <f t="shared" si="15"/>
        <v>0</v>
      </c>
    </row>
    <row r="48" spans="1:27" ht="19.149999999999999">
      <c r="A48" s="1">
        <v>5</v>
      </c>
      <c r="B48" s="9" t="s">
        <v>13</v>
      </c>
      <c r="C48" s="1"/>
      <c r="D48" s="5">
        <f>Table1[[#This Row],[Enrolment S.Y. 2025-2026 ]]*8</f>
        <v>0</v>
      </c>
      <c r="E48" s="5"/>
      <c r="F48" s="1"/>
      <c r="G48" s="5"/>
      <c r="H48" s="5">
        <f t="shared" si="2"/>
        <v>0</v>
      </c>
      <c r="I48" s="5">
        <f t="shared" si="3"/>
        <v>0</v>
      </c>
      <c r="J48" s="5">
        <f>Table1[[#This Row],[Enrolment S.Y. 2025-2026 ]]*8</f>
        <v>0</v>
      </c>
      <c r="K48" s="5"/>
      <c r="L48" s="1"/>
      <c r="M48" s="5"/>
      <c r="N48" s="5">
        <f t="shared" si="10"/>
        <v>0</v>
      </c>
      <c r="O48" s="5">
        <f t="shared" si="11"/>
        <v>0</v>
      </c>
      <c r="P48" s="5">
        <f>Table1[[#This Row],[Enrolment S.Y. 2025-2026 ]]*8</f>
        <v>0</v>
      </c>
      <c r="Q48" s="5"/>
      <c r="R48" s="1"/>
      <c r="S48" s="5"/>
      <c r="T48" s="5">
        <f t="shared" si="12"/>
        <v>0</v>
      </c>
      <c r="U48" s="5">
        <f t="shared" si="13"/>
        <v>0</v>
      </c>
      <c r="V48" s="5">
        <f>Table1[[#This Row],[Enrolment S.Y. 2025-2026 ]]*8</f>
        <v>0</v>
      </c>
      <c r="W48" s="5"/>
      <c r="X48" s="1"/>
      <c r="Y48" s="5"/>
      <c r="Z48" s="5">
        <f t="shared" si="14"/>
        <v>0</v>
      </c>
      <c r="AA48" s="5">
        <f t="shared" si="15"/>
        <v>0</v>
      </c>
    </row>
    <row r="49" spans="1:27" ht="19.149999999999999">
      <c r="A49" s="1">
        <v>5</v>
      </c>
      <c r="B49" s="9" t="s">
        <v>17</v>
      </c>
      <c r="C49" s="1"/>
      <c r="D49" s="5">
        <f>Table1[[#This Row],[Enrolment S.Y. 2025-2026 ]]*8</f>
        <v>0</v>
      </c>
      <c r="E49" s="5"/>
      <c r="F49" s="1"/>
      <c r="G49" s="5"/>
      <c r="H49" s="5">
        <f t="shared" si="2"/>
        <v>0</v>
      </c>
      <c r="I49" s="5">
        <f t="shared" si="3"/>
        <v>0</v>
      </c>
      <c r="J49" s="5">
        <f>Table1[[#This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Table1[[#This Row],[Enrolment S.Y. 2025-2026 ]]*8</f>
        <v>0</v>
      </c>
      <c r="Q49" s="5"/>
      <c r="R49" s="1"/>
      <c r="S49" s="5"/>
      <c r="T49" s="5">
        <f t="shared" si="12"/>
        <v>0</v>
      </c>
      <c r="U49" s="5">
        <f t="shared" si="13"/>
        <v>0</v>
      </c>
      <c r="V49" s="5">
        <f>Table1[[#This Row],[Enrolment S.Y. 2025-2026 ]]*8</f>
        <v>0</v>
      </c>
      <c r="W49" s="5"/>
      <c r="X49" s="1"/>
      <c r="Y49" s="5"/>
      <c r="Z49" s="5">
        <f t="shared" si="14"/>
        <v>0</v>
      </c>
      <c r="AA49" s="5">
        <f t="shared" si="15"/>
        <v>0</v>
      </c>
    </row>
    <row r="50" spans="1:27" ht="19.149999999999999">
      <c r="A50" s="1">
        <v>5</v>
      </c>
      <c r="B50" s="9" t="s">
        <v>18</v>
      </c>
      <c r="C50" s="1"/>
      <c r="D50" s="5">
        <f>Table1[[#This Row],[Enrolment S.Y. 2025-2026 ]]*8</f>
        <v>0</v>
      </c>
      <c r="E50" s="5"/>
      <c r="F50" s="1"/>
      <c r="G50" s="5"/>
      <c r="H50" s="5">
        <f t="shared" si="2"/>
        <v>0</v>
      </c>
      <c r="I50" s="5">
        <f t="shared" si="3"/>
        <v>0</v>
      </c>
      <c r="J50" s="5">
        <f>Table1[[#This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Table1[[#This Row],[Enrolment S.Y. 2025-2026 ]]*8</f>
        <v>0</v>
      </c>
      <c r="Q50" s="5"/>
      <c r="R50" s="1"/>
      <c r="S50" s="5"/>
      <c r="T50" s="5">
        <f t="shared" si="12"/>
        <v>0</v>
      </c>
      <c r="U50" s="5">
        <f t="shared" si="13"/>
        <v>0</v>
      </c>
      <c r="V50" s="5">
        <f>Table1[[#This Row],[Enrolment S.Y. 2025-2026 ]]*8</f>
        <v>0</v>
      </c>
      <c r="W50" s="5"/>
      <c r="X50" s="1"/>
      <c r="Y50" s="5"/>
      <c r="Z50" s="5">
        <f t="shared" si="14"/>
        <v>0</v>
      </c>
      <c r="AA50" s="5">
        <f t="shared" si="15"/>
        <v>0</v>
      </c>
    </row>
    <row r="51" spans="1:27" ht="19.149999999999999">
      <c r="A51" s="1">
        <v>5</v>
      </c>
      <c r="B51" s="9" t="s">
        <v>19</v>
      </c>
      <c r="C51" s="1"/>
      <c r="D51" s="5">
        <f>Table1[[#This Row],[Enrolment S.Y. 2025-2026 ]]*8</f>
        <v>0</v>
      </c>
      <c r="E51" s="5"/>
      <c r="F51" s="1"/>
      <c r="G51" s="5"/>
      <c r="H51" s="5">
        <f t="shared" si="2"/>
        <v>0</v>
      </c>
      <c r="I51" s="5">
        <f t="shared" si="3"/>
        <v>0</v>
      </c>
      <c r="J51" s="5">
        <f>Table1[[#This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Table1[[#This Row],[Enrolment S.Y. 2025-2026 ]]*8</f>
        <v>0</v>
      </c>
      <c r="Q51" s="5"/>
      <c r="R51" s="1"/>
      <c r="S51" s="5"/>
      <c r="T51" s="5">
        <f t="shared" si="12"/>
        <v>0</v>
      </c>
      <c r="U51" s="5">
        <f t="shared" si="13"/>
        <v>0</v>
      </c>
      <c r="V51" s="5">
        <f>Table1[[#This Row],[Enrolment S.Y. 2025-2026 ]]*8</f>
        <v>0</v>
      </c>
      <c r="W51" s="5"/>
      <c r="X51" s="1"/>
      <c r="Y51" s="5"/>
      <c r="Z51" s="5">
        <f t="shared" si="14"/>
        <v>0</v>
      </c>
      <c r="AA51" s="5">
        <f t="shared" si="15"/>
        <v>0</v>
      </c>
    </row>
    <row r="52" spans="1:27" s="7" customFormat="1" ht="19.149999999999999"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149999999999999">
      <c r="A53" s="1">
        <v>6</v>
      </c>
      <c r="B53" s="9" t="s">
        <v>14</v>
      </c>
      <c r="C53" s="1"/>
      <c r="D53" s="5">
        <f>Table1[[#This Row],[Enrolment S.Y. 2025-2026 ]]*8</f>
        <v>0</v>
      </c>
      <c r="E53" s="5"/>
      <c r="F53" s="1"/>
      <c r="G53" s="5"/>
      <c r="H53" s="5">
        <f t="shared" si="2"/>
        <v>0</v>
      </c>
      <c r="I53" s="5">
        <f t="shared" si="3"/>
        <v>0</v>
      </c>
      <c r="J53" s="5">
        <f>Table1[[#This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Table1[[#This Row],[Enrolment S.Y. 2025-2026 ]]*8</f>
        <v>0</v>
      </c>
      <c r="Q53" s="5"/>
      <c r="R53" s="1"/>
      <c r="S53" s="5"/>
      <c r="T53" s="5">
        <f t="shared" si="12"/>
        <v>0</v>
      </c>
      <c r="U53" s="5">
        <f t="shared" si="13"/>
        <v>0</v>
      </c>
      <c r="V53" s="5">
        <f>Table1[[#This Row],[Enrolment S.Y. 2025-2026 ]]*8</f>
        <v>0</v>
      </c>
      <c r="W53" s="5"/>
      <c r="X53" s="1"/>
      <c r="Y53" s="5"/>
      <c r="Z53" s="5">
        <f t="shared" si="14"/>
        <v>0</v>
      </c>
      <c r="AA53" s="5">
        <f t="shared" si="15"/>
        <v>0</v>
      </c>
    </row>
    <row r="54" spans="1:27" ht="19.149999999999999">
      <c r="A54" s="1">
        <v>6</v>
      </c>
      <c r="B54" s="9" t="s">
        <v>15</v>
      </c>
      <c r="C54" s="1"/>
      <c r="D54" s="5">
        <f>Table1[[#This Row],[Enrolment S.Y. 2025-2026 ]]*8</f>
        <v>0</v>
      </c>
      <c r="E54" s="5"/>
      <c r="F54" s="1"/>
      <c r="G54" s="5"/>
      <c r="H54" s="5">
        <f t="shared" si="2"/>
        <v>0</v>
      </c>
      <c r="I54" s="5">
        <f t="shared" si="3"/>
        <v>0</v>
      </c>
      <c r="J54" s="5">
        <f>Table1[[#This Row],[Enrolment S.Y. 2025-2026 ]]*8</f>
        <v>0</v>
      </c>
      <c r="K54" s="5"/>
      <c r="L54" s="1"/>
      <c r="M54" s="5"/>
      <c r="N54" s="5">
        <f t="shared" si="10"/>
        <v>0</v>
      </c>
      <c r="O54" s="5">
        <f t="shared" si="11"/>
        <v>0</v>
      </c>
      <c r="P54" s="5">
        <f>Table1[[#This Row],[Enrolment S.Y. 2025-2026 ]]*8</f>
        <v>0</v>
      </c>
      <c r="Q54" s="5"/>
      <c r="R54" s="1"/>
      <c r="S54" s="5"/>
      <c r="T54" s="5">
        <f t="shared" si="12"/>
        <v>0</v>
      </c>
      <c r="U54" s="5">
        <f t="shared" si="13"/>
        <v>0</v>
      </c>
      <c r="V54" s="5">
        <f>Table1[[#This Row],[Enrolment S.Y. 2025-2026 ]]*8</f>
        <v>0</v>
      </c>
      <c r="W54" s="5"/>
      <c r="X54" s="1"/>
      <c r="Y54" s="5"/>
      <c r="Z54" s="5">
        <f t="shared" si="14"/>
        <v>0</v>
      </c>
      <c r="AA54" s="5">
        <f t="shared" si="15"/>
        <v>0</v>
      </c>
    </row>
    <row r="55" spans="1:27" ht="19.149999999999999">
      <c r="A55" s="1">
        <v>6</v>
      </c>
      <c r="B55" s="9" t="s">
        <v>12</v>
      </c>
      <c r="C55" s="1"/>
      <c r="D55" s="5">
        <f>Table1[[#This Row],[Enrolment S.Y. 2025-2026 ]]*8</f>
        <v>0</v>
      </c>
      <c r="E55" s="5"/>
      <c r="F55" s="1"/>
      <c r="G55" s="5"/>
      <c r="H55" s="5">
        <f t="shared" si="2"/>
        <v>0</v>
      </c>
      <c r="I55" s="5">
        <f t="shared" si="3"/>
        <v>0</v>
      </c>
      <c r="J55" s="5">
        <f>Table1[[#This Row],[Enrolment S.Y. 2025-2026 ]]*8</f>
        <v>0</v>
      </c>
      <c r="K55" s="5"/>
      <c r="L55" s="1"/>
      <c r="M55" s="5"/>
      <c r="N55" s="5">
        <f t="shared" si="10"/>
        <v>0</v>
      </c>
      <c r="O55" s="5">
        <f t="shared" si="11"/>
        <v>0</v>
      </c>
      <c r="P55" s="5">
        <f>Table1[[#This Row],[Enrolment S.Y. 2025-2026 ]]*8</f>
        <v>0</v>
      </c>
      <c r="Q55" s="5"/>
      <c r="R55" s="1"/>
      <c r="S55" s="5"/>
      <c r="T55" s="5">
        <f t="shared" si="12"/>
        <v>0</v>
      </c>
      <c r="U55" s="5">
        <f t="shared" si="13"/>
        <v>0</v>
      </c>
      <c r="V55" s="5">
        <f>Table1[[#This Row],[Enrolment S.Y. 2025-2026 ]]*8</f>
        <v>0</v>
      </c>
      <c r="W55" s="5"/>
      <c r="X55" s="1"/>
      <c r="Y55" s="5"/>
      <c r="Z55" s="5">
        <f t="shared" si="14"/>
        <v>0</v>
      </c>
      <c r="AA55" s="5">
        <f t="shared" si="15"/>
        <v>0</v>
      </c>
    </row>
    <row r="56" spans="1:27" ht="19.149999999999999">
      <c r="A56" s="1">
        <v>6</v>
      </c>
      <c r="B56" s="9" t="s">
        <v>10</v>
      </c>
      <c r="C56" s="1"/>
      <c r="D56" s="5">
        <f>Table1[[#This Row],[Enrolment S.Y. 2025-2026 ]]*8</f>
        <v>0</v>
      </c>
      <c r="E56" s="5"/>
      <c r="F56" s="1"/>
      <c r="G56" s="5"/>
      <c r="H56" s="5">
        <f t="shared" si="2"/>
        <v>0</v>
      </c>
      <c r="I56" s="5">
        <f t="shared" si="3"/>
        <v>0</v>
      </c>
      <c r="J56" s="5">
        <f>Table1[[#This Row],[Enrolment S.Y. 2025-2026 ]]*8</f>
        <v>0</v>
      </c>
      <c r="K56" s="5"/>
      <c r="L56" s="1"/>
      <c r="M56" s="5"/>
      <c r="N56" s="5">
        <f t="shared" si="10"/>
        <v>0</v>
      </c>
      <c r="O56" s="5">
        <f t="shared" si="11"/>
        <v>0</v>
      </c>
      <c r="P56" s="5">
        <f>Table1[[#This Row],[Enrolment S.Y. 2025-2026 ]]*8</f>
        <v>0</v>
      </c>
      <c r="Q56" s="5"/>
      <c r="R56" s="1"/>
      <c r="S56" s="5"/>
      <c r="T56" s="5">
        <f t="shared" si="12"/>
        <v>0</v>
      </c>
      <c r="U56" s="5">
        <f t="shared" si="13"/>
        <v>0</v>
      </c>
      <c r="V56" s="5">
        <f>Table1[[#This Row],[Enrolment S.Y. 2025-2026 ]]*8</f>
        <v>0</v>
      </c>
      <c r="W56" s="5"/>
      <c r="X56" s="1"/>
      <c r="Y56" s="5"/>
      <c r="Z56" s="5">
        <f t="shared" si="14"/>
        <v>0</v>
      </c>
      <c r="AA56" s="5">
        <f t="shared" si="15"/>
        <v>0</v>
      </c>
    </row>
    <row r="57" spans="1:27" ht="19.149999999999999">
      <c r="A57" s="1">
        <v>6</v>
      </c>
      <c r="B57" s="9" t="s">
        <v>16</v>
      </c>
      <c r="C57" s="1"/>
      <c r="D57" s="5">
        <f>Table1[[#This Row],[Enrolment S.Y. 2025-2026 ]]*8</f>
        <v>0</v>
      </c>
      <c r="E57" s="5"/>
      <c r="F57" s="1"/>
      <c r="G57" s="5"/>
      <c r="H57" s="5">
        <f t="shared" si="2"/>
        <v>0</v>
      </c>
      <c r="I57" s="5">
        <f t="shared" si="3"/>
        <v>0</v>
      </c>
      <c r="J57" s="5">
        <f>Table1[[#This Row],[Enrolment S.Y. 2025-2026 ]]*8</f>
        <v>0</v>
      </c>
      <c r="K57" s="5"/>
      <c r="L57" s="1"/>
      <c r="M57" s="5"/>
      <c r="N57" s="5">
        <f t="shared" si="10"/>
        <v>0</v>
      </c>
      <c r="O57" s="5">
        <f t="shared" si="11"/>
        <v>0</v>
      </c>
      <c r="P57" s="5">
        <f>Table1[[#This Row],[Enrolment S.Y. 2025-2026 ]]*8</f>
        <v>0</v>
      </c>
      <c r="Q57" s="5"/>
      <c r="R57" s="1"/>
      <c r="S57" s="5"/>
      <c r="T57" s="5">
        <f t="shared" si="12"/>
        <v>0</v>
      </c>
      <c r="U57" s="5">
        <f t="shared" si="13"/>
        <v>0</v>
      </c>
      <c r="V57" s="5">
        <f>Table1[[#This Row],[Enrolment S.Y. 2025-2026 ]]*8</f>
        <v>0</v>
      </c>
      <c r="W57" s="5"/>
      <c r="X57" s="1"/>
      <c r="Y57" s="5"/>
      <c r="Z57" s="5">
        <f t="shared" si="14"/>
        <v>0</v>
      </c>
      <c r="AA57" s="5">
        <f t="shared" si="15"/>
        <v>0</v>
      </c>
    </row>
    <row r="58" spans="1:27" ht="19.149999999999999">
      <c r="A58" s="1">
        <v>6</v>
      </c>
      <c r="B58" s="9" t="s">
        <v>13</v>
      </c>
      <c r="C58" s="1"/>
      <c r="D58" s="5">
        <f>Table1[[#This Row],[Enrolment S.Y. 2025-2026 ]]*8</f>
        <v>0</v>
      </c>
      <c r="E58" s="5"/>
      <c r="F58" s="1"/>
      <c r="G58" s="5"/>
      <c r="H58" s="5">
        <f t="shared" si="2"/>
        <v>0</v>
      </c>
      <c r="I58" s="5">
        <f t="shared" si="3"/>
        <v>0</v>
      </c>
      <c r="J58" s="5">
        <f>Table1[[#This Row],[Enrolment S.Y. 2025-2026 ]]*8</f>
        <v>0</v>
      </c>
      <c r="K58" s="5"/>
      <c r="L58" s="1"/>
      <c r="M58" s="5"/>
      <c r="N58" s="5">
        <f t="shared" si="10"/>
        <v>0</v>
      </c>
      <c r="O58" s="5">
        <f t="shared" si="11"/>
        <v>0</v>
      </c>
      <c r="P58" s="5">
        <f>Table1[[#This Row],[Enrolment S.Y. 2025-2026 ]]*8</f>
        <v>0</v>
      </c>
      <c r="Q58" s="5"/>
      <c r="R58" s="1"/>
      <c r="S58" s="5"/>
      <c r="T58" s="5">
        <f t="shared" si="12"/>
        <v>0</v>
      </c>
      <c r="U58" s="5">
        <f t="shared" si="13"/>
        <v>0</v>
      </c>
      <c r="V58" s="5">
        <f>Table1[[#This Row],[Enrolment S.Y. 2025-2026 ]]*8</f>
        <v>0</v>
      </c>
      <c r="W58" s="5"/>
      <c r="X58" s="1"/>
      <c r="Y58" s="5"/>
      <c r="Z58" s="5">
        <f t="shared" si="14"/>
        <v>0</v>
      </c>
      <c r="AA58" s="5">
        <f t="shared" si="15"/>
        <v>0</v>
      </c>
    </row>
    <row r="59" spans="1:27" ht="19.149999999999999">
      <c r="A59" s="1">
        <v>6</v>
      </c>
      <c r="B59" s="9" t="s">
        <v>17</v>
      </c>
      <c r="C59" s="1"/>
      <c r="D59" s="5">
        <f>Table1[[#This Row],[Enrolment S.Y. 2025-2026 ]]*8</f>
        <v>0</v>
      </c>
      <c r="E59" s="5"/>
      <c r="F59" s="1"/>
      <c r="G59" s="5"/>
      <c r="H59" s="5">
        <f t="shared" si="2"/>
        <v>0</v>
      </c>
      <c r="I59" s="5">
        <f t="shared" si="3"/>
        <v>0</v>
      </c>
      <c r="J59" s="5">
        <f>Table1[[#This Row],[Enrolment S.Y. 2025-2026 ]]*8</f>
        <v>0</v>
      </c>
      <c r="K59" s="5"/>
      <c r="L59" s="1"/>
      <c r="M59" s="5"/>
      <c r="N59" s="5">
        <f t="shared" si="10"/>
        <v>0</v>
      </c>
      <c r="O59" s="5">
        <f t="shared" si="11"/>
        <v>0</v>
      </c>
      <c r="P59" s="5">
        <f>Table1[[#This Row],[Enrolment S.Y. 2025-2026 ]]*8</f>
        <v>0</v>
      </c>
      <c r="Q59" s="5"/>
      <c r="R59" s="1"/>
      <c r="S59" s="5"/>
      <c r="T59" s="5">
        <f t="shared" si="12"/>
        <v>0</v>
      </c>
      <c r="U59" s="5">
        <f t="shared" si="13"/>
        <v>0</v>
      </c>
      <c r="V59" s="5">
        <f>Table1[[#This Row],[Enrolment S.Y. 2025-2026 ]]*8</f>
        <v>0</v>
      </c>
      <c r="W59" s="5"/>
      <c r="X59" s="1"/>
      <c r="Y59" s="5"/>
      <c r="Z59" s="5">
        <f t="shared" si="14"/>
        <v>0</v>
      </c>
      <c r="AA59" s="5">
        <f t="shared" si="15"/>
        <v>0</v>
      </c>
    </row>
    <row r="60" spans="1:27" ht="19.149999999999999">
      <c r="A60" s="1">
        <v>6</v>
      </c>
      <c r="B60" s="9" t="s">
        <v>18</v>
      </c>
      <c r="C60" s="1"/>
      <c r="D60" s="5">
        <f>Table1[[#This Row],[Enrolment S.Y. 2025-2026 ]]*8</f>
        <v>0</v>
      </c>
      <c r="E60" s="5"/>
      <c r="F60" s="1"/>
      <c r="G60" s="5"/>
      <c r="H60" s="5">
        <f t="shared" si="2"/>
        <v>0</v>
      </c>
      <c r="I60" s="5">
        <f t="shared" si="3"/>
        <v>0</v>
      </c>
      <c r="J60" s="5">
        <f>Table1[[#This Row],[Enrolment S.Y. 2025-2026 ]]*8</f>
        <v>0</v>
      </c>
      <c r="K60" s="5"/>
      <c r="L60" s="1"/>
      <c r="M60" s="5"/>
      <c r="N60" s="5">
        <f t="shared" si="10"/>
        <v>0</v>
      </c>
      <c r="O60" s="5">
        <f t="shared" si="11"/>
        <v>0</v>
      </c>
      <c r="P60" s="5">
        <f>Table1[[#This Row],[Enrolment S.Y. 2025-2026 ]]*8</f>
        <v>0</v>
      </c>
      <c r="Q60" s="5"/>
      <c r="R60" s="1"/>
      <c r="S60" s="5"/>
      <c r="T60" s="5">
        <f t="shared" si="12"/>
        <v>0</v>
      </c>
      <c r="U60" s="5">
        <f t="shared" si="13"/>
        <v>0</v>
      </c>
      <c r="V60" s="5">
        <f>Table1[[#This Row],[Enrolment S.Y. 2025-2026 ]]*8</f>
        <v>0</v>
      </c>
      <c r="W60" s="5"/>
      <c r="X60" s="1"/>
      <c r="Y60" s="5"/>
      <c r="Z60" s="5">
        <f t="shared" si="14"/>
        <v>0</v>
      </c>
      <c r="AA60" s="5">
        <f t="shared" si="15"/>
        <v>0</v>
      </c>
    </row>
    <row r="61" spans="1:27" ht="19.149999999999999">
      <c r="A61" s="1">
        <v>6</v>
      </c>
      <c r="B61" s="9" t="s">
        <v>19</v>
      </c>
      <c r="C61" s="1"/>
      <c r="D61" s="5">
        <f>Table1[[#This Row],[Enrolment S.Y. 2025-2026 ]]*8</f>
        <v>0</v>
      </c>
      <c r="E61" s="5"/>
      <c r="F61" s="1"/>
      <c r="G61" s="5"/>
      <c r="H61" s="5">
        <f t="shared" si="2"/>
        <v>0</v>
      </c>
      <c r="I61" s="5">
        <f t="shared" si="3"/>
        <v>0</v>
      </c>
      <c r="J61" s="5">
        <f>Table1[[#This Row],[Enrolment S.Y. 2025-2026 ]]*8</f>
        <v>0</v>
      </c>
      <c r="K61" s="5"/>
      <c r="L61" s="1"/>
      <c r="M61" s="5"/>
      <c r="N61" s="5">
        <f t="shared" si="10"/>
        <v>0</v>
      </c>
      <c r="O61" s="5">
        <f t="shared" si="11"/>
        <v>0</v>
      </c>
      <c r="P61" s="5">
        <f>Table1[[#This Row],[Enrolment S.Y. 2025-2026 ]]*8</f>
        <v>0</v>
      </c>
      <c r="Q61" s="5"/>
      <c r="R61" s="1"/>
      <c r="S61" s="5"/>
      <c r="T61" s="5">
        <f t="shared" si="12"/>
        <v>0</v>
      </c>
      <c r="U61" s="5">
        <f t="shared" si="13"/>
        <v>0</v>
      </c>
      <c r="V61" s="5">
        <f>Table1[[#This Row],[Enrolment S.Y. 2025-2026 ]]*8</f>
        <v>0</v>
      </c>
      <c r="W61" s="5"/>
      <c r="X61" s="1"/>
      <c r="Y61" s="5"/>
      <c r="Z61" s="5">
        <f t="shared" si="14"/>
        <v>0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14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15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12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21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16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13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17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23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19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14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15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12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21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24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13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17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23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19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14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15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12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21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24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13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17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23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19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14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15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12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21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24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13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17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23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19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25</v>
      </c>
      <c r="B103" s="9" t="s">
        <v>26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25</v>
      </c>
      <c r="B104" s="9" t="s">
        <v>27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25</v>
      </c>
      <c r="B105" s="9" t="s">
        <v>28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25</v>
      </c>
      <c r="B106" s="9" t="s">
        <v>29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25</v>
      </c>
      <c r="B107" s="9" t="s">
        <v>30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25</v>
      </c>
      <c r="B108" s="9" t="s">
        <v>31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25</v>
      </c>
      <c r="B109" s="9" t="s">
        <v>32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25</v>
      </c>
      <c r="B110" s="9" t="s">
        <v>33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</sheetData>
  <protectedRanges>
    <protectedRange sqref="C2:C3 C14:C21 C23:C31 C33:C41 C43:C51 C53:C61 C63:C71 C73:C81 C83:C91 C93:C101 C103:C110 C112:C127 C5:C12" name="Textbooks"/>
    <protectedRange sqref="J2:L3 D2:F3 H5:L5 D14:F21 Q14:R21 W14:X21 D23:F31 Q23:R31 W23:X31 D33:F41 H33:I41 Q33:R41 W33:X41 D43:F51 H43:I51 Q43:R51 W43:X51 D53:F6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14:L21 K23:L31 Q112:R126 P2:R2 V2:X3 N13:P126 T13:V127 J6:J127 D5:F12 N5:R12 T5:X12 N4:P4 T4:V4 J4 Z4:AA127 N3:R3 Y13" name="LAS"/>
    <protectedRange sqref="G2:I3 M2:O2 S2:U3 Y2:AA3 G112:G127 M112:M127 S112:S127 Y112:Y127 G5:G12 M5:M12 S4:S110 Y5:Y12 G14:G21 M14:M110 M3 Y14:Y110 G23:G31 G33:G41 G43:G51 G53:G61 G63:G71 G73:G81 G83:G91 G93:G101 G103:G110" name="SOURCE"/>
  </protectedRanges>
  <dataConsolidate/>
  <mergeCells count="4">
    <mergeCell ref="D1:I1"/>
    <mergeCell ref="J1:O1"/>
    <mergeCell ref="P1:U1"/>
    <mergeCell ref="V1:AA1"/>
  </mergeCells>
  <dataValidations count="4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M14:M110 Y14:Y110 S4:S110 G5:G12 M5:M12 Y5:Y12 G14:G21 G23:G31 G33:G41 G43:G51 G53:G61 G63:G71 G73:G81 G83:G91 G93:G101 G103:G110" xr:uid="{5129D80C-83DF-45BE-B6AD-F21CA596CBA5}">
      <formula1>"CO,RO,SDO,LGU,SCHOOL"</formula1>
    </dataValidation>
    <dataValidation type="list" allowBlank="1" showInputMessage="1" showErrorMessage="1" sqref="F5:F12 F14:F21 F23:F31 F33:F41 F43:F51 F53:F61 F63:F71 F73:F81 F83:F91 F93:F101 F103:F110 F112:F127 L112:L127 L103:L110 L93:L101 L83:L91 L73:L81 L63:L71 L53:L61 L43:L51 L33:L41 L23:L31 L14:L21 L5:L12 R5:R12" xr:uid="{020DF544-50B6-4261-9189-DC08D90D69F0}">
      <formula1>"2024,2025  ,2026"</formula1>
    </dataValidation>
    <dataValidation type="list" allowBlank="1" showInputMessage="1" showErrorMessage="1" sqref="R14:R21 R23:R31 R33:R41 R43:R51 R53:R61 R63:R71 R73:R81 R83:R91 R93:R101 R103:R110 R112:R127 X5:X12 X14:X21 X23:X31 X33:X41 X43:X51 X53:X61 X63:X71 X73:X81 X83:X91 X93:X101 X103:X110 X112:X127" xr:uid="{F9497D5E-6653-4119-8EA3-BDE2D1B5C572}">
      <formula1>"2024,2025,2026"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40"/>
  <sheetViews>
    <sheetView tabSelected="1" topLeftCell="T107" zoomScale="55" zoomScaleNormal="55" workbookViewId="0">
      <selection activeCell="X114" sqref="X114"/>
    </sheetView>
  </sheetViews>
  <sheetFormatPr defaultRowHeight="13.9"/>
  <cols>
    <col min="1" max="1" width="9.42578125" customWidth="1"/>
    <col min="2" max="2" width="27.85546875" customWidth="1"/>
    <col min="3" max="3" width="24.710937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42" t="s">
        <v>34</v>
      </c>
      <c r="E1" s="42"/>
      <c r="F1" s="42"/>
      <c r="G1" s="42"/>
      <c r="H1" s="42"/>
      <c r="I1" s="42"/>
      <c r="J1" s="43" t="s">
        <v>35</v>
      </c>
      <c r="K1" s="43"/>
      <c r="L1" s="43"/>
      <c r="M1" s="43"/>
      <c r="N1" s="43"/>
      <c r="O1" s="43"/>
      <c r="P1" s="44" t="s">
        <v>36</v>
      </c>
      <c r="Q1" s="44"/>
      <c r="R1" s="44"/>
      <c r="S1" s="44"/>
      <c r="T1" s="44"/>
      <c r="U1" s="44"/>
      <c r="V1" s="45" t="s">
        <v>37</v>
      </c>
      <c r="W1" s="45"/>
      <c r="X1" s="45"/>
      <c r="Y1" s="45"/>
      <c r="Z1" s="45"/>
      <c r="AA1" s="45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64</v>
      </c>
      <c r="E2" s="20" t="s">
        <v>65</v>
      </c>
      <c r="F2" s="21" t="s">
        <v>66</v>
      </c>
      <c r="G2" s="24" t="s">
        <v>67</v>
      </c>
      <c r="H2" s="17" t="s">
        <v>68</v>
      </c>
      <c r="I2" s="24" t="s">
        <v>69</v>
      </c>
      <c r="J2" s="22" t="s">
        <v>70</v>
      </c>
      <c r="K2" s="22" t="s">
        <v>71</v>
      </c>
      <c r="L2" s="23" t="s">
        <v>72</v>
      </c>
      <c r="M2" s="40" t="s">
        <v>73</v>
      </c>
      <c r="N2" s="40" t="s">
        <v>74</v>
      </c>
      <c r="O2" s="22" t="s">
        <v>75</v>
      </c>
      <c r="P2" s="24" t="s">
        <v>76</v>
      </c>
      <c r="Q2" s="24" t="s">
        <v>77</v>
      </c>
      <c r="R2" s="25" t="s">
        <v>78</v>
      </c>
      <c r="S2" s="17" t="s">
        <v>79</v>
      </c>
      <c r="T2" s="17" t="s">
        <v>80</v>
      </c>
      <c r="U2" s="24" t="s">
        <v>81</v>
      </c>
      <c r="V2" s="26" t="s">
        <v>82</v>
      </c>
      <c r="W2" s="26" t="s">
        <v>83</v>
      </c>
      <c r="X2" s="27" t="s">
        <v>84</v>
      </c>
      <c r="Y2" s="41" t="s">
        <v>85</v>
      </c>
      <c r="Z2" s="41" t="s">
        <v>86</v>
      </c>
      <c r="AA2" s="26" t="s">
        <v>87</v>
      </c>
    </row>
    <row r="3" spans="1:27" ht="19.149999999999999">
      <c r="A3" s="1">
        <v>1</v>
      </c>
      <c r="B3" s="2" t="s">
        <v>8</v>
      </c>
      <c r="C3" s="1"/>
      <c r="D3" s="5">
        <f>Table14[[#This Row],[Enrolment S.Y. 2025-2026 ]]*8</f>
        <v>0</v>
      </c>
      <c r="E3" s="5"/>
      <c r="F3" s="1"/>
      <c r="G3" s="5"/>
      <c r="H3" s="5">
        <f t="shared" ref="H3:H83" si="0">IF((D3-E3)&lt;0,0,(D3-E3))</f>
        <v>0</v>
      </c>
      <c r="I3" s="5">
        <f t="shared" ref="I3:I83" si="1">IF((E3-D3)&lt;0,0,(E3-D3))</f>
        <v>0</v>
      </c>
      <c r="J3" s="5">
        <f>Table14[[#This Row],[Enrolment S.Y. 2025-2026 ]]*8</f>
        <v>0</v>
      </c>
      <c r="K3" s="5"/>
      <c r="L3" s="1"/>
      <c r="M3" s="5"/>
      <c r="N3" s="5">
        <f t="shared" ref="N3:N72" si="2">IF((J3-K3)&lt;0,0,(J3-K3))</f>
        <v>0</v>
      </c>
      <c r="O3" s="5">
        <f t="shared" ref="O3:O72" si="3">IF((K3-J3)&lt;0,0,(K3-J3))</f>
        <v>0</v>
      </c>
      <c r="P3" s="5">
        <f>Table14[[#This Row],[Enrolment S.Y. 2025-2026 ]]*8</f>
        <v>0</v>
      </c>
      <c r="Q3" s="5"/>
      <c r="R3" s="1"/>
      <c r="S3" s="5"/>
      <c r="T3" s="5">
        <f t="shared" ref="T3:T72" si="4">IF((P3-Q3)&lt;0,0,(P3-Q3))</f>
        <v>0</v>
      </c>
      <c r="U3" s="5">
        <f t="shared" ref="U3:U72" si="5">IF((Q3-P3)&lt;0,0,(Q3-P3))</f>
        <v>0</v>
      </c>
      <c r="V3" s="5">
        <f>Table14[[#This Row],[Enrolment S.Y. 2025-2026 ]]*8</f>
        <v>0</v>
      </c>
      <c r="W3" s="5"/>
      <c r="X3" s="1"/>
      <c r="Y3" s="5"/>
      <c r="Z3" s="5">
        <f t="shared" ref="Z3:Z72" si="6">IF((V3-W3)&lt;0,0,(V3-W3))</f>
        <v>0</v>
      </c>
      <c r="AA3" s="5">
        <f t="shared" ref="AA3:AA72" si="7">IF((W3-V3)&lt;0,0,(W3-V3))</f>
        <v>0</v>
      </c>
    </row>
    <row r="4" spans="1:27" ht="19.149999999999999">
      <c r="A4" s="1">
        <v>1</v>
      </c>
      <c r="B4" s="2" t="s">
        <v>9</v>
      </c>
      <c r="C4" s="1"/>
      <c r="D4" s="5">
        <f>Table14[[#This Row],[Enrolment S.Y. 2025-2026 ]]*8</f>
        <v>0</v>
      </c>
      <c r="E4" s="5"/>
      <c r="F4" s="1"/>
      <c r="G4" s="5"/>
      <c r="H4" s="5">
        <f t="shared" si="0"/>
        <v>0</v>
      </c>
      <c r="I4" s="5">
        <f t="shared" si="1"/>
        <v>0</v>
      </c>
      <c r="J4" s="5">
        <f>Table14[[#This Row],[Enrolment S.Y. 2025-2026 ]]*8</f>
        <v>0</v>
      </c>
      <c r="K4" s="5"/>
      <c r="L4" s="1"/>
      <c r="M4" s="5"/>
      <c r="N4" s="5">
        <f t="shared" si="2"/>
        <v>0</v>
      </c>
      <c r="O4" s="5">
        <f t="shared" si="3"/>
        <v>0</v>
      </c>
      <c r="P4" s="5">
        <f>Table14[[#This Row],[Enrolment S.Y. 2025-2026 ]]*8</f>
        <v>0</v>
      </c>
      <c r="Q4" s="5"/>
      <c r="R4" s="1"/>
      <c r="S4" s="5"/>
      <c r="T4" s="5">
        <f t="shared" si="4"/>
        <v>0</v>
      </c>
      <c r="U4" s="5">
        <f t="shared" si="5"/>
        <v>0</v>
      </c>
      <c r="V4" s="5">
        <f>Table14[[#This Row],[Enrolment S.Y. 2025-2026 ]]*8</f>
        <v>0</v>
      </c>
      <c r="W4" s="5"/>
      <c r="X4" s="1"/>
      <c r="Y4" s="5"/>
      <c r="Z4" s="5">
        <f t="shared" si="6"/>
        <v>0</v>
      </c>
      <c r="AA4" s="5">
        <f t="shared" si="7"/>
        <v>0</v>
      </c>
    </row>
    <row r="5" spans="1:27" ht="19.149999999999999">
      <c r="A5" s="1">
        <v>1</v>
      </c>
      <c r="B5" s="2" t="s">
        <v>10</v>
      </c>
      <c r="C5" s="1"/>
      <c r="D5" s="5">
        <f>Table14[[#This Row],[Enrolment S.Y. 2025-2026 ]]*8</f>
        <v>0</v>
      </c>
      <c r="E5" s="5"/>
      <c r="F5" s="1"/>
      <c r="G5" s="5"/>
      <c r="H5" s="5">
        <f t="shared" si="0"/>
        <v>0</v>
      </c>
      <c r="I5" s="5">
        <f t="shared" si="1"/>
        <v>0</v>
      </c>
      <c r="J5" s="5">
        <f>Table14[[#This Row],[Enrolment S.Y. 2025-2026 ]]*8</f>
        <v>0</v>
      </c>
      <c r="K5" s="5"/>
      <c r="L5" s="1"/>
      <c r="M5" s="5"/>
      <c r="N5" s="5">
        <f t="shared" si="2"/>
        <v>0</v>
      </c>
      <c r="O5" s="5">
        <f t="shared" si="3"/>
        <v>0</v>
      </c>
      <c r="P5" s="5">
        <f>Table14[[#This Row],[Enrolment S.Y. 2025-2026 ]]*8</f>
        <v>0</v>
      </c>
      <c r="Q5" s="5"/>
      <c r="R5" s="1"/>
      <c r="S5" s="5"/>
      <c r="T5" s="5">
        <f t="shared" si="4"/>
        <v>0</v>
      </c>
      <c r="U5" s="5">
        <f t="shared" si="5"/>
        <v>0</v>
      </c>
      <c r="V5" s="5">
        <f>Table14[[#This Row],[Enrolment S.Y. 2025-2026 ]]*8</f>
        <v>0</v>
      </c>
      <c r="W5" s="5"/>
      <c r="X5" s="1"/>
      <c r="Y5" s="5"/>
      <c r="Z5" s="5">
        <f t="shared" si="6"/>
        <v>0</v>
      </c>
      <c r="AA5" s="5">
        <f t="shared" si="7"/>
        <v>0</v>
      </c>
    </row>
    <row r="6" spans="1:27" ht="19.149999999999999">
      <c r="A6" s="1">
        <v>1</v>
      </c>
      <c r="B6" s="2" t="s">
        <v>11</v>
      </c>
      <c r="C6" s="1"/>
      <c r="D6" s="5">
        <f>Table14[[#This Row],[Enrolment S.Y. 2025-2026 ]]*8</f>
        <v>0</v>
      </c>
      <c r="E6" s="5"/>
      <c r="F6" s="1"/>
      <c r="G6" s="5"/>
      <c r="H6" s="5">
        <f t="shared" si="0"/>
        <v>0</v>
      </c>
      <c r="I6" s="5">
        <f t="shared" si="1"/>
        <v>0</v>
      </c>
      <c r="J6" s="5">
        <f>Table14[[#This Row],[Enrolment S.Y. 2025-2026 ]]*8</f>
        <v>0</v>
      </c>
      <c r="K6" s="5"/>
      <c r="L6" s="1"/>
      <c r="M6" s="5"/>
      <c r="N6" s="5">
        <f t="shared" si="2"/>
        <v>0</v>
      </c>
      <c r="O6" s="5">
        <f t="shared" si="3"/>
        <v>0</v>
      </c>
      <c r="P6" s="5">
        <f>Table14[[#This Row],[Enrolment S.Y. 2025-2026 ]]*8</f>
        <v>0</v>
      </c>
      <c r="Q6" s="5"/>
      <c r="R6" s="1"/>
      <c r="S6" s="5"/>
      <c r="T6" s="5">
        <f t="shared" si="4"/>
        <v>0</v>
      </c>
      <c r="U6" s="5">
        <f t="shared" si="5"/>
        <v>0</v>
      </c>
      <c r="V6" s="5">
        <f>Table14[[#This Row],[Enrolment S.Y. 2025-2026 ]]*8</f>
        <v>0</v>
      </c>
      <c r="W6" s="5"/>
      <c r="X6" s="1"/>
      <c r="Y6" s="5"/>
      <c r="Z6" s="5">
        <f t="shared" si="6"/>
        <v>0</v>
      </c>
      <c r="AA6" s="5">
        <f t="shared" si="7"/>
        <v>0</v>
      </c>
    </row>
    <row r="7" spans="1:27" ht="19.149999999999999">
      <c r="A7" s="1">
        <v>1</v>
      </c>
      <c r="B7" s="2" t="s">
        <v>12</v>
      </c>
      <c r="C7" s="1"/>
      <c r="D7" s="5">
        <f>Table14[[#This Row],[Enrolment S.Y. 2025-2026 ]]*8</f>
        <v>0</v>
      </c>
      <c r="E7" s="5"/>
      <c r="F7" s="1"/>
      <c r="G7" s="5"/>
      <c r="H7" s="5">
        <f t="shared" si="0"/>
        <v>0</v>
      </c>
      <c r="I7" s="5">
        <f t="shared" si="1"/>
        <v>0</v>
      </c>
      <c r="J7" s="5">
        <f>Table14[[#This Row],[Enrolment S.Y. 2025-2026 ]]*8</f>
        <v>0</v>
      </c>
      <c r="K7" s="5"/>
      <c r="L7" s="1"/>
      <c r="M7" s="5"/>
      <c r="N7" s="5">
        <f t="shared" si="2"/>
        <v>0</v>
      </c>
      <c r="O7" s="5">
        <f t="shared" si="3"/>
        <v>0</v>
      </c>
      <c r="P7" s="5">
        <f>Table14[[#This Row],[Enrolment S.Y. 2025-2026 ]]*8</f>
        <v>0</v>
      </c>
      <c r="Q7" s="5"/>
      <c r="R7" s="1"/>
      <c r="S7" s="5"/>
      <c r="T7" s="5">
        <f t="shared" si="4"/>
        <v>0</v>
      </c>
      <c r="U7" s="5">
        <f t="shared" si="5"/>
        <v>0</v>
      </c>
      <c r="V7" s="5">
        <f>Table14[[#This Row],[Enrolment S.Y. 2025-2026 ]]*8</f>
        <v>0</v>
      </c>
      <c r="W7" s="5"/>
      <c r="X7" s="1"/>
      <c r="Y7" s="5"/>
      <c r="Z7" s="5">
        <f t="shared" si="6"/>
        <v>0</v>
      </c>
      <c r="AA7" s="5">
        <f t="shared" si="7"/>
        <v>0</v>
      </c>
    </row>
    <row r="8" spans="1:27" ht="19.149999999999999">
      <c r="A8" s="1">
        <v>1</v>
      </c>
      <c r="B8" s="9" t="s">
        <v>14</v>
      </c>
      <c r="C8" s="1"/>
      <c r="D8" s="5">
        <f>Table14[[#This Row],[Enrolment S.Y. 2025-2026 ]]*8</f>
        <v>0</v>
      </c>
      <c r="E8" s="5"/>
      <c r="F8" s="1"/>
      <c r="G8" s="5"/>
      <c r="H8" s="5">
        <f>IF((D8-E8)&lt;0,0,(D8-E8))</f>
        <v>0</v>
      </c>
      <c r="I8" s="5">
        <f>IF((E8-D8)&lt;0,0,(E8-D8))</f>
        <v>0</v>
      </c>
      <c r="J8" s="5">
        <f>Table14[[#This Row],[Enrolment S.Y. 2025-2026 ]]*8</f>
        <v>0</v>
      </c>
      <c r="K8" s="5"/>
      <c r="L8" s="1"/>
      <c r="M8" s="5"/>
      <c r="N8" s="5">
        <f t="shared" si="2"/>
        <v>0</v>
      </c>
      <c r="O8" s="5">
        <f t="shared" si="3"/>
        <v>0</v>
      </c>
      <c r="P8" s="5">
        <f>Table14[[#This Row],[Enrolment S.Y. 2025-2026 ]]*8</f>
        <v>0</v>
      </c>
      <c r="Q8" s="5"/>
      <c r="R8" s="1"/>
      <c r="S8" s="5"/>
      <c r="T8" s="5">
        <f t="shared" si="4"/>
        <v>0</v>
      </c>
      <c r="U8" s="5">
        <f t="shared" si="5"/>
        <v>0</v>
      </c>
      <c r="V8" s="5">
        <f>Table14[[#This Row],[Enrolment S.Y. 2025-2026 ]]*8</f>
        <v>0</v>
      </c>
      <c r="W8" s="5"/>
      <c r="X8" s="1"/>
      <c r="Y8" s="5"/>
      <c r="Z8" s="5">
        <f t="shared" si="6"/>
        <v>0</v>
      </c>
      <c r="AA8" s="5">
        <f t="shared" si="7"/>
        <v>0</v>
      </c>
    </row>
    <row r="9" spans="1:27" ht="19.149999999999999">
      <c r="A9" s="1">
        <v>1</v>
      </c>
      <c r="B9" s="9" t="s">
        <v>15</v>
      </c>
      <c r="C9" s="1"/>
      <c r="D9" s="5">
        <f>Table14[[#This Row],[Enrolment S.Y. 2025-2026 ]]*8</f>
        <v>0</v>
      </c>
      <c r="E9" s="5"/>
      <c r="F9" s="1"/>
      <c r="G9" s="5"/>
      <c r="H9" s="5">
        <f>IF((D9-E9)&lt;0,0,(D9-E9))</f>
        <v>0</v>
      </c>
      <c r="I9" s="5">
        <f>IF((E9-D9)&lt;0,0,(E9-D9))</f>
        <v>0</v>
      </c>
      <c r="J9" s="5">
        <f>Table14[[#This Row],[Enrolment S.Y. 2025-2026 ]]*8</f>
        <v>0</v>
      </c>
      <c r="K9" s="5"/>
      <c r="L9" s="1"/>
      <c r="M9" s="5"/>
      <c r="N9" s="5">
        <f t="shared" si="2"/>
        <v>0</v>
      </c>
      <c r="O9" s="5">
        <f t="shared" si="3"/>
        <v>0</v>
      </c>
      <c r="P9" s="5">
        <f>Table14[[#This Row],[Enrolment S.Y. 2025-2026 ]]*8</f>
        <v>0</v>
      </c>
      <c r="Q9" s="5"/>
      <c r="R9" s="1"/>
      <c r="S9" s="5"/>
      <c r="T9" s="5">
        <f t="shared" si="4"/>
        <v>0</v>
      </c>
      <c r="U9" s="5">
        <f t="shared" si="5"/>
        <v>0</v>
      </c>
      <c r="V9" s="5">
        <f>Table14[[#This Row],[Enrolment S.Y. 2025-2026 ]]*8</f>
        <v>0</v>
      </c>
      <c r="W9" s="5"/>
      <c r="X9" s="1"/>
      <c r="Y9" s="5"/>
      <c r="Z9" s="5">
        <f t="shared" si="6"/>
        <v>0</v>
      </c>
      <c r="AA9" s="5">
        <f t="shared" si="7"/>
        <v>0</v>
      </c>
    </row>
    <row r="10" spans="1:27" ht="19.149999999999999">
      <c r="A10" s="1">
        <v>1</v>
      </c>
      <c r="B10" s="9" t="s">
        <v>63</v>
      </c>
      <c r="C10" s="1"/>
      <c r="D10" s="5">
        <f>Table14[[#This Row],[Enrolment S.Y. 2025-2026 ]]*8</f>
        <v>0</v>
      </c>
      <c r="E10" s="5"/>
      <c r="F10" s="1"/>
      <c r="G10" s="5"/>
      <c r="H10" s="5">
        <f>IF((D10-E10)&lt;0,0,(D10-E10))</f>
        <v>0</v>
      </c>
      <c r="I10" s="5">
        <f>IF((E10-D10)&lt;0,0,(E10-D10))</f>
        <v>0</v>
      </c>
      <c r="J10" s="5">
        <f>Table14[[#This Row],[Enrolment S.Y. 2025-2026 ]]*8</f>
        <v>0</v>
      </c>
      <c r="K10" s="5"/>
      <c r="L10" s="1"/>
      <c r="M10" s="5"/>
      <c r="N10" s="5">
        <f t="shared" si="2"/>
        <v>0</v>
      </c>
      <c r="O10" s="5">
        <f t="shared" si="3"/>
        <v>0</v>
      </c>
      <c r="P10" s="5">
        <f>Table14[[#This Row],[Enrolment S.Y. 2025-2026 ]]*8</f>
        <v>0</v>
      </c>
      <c r="Q10" s="5"/>
      <c r="R10" s="1"/>
      <c r="S10" s="5"/>
      <c r="T10" s="5">
        <f t="shared" si="4"/>
        <v>0</v>
      </c>
      <c r="U10" s="5">
        <f t="shared" si="5"/>
        <v>0</v>
      </c>
      <c r="V10" s="5">
        <f>Table14[[#This Row],[Enrolment S.Y. 2025-2026 ]]*8</f>
        <v>0</v>
      </c>
      <c r="W10" s="5"/>
      <c r="X10" s="1"/>
      <c r="Y10" s="5"/>
      <c r="Z10" s="5">
        <f t="shared" si="6"/>
        <v>0</v>
      </c>
      <c r="AA10" s="5">
        <f t="shared" si="7"/>
        <v>0</v>
      </c>
    </row>
    <row r="11" spans="1:27" s="7" customFormat="1"/>
    <row r="12" spans="1:27" ht="19.149999999999999">
      <c r="A12" s="1">
        <v>2</v>
      </c>
      <c r="B12" s="2" t="s">
        <v>8</v>
      </c>
      <c r="C12" s="1"/>
      <c r="D12" s="5">
        <f>Table14[[#This Row],[Enrolment S.Y. 2025-2026 ]]*8</f>
        <v>0</v>
      </c>
      <c r="E12" s="5"/>
      <c r="F12" s="1"/>
      <c r="G12" s="5"/>
      <c r="H12" s="5">
        <f t="shared" si="0"/>
        <v>0</v>
      </c>
      <c r="I12" s="5">
        <f t="shared" si="1"/>
        <v>0</v>
      </c>
      <c r="J12" s="5">
        <f>Table14[[#This Row],[Enrolment S.Y. 2025-2026 ]]*8</f>
        <v>0</v>
      </c>
      <c r="K12" s="5"/>
      <c r="L12" s="1"/>
      <c r="M12" s="5"/>
      <c r="N12" s="5">
        <f t="shared" si="2"/>
        <v>0</v>
      </c>
      <c r="O12" s="5">
        <f t="shared" si="3"/>
        <v>0</v>
      </c>
      <c r="P12" s="5">
        <f>Table14[[#This Row],[Enrolment S.Y. 2025-2026 ]]*8</f>
        <v>0</v>
      </c>
      <c r="Q12" s="5"/>
      <c r="R12" s="1"/>
      <c r="S12" s="5"/>
      <c r="T12" s="5">
        <f t="shared" si="4"/>
        <v>0</v>
      </c>
      <c r="U12" s="5">
        <f t="shared" si="5"/>
        <v>0</v>
      </c>
      <c r="V12" s="5">
        <f>Table14[[#This Row],[Enrolment S.Y. 2025-2026 ]]*8</f>
        <v>0</v>
      </c>
      <c r="W12" s="5"/>
      <c r="X12" s="1"/>
      <c r="Y12" s="5"/>
      <c r="Z12" s="5">
        <f t="shared" si="6"/>
        <v>0</v>
      </c>
      <c r="AA12" s="5">
        <f t="shared" si="7"/>
        <v>0</v>
      </c>
    </row>
    <row r="13" spans="1:27" ht="19.149999999999999">
      <c r="A13" s="1">
        <v>2</v>
      </c>
      <c r="B13" s="2" t="s">
        <v>9</v>
      </c>
      <c r="C13" s="1"/>
      <c r="D13" s="5">
        <f>Table14[[#This Row],[Enrolment S.Y. 2025-2026 ]]*8</f>
        <v>0</v>
      </c>
      <c r="E13" s="5"/>
      <c r="F13" s="1"/>
      <c r="G13" s="5"/>
      <c r="H13" s="5">
        <f t="shared" si="0"/>
        <v>0</v>
      </c>
      <c r="I13" s="5">
        <f t="shared" si="1"/>
        <v>0</v>
      </c>
      <c r="J13" s="5">
        <f>Table14[[#This Row],[Enrolment S.Y. 2025-2026 ]]*8</f>
        <v>0</v>
      </c>
      <c r="K13" s="5"/>
      <c r="L13" s="1"/>
      <c r="M13" s="5"/>
      <c r="N13" s="5">
        <f t="shared" si="2"/>
        <v>0</v>
      </c>
      <c r="O13" s="5">
        <f t="shared" si="3"/>
        <v>0</v>
      </c>
      <c r="P13" s="5">
        <f>Table14[[#This Row],[Enrolment S.Y. 2025-2026 ]]*8</f>
        <v>0</v>
      </c>
      <c r="Q13" s="5"/>
      <c r="R13" s="1"/>
      <c r="S13" s="5"/>
      <c r="T13" s="5">
        <f t="shared" si="4"/>
        <v>0</v>
      </c>
      <c r="U13" s="5">
        <f t="shared" si="5"/>
        <v>0</v>
      </c>
      <c r="V13" s="5">
        <f>Table14[[#This Row],[Enrolment S.Y. 2025-2026 ]]*8</f>
        <v>0</v>
      </c>
      <c r="W13" s="5"/>
      <c r="X13" s="1"/>
      <c r="Y13" s="5"/>
      <c r="Z13" s="5">
        <f t="shared" si="6"/>
        <v>0</v>
      </c>
      <c r="AA13" s="5">
        <f t="shared" si="7"/>
        <v>0</v>
      </c>
    </row>
    <row r="14" spans="1:27" ht="19.149999999999999">
      <c r="A14" s="1">
        <v>2</v>
      </c>
      <c r="B14" s="2" t="s">
        <v>10</v>
      </c>
      <c r="C14" s="1"/>
      <c r="D14" s="5">
        <f>Table14[[#This Row],[Enrolment S.Y. 2025-2026 ]]*8</f>
        <v>0</v>
      </c>
      <c r="E14" s="5"/>
      <c r="F14" s="1"/>
      <c r="G14" s="5"/>
      <c r="H14" s="5">
        <f t="shared" si="0"/>
        <v>0</v>
      </c>
      <c r="I14" s="5">
        <f t="shared" si="1"/>
        <v>0</v>
      </c>
      <c r="J14" s="5">
        <f>Table14[[#This Row],[Enrolment S.Y. 2025-2026 ]]*8</f>
        <v>0</v>
      </c>
      <c r="K14" s="5"/>
      <c r="L14" s="1"/>
      <c r="M14" s="5"/>
      <c r="N14" s="5">
        <f t="shared" si="2"/>
        <v>0</v>
      </c>
      <c r="O14" s="5">
        <f t="shared" si="3"/>
        <v>0</v>
      </c>
      <c r="P14" s="5">
        <f>Table14[[#This Row],[Enrolment S.Y. 2025-2026 ]]*8</f>
        <v>0</v>
      </c>
      <c r="Q14" s="5"/>
      <c r="R14" s="1"/>
      <c r="S14" s="5"/>
      <c r="T14" s="5">
        <f t="shared" si="4"/>
        <v>0</v>
      </c>
      <c r="U14" s="5">
        <f t="shared" si="5"/>
        <v>0</v>
      </c>
      <c r="V14" s="5">
        <f>Table14[[#This Row],[Enrolment S.Y. 2025-2026 ]]*8</f>
        <v>0</v>
      </c>
      <c r="W14" s="5"/>
      <c r="X14" s="1"/>
      <c r="Y14" s="5"/>
      <c r="Z14" s="5">
        <f t="shared" si="6"/>
        <v>0</v>
      </c>
      <c r="AA14" s="5">
        <f t="shared" si="7"/>
        <v>0</v>
      </c>
    </row>
    <row r="15" spans="1:27" ht="19.149999999999999">
      <c r="A15" s="1">
        <v>2</v>
      </c>
      <c r="B15" s="2" t="s">
        <v>11</v>
      </c>
      <c r="C15" s="1"/>
      <c r="D15" s="5">
        <f>Table14[[#This Row],[Enrolment S.Y. 2025-2026 ]]*8</f>
        <v>0</v>
      </c>
      <c r="E15" s="5"/>
      <c r="F15" s="1"/>
      <c r="G15" s="5"/>
      <c r="H15" s="5">
        <f t="shared" si="0"/>
        <v>0</v>
      </c>
      <c r="I15" s="5">
        <f t="shared" si="1"/>
        <v>0</v>
      </c>
      <c r="J15" s="5">
        <f>Table14[[#This Row],[Enrolment S.Y. 2025-2026 ]]*8</f>
        <v>0</v>
      </c>
      <c r="K15" s="5"/>
      <c r="L15" s="1"/>
      <c r="M15" s="5"/>
      <c r="N15" s="5">
        <f t="shared" si="2"/>
        <v>0</v>
      </c>
      <c r="O15" s="5">
        <f t="shared" si="3"/>
        <v>0</v>
      </c>
      <c r="P15" s="5">
        <f>Table14[[#This Row],[Enrolment S.Y. 2025-2026 ]]*8</f>
        <v>0</v>
      </c>
      <c r="Q15" s="5"/>
      <c r="R15" s="1"/>
      <c r="S15" s="5"/>
      <c r="T15" s="5">
        <f t="shared" si="4"/>
        <v>0</v>
      </c>
      <c r="U15" s="5">
        <f t="shared" si="5"/>
        <v>0</v>
      </c>
      <c r="V15" s="5">
        <f>Table14[[#This Row],[Enrolment S.Y. 2025-2026 ]]*8</f>
        <v>0</v>
      </c>
      <c r="W15" s="5"/>
      <c r="X15" s="1"/>
      <c r="Y15" s="5"/>
      <c r="Z15" s="5">
        <f t="shared" si="6"/>
        <v>0</v>
      </c>
      <c r="AA15" s="5">
        <f t="shared" si="7"/>
        <v>0</v>
      </c>
    </row>
    <row r="16" spans="1:27" ht="19.149999999999999">
      <c r="A16" s="1">
        <v>2</v>
      </c>
      <c r="B16" s="2" t="s">
        <v>12</v>
      </c>
      <c r="C16" s="1"/>
      <c r="D16" s="5">
        <f>Table14[[#This Row],[Enrolment S.Y. 2025-2026 ]]*8</f>
        <v>0</v>
      </c>
      <c r="E16" s="5"/>
      <c r="F16" s="1"/>
      <c r="G16" s="5"/>
      <c r="H16" s="5">
        <f t="shared" si="0"/>
        <v>0</v>
      </c>
      <c r="I16" s="5">
        <f t="shared" si="1"/>
        <v>0</v>
      </c>
      <c r="J16" s="5">
        <f>Table14[[#This Row],[Enrolment S.Y. 2025-2026 ]]*8</f>
        <v>0</v>
      </c>
      <c r="K16" s="5"/>
      <c r="L16" s="1"/>
      <c r="M16" s="5"/>
      <c r="N16" s="5">
        <f t="shared" si="2"/>
        <v>0</v>
      </c>
      <c r="O16" s="5">
        <f t="shared" si="3"/>
        <v>0</v>
      </c>
      <c r="P16" s="5">
        <f>Table14[[#This Row],[Enrolment S.Y. 2025-2026 ]]*8</f>
        <v>0</v>
      </c>
      <c r="Q16" s="5"/>
      <c r="R16" s="1"/>
      <c r="S16" s="5"/>
      <c r="T16" s="5">
        <f t="shared" si="4"/>
        <v>0</v>
      </c>
      <c r="U16" s="5">
        <f t="shared" si="5"/>
        <v>0</v>
      </c>
      <c r="V16" s="5">
        <f>Table14[[#This Row],[Enrolment S.Y. 2025-2026 ]]*8</f>
        <v>0</v>
      </c>
      <c r="W16" s="5"/>
      <c r="X16" s="1"/>
      <c r="Y16" s="5"/>
      <c r="Z16" s="5">
        <f t="shared" si="6"/>
        <v>0</v>
      </c>
      <c r="AA16" s="5">
        <f t="shared" si="7"/>
        <v>0</v>
      </c>
    </row>
    <row r="17" spans="1:27" ht="19.149999999999999">
      <c r="A17" s="1">
        <v>2</v>
      </c>
      <c r="B17" s="9" t="s">
        <v>15</v>
      </c>
      <c r="C17" s="1"/>
      <c r="D17" s="5">
        <f>Table14[[#This Row],[Enrolment S.Y. 2025-2026 ]]*8</f>
        <v>0</v>
      </c>
      <c r="E17" s="5"/>
      <c r="F17" s="1"/>
      <c r="G17" s="5"/>
      <c r="H17" s="5">
        <f>IF((D17-E17)&lt;0,0,(D17-E17))</f>
        <v>0</v>
      </c>
      <c r="I17" s="5">
        <f>IF((E17-D17)&lt;0,0,(E17-D17))</f>
        <v>0</v>
      </c>
      <c r="J17" s="5">
        <f>Table14[[#This Row],[Enrolment S.Y. 2025-2026 ]]*8</f>
        <v>0</v>
      </c>
      <c r="K17" s="5"/>
      <c r="L17" s="1"/>
      <c r="M17" s="5"/>
      <c r="N17" s="5">
        <f t="shared" si="2"/>
        <v>0</v>
      </c>
      <c r="O17" s="5">
        <f t="shared" si="3"/>
        <v>0</v>
      </c>
      <c r="P17" s="5">
        <f>Table14[[#This Row],[Enrolment S.Y. 2025-2026 ]]*8</f>
        <v>0</v>
      </c>
      <c r="Q17" s="5"/>
      <c r="R17" s="1"/>
      <c r="S17" s="5"/>
      <c r="T17" s="5">
        <f t="shared" si="4"/>
        <v>0</v>
      </c>
      <c r="U17" s="5">
        <f t="shared" si="5"/>
        <v>0</v>
      </c>
      <c r="V17" s="5">
        <f>Table14[[#This Row],[Enrolment S.Y. 2025-2026 ]]*8</f>
        <v>0</v>
      </c>
      <c r="W17" s="5"/>
      <c r="X17" s="1"/>
      <c r="Y17" s="5"/>
      <c r="Z17" s="5">
        <f t="shared" si="6"/>
        <v>0</v>
      </c>
      <c r="AA17" s="5">
        <f t="shared" si="7"/>
        <v>0</v>
      </c>
    </row>
    <row r="18" spans="1:27" ht="19.149999999999999">
      <c r="A18" s="1">
        <v>2</v>
      </c>
      <c r="B18" s="9" t="s">
        <v>14</v>
      </c>
      <c r="C18" s="1"/>
      <c r="D18" s="5">
        <f>Table14[[#This Row],[Enrolment S.Y. 2025-2026 ]]*8</f>
        <v>0</v>
      </c>
      <c r="E18" s="5"/>
      <c r="F18" s="1"/>
      <c r="G18" s="5"/>
      <c r="H18" s="5">
        <f>IF((D18-E18)&lt;0,0,(D18-E18))</f>
        <v>0</v>
      </c>
      <c r="I18" s="5">
        <f>IF((E18-D18)&lt;0,0,(E18-D18))</f>
        <v>0</v>
      </c>
      <c r="J18" s="5">
        <f>Table14[[#This Row],[Enrolment S.Y. 2025-2026 ]]*8</f>
        <v>0</v>
      </c>
      <c r="K18" s="5"/>
      <c r="L18" s="1"/>
      <c r="M18" s="5"/>
      <c r="N18" s="5">
        <f t="shared" si="2"/>
        <v>0</v>
      </c>
      <c r="O18" s="5">
        <f t="shared" si="3"/>
        <v>0</v>
      </c>
      <c r="P18" s="5">
        <f>Table14[[#This Row],[Enrolment S.Y. 2025-2026 ]]*8</f>
        <v>0</v>
      </c>
      <c r="Q18" s="5"/>
      <c r="R18" s="1"/>
      <c r="S18" s="5"/>
      <c r="T18" s="5">
        <f t="shared" si="4"/>
        <v>0</v>
      </c>
      <c r="U18" s="5">
        <f t="shared" si="5"/>
        <v>0</v>
      </c>
      <c r="V18" s="5">
        <f>Table14[[#This Row],[Enrolment S.Y. 2025-2026 ]]*8</f>
        <v>0</v>
      </c>
      <c r="W18" s="5"/>
      <c r="X18" s="1"/>
      <c r="Y18" s="5"/>
      <c r="Z18" s="5">
        <f t="shared" si="6"/>
        <v>0</v>
      </c>
      <c r="AA18" s="5">
        <f t="shared" si="7"/>
        <v>0</v>
      </c>
    </row>
    <row r="19" spans="1:27" ht="19.149999999999999">
      <c r="A19" s="1">
        <v>2</v>
      </c>
      <c r="B19" s="9" t="s">
        <v>63</v>
      </c>
      <c r="C19" s="1"/>
      <c r="D19" s="5">
        <f>Table14[[#This Row],[Enrolment S.Y. 2025-2026 ]]*8</f>
        <v>0</v>
      </c>
      <c r="E19" s="5"/>
      <c r="F19" s="1"/>
      <c r="G19" s="5"/>
      <c r="H19" s="5">
        <f>IF((D19-E19)&lt;0,0,(D19-E19))</f>
        <v>0</v>
      </c>
      <c r="I19" s="5">
        <f>IF((E19-D19)&lt;0,0,(E19-D19))</f>
        <v>0</v>
      </c>
      <c r="J19" s="5">
        <f>Table14[[#This Row],[Enrolment S.Y. 2025-2026 ]]*8</f>
        <v>0</v>
      </c>
      <c r="K19" s="5"/>
      <c r="L19" s="1"/>
      <c r="M19" s="5"/>
      <c r="N19" s="5">
        <f t="shared" si="2"/>
        <v>0</v>
      </c>
      <c r="O19" s="5">
        <f t="shared" si="3"/>
        <v>0</v>
      </c>
      <c r="P19" s="5">
        <f>Table14[[#This Row],[Enrolment S.Y. 2025-2026 ]]*8</f>
        <v>0</v>
      </c>
      <c r="Q19" s="5"/>
      <c r="R19" s="1"/>
      <c r="S19" s="5"/>
      <c r="T19" s="5">
        <f t="shared" si="4"/>
        <v>0</v>
      </c>
      <c r="U19" s="5">
        <f t="shared" si="5"/>
        <v>0</v>
      </c>
      <c r="V19" s="5">
        <f>Table14[[#This Row],[Enrolment S.Y. 2025-2026 ]]*8</f>
        <v>0</v>
      </c>
      <c r="W19" s="5"/>
      <c r="X19" s="1"/>
      <c r="Y19" s="5"/>
      <c r="Z19" s="5">
        <f t="shared" si="6"/>
        <v>0</v>
      </c>
      <c r="AA19" s="5">
        <f t="shared" si="7"/>
        <v>0</v>
      </c>
    </row>
    <row r="20" spans="1:27" s="7" customFormat="1"/>
    <row r="21" spans="1:27" ht="19.149999999999999">
      <c r="A21" s="1">
        <v>3</v>
      </c>
      <c r="B21" s="2" t="s">
        <v>8</v>
      </c>
      <c r="C21" s="1"/>
      <c r="D21" s="5">
        <f>Table14[[#This Row],[Enrolment S.Y. 2025-2026 ]]*8</f>
        <v>0</v>
      </c>
      <c r="E21" s="5"/>
      <c r="F21" s="1"/>
      <c r="G21" s="5"/>
      <c r="H21" s="5">
        <f t="shared" si="0"/>
        <v>0</v>
      </c>
      <c r="I21" s="5">
        <f t="shared" si="1"/>
        <v>0</v>
      </c>
      <c r="J21" s="5">
        <f>Table14[[#This Row],[Enrolment S.Y. 2025-2026 ]]*8</f>
        <v>0</v>
      </c>
      <c r="K21" s="5"/>
      <c r="L21" s="1"/>
      <c r="M21" s="5"/>
      <c r="N21" s="5">
        <f t="shared" si="2"/>
        <v>0</v>
      </c>
      <c r="O21" s="5">
        <f t="shared" si="3"/>
        <v>0</v>
      </c>
      <c r="P21" s="5">
        <f>Table14[[#This Row],[Enrolment S.Y. 2025-2026 ]]*8</f>
        <v>0</v>
      </c>
      <c r="Q21" s="5"/>
      <c r="R21" s="1"/>
      <c r="S21" s="5"/>
      <c r="T21" s="5">
        <f t="shared" si="4"/>
        <v>0</v>
      </c>
      <c r="U21" s="5">
        <f t="shared" si="5"/>
        <v>0</v>
      </c>
      <c r="V21" s="5">
        <f>Table14[[#This Row],[Enrolment S.Y. 2025-2026 ]]*8</f>
        <v>0</v>
      </c>
      <c r="W21" s="5"/>
      <c r="X21" s="1"/>
      <c r="Y21" s="5"/>
      <c r="Z21" s="5">
        <f t="shared" si="6"/>
        <v>0</v>
      </c>
      <c r="AA21" s="5">
        <f t="shared" si="7"/>
        <v>0</v>
      </c>
    </row>
    <row r="22" spans="1:27" ht="19.149999999999999">
      <c r="A22" s="1">
        <v>3</v>
      </c>
      <c r="B22" s="2" t="s">
        <v>9</v>
      </c>
      <c r="C22" s="1"/>
      <c r="D22" s="5">
        <f>Table14[[#This Row],[Enrolment S.Y. 2025-2026 ]]*8</f>
        <v>0</v>
      </c>
      <c r="E22" s="5"/>
      <c r="F22" s="1"/>
      <c r="G22" s="5"/>
      <c r="H22" s="5">
        <f t="shared" si="0"/>
        <v>0</v>
      </c>
      <c r="I22" s="5">
        <f t="shared" si="1"/>
        <v>0</v>
      </c>
      <c r="J22" s="5">
        <f>Table14[[#This Row],[Enrolment S.Y. 2025-2026 ]]*8</f>
        <v>0</v>
      </c>
      <c r="K22" s="5"/>
      <c r="L22" s="1"/>
      <c r="M22" s="5"/>
      <c r="N22" s="5">
        <f t="shared" si="2"/>
        <v>0</v>
      </c>
      <c r="O22" s="5">
        <f t="shared" si="3"/>
        <v>0</v>
      </c>
      <c r="P22" s="5">
        <f>Table14[[#This Row],[Enrolment S.Y. 2025-2026 ]]*8</f>
        <v>0</v>
      </c>
      <c r="Q22" s="5"/>
      <c r="R22" s="1"/>
      <c r="S22" s="5"/>
      <c r="T22" s="5">
        <f t="shared" si="4"/>
        <v>0</v>
      </c>
      <c r="U22" s="5">
        <f t="shared" si="5"/>
        <v>0</v>
      </c>
      <c r="V22" s="5">
        <f>Table14[[#This Row],[Enrolment S.Y. 2025-2026 ]]*8</f>
        <v>0</v>
      </c>
      <c r="W22" s="5"/>
      <c r="X22" s="1"/>
      <c r="Y22" s="5"/>
      <c r="Z22" s="5">
        <f t="shared" si="6"/>
        <v>0</v>
      </c>
      <c r="AA22" s="5">
        <f t="shared" si="7"/>
        <v>0</v>
      </c>
    </row>
    <row r="23" spans="1:27" ht="19.149999999999999">
      <c r="A23" s="1">
        <v>3</v>
      </c>
      <c r="B23" s="2" t="s">
        <v>10</v>
      </c>
      <c r="C23" s="1"/>
      <c r="D23" s="5">
        <f>Table14[[#This Row],[Enrolment S.Y. 2025-2026 ]]*8</f>
        <v>0</v>
      </c>
      <c r="E23" s="5"/>
      <c r="F23" s="1"/>
      <c r="G23" s="5"/>
      <c r="H23" s="5">
        <f t="shared" si="0"/>
        <v>0</v>
      </c>
      <c r="I23" s="5">
        <f t="shared" si="1"/>
        <v>0</v>
      </c>
      <c r="J23" s="5">
        <f>Table14[[#This Row],[Enrolment S.Y. 2025-2026 ]]*8</f>
        <v>0</v>
      </c>
      <c r="K23" s="5"/>
      <c r="L23" s="1"/>
      <c r="M23" s="5"/>
      <c r="N23" s="5">
        <f t="shared" si="2"/>
        <v>0</v>
      </c>
      <c r="O23" s="5">
        <f t="shared" si="3"/>
        <v>0</v>
      </c>
      <c r="P23" s="5">
        <f>Table14[[#This Row],[Enrolment S.Y. 2025-2026 ]]*8</f>
        <v>0</v>
      </c>
      <c r="Q23" s="5"/>
      <c r="R23" s="1"/>
      <c r="S23" s="5"/>
      <c r="T23" s="5">
        <f t="shared" si="4"/>
        <v>0</v>
      </c>
      <c r="U23" s="5">
        <f t="shared" si="5"/>
        <v>0</v>
      </c>
      <c r="V23" s="5">
        <f>Table14[[#This Row],[Enrolment S.Y. 2025-2026 ]]*8</f>
        <v>0</v>
      </c>
      <c r="W23" s="5"/>
      <c r="X23" s="1"/>
      <c r="Y23" s="5"/>
      <c r="Z23" s="5">
        <f t="shared" si="6"/>
        <v>0</v>
      </c>
      <c r="AA23" s="5">
        <f t="shared" si="7"/>
        <v>0</v>
      </c>
    </row>
    <row r="24" spans="1:27" ht="19.149999999999999">
      <c r="A24" s="1">
        <v>3</v>
      </c>
      <c r="B24" s="2" t="s">
        <v>13</v>
      </c>
      <c r="C24" s="1"/>
      <c r="D24" s="5">
        <f>Table14[[#This Row],[Enrolment S.Y. 2025-2026 ]]*8</f>
        <v>0</v>
      </c>
      <c r="E24" s="5"/>
      <c r="F24" s="1"/>
      <c r="G24" s="5"/>
      <c r="H24" s="5">
        <f t="shared" si="0"/>
        <v>0</v>
      </c>
      <c r="I24" s="5">
        <f t="shared" si="1"/>
        <v>0</v>
      </c>
      <c r="J24" s="5">
        <f>Table14[[#This Row],[Enrolment S.Y. 2025-2026 ]]*8</f>
        <v>0</v>
      </c>
      <c r="K24" s="5"/>
      <c r="L24" s="1"/>
      <c r="M24" s="5"/>
      <c r="N24" s="5">
        <f t="shared" si="2"/>
        <v>0</v>
      </c>
      <c r="O24" s="5">
        <f t="shared" si="3"/>
        <v>0</v>
      </c>
      <c r="P24" s="5">
        <f>Table14[[#This Row],[Enrolment S.Y. 2025-2026 ]]*8</f>
        <v>0</v>
      </c>
      <c r="Q24" s="5"/>
      <c r="R24" s="1"/>
      <c r="S24" s="5"/>
      <c r="T24" s="5">
        <f t="shared" si="4"/>
        <v>0</v>
      </c>
      <c r="U24" s="5">
        <f t="shared" si="5"/>
        <v>0</v>
      </c>
      <c r="V24" s="5">
        <f>Table14[[#This Row],[Enrolment S.Y. 2025-2026 ]]*8</f>
        <v>0</v>
      </c>
      <c r="W24" s="5"/>
      <c r="X24" s="1"/>
      <c r="Y24" s="5"/>
      <c r="Z24" s="5">
        <f t="shared" si="6"/>
        <v>0</v>
      </c>
      <c r="AA24" s="5">
        <f t="shared" si="7"/>
        <v>0</v>
      </c>
    </row>
    <row r="25" spans="1:27" ht="19.149999999999999">
      <c r="A25" s="1">
        <v>3</v>
      </c>
      <c r="B25" s="2" t="s">
        <v>11</v>
      </c>
      <c r="C25" s="1"/>
      <c r="D25" s="5">
        <f>Table14[[#This Row],[Enrolment S.Y. 2025-2026 ]]*8</f>
        <v>0</v>
      </c>
      <c r="E25" s="5"/>
      <c r="F25" s="1"/>
      <c r="G25" s="5"/>
      <c r="H25" s="5">
        <f t="shared" si="0"/>
        <v>0</v>
      </c>
      <c r="I25" s="5">
        <f t="shared" si="1"/>
        <v>0</v>
      </c>
      <c r="J25" s="5">
        <f>Table14[[#This Row],[Enrolment S.Y. 2025-2026 ]]*8</f>
        <v>0</v>
      </c>
      <c r="K25" s="5"/>
      <c r="L25" s="1"/>
      <c r="M25" s="5"/>
      <c r="N25" s="5">
        <f t="shared" si="2"/>
        <v>0</v>
      </c>
      <c r="O25" s="5">
        <f t="shared" si="3"/>
        <v>0</v>
      </c>
      <c r="P25" s="5">
        <f>Table14[[#This Row],[Enrolment S.Y. 2025-2026 ]]*8</f>
        <v>0</v>
      </c>
      <c r="Q25" s="5"/>
      <c r="R25" s="1"/>
      <c r="S25" s="5"/>
      <c r="T25" s="5">
        <f t="shared" si="4"/>
        <v>0</v>
      </c>
      <c r="U25" s="5">
        <f t="shared" si="5"/>
        <v>0</v>
      </c>
      <c r="V25" s="5">
        <f>Table14[[#This Row],[Enrolment S.Y. 2025-2026 ]]*8</f>
        <v>0</v>
      </c>
      <c r="W25" s="5"/>
      <c r="X25" s="1"/>
      <c r="Y25" s="5"/>
      <c r="Z25" s="5">
        <f t="shared" si="6"/>
        <v>0</v>
      </c>
      <c r="AA25" s="5">
        <f t="shared" si="7"/>
        <v>0</v>
      </c>
    </row>
    <row r="26" spans="1:27" ht="19.149999999999999">
      <c r="A26" s="1">
        <v>3</v>
      </c>
      <c r="B26" s="2" t="s">
        <v>12</v>
      </c>
      <c r="C26" s="1"/>
      <c r="D26" s="5">
        <f>Table14[[#This Row],[Enrolment S.Y. 2025-2026 ]]*8</f>
        <v>0</v>
      </c>
      <c r="E26" s="5"/>
      <c r="F26" s="1"/>
      <c r="G26" s="5"/>
      <c r="H26" s="5">
        <f t="shared" si="0"/>
        <v>0</v>
      </c>
      <c r="I26" s="5">
        <f t="shared" si="1"/>
        <v>0</v>
      </c>
      <c r="J26" s="5">
        <f>Table14[[#This Row],[Enrolment S.Y. 2025-2026 ]]*8</f>
        <v>0</v>
      </c>
      <c r="K26" s="5"/>
      <c r="L26" s="1"/>
      <c r="M26" s="5"/>
      <c r="N26" s="5">
        <f t="shared" si="2"/>
        <v>0</v>
      </c>
      <c r="O26" s="5">
        <f t="shared" si="3"/>
        <v>0</v>
      </c>
      <c r="P26" s="5">
        <f>Table14[[#This Row],[Enrolment S.Y. 2025-2026 ]]*8</f>
        <v>0</v>
      </c>
      <c r="Q26" s="5"/>
      <c r="R26" s="1"/>
      <c r="S26" s="5"/>
      <c r="T26" s="5">
        <f t="shared" si="4"/>
        <v>0</v>
      </c>
      <c r="U26" s="5">
        <f t="shared" si="5"/>
        <v>0</v>
      </c>
      <c r="V26" s="5">
        <f>Table14[[#This Row],[Enrolment S.Y. 2025-2026 ]]*8</f>
        <v>0</v>
      </c>
      <c r="W26" s="5"/>
      <c r="X26" s="1"/>
      <c r="Y26" s="5"/>
      <c r="Z26" s="5">
        <f t="shared" si="6"/>
        <v>0</v>
      </c>
      <c r="AA26" s="5">
        <f t="shared" si="7"/>
        <v>0</v>
      </c>
    </row>
    <row r="27" spans="1:27" ht="19.149999999999999">
      <c r="A27" s="1">
        <v>3</v>
      </c>
      <c r="B27" s="9" t="s">
        <v>14</v>
      </c>
      <c r="C27" s="1"/>
      <c r="D27" s="5">
        <f>Table14[[#This Row],[Enrolment S.Y. 2025-2026 ]]*8</f>
        <v>0</v>
      </c>
      <c r="E27" s="5"/>
      <c r="F27" s="1"/>
      <c r="G27" s="5"/>
      <c r="H27" s="5">
        <f>IF((D27-E27)&lt;0,0,(D27-E27))</f>
        <v>0</v>
      </c>
      <c r="I27" s="5">
        <f>IF((E27-D27)&lt;0,0,(E27-D27))</f>
        <v>0</v>
      </c>
      <c r="J27" s="5">
        <f>Table14[[#This Row],[Enrolment S.Y. 2025-2026 ]]*8</f>
        <v>0</v>
      </c>
      <c r="K27" s="5"/>
      <c r="L27" s="1"/>
      <c r="M27" s="5"/>
      <c r="N27" s="5">
        <f t="shared" si="2"/>
        <v>0</v>
      </c>
      <c r="O27" s="5">
        <f t="shared" si="3"/>
        <v>0</v>
      </c>
      <c r="P27" s="5">
        <f>Table14[[#This Row],[Enrolment S.Y. 2025-2026 ]]*8</f>
        <v>0</v>
      </c>
      <c r="Q27" s="5"/>
      <c r="R27" s="1"/>
      <c r="S27" s="5"/>
      <c r="T27" s="5">
        <f t="shared" si="4"/>
        <v>0</v>
      </c>
      <c r="U27" s="5">
        <f t="shared" si="5"/>
        <v>0</v>
      </c>
      <c r="V27" s="5">
        <f>Table14[[#This Row],[Enrolment S.Y. 2025-2026 ]]*8</f>
        <v>0</v>
      </c>
      <c r="W27" s="5"/>
      <c r="X27" s="1"/>
      <c r="Y27" s="5"/>
      <c r="Z27" s="5">
        <f t="shared" si="6"/>
        <v>0</v>
      </c>
      <c r="AA27" s="5">
        <f t="shared" si="7"/>
        <v>0</v>
      </c>
    </row>
    <row r="28" spans="1:27" ht="19.149999999999999">
      <c r="A28" s="1">
        <v>3</v>
      </c>
      <c r="B28" s="9" t="s">
        <v>15</v>
      </c>
      <c r="C28" s="1"/>
      <c r="D28" s="5">
        <f>Table14[[#This Row],[Enrolment S.Y. 2025-2026 ]]*8</f>
        <v>0</v>
      </c>
      <c r="E28" s="5"/>
      <c r="F28" s="1"/>
      <c r="G28" s="5"/>
      <c r="H28" s="5">
        <f>IF((D28-E28)&lt;0,0,(D28-E28))</f>
        <v>0</v>
      </c>
      <c r="I28" s="5">
        <f>IF((E28-D28)&lt;0,0,(E28-D28))</f>
        <v>0</v>
      </c>
      <c r="J28" s="5">
        <f>Table14[[#This Row],[Enrolment S.Y. 2025-2026 ]]*8</f>
        <v>0</v>
      </c>
      <c r="K28" s="5"/>
      <c r="L28" s="1"/>
      <c r="M28" s="5"/>
      <c r="N28" s="5">
        <f t="shared" si="2"/>
        <v>0</v>
      </c>
      <c r="O28" s="5">
        <f t="shared" si="3"/>
        <v>0</v>
      </c>
      <c r="P28" s="5">
        <f>Table14[[#This Row],[Enrolment S.Y. 2025-2026 ]]*8</f>
        <v>0</v>
      </c>
      <c r="Q28" s="5"/>
      <c r="R28" s="1"/>
      <c r="S28" s="5"/>
      <c r="T28" s="5">
        <f t="shared" si="4"/>
        <v>0</v>
      </c>
      <c r="U28" s="5">
        <f t="shared" si="5"/>
        <v>0</v>
      </c>
      <c r="V28" s="5">
        <f>Table14[[#This Row],[Enrolment S.Y. 2025-2026 ]]*8</f>
        <v>0</v>
      </c>
      <c r="W28" s="5"/>
      <c r="X28" s="1"/>
      <c r="Y28" s="5"/>
      <c r="Z28" s="5">
        <f t="shared" si="6"/>
        <v>0</v>
      </c>
      <c r="AA28" s="5">
        <f t="shared" si="7"/>
        <v>0</v>
      </c>
    </row>
    <row r="29" spans="1:27" ht="19.149999999999999">
      <c r="A29" s="1">
        <v>3</v>
      </c>
      <c r="B29" s="9" t="s">
        <v>63</v>
      </c>
      <c r="C29" s="1"/>
      <c r="D29" s="5">
        <f>Table14[[#This Row],[Enrolment S.Y. 2025-2026 ]]*8</f>
        <v>0</v>
      </c>
      <c r="E29" s="5"/>
      <c r="F29" s="1"/>
      <c r="G29" s="5"/>
      <c r="H29" s="5">
        <f>IF((D29-E29)&lt;0,0,(D29-E29))</f>
        <v>0</v>
      </c>
      <c r="I29" s="5">
        <f>IF((E29-D29)&lt;0,0,(E29-D29))</f>
        <v>0</v>
      </c>
      <c r="J29" s="5">
        <f>Table14[[#This Row],[Enrolment S.Y. 2025-2026 ]]*8</f>
        <v>0</v>
      </c>
      <c r="K29" s="5"/>
      <c r="L29" s="1"/>
      <c r="M29" s="5"/>
      <c r="N29" s="5">
        <f t="shared" si="2"/>
        <v>0</v>
      </c>
      <c r="O29" s="5">
        <f t="shared" si="3"/>
        <v>0</v>
      </c>
      <c r="P29" s="5">
        <f>Table14[[#This Row],[Enrolment S.Y. 2025-2026 ]]*8</f>
        <v>0</v>
      </c>
      <c r="Q29" s="5"/>
      <c r="R29" s="1"/>
      <c r="S29" s="5"/>
      <c r="T29" s="5">
        <f t="shared" si="4"/>
        <v>0</v>
      </c>
      <c r="U29" s="5">
        <f t="shared" si="5"/>
        <v>0</v>
      </c>
      <c r="V29" s="5">
        <f>Table14[[#This Row],[Enrolment S.Y. 2025-2026 ]]*8</f>
        <v>0</v>
      </c>
      <c r="W29" s="5"/>
      <c r="X29" s="1"/>
      <c r="Y29" s="5"/>
      <c r="Z29" s="5">
        <f t="shared" si="6"/>
        <v>0</v>
      </c>
      <c r="AA29" s="5">
        <f t="shared" si="7"/>
        <v>0</v>
      </c>
    </row>
    <row r="30" spans="1:27" s="7" customFormat="1"/>
    <row r="31" spans="1:27" ht="19.149999999999999">
      <c r="A31" s="1">
        <v>4</v>
      </c>
      <c r="B31" s="9" t="s">
        <v>14</v>
      </c>
      <c r="C31" s="1"/>
      <c r="D31" s="5">
        <f>Table14[[#This Row],[Enrolment S.Y. 2025-2026 ]]*8</f>
        <v>0</v>
      </c>
      <c r="E31" s="5"/>
      <c r="F31" s="1"/>
      <c r="G31" s="5"/>
      <c r="H31" s="5">
        <f t="shared" si="0"/>
        <v>0</v>
      </c>
      <c r="I31" s="5">
        <f t="shared" si="1"/>
        <v>0</v>
      </c>
      <c r="J31" s="5">
        <f>Table14[[#This Row],[Enrolment S.Y. 2025-2026 ]]*8</f>
        <v>0</v>
      </c>
      <c r="K31" s="5"/>
      <c r="L31" s="1"/>
      <c r="M31" s="5"/>
      <c r="N31" s="5">
        <f t="shared" si="2"/>
        <v>0</v>
      </c>
      <c r="O31" s="5">
        <f t="shared" si="3"/>
        <v>0</v>
      </c>
      <c r="P31" s="5">
        <f>Table14[[#This Row],[Enrolment S.Y. 2025-2026 ]]*8</f>
        <v>0</v>
      </c>
      <c r="Q31" s="5"/>
      <c r="R31" s="1"/>
      <c r="S31" s="5"/>
      <c r="T31" s="5">
        <f t="shared" si="4"/>
        <v>0</v>
      </c>
      <c r="U31" s="5">
        <f t="shared" si="5"/>
        <v>0</v>
      </c>
      <c r="V31" s="5">
        <f>Table14[[#This Row],[Enrolment S.Y. 2025-2026 ]]*8</f>
        <v>0</v>
      </c>
      <c r="W31" s="5"/>
      <c r="X31" s="1"/>
      <c r="Y31" s="5"/>
      <c r="Z31" s="5">
        <f t="shared" si="6"/>
        <v>0</v>
      </c>
      <c r="AA31" s="5">
        <f t="shared" si="7"/>
        <v>0</v>
      </c>
    </row>
    <row r="32" spans="1:27" ht="19.149999999999999">
      <c r="A32" s="1">
        <v>4</v>
      </c>
      <c r="B32" s="9" t="s">
        <v>15</v>
      </c>
      <c r="C32" s="1"/>
      <c r="D32" s="5">
        <f>Table14[[#This Row],[Enrolment S.Y. 2025-2026 ]]*8</f>
        <v>0</v>
      </c>
      <c r="E32" s="5"/>
      <c r="F32" s="1"/>
      <c r="G32" s="5"/>
      <c r="H32" s="5">
        <f t="shared" si="0"/>
        <v>0</v>
      </c>
      <c r="I32" s="5">
        <f t="shared" si="1"/>
        <v>0</v>
      </c>
      <c r="J32" s="5">
        <f>Table14[[#This Row],[Enrolment S.Y. 2025-2026 ]]*8</f>
        <v>0</v>
      </c>
      <c r="K32" s="5"/>
      <c r="L32" s="1"/>
      <c r="M32" s="5"/>
      <c r="N32" s="5">
        <f t="shared" si="2"/>
        <v>0</v>
      </c>
      <c r="O32" s="5">
        <f t="shared" si="3"/>
        <v>0</v>
      </c>
      <c r="P32" s="5">
        <f>Table14[[#This Row],[Enrolment S.Y. 2025-2026 ]]*8</f>
        <v>0</v>
      </c>
      <c r="Q32" s="5"/>
      <c r="R32" s="1"/>
      <c r="S32" s="5"/>
      <c r="T32" s="5">
        <f t="shared" si="4"/>
        <v>0</v>
      </c>
      <c r="U32" s="5">
        <f t="shared" si="5"/>
        <v>0</v>
      </c>
      <c r="V32" s="5">
        <f>Table14[[#This Row],[Enrolment S.Y. 2025-2026 ]]*8</f>
        <v>0</v>
      </c>
      <c r="W32" s="5"/>
      <c r="X32" s="1"/>
      <c r="Y32" s="5"/>
      <c r="Z32" s="5">
        <f t="shared" si="6"/>
        <v>0</v>
      </c>
      <c r="AA32" s="5">
        <f t="shared" si="7"/>
        <v>0</v>
      </c>
    </row>
    <row r="33" spans="1:27" ht="19.149999999999999">
      <c r="A33" s="1">
        <v>4</v>
      </c>
      <c r="B33" s="9" t="s">
        <v>12</v>
      </c>
      <c r="C33" s="1"/>
      <c r="D33" s="5">
        <f>Table14[[#This Row],[Enrolment S.Y. 2025-2026 ]]*8</f>
        <v>0</v>
      </c>
      <c r="E33" s="5"/>
      <c r="F33" s="1"/>
      <c r="G33" s="5"/>
      <c r="H33" s="5">
        <f t="shared" si="0"/>
        <v>0</v>
      </c>
      <c r="I33" s="5">
        <f t="shared" si="1"/>
        <v>0</v>
      </c>
      <c r="J33" s="5">
        <f>Table14[[#This Row],[Enrolment S.Y. 2025-2026 ]]*8</f>
        <v>0</v>
      </c>
      <c r="K33" s="5"/>
      <c r="L33" s="1"/>
      <c r="M33" s="5"/>
      <c r="N33" s="5">
        <f t="shared" si="2"/>
        <v>0</v>
      </c>
      <c r="O33" s="5">
        <f t="shared" si="3"/>
        <v>0</v>
      </c>
      <c r="P33" s="5">
        <f>Table14[[#This Row],[Enrolment S.Y. 2025-2026 ]]*8</f>
        <v>0</v>
      </c>
      <c r="Q33" s="5"/>
      <c r="R33" s="1"/>
      <c r="S33" s="5"/>
      <c r="T33" s="5">
        <f t="shared" si="4"/>
        <v>0</v>
      </c>
      <c r="U33" s="5">
        <f t="shared" si="5"/>
        <v>0</v>
      </c>
      <c r="V33" s="5">
        <f>Table14[[#This Row],[Enrolment S.Y. 2025-2026 ]]*8</f>
        <v>0</v>
      </c>
      <c r="W33" s="5"/>
      <c r="X33" s="1"/>
      <c r="Y33" s="5"/>
      <c r="Z33" s="5">
        <f t="shared" si="6"/>
        <v>0</v>
      </c>
      <c r="AA33" s="5">
        <f t="shared" si="7"/>
        <v>0</v>
      </c>
    </row>
    <row r="34" spans="1:27" ht="19.149999999999999">
      <c r="A34" s="1">
        <v>4</v>
      </c>
      <c r="B34" s="9" t="s">
        <v>10</v>
      </c>
      <c r="C34" s="1"/>
      <c r="D34" s="5">
        <f>Table14[[#This Row],[Enrolment S.Y. 2025-2026 ]]*8</f>
        <v>0</v>
      </c>
      <c r="E34" s="5"/>
      <c r="F34" s="1"/>
      <c r="G34" s="5"/>
      <c r="H34" s="5">
        <f t="shared" si="0"/>
        <v>0</v>
      </c>
      <c r="I34" s="5">
        <f t="shared" si="1"/>
        <v>0</v>
      </c>
      <c r="J34" s="5">
        <f>Table14[[#This Row],[Enrolment S.Y. 2025-2026 ]]*8</f>
        <v>0</v>
      </c>
      <c r="K34" s="5"/>
      <c r="L34" s="1"/>
      <c r="M34" s="5"/>
      <c r="N34" s="5">
        <f t="shared" si="2"/>
        <v>0</v>
      </c>
      <c r="O34" s="5">
        <f t="shared" si="3"/>
        <v>0</v>
      </c>
      <c r="P34" s="5">
        <f>Table14[[#This Row],[Enrolment S.Y. 2025-2026 ]]*8</f>
        <v>0</v>
      </c>
      <c r="Q34" s="5"/>
      <c r="R34" s="1"/>
      <c r="S34" s="5"/>
      <c r="T34" s="5">
        <f t="shared" si="4"/>
        <v>0</v>
      </c>
      <c r="U34" s="5">
        <f t="shared" si="5"/>
        <v>0</v>
      </c>
      <c r="V34" s="5">
        <f>Table14[[#This Row],[Enrolment S.Y. 2025-2026 ]]*8</f>
        <v>0</v>
      </c>
      <c r="W34" s="5"/>
      <c r="X34" s="1"/>
      <c r="Y34" s="5"/>
      <c r="Z34" s="5">
        <f t="shared" si="6"/>
        <v>0</v>
      </c>
      <c r="AA34" s="5">
        <f t="shared" si="7"/>
        <v>0</v>
      </c>
    </row>
    <row r="35" spans="1:27" ht="19.149999999999999">
      <c r="A35" s="1">
        <v>4</v>
      </c>
      <c r="B35" s="9" t="s">
        <v>16</v>
      </c>
      <c r="C35" s="1"/>
      <c r="D35" s="5">
        <f>Table14[[#This Row],[Enrolment S.Y. 2025-2026 ]]*8</f>
        <v>0</v>
      </c>
      <c r="E35" s="5"/>
      <c r="F35" s="1"/>
      <c r="G35" s="5"/>
      <c r="H35" s="5">
        <f t="shared" si="0"/>
        <v>0</v>
      </c>
      <c r="I35" s="5">
        <f t="shared" si="1"/>
        <v>0</v>
      </c>
      <c r="J35" s="5">
        <f>Table14[[#This Row],[Enrolment S.Y. 2025-2026 ]]*8</f>
        <v>0</v>
      </c>
      <c r="K35" s="5"/>
      <c r="L35" s="1"/>
      <c r="M35" s="5"/>
      <c r="N35" s="5">
        <f t="shared" si="2"/>
        <v>0</v>
      </c>
      <c r="O35" s="5">
        <f t="shared" si="3"/>
        <v>0</v>
      </c>
      <c r="P35" s="5">
        <f>Table14[[#This Row],[Enrolment S.Y. 2025-2026 ]]*8</f>
        <v>0</v>
      </c>
      <c r="Q35" s="5"/>
      <c r="R35" s="1"/>
      <c r="S35" s="5"/>
      <c r="T35" s="5">
        <f t="shared" si="4"/>
        <v>0</v>
      </c>
      <c r="U35" s="5">
        <f t="shared" si="5"/>
        <v>0</v>
      </c>
      <c r="V35" s="5">
        <f>Table14[[#This Row],[Enrolment S.Y. 2025-2026 ]]*8</f>
        <v>0</v>
      </c>
      <c r="W35" s="5"/>
      <c r="X35" s="1"/>
      <c r="Y35" s="5"/>
      <c r="Z35" s="5">
        <f t="shared" si="6"/>
        <v>0</v>
      </c>
      <c r="AA35" s="5">
        <f t="shared" si="7"/>
        <v>0</v>
      </c>
    </row>
    <row r="36" spans="1:27" ht="19.149999999999999">
      <c r="A36" s="1">
        <v>4</v>
      </c>
      <c r="B36" s="9" t="s">
        <v>13</v>
      </c>
      <c r="C36" s="1"/>
      <c r="D36" s="5">
        <f>Table14[[#This Row],[Enrolment S.Y. 2025-2026 ]]*8</f>
        <v>0</v>
      </c>
      <c r="E36" s="5"/>
      <c r="F36" s="1"/>
      <c r="G36" s="5"/>
      <c r="H36" s="5">
        <f t="shared" si="0"/>
        <v>0</v>
      </c>
      <c r="I36" s="5">
        <f t="shared" si="1"/>
        <v>0</v>
      </c>
      <c r="J36" s="5">
        <f>Table14[[#This Row],[Enrolment S.Y. 2025-2026 ]]*8</f>
        <v>0</v>
      </c>
      <c r="K36" s="5"/>
      <c r="L36" s="1"/>
      <c r="M36" s="5"/>
      <c r="N36" s="5">
        <f t="shared" ref="N36:N41" si="8">IF((J36-K36)&lt;0,0,(J36-K36))</f>
        <v>0</v>
      </c>
      <c r="O36" s="5">
        <f t="shared" ref="O36:O41" si="9">IF((K36-J36)&lt;0,0,(K36-J36))</f>
        <v>0</v>
      </c>
      <c r="P36" s="5">
        <f>Table14[[#This Row],[Enrolment S.Y. 2025-2026 ]]*8</f>
        <v>0</v>
      </c>
      <c r="Q36" s="5"/>
      <c r="R36" s="1"/>
      <c r="S36" s="5"/>
      <c r="T36" s="5">
        <f t="shared" si="4"/>
        <v>0</v>
      </c>
      <c r="U36" s="5">
        <f t="shared" si="5"/>
        <v>0</v>
      </c>
      <c r="V36" s="5">
        <f>Table14[[#This Row],[Enrolment S.Y. 2025-2026 ]]*8</f>
        <v>0</v>
      </c>
      <c r="W36" s="5"/>
      <c r="X36" s="1"/>
      <c r="Y36" s="5"/>
      <c r="Z36" s="5">
        <f t="shared" si="6"/>
        <v>0</v>
      </c>
      <c r="AA36" s="5">
        <f t="shared" si="7"/>
        <v>0</v>
      </c>
    </row>
    <row r="37" spans="1:27" ht="19.149999999999999">
      <c r="A37" s="37">
        <v>4</v>
      </c>
      <c r="B37" s="9" t="s">
        <v>88</v>
      </c>
      <c r="C37" s="5"/>
      <c r="D37" s="5">
        <f>Table14[[#This Row],[Enrolment S.Y. 2025-2026 ]]*8</f>
        <v>0</v>
      </c>
      <c r="E37" s="5"/>
      <c r="F37" s="1"/>
      <c r="G37" s="5"/>
      <c r="H37" s="5">
        <f>IF((D37-E37)&lt;0,0,(D37-E37))</f>
        <v>0</v>
      </c>
      <c r="I37" s="5">
        <f>IF((E37-D37)&lt;0,0,(E37-D37))</f>
        <v>0</v>
      </c>
      <c r="J37" s="5">
        <f>Table14[[#This Row],[Enrolment S.Y. 2025-2026 ]]*8</f>
        <v>0</v>
      </c>
      <c r="K37" s="5"/>
      <c r="L37" s="1"/>
      <c r="M37" s="5"/>
      <c r="N37" s="5">
        <f t="shared" si="8"/>
        <v>0</v>
      </c>
      <c r="O37" s="5">
        <f t="shared" si="9"/>
        <v>0</v>
      </c>
      <c r="P37" s="5">
        <f>Table14[[#This Row],[Enrolment S.Y. 2025-2026 ]]*8</f>
        <v>0</v>
      </c>
      <c r="Q37" s="5"/>
      <c r="R37" s="1"/>
      <c r="S37" s="5"/>
      <c r="T37" s="5">
        <f>IF((P37-Q37)&lt;0,0,(P37-Q37))</f>
        <v>0</v>
      </c>
      <c r="U37" s="5">
        <f>IF((Q37-P37)&lt;0,0,(Q37-P37))</f>
        <v>0</v>
      </c>
      <c r="V37" s="5">
        <f>Table14[[#This Row],[Enrolment S.Y. 2025-2026 ]]*8</f>
        <v>0</v>
      </c>
      <c r="W37" s="5"/>
      <c r="X37" s="1"/>
      <c r="Y37" s="5"/>
      <c r="Z37" s="5">
        <f>IF((V37-W37)&lt;0,0,(V37-W37))</f>
        <v>0</v>
      </c>
      <c r="AA37" s="5">
        <f>IF((W37-V37)&lt;0,0,(W37-V37))</f>
        <v>0</v>
      </c>
    </row>
    <row r="38" spans="1:27" ht="19.149999999999999">
      <c r="A38" s="1">
        <v>4</v>
      </c>
      <c r="B38" s="9" t="s">
        <v>89</v>
      </c>
      <c r="C38" s="1"/>
      <c r="D38" s="5">
        <f>Table14[[#This Row],[Enrolment S.Y. 2025-2026 ]]*8</f>
        <v>0</v>
      </c>
      <c r="E38" s="5"/>
      <c r="F38" s="1"/>
      <c r="G38" s="5"/>
      <c r="H38" s="5">
        <f t="shared" si="0"/>
        <v>0</v>
      </c>
      <c r="I38" s="5">
        <f t="shared" si="1"/>
        <v>0</v>
      </c>
      <c r="J38" s="5">
        <f>Table14[[#This Row],[Enrolment S.Y. 2025-2026 ]]*8</f>
        <v>0</v>
      </c>
      <c r="K38" s="5"/>
      <c r="L38" s="1"/>
      <c r="M38" s="5"/>
      <c r="N38" s="5">
        <f t="shared" si="8"/>
        <v>0</v>
      </c>
      <c r="O38" s="5">
        <f t="shared" si="9"/>
        <v>0</v>
      </c>
      <c r="P38" s="5">
        <f>Table14[[#This Row],[Enrolment S.Y. 2025-2026 ]]*8</f>
        <v>0</v>
      </c>
      <c r="Q38" s="5"/>
      <c r="R38" s="1"/>
      <c r="S38" s="5"/>
      <c r="T38" s="5">
        <f t="shared" si="4"/>
        <v>0</v>
      </c>
      <c r="U38" s="5">
        <f t="shared" si="5"/>
        <v>0</v>
      </c>
      <c r="V38" s="5">
        <f>Table14[[#This Row],[Enrolment S.Y. 2025-2026 ]]*8</f>
        <v>0</v>
      </c>
      <c r="W38" s="5"/>
      <c r="X38" s="1"/>
      <c r="Y38" s="5"/>
      <c r="Z38" s="5">
        <f t="shared" si="6"/>
        <v>0</v>
      </c>
      <c r="AA38" s="5">
        <f t="shared" si="7"/>
        <v>0</v>
      </c>
    </row>
    <row r="39" spans="1:27" ht="19.149999999999999">
      <c r="A39" s="1">
        <v>4</v>
      </c>
      <c r="B39" s="9" t="s">
        <v>18</v>
      </c>
      <c r="C39" s="1"/>
      <c r="D39" s="5">
        <f>Table14[[#This Row],[Enrolment S.Y. 2025-2026 ]]*8</f>
        <v>0</v>
      </c>
      <c r="E39" s="5"/>
      <c r="F39" s="1"/>
      <c r="G39" s="5"/>
      <c r="H39" s="5">
        <f t="shared" si="0"/>
        <v>0</v>
      </c>
      <c r="I39" s="5">
        <f t="shared" si="1"/>
        <v>0</v>
      </c>
      <c r="J39" s="5">
        <f>Table14[[#This Row],[Enrolment S.Y. 2025-2026 ]]*8</f>
        <v>0</v>
      </c>
      <c r="K39" s="5"/>
      <c r="L39" s="1"/>
      <c r="M39" s="5"/>
      <c r="N39" s="5">
        <f t="shared" si="8"/>
        <v>0</v>
      </c>
      <c r="O39" s="5">
        <f t="shared" si="9"/>
        <v>0</v>
      </c>
      <c r="P39" s="5">
        <f>Table14[[#This Row],[Enrolment S.Y. 2025-2026 ]]*8</f>
        <v>0</v>
      </c>
      <c r="Q39" s="5"/>
      <c r="R39" s="1"/>
      <c r="S39" s="5"/>
      <c r="T39" s="5">
        <f t="shared" si="4"/>
        <v>0</v>
      </c>
      <c r="U39" s="5">
        <f t="shared" si="5"/>
        <v>0</v>
      </c>
      <c r="V39" s="5">
        <f>Table14[[#This Row],[Enrolment S.Y. 2025-2026 ]]*8</f>
        <v>0</v>
      </c>
      <c r="W39" s="5"/>
      <c r="X39" s="1"/>
      <c r="Y39" s="5"/>
      <c r="Z39" s="5">
        <f t="shared" si="6"/>
        <v>0</v>
      </c>
      <c r="AA39" s="5">
        <f t="shared" si="7"/>
        <v>0</v>
      </c>
    </row>
    <row r="40" spans="1:27" ht="19.149999999999999">
      <c r="A40" s="37">
        <v>4</v>
      </c>
      <c r="B40" s="9" t="s">
        <v>90</v>
      </c>
      <c r="C40" s="5"/>
      <c r="D40" s="5">
        <f>Table14[[#This Row],[Enrolment S.Y. 2025-2026 ]]*8</f>
        <v>0</v>
      </c>
      <c r="E40" s="5"/>
      <c r="F40" s="1"/>
      <c r="G40" s="5"/>
      <c r="H40" s="5">
        <f>IF((D40-E40)&lt;0,0,(D40-E40))</f>
        <v>0</v>
      </c>
      <c r="I40" s="5">
        <f>IF((E40-D40)&lt;0,0,(E40-D40))</f>
        <v>0</v>
      </c>
      <c r="J40" s="5">
        <f>Table14[[#This Row],[Enrolment S.Y. 2025-2026 ]]*8</f>
        <v>0</v>
      </c>
      <c r="K40" s="5"/>
      <c r="L40" s="1"/>
      <c r="M40" s="5"/>
      <c r="N40" s="5">
        <f t="shared" si="8"/>
        <v>0</v>
      </c>
      <c r="O40" s="5">
        <f t="shared" si="9"/>
        <v>0</v>
      </c>
      <c r="P40" s="5">
        <f>Table14[[#This Row],[Enrolment S.Y. 2025-2026 ]]*8</f>
        <v>0</v>
      </c>
      <c r="Q40" s="5"/>
      <c r="R40" s="1"/>
      <c r="S40" s="5"/>
      <c r="T40" s="5">
        <f>IF((P40-Q40)&lt;0,0,(P40-Q40))</f>
        <v>0</v>
      </c>
      <c r="U40" s="5">
        <f>IF((Q40-P40)&lt;0,0,(Q40-P40))</f>
        <v>0</v>
      </c>
      <c r="V40" s="5">
        <f>Table14[[#This Row],[Enrolment S.Y. 2025-2026 ]]*8</f>
        <v>0</v>
      </c>
      <c r="W40" s="5"/>
      <c r="X40" s="1"/>
      <c r="Y40" s="5"/>
      <c r="Z40" s="5">
        <f>IF((V40-W40)&lt;0,0,(V40-W40))</f>
        <v>0</v>
      </c>
      <c r="AA40" s="5">
        <f>IF((W40-V40)&lt;0,0,(W40-V40))</f>
        <v>0</v>
      </c>
    </row>
    <row r="41" spans="1:27" ht="19.149999999999999">
      <c r="A41" s="1">
        <v>4</v>
      </c>
      <c r="B41" s="9" t="s">
        <v>91</v>
      </c>
      <c r="C41" s="1"/>
      <c r="D41" s="5">
        <f>Table14[[#This Row],[Enrolment S.Y. 2025-2026 ]]*8</f>
        <v>0</v>
      </c>
      <c r="E41" s="5"/>
      <c r="F41" s="1"/>
      <c r="G41" s="5"/>
      <c r="H41" s="5">
        <f t="shared" si="0"/>
        <v>0</v>
      </c>
      <c r="I41" s="5">
        <f t="shared" si="1"/>
        <v>0</v>
      </c>
      <c r="J41" s="5">
        <f>Table14[[#This Row],[Enrolment S.Y. 2025-2026 ]]*8</f>
        <v>0</v>
      </c>
      <c r="K41" s="5"/>
      <c r="L41" s="1"/>
      <c r="M41" s="5"/>
      <c r="N41" s="5">
        <f t="shared" si="8"/>
        <v>0</v>
      </c>
      <c r="O41" s="5">
        <f t="shared" si="9"/>
        <v>0</v>
      </c>
      <c r="P41" s="5">
        <f>Table14[[#This Row],[Enrolment S.Y. 2025-2026 ]]*8</f>
        <v>0</v>
      </c>
      <c r="Q41" s="5"/>
      <c r="R41" s="1"/>
      <c r="S41" s="5"/>
      <c r="T41" s="5">
        <f t="shared" si="4"/>
        <v>0</v>
      </c>
      <c r="U41" s="5">
        <f t="shared" si="5"/>
        <v>0</v>
      </c>
      <c r="V41" s="5">
        <f>Table14[[#This Row],[Enrolment S.Y. 2025-2026 ]]*8</f>
        <v>0</v>
      </c>
      <c r="W41" s="5"/>
      <c r="X41" s="1"/>
      <c r="Y41" s="5"/>
      <c r="Z41" s="5">
        <f t="shared" si="6"/>
        <v>0</v>
      </c>
      <c r="AA41" s="5">
        <f t="shared" si="7"/>
        <v>0</v>
      </c>
    </row>
    <row r="42" spans="1:27" s="7" customFormat="1"/>
    <row r="43" spans="1:27" ht="19.149999999999999">
      <c r="A43" s="1">
        <v>5</v>
      </c>
      <c r="B43" s="9" t="s">
        <v>14</v>
      </c>
      <c r="C43" s="1"/>
      <c r="D43" s="5">
        <f>Table14[[#This Row],[Enrolment S.Y. 2025-2026 ]]*8</f>
        <v>0</v>
      </c>
      <c r="E43" s="5"/>
      <c r="F43" s="1"/>
      <c r="G43" s="5"/>
      <c r="H43" s="5">
        <f t="shared" si="0"/>
        <v>0</v>
      </c>
      <c r="I43" s="5">
        <f t="shared" si="1"/>
        <v>0</v>
      </c>
      <c r="J43" s="5">
        <f>Table14[[#This Row],[Enrolment S.Y. 2025-2026 ]]*8</f>
        <v>0</v>
      </c>
      <c r="K43" s="5"/>
      <c r="L43" s="1"/>
      <c r="M43" s="5"/>
      <c r="N43" s="5">
        <f t="shared" si="2"/>
        <v>0</v>
      </c>
      <c r="O43" s="5">
        <f t="shared" si="3"/>
        <v>0</v>
      </c>
      <c r="P43" s="5">
        <f>Table14[[#This Row],[Enrolment S.Y. 2025-2026 ]]*8</f>
        <v>0</v>
      </c>
      <c r="Q43" s="5"/>
      <c r="R43" s="1"/>
      <c r="S43" s="5"/>
      <c r="T43" s="5">
        <f t="shared" si="4"/>
        <v>0</v>
      </c>
      <c r="U43" s="5">
        <f t="shared" si="5"/>
        <v>0</v>
      </c>
      <c r="V43" s="5">
        <f>Table14[[#This Row],[Enrolment S.Y. 2025-2026 ]]*8</f>
        <v>0</v>
      </c>
      <c r="W43" s="5"/>
      <c r="X43" s="1"/>
      <c r="Y43" s="5"/>
      <c r="Z43" s="5">
        <f t="shared" si="6"/>
        <v>0</v>
      </c>
      <c r="AA43" s="5">
        <f t="shared" si="7"/>
        <v>0</v>
      </c>
    </row>
    <row r="44" spans="1:27" ht="19.149999999999999">
      <c r="A44" s="1">
        <v>5</v>
      </c>
      <c r="B44" s="9" t="s">
        <v>15</v>
      </c>
      <c r="C44" s="1"/>
      <c r="D44" s="5">
        <f>Table14[[#This Row],[Enrolment S.Y. 2025-2026 ]]*8</f>
        <v>0</v>
      </c>
      <c r="E44" s="5"/>
      <c r="F44" s="1"/>
      <c r="G44" s="5"/>
      <c r="H44" s="5">
        <f t="shared" si="0"/>
        <v>0</v>
      </c>
      <c r="I44" s="5">
        <f t="shared" si="1"/>
        <v>0</v>
      </c>
      <c r="J44" s="5">
        <f>Table14[[#This Row],[Enrolment S.Y. 2025-2026 ]]*8</f>
        <v>0</v>
      </c>
      <c r="K44" s="5"/>
      <c r="L44" s="1"/>
      <c r="M44" s="5"/>
      <c r="N44" s="5">
        <f t="shared" si="2"/>
        <v>0</v>
      </c>
      <c r="O44" s="5">
        <f t="shared" si="3"/>
        <v>0</v>
      </c>
      <c r="P44" s="5">
        <f>Table14[[#This Row],[Enrolment S.Y. 2025-2026 ]]*8</f>
        <v>0</v>
      </c>
      <c r="Q44" s="5"/>
      <c r="R44" s="1"/>
      <c r="S44" s="5"/>
      <c r="T44" s="5">
        <f t="shared" si="4"/>
        <v>0</v>
      </c>
      <c r="U44" s="5">
        <f t="shared" si="5"/>
        <v>0</v>
      </c>
      <c r="V44" s="5">
        <f>Table14[[#This Row],[Enrolment S.Y. 2025-2026 ]]*8</f>
        <v>0</v>
      </c>
      <c r="W44" s="5"/>
      <c r="X44" s="1"/>
      <c r="Y44" s="5"/>
      <c r="Z44" s="5">
        <f t="shared" si="6"/>
        <v>0</v>
      </c>
      <c r="AA44" s="5">
        <f t="shared" si="7"/>
        <v>0</v>
      </c>
    </row>
    <row r="45" spans="1:27" ht="19.149999999999999">
      <c r="A45" s="1">
        <v>5</v>
      </c>
      <c r="B45" s="9" t="s">
        <v>12</v>
      </c>
      <c r="C45" s="1"/>
      <c r="D45" s="5">
        <f>Table14[[#This Row],[Enrolment S.Y. 2025-2026 ]]*8</f>
        <v>0</v>
      </c>
      <c r="E45" s="5"/>
      <c r="F45" s="1"/>
      <c r="G45" s="5"/>
      <c r="H45" s="5">
        <f t="shared" si="0"/>
        <v>0</v>
      </c>
      <c r="I45" s="5">
        <f t="shared" si="1"/>
        <v>0</v>
      </c>
      <c r="J45" s="5">
        <f>Table14[[#This Row],[Enrolment S.Y. 2025-2026 ]]*8</f>
        <v>0</v>
      </c>
      <c r="K45" s="5"/>
      <c r="L45" s="1"/>
      <c r="M45" s="5"/>
      <c r="N45" s="5">
        <f t="shared" si="2"/>
        <v>0</v>
      </c>
      <c r="O45" s="5">
        <f t="shared" si="3"/>
        <v>0</v>
      </c>
      <c r="P45" s="5">
        <f>Table14[[#This Row],[Enrolment S.Y. 2025-2026 ]]*8</f>
        <v>0</v>
      </c>
      <c r="Q45" s="5"/>
      <c r="R45" s="1"/>
      <c r="S45" s="5"/>
      <c r="T45" s="5">
        <f t="shared" si="4"/>
        <v>0</v>
      </c>
      <c r="U45" s="5">
        <f t="shared" si="5"/>
        <v>0</v>
      </c>
      <c r="V45" s="5">
        <f>Table14[[#This Row],[Enrolment S.Y. 2025-2026 ]]*8</f>
        <v>0</v>
      </c>
      <c r="W45" s="5"/>
      <c r="X45" s="1"/>
      <c r="Y45" s="5"/>
      <c r="Z45" s="5">
        <f t="shared" si="6"/>
        <v>0</v>
      </c>
      <c r="AA45" s="5">
        <f t="shared" si="7"/>
        <v>0</v>
      </c>
    </row>
    <row r="46" spans="1:27" ht="19.149999999999999">
      <c r="A46" s="1">
        <v>5</v>
      </c>
      <c r="B46" s="9" t="s">
        <v>10</v>
      </c>
      <c r="C46" s="1"/>
      <c r="D46" s="5">
        <f>Table14[[#This Row],[Enrolment S.Y. 2025-2026 ]]*8</f>
        <v>0</v>
      </c>
      <c r="E46" s="5"/>
      <c r="F46" s="1"/>
      <c r="G46" s="5"/>
      <c r="H46" s="5">
        <f t="shared" si="0"/>
        <v>0</v>
      </c>
      <c r="I46" s="5">
        <f t="shared" si="1"/>
        <v>0</v>
      </c>
      <c r="J46" s="5">
        <f>Table14[[#This Row],[Enrolment S.Y. 2025-2026 ]]*8</f>
        <v>0</v>
      </c>
      <c r="K46" s="5"/>
      <c r="L46" s="1"/>
      <c r="M46" s="5"/>
      <c r="N46" s="5">
        <f t="shared" si="2"/>
        <v>0</v>
      </c>
      <c r="O46" s="5">
        <f t="shared" si="3"/>
        <v>0</v>
      </c>
      <c r="P46" s="5">
        <f>Table14[[#This Row],[Enrolment S.Y. 2025-2026 ]]*8</f>
        <v>0</v>
      </c>
      <c r="Q46" s="5"/>
      <c r="R46" s="1"/>
      <c r="S46" s="5"/>
      <c r="T46" s="5">
        <f t="shared" si="4"/>
        <v>0</v>
      </c>
      <c r="U46" s="5">
        <f t="shared" si="5"/>
        <v>0</v>
      </c>
      <c r="V46" s="5">
        <f>Table14[[#This Row],[Enrolment S.Y. 2025-2026 ]]*8</f>
        <v>0</v>
      </c>
      <c r="W46" s="5"/>
      <c r="X46" s="1"/>
      <c r="Y46" s="5"/>
      <c r="Z46" s="5">
        <f t="shared" si="6"/>
        <v>0</v>
      </c>
      <c r="AA46" s="5">
        <f t="shared" si="7"/>
        <v>0</v>
      </c>
    </row>
    <row r="47" spans="1:27" ht="19.149999999999999">
      <c r="A47" s="1">
        <v>5</v>
      </c>
      <c r="B47" s="9" t="s">
        <v>16</v>
      </c>
      <c r="C47" s="1"/>
      <c r="D47" s="5">
        <f>Table14[[#This Row],[Enrolment S.Y. 2025-2026 ]]*8</f>
        <v>0</v>
      </c>
      <c r="E47" s="5"/>
      <c r="F47" s="1"/>
      <c r="G47" s="5"/>
      <c r="H47" s="5">
        <f t="shared" si="0"/>
        <v>0</v>
      </c>
      <c r="I47" s="5">
        <f t="shared" si="1"/>
        <v>0</v>
      </c>
      <c r="J47" s="5">
        <f>Table14[[#This Row],[Enrolment S.Y. 2025-2026 ]]*8</f>
        <v>0</v>
      </c>
      <c r="K47" s="5"/>
      <c r="L47" s="1"/>
      <c r="M47" s="5"/>
      <c r="N47" s="5">
        <f t="shared" si="2"/>
        <v>0</v>
      </c>
      <c r="O47" s="5">
        <f t="shared" si="3"/>
        <v>0</v>
      </c>
      <c r="P47" s="5">
        <f>Table14[[#This Row],[Enrolment S.Y. 2025-2026 ]]*8</f>
        <v>0</v>
      </c>
      <c r="Q47" s="5"/>
      <c r="R47" s="1"/>
      <c r="S47" s="5"/>
      <c r="T47" s="5">
        <f t="shared" si="4"/>
        <v>0</v>
      </c>
      <c r="U47" s="5">
        <f t="shared" si="5"/>
        <v>0</v>
      </c>
      <c r="V47" s="5">
        <f>Table14[[#This Row],[Enrolment S.Y. 2025-2026 ]]*8</f>
        <v>0</v>
      </c>
      <c r="W47" s="5"/>
      <c r="X47" s="1"/>
      <c r="Y47" s="5"/>
      <c r="Z47" s="5">
        <f t="shared" si="6"/>
        <v>0</v>
      </c>
      <c r="AA47" s="5">
        <f t="shared" si="7"/>
        <v>0</v>
      </c>
    </row>
    <row r="48" spans="1:27" ht="19.149999999999999">
      <c r="A48" s="1">
        <v>5</v>
      </c>
      <c r="B48" s="9" t="s">
        <v>13</v>
      </c>
      <c r="C48" s="1"/>
      <c r="D48" s="5">
        <f>Table14[[#This Row],[Enrolment S.Y. 2025-2026 ]]*8</f>
        <v>0</v>
      </c>
      <c r="E48" s="5"/>
      <c r="F48" s="1"/>
      <c r="G48" s="5"/>
      <c r="H48" s="5">
        <f t="shared" si="0"/>
        <v>0</v>
      </c>
      <c r="I48" s="5">
        <f t="shared" si="1"/>
        <v>0</v>
      </c>
      <c r="J48" s="5">
        <f>Table14[[#This Row],[Enrolment S.Y. 2025-2026 ]]*8</f>
        <v>0</v>
      </c>
      <c r="K48" s="5"/>
      <c r="L48" s="1"/>
      <c r="M48" s="5"/>
      <c r="N48" s="5">
        <f t="shared" ref="N48:N53" si="10">IF((J48-K48)&lt;0,0,(J48-K48))</f>
        <v>0</v>
      </c>
      <c r="O48" s="5">
        <f t="shared" ref="O48:O53" si="11">IF((K48-J48)&lt;0,0,(K48-J48))</f>
        <v>0</v>
      </c>
      <c r="P48" s="5">
        <f>Table14[[#This Row],[Enrolment S.Y. 2025-2026 ]]*8</f>
        <v>0</v>
      </c>
      <c r="Q48" s="5"/>
      <c r="R48" s="1"/>
      <c r="S48" s="5"/>
      <c r="T48" s="5">
        <f t="shared" si="4"/>
        <v>0</v>
      </c>
      <c r="U48" s="5">
        <f t="shared" si="5"/>
        <v>0</v>
      </c>
      <c r="V48" s="5">
        <f>Table14[[#This Row],[Enrolment S.Y. 2025-2026 ]]*8</f>
        <v>0</v>
      </c>
      <c r="W48" s="5"/>
      <c r="X48" s="1"/>
      <c r="Y48" s="5"/>
      <c r="Z48" s="5">
        <f t="shared" si="6"/>
        <v>0</v>
      </c>
      <c r="AA48" s="5">
        <f t="shared" si="7"/>
        <v>0</v>
      </c>
    </row>
    <row r="49" spans="1:27" ht="19.149999999999999">
      <c r="A49" s="37">
        <v>5</v>
      </c>
      <c r="B49" s="9" t="s">
        <v>88</v>
      </c>
      <c r="C49" s="5"/>
      <c r="D49" s="5">
        <f>Table14[[#This Row],[Enrolment S.Y. 2025-2026 ]]*8</f>
        <v>0</v>
      </c>
      <c r="E49" s="5"/>
      <c r="F49" s="1"/>
      <c r="G49" s="5"/>
      <c r="H49" s="5">
        <f>IF((D49-E49)&lt;0,0,(D49-E49))</f>
        <v>0</v>
      </c>
      <c r="I49" s="5">
        <f>IF((E49-D49)&lt;0,0,(E49-D49))</f>
        <v>0</v>
      </c>
      <c r="J49" s="5">
        <f>Table14[[#This Row],[Enrolment S.Y. 2025-2026 ]]*8</f>
        <v>0</v>
      </c>
      <c r="K49" s="5"/>
      <c r="L49" s="1"/>
      <c r="M49" s="5"/>
      <c r="N49" s="5">
        <f t="shared" si="10"/>
        <v>0</v>
      </c>
      <c r="O49" s="5">
        <f t="shared" si="11"/>
        <v>0</v>
      </c>
      <c r="P49" s="5">
        <f>Table14[[#This Row],[Enrolment S.Y. 2025-2026 ]]*8</f>
        <v>0</v>
      </c>
      <c r="Q49" s="5"/>
      <c r="R49" s="1"/>
      <c r="S49" s="5"/>
      <c r="T49" s="5">
        <f>IF((P49-Q49)&lt;0,0,(P49-Q49))</f>
        <v>0</v>
      </c>
      <c r="U49" s="5">
        <f>IF((Q49-P49)&lt;0,0,(Q49-P49))</f>
        <v>0</v>
      </c>
      <c r="V49" s="5">
        <f>Table14[[#This Row],[Enrolment S.Y. 2025-2026 ]]*8</f>
        <v>0</v>
      </c>
      <c r="W49" s="5"/>
      <c r="X49" s="1"/>
      <c r="Y49" s="5"/>
      <c r="Z49" s="5">
        <f>IF((V49-W49)&lt;0,0,(V49-W49))</f>
        <v>0</v>
      </c>
      <c r="AA49" s="5">
        <f>IF((W49-V49)&lt;0,0,(W49-V49))</f>
        <v>0</v>
      </c>
    </row>
    <row r="50" spans="1:27" ht="19.149999999999999">
      <c r="A50" s="1">
        <v>5</v>
      </c>
      <c r="B50" s="9" t="s">
        <v>89</v>
      </c>
      <c r="C50" s="1"/>
      <c r="D50" s="5">
        <f>Table14[[#This Row],[Enrolment S.Y. 2025-2026 ]]*8</f>
        <v>0</v>
      </c>
      <c r="E50" s="5"/>
      <c r="F50" s="1"/>
      <c r="G50" s="5"/>
      <c r="H50" s="5">
        <f t="shared" si="0"/>
        <v>0</v>
      </c>
      <c r="I50" s="5">
        <f t="shared" si="1"/>
        <v>0</v>
      </c>
      <c r="J50" s="5">
        <f>Table14[[#This Row],[Enrolment S.Y. 2025-2026 ]]*8</f>
        <v>0</v>
      </c>
      <c r="K50" s="5"/>
      <c r="L50" s="1"/>
      <c r="M50" s="5"/>
      <c r="N50" s="5">
        <f t="shared" si="10"/>
        <v>0</v>
      </c>
      <c r="O50" s="5">
        <f t="shared" si="11"/>
        <v>0</v>
      </c>
      <c r="P50" s="5">
        <f>Table14[[#This Row],[Enrolment S.Y. 2025-2026 ]]*8</f>
        <v>0</v>
      </c>
      <c r="Q50" s="5"/>
      <c r="R50" s="1"/>
      <c r="S50" s="5"/>
      <c r="T50" s="5">
        <f t="shared" si="4"/>
        <v>0</v>
      </c>
      <c r="U50" s="5">
        <f t="shared" si="5"/>
        <v>0</v>
      </c>
      <c r="V50" s="5">
        <f>Table14[[#This Row],[Enrolment S.Y. 2025-2026 ]]*8</f>
        <v>0</v>
      </c>
      <c r="W50" s="5"/>
      <c r="X50" s="1"/>
      <c r="Y50" s="5"/>
      <c r="Z50" s="5">
        <f t="shared" si="6"/>
        <v>0</v>
      </c>
      <c r="AA50" s="5">
        <f t="shared" si="7"/>
        <v>0</v>
      </c>
    </row>
    <row r="51" spans="1:27" ht="19.149999999999999">
      <c r="A51" s="1">
        <v>5</v>
      </c>
      <c r="B51" s="9" t="s">
        <v>18</v>
      </c>
      <c r="C51" s="1"/>
      <c r="D51" s="5">
        <f>Table14[[#This Row],[Enrolment S.Y. 2025-2026 ]]*8</f>
        <v>0</v>
      </c>
      <c r="E51" s="5"/>
      <c r="F51" s="1"/>
      <c r="G51" s="5"/>
      <c r="H51" s="5">
        <f t="shared" si="0"/>
        <v>0</v>
      </c>
      <c r="I51" s="5">
        <f t="shared" si="1"/>
        <v>0</v>
      </c>
      <c r="J51" s="5">
        <f>Table14[[#This Row],[Enrolment S.Y. 2025-2026 ]]*8</f>
        <v>0</v>
      </c>
      <c r="K51" s="5"/>
      <c r="L51" s="1"/>
      <c r="M51" s="5"/>
      <c r="N51" s="5">
        <f t="shared" si="10"/>
        <v>0</v>
      </c>
      <c r="O51" s="5">
        <f t="shared" si="11"/>
        <v>0</v>
      </c>
      <c r="P51" s="5">
        <f>Table14[[#This Row],[Enrolment S.Y. 2025-2026 ]]*8</f>
        <v>0</v>
      </c>
      <c r="Q51" s="5"/>
      <c r="R51" s="1"/>
      <c r="S51" s="5"/>
      <c r="T51" s="5">
        <f t="shared" si="4"/>
        <v>0</v>
      </c>
      <c r="U51" s="5">
        <f t="shared" si="5"/>
        <v>0</v>
      </c>
      <c r="V51" s="5">
        <f>Table14[[#This Row],[Enrolment S.Y. 2025-2026 ]]*8</f>
        <v>0</v>
      </c>
      <c r="W51" s="5"/>
      <c r="X51" s="1"/>
      <c r="Y51" s="5"/>
      <c r="Z51" s="5">
        <f t="shared" si="6"/>
        <v>0</v>
      </c>
      <c r="AA51" s="5">
        <f t="shared" si="7"/>
        <v>0</v>
      </c>
    </row>
    <row r="52" spans="1:27" ht="19.149999999999999">
      <c r="A52" s="37">
        <v>5</v>
      </c>
      <c r="B52" s="9" t="s">
        <v>90</v>
      </c>
      <c r="C52" s="5"/>
      <c r="D52" s="5">
        <f>Table14[[#This Row],[Enrolment S.Y. 2025-2026 ]]*8</f>
        <v>0</v>
      </c>
      <c r="E52" s="5"/>
      <c r="F52" s="1"/>
      <c r="G52" s="5"/>
      <c r="H52" s="5">
        <f>IF((D52-E52)&lt;0,0,(D52-E52))</f>
        <v>0</v>
      </c>
      <c r="I52" s="5">
        <f>IF((E52-D52)&lt;0,0,(E52-D52))</f>
        <v>0</v>
      </c>
      <c r="J52" s="5">
        <f>Table14[[#This Row],[Enrolment S.Y. 2025-2026 ]]*8</f>
        <v>0</v>
      </c>
      <c r="K52" s="5"/>
      <c r="L52" s="1"/>
      <c r="M52" s="5"/>
      <c r="N52" s="5">
        <f t="shared" si="10"/>
        <v>0</v>
      </c>
      <c r="O52" s="5">
        <f t="shared" si="11"/>
        <v>0</v>
      </c>
      <c r="P52" s="5">
        <f>Table14[[#This Row],[Enrolment S.Y. 2025-2026 ]]*8</f>
        <v>0</v>
      </c>
      <c r="Q52" s="5"/>
      <c r="R52" s="1"/>
      <c r="S52" s="5"/>
      <c r="T52" s="5">
        <f>IF((P52-Q52)&lt;0,0,(P52-Q52))</f>
        <v>0</v>
      </c>
      <c r="U52" s="5">
        <f>IF((Q52-P52)&lt;0,0,(Q52-P52))</f>
        <v>0</v>
      </c>
      <c r="V52" s="5">
        <f>Table14[[#This Row],[Enrolment S.Y. 2025-2026 ]]*8</f>
        <v>0</v>
      </c>
      <c r="W52" s="5"/>
      <c r="X52" s="1"/>
      <c r="Y52" s="5"/>
      <c r="Z52" s="5">
        <f>IF((V52-W52)&lt;0,0,(V52-W52))</f>
        <v>0</v>
      </c>
      <c r="AA52" s="5">
        <f>IF((W52-V52)&lt;0,0,(W52-V52))</f>
        <v>0</v>
      </c>
    </row>
    <row r="53" spans="1:27" ht="19.149999999999999">
      <c r="A53" s="1">
        <v>5</v>
      </c>
      <c r="B53" s="9" t="s">
        <v>91</v>
      </c>
      <c r="C53" s="1"/>
      <c r="D53" s="5">
        <f>Table14[[#This Row],[Enrolment S.Y. 2025-2026 ]]*8</f>
        <v>0</v>
      </c>
      <c r="E53" s="5"/>
      <c r="F53" s="1"/>
      <c r="G53" s="5"/>
      <c r="H53" s="5">
        <f t="shared" si="0"/>
        <v>0</v>
      </c>
      <c r="I53" s="5">
        <f t="shared" si="1"/>
        <v>0</v>
      </c>
      <c r="J53" s="5">
        <f>Table14[[#This Row],[Enrolment S.Y. 2025-2026 ]]*8</f>
        <v>0</v>
      </c>
      <c r="K53" s="5"/>
      <c r="L53" s="1"/>
      <c r="M53" s="5"/>
      <c r="N53" s="5">
        <f t="shared" si="10"/>
        <v>0</v>
      </c>
      <c r="O53" s="5">
        <f t="shared" si="11"/>
        <v>0</v>
      </c>
      <c r="P53" s="5">
        <f>Table14[[#This Row],[Enrolment S.Y. 2025-2026 ]]*8</f>
        <v>0</v>
      </c>
      <c r="Q53" s="5"/>
      <c r="R53" s="1"/>
      <c r="S53" s="5"/>
      <c r="T53" s="5">
        <f t="shared" si="4"/>
        <v>0</v>
      </c>
      <c r="U53" s="5">
        <f t="shared" si="5"/>
        <v>0</v>
      </c>
      <c r="V53" s="5">
        <f>Table14[[#This Row],[Enrolment S.Y. 2025-2026 ]]*8</f>
        <v>0</v>
      </c>
      <c r="W53" s="5"/>
      <c r="X53" s="1"/>
      <c r="Y53" s="5"/>
      <c r="Z53" s="5">
        <f t="shared" si="6"/>
        <v>0</v>
      </c>
      <c r="AA53" s="5">
        <f t="shared" si="7"/>
        <v>0</v>
      </c>
    </row>
    <row r="54" spans="1:27" s="7" customFormat="1"/>
    <row r="55" spans="1:27" ht="19.149999999999999">
      <c r="A55" s="1">
        <v>6</v>
      </c>
      <c r="B55" s="9" t="s">
        <v>14</v>
      </c>
      <c r="C55" s="1"/>
      <c r="D55" s="5">
        <f>Table14[[#This Row],[Enrolment S.Y. 2025-2026 ]]*8</f>
        <v>0</v>
      </c>
      <c r="E55" s="5"/>
      <c r="F55" s="1"/>
      <c r="G55" s="5"/>
      <c r="H55" s="5">
        <f t="shared" si="0"/>
        <v>0</v>
      </c>
      <c r="I55" s="5">
        <f t="shared" si="1"/>
        <v>0</v>
      </c>
      <c r="J55" s="5">
        <f>Table14[[#This Row],[Enrolment S.Y. 2025-2026 ]]*8</f>
        <v>0</v>
      </c>
      <c r="K55" s="5"/>
      <c r="L55" s="1"/>
      <c r="M55" s="5"/>
      <c r="N55" s="5">
        <f t="shared" si="2"/>
        <v>0</v>
      </c>
      <c r="O55" s="5">
        <f t="shared" si="3"/>
        <v>0</v>
      </c>
      <c r="P55" s="5">
        <f>Table14[[#This Row],[Enrolment S.Y. 2025-2026 ]]*8</f>
        <v>0</v>
      </c>
      <c r="Q55" s="5"/>
      <c r="R55" s="1"/>
      <c r="S55" s="5"/>
      <c r="T55" s="5">
        <f t="shared" si="4"/>
        <v>0</v>
      </c>
      <c r="U55" s="5">
        <f t="shared" si="5"/>
        <v>0</v>
      </c>
      <c r="V55" s="5">
        <f>Table14[[#This Row],[Enrolment S.Y. 2025-2026 ]]*8</f>
        <v>0</v>
      </c>
      <c r="W55" s="5"/>
      <c r="X55" s="1"/>
      <c r="Y55" s="5"/>
      <c r="Z55" s="5">
        <f t="shared" si="6"/>
        <v>0</v>
      </c>
      <c r="AA55" s="5">
        <f t="shared" si="7"/>
        <v>0</v>
      </c>
    </row>
    <row r="56" spans="1:27" ht="19.149999999999999">
      <c r="A56" s="1">
        <v>6</v>
      </c>
      <c r="B56" s="9" t="s">
        <v>15</v>
      </c>
      <c r="C56" s="1"/>
      <c r="D56" s="5">
        <f>Table14[[#This Row],[Enrolment S.Y. 2025-2026 ]]*8</f>
        <v>0</v>
      </c>
      <c r="E56" s="5"/>
      <c r="F56" s="1"/>
      <c r="G56" s="5"/>
      <c r="H56" s="5">
        <f t="shared" si="0"/>
        <v>0</v>
      </c>
      <c r="I56" s="5">
        <f t="shared" si="1"/>
        <v>0</v>
      </c>
      <c r="J56" s="5">
        <f>Table14[[#This Row],[Enrolment S.Y. 2025-2026 ]]*8</f>
        <v>0</v>
      </c>
      <c r="K56" s="5"/>
      <c r="L56" s="1"/>
      <c r="M56" s="5"/>
      <c r="N56" s="5">
        <f t="shared" si="2"/>
        <v>0</v>
      </c>
      <c r="O56" s="5">
        <f t="shared" si="3"/>
        <v>0</v>
      </c>
      <c r="P56" s="5">
        <f>Table14[[#This Row],[Enrolment S.Y. 2025-2026 ]]*8</f>
        <v>0</v>
      </c>
      <c r="Q56" s="5"/>
      <c r="R56" s="1"/>
      <c r="S56" s="5"/>
      <c r="T56" s="5">
        <f t="shared" si="4"/>
        <v>0</v>
      </c>
      <c r="U56" s="5">
        <f t="shared" si="5"/>
        <v>0</v>
      </c>
      <c r="V56" s="5">
        <f>Table14[[#This Row],[Enrolment S.Y. 2025-2026 ]]*8</f>
        <v>0</v>
      </c>
      <c r="W56" s="5"/>
      <c r="X56" s="1"/>
      <c r="Y56" s="5"/>
      <c r="Z56" s="5">
        <f t="shared" si="6"/>
        <v>0</v>
      </c>
      <c r="AA56" s="5">
        <f t="shared" si="7"/>
        <v>0</v>
      </c>
    </row>
    <row r="57" spans="1:27" ht="19.149999999999999">
      <c r="A57" s="1">
        <v>6</v>
      </c>
      <c r="B57" s="9" t="s">
        <v>12</v>
      </c>
      <c r="C57" s="1"/>
      <c r="D57" s="5">
        <f>Table14[[#This Row],[Enrolment S.Y. 2025-2026 ]]*8</f>
        <v>0</v>
      </c>
      <c r="E57" s="5"/>
      <c r="F57" s="1"/>
      <c r="G57" s="5"/>
      <c r="H57" s="5">
        <f t="shared" si="0"/>
        <v>0</v>
      </c>
      <c r="I57" s="5">
        <f t="shared" si="1"/>
        <v>0</v>
      </c>
      <c r="J57" s="5">
        <f>Table14[[#This Row],[Enrolment S.Y. 2025-2026 ]]*8</f>
        <v>0</v>
      </c>
      <c r="K57" s="5"/>
      <c r="L57" s="1"/>
      <c r="M57" s="5"/>
      <c r="N57" s="5">
        <f t="shared" si="2"/>
        <v>0</v>
      </c>
      <c r="O57" s="5">
        <f t="shared" si="3"/>
        <v>0</v>
      </c>
      <c r="P57" s="5">
        <f>Table14[[#This Row],[Enrolment S.Y. 2025-2026 ]]*8</f>
        <v>0</v>
      </c>
      <c r="Q57" s="5"/>
      <c r="R57" s="1"/>
      <c r="S57" s="5"/>
      <c r="T57" s="5">
        <f t="shared" si="4"/>
        <v>0</v>
      </c>
      <c r="U57" s="5">
        <f t="shared" si="5"/>
        <v>0</v>
      </c>
      <c r="V57" s="5">
        <f>Table14[[#This Row],[Enrolment S.Y. 2025-2026 ]]*8</f>
        <v>0</v>
      </c>
      <c r="W57" s="5"/>
      <c r="X57" s="1"/>
      <c r="Y57" s="5"/>
      <c r="Z57" s="5">
        <f t="shared" si="6"/>
        <v>0</v>
      </c>
      <c r="AA57" s="5">
        <f t="shared" si="7"/>
        <v>0</v>
      </c>
    </row>
    <row r="58" spans="1:27" ht="19.149999999999999">
      <c r="A58" s="1">
        <v>6</v>
      </c>
      <c r="B58" s="9" t="s">
        <v>10</v>
      </c>
      <c r="C58" s="1"/>
      <c r="D58" s="5">
        <f>Table14[[#This Row],[Enrolment S.Y. 2025-2026 ]]*8</f>
        <v>0</v>
      </c>
      <c r="E58" s="5"/>
      <c r="F58" s="1"/>
      <c r="G58" s="5"/>
      <c r="H58" s="5">
        <f t="shared" si="0"/>
        <v>0</v>
      </c>
      <c r="I58" s="5">
        <f t="shared" si="1"/>
        <v>0</v>
      </c>
      <c r="J58" s="5">
        <f>Table14[[#This Row],[Enrolment S.Y. 2025-2026 ]]*8</f>
        <v>0</v>
      </c>
      <c r="K58" s="5"/>
      <c r="L58" s="1"/>
      <c r="M58" s="5"/>
      <c r="N58" s="5">
        <f t="shared" si="2"/>
        <v>0</v>
      </c>
      <c r="O58" s="5">
        <f t="shared" si="3"/>
        <v>0</v>
      </c>
      <c r="P58" s="5">
        <f>Table14[[#This Row],[Enrolment S.Y. 2025-2026 ]]*8</f>
        <v>0</v>
      </c>
      <c r="Q58" s="5"/>
      <c r="R58" s="1"/>
      <c r="S58" s="5"/>
      <c r="T58" s="5">
        <f t="shared" si="4"/>
        <v>0</v>
      </c>
      <c r="U58" s="5">
        <f t="shared" si="5"/>
        <v>0</v>
      </c>
      <c r="V58" s="5">
        <f>Table14[[#This Row],[Enrolment S.Y. 2025-2026 ]]*8</f>
        <v>0</v>
      </c>
      <c r="W58" s="5"/>
      <c r="X58" s="1"/>
      <c r="Y58" s="5"/>
      <c r="Z58" s="5">
        <f t="shared" si="6"/>
        <v>0</v>
      </c>
      <c r="AA58" s="5">
        <f t="shared" si="7"/>
        <v>0</v>
      </c>
    </row>
    <row r="59" spans="1:27" ht="19.149999999999999">
      <c r="A59" s="1">
        <v>6</v>
      </c>
      <c r="B59" s="9" t="s">
        <v>16</v>
      </c>
      <c r="C59" s="1"/>
      <c r="D59" s="5">
        <f>Table14[[#This Row],[Enrolment S.Y. 2025-2026 ]]*8</f>
        <v>0</v>
      </c>
      <c r="E59" s="5"/>
      <c r="F59" s="1"/>
      <c r="G59" s="5"/>
      <c r="H59" s="5">
        <f t="shared" si="0"/>
        <v>0</v>
      </c>
      <c r="I59" s="5">
        <f t="shared" si="1"/>
        <v>0</v>
      </c>
      <c r="J59" s="5">
        <f>Table14[[#This Row],[Enrolment S.Y. 2025-2026 ]]*8</f>
        <v>0</v>
      </c>
      <c r="K59" s="5"/>
      <c r="L59" s="1"/>
      <c r="M59" s="5"/>
      <c r="N59" s="5">
        <f t="shared" si="2"/>
        <v>0</v>
      </c>
      <c r="O59" s="5">
        <f t="shared" si="3"/>
        <v>0</v>
      </c>
      <c r="P59" s="5">
        <f>Table14[[#This Row],[Enrolment S.Y. 2025-2026 ]]*8</f>
        <v>0</v>
      </c>
      <c r="Q59" s="5"/>
      <c r="R59" s="1"/>
      <c r="S59" s="5"/>
      <c r="T59" s="5">
        <f t="shared" si="4"/>
        <v>0</v>
      </c>
      <c r="U59" s="5">
        <f t="shared" si="5"/>
        <v>0</v>
      </c>
      <c r="V59" s="5">
        <f>Table14[[#This Row],[Enrolment S.Y. 2025-2026 ]]*8</f>
        <v>0</v>
      </c>
      <c r="W59" s="5"/>
      <c r="X59" s="1"/>
      <c r="Y59" s="5"/>
      <c r="Z59" s="5">
        <f t="shared" si="6"/>
        <v>0</v>
      </c>
      <c r="AA59" s="5">
        <f t="shared" si="7"/>
        <v>0</v>
      </c>
    </row>
    <row r="60" spans="1:27" ht="19.149999999999999">
      <c r="A60" s="1">
        <v>6</v>
      </c>
      <c r="B60" s="9" t="s">
        <v>13</v>
      </c>
      <c r="C60" s="1"/>
      <c r="D60" s="5">
        <f>Table14[[#This Row],[Enrolment S.Y. 2025-2026 ]]*8</f>
        <v>0</v>
      </c>
      <c r="E60" s="5"/>
      <c r="F60" s="1"/>
      <c r="G60" s="5"/>
      <c r="H60" s="5">
        <f t="shared" si="0"/>
        <v>0</v>
      </c>
      <c r="I60" s="5">
        <f t="shared" si="1"/>
        <v>0</v>
      </c>
      <c r="J60" s="5">
        <f>Table14[[#This Row],[Enrolment S.Y. 2025-2026 ]]*8</f>
        <v>0</v>
      </c>
      <c r="K60" s="5"/>
      <c r="L60" s="1"/>
      <c r="M60" s="5"/>
      <c r="N60" s="5">
        <f t="shared" si="2"/>
        <v>0</v>
      </c>
      <c r="O60" s="5">
        <f t="shared" si="3"/>
        <v>0</v>
      </c>
      <c r="P60" s="5">
        <f>Table14[[#This Row],[Enrolment S.Y. 2025-2026 ]]*8</f>
        <v>0</v>
      </c>
      <c r="Q60" s="5"/>
      <c r="R60" s="1"/>
      <c r="S60" s="5"/>
      <c r="T60" s="5">
        <f t="shared" si="4"/>
        <v>0</v>
      </c>
      <c r="U60" s="5">
        <f t="shared" si="5"/>
        <v>0</v>
      </c>
      <c r="V60" s="5">
        <f>Table14[[#This Row],[Enrolment S.Y. 2025-2026 ]]*8</f>
        <v>0</v>
      </c>
      <c r="W60" s="5"/>
      <c r="X60" s="1"/>
      <c r="Y60" s="5"/>
      <c r="Z60" s="5">
        <f t="shared" si="6"/>
        <v>0</v>
      </c>
      <c r="AA60" s="5">
        <f t="shared" si="7"/>
        <v>0</v>
      </c>
    </row>
    <row r="61" spans="1:27" ht="19.149999999999999">
      <c r="A61" s="37">
        <v>6</v>
      </c>
      <c r="B61" s="9" t="s">
        <v>88</v>
      </c>
      <c r="C61" s="5"/>
      <c r="D61" s="5">
        <f>Table14[[#This Row],[Enrolment S.Y. 2025-2026 ]]*8</f>
        <v>0</v>
      </c>
      <c r="E61" s="5"/>
      <c r="F61" s="1"/>
      <c r="G61" s="5"/>
      <c r="H61" s="5">
        <f>IF((D61-E61)&lt;0,0,(D61-E61))</f>
        <v>0</v>
      </c>
      <c r="I61" s="5">
        <f>IF((E61-D61)&lt;0,0,(E61-D61))</f>
        <v>0</v>
      </c>
      <c r="J61" s="5">
        <f>Table14[[#This Row],[Enrolment S.Y. 2025-2026 ]]*8</f>
        <v>0</v>
      </c>
      <c r="K61" s="5"/>
      <c r="L61" s="1"/>
      <c r="M61" s="5"/>
      <c r="N61" s="5">
        <f t="shared" ref="N61:N65" si="12">IF((J61-K61)&lt;0,0,(J61-K61))</f>
        <v>0</v>
      </c>
      <c r="O61" s="5">
        <f t="shared" ref="O61:O65" si="13">IF((K61-J61)&lt;0,0,(K61-J61))</f>
        <v>0</v>
      </c>
      <c r="P61" s="5">
        <f>Table14[[#This Row],[Enrolment S.Y. 2025-2026 ]]*8</f>
        <v>0</v>
      </c>
      <c r="Q61" s="5"/>
      <c r="R61" s="1"/>
      <c r="S61" s="5"/>
      <c r="T61" s="5">
        <f>IF((P61-Q61)&lt;0,0,(P61-Q61))</f>
        <v>0</v>
      </c>
      <c r="U61" s="5">
        <f>IF((Q61-P61)&lt;0,0,(Q61-P61))</f>
        <v>0</v>
      </c>
      <c r="V61" s="5">
        <f>Table14[[#This Row],[Enrolment S.Y. 2025-2026 ]]*8</f>
        <v>0</v>
      </c>
      <c r="W61" s="5"/>
      <c r="X61" s="1"/>
      <c r="Y61" s="5"/>
      <c r="Z61" s="5">
        <f>IF((V61-W61)&lt;0,0,(V61-W61))</f>
        <v>0</v>
      </c>
      <c r="AA61" s="5">
        <f>IF((W61-V61)&lt;0,0,(W61-V61))</f>
        <v>0</v>
      </c>
    </row>
    <row r="62" spans="1:27" ht="19.149999999999999">
      <c r="A62" s="1">
        <v>6</v>
      </c>
      <c r="B62" s="9" t="s">
        <v>89</v>
      </c>
      <c r="C62" s="1"/>
      <c r="D62" s="5">
        <f>Table14[[#This Row],[Enrolment S.Y. 2025-2026 ]]*8</f>
        <v>0</v>
      </c>
      <c r="E62" s="5"/>
      <c r="F62" s="1"/>
      <c r="G62" s="5"/>
      <c r="H62" s="5">
        <f t="shared" si="0"/>
        <v>0</v>
      </c>
      <c r="I62" s="5">
        <f t="shared" si="1"/>
        <v>0</v>
      </c>
      <c r="J62" s="5">
        <f>Table14[[#This Row],[Enrolment S.Y. 2025-2026 ]]*8</f>
        <v>0</v>
      </c>
      <c r="K62" s="5"/>
      <c r="L62" s="1"/>
      <c r="M62" s="5"/>
      <c r="N62" s="5">
        <f t="shared" si="12"/>
        <v>0</v>
      </c>
      <c r="O62" s="5">
        <f t="shared" si="13"/>
        <v>0</v>
      </c>
      <c r="P62" s="5">
        <f>Table14[[#This Row],[Enrolment S.Y. 2025-2026 ]]*8</f>
        <v>0</v>
      </c>
      <c r="Q62" s="5"/>
      <c r="R62" s="1"/>
      <c r="S62" s="5"/>
      <c r="T62" s="5">
        <f t="shared" si="4"/>
        <v>0</v>
      </c>
      <c r="U62" s="5">
        <f t="shared" si="5"/>
        <v>0</v>
      </c>
      <c r="V62" s="5">
        <f>Table14[[#This Row],[Enrolment S.Y. 2025-2026 ]]*8</f>
        <v>0</v>
      </c>
      <c r="W62" s="5"/>
      <c r="X62" s="1"/>
      <c r="Y62" s="5"/>
      <c r="Z62" s="5">
        <f t="shared" si="6"/>
        <v>0</v>
      </c>
      <c r="AA62" s="5">
        <f t="shared" si="7"/>
        <v>0</v>
      </c>
    </row>
    <row r="63" spans="1:27" ht="19.149999999999999">
      <c r="A63" s="1">
        <v>6</v>
      </c>
      <c r="B63" s="9" t="s">
        <v>18</v>
      </c>
      <c r="C63" s="1"/>
      <c r="D63" s="5">
        <f>Table14[[#This Row],[Enrolment S.Y. 2025-2026 ]]*8</f>
        <v>0</v>
      </c>
      <c r="E63" s="5"/>
      <c r="F63" s="1"/>
      <c r="G63" s="5"/>
      <c r="H63" s="5">
        <f t="shared" si="0"/>
        <v>0</v>
      </c>
      <c r="I63" s="5">
        <f t="shared" si="1"/>
        <v>0</v>
      </c>
      <c r="J63" s="5">
        <f>Table14[[#This Row],[Enrolment S.Y. 2025-2026 ]]*8</f>
        <v>0</v>
      </c>
      <c r="K63" s="5"/>
      <c r="L63" s="1"/>
      <c r="M63" s="5"/>
      <c r="N63" s="5">
        <f t="shared" si="12"/>
        <v>0</v>
      </c>
      <c r="O63" s="5">
        <f t="shared" si="13"/>
        <v>0</v>
      </c>
      <c r="P63" s="5">
        <f>Table14[[#This Row],[Enrolment S.Y. 2025-2026 ]]*8</f>
        <v>0</v>
      </c>
      <c r="Q63" s="5"/>
      <c r="R63" s="1"/>
      <c r="S63" s="5"/>
      <c r="T63" s="5">
        <f t="shared" si="4"/>
        <v>0</v>
      </c>
      <c r="U63" s="5">
        <f t="shared" si="5"/>
        <v>0</v>
      </c>
      <c r="V63" s="5">
        <f>Table14[[#This Row],[Enrolment S.Y. 2025-2026 ]]*8</f>
        <v>0</v>
      </c>
      <c r="W63" s="5"/>
      <c r="X63" s="1"/>
      <c r="Y63" s="5"/>
      <c r="Z63" s="5">
        <f t="shared" si="6"/>
        <v>0</v>
      </c>
      <c r="AA63" s="5">
        <f t="shared" si="7"/>
        <v>0</v>
      </c>
    </row>
    <row r="64" spans="1:27" ht="19.149999999999999">
      <c r="A64" s="37">
        <v>6</v>
      </c>
      <c r="B64" s="9" t="s">
        <v>90</v>
      </c>
      <c r="C64" s="5"/>
      <c r="D64" s="5">
        <f>Table14[[#This Row],[Enrolment S.Y. 2025-2026 ]]*8</f>
        <v>0</v>
      </c>
      <c r="E64" s="5"/>
      <c r="F64" s="1"/>
      <c r="G64" s="5"/>
      <c r="H64" s="5">
        <f>IF((D64-E64)&lt;0,0,(D64-E64))</f>
        <v>0</v>
      </c>
      <c r="I64" s="5">
        <f>IF((E64-D64)&lt;0,0,(E64-D64))</f>
        <v>0</v>
      </c>
      <c r="J64" s="5">
        <f>Table14[[#This Row],[Enrolment S.Y. 2025-2026 ]]*8</f>
        <v>0</v>
      </c>
      <c r="K64" s="5"/>
      <c r="L64" s="1"/>
      <c r="M64" s="5"/>
      <c r="N64" s="5">
        <f t="shared" si="12"/>
        <v>0</v>
      </c>
      <c r="O64" s="5">
        <f t="shared" si="13"/>
        <v>0</v>
      </c>
      <c r="P64" s="5">
        <f>Table14[[#This Row],[Enrolment S.Y. 2025-2026 ]]*8</f>
        <v>0</v>
      </c>
      <c r="Q64" s="5"/>
      <c r="R64" s="1"/>
      <c r="S64" s="5"/>
      <c r="T64" s="5">
        <f>IF((P64-Q64)&lt;0,0,(P64-Q64))</f>
        <v>0</v>
      </c>
      <c r="U64" s="5">
        <f>IF((Q64-P64)&lt;0,0,(Q64-P64))</f>
        <v>0</v>
      </c>
      <c r="V64" s="5">
        <f>Table14[[#This Row],[Enrolment S.Y. 2025-2026 ]]*8</f>
        <v>0</v>
      </c>
      <c r="W64" s="5"/>
      <c r="X64" s="1"/>
      <c r="Y64" s="5"/>
      <c r="Z64" s="5">
        <f>IF((V64-W64)&lt;0,0,(V64-W64))</f>
        <v>0</v>
      </c>
      <c r="AA64" s="5">
        <f>IF((W64-V64)&lt;0,0,(W64-V64))</f>
        <v>0</v>
      </c>
    </row>
    <row r="65" spans="1:27" ht="19.149999999999999">
      <c r="A65" s="1">
        <v>6</v>
      </c>
      <c r="B65" s="9" t="s">
        <v>91</v>
      </c>
      <c r="C65" s="1"/>
      <c r="D65" s="5">
        <f>Table14[[#This Row],[Enrolment S.Y. 2025-2026 ]]*8</f>
        <v>0</v>
      </c>
      <c r="E65" s="5"/>
      <c r="F65" s="1"/>
      <c r="G65" s="5"/>
      <c r="H65" s="5">
        <f t="shared" si="0"/>
        <v>0</v>
      </c>
      <c r="I65" s="5">
        <f t="shared" si="1"/>
        <v>0</v>
      </c>
      <c r="J65" s="5">
        <f>Table14[[#This Row],[Enrolment S.Y. 2025-2026 ]]*8</f>
        <v>0</v>
      </c>
      <c r="K65" s="5"/>
      <c r="L65" s="1"/>
      <c r="M65" s="5"/>
      <c r="N65" s="5">
        <f t="shared" si="12"/>
        <v>0</v>
      </c>
      <c r="O65" s="5">
        <f t="shared" si="13"/>
        <v>0</v>
      </c>
      <c r="P65" s="5">
        <f>Table14[[#This Row],[Enrolment S.Y. 2025-2026 ]]*8</f>
        <v>0</v>
      </c>
      <c r="Q65" s="5"/>
      <c r="R65" s="1"/>
      <c r="S65" s="5"/>
      <c r="T65" s="5">
        <f t="shared" si="4"/>
        <v>0</v>
      </c>
      <c r="U65" s="5">
        <f t="shared" si="5"/>
        <v>0</v>
      </c>
      <c r="V65" s="5">
        <f>Table14[[#This Row],[Enrolment S.Y. 2025-2026 ]]*8</f>
        <v>0</v>
      </c>
      <c r="W65" s="5"/>
      <c r="X65" s="1"/>
      <c r="Y65" s="5"/>
      <c r="Z65" s="5">
        <f t="shared" si="6"/>
        <v>0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14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15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12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21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16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13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88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89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23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90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91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14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15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12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21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24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13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88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89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23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90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91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14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15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12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21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24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13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88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89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23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90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91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14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15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12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21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24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13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88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89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23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90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91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25</v>
      </c>
      <c r="B115" s="9" t="s">
        <v>26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25</v>
      </c>
      <c r="B116" s="9" t="s">
        <v>27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25</v>
      </c>
      <c r="B117" s="9" t="s">
        <v>28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25</v>
      </c>
      <c r="B118" s="9" t="s">
        <v>29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25</v>
      </c>
      <c r="B119" s="9" t="s">
        <v>30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25</v>
      </c>
      <c r="B120" s="9" t="s">
        <v>31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25</v>
      </c>
      <c r="B121" s="9" t="s">
        <v>32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25</v>
      </c>
      <c r="B122" s="9" t="s">
        <v>33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</sheetData>
  <protectedRanges>
    <protectedRange sqref="C2:C10 C12:C19 C21:C29 C31:C41 C43:C53 C55:C65 C67:C77 C79:C89 C115:C122 C103:C113 C91:C101" name="Textbooks"/>
    <protectedRange sqref="J2:L2 D2:F10 D12:F19 D21:F29 D31:F41 D43:F53 D55:F65 D67:F77 D79:F89 D91:F101 D115:F122 P2:R10 N3:O10 V2:X10 T3:U10 N12:R19 T12:X19 H3:L10 Z3:AA10 Z12:AA19 H12:L19 N21:R29 T21:X29 Z21:AA29 H21:L29 T31:X41 Z31:AA41 H31:L41 T43:X53 Z43:AA53 H43:L53 T55:X65 Z55:AA65 H55:L65 T67:X77 Z67:AA77 H67:L77 T79:X89 Z79:AA89 H79:L89 T91:X101 Z91:AA101 H91:L101 T103:X113 Z103:AA113 H103:L113 N115:R122 T115:X122 Z115:AA122 H115:L122 D103:F113 N31:R41 N43:R53 N55:R65 N67:R77 N79:R89 N91:R101 N103:R113" name="LAS"/>
    <protectedRange sqref="G2:I2 M2:O2 S2:U2 Y2:AA2 G3:G10 M3:M10 S3:S10 Y3:Y10 Y12:Y19 G12:G19 M12:M19 S12:S19 Y21:Y29 G21:G29 M21:M29 S21:S29 Y31:Y41 G31:G41 M31:M41 S31:S41 Y43:Y53 G43:G53 M43:M53 S43:S53 Y55:Y65 G55:G65 M55:M65 S55:S65 Y67:Y77 G67:G77 M67:M77 S67:S77 Y79:Y89 G79:G89 M79:M89 S79:S89 Y91:Y101 G91:G101 M91:M101 S91:S101 Y103:Y113 G103:G113 M103:M113 S103:S113 Y115:Y122 G115:G122 M115:M122 S115:S122" name="SOURCE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Y12:Y19 S12:S19 M12:M19 M21:M29 G21:G29 Y21:Y29 S21:S29 S31:S41 M31:M41 G31:G41 Y31:Y41 Y43:Y53 S43:S53 M43:M53 G43:G53 G55:G65 Y55:Y65 S55:S65 M55:M65 M67:M77 G67:G77 Y67:Y77 S67:S77 S79:S89 M79:M89 G79:G89 Y79:Y89 Y91:Y101 S91:S101 M91:M101 G91:G101 G103:G113 Y103:Y113 S103:S113 M103:M113 M115:M122" xr:uid="{CBD486C7-A5DB-48F1-B496-5027CC51E830}">
      <formula1>"CO,RO,SDO,LGU,SCHOOL"</formula1>
    </dataValidation>
    <dataValidation type="list" allowBlank="1" showInputMessage="1" showErrorMessage="1" sqref="F3:F10 F12:F19 F21:F29 F31:F41 F43:F53 F55:F65 F67:F77 F79:F89 F91:F101 F103:F113 F115:F122 L3:L10 L12:L19 L21:L29 L31:L41 L43:L53 L55:L65 L67:L77 L79:L89 L91:L101 L103:L113 L115:L122 R3:R10 R12:R19 R21:R29 R31:R41 R43:R53 R55:R65 R67:R77 R79:R89 R91:R101 R103:R113 R115:R122 X3:X10 X12:X19 X21:X29 X31:X41 X43:X53 X55:X65 X67:X77 X79:X89 X91:X101 X103:X113 X115:X122" xr:uid="{8481B900-82EC-4F37-A2A4-9EF069F6A240}">
      <formula1>"2024,2025,2026"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Jonathan Buquia</cp:lastModifiedBy>
  <cp:revision/>
  <dcterms:created xsi:type="dcterms:W3CDTF">2025-11-19T20:48:15Z</dcterms:created>
  <dcterms:modified xsi:type="dcterms:W3CDTF">2026-03-16T07:54:53Z</dcterms:modified>
  <cp:category/>
  <cp:contentStatus/>
</cp:coreProperties>
</file>