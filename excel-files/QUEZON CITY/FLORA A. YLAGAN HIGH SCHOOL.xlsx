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11" documentId="13_ncr:1_{BFB59F67-F0DC-4675-A682-EB0734A8026A}" xr6:coauthVersionLast="47" xr6:coauthVersionMax="47" xr10:uidLastSave="{9C153E98-8C29-46C5-BAEE-D3F695EF2439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T21" i="4"/>
  <c r="U5" i="4"/>
  <c r="O28" i="4"/>
  <c r="AA43" i="4"/>
  <c r="Z20" i="4"/>
  <c r="AA7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29" i="4"/>
  <c r="Z18" i="4"/>
  <c r="N39" i="4"/>
  <c r="O33" i="4"/>
  <c r="U36" i="4"/>
  <c r="T4" i="4"/>
  <c r="Z40" i="4"/>
  <c r="AA16" i="4"/>
  <c r="Z5" i="4"/>
  <c r="N21" i="4"/>
  <c r="O50" i="4"/>
  <c r="N45" i="4"/>
  <c r="O19" i="4"/>
  <c r="T30" i="4"/>
  <c r="U14" i="4"/>
  <c r="U8" i="4"/>
  <c r="AA38" i="4"/>
  <c r="Z27" i="4"/>
  <c r="AA3" i="4"/>
  <c r="Z31" i="4"/>
  <c r="N13" i="4"/>
  <c r="O6" i="4"/>
  <c r="U40" i="4"/>
  <c r="U35" i="4"/>
  <c r="U18" i="4"/>
  <c r="Z49" i="4"/>
  <c r="AA25" i="4"/>
  <c r="Z14" i="4"/>
  <c r="O37" i="4"/>
  <c r="N30" i="4"/>
  <c r="O24" i="4"/>
  <c r="N18" i="4"/>
  <c r="U45" i="4"/>
  <c r="T13" i="4"/>
  <c r="AA47" i="4"/>
  <c r="Z36" i="4"/>
  <c r="AA11" i="4"/>
  <c r="N48" i="4"/>
  <c r="T39" i="4"/>
  <c r="U23" i="4"/>
  <c r="U17" i="4"/>
  <c r="AA34" i="4"/>
  <c r="Z23" i="4"/>
  <c r="O41" i="4"/>
  <c r="O10" i="4"/>
  <c r="N4" i="4"/>
  <c r="U49" i="4"/>
  <c r="U27" i="4"/>
  <c r="Z45" i="4"/>
  <c r="Z9" i="4"/>
  <c r="T11" i="4"/>
  <c r="U11" i="4"/>
  <c r="N36" i="4"/>
  <c r="N14" i="4"/>
  <c r="T3" i="4"/>
  <c r="U3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34" i="4"/>
  <c r="U34" i="4"/>
  <c r="T43" i="4"/>
  <c r="U43" i="4"/>
  <c r="N27" i="4"/>
  <c r="N5" i="4"/>
  <c r="N31" i="4"/>
  <c r="T20" i="4"/>
  <c r="U20" i="4"/>
  <c r="T47" i="4"/>
  <c r="U47" i="4"/>
  <c r="T25" i="4"/>
  <c r="U25" i="4"/>
  <c r="N9" i="4"/>
  <c r="Z50" i="4"/>
  <c r="AA50" i="4"/>
  <c r="O47" i="4"/>
  <c r="O38" i="4"/>
  <c r="O29" i="4"/>
  <c r="O20" i="4"/>
  <c r="O11" i="4"/>
  <c r="O3" i="4"/>
  <c r="U46" i="4"/>
  <c r="U37" i="4"/>
  <c r="U28" i="4"/>
  <c r="U19" i="4"/>
  <c r="U10" i="4"/>
  <c r="AA46" i="4"/>
  <c r="AA37" i="4"/>
  <c r="AA28" i="4"/>
  <c r="AA24" i="4"/>
  <c r="AA19" i="4"/>
  <c r="AA15" i="4"/>
  <c r="AA10" i="4"/>
  <c r="AA6" i="4"/>
  <c r="O44" i="4"/>
  <c r="O35" i="4"/>
  <c r="O26" i="4"/>
  <c r="O17" i="4"/>
  <c r="O8" i="4"/>
  <c r="O43" i="4"/>
  <c r="O34" i="4"/>
  <c r="O25" i="4"/>
  <c r="O16" i="4"/>
  <c r="O7" i="4"/>
  <c r="U50" i="4"/>
  <c r="U41" i="4"/>
  <c r="U33" i="4"/>
  <c r="U24" i="4"/>
  <c r="U15" i="4"/>
  <c r="U6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<sst xmlns="http://schemas.openxmlformats.org/spreadsheetml/2006/main" count="234" uniqueCount="83">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</sst>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50" totalsRowShown="0" dataDxfId="59" headerRowBorderDxfId="57" tableBorderDxfId="58">
  <autoFilter ref="A2:AA5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F1" activePane="topRight" state="frozen"/>
      <selection pane="topRight" activeCell="M102" sqref="M10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/>
      <c r="D2" s="8"/>
      <c r="E2" s="8"/>
      <c r="F2" s="10"/>
      <c r="G2" s="2">
        <f t="shared" ref="G2:G10" si="0">IF((C2-D2)&lt;0,0,C2-D2)</f>
        <v>0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12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19.5">
      <c r="A7" s="8">
        <v>7</v>
      </c>
      <c r="B7" s="9" t="s">
        <v>13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17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17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17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18</v>
      </c>
      <c r="B42" s="7" t="s">
        <v>19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18</v>
      </c>
      <c r="B43" s="7" t="s">
        <v>20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18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18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18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18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18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18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2:E10 E12:E20 E22:E30 E32:E40" xr:uid="{B46E7B13-721E-4D49-837E-C02BF9777D48}">
      <formula1>"2024,2025 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D68" sqref="AD6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2" t="s">
        <v>27</v>
      </c>
      <c r="E1" s="32"/>
      <c r="F1" s="32"/>
      <c r="G1" s="32"/>
      <c r="H1" s="32"/>
      <c r="I1" s="32"/>
      <c r="J1" s="33" t="s">
        <v>28</v>
      </c>
      <c r="K1" s="33"/>
      <c r="L1" s="33"/>
      <c r="M1" s="33"/>
      <c r="N1" s="33"/>
      <c r="O1" s="33"/>
      <c r="P1" s="34" t="s">
        <v>29</v>
      </c>
      <c r="Q1" s="34"/>
      <c r="R1" s="34"/>
      <c r="S1" s="34"/>
      <c r="T1" s="34"/>
      <c r="U1" s="34"/>
      <c r="V1" s="35" t="s">
        <v>30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0" t="s">
        <v>40</v>
      </c>
      <c r="N2" s="30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1" t="s">
        <v>52</v>
      </c>
      <c r="Z2" s="31" t="s">
        <v>53</v>
      </c>
      <c r="AA2" s="24" t="s">
        <v>54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50" si="8">IF((J10-K10)&lt;0,0,(J10-K10))</f>
        <v>0</v>
      </c>
      <c r="O10" s="10">
        <f t="shared" ref="O10:O50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50" si="10">IF((P10-Q10)&lt;0,0,(P10-Q10))</f>
        <v>0</v>
      </c>
      <c r="U10" s="10">
        <f t="shared" ref="U10:U50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50" si="12">IF((V10-W10)&lt;0,0,(V10-W10))</f>
        <v>0</v>
      </c>
      <c r="AA10" s="10">
        <f t="shared" ref="AA10:AA50" si="13">IF((W10-V10)&lt;0,0,(W10-V10))</f>
        <v>0</v>
      </c>
    </row>
    <row r="11" spans="1:27" ht="19.5">
      <c r="A11" s="8">
        <v>7</v>
      </c>
      <c r="B11" s="9" t="s">
        <v>16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17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50" si="14">IF((D18-E18)&lt;0,0,(D18-E18))</f>
        <v>0</v>
      </c>
      <c r="I18" s="10">
        <f t="shared" ref="I18:I50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17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17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18</v>
      </c>
      <c r="B43" s="7" t="s">
        <v>19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18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18</v>
      </c>
      <c r="B45" s="7" t="s">
        <v>21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18</v>
      </c>
      <c r="B46" s="7" t="s">
        <v>22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18</v>
      </c>
      <c r="B47" s="7" t="s">
        <v>23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18</v>
      </c>
      <c r="B48" s="7" t="s">
        <v>24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18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18</v>
      </c>
      <c r="B50" s="7" t="s">
        <v>26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5"/>
    <row r="52" spans="1:27" s="5" customFormat="1" ht="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 spans="1:27" ht="15"/>
    <row r="54" spans="1:27" ht="15"/>
    <row r="55" spans="1:27" ht="15"/>
    <row r="56" spans="1:27" ht="15"/>
    <row r="57" spans="1:27" ht="15"/>
    <row r="58" spans="1:27" ht="15"/>
    <row r="59" spans="1:27" ht="15"/>
    <row r="60" spans="1:27" ht="15"/>
    <row r="61" spans="1:27" ht="15"/>
    <row r="62" spans="1:27" s="5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43:C50 C13:C21 C23:C31 C33:C41 C2:C11" name="Textbooks"/>
    <protectedRange sqref="W23:X31 D33:F41 H33:I41 Q33:R41 W33:X41 D43:F50 H43:I50 Q43:R50 W43:X50 K3:L11 K13:L21 K23:L31 K33:L41 K43:L50 T3:V50 J3:J50 V2:X2 N3:P50 P2:R2 Z3:AA50 D2:F11 H3:I11 Q3:R11 W3:X11 D13:F21 H13:I21 Q13:R21 W13:X21 D23:F31 H23:I31 Q23:R31 J2:L2" name="LAS"/>
    <protectedRange sqref="S2:U2 M2:O2 Y2:AA2 G3:G11 G13:G21 G23:G31 G33:G41 G43:G50 Y3:Y50 M3:M50 S3:S50 G2:I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3:F11 F13:F21 F23:F31 F33:F41 F43:F50 L43:L50 L33:L41 L23:L31 L13:L21 L3:L11 R3:R11 R13:R21 R23:R31 R33:R41 R43:R50 X43:X50 X33:X41 X23:X31 X13:X21 X3:X11" xr:uid="{4ECCD083-8EC4-42EE-B46C-B614411F330D}">
      <formula1>"2024,2025 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selection activeCell="AF59" sqref="AF5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27"/>
      <c r="D1" s="32" t="s">
        <v>27</v>
      </c>
      <c r="E1" s="32"/>
      <c r="F1" s="32"/>
      <c r="G1" s="32"/>
      <c r="H1" s="32"/>
      <c r="I1" s="32"/>
      <c r="J1" s="33" t="s">
        <v>28</v>
      </c>
      <c r="K1" s="33"/>
      <c r="L1" s="33"/>
      <c r="M1" s="33"/>
      <c r="N1" s="33"/>
      <c r="O1" s="33"/>
      <c r="P1" s="34" t="s">
        <v>29</v>
      </c>
      <c r="Q1" s="34"/>
      <c r="R1" s="34"/>
      <c r="S1" s="34"/>
      <c r="T1" s="34"/>
      <c r="U1" s="34"/>
      <c r="V1" s="35" t="s">
        <v>30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28" t="s">
        <v>1</v>
      </c>
      <c r="C2" s="14" t="s">
        <v>2</v>
      </c>
      <c r="D2" s="18" t="s">
        <v>55</v>
      </c>
      <c r="E2" s="18" t="s">
        <v>56</v>
      </c>
      <c r="F2" s="19" t="s">
        <v>57</v>
      </c>
      <c r="G2" s="22" t="s">
        <v>58</v>
      </c>
      <c r="H2" s="15" t="s">
        <v>59</v>
      </c>
      <c r="I2" s="22" t="s">
        <v>60</v>
      </c>
      <c r="J2" s="20" t="s">
        <v>61</v>
      </c>
      <c r="K2" s="20" t="s">
        <v>62</v>
      </c>
      <c r="L2" s="21" t="s">
        <v>63</v>
      </c>
      <c r="M2" s="30" t="s">
        <v>64</v>
      </c>
      <c r="N2" s="30" t="s">
        <v>65</v>
      </c>
      <c r="O2" s="20" t="s">
        <v>66</v>
      </c>
      <c r="P2" s="22" t="s">
        <v>67</v>
      </c>
      <c r="Q2" s="22" t="s">
        <v>68</v>
      </c>
      <c r="R2" s="23" t="s">
        <v>69</v>
      </c>
      <c r="S2" s="15" t="s">
        <v>70</v>
      </c>
      <c r="T2" s="15" t="s">
        <v>71</v>
      </c>
      <c r="U2" s="22" t="s">
        <v>72</v>
      </c>
      <c r="V2" s="24" t="s">
        <v>73</v>
      </c>
      <c r="W2" s="24" t="s">
        <v>74</v>
      </c>
      <c r="X2" s="25" t="s">
        <v>75</v>
      </c>
      <c r="Y2" s="31" t="s">
        <v>76</v>
      </c>
      <c r="Z2" s="31" t="s">
        <v>77</v>
      </c>
      <c r="AA2" s="24" t="s">
        <v>78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29">
        <v>7</v>
      </c>
      <c r="B9" s="9" t="s">
        <v>79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80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15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29">
        <v>7</v>
      </c>
      <c r="B12" s="9" t="s">
        <v>81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82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17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13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29">
        <v>8</v>
      </c>
      <c r="B21" s="9" t="s">
        <v>79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80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29">
        <v>8</v>
      </c>
      <c r="B24" s="9" t="s">
        <v>81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82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29">
        <v>9</v>
      </c>
      <c r="B33" s="9" t="s">
        <v>79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80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29">
        <v>9</v>
      </c>
      <c r="B36" s="9" t="s">
        <v>81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82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17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29">
        <v>10</v>
      </c>
      <c r="B45" s="9" t="s">
        <v>79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80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29">
        <v>10</v>
      </c>
      <c r="B48" s="9" t="s">
        <v>81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82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18</v>
      </c>
      <c r="B51" s="7" t="s">
        <v>19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18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18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18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18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18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/>
    <row r="60" spans="1:27" ht="15"/>
    <row r="61" spans="1:27" ht="15"/>
    <row r="62" spans="1:27" ht="15"/>
    <row r="63" spans="1:27" ht="15"/>
    <row r="64" spans="1:27" ht="15"/>
    <row r="65" spans="1:27" ht="15"/>
    <row r="66" spans="1:27" s="5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5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X51:X58 F3:F13 F15:F25 F27:F37 F39:F49 F51:F58 L3:L13 L15:L25 L27:L37 L39:L49 L51:L58 R51:R58 R39:R49 R27:R37 R15:R25 R3:R13 X3:X13 X15:X25 X27:X37 X39:X49" xr:uid="{77F72D89-8371-4D0C-A323-BD25723C617C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2026-04-14T08:29:08Z</dcterms:modified>
  <cp:category/>
  <cp:contentStatus/>
</cp:coreProperties>
</file>