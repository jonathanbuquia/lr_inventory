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3" documentId="13_ncr:1_{BFB59F67-F0DC-4675-A682-EB0734A8026A}" xr6:coauthVersionLast="47" xr6:coauthVersionMax="47" xr10:uidLastSave="{C89D5F22-9595-4A63-AC4F-67416F0F22B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<sst xmlns="http://schemas.openxmlformats.org/spreadsheetml/2006/main" count="442" uniqueCount="91">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</sst>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1" activePane="topRight" state="frozen"/>
      <selection pane="topRight" activeCell="F36" sqref="F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402</v>
      </c>
      <c r="D2" s="1">
        <v>474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72</v>
      </c>
    </row>
    <row r="3" spans="1:8" ht="29.25" customHeight="1">
      <c r="A3" s="1">
        <v>1</v>
      </c>
      <c r="B3" s="2" t="s">
        <v>10</v>
      </c>
      <c r="C3" s="1">
        <v>402</v>
      </c>
      <c r="D3" s="1">
        <v>474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72</v>
      </c>
    </row>
    <row r="4" spans="1:8" ht="21" customHeight="1">
      <c r="A4" s="1">
        <v>1</v>
      </c>
      <c r="B4" s="2" t="s">
        <v>11</v>
      </c>
      <c r="C4" s="1">
        <v>402</v>
      </c>
      <c r="D4" s="1">
        <v>474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72</v>
      </c>
    </row>
    <row r="5" spans="1:8" ht="25.5" customHeight="1">
      <c r="A5" s="1">
        <v>1</v>
      </c>
      <c r="B5" s="2" t="s">
        <v>12</v>
      </c>
      <c r="C5" s="1">
        <v>402</v>
      </c>
      <c r="D5" s="1">
        <v>474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72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468</v>
      </c>
      <c r="D21" s="1">
        <v>479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11</v>
      </c>
    </row>
    <row r="22" spans="1:8" ht="24" customHeight="1">
      <c r="A22" s="1">
        <v>4</v>
      </c>
      <c r="B22" s="9" t="s">
        <v>16</v>
      </c>
      <c r="C22" s="1">
        <v>468</v>
      </c>
      <c r="D22" s="1">
        <v>650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182</v>
      </c>
    </row>
    <row r="23" spans="1:8" ht="19.5">
      <c r="A23" s="1">
        <v>4</v>
      </c>
      <c r="B23" s="9" t="s">
        <v>13</v>
      </c>
      <c r="C23" s="1">
        <v>468</v>
      </c>
      <c r="D23" s="1">
        <v>650</v>
      </c>
      <c r="E23" s="1">
        <v>2024</v>
      </c>
      <c r="F23" s="5" t="s">
        <v>9</v>
      </c>
      <c r="G23" s="3">
        <f t="shared" si="4"/>
        <v>0</v>
      </c>
      <c r="H23" s="4">
        <f t="shared" si="5"/>
        <v>182</v>
      </c>
    </row>
    <row r="24" spans="1:8" ht="27" customHeight="1">
      <c r="A24" s="1">
        <v>4</v>
      </c>
      <c r="B24" s="9" t="s">
        <v>11</v>
      </c>
      <c r="C24" s="1">
        <v>468</v>
      </c>
      <c r="D24" s="1">
        <v>650</v>
      </c>
      <c r="E24" s="1">
        <v>2024</v>
      </c>
      <c r="F24" s="5" t="s">
        <v>9</v>
      </c>
      <c r="G24" s="3">
        <f t="shared" si="4"/>
        <v>0</v>
      </c>
      <c r="H24" s="4">
        <f t="shared" si="5"/>
        <v>182</v>
      </c>
    </row>
    <row r="25" spans="1:8" ht="33.75" customHeight="1">
      <c r="A25" s="1">
        <v>4</v>
      </c>
      <c r="B25" s="9" t="s">
        <v>17</v>
      </c>
      <c r="C25" s="1">
        <v>468</v>
      </c>
      <c r="D25" s="1">
        <v>650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182</v>
      </c>
    </row>
    <row r="26" spans="1:8" ht="33.75" customHeight="1">
      <c r="A26" s="1">
        <v>4</v>
      </c>
      <c r="B26" s="9" t="s">
        <v>14</v>
      </c>
      <c r="C26" s="1">
        <v>468</v>
      </c>
      <c r="D26" s="1">
        <v>650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182</v>
      </c>
    </row>
    <row r="27" spans="1:8" ht="33.75" customHeight="1">
      <c r="A27" s="1">
        <v>4</v>
      </c>
      <c r="B27" s="9" t="s">
        <v>18</v>
      </c>
      <c r="C27" s="1">
        <v>468</v>
      </c>
      <c r="D27" s="1">
        <v>650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182</v>
      </c>
    </row>
    <row r="28" spans="1:8" ht="27.75" customHeight="1">
      <c r="A28" s="1">
        <v>4</v>
      </c>
      <c r="B28" s="9" t="s">
        <v>19</v>
      </c>
      <c r="C28" s="1">
        <v>468</v>
      </c>
      <c r="D28" s="1">
        <v>364</v>
      </c>
      <c r="E28" s="1">
        <v>2024</v>
      </c>
      <c r="F28" s="5" t="s">
        <v>9</v>
      </c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393</v>
      </c>
      <c r="D31" s="1">
        <v>510</v>
      </c>
      <c r="E31" s="1"/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117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393</v>
      </c>
      <c r="D35" s="1">
        <v>510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117</v>
      </c>
    </row>
    <row r="36" spans="1:8" ht="27.75" customHeight="1">
      <c r="A36" s="1">
        <v>5</v>
      </c>
      <c r="B36" s="9" t="s">
        <v>14</v>
      </c>
      <c r="C36" s="1">
        <v>393</v>
      </c>
      <c r="D36" s="1">
        <v>510</v>
      </c>
      <c r="E36" s="1"/>
      <c r="F36" s="5" t="s">
        <v>9</v>
      </c>
      <c r="G36" s="3">
        <f t="shared" si="6"/>
        <v>0</v>
      </c>
      <c r="H36" s="4">
        <f t="shared" si="7"/>
        <v>117</v>
      </c>
    </row>
    <row r="37" spans="1:8" ht="27.75" customHeight="1">
      <c r="A37" s="1">
        <v>5</v>
      </c>
      <c r="B37" s="9" t="s">
        <v>18</v>
      </c>
      <c r="C37" s="1">
        <v>393</v>
      </c>
      <c r="D37" s="1">
        <v>510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117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ySplit="2" topLeftCell="A14" activePane="bottomLeft" state="frozen"/>
      <selection pane="bottomLeft" activeCell="C16" sqref="C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402</v>
      </c>
      <c r="D3" s="34">
        <f>Table1[[#This Row],[Enrolment S.Y. 2025-2026 ]]*8</f>
        <v>3216</v>
      </c>
      <c r="E3" s="34"/>
      <c r="F3" s="32"/>
      <c r="G3" s="34"/>
      <c r="H3" s="34">
        <f>IF((D3-E3)&lt;0,0,(D3-E3))</f>
        <v>3216</v>
      </c>
      <c r="I3" s="34">
        <f>IF((E3-D3)&lt;0,0,(E3-D3))</f>
        <v>0</v>
      </c>
      <c r="J3" s="34">
        <f>Table1[[#This Row],[Enrolment S.Y. 2025-2026 ]]*8</f>
        <v>3216</v>
      </c>
      <c r="K3" s="34"/>
      <c r="L3" s="32"/>
      <c r="M3" s="34"/>
      <c r="N3" s="5">
        <f t="shared" ref="N3" si="0">IF((J3-K3)&lt;0,0,(J3-K3))</f>
        <v>3216</v>
      </c>
      <c r="O3" s="5">
        <f t="shared" ref="O3" si="1">IF((K3-J3)&lt;0,0,(K3-J3))</f>
        <v>0</v>
      </c>
      <c r="P3" s="5">
        <f>Table1[[#This Row],[Enrolment S.Y. 2025-2026 ]]*8</f>
        <v>3216</v>
      </c>
      <c r="Q3" s="34"/>
      <c r="R3" s="32"/>
      <c r="S3" s="34"/>
      <c r="T3" s="34">
        <f>IF((P3-Q3)&lt;0,0,(P3-Q3))</f>
        <v>3216</v>
      </c>
      <c r="U3" s="34">
        <f>IF((Q3-P3)&lt;0,0,(Q3-P3))</f>
        <v>0</v>
      </c>
      <c r="V3" s="34">
        <f>Table1[[#This Row],[Enrolment S.Y. 2025-2026 ]]*8</f>
        <v>3216</v>
      </c>
      <c r="W3" s="34">
        <v>1250</v>
      </c>
      <c r="X3" s="32">
        <v>2025</v>
      </c>
      <c r="Y3" s="34" t="s">
        <v>9</v>
      </c>
      <c r="Z3" s="34">
        <f>IF((V3-W3)&lt;0,0,(V3-W3))</f>
        <v>1966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394</v>
      </c>
      <c r="D17" s="5">
        <f>Table1[[#This Row],[Enrolment S.Y. 2025-2026 ]]*8</f>
        <v>3152</v>
      </c>
      <c r="E17" s="5">
        <v>329</v>
      </c>
      <c r="F17" s="1">
        <v>2025</v>
      </c>
      <c r="G17" s="5" t="s">
        <v>9</v>
      </c>
      <c r="H17" s="5">
        <f t="shared" si="2"/>
        <v>2823</v>
      </c>
      <c r="I17" s="5">
        <f t="shared" si="3"/>
        <v>0</v>
      </c>
      <c r="J17" s="5">
        <f>Table1[[#This Row],[Enrolment S.Y. 2025-2026 ]]*8</f>
        <v>3152</v>
      </c>
      <c r="K17" s="5"/>
      <c r="L17" s="1"/>
      <c r="M17" s="5"/>
      <c r="N17" s="5">
        <f t="shared" si="10"/>
        <v>3152</v>
      </c>
      <c r="O17" s="5">
        <f t="shared" si="11"/>
        <v>0</v>
      </c>
      <c r="P17" s="5">
        <f>Table1[[#This Row],[Enrolment S.Y. 2025-2026 ]]*8</f>
        <v>3152</v>
      </c>
      <c r="Q17" s="5"/>
      <c r="R17" s="1"/>
      <c r="S17" s="5"/>
      <c r="T17" s="5">
        <f t="shared" si="12"/>
        <v>3152</v>
      </c>
      <c r="U17" s="5">
        <f t="shared" si="13"/>
        <v>0</v>
      </c>
      <c r="V17" s="5">
        <f>Table1[[#This Row],[Enrolment S.Y. 2025-2026 ]]*8</f>
        <v>3152</v>
      </c>
      <c r="W17" s="5"/>
      <c r="X17" s="1"/>
      <c r="Y17" s="5"/>
      <c r="Z17" s="5">
        <f t="shared" si="14"/>
        <v>3152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394</v>
      </c>
      <c r="D20" s="5">
        <f>Table1[[#This Row],[Enrolment S.Y. 2025-2026 ]]*8</f>
        <v>3152</v>
      </c>
      <c r="E20" s="5">
        <v>329</v>
      </c>
      <c r="F20" s="1">
        <v>2025</v>
      </c>
      <c r="G20" s="5" t="s">
        <v>9</v>
      </c>
      <c r="H20" s="5">
        <f>IF((D20-E20)&lt;0,0,(D20-E20))</f>
        <v>2823</v>
      </c>
      <c r="I20" s="5">
        <f>IF((E20-D20)&lt;0,0,(E20-D20))</f>
        <v>0</v>
      </c>
      <c r="J20" s="5">
        <f>Table1[[#This Row],[Enrolment S.Y. 2025-2026 ]]*8</f>
        <v>3152</v>
      </c>
      <c r="K20" s="5"/>
      <c r="L20" s="1"/>
      <c r="M20" s="5"/>
      <c r="N20" s="5">
        <f t="shared" si="10"/>
        <v>3152</v>
      </c>
      <c r="O20" s="5">
        <f t="shared" si="11"/>
        <v>0</v>
      </c>
      <c r="P20" s="5">
        <f>Table1[[#This Row],[Enrolment S.Y. 2025-2026 ]]*8</f>
        <v>3152</v>
      </c>
      <c r="Q20" s="5"/>
      <c r="R20" s="1"/>
      <c r="S20" s="5"/>
      <c r="T20" s="5">
        <f t="shared" si="12"/>
        <v>3152</v>
      </c>
      <c r="U20" s="5">
        <f t="shared" si="13"/>
        <v>0</v>
      </c>
      <c r="V20" s="5">
        <f>Table1[[#This Row],[Enrolment S.Y. 2025-2026 ]]*8</f>
        <v>3152</v>
      </c>
      <c r="W20" s="5"/>
      <c r="X20" s="1"/>
      <c r="Y20" s="5"/>
      <c r="Z20" s="5">
        <f t="shared" si="14"/>
        <v>3152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396</v>
      </c>
      <c r="D25" s="5">
        <f>Table1[[#This Row],[Enrolment S.Y. 2025-2026 ]]*8</f>
        <v>3168</v>
      </c>
      <c r="E25" s="5">
        <v>377</v>
      </c>
      <c r="F25" s="1">
        <v>2025</v>
      </c>
      <c r="G25" s="5" t="s">
        <v>9</v>
      </c>
      <c r="H25" s="5">
        <f t="shared" si="2"/>
        <v>2791</v>
      </c>
      <c r="I25" s="5">
        <f t="shared" si="3"/>
        <v>0</v>
      </c>
      <c r="J25" s="5">
        <f>Table1[[#This Row],[Enrolment S.Y. 2025-2026 ]]*8</f>
        <v>3168</v>
      </c>
      <c r="K25" s="5"/>
      <c r="L25" s="1"/>
      <c r="M25" s="5"/>
      <c r="N25" s="5">
        <f t="shared" si="10"/>
        <v>3168</v>
      </c>
      <c r="O25" s="5">
        <f t="shared" si="11"/>
        <v>0</v>
      </c>
      <c r="P25" s="5">
        <f>Table1[[#This Row],[Enrolment S.Y. 2025-2026 ]]*8</f>
        <v>3168</v>
      </c>
      <c r="Q25" s="5"/>
      <c r="R25" s="1"/>
      <c r="S25" s="5"/>
      <c r="T25" s="5">
        <f t="shared" si="12"/>
        <v>3168</v>
      </c>
      <c r="U25" s="5">
        <f t="shared" si="13"/>
        <v>0</v>
      </c>
      <c r="V25" s="5">
        <f>Table1[[#This Row],[Enrolment S.Y. 2025-2026 ]]*8</f>
        <v>3168</v>
      </c>
      <c r="W25" s="5"/>
      <c r="X25" s="1"/>
      <c r="Y25" s="5"/>
      <c r="Z25" s="5">
        <f t="shared" si="14"/>
        <v>3168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396</v>
      </c>
      <c r="D26" s="5">
        <f>Table1[[#This Row],[Enrolment S.Y. 2025-2026 ]]*8</f>
        <v>3168</v>
      </c>
      <c r="E26" s="5">
        <v>377</v>
      </c>
      <c r="F26" s="1">
        <v>2025</v>
      </c>
      <c r="G26" s="5" t="s">
        <v>9</v>
      </c>
      <c r="H26" s="5">
        <f t="shared" si="2"/>
        <v>2791</v>
      </c>
      <c r="I26" s="5">
        <f t="shared" si="3"/>
        <v>0</v>
      </c>
      <c r="J26" s="5">
        <f>Table1[[#This Row],[Enrolment S.Y. 2025-2026 ]]*8</f>
        <v>3168</v>
      </c>
      <c r="K26" s="5"/>
      <c r="L26" s="1"/>
      <c r="M26" s="5"/>
      <c r="N26" s="5">
        <f t="shared" si="10"/>
        <v>3168</v>
      </c>
      <c r="O26" s="5">
        <f t="shared" si="11"/>
        <v>0</v>
      </c>
      <c r="P26" s="5">
        <f>Table1[[#This Row],[Enrolment S.Y. 2025-2026 ]]*8</f>
        <v>3168</v>
      </c>
      <c r="Q26" s="5"/>
      <c r="R26" s="1"/>
      <c r="S26" s="5"/>
      <c r="T26" s="5">
        <f t="shared" si="12"/>
        <v>3168</v>
      </c>
      <c r="U26" s="5">
        <f t="shared" si="13"/>
        <v>0</v>
      </c>
      <c r="V26" s="5">
        <f>Table1[[#This Row],[Enrolment S.Y. 2025-2026 ]]*8</f>
        <v>3168</v>
      </c>
      <c r="W26" s="5"/>
      <c r="X26" s="1"/>
      <c r="Y26" s="5"/>
      <c r="Z26" s="5">
        <f t="shared" si="14"/>
        <v>3168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396</v>
      </c>
      <c r="D27" s="5">
        <f>Table1[[#This Row],[Enrolment S.Y. 2025-2026 ]]*8</f>
        <v>3168</v>
      </c>
      <c r="E27" s="5">
        <v>377</v>
      </c>
      <c r="F27" s="1">
        <v>2025</v>
      </c>
      <c r="G27" s="5" t="s">
        <v>9</v>
      </c>
      <c r="H27" s="5">
        <f t="shared" si="2"/>
        <v>2791</v>
      </c>
      <c r="I27" s="5">
        <f t="shared" si="3"/>
        <v>0</v>
      </c>
      <c r="J27" s="5">
        <f>Table1[[#This Row],[Enrolment S.Y. 2025-2026 ]]*8</f>
        <v>3168</v>
      </c>
      <c r="K27" s="5"/>
      <c r="L27" s="1"/>
      <c r="M27" s="5"/>
      <c r="N27" s="5">
        <f t="shared" si="10"/>
        <v>3168</v>
      </c>
      <c r="O27" s="5">
        <f t="shared" si="11"/>
        <v>0</v>
      </c>
      <c r="P27" s="5">
        <f>Table1[[#This Row],[Enrolment S.Y. 2025-2026 ]]*8</f>
        <v>3168</v>
      </c>
      <c r="Q27" s="5"/>
      <c r="R27" s="1"/>
      <c r="S27" s="5"/>
      <c r="T27" s="5">
        <f t="shared" si="12"/>
        <v>3168</v>
      </c>
      <c r="U27" s="5">
        <f t="shared" si="13"/>
        <v>0</v>
      </c>
      <c r="V27" s="5">
        <f>Table1[[#This Row],[Enrolment S.Y. 2025-2026 ]]*8</f>
        <v>3168</v>
      </c>
      <c r="W27" s="5"/>
      <c r="X27" s="1"/>
      <c r="Y27" s="5"/>
      <c r="Z27" s="5">
        <f t="shared" si="14"/>
        <v>3168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396</v>
      </c>
      <c r="D28" s="5">
        <f>Table1[[#This Row],[Enrolment S.Y. 2025-2026 ]]*8</f>
        <v>3168</v>
      </c>
      <c r="E28" s="5">
        <v>377</v>
      </c>
      <c r="F28" s="1">
        <v>2025</v>
      </c>
      <c r="G28" s="5" t="s">
        <v>9</v>
      </c>
      <c r="H28" s="5">
        <f t="shared" si="2"/>
        <v>2791</v>
      </c>
      <c r="I28" s="5">
        <f t="shared" si="3"/>
        <v>0</v>
      </c>
      <c r="J28" s="5">
        <f>Table1[[#This Row],[Enrolment S.Y. 2025-2026 ]]*8</f>
        <v>3168</v>
      </c>
      <c r="K28" s="5"/>
      <c r="L28" s="1"/>
      <c r="M28" s="5"/>
      <c r="N28" s="5">
        <f t="shared" si="10"/>
        <v>3168</v>
      </c>
      <c r="O28" s="5">
        <f t="shared" si="11"/>
        <v>0</v>
      </c>
      <c r="P28" s="5">
        <f>Table1[[#This Row],[Enrolment S.Y. 2025-2026 ]]*8</f>
        <v>3168</v>
      </c>
      <c r="Q28" s="5"/>
      <c r="R28" s="1"/>
      <c r="S28" s="5"/>
      <c r="T28" s="5">
        <f t="shared" si="12"/>
        <v>3168</v>
      </c>
      <c r="U28" s="5">
        <f t="shared" si="13"/>
        <v>0</v>
      </c>
      <c r="V28" s="5">
        <f>Table1[[#This Row],[Enrolment S.Y. 2025-2026 ]]*8</f>
        <v>3168</v>
      </c>
      <c r="W28" s="5"/>
      <c r="X28" s="1"/>
      <c r="Y28" s="5"/>
      <c r="Z28" s="5">
        <f t="shared" si="14"/>
        <v>3168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396</v>
      </c>
      <c r="D29" s="5">
        <f>Table1[[#This Row],[Enrolment S.Y. 2025-2026 ]]*8</f>
        <v>3168</v>
      </c>
      <c r="E29" s="5">
        <v>377</v>
      </c>
      <c r="F29" s="1">
        <v>2025</v>
      </c>
      <c r="G29" s="5" t="s">
        <v>9</v>
      </c>
      <c r="H29" s="5">
        <f>IF((D29-E29)&lt;0,0,(D29-E29))</f>
        <v>2791</v>
      </c>
      <c r="I29" s="5">
        <f>IF((E29-D29)&lt;0,0,(E29-D29))</f>
        <v>0</v>
      </c>
      <c r="J29" s="5">
        <f>Table1[[#This Row],[Enrolment S.Y. 2025-2026 ]]*8</f>
        <v>3168</v>
      </c>
      <c r="K29" s="5"/>
      <c r="L29" s="1"/>
      <c r="M29" s="5"/>
      <c r="N29" s="5">
        <f t="shared" si="10"/>
        <v>3168</v>
      </c>
      <c r="O29" s="5">
        <f t="shared" si="11"/>
        <v>0</v>
      </c>
      <c r="P29" s="5">
        <f>Table1[[#This Row],[Enrolment S.Y. 2025-2026 ]]*8</f>
        <v>3168</v>
      </c>
      <c r="Q29" s="5"/>
      <c r="R29" s="1"/>
      <c r="S29" s="5"/>
      <c r="T29" s="5">
        <f t="shared" si="12"/>
        <v>3168</v>
      </c>
      <c r="U29" s="5">
        <f t="shared" si="13"/>
        <v>0</v>
      </c>
      <c r="V29" s="5">
        <f>Table1[[#This Row],[Enrolment S.Y. 2025-2026 ]]*8</f>
        <v>3168</v>
      </c>
      <c r="W29" s="5"/>
      <c r="X29" s="1"/>
      <c r="Y29" s="5"/>
      <c r="Z29" s="5">
        <f t="shared" si="14"/>
        <v>3168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468</v>
      </c>
      <c r="D41" s="5">
        <f>Table1[[#This Row],[Enrolment S.Y. 2025-2026 ]]*8</f>
        <v>3744</v>
      </c>
      <c r="E41" s="5"/>
      <c r="F41" s="1"/>
      <c r="G41" s="5"/>
      <c r="H41" s="5">
        <f t="shared" si="2"/>
        <v>3744</v>
      </c>
      <c r="I41" s="5">
        <f t="shared" si="3"/>
        <v>0</v>
      </c>
      <c r="J41" s="5">
        <f>Table1[[#This Row],[Enrolment S.Y. 2025-2026 ]]*8</f>
        <v>3744</v>
      </c>
      <c r="K41" s="5"/>
      <c r="L41" s="1"/>
      <c r="M41" s="5"/>
      <c r="N41" s="5">
        <f t="shared" si="10"/>
        <v>3744</v>
      </c>
      <c r="O41" s="5">
        <f t="shared" si="11"/>
        <v>0</v>
      </c>
      <c r="P41" s="5">
        <f>Table1[[#This Row],[Enrolment S.Y. 2025-2026 ]]*8</f>
        <v>3744</v>
      </c>
      <c r="Q41" s="5">
        <v>587</v>
      </c>
      <c r="R41" s="1">
        <v>2025</v>
      </c>
      <c r="S41" s="5" t="s">
        <v>9</v>
      </c>
      <c r="T41" s="5">
        <f t="shared" si="12"/>
        <v>3157</v>
      </c>
      <c r="U41" s="5">
        <f t="shared" si="13"/>
        <v>0</v>
      </c>
      <c r="V41" s="5">
        <f>Table1[[#This Row],[Enrolment S.Y. 2025-2026 ]]*8</f>
        <v>3744</v>
      </c>
      <c r="W41" s="5"/>
      <c r="X41" s="1"/>
      <c r="Y41" s="5"/>
      <c r="Z41" s="5">
        <f t="shared" si="14"/>
        <v>3744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393</v>
      </c>
      <c r="D45" s="5">
        <f>Table1[[#This Row],[Enrolment S.Y. 2025-2026 ]]*8</f>
        <v>3144</v>
      </c>
      <c r="E45" s="5">
        <v>228</v>
      </c>
      <c r="F45" s="1">
        <v>2025</v>
      </c>
      <c r="G45" s="5" t="s">
        <v>9</v>
      </c>
      <c r="H45" s="5">
        <f t="shared" si="2"/>
        <v>2916</v>
      </c>
      <c r="I45" s="5">
        <f t="shared" si="3"/>
        <v>0</v>
      </c>
      <c r="J45" s="5">
        <f>Table1[[#This Row],[Enrolment S.Y. 2025-2026 ]]*8</f>
        <v>3144</v>
      </c>
      <c r="K45" s="5"/>
      <c r="L45" s="1"/>
      <c r="M45" s="5"/>
      <c r="N45" s="5">
        <f t="shared" si="10"/>
        <v>3144</v>
      </c>
      <c r="O45" s="5">
        <f t="shared" si="11"/>
        <v>0</v>
      </c>
      <c r="P45" s="5">
        <f>Table1[[#This Row],[Enrolment S.Y. 2025-2026 ]]*8</f>
        <v>3144</v>
      </c>
      <c r="Q45" s="5"/>
      <c r="R45" s="1"/>
      <c r="S45" s="5"/>
      <c r="T45" s="5">
        <f t="shared" si="12"/>
        <v>3144</v>
      </c>
      <c r="U45" s="5">
        <f t="shared" si="13"/>
        <v>0</v>
      </c>
      <c r="V45" s="5">
        <f>Table1[[#This Row],[Enrolment S.Y. 2025-2026 ]]*8</f>
        <v>3144</v>
      </c>
      <c r="W45" s="5"/>
      <c r="X45" s="1"/>
      <c r="Y45" s="5"/>
      <c r="Z45" s="5">
        <f t="shared" si="14"/>
        <v>3144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ySplit="2" topLeftCell="A3" activePane="bottomLeft" state="frozen"/>
      <selection pane="bottomLeft" activeCell="G3" sqref="G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394</v>
      </c>
      <c r="D14" s="5">
        <f>Table14[[#This Row],[Enrolment S.Y. 2025-2026 ]]*8</f>
        <v>3152</v>
      </c>
      <c r="E14" s="5">
        <v>329</v>
      </c>
      <c r="F14" s="1">
        <v>2025</v>
      </c>
      <c r="G14" s="5" t="s">
        <v>9</v>
      </c>
      <c r="H14" s="5">
        <f t="shared" si="0"/>
        <v>2823</v>
      </c>
      <c r="I14" s="5">
        <f t="shared" si="1"/>
        <v>0</v>
      </c>
      <c r="J14" s="5">
        <f>Table14[[#This Row],[Enrolment S.Y. 2025-2026 ]]*8</f>
        <v>3152</v>
      </c>
      <c r="K14" s="5"/>
      <c r="L14" s="1"/>
      <c r="M14" s="5"/>
      <c r="N14" s="5">
        <f t="shared" si="2"/>
        <v>3152</v>
      </c>
      <c r="O14" s="5">
        <f t="shared" si="3"/>
        <v>0</v>
      </c>
      <c r="P14" s="5">
        <f>Table14[[#This Row],[Enrolment S.Y. 2025-2026 ]]*8</f>
        <v>3152</v>
      </c>
      <c r="Q14" s="5"/>
      <c r="R14" s="1"/>
      <c r="S14" s="5"/>
      <c r="T14" s="5">
        <f t="shared" si="4"/>
        <v>3152</v>
      </c>
      <c r="U14" s="5">
        <f t="shared" si="5"/>
        <v>0</v>
      </c>
      <c r="V14" s="5">
        <f>Table14[[#This Row],[Enrolment S.Y. 2025-2026 ]]*8</f>
        <v>3152</v>
      </c>
      <c r="W14" s="5"/>
      <c r="X14" s="1"/>
      <c r="Y14" s="5"/>
      <c r="Z14" s="5">
        <f t="shared" si="6"/>
        <v>3152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394</v>
      </c>
      <c r="D17" s="5">
        <f>Table14[[#This Row],[Enrolment S.Y. 2025-2026 ]]*8</f>
        <v>3152</v>
      </c>
      <c r="E17" s="5">
        <v>329</v>
      </c>
      <c r="F17" s="1">
        <v>2025</v>
      </c>
      <c r="G17" s="5" t="s">
        <v>9</v>
      </c>
      <c r="H17" s="5">
        <f>IF((D17-E17)&lt;0,0,(D17-E17))</f>
        <v>2823</v>
      </c>
      <c r="I17" s="5">
        <f>IF((E17-D17)&lt;0,0,(E17-D17))</f>
        <v>0</v>
      </c>
      <c r="J17" s="5">
        <f>Table14[[#This Row],[Enrolment S.Y. 2025-2026 ]]*8</f>
        <v>3152</v>
      </c>
      <c r="K17" s="5"/>
      <c r="L17" s="1"/>
      <c r="M17" s="5"/>
      <c r="N17" s="5">
        <f t="shared" si="2"/>
        <v>3152</v>
      </c>
      <c r="O17" s="5">
        <f t="shared" si="3"/>
        <v>0</v>
      </c>
      <c r="P17" s="5">
        <f>Table14[[#This Row],[Enrolment S.Y. 2025-2026 ]]*8</f>
        <v>3152</v>
      </c>
      <c r="Q17" s="5"/>
      <c r="R17" s="1"/>
      <c r="S17" s="5"/>
      <c r="T17" s="5">
        <f t="shared" si="4"/>
        <v>3152</v>
      </c>
      <c r="U17" s="5">
        <f t="shared" si="5"/>
        <v>0</v>
      </c>
      <c r="V17" s="5">
        <f>Table14[[#This Row],[Enrolment S.Y. 2025-2026 ]]*8</f>
        <v>3152</v>
      </c>
      <c r="W17" s="5"/>
      <c r="X17" s="1"/>
      <c r="Y17" s="5"/>
      <c r="Z17" s="5">
        <f t="shared" si="6"/>
        <v>3152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393</v>
      </c>
      <c r="D43" s="5">
        <f>Table14[[#This Row],[Enrolment S.Y. 2025-2026 ]]*8</f>
        <v>3144</v>
      </c>
      <c r="E43" s="5">
        <v>228</v>
      </c>
      <c r="F43" s="1">
        <v>2025</v>
      </c>
      <c r="G43" s="5" t="s">
        <v>9</v>
      </c>
      <c r="H43" s="5">
        <f t="shared" si="0"/>
        <v>2916</v>
      </c>
      <c r="I43" s="5">
        <f t="shared" si="1"/>
        <v>0</v>
      </c>
      <c r="J43" s="5">
        <f>Table14[[#This Row],[Enrolment S.Y. 2025-2026 ]]*8</f>
        <v>3144</v>
      </c>
      <c r="K43" s="5"/>
      <c r="L43" s="1"/>
      <c r="M43" s="5"/>
      <c r="N43" s="5">
        <f t="shared" si="2"/>
        <v>3144</v>
      </c>
      <c r="O43" s="5">
        <f t="shared" si="3"/>
        <v>0</v>
      </c>
      <c r="P43" s="5">
        <f>Table14[[#This Row],[Enrolment S.Y. 2025-2026 ]]*8</f>
        <v>3144</v>
      </c>
      <c r="Q43" s="5"/>
      <c r="R43" s="1"/>
      <c r="S43" s="5"/>
      <c r="T43" s="5">
        <f t="shared" si="4"/>
        <v>3144</v>
      </c>
      <c r="U43" s="5">
        <f t="shared" si="5"/>
        <v>0</v>
      </c>
      <c r="V43" s="5">
        <f>Table14[[#This Row],[Enrolment S.Y. 2025-2026 ]]*8</f>
        <v>3144</v>
      </c>
      <c r="W43" s="5"/>
      <c r="X43" s="1"/>
      <c r="Y43" s="5"/>
      <c r="Z43" s="5">
        <f t="shared" si="6"/>
        <v>3144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393</v>
      </c>
      <c r="D44" s="5">
        <f>Table14[[#This Row],[Enrolment S.Y. 2025-2026 ]]*8</f>
        <v>3144</v>
      </c>
      <c r="E44" s="5">
        <v>228</v>
      </c>
      <c r="F44" s="1">
        <v>2025</v>
      </c>
      <c r="G44" s="5" t="s">
        <v>9</v>
      </c>
      <c r="H44" s="5">
        <f t="shared" si="0"/>
        <v>2916</v>
      </c>
      <c r="I44" s="5">
        <f t="shared" si="1"/>
        <v>0</v>
      </c>
      <c r="J44" s="5">
        <f>Table14[[#This Row],[Enrolment S.Y. 2025-2026 ]]*8</f>
        <v>3144</v>
      </c>
      <c r="K44" s="5"/>
      <c r="L44" s="1"/>
      <c r="M44" s="5"/>
      <c r="N44" s="5">
        <f t="shared" si="2"/>
        <v>3144</v>
      </c>
      <c r="O44" s="5">
        <f t="shared" si="3"/>
        <v>0</v>
      </c>
      <c r="P44" s="5">
        <f>Table14[[#This Row],[Enrolment S.Y. 2025-2026 ]]*8</f>
        <v>3144</v>
      </c>
      <c r="Q44" s="5"/>
      <c r="R44" s="1"/>
      <c r="S44" s="5"/>
      <c r="T44" s="5">
        <f t="shared" si="4"/>
        <v>3144</v>
      </c>
      <c r="U44" s="5">
        <f t="shared" si="5"/>
        <v>0</v>
      </c>
      <c r="V44" s="5">
        <f>Table14[[#This Row],[Enrolment S.Y. 2025-2026 ]]*8</f>
        <v>3144</v>
      </c>
      <c r="W44" s="5"/>
      <c r="X44" s="1"/>
      <c r="Y44" s="5"/>
      <c r="Z44" s="5">
        <f t="shared" si="6"/>
        <v>3144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393</v>
      </c>
      <c r="D46" s="5">
        <f>Table14[[#This Row],[Enrolment S.Y. 2025-2026 ]]*8</f>
        <v>3144</v>
      </c>
      <c r="E46" s="5">
        <v>228</v>
      </c>
      <c r="F46" s="1">
        <v>2025</v>
      </c>
      <c r="G46" s="5" t="s">
        <v>9</v>
      </c>
      <c r="H46" s="5">
        <f t="shared" si="0"/>
        <v>2916</v>
      </c>
      <c r="I46" s="5">
        <f t="shared" si="1"/>
        <v>0</v>
      </c>
      <c r="J46" s="5">
        <f>Table14[[#This Row],[Enrolment S.Y. 2025-2026 ]]*8</f>
        <v>3144</v>
      </c>
      <c r="K46" s="5"/>
      <c r="L46" s="1"/>
      <c r="M46" s="5"/>
      <c r="N46" s="5">
        <f t="shared" si="2"/>
        <v>3144</v>
      </c>
      <c r="O46" s="5">
        <f t="shared" si="3"/>
        <v>0</v>
      </c>
      <c r="P46" s="5">
        <f>Table14[[#This Row],[Enrolment S.Y. 2025-2026 ]]*8</f>
        <v>3144</v>
      </c>
      <c r="Q46" s="5"/>
      <c r="R46" s="1"/>
      <c r="S46" s="5"/>
      <c r="T46" s="5">
        <f t="shared" si="4"/>
        <v>3144</v>
      </c>
      <c r="U46" s="5">
        <f t="shared" si="5"/>
        <v>0</v>
      </c>
      <c r="V46" s="5">
        <f>Table14[[#This Row],[Enrolment S.Y. 2025-2026 ]]*8</f>
        <v>3144</v>
      </c>
      <c r="W46" s="5"/>
      <c r="X46" s="1"/>
      <c r="Y46" s="5"/>
      <c r="Z46" s="5">
        <f t="shared" si="6"/>
        <v>3144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393</v>
      </c>
      <c r="D49" s="5">
        <f>Table14[[#This Row],[Enrolment S.Y. 2025-2026 ]]*8</f>
        <v>3144</v>
      </c>
      <c r="E49" s="5">
        <v>228</v>
      </c>
      <c r="F49" s="1">
        <v>2025</v>
      </c>
      <c r="G49" s="5" t="s">
        <v>9</v>
      </c>
      <c r="H49" s="5">
        <f>IF((D49-E49)&lt;0,0,(D49-E49))</f>
        <v>2916</v>
      </c>
      <c r="I49" s="5">
        <f>IF((E49-D49)&lt;0,0,(E49-D49))</f>
        <v>0</v>
      </c>
      <c r="J49" s="5">
        <f>Table14[[#This Row],[Enrolment S.Y. 2025-2026 ]]*8</f>
        <v>3144</v>
      </c>
      <c r="K49" s="5"/>
      <c r="L49" s="1"/>
      <c r="M49" s="5"/>
      <c r="N49" s="5">
        <f t="shared" si="10"/>
        <v>3144</v>
      </c>
      <c r="O49" s="5">
        <f t="shared" si="11"/>
        <v>0</v>
      </c>
      <c r="P49" s="5">
        <f>Table14[[#This Row],[Enrolment S.Y. 2025-2026 ]]*8</f>
        <v>3144</v>
      </c>
      <c r="Q49" s="5"/>
      <c r="R49" s="1"/>
      <c r="S49" s="5"/>
      <c r="T49" s="5">
        <f>IF((P49-Q49)&lt;0,0,(P49-Q49))</f>
        <v>3144</v>
      </c>
      <c r="U49" s="5">
        <f>IF((Q49-P49)&lt;0,0,(Q49-P49))</f>
        <v>0</v>
      </c>
      <c r="V49" s="5">
        <f>Table14[[#This Row],[Enrolment S.Y. 2025-2026 ]]*8</f>
        <v>3144</v>
      </c>
      <c r="W49" s="5"/>
      <c r="X49" s="1"/>
      <c r="Y49" s="5"/>
      <c r="Z49" s="5">
        <f>IF((V49-W49)&lt;0,0,(V49-W49))</f>
        <v>3144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393</v>
      </c>
      <c r="D50" s="5">
        <f>Table14[[#This Row],[Enrolment S.Y. 2025-2026 ]]*8</f>
        <v>3144</v>
      </c>
      <c r="E50" s="5">
        <v>228</v>
      </c>
      <c r="F50" s="1">
        <v>2025</v>
      </c>
      <c r="G50" s="5" t="s">
        <v>9</v>
      </c>
      <c r="H50" s="5">
        <f t="shared" si="0"/>
        <v>2916</v>
      </c>
      <c r="I50" s="5">
        <f t="shared" si="1"/>
        <v>0</v>
      </c>
      <c r="J50" s="5">
        <f>Table14[[#This Row],[Enrolment S.Y. 2025-2026 ]]*8</f>
        <v>3144</v>
      </c>
      <c r="K50" s="5"/>
      <c r="L50" s="1"/>
      <c r="M50" s="5"/>
      <c r="N50" s="5">
        <f t="shared" si="10"/>
        <v>3144</v>
      </c>
      <c r="O50" s="5">
        <f t="shared" si="11"/>
        <v>0</v>
      </c>
      <c r="P50" s="5">
        <f>Table14[[#This Row],[Enrolment S.Y. 2025-2026 ]]*8</f>
        <v>3144</v>
      </c>
      <c r="Q50" s="5"/>
      <c r="R50" s="1"/>
      <c r="S50" s="5"/>
      <c r="T50" s="5">
        <f t="shared" si="4"/>
        <v>3144</v>
      </c>
      <c r="U50" s="5">
        <f t="shared" si="5"/>
        <v>0</v>
      </c>
      <c r="V50" s="5">
        <f>Table14[[#This Row],[Enrolment S.Y. 2025-2026 ]]*8</f>
        <v>3144</v>
      </c>
      <c r="W50" s="5"/>
      <c r="X50" s="1"/>
      <c r="Y50" s="5"/>
      <c r="Z50" s="5">
        <f t="shared" si="6"/>
        <v>3144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393</v>
      </c>
      <c r="D51" s="5">
        <f>Table14[[#This Row],[Enrolment S.Y. 2025-2026 ]]*8</f>
        <v>3144</v>
      </c>
      <c r="E51" s="5">
        <v>228</v>
      </c>
      <c r="F51" s="1">
        <v>2025</v>
      </c>
      <c r="G51" s="5" t="s">
        <v>9</v>
      </c>
      <c r="H51" s="5">
        <f t="shared" si="0"/>
        <v>2916</v>
      </c>
      <c r="I51" s="5">
        <f t="shared" si="1"/>
        <v>0</v>
      </c>
      <c r="J51" s="5">
        <f>Table14[[#This Row],[Enrolment S.Y. 2025-2026 ]]*8</f>
        <v>3144</v>
      </c>
      <c r="K51" s="5"/>
      <c r="L51" s="1"/>
      <c r="M51" s="5"/>
      <c r="N51" s="5">
        <f t="shared" si="10"/>
        <v>3144</v>
      </c>
      <c r="O51" s="5">
        <f t="shared" si="11"/>
        <v>0</v>
      </c>
      <c r="P51" s="5">
        <f>Table14[[#This Row],[Enrolment S.Y. 2025-2026 ]]*8</f>
        <v>3144</v>
      </c>
      <c r="Q51" s="5"/>
      <c r="R51" s="1"/>
      <c r="S51" s="5"/>
      <c r="T51" s="5">
        <f t="shared" si="4"/>
        <v>3144</v>
      </c>
      <c r="U51" s="5">
        <f t="shared" si="5"/>
        <v>0</v>
      </c>
      <c r="V51" s="5">
        <f>Table14[[#This Row],[Enrolment S.Y. 2025-2026 ]]*8</f>
        <v>3144</v>
      </c>
      <c r="W51" s="5"/>
      <c r="X51" s="1"/>
      <c r="Y51" s="5"/>
      <c r="Z51" s="5">
        <f t="shared" si="6"/>
        <v>3144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393</v>
      </c>
      <c r="D52" s="5">
        <f>Table14[[#This Row],[Enrolment S.Y. 2025-2026 ]]*8</f>
        <v>3144</v>
      </c>
      <c r="E52" s="5">
        <v>228</v>
      </c>
      <c r="F52" s="1">
        <v>2025</v>
      </c>
      <c r="G52" s="5" t="s">
        <v>9</v>
      </c>
      <c r="H52" s="5">
        <f>IF((D52-E52)&lt;0,0,(D52-E52))</f>
        <v>2916</v>
      </c>
      <c r="I52" s="5">
        <f>IF((E52-D52)&lt;0,0,(E52-D52))</f>
        <v>0</v>
      </c>
      <c r="J52" s="5">
        <f>Table14[[#This Row],[Enrolment S.Y. 2025-2026 ]]*8</f>
        <v>3144</v>
      </c>
      <c r="K52" s="5"/>
      <c r="L52" s="1"/>
      <c r="M52" s="5"/>
      <c r="N52" s="5">
        <f t="shared" si="10"/>
        <v>3144</v>
      </c>
      <c r="O52" s="5">
        <f t="shared" si="11"/>
        <v>0</v>
      </c>
      <c r="P52" s="5">
        <f>Table14[[#This Row],[Enrolment S.Y. 2025-2026 ]]*8</f>
        <v>3144</v>
      </c>
      <c r="Q52" s="5"/>
      <c r="R52" s="1"/>
      <c r="S52" s="5"/>
      <c r="T52" s="5">
        <f>IF((P52-Q52)&lt;0,0,(P52-Q52))</f>
        <v>3144</v>
      </c>
      <c r="U52" s="5">
        <f>IF((Q52-P52)&lt;0,0,(Q52-P52))</f>
        <v>0</v>
      </c>
      <c r="V52" s="5">
        <f>Table14[[#This Row],[Enrolment S.Y. 2025-2026 ]]*8</f>
        <v>3144</v>
      </c>
      <c r="W52" s="5"/>
      <c r="X52" s="1"/>
      <c r="Y52" s="5"/>
      <c r="Z52" s="5">
        <f>IF((V52-W52)&lt;0,0,(V52-W52))</f>
        <v>3144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393</v>
      </c>
      <c r="D53" s="5">
        <f>Table14[[#This Row],[Enrolment S.Y. 2025-2026 ]]*8</f>
        <v>3144</v>
      </c>
      <c r="E53" s="5">
        <v>228</v>
      </c>
      <c r="F53" s="1">
        <v>2025</v>
      </c>
      <c r="G53" s="5" t="s">
        <v>9</v>
      </c>
      <c r="H53" s="5">
        <f t="shared" si="0"/>
        <v>2916</v>
      </c>
      <c r="I53" s="5">
        <f t="shared" si="1"/>
        <v>0</v>
      </c>
      <c r="J53" s="5">
        <f>Table14[[#This Row],[Enrolment S.Y. 2025-2026 ]]*8</f>
        <v>3144</v>
      </c>
      <c r="K53" s="5"/>
      <c r="L53" s="1"/>
      <c r="M53" s="5"/>
      <c r="N53" s="5">
        <f t="shared" si="10"/>
        <v>3144</v>
      </c>
      <c r="O53" s="5">
        <f t="shared" si="11"/>
        <v>0</v>
      </c>
      <c r="P53" s="5">
        <f>Table14[[#This Row],[Enrolment S.Y. 2025-2026 ]]*8</f>
        <v>3144</v>
      </c>
      <c r="Q53" s="5"/>
      <c r="R53" s="1"/>
      <c r="S53" s="5"/>
      <c r="T53" s="5">
        <f t="shared" si="4"/>
        <v>3144</v>
      </c>
      <c r="U53" s="5">
        <f t="shared" si="5"/>
        <v>0</v>
      </c>
      <c r="V53" s="5">
        <f>Table14[[#This Row],[Enrolment S.Y. 2025-2026 ]]*8</f>
        <v>3144</v>
      </c>
      <c r="W53" s="5"/>
      <c r="X53" s="1"/>
      <c r="Y53" s="5"/>
      <c r="Z53" s="5">
        <f t="shared" si="6"/>
        <v>3144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435</v>
      </c>
      <c r="D55" s="5">
        <f>Table14[[#This Row],[Enrolment S.Y. 2025-2026 ]]*8</f>
        <v>3480</v>
      </c>
      <c r="E55" s="5">
        <v>48</v>
      </c>
      <c r="F55" s="1">
        <v>2025</v>
      </c>
      <c r="G55" s="5" t="s">
        <v>9</v>
      </c>
      <c r="H55" s="5">
        <f t="shared" si="0"/>
        <v>3432</v>
      </c>
      <c r="I55" s="5">
        <f t="shared" si="1"/>
        <v>0</v>
      </c>
      <c r="J55" s="5">
        <f>Table14[[#This Row],[Enrolment S.Y. 2025-2026 ]]*8</f>
        <v>3480</v>
      </c>
      <c r="K55" s="5">
        <v>240</v>
      </c>
      <c r="L55" s="1">
        <v>2025</v>
      </c>
      <c r="M55" s="5" t="s">
        <v>9</v>
      </c>
      <c r="N55" s="5">
        <f t="shared" si="2"/>
        <v>3240</v>
      </c>
      <c r="O55" s="5">
        <f t="shared" si="3"/>
        <v>0</v>
      </c>
      <c r="P55" s="5">
        <f>Table14[[#This Row],[Enrolment S.Y. 2025-2026 ]]*8</f>
        <v>3480</v>
      </c>
      <c r="Q55" s="5">
        <v>160</v>
      </c>
      <c r="R55" s="1">
        <v>2025</v>
      </c>
      <c r="S55" s="5" t="s">
        <v>9</v>
      </c>
      <c r="T55" s="5">
        <f t="shared" si="4"/>
        <v>3320</v>
      </c>
      <c r="U55" s="5">
        <f t="shared" si="5"/>
        <v>0</v>
      </c>
      <c r="V55" s="5">
        <f>Table14[[#This Row],[Enrolment S.Y. 2025-2026 ]]*8</f>
        <v>3480</v>
      </c>
      <c r="W55" s="5"/>
      <c r="X55" s="1"/>
      <c r="Y55" s="5"/>
      <c r="Z55" s="5">
        <f t="shared" si="6"/>
        <v>3480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435</v>
      </c>
      <c r="D56" s="5">
        <f>Table14[[#This Row],[Enrolment S.Y. 2025-2026 ]]*8</f>
        <v>3480</v>
      </c>
      <c r="E56" s="5">
        <v>224</v>
      </c>
      <c r="F56" s="1">
        <v>2025</v>
      </c>
      <c r="G56" s="5" t="s">
        <v>9</v>
      </c>
      <c r="H56" s="5">
        <f t="shared" si="0"/>
        <v>3256</v>
      </c>
      <c r="I56" s="5">
        <f t="shared" si="1"/>
        <v>0</v>
      </c>
      <c r="J56" s="5">
        <f>Table14[[#This Row],[Enrolment S.Y. 2025-2026 ]]*8</f>
        <v>3480</v>
      </c>
      <c r="K56" s="5">
        <v>1120</v>
      </c>
      <c r="L56" s="1">
        <v>2025</v>
      </c>
      <c r="M56" s="5" t="s">
        <v>9</v>
      </c>
      <c r="N56" s="5">
        <f t="shared" si="2"/>
        <v>2360</v>
      </c>
      <c r="O56" s="5">
        <f t="shared" si="3"/>
        <v>0</v>
      </c>
      <c r="P56" s="5">
        <f>Table14[[#This Row],[Enrolment S.Y. 2025-2026 ]]*8</f>
        <v>3480</v>
      </c>
      <c r="Q56" s="5">
        <v>480</v>
      </c>
      <c r="R56" s="1">
        <v>2025</v>
      </c>
      <c r="S56" s="5" t="s">
        <v>9</v>
      </c>
      <c r="T56" s="5">
        <f t="shared" si="4"/>
        <v>3000</v>
      </c>
      <c r="U56" s="5">
        <f t="shared" si="5"/>
        <v>0</v>
      </c>
      <c r="V56" s="5">
        <f>Table14[[#This Row],[Enrolment S.Y. 2025-2026 ]]*8</f>
        <v>3480</v>
      </c>
      <c r="W56" s="5"/>
      <c r="X56" s="1"/>
      <c r="Y56" s="5"/>
      <c r="Z56" s="5">
        <f t="shared" si="6"/>
        <v>3480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435</v>
      </c>
      <c r="D57" s="5">
        <f>Table14[[#This Row],[Enrolment S.Y. 2025-2026 ]]*8</f>
        <v>3480</v>
      </c>
      <c r="E57" s="5">
        <v>176</v>
      </c>
      <c r="F57" s="1">
        <v>2025</v>
      </c>
      <c r="G57" s="5" t="s">
        <v>9</v>
      </c>
      <c r="H57" s="5">
        <f t="shared" si="0"/>
        <v>3304</v>
      </c>
      <c r="I57" s="5">
        <f t="shared" si="1"/>
        <v>0</v>
      </c>
      <c r="J57" s="5">
        <f>Table14[[#This Row],[Enrolment S.Y. 2025-2026 ]]*8</f>
        <v>3480</v>
      </c>
      <c r="K57" s="5">
        <v>1120</v>
      </c>
      <c r="L57" s="1">
        <v>2025</v>
      </c>
      <c r="M57" s="5" t="s">
        <v>9</v>
      </c>
      <c r="N57" s="5">
        <f t="shared" si="2"/>
        <v>2360</v>
      </c>
      <c r="O57" s="5">
        <f t="shared" si="3"/>
        <v>0</v>
      </c>
      <c r="P57" s="5">
        <f>Table14[[#This Row],[Enrolment S.Y. 2025-2026 ]]*8</f>
        <v>3480</v>
      </c>
      <c r="Q57" s="5">
        <v>720</v>
      </c>
      <c r="R57" s="1">
        <v>2025</v>
      </c>
      <c r="S57" s="5" t="s">
        <v>9</v>
      </c>
      <c r="T57" s="5">
        <f t="shared" si="4"/>
        <v>2760</v>
      </c>
      <c r="U57" s="5">
        <f t="shared" si="5"/>
        <v>0</v>
      </c>
      <c r="V57" s="5">
        <f>Table14[[#This Row],[Enrolment S.Y. 2025-2026 ]]*8</f>
        <v>3480</v>
      </c>
      <c r="W57" s="5"/>
      <c r="X57" s="1"/>
      <c r="Y57" s="5"/>
      <c r="Z57" s="5">
        <f t="shared" si="6"/>
        <v>3480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435</v>
      </c>
      <c r="D58" s="5">
        <f>Table14[[#This Row],[Enrolment S.Y. 2025-2026 ]]*8</f>
        <v>3480</v>
      </c>
      <c r="E58" s="5"/>
      <c r="F58" s="1"/>
      <c r="G58" s="5"/>
      <c r="H58" s="5">
        <f t="shared" si="0"/>
        <v>3480</v>
      </c>
      <c r="I58" s="5">
        <f t="shared" si="1"/>
        <v>0</v>
      </c>
      <c r="J58" s="5">
        <f>Table14[[#This Row],[Enrolment S.Y. 2025-2026 ]]*8</f>
        <v>3480</v>
      </c>
      <c r="K58" s="5"/>
      <c r="L58" s="1"/>
      <c r="M58" s="5"/>
      <c r="N58" s="5">
        <f t="shared" si="2"/>
        <v>3480</v>
      </c>
      <c r="O58" s="5">
        <f t="shared" si="3"/>
        <v>0</v>
      </c>
      <c r="P58" s="5">
        <f>Table14[[#This Row],[Enrolment S.Y. 2025-2026 ]]*8</f>
        <v>3480</v>
      </c>
      <c r="Q58" s="5">
        <v>320</v>
      </c>
      <c r="R58" s="1">
        <v>2025</v>
      </c>
      <c r="S58" s="5" t="s">
        <v>9</v>
      </c>
      <c r="T58" s="5">
        <f t="shared" si="4"/>
        <v>3160</v>
      </c>
      <c r="U58" s="5">
        <f t="shared" si="5"/>
        <v>0</v>
      </c>
      <c r="V58" s="5">
        <f>Table14[[#This Row],[Enrolment S.Y. 2025-2026 ]]*8</f>
        <v>3480</v>
      </c>
      <c r="W58" s="5"/>
      <c r="X58" s="1"/>
      <c r="Y58" s="5"/>
      <c r="Z58" s="5">
        <f t="shared" si="6"/>
        <v>3480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435</v>
      </c>
      <c r="D59" s="5">
        <f>Table14[[#This Row],[Enrolment S.Y. 2025-2026 ]]*8</f>
        <v>3480</v>
      </c>
      <c r="E59" s="5"/>
      <c r="F59" s="1"/>
      <c r="G59" s="5"/>
      <c r="H59" s="5">
        <f t="shared" si="0"/>
        <v>3480</v>
      </c>
      <c r="I59" s="5">
        <f t="shared" si="1"/>
        <v>0</v>
      </c>
      <c r="J59" s="5">
        <f>Table14[[#This Row],[Enrolment S.Y. 2025-2026 ]]*8</f>
        <v>3480</v>
      </c>
      <c r="K59" s="5"/>
      <c r="L59" s="1"/>
      <c r="M59" s="5"/>
      <c r="N59" s="5">
        <f t="shared" si="2"/>
        <v>3480</v>
      </c>
      <c r="O59" s="5">
        <f t="shared" si="3"/>
        <v>0</v>
      </c>
      <c r="P59" s="5">
        <f>Table14[[#This Row],[Enrolment S.Y. 2025-2026 ]]*8</f>
        <v>3480</v>
      </c>
      <c r="Q59" s="5">
        <v>480</v>
      </c>
      <c r="R59" s="1">
        <v>2025</v>
      </c>
      <c r="S59" s="5" t="s">
        <v>9</v>
      </c>
      <c r="T59" s="5">
        <f t="shared" si="4"/>
        <v>3000</v>
      </c>
      <c r="U59" s="5">
        <f t="shared" si="5"/>
        <v>0</v>
      </c>
      <c r="V59" s="5">
        <f>Table14[[#This Row],[Enrolment S.Y. 2025-2026 ]]*8</f>
        <v>3480</v>
      </c>
      <c r="W59" s="5">
        <v>560</v>
      </c>
      <c r="X59" s="1">
        <v>2025</v>
      </c>
      <c r="Y59" s="5" t="s">
        <v>9</v>
      </c>
      <c r="Z59" s="5">
        <f t="shared" si="6"/>
        <v>2920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435</v>
      </c>
      <c r="D60" s="5">
        <f>Table14[[#This Row],[Enrolment S.Y. 2025-2026 ]]*8</f>
        <v>3480</v>
      </c>
      <c r="E60" s="5"/>
      <c r="F60" s="1"/>
      <c r="G60" s="5"/>
      <c r="H60" s="5">
        <f t="shared" si="0"/>
        <v>3480</v>
      </c>
      <c r="I60" s="5">
        <f t="shared" si="1"/>
        <v>0</v>
      </c>
      <c r="J60" s="5">
        <f>Table14[[#This Row],[Enrolment S.Y. 2025-2026 ]]*8</f>
        <v>3480</v>
      </c>
      <c r="K60" s="5"/>
      <c r="L60" s="1"/>
      <c r="M60" s="5"/>
      <c r="N60" s="5">
        <f t="shared" si="2"/>
        <v>3480</v>
      </c>
      <c r="O60" s="5">
        <f t="shared" si="3"/>
        <v>0</v>
      </c>
      <c r="P60" s="5">
        <f>Table14[[#This Row],[Enrolment S.Y. 2025-2026 ]]*8</f>
        <v>3480</v>
      </c>
      <c r="Q60" s="5">
        <v>320</v>
      </c>
      <c r="R60" s="1">
        <v>2025</v>
      </c>
      <c r="S60" s="5" t="s">
        <v>9</v>
      </c>
      <c r="T60" s="5">
        <f t="shared" si="4"/>
        <v>3160</v>
      </c>
      <c r="U60" s="5">
        <f t="shared" si="5"/>
        <v>0</v>
      </c>
      <c r="V60" s="5">
        <f>Table14[[#This Row],[Enrolment S.Y. 2025-2026 ]]*8</f>
        <v>3480</v>
      </c>
      <c r="W60" s="5"/>
      <c r="X60" s="1"/>
      <c r="Y60" s="5"/>
      <c r="Z60" s="5">
        <f t="shared" si="6"/>
        <v>3480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435</v>
      </c>
      <c r="D61" s="5">
        <f>Table14[[#This Row],[Enrolment S.Y. 2025-2026 ]]*8</f>
        <v>3480</v>
      </c>
      <c r="E61" s="5"/>
      <c r="F61" s="1"/>
      <c r="G61" s="5"/>
      <c r="H61" s="5">
        <f>IF((D61-E61)&lt;0,0,(D61-E61))</f>
        <v>3480</v>
      </c>
      <c r="I61" s="5">
        <f>IF((E61-D61)&lt;0,0,(E61-D61))</f>
        <v>0</v>
      </c>
      <c r="J61" s="5">
        <f>Table14[[#This Row],[Enrolment S.Y. 2025-2026 ]]*8</f>
        <v>3480</v>
      </c>
      <c r="K61" s="5"/>
      <c r="L61" s="1"/>
      <c r="M61" s="5"/>
      <c r="N61" s="5">
        <f t="shared" ref="N61:N65" si="12">IF((J61-K61)&lt;0,0,(J61-K61))</f>
        <v>3480</v>
      </c>
      <c r="O61" s="5">
        <f t="shared" ref="O61:O65" si="13">IF((K61-J61)&lt;0,0,(K61-J61))</f>
        <v>0</v>
      </c>
      <c r="P61" s="5">
        <f>Table14[[#This Row],[Enrolment S.Y. 2025-2026 ]]*8</f>
        <v>3480</v>
      </c>
      <c r="Q61" s="5">
        <v>320</v>
      </c>
      <c r="R61" s="1">
        <v>2025</v>
      </c>
      <c r="S61" s="5" t="s">
        <v>9</v>
      </c>
      <c r="T61" s="5">
        <f>IF((P61-Q61)&lt;0,0,(P61-Q61))</f>
        <v>3160</v>
      </c>
      <c r="U61" s="5">
        <f>IF((Q61-P61)&lt;0,0,(Q61-P61))</f>
        <v>0</v>
      </c>
      <c r="V61" s="5">
        <f>Table14[[#This Row],[Enrolment S.Y. 2025-2026 ]]*8</f>
        <v>3480</v>
      </c>
      <c r="W61" s="5"/>
      <c r="X61" s="1"/>
      <c r="Y61" s="5"/>
      <c r="Z61" s="5">
        <f>IF((V61-W61)&lt;0,0,(V61-W61))</f>
        <v>3480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435</v>
      </c>
      <c r="D62" s="5">
        <f>Table14[[#This Row],[Enrolment S.Y. 2025-2026 ]]*8</f>
        <v>3480</v>
      </c>
      <c r="E62" s="5"/>
      <c r="F62" s="1"/>
      <c r="G62" s="5"/>
      <c r="H62" s="5">
        <f t="shared" si="0"/>
        <v>3480</v>
      </c>
      <c r="I62" s="5">
        <f t="shared" si="1"/>
        <v>0</v>
      </c>
      <c r="J62" s="5">
        <f>Table14[[#This Row],[Enrolment S.Y. 2025-2026 ]]*8</f>
        <v>3480</v>
      </c>
      <c r="K62" s="5"/>
      <c r="L62" s="1"/>
      <c r="M62" s="5"/>
      <c r="N62" s="5">
        <f t="shared" si="12"/>
        <v>3480</v>
      </c>
      <c r="O62" s="5">
        <f t="shared" si="13"/>
        <v>0</v>
      </c>
      <c r="P62" s="5">
        <f>Table14[[#This Row],[Enrolment S.Y. 2025-2026 ]]*8</f>
        <v>3480</v>
      </c>
      <c r="Q62" s="5">
        <v>560</v>
      </c>
      <c r="R62" s="1">
        <v>2025</v>
      </c>
      <c r="S62" s="5" t="s">
        <v>9</v>
      </c>
      <c r="T62" s="5">
        <f t="shared" si="4"/>
        <v>2920</v>
      </c>
      <c r="U62" s="5">
        <f t="shared" si="5"/>
        <v>0</v>
      </c>
      <c r="V62" s="5">
        <f>Table14[[#This Row],[Enrolment S.Y. 2025-2026 ]]*8</f>
        <v>3480</v>
      </c>
      <c r="W62" s="5"/>
      <c r="X62" s="1"/>
      <c r="Y62" s="5"/>
      <c r="Z62" s="5">
        <f t="shared" si="6"/>
        <v>3480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435</v>
      </c>
      <c r="D64" s="5">
        <f>Table14[[#This Row],[Enrolment S.Y. 2025-2026 ]]*8</f>
        <v>3480</v>
      </c>
      <c r="E64" s="5"/>
      <c r="F64" s="1"/>
      <c r="G64" s="5"/>
      <c r="H64" s="5">
        <f>IF((D64-E64)&lt;0,0,(D64-E64))</f>
        <v>3480</v>
      </c>
      <c r="I64" s="5">
        <f>IF((E64-D64)&lt;0,0,(E64-D64))</f>
        <v>0</v>
      </c>
      <c r="J64" s="5">
        <f>Table14[[#This Row],[Enrolment S.Y. 2025-2026 ]]*8</f>
        <v>3480</v>
      </c>
      <c r="K64" s="5"/>
      <c r="L64" s="1"/>
      <c r="M64" s="5"/>
      <c r="N64" s="5">
        <f t="shared" si="12"/>
        <v>3480</v>
      </c>
      <c r="O64" s="5">
        <f t="shared" si="13"/>
        <v>0</v>
      </c>
      <c r="P64" s="5">
        <f>Table14[[#This Row],[Enrolment S.Y. 2025-2026 ]]*8</f>
        <v>3480</v>
      </c>
      <c r="Q64" s="5">
        <v>240</v>
      </c>
      <c r="R64" s="1">
        <v>2025</v>
      </c>
      <c r="S64" s="5" t="s">
        <v>9</v>
      </c>
      <c r="T64" s="5">
        <f>IF((P64-Q64)&lt;0,0,(P64-Q64))</f>
        <v>3240</v>
      </c>
      <c r="U64" s="5">
        <f>IF((Q64-P64)&lt;0,0,(Q64-P64))</f>
        <v>0</v>
      </c>
      <c r="V64" s="5">
        <f>Table14[[#This Row],[Enrolment S.Y. 2025-2026 ]]*8</f>
        <v>3480</v>
      </c>
      <c r="W64" s="5"/>
      <c r="X64" s="1"/>
      <c r="Y64" s="5"/>
      <c r="Z64" s="5">
        <f>IF((V64-W64)&lt;0,0,(V64-W64))</f>
        <v>3480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435</v>
      </c>
      <c r="D65" s="5">
        <f>Table14[[#This Row],[Enrolment S.Y. 2025-2026 ]]*8</f>
        <v>3480</v>
      </c>
      <c r="E65" s="5"/>
      <c r="F65" s="1"/>
      <c r="G65" s="5"/>
      <c r="H65" s="5">
        <f t="shared" si="0"/>
        <v>3480</v>
      </c>
      <c r="I65" s="5">
        <f t="shared" si="1"/>
        <v>0</v>
      </c>
      <c r="J65" s="5">
        <f>Table14[[#This Row],[Enrolment S.Y. 2025-2026 ]]*8</f>
        <v>3480</v>
      </c>
      <c r="K65" s="5"/>
      <c r="L65" s="1"/>
      <c r="M65" s="5"/>
      <c r="N65" s="5">
        <f t="shared" si="12"/>
        <v>3480</v>
      </c>
      <c r="O65" s="5">
        <f t="shared" si="13"/>
        <v>0</v>
      </c>
      <c r="P65" s="5">
        <f>Table14[[#This Row],[Enrolment S.Y. 2025-2026 ]]*8</f>
        <v>3480</v>
      </c>
      <c r="Q65" s="5">
        <v>249</v>
      </c>
      <c r="R65" s="1">
        <v>2025</v>
      </c>
      <c r="S65" s="5" t="s">
        <v>9</v>
      </c>
      <c r="T65" s="5">
        <f t="shared" si="4"/>
        <v>3231</v>
      </c>
      <c r="U65" s="5">
        <f t="shared" si="5"/>
        <v>0</v>
      </c>
      <c r="V65" s="5">
        <f>Table14[[#This Row],[Enrolment S.Y. 2025-2026 ]]*8</f>
        <v>3480</v>
      </c>
      <c r="W65" s="5">
        <v>720</v>
      </c>
      <c r="X65" s="1">
        <v>2025</v>
      </c>
      <c r="Y65" s="5" t="s">
        <v>9</v>
      </c>
      <c r="Z65" s="5">
        <f t="shared" si="6"/>
        <v>2760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Hadazza Dela Cruz</cp:lastModifiedBy>
  <cp:revision/>
  <dcterms:created xsi:type="dcterms:W3CDTF">2025-11-19T20:48:15Z</dcterms:created>
  <dcterms:modified xsi:type="dcterms:W3CDTF">2026-01-22T02:29:51Z</dcterms:modified>
  <cp:category/>
  <cp:contentStatus/>
</cp:coreProperties>
</file>