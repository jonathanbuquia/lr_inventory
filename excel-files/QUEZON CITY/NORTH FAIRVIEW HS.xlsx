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0" documentId="13_ncr:1_{BFB59F67-F0DC-4675-A682-EB0734A802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<sst xmlns="http://schemas.openxmlformats.org/spreadsheetml/2006/main" count="388" uniqueCount="90">
  <si>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</si>
  <si>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</si>
  <si>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</si>
  <si>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</si>
  <si>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</si>
  <si>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</si>
  <si>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</si>
  <si>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</si>
  <si>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</si>
  <si>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</si>
  <si>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</si>
  <si>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</si>
  <si>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</si>
  <si>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</si>
  <si>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</si>
  <si>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</si>
  <si>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</si>
  <si>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</si>
  <si>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</si>
  <si>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</si>
  <si>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</si>
  <si>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</si>
  <si>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</si>
  <si>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</si>
  <si>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</si>
  <si>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</si>
  <si>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</si>
  <si>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</si>
  <si>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</si>
  <si>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</si>
  <si>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</si>
  <si>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</si>
  <si>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</si>
  <si>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</si>
  <si>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</si>
  <si>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</si>
  <si>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</si>
  <si>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based on Target LAS - Q3</t>
  </si>
  <si>
    <t>Quantity based on Target LAS - Q2</t>
  </si>
  <si>
    <t>Quantity of Learning Activity Sheets Received (Quantity received x No. of LAS) Q2</t>
  </si>
  <si>
    <t>Year of Delivery-LAS Q2</t>
  </si>
  <si>
    <t>Quantity based on Target LAS - Q4</t>
  </si>
  <si>
    <t>Quantity of Learning Activity Sheets Received (Quantity received x No. of LAS)- Q4</t>
  </si>
  <si>
    <t>Year of Delivery - LAS - Q4</t>
  </si>
  <si>
    <t>Year of Delivery-LAS - Q3</t>
  </si>
  <si>
    <t>Quantity of Learning Activity Sheets Received (Quantity received x No. of LAS) - Q3</t>
  </si>
  <si>
    <t>MAPEH</t>
  </si>
  <si>
    <t>Year of Delivery-LAS - Q1</t>
  </si>
  <si>
    <t>Quantity of Learning Activity Sheets Received (Quantity received x No. of LAS) - Q1</t>
  </si>
  <si>
    <t xml:space="preserve">Quantity based on Target ADM-SLM - Q1 </t>
  </si>
  <si>
    <t>Year of Delivery - ADM-SLM - Q1</t>
  </si>
  <si>
    <t>SOURCE - ADM-SLM (CO,RO, SDO) - Q1</t>
  </si>
  <si>
    <t>Quantity based on Target ADM-SLM - Q2</t>
  </si>
  <si>
    <t>Year of Delivery - ADM-SLM Q2</t>
  </si>
  <si>
    <t>Quantity based on Target ADM-SLM - Q3</t>
  </si>
  <si>
    <t>Year of Delivery - ADM-SLM - Q3</t>
  </si>
  <si>
    <t>Quantity based on Target ADM-SLM - Q4</t>
  </si>
  <si>
    <t>SOURCE - LAS (CO,RO, SDO) - Q1</t>
  </si>
  <si>
    <t>GAP - LAS - Q1</t>
  </si>
  <si>
    <t>SURPLUS - LAS - Q1</t>
  </si>
  <si>
    <t>SOURCE-LAS (CO,RO, SDO) Q2</t>
  </si>
  <si>
    <t>GAP - LAS -Q2</t>
  </si>
  <si>
    <t>SURPLUS - LAS -Q2</t>
  </si>
  <si>
    <t>SOURCE-LAS (CO,RO, SDO) - Q3</t>
  </si>
  <si>
    <t>GAP - LAS - Q3</t>
  </si>
  <si>
    <t>SURPLUS - LAS - Q3</t>
  </si>
  <si>
    <t>SOURCE - LAS (CO,RO, SDO) - Q4</t>
  </si>
  <si>
    <t>GAP - LAS - Q4</t>
  </si>
  <si>
    <t>SURPLUS - LAS - Q4</t>
  </si>
  <si>
    <t>GAP - ADM-SLM - Q1</t>
  </si>
  <si>
    <t>SURPLUS - ADM-SLM - Q1</t>
  </si>
  <si>
    <t>GAP - ADM-SLM - Q2</t>
  </si>
  <si>
    <t>SOURCE - ADM-SLM (CO,RO, SDO) Q2</t>
  </si>
  <si>
    <t>SURPLUS - ADM-SLM -Q2</t>
  </si>
  <si>
    <t>SOURCE - ADM-SLM(CO,RO, SDO) - Q3</t>
  </si>
  <si>
    <t>GAP - ADM-SLM - Q3</t>
  </si>
  <si>
    <t>SURPLUS - ADM-SLM - Q3</t>
  </si>
  <si>
    <t>Year of Delivery - ADM-SLM- Q4</t>
  </si>
  <si>
    <t>SOURCE - ADM-SLM - (CO,RO, SDO) - Q4</t>
  </si>
  <si>
    <t>GAP - ADM-SLM - Q4</t>
  </si>
  <si>
    <t>SURPLUS - ADM-SLM- Q4</t>
  </si>
  <si>
    <t>Quantity of ADM-SLM Received (Quantity received x No. of ADM-SLM)- Q4</t>
  </si>
  <si>
    <t>Quantity of ADM-SLM Received (Quantity received x No. of ADM-SLM) - Q1</t>
  </si>
  <si>
    <t>Quantity of ADM-SLM Received (Quantity received x No. of ADM-SLM) - Q2</t>
  </si>
  <si>
    <t>Quantity of ADM-SLM Received (Quantity received x No. of ADM-SLM) - Q3</t>
  </si>
  <si>
    <t>KINDER</t>
  </si>
  <si>
    <t>PE</t>
  </si>
  <si>
    <t>Music</t>
  </si>
  <si>
    <t>Arts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</si>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</sst>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Bookman Old Style"/>
      <family val="1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3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5" xfId="0" applyFont="1" applyBorder="1" applyAlignment="1">
      <alignment horizontal="center" vertical="center" wrapText="1"/>
    </xf>
    <xf numFmtId="0" fontId="0" fillId="8" borderId="0" xfId="0" applyFont="1" applyFill="1"/>
    <xf numFmtId="0" fontId="0" fillId="0" borderId="0" xfId="0" applyFont="1"/>
    <xf numFmtId="0" fontId="1" fillId="7" borderId="9" xfId="0" applyFont="1" applyFill="1" applyBorder="1" applyAlignment="1">
      <alignment horizontal="center" vertical="center" wrapText="1"/>
    </xf>
    <xf numFmtId="0" fontId="1" fillId="7" borderId="3" xfId="0" applyNumberFormat="1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9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"/>
    <tableColumn id="2" xr3:uid="{73AEA048-228E-40E8-B07A-3A7C30BA0DC7}" name="SUBJECTS" dataDxfId="0"/>
    <tableColumn id="3" xr3:uid="{187AF7E3-9651-4001-B779-AADEF0EAB05A}" name="Enrolment S.Y. 2025-2026 " dataDxfId="1"/>
    <tableColumn id="4" xr3:uid="{41F05D2B-5E6F-433A-B62B-2F1726EA10F2}" name="Quantity based on Target ADM-SLM - Q1 " dataDxfId="26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5"/>
    <tableColumn id="6" xr3:uid="{339CCB0D-A0D6-41EF-9023-6B8DF1A1D211}" name="Year of Delivery - ADM-SLM - Q1" dataDxfId="24"/>
    <tableColumn id="7" xr3:uid="{66966C8F-6B7D-4027-80F0-10F5BEB94C36}" name="SOURCE - ADM-SLM (CO,RO, SDO) - Q1" dataDxfId="23"/>
    <tableColumn id="8" xr3:uid="{F205DFF0-AD23-4608-82A0-E64C38A40A7F}" name="GAP - ADM-SLM - Q1" dataDxfId="22">
      <calculatedColumnFormula>IF((D3-E3)&lt;0,0,(D3-E3))</calculatedColumnFormula>
    </tableColumn>
    <tableColumn id="9" xr3:uid="{A97DBFEB-A833-47C5-A43D-C6E4D77683A6}" name="SURPLUS - ADM-SLM - Q1" dataDxfId="21">
      <calculatedColumnFormula>IF((E3-D3)&lt;0,0,(E3-D3))</calculatedColumnFormula>
    </tableColumn>
    <tableColumn id="10" xr3:uid="{6A093D68-BC9F-46BB-AC8F-CA208309466C}" name="Quantity based on Target ADM-SLM - Q2" dataDxfId="20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9"/>
    <tableColumn id="12" xr3:uid="{35FFB32F-868E-4FBD-946A-0482CC3DE0D4}" name="Year of Delivery - ADM-SLM Q2" dataDxfId="18"/>
    <tableColumn id="13" xr3:uid="{987FB8ED-06DA-4311-80C5-DAF78B602129}" name="SOURCE - ADM-SLM (CO,RO, SDO) Q2" dataDxfId="17"/>
    <tableColumn id="14" xr3:uid="{24CC35CF-2900-4C84-934F-7E29CCFCCEC9}" name="GAP - ADM-SLM - Q2" dataDxfId="16"/>
    <tableColumn id="15" xr3:uid="{0DA82B8D-6A8D-469A-8302-7E7DD0B1BDC4}" name="SURPLUS - ADM-SLM -Q2" dataDxfId="15"/>
    <tableColumn id="16" xr3:uid="{126A7F40-0CC3-4264-A57D-D7C0C9FE4720}" name="Quantity based on Target ADM-SLM - Q3" dataDxfId="14">
      <calculatedColumnFormula>#REF!*8</calculatedColumnFormula>
    </tableColumn>
    <tableColumn id="17" xr3:uid="{711B70A4-2160-43C1-900D-FD892755D7AB}" name="Quantity of ADM-SLM Received (Quantity received x No. of ADM-SLM) - Q3" dataDxfId="13"/>
    <tableColumn id="18" xr3:uid="{D8C99A72-7FED-4E85-8CB4-4A08C56BCB15}" name="Year of Delivery - ADM-SLM - Q3" dataDxfId="12"/>
    <tableColumn id="19" xr3:uid="{D48A881D-138B-4288-AA57-050C0AE3F5F6}" name="SOURCE - ADM-SLM(CO,RO, SDO) - Q3" dataDxfId="11"/>
    <tableColumn id="20" xr3:uid="{B03A44EC-B25E-4D0D-B9E6-71825AC6E51F}" name="GAP - ADM-SLM - Q3" dataDxfId="10">
      <calculatedColumnFormula>IF((P3-Q3)&lt;0,0,(P3-Q3))</calculatedColumnFormula>
    </tableColumn>
    <tableColumn id="21" xr3:uid="{3338E724-88DC-45DA-8F55-7AAE5A560621}" name="SURPLUS - ADM-SLM - Q3" dataDxfId="9">
      <calculatedColumnFormula>IF((Q3-P3)&lt;0,0,(Q3-P3))</calculatedColumnFormula>
    </tableColumn>
    <tableColumn id="22" xr3:uid="{AC55FA3C-A61A-4AB0-8391-EC237845F1BF}" name="Quantity based on Target ADM-SLM - Q4" dataDxfId="8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7"/>
    <tableColumn id="24" xr3:uid="{C66CE0BE-6DCF-4E05-9DBD-D908450B3841}" name="Year of Delivery - ADM-SLM- Q4" dataDxfId="6"/>
    <tableColumn id="25" xr3:uid="{AABA2263-B244-4CBF-87B1-CDAAECF763E4}" name="SOURCE - ADM-SLM - (CO,RO, SDO) - Q4" dataDxfId="5"/>
    <tableColumn id="26" xr3:uid="{21E1F5D8-F09B-453A-90E6-AA7B2E8821D1}" name="GAP - ADM-SLM - Q4" dataDxfId="4">
      <calculatedColumnFormula>IF((V3-W3)&lt;0,0,(V3-W3))</calculatedColumnFormula>
    </tableColumn>
    <tableColumn id="27" xr3:uid="{67725D86-C1DE-4DB2-8FBD-99B8821906AB}" name="SURPLUS - ADM-SLM- Q4" dataDxfId="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8"/>
  <cols>
    <col min="1" max="1" width="10.19921875" bestFit="1" customWidth="1"/>
    <col min="2" max="2" width="27.8984375" customWidth="1"/>
    <col min="3" max="5" width="24.8984375" bestFit="1" customWidth="1"/>
    <col min="6" max="6" width="19.09765625" bestFit="1" customWidth="1"/>
    <col min="7" max="7" width="15.09765625" customWidth="1"/>
    <col min="8" max="8" width="16.09765625" bestFit="1" customWidth="1"/>
  </cols>
  <sheetData>
    <row r="1" spans="1:8" s="14" customFormat="1" ht="64.95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2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2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2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2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8"/>
  <cols>
    <col min="1" max="1" width="9.3984375" customWidth="1"/>
    <col min="2" max="2" width="27.8984375" customWidth="1"/>
    <col min="3" max="3" width="17.19921875" customWidth="1"/>
    <col min="4" max="4" width="26.19921875" customWidth="1"/>
    <col min="5" max="5" width="23.19921875" customWidth="1"/>
    <col min="6" max="6" width="24.8984375" bestFit="1" customWidth="1"/>
    <col min="7" max="7" width="18.59765625" customWidth="1"/>
    <col min="8" max="9" width="20.8984375" customWidth="1"/>
    <col min="10" max="10" width="13.69921875" customWidth="1"/>
    <col min="11" max="11" width="35.59765625" customWidth="1"/>
    <col min="12" max="12" width="24.8984375" bestFit="1" customWidth="1"/>
    <col min="13" max="13" width="31.59765625" customWidth="1"/>
    <col min="14" max="15" width="20.8984375" customWidth="1"/>
    <col min="16" max="16" width="21.59765625" customWidth="1"/>
    <col min="17" max="17" width="33.3984375" customWidth="1"/>
    <col min="18" max="18" width="25.796875" customWidth="1"/>
    <col min="19" max="19" width="32.8984375" customWidth="1"/>
    <col min="20" max="21" width="20.8984375" customWidth="1"/>
    <col min="22" max="22" width="16.19921875" customWidth="1"/>
    <col min="23" max="23" width="25" customWidth="1"/>
    <col min="24" max="24" width="15.296875" customWidth="1"/>
    <col min="25" max="25" width="20.796875" customWidth="1"/>
    <col min="26" max="26" width="14.796875" customWidth="1"/>
    <col min="27" max="27" width="15.19921875" customWidth="1"/>
  </cols>
  <sheetData>
    <row r="1" spans="1:27" s="31" customFormat="1" ht="34.200000000000003" customHeight="1">
      <c r="D1" s="38" t="s">
        <v>32</v>
      </c>
      <c r="E1" s="38"/>
      <c r="F1" s="38"/>
      <c r="G1" s="38"/>
      <c r="H1" s="38"/>
      <c r="I1" s="38"/>
      <c r="J1" s="39" t="s">
        <v>33</v>
      </c>
      <c r="K1" s="39"/>
      <c r="L1" s="39"/>
      <c r="M1" s="39"/>
      <c r="N1" s="39"/>
      <c r="O1" s="39"/>
      <c r="P1" s="40" t="s">
        <v>34</v>
      </c>
      <c r="Q1" s="40"/>
      <c r="R1" s="40"/>
      <c r="S1" s="40"/>
      <c r="T1" s="40"/>
      <c r="U1" s="40"/>
      <c r="V1" s="41" t="s">
        <v>35</v>
      </c>
      <c r="W1" s="41"/>
      <c r="X1" s="41"/>
      <c r="Y1" s="41"/>
      <c r="Z1" s="41"/>
      <c r="AA1" s="41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48</v>
      </c>
      <c r="F2" s="21" t="s">
        <v>47</v>
      </c>
      <c r="G2" s="26" t="s">
        <v>57</v>
      </c>
      <c r="H2" s="25" t="s">
        <v>58</v>
      </c>
      <c r="I2" s="26" t="s">
        <v>59</v>
      </c>
      <c r="J2" s="22" t="s">
        <v>38</v>
      </c>
      <c r="K2" s="22" t="s">
        <v>39</v>
      </c>
      <c r="L2" s="23" t="s">
        <v>40</v>
      </c>
      <c r="M2" s="24" t="s">
        <v>60</v>
      </c>
      <c r="N2" s="24" t="s">
        <v>61</v>
      </c>
      <c r="O2" s="22" t="s">
        <v>62</v>
      </c>
      <c r="P2" s="26" t="s">
        <v>37</v>
      </c>
      <c r="Q2" s="26" t="s">
        <v>45</v>
      </c>
      <c r="R2" s="27" t="s">
        <v>44</v>
      </c>
      <c r="S2" s="25" t="s">
        <v>63</v>
      </c>
      <c r="T2" s="25" t="s">
        <v>64</v>
      </c>
      <c r="U2" s="26" t="s">
        <v>65</v>
      </c>
      <c r="V2" s="28" t="s">
        <v>41</v>
      </c>
      <c r="W2" s="28" t="s">
        <v>42</v>
      </c>
      <c r="X2" s="29" t="s">
        <v>43</v>
      </c>
      <c r="Y2" s="30" t="s">
        <v>66</v>
      </c>
      <c r="Z2" s="30" t="s">
        <v>67</v>
      </c>
      <c r="AA2" s="28" t="s">
        <v>68</v>
      </c>
    </row>
    <row r="3" spans="1:27" ht="30.6" customHeight="1">
      <c r="A3" s="53" t="s">
        <v>85</v>
      </c>
      <c r="B3" s="43"/>
      <c r="C3" s="42"/>
      <c r="D3" s="44">
        <f>Table1[[#This Row],[Enrolment S.Y. 2025-2026 ]]*8</f>
        <v>0</v>
      </c>
      <c r="E3" s="44"/>
      <c r="F3" s="42"/>
      <c r="G3" s="44"/>
      <c r="H3" s="45">
        <f>IF((D3-E3)&lt;0,0,(D3-E3))</f>
        <v>0</v>
      </c>
      <c r="I3" s="45">
        <f>IF((E3-D3)&lt;0,0,(E3-D3))</f>
        <v>0</v>
      </c>
      <c r="J3" s="44">
        <f>Table1[[#This Row],[Enrolment S.Y. 2025-2026 ]]*8</f>
        <v>0</v>
      </c>
      <c r="K3" s="44"/>
      <c r="L3" s="42"/>
      <c r="M3" s="4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44"/>
      <c r="R3" s="42"/>
      <c r="S3" s="44"/>
      <c r="T3" s="44">
        <f>IF((P3-Q3)&lt;0,0,(P3-Q3))</f>
        <v>0</v>
      </c>
      <c r="U3" s="44">
        <f>IF((Q3-P3)&lt;0,0,(Q3-P3))</f>
        <v>0</v>
      </c>
      <c r="V3" s="44">
        <f>Table1[[#This Row],[Enrolment S.Y. 2025-2026 ]]*8</f>
        <v>0</v>
      </c>
      <c r="W3" s="44"/>
      <c r="X3" s="42"/>
      <c r="Y3" s="44"/>
      <c r="Z3" s="44">
        <f>IF((V3-W3)&lt;0,0,(V3-W3))</f>
        <v>0</v>
      </c>
      <c r="AA3" s="44">
        <f>IF((W3-V3)&lt;0,0,(W3-V3))</f>
        <v>0</v>
      </c>
    </row>
    <row r="4" spans="1:27" s="7" customFormat="1" ht="19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2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2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2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2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2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2">
      <c r="A10" s="35">
        <v>1</v>
      </c>
      <c r="B10" s="36" t="s">
        <v>14</v>
      </c>
      <c r="C10" s="35"/>
      <c r="D10" s="37">
        <f>Table1[[#This Row],[Enrolment S.Y. 2025-2026 ]]*8</f>
        <v>0</v>
      </c>
      <c r="E10" s="37"/>
      <c r="F10" s="35"/>
      <c r="G10" s="5"/>
      <c r="H10" s="37">
        <f>IF((D10-E10)&lt;0,0,(D10-E10))</f>
        <v>0</v>
      </c>
      <c r="I10" s="37">
        <f>IF((E10-D10)&lt;0,0,(E10-D10))</f>
        <v>0</v>
      </c>
      <c r="J10" s="5">
        <f>Table1[[#This Row],[Enrolment S.Y. 2025-2026 ]]*8</f>
        <v>0</v>
      </c>
      <c r="K10" s="37"/>
      <c r="L10" s="35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37"/>
      <c r="R10" s="35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37"/>
      <c r="X10" s="35"/>
      <c r="Y10" s="5"/>
      <c r="Z10" s="5">
        <f t="shared" si="14"/>
        <v>0</v>
      </c>
      <c r="AA10" s="5">
        <f t="shared" si="15"/>
        <v>0</v>
      </c>
    </row>
    <row r="11" spans="1:27" ht="19.2">
      <c r="A11" s="35">
        <v>1</v>
      </c>
      <c r="B11" s="36" t="s">
        <v>15</v>
      </c>
      <c r="C11" s="35"/>
      <c r="D11" s="37">
        <f>Table1[[#This Row],[Enrolment S.Y. 2025-2026 ]]*8</f>
        <v>0</v>
      </c>
      <c r="E11" s="37"/>
      <c r="F11" s="35"/>
      <c r="G11" s="5"/>
      <c r="H11" s="37">
        <f>IF((D11-E11)&lt;0,0,(D11-E11))</f>
        <v>0</v>
      </c>
      <c r="I11" s="37">
        <f>IF((E11-D11)&lt;0,0,(E11-D11))</f>
        <v>0</v>
      </c>
      <c r="J11" s="5">
        <f>Table1[[#This Row],[Enrolment S.Y. 2025-2026 ]]*8</f>
        <v>0</v>
      </c>
      <c r="K11" s="37"/>
      <c r="L11" s="35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37"/>
      <c r="R11" s="35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37"/>
      <c r="X11" s="35"/>
      <c r="Y11" s="5"/>
      <c r="Z11" s="5">
        <f t="shared" si="14"/>
        <v>0</v>
      </c>
      <c r="AA11" s="5">
        <f t="shared" si="15"/>
        <v>0</v>
      </c>
    </row>
    <row r="12" spans="1:27" ht="19.2">
      <c r="A12" s="35">
        <v>1</v>
      </c>
      <c r="B12" s="36" t="s">
        <v>46</v>
      </c>
      <c r="C12" s="35"/>
      <c r="D12" s="37">
        <f>Table1[[#This Row],[Enrolment S.Y. 2025-2026 ]]*8</f>
        <v>0</v>
      </c>
      <c r="E12" s="37"/>
      <c r="F12" s="35"/>
      <c r="G12" s="5"/>
      <c r="H12" s="37">
        <f>IF((D12-E12)&lt;0,0,(D12-E12))</f>
        <v>0</v>
      </c>
      <c r="I12" s="37">
        <f>IF((E12-D12)&lt;0,0,(E12-D12))</f>
        <v>0</v>
      </c>
      <c r="J12" s="5">
        <f>Table1[[#This Row],[Enrolment S.Y. 2025-2026 ]]*8</f>
        <v>0</v>
      </c>
      <c r="K12" s="37"/>
      <c r="L12" s="35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37"/>
      <c r="R12" s="35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37"/>
      <c r="X12" s="35"/>
      <c r="Y12" s="5"/>
      <c r="Z12" s="5">
        <f t="shared" si="14"/>
        <v>0</v>
      </c>
      <c r="AA12" s="5">
        <f t="shared" si="15"/>
        <v>0</v>
      </c>
    </row>
    <row r="13" spans="1:27" s="7" customFormat="1" ht="19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2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2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2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2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2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2">
      <c r="A19" s="35">
        <v>2</v>
      </c>
      <c r="B19" s="36" t="s">
        <v>15</v>
      </c>
      <c r="C19" s="35"/>
      <c r="D19" s="37">
        <f>Table1[[#This Row],[Enrolment S.Y. 2025-2026 ]]*8</f>
        <v>0</v>
      </c>
      <c r="E19" s="37"/>
      <c r="F19" s="35"/>
      <c r="G19" s="5"/>
      <c r="H19" s="37">
        <f>IF((D19-E19)&lt;0,0,(D19-E19))</f>
        <v>0</v>
      </c>
      <c r="I19" s="37">
        <f>IF((E19-D19)&lt;0,0,(E19-D19))</f>
        <v>0</v>
      </c>
      <c r="J19" s="5">
        <f>Table1[[#This Row],[Enrolment S.Y. 2025-2026 ]]*8</f>
        <v>0</v>
      </c>
      <c r="K19" s="37"/>
      <c r="L19" s="35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37"/>
      <c r="R19" s="35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37"/>
      <c r="X19" s="35"/>
      <c r="Y19" s="5"/>
      <c r="Z19" s="5">
        <f t="shared" si="14"/>
        <v>0</v>
      </c>
      <c r="AA19" s="5">
        <f t="shared" si="15"/>
        <v>0</v>
      </c>
    </row>
    <row r="20" spans="1:27" ht="19.2">
      <c r="A20" s="35">
        <v>2</v>
      </c>
      <c r="B20" s="36" t="s">
        <v>14</v>
      </c>
      <c r="C20" s="35"/>
      <c r="D20" s="37">
        <f>Table1[[#This Row],[Enrolment S.Y. 2025-2026 ]]*8</f>
        <v>0</v>
      </c>
      <c r="E20" s="37"/>
      <c r="F20" s="35"/>
      <c r="G20" s="5"/>
      <c r="H20" s="37">
        <f>IF((D20-E20)&lt;0,0,(D20-E20))</f>
        <v>0</v>
      </c>
      <c r="I20" s="37">
        <f>IF((E20-D20)&lt;0,0,(E20-D20))</f>
        <v>0</v>
      </c>
      <c r="J20" s="5">
        <f>Table1[[#This Row],[Enrolment S.Y. 2025-2026 ]]*8</f>
        <v>0</v>
      </c>
      <c r="K20" s="37"/>
      <c r="L20" s="35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37"/>
      <c r="R20" s="35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37"/>
      <c r="X20" s="35"/>
      <c r="Y20" s="5"/>
      <c r="Z20" s="5">
        <f t="shared" si="14"/>
        <v>0</v>
      </c>
      <c r="AA20" s="5">
        <f t="shared" si="15"/>
        <v>0</v>
      </c>
    </row>
    <row r="21" spans="1:27" ht="19.2">
      <c r="A21" s="35">
        <v>2</v>
      </c>
      <c r="B21" s="36" t="s">
        <v>46</v>
      </c>
      <c r="C21" s="35"/>
      <c r="D21" s="37">
        <f>Table1[[#This Row],[Enrolment S.Y. 2025-2026 ]]*8</f>
        <v>0</v>
      </c>
      <c r="E21" s="37"/>
      <c r="F21" s="35"/>
      <c r="G21" s="5"/>
      <c r="H21" s="37">
        <f>IF((D21-E21)&lt;0,0,(D21-E21))</f>
        <v>0</v>
      </c>
      <c r="I21" s="37">
        <f>IF((E21-D21)&lt;0,0,(E21-D21))</f>
        <v>0</v>
      </c>
      <c r="J21" s="5">
        <f>Table1[[#This Row],[Enrolment S.Y. 2025-2026 ]]*8</f>
        <v>0</v>
      </c>
      <c r="K21" s="37"/>
      <c r="L21" s="35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37"/>
      <c r="R21" s="35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37"/>
      <c r="X21" s="35"/>
      <c r="Y21" s="5"/>
      <c r="Z21" s="5">
        <f t="shared" si="14"/>
        <v>0</v>
      </c>
      <c r="AA21" s="5">
        <f t="shared" si="15"/>
        <v>0</v>
      </c>
    </row>
    <row r="22" spans="1:27" s="7" customFormat="1" ht="19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2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2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2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2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2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2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2">
      <c r="A29" s="35">
        <v>3</v>
      </c>
      <c r="B29" s="36" t="s">
        <v>14</v>
      </c>
      <c r="C29" s="35"/>
      <c r="D29" s="37">
        <f>Table1[[#This Row],[Enrolment S.Y. 2025-2026 ]]*8</f>
        <v>0</v>
      </c>
      <c r="E29" s="37"/>
      <c r="F29" s="35"/>
      <c r="G29" s="5"/>
      <c r="H29" s="37">
        <f>IF((D29-E29)&lt;0,0,(D29-E29))</f>
        <v>0</v>
      </c>
      <c r="I29" s="37">
        <f>IF((E29-D29)&lt;0,0,(E29-D29))</f>
        <v>0</v>
      </c>
      <c r="J29" s="5">
        <f>Table1[[#This Row],[Enrolment S.Y. 2025-2026 ]]*8</f>
        <v>0</v>
      </c>
      <c r="K29" s="37"/>
      <c r="L29" s="35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37"/>
      <c r="R29" s="35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37"/>
      <c r="X29" s="35"/>
      <c r="Y29" s="5"/>
      <c r="Z29" s="5">
        <f t="shared" si="14"/>
        <v>0</v>
      </c>
      <c r="AA29" s="5">
        <f t="shared" si="15"/>
        <v>0</v>
      </c>
    </row>
    <row r="30" spans="1:27" ht="19.2">
      <c r="A30" s="35">
        <v>3</v>
      </c>
      <c r="B30" s="36" t="s">
        <v>15</v>
      </c>
      <c r="C30" s="35"/>
      <c r="D30" s="37">
        <f>Table1[[#This Row],[Enrolment S.Y. 2025-2026 ]]*8</f>
        <v>0</v>
      </c>
      <c r="E30" s="37"/>
      <c r="F30" s="35"/>
      <c r="G30" s="5"/>
      <c r="H30" s="37">
        <f>IF((D30-E30)&lt;0,0,(D30-E30))</f>
        <v>0</v>
      </c>
      <c r="I30" s="37">
        <f>IF((E30-D30)&lt;0,0,(E30-D30))</f>
        <v>0</v>
      </c>
      <c r="J30" s="5">
        <f>Table1[[#This Row],[Enrolment S.Y. 2025-2026 ]]*8</f>
        <v>0</v>
      </c>
      <c r="K30" s="37"/>
      <c r="L30" s="35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37"/>
      <c r="R30" s="35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37"/>
      <c r="X30" s="35"/>
      <c r="Y30" s="5"/>
      <c r="Z30" s="5">
        <f t="shared" si="14"/>
        <v>0</v>
      </c>
      <c r="AA30" s="5">
        <f t="shared" si="15"/>
        <v>0</v>
      </c>
    </row>
    <row r="31" spans="1:27" ht="19.2">
      <c r="A31" s="35">
        <v>3</v>
      </c>
      <c r="B31" s="36" t="s">
        <v>46</v>
      </c>
      <c r="C31" s="35"/>
      <c r="D31" s="37">
        <f>Table1[[#This Row],[Enrolment S.Y. 2025-2026 ]]*8</f>
        <v>0</v>
      </c>
      <c r="E31" s="37"/>
      <c r="F31" s="35"/>
      <c r="G31" s="5"/>
      <c r="H31" s="37">
        <f>IF((D31-E31)&lt;0,0,(D31-E31))</f>
        <v>0</v>
      </c>
      <c r="I31" s="37">
        <f>IF((E31-D31)&lt;0,0,(E31-D31))</f>
        <v>0</v>
      </c>
      <c r="J31" s="5">
        <f>Table1[[#This Row],[Enrolment S.Y. 2025-2026 ]]*8</f>
        <v>0</v>
      </c>
      <c r="K31" s="37"/>
      <c r="L31" s="35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37"/>
      <c r="R31" s="35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37"/>
      <c r="X31" s="35"/>
      <c r="Y31" s="5"/>
      <c r="Z31" s="5">
        <f t="shared" si="14"/>
        <v>0</v>
      </c>
      <c r="AA31" s="5">
        <f t="shared" si="15"/>
        <v>0</v>
      </c>
    </row>
    <row r="32" spans="1:27" s="7" customFormat="1" ht="19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2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2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2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2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2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2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2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2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2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2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2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2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2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2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2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2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2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2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2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2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2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2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2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2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2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2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2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2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2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2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2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2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2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2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2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2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2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2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2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2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2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2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2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2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2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2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2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2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2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2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2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2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2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2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2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2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2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2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2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2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2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2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2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2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2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2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2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2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2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2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2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2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2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2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2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2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2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2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2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2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2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2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2">
      <c r="A127" s="32"/>
      <c r="B127" s="33"/>
      <c r="C127" s="32"/>
      <c r="D127" s="5"/>
      <c r="E127" s="34"/>
      <c r="F127" s="32"/>
      <c r="G127" s="34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4"/>
      <c r="L127" s="32"/>
      <c r="M127" s="34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4"/>
      <c r="R127" s="32"/>
      <c r="S127" s="34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4"/>
      <c r="X127" s="32"/>
      <c r="Y127" s="34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B1" sqref="B1:B1048576"/>
    </sheetView>
  </sheetViews>
  <sheetFormatPr defaultRowHeight="13.8"/>
  <cols>
    <col min="1" max="1" width="9.3984375" customWidth="1"/>
    <col min="2" max="2" width="27.8984375" style="49" customWidth="1"/>
    <col min="3" max="3" width="17.19921875" customWidth="1"/>
    <col min="4" max="4" width="16.3984375" customWidth="1"/>
    <col min="5" max="5" width="23.19921875" customWidth="1"/>
    <col min="6" max="6" width="24.8984375" bestFit="1" customWidth="1"/>
    <col min="7" max="7" width="18.59765625" customWidth="1"/>
    <col min="8" max="9" width="20.8984375" customWidth="1"/>
    <col min="10" max="10" width="13.69921875" customWidth="1"/>
    <col min="11" max="11" width="24.3984375" customWidth="1"/>
    <col min="12" max="12" width="18.19921875" customWidth="1"/>
    <col min="13" max="13" width="20.796875" customWidth="1"/>
    <col min="14" max="15" width="20.8984375" customWidth="1"/>
    <col min="16" max="16" width="21.59765625" customWidth="1"/>
    <col min="17" max="17" width="29.19921875" customWidth="1"/>
    <col min="18" max="18" width="25.796875" customWidth="1"/>
    <col min="19" max="19" width="32.8984375" customWidth="1"/>
    <col min="20" max="21" width="20.8984375" customWidth="1"/>
    <col min="22" max="22" width="16.19921875" customWidth="1"/>
    <col min="23" max="23" width="25" customWidth="1"/>
    <col min="24" max="24" width="15.296875" customWidth="1"/>
    <col min="25" max="25" width="20.796875" customWidth="1"/>
    <col min="26" max="26" width="14.796875" customWidth="1"/>
    <col min="27" max="27" width="15.19921875" customWidth="1"/>
  </cols>
  <sheetData>
    <row r="1" spans="1:27" s="31" customFormat="1" ht="34.200000000000003" customHeight="1">
      <c r="B1" s="46"/>
      <c r="D1" s="38" t="s">
        <v>32</v>
      </c>
      <c r="E1" s="38"/>
      <c r="F1" s="38"/>
      <c r="G1" s="38"/>
      <c r="H1" s="38"/>
      <c r="I1" s="38"/>
      <c r="J1" s="39" t="s">
        <v>33</v>
      </c>
      <c r="K1" s="39"/>
      <c r="L1" s="39"/>
      <c r="M1" s="39"/>
      <c r="N1" s="39"/>
      <c r="O1" s="39"/>
      <c r="P1" s="40" t="s">
        <v>34</v>
      </c>
      <c r="Q1" s="40"/>
      <c r="R1" s="40"/>
      <c r="S1" s="40"/>
      <c r="T1" s="40"/>
      <c r="U1" s="40"/>
      <c r="V1" s="41" t="s">
        <v>35</v>
      </c>
      <c r="W1" s="41"/>
      <c r="X1" s="41"/>
      <c r="Y1" s="41"/>
      <c r="Z1" s="41"/>
      <c r="AA1" s="41"/>
    </row>
    <row r="2" spans="1:27" ht="69.599999999999994" customHeight="1">
      <c r="A2" s="15" t="s">
        <v>0</v>
      </c>
      <c r="B2" s="47" t="s">
        <v>1</v>
      </c>
      <c r="C2" s="16" t="s">
        <v>2</v>
      </c>
      <c r="D2" s="20" t="s">
        <v>49</v>
      </c>
      <c r="E2" s="20" t="s">
        <v>82</v>
      </c>
      <c r="F2" s="21" t="s">
        <v>50</v>
      </c>
      <c r="G2" s="26" t="s">
        <v>51</v>
      </c>
      <c r="H2" s="25" t="s">
        <v>69</v>
      </c>
      <c r="I2" s="26" t="s">
        <v>70</v>
      </c>
      <c r="J2" s="22" t="s">
        <v>52</v>
      </c>
      <c r="K2" s="22" t="s">
        <v>83</v>
      </c>
      <c r="L2" s="23" t="s">
        <v>53</v>
      </c>
      <c r="M2" s="24" t="s">
        <v>72</v>
      </c>
      <c r="N2" s="24" t="s">
        <v>71</v>
      </c>
      <c r="O2" s="22" t="s">
        <v>73</v>
      </c>
      <c r="P2" s="26" t="s">
        <v>54</v>
      </c>
      <c r="Q2" s="26" t="s">
        <v>84</v>
      </c>
      <c r="R2" s="27" t="s">
        <v>55</v>
      </c>
      <c r="S2" s="25" t="s">
        <v>74</v>
      </c>
      <c r="T2" s="25" t="s">
        <v>75</v>
      </c>
      <c r="U2" s="26" t="s">
        <v>76</v>
      </c>
      <c r="V2" s="28" t="s">
        <v>56</v>
      </c>
      <c r="W2" s="28" t="s">
        <v>81</v>
      </c>
      <c r="X2" s="29" t="s">
        <v>77</v>
      </c>
      <c r="Y2" s="30" t="s">
        <v>78</v>
      </c>
      <c r="Z2" s="30" t="s">
        <v>79</v>
      </c>
      <c r="AA2" s="28" t="s">
        <v>80</v>
      </c>
    </row>
    <row r="3" spans="1:27" ht="19.2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2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2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2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2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2">
      <c r="A8" s="35">
        <v>1</v>
      </c>
      <c r="B8" s="9" t="s">
        <v>14</v>
      </c>
      <c r="C8" s="35"/>
      <c r="D8" s="37">
        <f>Table14[[#This Row],[Enrolment S.Y. 2025-2026 ]]*8</f>
        <v>0</v>
      </c>
      <c r="E8" s="37"/>
      <c r="F8" s="35"/>
      <c r="G8" s="5"/>
      <c r="H8" s="37">
        <f>IF((D8-E8)&lt;0,0,(D8-E8))</f>
        <v>0</v>
      </c>
      <c r="I8" s="37">
        <f>IF((E8-D8)&lt;0,0,(E8-D8))</f>
        <v>0</v>
      </c>
      <c r="J8" s="5">
        <f>Table14[[#This Row],[Enrolment S.Y. 2025-2026 ]]*8</f>
        <v>0</v>
      </c>
      <c r="K8" s="37"/>
      <c r="L8" s="35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37"/>
      <c r="R8" s="35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37"/>
      <c r="X8" s="35"/>
      <c r="Y8" s="5"/>
      <c r="Z8" s="5">
        <f t="shared" si="6"/>
        <v>0</v>
      </c>
      <c r="AA8" s="5">
        <f t="shared" si="7"/>
        <v>0</v>
      </c>
    </row>
    <row r="9" spans="1:27" ht="19.2">
      <c r="A9" s="35">
        <v>1</v>
      </c>
      <c r="B9" s="9" t="s">
        <v>15</v>
      </c>
      <c r="C9" s="35"/>
      <c r="D9" s="37">
        <f>Table14[[#This Row],[Enrolment S.Y. 2025-2026 ]]*8</f>
        <v>0</v>
      </c>
      <c r="E9" s="37"/>
      <c r="F9" s="35"/>
      <c r="G9" s="5"/>
      <c r="H9" s="37">
        <f>IF((D9-E9)&lt;0,0,(D9-E9))</f>
        <v>0</v>
      </c>
      <c r="I9" s="37">
        <f>IF((E9-D9)&lt;0,0,(E9-D9))</f>
        <v>0</v>
      </c>
      <c r="J9" s="5">
        <f>Table14[[#This Row],[Enrolment S.Y. 2025-2026 ]]*8</f>
        <v>0</v>
      </c>
      <c r="K9" s="37"/>
      <c r="L9" s="35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37"/>
      <c r="R9" s="35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37"/>
      <c r="X9" s="35"/>
      <c r="Y9" s="5"/>
      <c r="Z9" s="5">
        <f t="shared" si="6"/>
        <v>0</v>
      </c>
      <c r="AA9" s="5">
        <f t="shared" si="7"/>
        <v>0</v>
      </c>
    </row>
    <row r="10" spans="1:27" ht="19.2">
      <c r="A10" s="35">
        <v>1</v>
      </c>
      <c r="B10" s="9" t="s">
        <v>46</v>
      </c>
      <c r="C10" s="35"/>
      <c r="D10" s="37">
        <f>Table14[[#This Row],[Enrolment S.Y. 2025-2026 ]]*8</f>
        <v>0</v>
      </c>
      <c r="E10" s="37"/>
      <c r="F10" s="35"/>
      <c r="G10" s="5"/>
      <c r="H10" s="37">
        <f>IF((D10-E10)&lt;0,0,(D10-E10))</f>
        <v>0</v>
      </c>
      <c r="I10" s="37">
        <f>IF((E10-D10)&lt;0,0,(E10-D10))</f>
        <v>0</v>
      </c>
      <c r="J10" s="5">
        <f>Table14[[#This Row],[Enrolment S.Y. 2025-2026 ]]*8</f>
        <v>0</v>
      </c>
      <c r="K10" s="37"/>
      <c r="L10" s="35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37"/>
      <c r="R10" s="35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37"/>
      <c r="X10" s="35"/>
      <c r="Y10" s="5"/>
      <c r="Z10" s="5">
        <f t="shared" si="6"/>
        <v>0</v>
      </c>
      <c r="AA10" s="5">
        <f t="shared" si="7"/>
        <v>0</v>
      </c>
    </row>
    <row r="11" spans="1:27" s="7" customFormat="1">
      <c r="B11" s="48"/>
    </row>
    <row r="12" spans="1:27" ht="19.2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2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2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2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2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2">
      <c r="A17" s="35">
        <v>2</v>
      </c>
      <c r="B17" s="9" t="s">
        <v>15</v>
      </c>
      <c r="C17" s="35"/>
      <c r="D17" s="37">
        <f>Table14[[#This Row],[Enrolment S.Y. 2025-2026 ]]*8</f>
        <v>0</v>
      </c>
      <c r="E17" s="37"/>
      <c r="F17" s="35"/>
      <c r="G17" s="5"/>
      <c r="H17" s="37">
        <f>IF((D17-E17)&lt;0,0,(D17-E17))</f>
        <v>0</v>
      </c>
      <c r="I17" s="37">
        <f>IF((E17-D17)&lt;0,0,(E17-D17))</f>
        <v>0</v>
      </c>
      <c r="J17" s="5">
        <f>Table14[[#This Row],[Enrolment S.Y. 2025-2026 ]]*8</f>
        <v>0</v>
      </c>
      <c r="K17" s="37"/>
      <c r="L17" s="35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37"/>
      <c r="R17" s="35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37"/>
      <c r="X17" s="35"/>
      <c r="Y17" s="5"/>
      <c r="Z17" s="5">
        <f t="shared" si="6"/>
        <v>0</v>
      </c>
      <c r="AA17" s="5">
        <f t="shared" si="7"/>
        <v>0</v>
      </c>
    </row>
    <row r="18" spans="1:27" ht="19.2">
      <c r="A18" s="35">
        <v>2</v>
      </c>
      <c r="B18" s="9" t="s">
        <v>14</v>
      </c>
      <c r="C18" s="35"/>
      <c r="D18" s="37">
        <f>Table14[[#This Row],[Enrolment S.Y. 2025-2026 ]]*8</f>
        <v>0</v>
      </c>
      <c r="E18" s="37"/>
      <c r="F18" s="35"/>
      <c r="G18" s="5"/>
      <c r="H18" s="37">
        <f>IF((D18-E18)&lt;0,0,(D18-E18))</f>
        <v>0</v>
      </c>
      <c r="I18" s="37">
        <f>IF((E18-D18)&lt;0,0,(E18-D18))</f>
        <v>0</v>
      </c>
      <c r="J18" s="5">
        <f>Table14[[#This Row],[Enrolment S.Y. 2025-2026 ]]*8</f>
        <v>0</v>
      </c>
      <c r="K18" s="37"/>
      <c r="L18" s="35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37"/>
      <c r="R18" s="35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37"/>
      <c r="X18" s="35"/>
      <c r="Y18" s="5"/>
      <c r="Z18" s="5">
        <f t="shared" si="6"/>
        <v>0</v>
      </c>
      <c r="AA18" s="5">
        <f t="shared" si="7"/>
        <v>0</v>
      </c>
    </row>
    <row r="19" spans="1:27" ht="19.2">
      <c r="A19" s="35">
        <v>2</v>
      </c>
      <c r="B19" s="9" t="s">
        <v>46</v>
      </c>
      <c r="C19" s="35"/>
      <c r="D19" s="37">
        <f>Table14[[#This Row],[Enrolment S.Y. 2025-2026 ]]*8</f>
        <v>0</v>
      </c>
      <c r="E19" s="37"/>
      <c r="F19" s="35"/>
      <c r="G19" s="5"/>
      <c r="H19" s="37">
        <f>IF((D19-E19)&lt;0,0,(D19-E19))</f>
        <v>0</v>
      </c>
      <c r="I19" s="37">
        <f>IF((E19-D19)&lt;0,0,(E19-D19))</f>
        <v>0</v>
      </c>
      <c r="J19" s="5">
        <f>Table14[[#This Row],[Enrolment S.Y. 2025-2026 ]]*8</f>
        <v>0</v>
      </c>
      <c r="K19" s="37"/>
      <c r="L19" s="35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37"/>
      <c r="R19" s="35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37"/>
      <c r="X19" s="35"/>
      <c r="Y19" s="5"/>
      <c r="Z19" s="5">
        <f t="shared" si="6"/>
        <v>0</v>
      </c>
      <c r="AA19" s="5">
        <f t="shared" si="7"/>
        <v>0</v>
      </c>
    </row>
    <row r="20" spans="1:27" s="7" customFormat="1">
      <c r="B20" s="48"/>
    </row>
    <row r="21" spans="1:27" ht="19.2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2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2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2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2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2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2">
      <c r="A27" s="35">
        <v>3</v>
      </c>
      <c r="B27" s="9" t="s">
        <v>14</v>
      </c>
      <c r="C27" s="35"/>
      <c r="D27" s="37">
        <f>Table14[[#This Row],[Enrolment S.Y. 2025-2026 ]]*8</f>
        <v>0</v>
      </c>
      <c r="E27" s="37"/>
      <c r="F27" s="35"/>
      <c r="G27" s="5"/>
      <c r="H27" s="37">
        <f>IF((D27-E27)&lt;0,0,(D27-E27))</f>
        <v>0</v>
      </c>
      <c r="I27" s="37">
        <f>IF((E27-D27)&lt;0,0,(E27-D27))</f>
        <v>0</v>
      </c>
      <c r="J27" s="5">
        <f>Table14[[#This Row],[Enrolment S.Y. 2025-2026 ]]*8</f>
        <v>0</v>
      </c>
      <c r="K27" s="37"/>
      <c r="L27" s="35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37"/>
      <c r="R27" s="35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37"/>
      <c r="X27" s="35"/>
      <c r="Y27" s="5"/>
      <c r="Z27" s="5">
        <f t="shared" si="6"/>
        <v>0</v>
      </c>
      <c r="AA27" s="5">
        <f t="shared" si="7"/>
        <v>0</v>
      </c>
    </row>
    <row r="28" spans="1:27" ht="19.2">
      <c r="A28" s="35">
        <v>3</v>
      </c>
      <c r="B28" s="9" t="s">
        <v>15</v>
      </c>
      <c r="C28" s="35"/>
      <c r="D28" s="37">
        <f>Table14[[#This Row],[Enrolment S.Y. 2025-2026 ]]*8</f>
        <v>0</v>
      </c>
      <c r="E28" s="37"/>
      <c r="F28" s="35"/>
      <c r="G28" s="5"/>
      <c r="H28" s="37">
        <f>IF((D28-E28)&lt;0,0,(D28-E28))</f>
        <v>0</v>
      </c>
      <c r="I28" s="37">
        <f>IF((E28-D28)&lt;0,0,(E28-D28))</f>
        <v>0</v>
      </c>
      <c r="J28" s="5">
        <f>Table14[[#This Row],[Enrolment S.Y. 2025-2026 ]]*8</f>
        <v>0</v>
      </c>
      <c r="K28" s="37"/>
      <c r="L28" s="35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37"/>
      <c r="R28" s="35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37"/>
      <c r="X28" s="35"/>
      <c r="Y28" s="5"/>
      <c r="Z28" s="5">
        <f t="shared" si="6"/>
        <v>0</v>
      </c>
      <c r="AA28" s="5">
        <f t="shared" si="7"/>
        <v>0</v>
      </c>
    </row>
    <row r="29" spans="1:27" ht="19.2">
      <c r="A29" s="35">
        <v>3</v>
      </c>
      <c r="B29" s="9" t="s">
        <v>46</v>
      </c>
      <c r="C29" s="35"/>
      <c r="D29" s="37">
        <f>Table14[[#This Row],[Enrolment S.Y. 2025-2026 ]]*8</f>
        <v>0</v>
      </c>
      <c r="E29" s="37"/>
      <c r="F29" s="35"/>
      <c r="G29" s="5"/>
      <c r="H29" s="37">
        <f>IF((D29-E29)&lt;0,0,(D29-E29))</f>
        <v>0</v>
      </c>
      <c r="I29" s="37">
        <f>IF((E29-D29)&lt;0,0,(E29-D29))</f>
        <v>0</v>
      </c>
      <c r="J29" s="5">
        <f>Table14[[#This Row],[Enrolment S.Y. 2025-2026 ]]*8</f>
        <v>0</v>
      </c>
      <c r="K29" s="37"/>
      <c r="L29" s="35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37"/>
      <c r="R29" s="35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37"/>
      <c r="X29" s="35"/>
      <c r="Y29" s="5"/>
      <c r="Z29" s="5">
        <f t="shared" si="6"/>
        <v>0</v>
      </c>
      <c r="AA29" s="5">
        <f t="shared" si="7"/>
        <v>0</v>
      </c>
    </row>
    <row r="30" spans="1:27" s="7" customFormat="1">
      <c r="B30" s="48"/>
    </row>
    <row r="31" spans="1:27" ht="19.2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2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2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2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2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2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2">
      <c r="A37" s="50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1">
        <f>IF((D37-E37)&lt;0,0,(D37-E37))</f>
        <v>0</v>
      </c>
      <c r="I37" s="51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2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2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2">
      <c r="A40" s="50">
        <v>4</v>
      </c>
      <c r="B40" s="9" t="s">
        <v>87</v>
      </c>
      <c r="C40" s="5"/>
      <c r="D40" s="5">
        <f>Table14[[#This Row],[Enrolment S.Y. 2025-2026 ]]*8</f>
        <v>0</v>
      </c>
      <c r="E40" s="5"/>
      <c r="F40" s="1"/>
      <c r="G40" s="5"/>
      <c r="H40" s="51">
        <f>IF((D40-E40)&lt;0,0,(D40-E40))</f>
        <v>0</v>
      </c>
      <c r="I40" s="51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2">
      <c r="A41" s="1">
        <v>4</v>
      </c>
      <c r="B41" s="9" t="s">
        <v>88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>
      <c r="B42" s="48"/>
    </row>
    <row r="43" spans="1:27" ht="19.2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2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2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2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2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2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2">
      <c r="A49" s="50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1">
        <f>IF((D49-E49)&lt;0,0,(D49-E49))</f>
        <v>0</v>
      </c>
      <c r="I49" s="51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2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2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2">
      <c r="A52" s="50">
        <v>5</v>
      </c>
      <c r="B52" s="9" t="s">
        <v>87</v>
      </c>
      <c r="C52" s="5"/>
      <c r="D52" s="5">
        <f>Table14[[#This Row],[Enrolment S.Y. 2025-2026 ]]*8</f>
        <v>0</v>
      </c>
      <c r="E52" s="5"/>
      <c r="F52" s="1"/>
      <c r="G52" s="5"/>
      <c r="H52" s="51">
        <f>IF((D52-E52)&lt;0,0,(D52-E52))</f>
        <v>0</v>
      </c>
      <c r="I52" s="51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2">
      <c r="A53" s="1">
        <v>5</v>
      </c>
      <c r="B53" s="9" t="s">
        <v>88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>
      <c r="B54" s="48"/>
    </row>
    <row r="55" spans="1:27" ht="19.2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2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2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2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2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2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2">
      <c r="A61" s="50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1">
        <f>IF((D61-E61)&lt;0,0,(D61-E61))</f>
        <v>0</v>
      </c>
      <c r="I61" s="51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2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2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2">
      <c r="A64" s="50">
        <v>6</v>
      </c>
      <c r="B64" s="9" t="s">
        <v>87</v>
      </c>
      <c r="C64" s="5"/>
      <c r="D64" s="5">
        <f>Table14[[#This Row],[Enrolment S.Y. 2025-2026 ]]*8</f>
        <v>0</v>
      </c>
      <c r="E64" s="5"/>
      <c r="F64" s="1"/>
      <c r="G64" s="5"/>
      <c r="H64" s="51">
        <f>IF((D64-E64)&lt;0,0,(D64-E64))</f>
        <v>0</v>
      </c>
      <c r="I64" s="51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2">
      <c r="A65" s="1">
        <v>6</v>
      </c>
      <c r="B65" s="9" t="s">
        <v>88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B66" s="48"/>
    </row>
    <row r="67" spans="1:27" ht="19.2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2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2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2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2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2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2">
      <c r="A73" s="52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54">
        <f>IF((D73-E73)&lt;0,0,(D73-E73))</f>
        <v>0</v>
      </c>
      <c r="I73" s="54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2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2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2">
      <c r="A76" s="52">
        <v>7</v>
      </c>
      <c r="B76" s="11" t="s">
        <v>87</v>
      </c>
      <c r="C76" s="12"/>
      <c r="D76" s="12">
        <f>Table14[[#This Row],[Enrolment S.Y. 2025-2026 ]]*8</f>
        <v>0</v>
      </c>
      <c r="E76" s="12"/>
      <c r="F76" s="10"/>
      <c r="G76" s="12"/>
      <c r="H76" s="54">
        <f>IF((D76-E76)&lt;0,0,(D76-E76))</f>
        <v>0</v>
      </c>
      <c r="I76" s="54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2">
      <c r="A77" s="10">
        <v>7</v>
      </c>
      <c r="B77" s="11" t="s">
        <v>88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>
      <c r="B78" s="48"/>
    </row>
    <row r="79" spans="1:27" ht="19.2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2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2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2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2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2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2">
      <c r="A85" s="52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54">
        <f>IF((D85-E85)&lt;0,0,(D85-E85))</f>
        <v>0</v>
      </c>
      <c r="I85" s="54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2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2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2">
      <c r="A88" s="52">
        <v>8</v>
      </c>
      <c r="B88" s="11" t="s">
        <v>87</v>
      </c>
      <c r="C88" s="12"/>
      <c r="D88" s="12">
        <f>Table14[[#This Row],[Enrolment S.Y. 2025-2026 ]]*8</f>
        <v>0</v>
      </c>
      <c r="E88" s="12"/>
      <c r="F88" s="10"/>
      <c r="G88" s="12"/>
      <c r="H88" s="54">
        <f>IF((D88-E88)&lt;0,0,(D88-E88))</f>
        <v>0</v>
      </c>
      <c r="I88" s="54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2">
      <c r="A89" s="10">
        <v>8</v>
      </c>
      <c r="B89" s="11" t="s">
        <v>88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>
      <c r="B90" s="48"/>
    </row>
    <row r="91" spans="1:27" ht="19.2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2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2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2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2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2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2">
      <c r="A97" s="52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54">
        <f>IF((D97-E97)&lt;0,0,(D97-E97))</f>
        <v>0</v>
      </c>
      <c r="I97" s="54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2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2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2">
      <c r="A100" s="52">
        <v>9</v>
      </c>
      <c r="B100" s="11" t="s">
        <v>87</v>
      </c>
      <c r="C100" s="10"/>
      <c r="D100" s="12">
        <f>Table14[[#This Row],[Enrolment S.Y. 2025-2026 ]]*8</f>
        <v>0</v>
      </c>
      <c r="E100" s="12"/>
      <c r="F100" s="10"/>
      <c r="G100" s="12"/>
      <c r="H100" s="54">
        <f>IF((D100-E100)&lt;0,0,(D100-E100))</f>
        <v>0</v>
      </c>
      <c r="I100" s="54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2">
      <c r="A101" s="10">
        <v>9</v>
      </c>
      <c r="B101" s="11" t="s">
        <v>88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>
      <c r="B102" s="48"/>
    </row>
    <row r="103" spans="1:27" ht="19.2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2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2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2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2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2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2">
      <c r="A109" s="52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54">
        <f>IF((D109-E109)&lt;0,0,(D109-E109))</f>
        <v>0</v>
      </c>
      <c r="I109" s="54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2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2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2">
      <c r="A112" s="52">
        <v>10</v>
      </c>
      <c r="B112" s="11" t="s">
        <v>87</v>
      </c>
      <c r="C112" s="10"/>
      <c r="D112" s="12">
        <f>Table14[[#This Row],[Enrolment S.Y. 2025-2026 ]]*8</f>
        <v>0</v>
      </c>
      <c r="E112" s="12"/>
      <c r="F112" s="10"/>
      <c r="G112" s="12"/>
      <c r="H112" s="54">
        <f>IF((D112-E112)&lt;0,0,(D112-E112))</f>
        <v>0</v>
      </c>
      <c r="I112" s="54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2">
      <c r="A113" s="10">
        <v>10</v>
      </c>
      <c r="B113" s="11" t="s">
        <v>88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>
      <c r="B114" s="48"/>
    </row>
    <row r="115" spans="1:28" ht="38.4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2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2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2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2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>
      <c r="B123" s="48"/>
    </row>
    <row r="124" spans="1:28">
      <c r="A124" s="7"/>
      <c r="B124" s="4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4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4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4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4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4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4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4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4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4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4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4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4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4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4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4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4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2025-11-24T10:24:32Z</dcterms:modified>
  <cp:category/>
  <cp:contentStatus/>
</cp:coreProperties>
</file>