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33" documentId="13_ncr:1_{BFB59F67-F0DC-4675-A682-EB0734A8026A}" xr6:coauthVersionLast="47" xr6:coauthVersionMax="47" xr10:uidLastSave="{95D4503B-2116-4640-8714-A76C45ECCB0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5" l="1"/>
  <c r="D65" i="5"/>
  <c r="D36" i="4"/>
  <c r="D38" i="4"/>
  <c r="D39" i="4"/>
  <c r="D41" i="4"/>
  <c r="D35" i="4"/>
  <c r="D34" i="4"/>
  <c r="D40" i="4"/>
  <c r="D33" i="4"/>
  <c r="D5" i="4"/>
  <c r="D9" i="4"/>
  <c r="D8" i="4"/>
  <c r="D6" i="4"/>
  <c r="D26" i="4"/>
  <c r="D28" i="4"/>
  <c r="D27" i="4"/>
  <c r="D45" i="4"/>
  <c r="D47" i="4"/>
  <c r="D49" i="4"/>
  <c r="D51" i="4"/>
  <c r="D43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I65" i="5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I6" i="4"/>
  <c r="D7" i="4"/>
  <c r="I7" i="4" s="1"/>
  <c r="I8" i="4"/>
  <c r="I9" i="4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I27" i="4"/>
  <c r="I28" i="4"/>
  <c r="H33" i="4"/>
  <c r="H34" i="4"/>
  <c r="H35" i="4"/>
  <c r="H36" i="4"/>
  <c r="D37" i="4"/>
  <c r="I39" i="4"/>
  <c r="I40" i="4"/>
  <c r="I41" i="4"/>
  <c r="I43" i="4"/>
  <c r="D44" i="4"/>
  <c r="H44" i="4" s="1"/>
  <c r="H45" i="4"/>
  <c r="D46" i="4"/>
  <c r="D48" i="4"/>
  <c r="I48" i="4" s="1"/>
  <c r="I49" i="4"/>
  <c r="D50" i="4"/>
  <c r="H50" i="4" s="1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<sst xmlns="http://schemas.openxmlformats.org/spreadsheetml/2006/main" count="469" uniqueCount="93">
  <si>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</si>
  <si>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</si>
  <si>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</si>
  <si>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</si>
  <si>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</si>
  <si>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</si>
  <si>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</si>
  <si>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</si>
  <si>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</si>
  <si>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</si>
  <si>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SDO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</si>
  <si>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</si>
  <si>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</si>
  <si>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</si>
  <si>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</si>
  <si>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</si>
  <si>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</si>
  <si>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</si>
  <si>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</si>
  <si>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</si>
  <si>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</si>
  <si>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</si>
  <si>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</si>
  <si>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</si>
  <si>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</si>
  <si>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</si>
  <si>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</si>
  <si>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</si>
  <si>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</si>
  <si>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</si>
  <si>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</si>
  <si>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</si>
  <si>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</si>
  <si>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</si>
  <si>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</si>
  <si>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</si>
  <si>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</si>
  <si>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</si>
  <si>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</si>
  <si>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</si>
  <si>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</si>
  <si>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</si>
  <si>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</si>
  <si>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</si>
  <si>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</si>
  <si>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</si>
  <si>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</si>
  <si>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</si>
  <si>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</si>
  <si>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</si>
  <si>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</si>
  <si>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</si>
  <si>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</si>
  <si>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</si>
  <si>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</si>
  <si>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</si>
  <si>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</si>
  <si>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</si>
  <si>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</si>
  <si>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</si>
  <si>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</si>
  <si>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</si>
  <si>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</si>
  <si>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</si>
  <si>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</si>
  <si>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</si>
  <si>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</si>
  <si>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</si>
  <si>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</si>
  <si>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</si>
  <si>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</si>
  <si>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</si>
  <si>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</si>
  <si>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</si>
  <si>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</si>
  <si>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</si>
  <si>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</si>
  <si>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</si>
  <si>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</si>
  <si>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</si>
  <si>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</si>
  <si>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</si>
  <si>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</si>
  <si>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</si>
  <si>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</si>
  <si>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</si>
  <si>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</si>
  <si>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RO</t>
  </si>
  <si>
    <t>LGU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</si>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</sst>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19" sqref="L1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109</v>
      </c>
      <c r="D3" s="1">
        <v>150</v>
      </c>
      <c r="E3" s="1">
        <v>2025</v>
      </c>
      <c r="F3" s="5" t="s">
        <v>10</v>
      </c>
      <c r="G3" s="3">
        <f>IF((C3-D3)&lt;0,0,C3-D3)</f>
        <v>0</v>
      </c>
      <c r="H3" s="4">
        <f>IF((D3-C3)&lt;0,0,D3-C3)</f>
        <v>41</v>
      </c>
    </row>
    <row r="4" spans="1:8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138</v>
      </c>
      <c r="D18" s="1">
        <v>160</v>
      </c>
      <c r="E18" s="1"/>
      <c r="F18" s="5" t="s">
        <v>10</v>
      </c>
      <c r="G18" s="3">
        <f t="shared" si="2"/>
        <v>0</v>
      </c>
      <c r="H18" s="4">
        <f t="shared" si="3"/>
        <v>22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138</v>
      </c>
      <c r="D21" s="1">
        <v>150</v>
      </c>
      <c r="E21" s="1">
        <v>2024</v>
      </c>
      <c r="F21" s="5" t="s">
        <v>10</v>
      </c>
      <c r="G21" s="3">
        <f t="shared" ref="G21:G29" si="4">IF((C21-D21)&lt;0,0,C21-D21)</f>
        <v>0</v>
      </c>
      <c r="H21" s="4">
        <f t="shared" ref="H21:H29" si="5">IF((D21-C21)&lt;0,0,D21-C21)</f>
        <v>12</v>
      </c>
    </row>
    <row r="22" spans="1:8" ht="24" customHeight="1">
      <c r="A22" s="1">
        <v>4</v>
      </c>
      <c r="B22" s="9" t="s">
        <v>16</v>
      </c>
      <c r="C22" s="1">
        <v>138</v>
      </c>
      <c r="D22" s="1">
        <v>150</v>
      </c>
      <c r="E22" s="1">
        <v>2024</v>
      </c>
      <c r="F22" s="5" t="s">
        <v>10</v>
      </c>
      <c r="G22" s="3">
        <f t="shared" si="4"/>
        <v>0</v>
      </c>
      <c r="H22" s="4">
        <f t="shared" si="5"/>
        <v>12</v>
      </c>
    </row>
    <row r="23" spans="1:8" ht="19.5">
      <c r="A23" s="1">
        <v>4</v>
      </c>
      <c r="B23" s="9" t="s">
        <v>13</v>
      </c>
      <c r="C23" s="1">
        <v>138</v>
      </c>
      <c r="D23" s="1">
        <v>150</v>
      </c>
      <c r="E23" s="1">
        <v>2025</v>
      </c>
      <c r="F23" s="5" t="s">
        <v>10</v>
      </c>
      <c r="G23" s="3">
        <f t="shared" si="4"/>
        <v>0</v>
      </c>
      <c r="H23" s="4">
        <f t="shared" si="5"/>
        <v>12</v>
      </c>
    </row>
    <row r="24" spans="1:8" ht="27" customHeight="1">
      <c r="A24" s="1">
        <v>4</v>
      </c>
      <c r="B24" s="9" t="s">
        <v>11</v>
      </c>
      <c r="C24" s="1">
        <v>138</v>
      </c>
      <c r="D24" s="1">
        <v>150</v>
      </c>
      <c r="E24" s="1">
        <v>2025</v>
      </c>
      <c r="F24" s="5" t="s">
        <v>10</v>
      </c>
      <c r="G24" s="3">
        <f t="shared" si="4"/>
        <v>0</v>
      </c>
      <c r="H24" s="4">
        <f t="shared" si="5"/>
        <v>12</v>
      </c>
    </row>
    <row r="25" spans="1:8" ht="33.75" customHeight="1">
      <c r="A25" s="1">
        <v>4</v>
      </c>
      <c r="B25" s="9" t="s">
        <v>17</v>
      </c>
      <c r="C25" s="1">
        <v>138</v>
      </c>
      <c r="D25" s="1">
        <v>150</v>
      </c>
      <c r="E25" s="1">
        <v>2024</v>
      </c>
      <c r="F25" s="5" t="s">
        <v>10</v>
      </c>
      <c r="G25" s="3">
        <f t="shared" si="4"/>
        <v>0</v>
      </c>
      <c r="H25" s="4">
        <f t="shared" si="5"/>
        <v>12</v>
      </c>
    </row>
    <row r="26" spans="1:8" ht="33.75" customHeight="1">
      <c r="A26" s="1">
        <v>4</v>
      </c>
      <c r="B26" s="9" t="s">
        <v>14</v>
      </c>
      <c r="C26" s="1">
        <v>138</v>
      </c>
      <c r="D26" s="1">
        <v>150</v>
      </c>
      <c r="E26" s="1">
        <v>2024</v>
      </c>
      <c r="F26" s="5" t="s">
        <v>10</v>
      </c>
      <c r="G26" s="3">
        <f t="shared" si="4"/>
        <v>0</v>
      </c>
      <c r="H26" s="4">
        <f t="shared" si="5"/>
        <v>12</v>
      </c>
    </row>
    <row r="27" spans="1:8" ht="33.75" customHeight="1">
      <c r="A27" s="1">
        <v>4</v>
      </c>
      <c r="B27" s="9" t="s">
        <v>18</v>
      </c>
      <c r="C27" s="1">
        <v>138</v>
      </c>
      <c r="D27" s="1">
        <v>150</v>
      </c>
      <c r="E27" s="1">
        <v>2024</v>
      </c>
      <c r="F27" s="5" t="s">
        <v>10</v>
      </c>
      <c r="G27" s="3">
        <f t="shared" si="4"/>
        <v>0</v>
      </c>
      <c r="H27" s="4">
        <f t="shared" si="5"/>
        <v>12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145</v>
      </c>
      <c r="D31" s="1">
        <v>160</v>
      </c>
      <c r="E31" s="1">
        <v>2025</v>
      </c>
      <c r="F31" s="5" t="s">
        <v>10</v>
      </c>
      <c r="G31" s="3">
        <f t="shared" ref="G31:G39" si="6">IF((C31-D31)&lt;0,0,C31-D31)</f>
        <v>0</v>
      </c>
      <c r="H31" s="4">
        <f t="shared" ref="H31:H39" si="7">IF((D31-C31)&lt;0,0,D31-C31)</f>
        <v>15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145</v>
      </c>
      <c r="D35" s="1">
        <v>160</v>
      </c>
      <c r="E35" s="1">
        <v>2025</v>
      </c>
      <c r="F35" s="5" t="s">
        <v>10</v>
      </c>
      <c r="G35" s="3">
        <f t="shared" si="6"/>
        <v>0</v>
      </c>
      <c r="H35" s="4">
        <f t="shared" si="7"/>
        <v>15</v>
      </c>
    </row>
    <row r="36" spans="1:8" ht="27.75" customHeight="1">
      <c r="A36" s="1">
        <v>5</v>
      </c>
      <c r="B36" s="9" t="s">
        <v>14</v>
      </c>
      <c r="C36" s="1">
        <v>145</v>
      </c>
      <c r="D36" s="1">
        <v>160</v>
      </c>
      <c r="E36" s="1">
        <v>2025</v>
      </c>
      <c r="F36" s="5" t="s">
        <v>10</v>
      </c>
      <c r="G36" s="3">
        <f t="shared" si="6"/>
        <v>0</v>
      </c>
      <c r="H36" s="4">
        <f t="shared" si="7"/>
        <v>15</v>
      </c>
    </row>
    <row r="37" spans="1:8" ht="27.75" customHeight="1">
      <c r="A37" s="1">
        <v>5</v>
      </c>
      <c r="B37" s="9" t="s">
        <v>18</v>
      </c>
      <c r="C37" s="1">
        <v>145</v>
      </c>
      <c r="D37" s="1">
        <v>160</v>
      </c>
      <c r="E37" s="1">
        <v>2025</v>
      </c>
      <c r="F37" s="5" t="s">
        <v>10</v>
      </c>
      <c r="G37" s="3">
        <f t="shared" si="6"/>
        <v>0</v>
      </c>
      <c r="H37" s="4">
        <f t="shared" si="7"/>
        <v>15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73" zoomScale="70" zoomScaleNormal="70" workbookViewId="0">
      <selection activeCell="L154" sqref="L15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109</v>
      </c>
      <c r="D5" s="5">
        <f>Table1[[#This Row],[Enrolment S.Y. 2025-2026 ]]*8</f>
        <v>872</v>
      </c>
      <c r="E5" s="5">
        <v>56</v>
      </c>
      <c r="F5" s="1">
        <v>2024</v>
      </c>
      <c r="G5" s="5" t="s">
        <v>10</v>
      </c>
      <c r="H5" s="5">
        <f t="shared" ref="H5:H77" si="2">IF((D5-E5)&lt;0,0,(D5-E5))</f>
        <v>816</v>
      </c>
      <c r="I5" s="5">
        <f t="shared" ref="I5:I77" si="3">IF((E5-D5)&lt;0,0,(E5-D5))</f>
        <v>0</v>
      </c>
      <c r="J5" s="5">
        <f>Table1[[#This Row],[Enrolment S.Y. 2025-2026 ]]*8</f>
        <v>872</v>
      </c>
      <c r="K5" s="5"/>
      <c r="L5" s="1"/>
      <c r="M5" s="5"/>
      <c r="N5" s="5">
        <f t="shared" ref="N5" si="4">IF((J5-K5)&lt;0,0,(J5-K5))</f>
        <v>872</v>
      </c>
      <c r="O5" s="5">
        <f t="shared" ref="O5" si="5">IF((K5-J5)&lt;0,0,(K5-J5))</f>
        <v>0</v>
      </c>
      <c r="P5" s="5">
        <f>Table1[[#This Row],[Enrolment S.Y. 2025-2026 ]]*8</f>
        <v>872</v>
      </c>
      <c r="Q5" s="5"/>
      <c r="R5" s="1"/>
      <c r="S5" s="5"/>
      <c r="T5" s="5">
        <f t="shared" ref="T5" si="6">IF((P5-Q5)&lt;0,0,(P5-Q5))</f>
        <v>872</v>
      </c>
      <c r="U5" s="5">
        <f t="shared" ref="U5" si="7">IF((Q5-P5)&lt;0,0,(Q5-P5))</f>
        <v>0</v>
      </c>
      <c r="V5" s="5">
        <f>Table1[[#This Row],[Enrolment S.Y. 2025-2026 ]]*8</f>
        <v>872</v>
      </c>
      <c r="W5" s="5"/>
      <c r="X5" s="1"/>
      <c r="Y5" s="5"/>
      <c r="Z5" s="5">
        <f t="shared" ref="Z5" si="8">IF((V5-W5)&lt;0,0,(V5-W5))</f>
        <v>872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109</v>
      </c>
      <c r="D6" s="5">
        <f>Table1[[#This Row],[Enrolment S.Y. 2025-2026 ]]*8</f>
        <v>872</v>
      </c>
      <c r="E6" s="5">
        <v>56</v>
      </c>
      <c r="F6" s="1">
        <v>2024</v>
      </c>
      <c r="G6" s="5" t="s">
        <v>10</v>
      </c>
      <c r="H6" s="5">
        <f t="shared" si="2"/>
        <v>816</v>
      </c>
      <c r="I6" s="5">
        <f t="shared" si="3"/>
        <v>0</v>
      </c>
      <c r="J6" s="5">
        <f>Table1[[#This Row],[Enrolment S.Y. 2025-2026 ]]*8</f>
        <v>872</v>
      </c>
      <c r="K6" s="5"/>
      <c r="L6" s="1"/>
      <c r="M6" s="5"/>
      <c r="N6" s="5">
        <f t="shared" ref="N6:N69" si="10">IF((J6-K6)&lt;0,0,(J6-K6))</f>
        <v>872</v>
      </c>
      <c r="O6" s="5">
        <f t="shared" ref="O6:O69" si="11">IF((K6-J6)&lt;0,0,(K6-J6))</f>
        <v>0</v>
      </c>
      <c r="P6" s="5">
        <f>Table1[[#This Row],[Enrolment S.Y. 2025-2026 ]]*8</f>
        <v>872</v>
      </c>
      <c r="Q6" s="5"/>
      <c r="R6" s="1"/>
      <c r="S6" s="5"/>
      <c r="T6" s="5">
        <f t="shared" ref="T6:T69" si="12">IF((P6-Q6)&lt;0,0,(P6-Q6))</f>
        <v>872</v>
      </c>
      <c r="U6" s="5">
        <f t="shared" ref="U6:U69" si="13">IF((Q6-P6)&lt;0,0,(Q6-P6))</f>
        <v>0</v>
      </c>
      <c r="V6" s="5">
        <f>Table1[[#This Row],[Enrolment S.Y. 2025-2026 ]]*8</f>
        <v>872</v>
      </c>
      <c r="W6" s="5"/>
      <c r="X6" s="1"/>
      <c r="Y6" s="5"/>
      <c r="Z6" s="5">
        <f t="shared" ref="Z6:Z69" si="14">IF((V6-W6)&lt;0,0,(V6-W6))</f>
        <v>872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109</v>
      </c>
      <c r="D7" s="5">
        <f>Table1[[#This Row],[Enrolment S.Y. 2025-2026 ]]*8</f>
        <v>872</v>
      </c>
      <c r="E7" s="5">
        <v>56</v>
      </c>
      <c r="F7" s="1">
        <v>2024</v>
      </c>
      <c r="G7" s="5" t="s">
        <v>10</v>
      </c>
      <c r="H7" s="5">
        <f t="shared" si="2"/>
        <v>816</v>
      </c>
      <c r="I7" s="5">
        <f t="shared" si="3"/>
        <v>0</v>
      </c>
      <c r="J7" s="5">
        <f>Table1[[#This Row],[Enrolment S.Y. 2025-2026 ]]*8</f>
        <v>872</v>
      </c>
      <c r="K7" s="5"/>
      <c r="L7" s="1"/>
      <c r="M7" s="5"/>
      <c r="N7" s="5">
        <f t="shared" si="10"/>
        <v>872</v>
      </c>
      <c r="O7" s="5">
        <f t="shared" si="11"/>
        <v>0</v>
      </c>
      <c r="P7" s="5">
        <f>Table1[[#This Row],[Enrolment S.Y. 2025-2026 ]]*8</f>
        <v>872</v>
      </c>
      <c r="Q7" s="5"/>
      <c r="R7" s="1"/>
      <c r="S7" s="5"/>
      <c r="T7" s="5">
        <f t="shared" si="12"/>
        <v>872</v>
      </c>
      <c r="U7" s="5">
        <f t="shared" si="13"/>
        <v>0</v>
      </c>
      <c r="V7" s="5">
        <f>Table1[[#This Row],[Enrolment S.Y. 2025-2026 ]]*8</f>
        <v>872</v>
      </c>
      <c r="W7" s="5"/>
      <c r="X7" s="1"/>
      <c r="Y7" s="5"/>
      <c r="Z7" s="5">
        <f t="shared" si="14"/>
        <v>872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109</v>
      </c>
      <c r="D8" s="5">
        <f>Table1[[#This Row],[Enrolment S.Y. 2025-2026 ]]*8</f>
        <v>872</v>
      </c>
      <c r="E8" s="5">
        <v>56</v>
      </c>
      <c r="F8" s="1">
        <v>2024</v>
      </c>
      <c r="G8" s="5" t="s">
        <v>10</v>
      </c>
      <c r="H8" s="5">
        <f t="shared" si="2"/>
        <v>816</v>
      </c>
      <c r="I8" s="5">
        <f t="shared" si="3"/>
        <v>0</v>
      </c>
      <c r="J8" s="5">
        <f>Table1[[#This Row],[Enrolment S.Y. 2025-2026 ]]*8</f>
        <v>872</v>
      </c>
      <c r="K8" s="5"/>
      <c r="L8" s="1"/>
      <c r="M8" s="5"/>
      <c r="N8" s="5">
        <f t="shared" si="10"/>
        <v>872</v>
      </c>
      <c r="O8" s="5">
        <f t="shared" si="11"/>
        <v>0</v>
      </c>
      <c r="P8" s="5">
        <f>Table1[[#This Row],[Enrolment S.Y. 2025-2026 ]]*8</f>
        <v>872</v>
      </c>
      <c r="Q8" s="5"/>
      <c r="R8" s="1"/>
      <c r="S8" s="5"/>
      <c r="T8" s="5">
        <f t="shared" si="12"/>
        <v>872</v>
      </c>
      <c r="U8" s="5">
        <f t="shared" si="13"/>
        <v>0</v>
      </c>
      <c r="V8" s="5">
        <f>Table1[[#This Row],[Enrolment S.Y. 2025-2026 ]]*8</f>
        <v>872</v>
      </c>
      <c r="W8" s="5"/>
      <c r="X8" s="1"/>
      <c r="Y8" s="5"/>
      <c r="Z8" s="5">
        <f t="shared" si="14"/>
        <v>872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109</v>
      </c>
      <c r="D9" s="5">
        <f>Table1[[#This Row],[Enrolment S.Y. 2025-2026 ]]*8</f>
        <v>872</v>
      </c>
      <c r="E9" s="5">
        <v>56</v>
      </c>
      <c r="F9" s="1">
        <v>2024</v>
      </c>
      <c r="G9" s="5" t="s">
        <v>10</v>
      </c>
      <c r="H9" s="5">
        <f t="shared" si="2"/>
        <v>816</v>
      </c>
      <c r="I9" s="5">
        <f t="shared" si="3"/>
        <v>0</v>
      </c>
      <c r="J9" s="5">
        <f>Table1[[#This Row],[Enrolment S.Y. 2025-2026 ]]*8</f>
        <v>872</v>
      </c>
      <c r="K9" s="5"/>
      <c r="L9" s="1"/>
      <c r="M9" s="5"/>
      <c r="N9" s="5">
        <f t="shared" si="10"/>
        <v>872</v>
      </c>
      <c r="O9" s="5">
        <f t="shared" si="11"/>
        <v>0</v>
      </c>
      <c r="P9" s="5">
        <f>Table1[[#This Row],[Enrolment S.Y. 2025-2026 ]]*8</f>
        <v>872</v>
      </c>
      <c r="Q9" s="5"/>
      <c r="R9" s="1"/>
      <c r="S9" s="5"/>
      <c r="T9" s="5">
        <f t="shared" si="12"/>
        <v>872</v>
      </c>
      <c r="U9" s="5">
        <f t="shared" si="13"/>
        <v>0</v>
      </c>
      <c r="V9" s="5">
        <f>Table1[[#This Row],[Enrolment S.Y. 2025-2026 ]]*8</f>
        <v>872</v>
      </c>
      <c r="W9" s="5"/>
      <c r="X9" s="1"/>
      <c r="Y9" s="5"/>
      <c r="Z9" s="5">
        <f t="shared" si="14"/>
        <v>872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112</v>
      </c>
      <c r="D16" s="5">
        <f>Table1[[#This Row],[Enrolment S.Y. 2025-2026 ]]*8</f>
        <v>896</v>
      </c>
      <c r="E16" s="5">
        <v>114</v>
      </c>
      <c r="F16" s="1">
        <v>2025</v>
      </c>
      <c r="G16" s="5" t="s">
        <v>10</v>
      </c>
      <c r="H16" s="5">
        <f t="shared" si="2"/>
        <v>782</v>
      </c>
      <c r="I16" s="5">
        <f t="shared" si="3"/>
        <v>0</v>
      </c>
      <c r="J16" s="5">
        <f>Table1[[#This Row],[Enrolment S.Y. 2025-2026 ]]*8</f>
        <v>896</v>
      </c>
      <c r="K16" s="5"/>
      <c r="L16" s="1"/>
      <c r="M16" s="5"/>
      <c r="N16" s="5">
        <f t="shared" si="10"/>
        <v>896</v>
      </c>
      <c r="O16" s="5">
        <f t="shared" si="11"/>
        <v>0</v>
      </c>
      <c r="P16" s="5">
        <f>Table1[[#This Row],[Enrolment S.Y. 2025-2026 ]]*8</f>
        <v>896</v>
      </c>
      <c r="Q16" s="5"/>
      <c r="R16" s="1"/>
      <c r="S16" s="5"/>
      <c r="T16" s="5">
        <f t="shared" si="12"/>
        <v>896</v>
      </c>
      <c r="U16" s="5">
        <f t="shared" si="13"/>
        <v>0</v>
      </c>
      <c r="V16" s="5">
        <f>Table1[[#This Row],[Enrolment S.Y. 2025-2026 ]]*8</f>
        <v>896</v>
      </c>
      <c r="W16" s="5"/>
      <c r="X16" s="1"/>
      <c r="Y16" s="5"/>
      <c r="Z16" s="5">
        <f t="shared" si="14"/>
        <v>896</v>
      </c>
      <c r="AA16" s="5">
        <f t="shared" si="15"/>
        <v>0</v>
      </c>
    </row>
    <row r="17" spans="1:27" ht="19.149999999999999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112</v>
      </c>
      <c r="D19" s="5">
        <f>Table1[[#This Row],[Enrolment S.Y. 2025-2026 ]]*8</f>
        <v>896</v>
      </c>
      <c r="E19" s="5">
        <v>114</v>
      </c>
      <c r="F19" s="1">
        <v>2025</v>
      </c>
      <c r="G19" s="5" t="s">
        <v>10</v>
      </c>
      <c r="H19" s="5">
        <f>IF((D19-E19)&lt;0,0,(D19-E19))</f>
        <v>782</v>
      </c>
      <c r="I19" s="5">
        <f>IF((E19-D19)&lt;0,0,(E19-D19))</f>
        <v>0</v>
      </c>
      <c r="J19" s="5">
        <f>Table1[[#This Row],[Enrolment S.Y. 2025-2026 ]]*8</f>
        <v>896</v>
      </c>
      <c r="K19" s="5"/>
      <c r="L19" s="1"/>
      <c r="M19" s="5"/>
      <c r="N19" s="5">
        <f t="shared" si="10"/>
        <v>896</v>
      </c>
      <c r="O19" s="5">
        <f t="shared" si="11"/>
        <v>0</v>
      </c>
      <c r="P19" s="5">
        <f>Table1[[#This Row],[Enrolment S.Y. 2025-2026 ]]*8</f>
        <v>896</v>
      </c>
      <c r="Q19" s="5"/>
      <c r="R19" s="1"/>
      <c r="S19" s="5"/>
      <c r="T19" s="5">
        <f t="shared" si="12"/>
        <v>896</v>
      </c>
      <c r="U19" s="5">
        <f t="shared" si="13"/>
        <v>0</v>
      </c>
      <c r="V19" s="5">
        <f>Table1[[#This Row],[Enrolment S.Y. 2025-2026 ]]*8</f>
        <v>896</v>
      </c>
      <c r="W19" s="5"/>
      <c r="X19" s="1"/>
      <c r="Y19" s="5"/>
      <c r="Z19" s="5">
        <f t="shared" si="14"/>
        <v>896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112</v>
      </c>
      <c r="D20" s="5">
        <f>Table1[[#This Row],[Enrolment S.Y. 2025-2026 ]]*8</f>
        <v>896</v>
      </c>
      <c r="E20" s="5">
        <v>114</v>
      </c>
      <c r="F20" s="1">
        <v>2025</v>
      </c>
      <c r="G20" s="5" t="s">
        <v>10</v>
      </c>
      <c r="H20" s="5">
        <f>IF((D20-E20)&lt;0,0,(D20-E20))</f>
        <v>782</v>
      </c>
      <c r="I20" s="5">
        <f>IF((E20-D20)&lt;0,0,(E20-D20))</f>
        <v>0</v>
      </c>
      <c r="J20" s="5">
        <f>Table1[[#This Row],[Enrolment S.Y. 2025-2026 ]]*8</f>
        <v>896</v>
      </c>
      <c r="K20" s="5"/>
      <c r="L20" s="1"/>
      <c r="M20" s="5"/>
      <c r="N20" s="5">
        <f t="shared" si="10"/>
        <v>896</v>
      </c>
      <c r="O20" s="5">
        <f t="shared" si="11"/>
        <v>0</v>
      </c>
      <c r="P20" s="5">
        <f>Table1[[#This Row],[Enrolment S.Y. 2025-2026 ]]*8</f>
        <v>896</v>
      </c>
      <c r="Q20" s="5"/>
      <c r="R20" s="1"/>
      <c r="S20" s="5"/>
      <c r="T20" s="5">
        <f t="shared" si="12"/>
        <v>896</v>
      </c>
      <c r="U20" s="5">
        <f t="shared" si="13"/>
        <v>0</v>
      </c>
      <c r="V20" s="5">
        <f>Table1[[#This Row],[Enrolment S.Y. 2025-2026 ]]*8</f>
        <v>896</v>
      </c>
      <c r="W20" s="5"/>
      <c r="X20" s="1"/>
      <c r="Y20" s="5"/>
      <c r="Z20" s="5">
        <f t="shared" si="14"/>
        <v>896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115</v>
      </c>
      <c r="D26" s="5">
        <f>Table1[[#This Row],[Enrolment S.Y. 2025-2026 ]]*8</f>
        <v>920</v>
      </c>
      <c r="E26" s="5">
        <v>134</v>
      </c>
      <c r="F26" s="1">
        <v>2025</v>
      </c>
      <c r="G26" s="5" t="s">
        <v>10</v>
      </c>
      <c r="H26" s="5">
        <f t="shared" si="2"/>
        <v>786</v>
      </c>
      <c r="I26" s="5">
        <f t="shared" si="3"/>
        <v>0</v>
      </c>
      <c r="J26" s="5">
        <f>Table1[[#This Row],[Enrolment S.Y. 2025-2026 ]]*8</f>
        <v>920</v>
      </c>
      <c r="K26" s="5"/>
      <c r="L26" s="1"/>
      <c r="M26" s="5"/>
      <c r="N26" s="5">
        <f t="shared" si="10"/>
        <v>920</v>
      </c>
      <c r="O26" s="5">
        <f t="shared" si="11"/>
        <v>0</v>
      </c>
      <c r="P26" s="5">
        <f>Table1[[#This Row],[Enrolment S.Y. 2025-2026 ]]*8</f>
        <v>920</v>
      </c>
      <c r="Q26" s="5"/>
      <c r="R26" s="1"/>
      <c r="S26" s="5"/>
      <c r="T26" s="5">
        <f t="shared" si="12"/>
        <v>920</v>
      </c>
      <c r="U26" s="5">
        <f t="shared" si="13"/>
        <v>0</v>
      </c>
      <c r="V26" s="5">
        <f>Table1[[#This Row],[Enrolment S.Y. 2025-2026 ]]*8</f>
        <v>920</v>
      </c>
      <c r="W26" s="5"/>
      <c r="X26" s="1"/>
      <c r="Y26" s="5"/>
      <c r="Z26" s="5">
        <f t="shared" si="14"/>
        <v>920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115</v>
      </c>
      <c r="D27" s="5">
        <f>Table1[[#This Row],[Enrolment S.Y. 2025-2026 ]]*8</f>
        <v>920</v>
      </c>
      <c r="E27" s="5">
        <v>134</v>
      </c>
      <c r="F27" s="1">
        <v>2025</v>
      </c>
      <c r="G27" s="5" t="s">
        <v>10</v>
      </c>
      <c r="H27" s="5">
        <f t="shared" si="2"/>
        <v>786</v>
      </c>
      <c r="I27" s="5">
        <f t="shared" si="3"/>
        <v>0</v>
      </c>
      <c r="J27" s="5">
        <f>Table1[[#This Row],[Enrolment S.Y. 2025-2026 ]]*8</f>
        <v>920</v>
      </c>
      <c r="K27" s="5"/>
      <c r="L27" s="1"/>
      <c r="M27" s="5"/>
      <c r="N27" s="5">
        <f t="shared" si="10"/>
        <v>920</v>
      </c>
      <c r="O27" s="5">
        <f t="shared" si="11"/>
        <v>0</v>
      </c>
      <c r="P27" s="5">
        <f>Table1[[#This Row],[Enrolment S.Y. 2025-2026 ]]*8</f>
        <v>920</v>
      </c>
      <c r="Q27" s="5"/>
      <c r="R27" s="1"/>
      <c r="S27" s="5"/>
      <c r="T27" s="5">
        <f t="shared" si="12"/>
        <v>920</v>
      </c>
      <c r="U27" s="5">
        <f t="shared" si="13"/>
        <v>0</v>
      </c>
      <c r="V27" s="5">
        <f>Table1[[#This Row],[Enrolment S.Y. 2025-2026 ]]*8</f>
        <v>920</v>
      </c>
      <c r="W27" s="5"/>
      <c r="X27" s="1"/>
      <c r="Y27" s="5"/>
      <c r="Z27" s="5">
        <f t="shared" si="14"/>
        <v>920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115</v>
      </c>
      <c r="D28" s="5">
        <f>Table1[[#This Row],[Enrolment S.Y. 2025-2026 ]]*8</f>
        <v>920</v>
      </c>
      <c r="E28" s="5">
        <v>134</v>
      </c>
      <c r="F28" s="1">
        <v>2025</v>
      </c>
      <c r="G28" s="5" t="s">
        <v>10</v>
      </c>
      <c r="H28" s="5">
        <f t="shared" si="2"/>
        <v>786</v>
      </c>
      <c r="I28" s="5">
        <f t="shared" si="3"/>
        <v>0</v>
      </c>
      <c r="J28" s="5">
        <f>Table1[[#This Row],[Enrolment S.Y. 2025-2026 ]]*8</f>
        <v>920</v>
      </c>
      <c r="K28" s="5"/>
      <c r="L28" s="1"/>
      <c r="M28" s="5"/>
      <c r="N28" s="5">
        <f t="shared" si="10"/>
        <v>920</v>
      </c>
      <c r="O28" s="5">
        <f t="shared" si="11"/>
        <v>0</v>
      </c>
      <c r="P28" s="5">
        <f>Table1[[#This Row],[Enrolment S.Y. 2025-2026 ]]*8</f>
        <v>920</v>
      </c>
      <c r="Q28" s="5"/>
      <c r="R28" s="1"/>
      <c r="S28" s="5"/>
      <c r="T28" s="5">
        <f t="shared" si="12"/>
        <v>920</v>
      </c>
      <c r="U28" s="5">
        <f t="shared" si="13"/>
        <v>0</v>
      </c>
      <c r="V28" s="5">
        <f>Table1[[#This Row],[Enrolment S.Y. 2025-2026 ]]*8</f>
        <v>920</v>
      </c>
      <c r="W28" s="5"/>
      <c r="X28" s="1"/>
      <c r="Y28" s="5"/>
      <c r="Z28" s="5">
        <f t="shared" si="14"/>
        <v>920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115</v>
      </c>
      <c r="D29" s="5">
        <f>Table1[[#This Row],[Enrolment S.Y. 2025-2026 ]]*8</f>
        <v>920</v>
      </c>
      <c r="E29" s="5">
        <v>134</v>
      </c>
      <c r="F29" s="1">
        <v>2025</v>
      </c>
      <c r="G29" s="5" t="s">
        <v>10</v>
      </c>
      <c r="H29" s="5">
        <f>IF((D29-E29)&lt;0,0,(D29-E29))</f>
        <v>786</v>
      </c>
      <c r="I29" s="5">
        <f>IF((E29-D29)&lt;0,0,(E29-D29))</f>
        <v>0</v>
      </c>
      <c r="J29" s="5">
        <f>Table1[[#This Row],[Enrolment S.Y. 2025-2026 ]]*8</f>
        <v>920</v>
      </c>
      <c r="K29" s="5"/>
      <c r="L29" s="1"/>
      <c r="M29" s="5"/>
      <c r="N29" s="5">
        <f t="shared" si="10"/>
        <v>920</v>
      </c>
      <c r="O29" s="5">
        <f t="shared" si="11"/>
        <v>0</v>
      </c>
      <c r="P29" s="5">
        <f>Table1[[#This Row],[Enrolment S.Y. 2025-2026 ]]*8</f>
        <v>920</v>
      </c>
      <c r="Q29" s="5"/>
      <c r="R29" s="1"/>
      <c r="S29" s="5"/>
      <c r="T29" s="5">
        <f t="shared" si="12"/>
        <v>920</v>
      </c>
      <c r="U29" s="5">
        <f t="shared" si="13"/>
        <v>0</v>
      </c>
      <c r="V29" s="5">
        <f>Table1[[#This Row],[Enrolment S.Y. 2025-2026 ]]*8</f>
        <v>920</v>
      </c>
      <c r="W29" s="5"/>
      <c r="X29" s="1"/>
      <c r="Y29" s="5"/>
      <c r="Z29" s="5">
        <f t="shared" si="14"/>
        <v>920</v>
      </c>
      <c r="AA29" s="5">
        <f t="shared" si="15"/>
        <v>0</v>
      </c>
    </row>
    <row r="30" spans="1:27" ht="19.149999999999999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138</v>
      </c>
      <c r="D33" s="5">
        <f>Table1[[#This Row],[Enrolment S.Y. 2025-2026 ]]*8</f>
        <v>1104</v>
      </c>
      <c r="E33" s="5">
        <v>59</v>
      </c>
      <c r="F33" s="1">
        <v>2024</v>
      </c>
      <c r="G33" s="5" t="s">
        <v>10</v>
      </c>
      <c r="H33" s="5">
        <f t="shared" si="2"/>
        <v>1045</v>
      </c>
      <c r="I33" s="5">
        <f t="shared" si="3"/>
        <v>0</v>
      </c>
      <c r="J33" s="5">
        <f>Table1[[#This Row],[Enrolment S.Y. 2025-2026 ]]*8</f>
        <v>1104</v>
      </c>
      <c r="K33" s="5"/>
      <c r="L33" s="1"/>
      <c r="M33" s="5"/>
      <c r="N33" s="5">
        <f t="shared" si="10"/>
        <v>1104</v>
      </c>
      <c r="O33" s="5">
        <f t="shared" si="11"/>
        <v>0</v>
      </c>
      <c r="P33" s="5">
        <f>Table1[[#This Row],[Enrolment S.Y. 2025-2026 ]]*8</f>
        <v>1104</v>
      </c>
      <c r="Q33" s="5"/>
      <c r="R33" s="1"/>
      <c r="S33" s="5"/>
      <c r="T33" s="5">
        <f t="shared" si="12"/>
        <v>1104</v>
      </c>
      <c r="U33" s="5">
        <f t="shared" si="13"/>
        <v>0</v>
      </c>
      <c r="V33" s="5">
        <f>Table1[[#This Row],[Enrolment S.Y. 2025-2026 ]]*8</f>
        <v>1104</v>
      </c>
      <c r="W33" s="5"/>
      <c r="X33" s="1"/>
      <c r="Y33" s="5"/>
      <c r="Z33" s="5">
        <f t="shared" si="14"/>
        <v>1104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138</v>
      </c>
      <c r="D34" s="5">
        <f>Table1[[#This Row],[Enrolment S.Y. 2025-2026 ]]*8</f>
        <v>1104</v>
      </c>
      <c r="E34" s="5">
        <v>59</v>
      </c>
      <c r="F34" s="1">
        <v>2024</v>
      </c>
      <c r="G34" s="5" t="s">
        <v>10</v>
      </c>
      <c r="H34" s="5">
        <f t="shared" si="2"/>
        <v>1045</v>
      </c>
      <c r="I34" s="5">
        <f t="shared" si="3"/>
        <v>0</v>
      </c>
      <c r="J34" s="5">
        <f>Table1[[#This Row],[Enrolment S.Y. 2025-2026 ]]*8</f>
        <v>1104</v>
      </c>
      <c r="K34" s="5"/>
      <c r="L34" s="1"/>
      <c r="M34" s="5"/>
      <c r="N34" s="5">
        <f t="shared" si="10"/>
        <v>1104</v>
      </c>
      <c r="O34" s="5">
        <f t="shared" si="11"/>
        <v>0</v>
      </c>
      <c r="P34" s="5">
        <f>Table1[[#This Row],[Enrolment S.Y. 2025-2026 ]]*8</f>
        <v>1104</v>
      </c>
      <c r="Q34" s="5"/>
      <c r="R34" s="1"/>
      <c r="S34" s="5"/>
      <c r="T34" s="5">
        <f t="shared" si="12"/>
        <v>1104</v>
      </c>
      <c r="U34" s="5">
        <f t="shared" si="13"/>
        <v>0</v>
      </c>
      <c r="V34" s="5">
        <f>Table1[[#This Row],[Enrolment S.Y. 2025-2026 ]]*8</f>
        <v>1104</v>
      </c>
      <c r="W34" s="5"/>
      <c r="X34" s="1"/>
      <c r="Y34" s="5"/>
      <c r="Z34" s="5">
        <f t="shared" si="14"/>
        <v>1104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138</v>
      </c>
      <c r="D35" s="5">
        <f>Table1[[#This Row],[Enrolment S.Y. 2025-2026 ]]*8</f>
        <v>1104</v>
      </c>
      <c r="E35" s="5">
        <v>59</v>
      </c>
      <c r="F35" s="1">
        <v>2024</v>
      </c>
      <c r="G35" s="5" t="s">
        <v>10</v>
      </c>
      <c r="H35" s="5">
        <f t="shared" si="2"/>
        <v>1045</v>
      </c>
      <c r="I35" s="5">
        <f t="shared" si="3"/>
        <v>0</v>
      </c>
      <c r="J35" s="5">
        <f>Table1[[#This Row],[Enrolment S.Y. 2025-2026 ]]*8</f>
        <v>1104</v>
      </c>
      <c r="K35" s="5"/>
      <c r="L35" s="1"/>
      <c r="M35" s="5"/>
      <c r="N35" s="5">
        <f t="shared" si="10"/>
        <v>1104</v>
      </c>
      <c r="O35" s="5">
        <f t="shared" si="11"/>
        <v>0</v>
      </c>
      <c r="P35" s="5">
        <f>Table1[[#This Row],[Enrolment S.Y. 2025-2026 ]]*8</f>
        <v>1104</v>
      </c>
      <c r="Q35" s="5"/>
      <c r="R35" s="1"/>
      <c r="S35" s="5"/>
      <c r="T35" s="5">
        <f t="shared" si="12"/>
        <v>1104</v>
      </c>
      <c r="U35" s="5">
        <f t="shared" si="13"/>
        <v>0</v>
      </c>
      <c r="V35" s="5">
        <f>Table1[[#This Row],[Enrolment S.Y. 2025-2026 ]]*8</f>
        <v>1104</v>
      </c>
      <c r="W35" s="5"/>
      <c r="X35" s="1"/>
      <c r="Y35" s="5"/>
      <c r="Z35" s="5">
        <f t="shared" si="14"/>
        <v>1104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138</v>
      </c>
      <c r="D36" s="5">
        <f>Table1[[#This Row],[Enrolment S.Y. 2025-2026 ]]*8</f>
        <v>1104</v>
      </c>
      <c r="E36" s="5">
        <v>59</v>
      </c>
      <c r="F36" s="1">
        <v>2024</v>
      </c>
      <c r="G36" s="5" t="s">
        <v>10</v>
      </c>
      <c r="H36" s="5">
        <f t="shared" si="2"/>
        <v>1045</v>
      </c>
      <c r="I36" s="5">
        <f t="shared" si="3"/>
        <v>0</v>
      </c>
      <c r="J36" s="5">
        <f>Table1[[#This Row],[Enrolment S.Y. 2025-2026 ]]*8</f>
        <v>1104</v>
      </c>
      <c r="K36" s="5"/>
      <c r="L36" s="1"/>
      <c r="M36" s="5"/>
      <c r="N36" s="5">
        <f t="shared" si="10"/>
        <v>1104</v>
      </c>
      <c r="O36" s="5">
        <f t="shared" si="11"/>
        <v>0</v>
      </c>
      <c r="P36" s="5">
        <f>Table1[[#This Row],[Enrolment S.Y. 2025-2026 ]]*8</f>
        <v>1104</v>
      </c>
      <c r="Q36" s="5"/>
      <c r="R36" s="1"/>
      <c r="S36" s="5"/>
      <c r="T36" s="5">
        <f t="shared" si="12"/>
        <v>1104</v>
      </c>
      <c r="U36" s="5">
        <f t="shared" si="13"/>
        <v>0</v>
      </c>
      <c r="V36" s="5">
        <f>Table1[[#This Row],[Enrolment S.Y. 2025-2026 ]]*8</f>
        <v>1104</v>
      </c>
      <c r="W36" s="5"/>
      <c r="X36" s="1"/>
      <c r="Y36" s="5"/>
      <c r="Z36" s="5">
        <f t="shared" si="14"/>
        <v>1104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138</v>
      </c>
      <c r="D37" s="5">
        <f>Table1[[#This Row],[Enrolment S.Y. 2025-2026 ]]*8</f>
        <v>1104</v>
      </c>
      <c r="E37" s="5">
        <v>59</v>
      </c>
      <c r="F37" s="1">
        <v>2024</v>
      </c>
      <c r="G37" s="5" t="s">
        <v>10</v>
      </c>
      <c r="H37" s="5">
        <f t="shared" si="2"/>
        <v>1045</v>
      </c>
      <c r="I37" s="5">
        <f t="shared" si="3"/>
        <v>0</v>
      </c>
      <c r="J37" s="5">
        <f>Table1[[#This Row],[Enrolment S.Y. 2025-2026 ]]*8</f>
        <v>1104</v>
      </c>
      <c r="K37" s="5"/>
      <c r="L37" s="1"/>
      <c r="M37" s="5"/>
      <c r="N37" s="5">
        <f t="shared" si="10"/>
        <v>1104</v>
      </c>
      <c r="O37" s="5">
        <f t="shared" si="11"/>
        <v>0</v>
      </c>
      <c r="P37" s="5">
        <f>Table1[[#This Row],[Enrolment S.Y. 2025-2026 ]]*8</f>
        <v>1104</v>
      </c>
      <c r="Q37" s="5"/>
      <c r="R37" s="1"/>
      <c r="S37" s="5"/>
      <c r="T37" s="5">
        <f t="shared" si="12"/>
        <v>1104</v>
      </c>
      <c r="U37" s="5">
        <f t="shared" si="13"/>
        <v>0</v>
      </c>
      <c r="V37" s="5">
        <f>Table1[[#This Row],[Enrolment S.Y. 2025-2026 ]]*8</f>
        <v>1104</v>
      </c>
      <c r="W37" s="5"/>
      <c r="X37" s="1"/>
      <c r="Y37" s="5"/>
      <c r="Z37" s="5">
        <f t="shared" si="14"/>
        <v>1104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138</v>
      </c>
      <c r="D38" s="5">
        <f>Table1[[#This Row],[Enrolment S.Y. 2025-2026 ]]*8</f>
        <v>1104</v>
      </c>
      <c r="E38" s="5">
        <v>59</v>
      </c>
      <c r="F38" s="1">
        <v>2024</v>
      </c>
      <c r="G38" s="5" t="s">
        <v>10</v>
      </c>
      <c r="H38" s="5">
        <f t="shared" si="2"/>
        <v>1045</v>
      </c>
      <c r="I38" s="5">
        <f t="shared" si="3"/>
        <v>0</v>
      </c>
      <c r="J38" s="5">
        <f>Table1[[#This Row],[Enrolment S.Y. 2025-2026 ]]*8</f>
        <v>1104</v>
      </c>
      <c r="K38" s="5"/>
      <c r="L38" s="1"/>
      <c r="M38" s="5"/>
      <c r="N38" s="5">
        <f t="shared" si="10"/>
        <v>1104</v>
      </c>
      <c r="O38" s="5">
        <f t="shared" si="11"/>
        <v>0</v>
      </c>
      <c r="P38" s="5">
        <f>Table1[[#This Row],[Enrolment S.Y. 2025-2026 ]]*8</f>
        <v>1104</v>
      </c>
      <c r="Q38" s="5"/>
      <c r="R38" s="1"/>
      <c r="S38" s="5"/>
      <c r="T38" s="5">
        <f t="shared" si="12"/>
        <v>1104</v>
      </c>
      <c r="U38" s="5">
        <f t="shared" si="13"/>
        <v>0</v>
      </c>
      <c r="V38" s="5">
        <f>Table1[[#This Row],[Enrolment S.Y. 2025-2026 ]]*8</f>
        <v>1104</v>
      </c>
      <c r="W38" s="5"/>
      <c r="X38" s="1"/>
      <c r="Y38" s="5"/>
      <c r="Z38" s="5">
        <f t="shared" si="14"/>
        <v>1104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138</v>
      </c>
      <c r="D39" s="5">
        <f>Table1[[#This Row],[Enrolment S.Y. 2025-2026 ]]*8</f>
        <v>1104</v>
      </c>
      <c r="E39" s="5">
        <v>59</v>
      </c>
      <c r="F39" s="1">
        <v>2024</v>
      </c>
      <c r="G39" s="5" t="s">
        <v>10</v>
      </c>
      <c r="H39" s="5">
        <f t="shared" si="2"/>
        <v>1045</v>
      </c>
      <c r="I39" s="5">
        <f t="shared" si="3"/>
        <v>0</v>
      </c>
      <c r="J39" s="5">
        <f>Table1[[#This Row],[Enrolment S.Y. 2025-2026 ]]*8</f>
        <v>1104</v>
      </c>
      <c r="K39" s="5"/>
      <c r="L39" s="1"/>
      <c r="M39" s="5"/>
      <c r="N39" s="5">
        <f t="shared" si="10"/>
        <v>1104</v>
      </c>
      <c r="O39" s="5">
        <f t="shared" si="11"/>
        <v>0</v>
      </c>
      <c r="P39" s="5">
        <f>Table1[[#This Row],[Enrolment S.Y. 2025-2026 ]]*8</f>
        <v>1104</v>
      </c>
      <c r="Q39" s="5"/>
      <c r="R39" s="1"/>
      <c r="S39" s="5"/>
      <c r="T39" s="5">
        <f t="shared" si="12"/>
        <v>1104</v>
      </c>
      <c r="U39" s="5">
        <f t="shared" si="13"/>
        <v>0</v>
      </c>
      <c r="V39" s="5">
        <f>Table1[[#This Row],[Enrolment S.Y. 2025-2026 ]]*8</f>
        <v>1104</v>
      </c>
      <c r="W39" s="5"/>
      <c r="X39" s="1"/>
      <c r="Y39" s="5"/>
      <c r="Z39" s="5">
        <f t="shared" si="14"/>
        <v>1104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138</v>
      </c>
      <c r="D40" s="5">
        <f>Table1[[#This Row],[Enrolment S.Y. 2025-2026 ]]*8</f>
        <v>1104</v>
      </c>
      <c r="E40" s="5">
        <v>59</v>
      </c>
      <c r="F40" s="1">
        <v>2024</v>
      </c>
      <c r="G40" s="5" t="s">
        <v>10</v>
      </c>
      <c r="H40" s="5">
        <f t="shared" si="2"/>
        <v>1045</v>
      </c>
      <c r="I40" s="5">
        <f t="shared" si="3"/>
        <v>0</v>
      </c>
      <c r="J40" s="5">
        <f>Table1[[#This Row],[Enrolment S.Y. 2025-2026 ]]*8</f>
        <v>1104</v>
      </c>
      <c r="K40" s="5"/>
      <c r="L40" s="1"/>
      <c r="M40" s="5"/>
      <c r="N40" s="5">
        <f t="shared" si="10"/>
        <v>1104</v>
      </c>
      <c r="O40" s="5">
        <f t="shared" si="11"/>
        <v>0</v>
      </c>
      <c r="P40" s="5">
        <f>Table1[[#This Row],[Enrolment S.Y. 2025-2026 ]]*8</f>
        <v>1104</v>
      </c>
      <c r="Q40" s="5"/>
      <c r="R40" s="1"/>
      <c r="S40" s="5"/>
      <c r="T40" s="5">
        <f t="shared" si="12"/>
        <v>1104</v>
      </c>
      <c r="U40" s="5">
        <f t="shared" si="13"/>
        <v>0</v>
      </c>
      <c r="V40" s="5">
        <f>Table1[[#This Row],[Enrolment S.Y. 2025-2026 ]]*8</f>
        <v>1104</v>
      </c>
      <c r="W40" s="5"/>
      <c r="X40" s="1"/>
      <c r="Y40" s="5"/>
      <c r="Z40" s="5">
        <f t="shared" si="14"/>
        <v>1104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138</v>
      </c>
      <c r="D41" s="5">
        <f>Table1[[#This Row],[Enrolment S.Y. 2025-2026 ]]*8</f>
        <v>1104</v>
      </c>
      <c r="E41" s="5">
        <v>59</v>
      </c>
      <c r="F41" s="1">
        <v>2024</v>
      </c>
      <c r="G41" s="5" t="s">
        <v>10</v>
      </c>
      <c r="H41" s="5">
        <f t="shared" si="2"/>
        <v>1045</v>
      </c>
      <c r="I41" s="5">
        <f t="shared" si="3"/>
        <v>0</v>
      </c>
      <c r="J41" s="5">
        <f>Table1[[#This Row],[Enrolment S.Y. 2025-2026 ]]*8</f>
        <v>1104</v>
      </c>
      <c r="K41" s="5"/>
      <c r="L41" s="1"/>
      <c r="M41" s="5"/>
      <c r="N41" s="5">
        <f t="shared" si="10"/>
        <v>1104</v>
      </c>
      <c r="O41" s="5">
        <f t="shared" si="11"/>
        <v>0</v>
      </c>
      <c r="P41" s="5">
        <f>Table1[[#This Row],[Enrolment S.Y. 2025-2026 ]]*8</f>
        <v>1104</v>
      </c>
      <c r="Q41" s="5"/>
      <c r="R41" s="1"/>
      <c r="S41" s="5"/>
      <c r="T41" s="5">
        <f t="shared" si="12"/>
        <v>1104</v>
      </c>
      <c r="U41" s="5">
        <f t="shared" si="13"/>
        <v>0</v>
      </c>
      <c r="V41" s="5">
        <f>Table1[[#This Row],[Enrolment S.Y. 2025-2026 ]]*8</f>
        <v>1104</v>
      </c>
      <c r="W41" s="5"/>
      <c r="X41" s="1"/>
      <c r="Y41" s="5"/>
      <c r="Z41" s="5">
        <f t="shared" si="14"/>
        <v>1104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145</v>
      </c>
      <c r="D43" s="5">
        <f>Table1[[#This Row],[Enrolment S.Y. 2025-2026 ]]*8</f>
        <v>1160</v>
      </c>
      <c r="E43" s="5">
        <v>84</v>
      </c>
      <c r="F43" s="1">
        <v>2025</v>
      </c>
      <c r="G43" s="5" t="s">
        <v>10</v>
      </c>
      <c r="H43" s="5">
        <f t="shared" si="2"/>
        <v>1076</v>
      </c>
      <c r="I43" s="5">
        <f t="shared" si="3"/>
        <v>0</v>
      </c>
      <c r="J43" s="5">
        <f>Table1[[#This Row],[Enrolment S.Y. 2025-2026 ]]*8</f>
        <v>1160</v>
      </c>
      <c r="K43" s="5"/>
      <c r="L43" s="1"/>
      <c r="M43" s="5"/>
      <c r="N43" s="5">
        <f t="shared" si="10"/>
        <v>1160</v>
      </c>
      <c r="O43" s="5">
        <f t="shared" si="11"/>
        <v>0</v>
      </c>
      <c r="P43" s="5">
        <f>Table1[[#This Row],[Enrolment S.Y. 2025-2026 ]]*8</f>
        <v>1160</v>
      </c>
      <c r="Q43" s="5"/>
      <c r="R43" s="1"/>
      <c r="S43" s="5"/>
      <c r="T43" s="5">
        <f t="shared" si="12"/>
        <v>1160</v>
      </c>
      <c r="U43" s="5">
        <f t="shared" si="13"/>
        <v>0</v>
      </c>
      <c r="V43" s="5">
        <f>Table1[[#This Row],[Enrolment S.Y. 2025-2026 ]]*8</f>
        <v>1160</v>
      </c>
      <c r="W43" s="5"/>
      <c r="X43" s="1"/>
      <c r="Y43" s="5"/>
      <c r="Z43" s="5">
        <f t="shared" si="14"/>
        <v>1160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145</v>
      </c>
      <c r="D44" s="5">
        <f>Table1[[#This Row],[Enrolment S.Y. 2025-2026 ]]*8</f>
        <v>1160</v>
      </c>
      <c r="E44" s="5">
        <v>84</v>
      </c>
      <c r="F44" s="1">
        <v>2025</v>
      </c>
      <c r="G44" s="5" t="s">
        <v>10</v>
      </c>
      <c r="H44" s="5">
        <f t="shared" si="2"/>
        <v>1076</v>
      </c>
      <c r="I44" s="5">
        <f t="shared" si="3"/>
        <v>0</v>
      </c>
      <c r="J44" s="5">
        <f>Table1[[#This Row],[Enrolment S.Y. 2025-2026 ]]*8</f>
        <v>1160</v>
      </c>
      <c r="K44" s="5"/>
      <c r="L44" s="1"/>
      <c r="M44" s="5"/>
      <c r="N44" s="5">
        <f t="shared" si="10"/>
        <v>1160</v>
      </c>
      <c r="O44" s="5">
        <f t="shared" si="11"/>
        <v>0</v>
      </c>
      <c r="P44" s="5">
        <f>Table1[[#This Row],[Enrolment S.Y. 2025-2026 ]]*8</f>
        <v>1160</v>
      </c>
      <c r="Q44" s="5"/>
      <c r="R44" s="1"/>
      <c r="S44" s="5"/>
      <c r="T44" s="5">
        <f t="shared" si="12"/>
        <v>1160</v>
      </c>
      <c r="U44" s="5">
        <f t="shared" si="13"/>
        <v>0</v>
      </c>
      <c r="V44" s="5">
        <f>Table1[[#This Row],[Enrolment S.Y. 2025-2026 ]]*8</f>
        <v>1160</v>
      </c>
      <c r="W44" s="5"/>
      <c r="X44" s="1"/>
      <c r="Y44" s="5"/>
      <c r="Z44" s="5">
        <f t="shared" si="14"/>
        <v>1160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145</v>
      </c>
      <c r="D45" s="5">
        <f>Table1[[#This Row],[Enrolment S.Y. 2025-2026 ]]*8</f>
        <v>1160</v>
      </c>
      <c r="E45" s="5">
        <v>84</v>
      </c>
      <c r="F45" s="1">
        <v>2025</v>
      </c>
      <c r="G45" s="5" t="s">
        <v>10</v>
      </c>
      <c r="H45" s="5">
        <f t="shared" si="2"/>
        <v>1076</v>
      </c>
      <c r="I45" s="5">
        <f t="shared" si="3"/>
        <v>0</v>
      </c>
      <c r="J45" s="5">
        <f>Table1[[#This Row],[Enrolment S.Y. 2025-2026 ]]*8</f>
        <v>1160</v>
      </c>
      <c r="K45" s="5"/>
      <c r="L45" s="1"/>
      <c r="M45" s="5"/>
      <c r="N45" s="5">
        <f t="shared" si="10"/>
        <v>1160</v>
      </c>
      <c r="O45" s="5">
        <f t="shared" si="11"/>
        <v>0</v>
      </c>
      <c r="P45" s="5">
        <f>Table1[[#This Row],[Enrolment S.Y. 2025-2026 ]]*8</f>
        <v>1160</v>
      </c>
      <c r="Q45" s="5"/>
      <c r="R45" s="1"/>
      <c r="S45" s="5"/>
      <c r="T45" s="5">
        <f t="shared" si="12"/>
        <v>1160</v>
      </c>
      <c r="U45" s="5">
        <f t="shared" si="13"/>
        <v>0</v>
      </c>
      <c r="V45" s="5">
        <f>Table1[[#This Row],[Enrolment S.Y. 2025-2026 ]]*8</f>
        <v>1160</v>
      </c>
      <c r="W45" s="5"/>
      <c r="X45" s="1"/>
      <c r="Y45" s="5"/>
      <c r="Z45" s="5">
        <f t="shared" si="14"/>
        <v>1160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145</v>
      </c>
      <c r="D47" s="5">
        <f>Table1[[#This Row],[Enrolment S.Y. 2025-2026 ]]*8</f>
        <v>1160</v>
      </c>
      <c r="E47" s="5">
        <v>84</v>
      </c>
      <c r="F47" s="1">
        <v>2025</v>
      </c>
      <c r="G47" s="5" t="s">
        <v>10</v>
      </c>
      <c r="H47" s="5">
        <f t="shared" si="2"/>
        <v>1076</v>
      </c>
      <c r="I47" s="5">
        <f t="shared" si="3"/>
        <v>0</v>
      </c>
      <c r="J47" s="5">
        <f>Table1[[#This Row],[Enrolment S.Y. 2025-2026 ]]*8</f>
        <v>1160</v>
      </c>
      <c r="K47" s="5"/>
      <c r="L47" s="1"/>
      <c r="M47" s="5"/>
      <c r="N47" s="5">
        <f t="shared" si="10"/>
        <v>1160</v>
      </c>
      <c r="O47" s="5">
        <f t="shared" si="11"/>
        <v>0</v>
      </c>
      <c r="P47" s="5">
        <f>Table1[[#This Row],[Enrolment S.Y. 2025-2026 ]]*8</f>
        <v>1160</v>
      </c>
      <c r="Q47" s="5"/>
      <c r="R47" s="1"/>
      <c r="S47" s="5"/>
      <c r="T47" s="5">
        <f t="shared" si="12"/>
        <v>1160</v>
      </c>
      <c r="U47" s="5">
        <f t="shared" si="13"/>
        <v>0</v>
      </c>
      <c r="V47" s="5">
        <f>Table1[[#This Row],[Enrolment S.Y. 2025-2026 ]]*8</f>
        <v>1160</v>
      </c>
      <c r="W47" s="5"/>
      <c r="X47" s="1"/>
      <c r="Y47" s="5"/>
      <c r="Z47" s="5">
        <f t="shared" si="14"/>
        <v>1160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145</v>
      </c>
      <c r="D49" s="5">
        <f>Table1[[#This Row],[Enrolment S.Y. 2025-2026 ]]*8</f>
        <v>1160</v>
      </c>
      <c r="E49" s="5">
        <v>84</v>
      </c>
      <c r="F49" s="1">
        <v>2025</v>
      </c>
      <c r="G49" s="5" t="s">
        <v>10</v>
      </c>
      <c r="H49" s="5">
        <f t="shared" si="2"/>
        <v>1076</v>
      </c>
      <c r="I49" s="5">
        <f t="shared" si="3"/>
        <v>0</v>
      </c>
      <c r="J49" s="5">
        <f>Table1[[#This Row],[Enrolment S.Y. 2025-2026 ]]*8</f>
        <v>1160</v>
      </c>
      <c r="K49" s="5"/>
      <c r="L49" s="1"/>
      <c r="M49" s="5"/>
      <c r="N49" s="5">
        <f t="shared" si="10"/>
        <v>1160</v>
      </c>
      <c r="O49" s="5">
        <f t="shared" si="11"/>
        <v>0</v>
      </c>
      <c r="P49" s="5">
        <f>Table1[[#This Row],[Enrolment S.Y. 2025-2026 ]]*8</f>
        <v>1160</v>
      </c>
      <c r="Q49" s="5"/>
      <c r="R49" s="1"/>
      <c r="S49" s="5"/>
      <c r="T49" s="5">
        <f t="shared" si="12"/>
        <v>1160</v>
      </c>
      <c r="U49" s="5">
        <f t="shared" si="13"/>
        <v>0</v>
      </c>
      <c r="V49" s="5">
        <f>Table1[[#This Row],[Enrolment S.Y. 2025-2026 ]]*8</f>
        <v>1160</v>
      </c>
      <c r="W49" s="5"/>
      <c r="X49" s="1"/>
      <c r="Y49" s="5"/>
      <c r="Z49" s="5">
        <f t="shared" si="14"/>
        <v>1160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145</v>
      </c>
      <c r="D50" s="5">
        <f>Table1[[#This Row],[Enrolment S.Y. 2025-2026 ]]*8</f>
        <v>1160</v>
      </c>
      <c r="E50" s="5">
        <v>84</v>
      </c>
      <c r="F50" s="1">
        <v>2025</v>
      </c>
      <c r="G50" s="5" t="s">
        <v>10</v>
      </c>
      <c r="H50" s="5">
        <f t="shared" si="2"/>
        <v>1076</v>
      </c>
      <c r="I50" s="5">
        <f t="shared" si="3"/>
        <v>0</v>
      </c>
      <c r="J50" s="5">
        <f>Table1[[#This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Table1[[#This Row],[Enrolment S.Y. 2025-2026 ]]*8</f>
        <v>1160</v>
      </c>
      <c r="Q50" s="5"/>
      <c r="R50" s="1"/>
      <c r="S50" s="5"/>
      <c r="T50" s="5">
        <f t="shared" si="12"/>
        <v>1160</v>
      </c>
      <c r="U50" s="5">
        <f t="shared" si="13"/>
        <v>0</v>
      </c>
      <c r="V50" s="5">
        <f>Table1[[#This Row],[Enrolment S.Y. 2025-2026 ]]*8</f>
        <v>1160</v>
      </c>
      <c r="W50" s="5"/>
      <c r="X50" s="1"/>
      <c r="Y50" s="5"/>
      <c r="Z50" s="5">
        <f t="shared" si="14"/>
        <v>1160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145</v>
      </c>
      <c r="D51" s="5">
        <f>Table1[[#This Row],[Enrolment S.Y. 2025-2026 ]]*8</f>
        <v>1160</v>
      </c>
      <c r="E51" s="5">
        <v>84</v>
      </c>
      <c r="F51" s="1">
        <v>2025</v>
      </c>
      <c r="G51" s="5" t="s">
        <v>10</v>
      </c>
      <c r="H51" s="5">
        <f t="shared" si="2"/>
        <v>1076</v>
      </c>
      <c r="I51" s="5">
        <f t="shared" si="3"/>
        <v>0</v>
      </c>
      <c r="J51" s="5">
        <f>Table1[[#This Row],[Enrolment S.Y. 2025-2026 ]]*8</f>
        <v>1160</v>
      </c>
      <c r="K51" s="5"/>
      <c r="L51" s="1"/>
      <c r="M51" s="5"/>
      <c r="N51" s="5">
        <f t="shared" si="10"/>
        <v>1160</v>
      </c>
      <c r="O51" s="5">
        <f t="shared" si="11"/>
        <v>0</v>
      </c>
      <c r="P51" s="5">
        <f>Table1[[#This Row],[Enrolment S.Y. 2025-2026 ]]*8</f>
        <v>1160</v>
      </c>
      <c r="Q51" s="5"/>
      <c r="R51" s="1"/>
      <c r="S51" s="5"/>
      <c r="T51" s="5">
        <f t="shared" si="12"/>
        <v>1160</v>
      </c>
      <c r="U51" s="5">
        <f t="shared" si="13"/>
        <v>0</v>
      </c>
      <c r="V51" s="5">
        <f>Table1[[#This Row],[Enrolment S.Y. 2025-2026 ]]*8</f>
        <v>1160</v>
      </c>
      <c r="W51" s="5"/>
      <c r="X51" s="1"/>
      <c r="Y51" s="5"/>
      <c r="Z51" s="5">
        <f t="shared" si="14"/>
        <v>1160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53:C61 C63:C71 C73:C81 C83:C91 C93:C101 C103:C110 C112:C127 C43:C51 C23:C31 C5:C12 C33:C41" name="Textbooks"/>
    <protectedRange sqref="J2:L3 D2:F3 H5:L5 D14:F21 Q14:R21 W14:X21 Q23:R31 W23:X3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43:F51 D23:F31 D5:F12 D33:F41" name="LAS"/>
    <protectedRange sqref="G2:I3 M2:O2 S2:U3 Y2:AA3 G112:G127 M112:M127 S112:S127 Y112:Y127 M5:M12 S4:S110 Y5:Y12 G14:G21 M14:M110 M3 Y14:Y110 G53:G61 G63:G71 G73:G81 G83:G91 G93:G101 G103:G110 G43:G51 G23:G31 G5:G12 G33:G4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5:R12 L112:L127 L103:L110 L93:L101 L83:L91 L73:L81 L63:L71 L53:L61 L43:L51 L33:L41 L23:L31 L14:L21 L5:L12 F112:F127 F103:F110 F93:F101 F83:F91 F73:F81 F63:F71 F53:F61 F43:F51 F33:F41 F23:F31 F14:F21 F5:F12" xr:uid="{4ECCD083-8EC4-42EE-B46C-B614411F330D}">
      <formula1>"2024,2025,2026"</formula1>
    </dataValidation>
    <dataValidation type="list" allowBlank="1" showInputMessage="1" showErrorMessage="1" sqref="M14:M110 Y14:Y110 S4:S110 G23:G31 M5:M12 Y5:Y12 G14:G21 G43:G51 G5:G12 G103:G110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C91" zoomScale="55" zoomScaleNormal="55" workbookViewId="0">
      <selection activeCell="R122" sqref="R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109</v>
      </c>
      <c r="D3" s="5">
        <f>Table14[[#This Row],[Enrolment S.Y. 2025-2026 ]]*8</f>
        <v>872</v>
      </c>
      <c r="E3" s="5"/>
      <c r="F3" s="1"/>
      <c r="G3" s="5"/>
      <c r="H3" s="5">
        <f t="shared" ref="H3:H83" si="0">IF((D3-E3)&lt;0,0,(D3-E3))</f>
        <v>872</v>
      </c>
      <c r="I3" s="5">
        <f t="shared" ref="I3:I83" si="1">IF((E3-D3)&lt;0,0,(E3-D3))</f>
        <v>0</v>
      </c>
      <c r="J3" s="5">
        <f>Table14[[#This Row],[Enrolment S.Y. 2025-2026 ]]*8</f>
        <v>872</v>
      </c>
      <c r="K3" s="5"/>
      <c r="L3" s="1"/>
      <c r="M3" s="5"/>
      <c r="N3" s="5">
        <f t="shared" ref="N3:N72" si="2">IF((J3-K3)&lt;0,0,(J3-K3))</f>
        <v>872</v>
      </c>
      <c r="O3" s="5">
        <f t="shared" ref="O3:O72" si="3">IF((K3-J3)&lt;0,0,(K3-J3))</f>
        <v>0</v>
      </c>
      <c r="P3" s="5">
        <f>Table14[[#This Row],[Enrolment S.Y. 2025-2026 ]]*8</f>
        <v>872</v>
      </c>
      <c r="Q3" s="5"/>
      <c r="R3" s="1"/>
      <c r="S3" s="5"/>
      <c r="T3" s="5">
        <f t="shared" ref="T3:T72" si="4">IF((P3-Q3)&lt;0,0,(P3-Q3))</f>
        <v>872</v>
      </c>
      <c r="U3" s="5">
        <f t="shared" ref="U3:U72" si="5">IF((Q3-P3)&lt;0,0,(Q3-P3))</f>
        <v>0</v>
      </c>
      <c r="V3" s="5">
        <f>Table14[[#This Row],[Enrolment S.Y. 2025-2026 ]]*8</f>
        <v>872</v>
      </c>
      <c r="W3" s="5"/>
      <c r="X3" s="1"/>
      <c r="Y3" s="5"/>
      <c r="Z3" s="5">
        <f t="shared" ref="Z3:Z72" si="6">IF((V3-W3)&lt;0,0,(V3-W3))</f>
        <v>872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109</v>
      </c>
      <c r="D6" s="5">
        <f>Table14[[#This Row],[Enrolment S.Y. 2025-2026 ]]*8</f>
        <v>872</v>
      </c>
      <c r="E6" s="5">
        <v>130</v>
      </c>
      <c r="F6" s="1"/>
      <c r="G6" s="5"/>
      <c r="H6" s="5">
        <f t="shared" si="0"/>
        <v>742</v>
      </c>
      <c r="I6" s="5">
        <f t="shared" si="1"/>
        <v>0</v>
      </c>
      <c r="J6" s="5">
        <f>Table14[[#This Row],[Enrolment S.Y. 2025-2026 ]]*8</f>
        <v>872</v>
      </c>
      <c r="K6" s="5">
        <v>130</v>
      </c>
      <c r="L6" s="1"/>
      <c r="M6" s="5"/>
      <c r="N6" s="5">
        <f t="shared" si="2"/>
        <v>742</v>
      </c>
      <c r="O6" s="5">
        <f t="shared" si="3"/>
        <v>0</v>
      </c>
      <c r="P6" s="5">
        <f>Table14[[#This Row],[Enrolment S.Y. 2025-2026 ]]*8</f>
        <v>872</v>
      </c>
      <c r="Q6" s="5">
        <v>130</v>
      </c>
      <c r="R6" s="1"/>
      <c r="S6" s="5"/>
      <c r="T6" s="5">
        <f t="shared" si="4"/>
        <v>742</v>
      </c>
      <c r="U6" s="5">
        <f t="shared" si="5"/>
        <v>0</v>
      </c>
      <c r="V6" s="5">
        <f>Table14[[#This Row],[Enrolment S.Y. 2025-2026 ]]*8</f>
        <v>872</v>
      </c>
      <c r="W6" s="5">
        <v>130</v>
      </c>
      <c r="X6" s="1"/>
      <c r="Y6" s="5"/>
      <c r="Z6" s="5">
        <f t="shared" si="6"/>
        <v>742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109</v>
      </c>
      <c r="D7" s="5">
        <f>Table14[[#This Row],[Enrolment S.Y. 2025-2026 ]]*8</f>
        <v>872</v>
      </c>
      <c r="E7" s="5">
        <v>130</v>
      </c>
      <c r="F7" s="1"/>
      <c r="G7" s="5"/>
      <c r="H7" s="5">
        <f t="shared" si="0"/>
        <v>742</v>
      </c>
      <c r="I7" s="5">
        <f t="shared" si="1"/>
        <v>0</v>
      </c>
      <c r="J7" s="5">
        <f>Table14[[#This Row],[Enrolment S.Y. 2025-2026 ]]*8</f>
        <v>872</v>
      </c>
      <c r="K7" s="5">
        <v>130</v>
      </c>
      <c r="L7" s="1"/>
      <c r="M7" s="5"/>
      <c r="N7" s="5">
        <f t="shared" si="2"/>
        <v>742</v>
      </c>
      <c r="O7" s="5">
        <f t="shared" si="3"/>
        <v>0</v>
      </c>
      <c r="P7" s="5">
        <f>Table14[[#This Row],[Enrolment S.Y. 2025-2026 ]]*8</f>
        <v>872</v>
      </c>
      <c r="Q7" s="5">
        <v>130</v>
      </c>
      <c r="R7" s="1"/>
      <c r="S7" s="5"/>
      <c r="T7" s="5">
        <f t="shared" si="4"/>
        <v>742</v>
      </c>
      <c r="U7" s="5">
        <f t="shared" si="5"/>
        <v>0</v>
      </c>
      <c r="V7" s="5">
        <f>Table14[[#This Row],[Enrolment S.Y. 2025-2026 ]]*8</f>
        <v>872</v>
      </c>
      <c r="W7" s="5">
        <v>130</v>
      </c>
      <c r="X7" s="1"/>
      <c r="Y7" s="5"/>
      <c r="Z7" s="5">
        <f t="shared" si="6"/>
        <v>742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109</v>
      </c>
      <c r="D10" s="5">
        <f>Table14[[#This Row],[Enrolment S.Y. 2025-2026 ]]*8</f>
        <v>872</v>
      </c>
      <c r="E10" s="5">
        <v>130</v>
      </c>
      <c r="F10" s="1"/>
      <c r="G10" s="5"/>
      <c r="H10" s="5">
        <f>IF((D10-E10)&lt;0,0,(D10-E10))</f>
        <v>742</v>
      </c>
      <c r="I10" s="5">
        <f>IF((E10-D10)&lt;0,0,(E10-D10))</f>
        <v>0</v>
      </c>
      <c r="J10" s="5">
        <f>Table14[[#This Row],[Enrolment S.Y. 2025-2026 ]]*8</f>
        <v>872</v>
      </c>
      <c r="K10" s="5">
        <v>130</v>
      </c>
      <c r="L10" s="1"/>
      <c r="M10" s="5"/>
      <c r="N10" s="5">
        <f t="shared" si="2"/>
        <v>742</v>
      </c>
      <c r="O10" s="5">
        <f t="shared" si="3"/>
        <v>0</v>
      </c>
      <c r="P10" s="5">
        <f>Table14[[#This Row],[Enrolment S.Y. 2025-2026 ]]*8</f>
        <v>872</v>
      </c>
      <c r="Q10" s="5">
        <v>130</v>
      </c>
      <c r="R10" s="1"/>
      <c r="S10" s="5"/>
      <c r="T10" s="5">
        <f t="shared" si="4"/>
        <v>742</v>
      </c>
      <c r="U10" s="5">
        <f t="shared" si="5"/>
        <v>0</v>
      </c>
      <c r="V10" s="5">
        <f>Table14[[#This Row],[Enrolment S.Y. 2025-2026 ]]*8</f>
        <v>872</v>
      </c>
      <c r="W10" s="5">
        <v>130</v>
      </c>
      <c r="X10" s="1"/>
      <c r="Y10" s="5"/>
      <c r="Z10" s="5">
        <f t="shared" si="6"/>
        <v>742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112</v>
      </c>
      <c r="D15" s="5">
        <f>Table14[[#This Row],[Enrolment S.Y. 2025-2026 ]]*8</f>
        <v>896</v>
      </c>
      <c r="E15" s="5">
        <v>114</v>
      </c>
      <c r="F15" s="1">
        <v>2025</v>
      </c>
      <c r="G15" s="5" t="s">
        <v>10</v>
      </c>
      <c r="H15" s="5">
        <f t="shared" si="0"/>
        <v>782</v>
      </c>
      <c r="I15" s="5">
        <f t="shared" si="1"/>
        <v>0</v>
      </c>
      <c r="J15" s="5">
        <f>Table14[[#This Row],[Enrolment S.Y. 2025-2026 ]]*8</f>
        <v>896</v>
      </c>
      <c r="K15" s="5"/>
      <c r="L15" s="1"/>
      <c r="M15" s="5"/>
      <c r="N15" s="5">
        <f t="shared" si="2"/>
        <v>896</v>
      </c>
      <c r="O15" s="5">
        <f t="shared" si="3"/>
        <v>0</v>
      </c>
      <c r="P15" s="5">
        <f>Table14[[#This Row],[Enrolment S.Y. 2025-2026 ]]*8</f>
        <v>896</v>
      </c>
      <c r="Q15" s="5"/>
      <c r="R15" s="1"/>
      <c r="S15" s="5"/>
      <c r="T15" s="5">
        <f t="shared" si="4"/>
        <v>896</v>
      </c>
      <c r="U15" s="5">
        <f t="shared" si="5"/>
        <v>0</v>
      </c>
      <c r="V15" s="5">
        <f>Table14[[#This Row],[Enrolment S.Y. 2025-2026 ]]*8</f>
        <v>896</v>
      </c>
      <c r="W15" s="5"/>
      <c r="X15" s="1"/>
      <c r="Y15" s="5"/>
      <c r="Z15" s="5">
        <f t="shared" si="6"/>
        <v>896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112</v>
      </c>
      <c r="D16" s="5">
        <f>Table14[[#This Row],[Enrolment S.Y. 2025-2026 ]]*8</f>
        <v>896</v>
      </c>
      <c r="E16" s="5">
        <v>195</v>
      </c>
      <c r="F16" s="1">
        <v>2024</v>
      </c>
      <c r="G16" s="5" t="s">
        <v>10</v>
      </c>
      <c r="H16" s="5">
        <f t="shared" si="0"/>
        <v>701</v>
      </c>
      <c r="I16" s="5">
        <f t="shared" si="1"/>
        <v>0</v>
      </c>
      <c r="J16" s="5">
        <f>Table14[[#This Row],[Enrolment S.Y. 2025-2026 ]]*8</f>
        <v>896</v>
      </c>
      <c r="K16" s="5"/>
      <c r="L16" s="1"/>
      <c r="M16" s="5"/>
      <c r="N16" s="5">
        <f t="shared" si="2"/>
        <v>896</v>
      </c>
      <c r="O16" s="5">
        <f t="shared" si="3"/>
        <v>0</v>
      </c>
      <c r="P16" s="5">
        <f>Table14[[#This Row],[Enrolment S.Y. 2025-2026 ]]*8</f>
        <v>896</v>
      </c>
      <c r="Q16" s="5"/>
      <c r="R16" s="1"/>
      <c r="S16" s="5"/>
      <c r="T16" s="5">
        <f t="shared" si="4"/>
        <v>896</v>
      </c>
      <c r="U16" s="5">
        <f t="shared" si="5"/>
        <v>0</v>
      </c>
      <c r="V16" s="5">
        <f>Table14[[#This Row],[Enrolment S.Y. 2025-2026 ]]*8</f>
        <v>896</v>
      </c>
      <c r="W16" s="5">
        <v>50</v>
      </c>
      <c r="X16" s="1">
        <v>2025</v>
      </c>
      <c r="Y16" s="5" t="s">
        <v>10</v>
      </c>
      <c r="Z16" s="5">
        <f t="shared" si="6"/>
        <v>846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112</v>
      </c>
      <c r="D17" s="5">
        <f>Table14[[#This Row],[Enrolment S.Y. 2025-2026 ]]*8</f>
        <v>896</v>
      </c>
      <c r="E17" s="5">
        <v>112</v>
      </c>
      <c r="F17" s="1">
        <v>2024</v>
      </c>
      <c r="G17" s="5" t="s">
        <v>10</v>
      </c>
      <c r="H17" s="5">
        <f>IF((D17-E17)&lt;0,0,(D17-E17))</f>
        <v>784</v>
      </c>
      <c r="I17" s="5">
        <f>IF((E17-D17)&lt;0,0,(E17-D17))</f>
        <v>0</v>
      </c>
      <c r="J17" s="5">
        <f>Table14[[#This Row],[Enrolment S.Y. 2025-2026 ]]*8</f>
        <v>896</v>
      </c>
      <c r="K17" s="5">
        <v>123</v>
      </c>
      <c r="L17" s="1">
        <v>2025</v>
      </c>
      <c r="M17" s="5" t="s">
        <v>87</v>
      </c>
      <c r="N17" s="5">
        <f t="shared" si="2"/>
        <v>773</v>
      </c>
      <c r="O17" s="5">
        <f t="shared" si="3"/>
        <v>0</v>
      </c>
      <c r="P17" s="5">
        <f>Table14[[#This Row],[Enrolment S.Y. 2025-2026 ]]*8</f>
        <v>896</v>
      </c>
      <c r="Q17" s="5"/>
      <c r="R17" s="1"/>
      <c r="S17" s="5"/>
      <c r="T17" s="5">
        <f t="shared" si="4"/>
        <v>896</v>
      </c>
      <c r="U17" s="5">
        <f t="shared" si="5"/>
        <v>0</v>
      </c>
      <c r="V17" s="5">
        <f>Table14[[#This Row],[Enrolment S.Y. 2025-2026 ]]*8</f>
        <v>896</v>
      </c>
      <c r="W17" s="5">
        <v>50</v>
      </c>
      <c r="X17" s="1">
        <v>2025</v>
      </c>
      <c r="Y17" s="5" t="s">
        <v>10</v>
      </c>
      <c r="Z17" s="5">
        <f t="shared" si="6"/>
        <v>846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112</v>
      </c>
      <c r="D18" s="5">
        <f>Table14[[#This Row],[Enrolment S.Y. 2025-2026 ]]*8</f>
        <v>896</v>
      </c>
      <c r="E18" s="5">
        <v>112</v>
      </c>
      <c r="F18" s="1">
        <v>2024</v>
      </c>
      <c r="G18" s="5" t="s">
        <v>10</v>
      </c>
      <c r="H18" s="5">
        <f>IF((D18-E18)&lt;0,0,(D18-E18))</f>
        <v>784</v>
      </c>
      <c r="I18" s="5">
        <f>IF((E18-D18)&lt;0,0,(E18-D18))</f>
        <v>0</v>
      </c>
      <c r="J18" s="5">
        <f>Table14[[#This Row],[Enrolment S.Y. 2025-2026 ]]*8</f>
        <v>896</v>
      </c>
      <c r="K18" s="5"/>
      <c r="L18" s="1"/>
      <c r="M18" s="5"/>
      <c r="N18" s="5">
        <f t="shared" si="2"/>
        <v>896</v>
      </c>
      <c r="O18" s="5">
        <f t="shared" si="3"/>
        <v>0</v>
      </c>
      <c r="P18" s="5">
        <f>Table14[[#This Row],[Enrolment S.Y. 2025-2026 ]]*8</f>
        <v>896</v>
      </c>
      <c r="Q18" s="5"/>
      <c r="R18" s="1"/>
      <c r="S18" s="5"/>
      <c r="T18" s="5">
        <f t="shared" si="4"/>
        <v>896</v>
      </c>
      <c r="U18" s="5">
        <f t="shared" si="5"/>
        <v>0</v>
      </c>
      <c r="V18" s="5">
        <f>Table14[[#This Row],[Enrolment S.Y. 2025-2026 ]]*8</f>
        <v>896</v>
      </c>
      <c r="W18" s="5">
        <v>50</v>
      </c>
      <c r="X18" s="1">
        <v>2025</v>
      </c>
      <c r="Y18" s="5" t="s">
        <v>10</v>
      </c>
      <c r="Z18" s="5">
        <f t="shared" si="6"/>
        <v>846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115</v>
      </c>
      <c r="D23" s="5">
        <f>Table14[[#This Row],[Enrolment S.Y. 2025-2026 ]]*8</f>
        <v>920</v>
      </c>
      <c r="E23" s="5">
        <v>134</v>
      </c>
      <c r="F23" s="1">
        <v>2025</v>
      </c>
      <c r="G23" s="5" t="s">
        <v>10</v>
      </c>
      <c r="H23" s="5">
        <f t="shared" si="0"/>
        <v>786</v>
      </c>
      <c r="I23" s="5">
        <f t="shared" si="1"/>
        <v>0</v>
      </c>
      <c r="J23" s="5">
        <f>Table14[[#This Row],[Enrolment S.Y. 2025-2026 ]]*8</f>
        <v>920</v>
      </c>
      <c r="K23" s="5"/>
      <c r="L23" s="1"/>
      <c r="M23" s="5"/>
      <c r="N23" s="5">
        <f t="shared" si="2"/>
        <v>920</v>
      </c>
      <c r="O23" s="5">
        <f t="shared" si="3"/>
        <v>0</v>
      </c>
      <c r="P23" s="5">
        <f>Table14[[#This Row],[Enrolment S.Y. 2025-2026 ]]*8</f>
        <v>920</v>
      </c>
      <c r="Q23" s="5"/>
      <c r="R23" s="1"/>
      <c r="S23" s="5"/>
      <c r="T23" s="5">
        <f t="shared" si="4"/>
        <v>920</v>
      </c>
      <c r="U23" s="5">
        <f t="shared" si="5"/>
        <v>0</v>
      </c>
      <c r="V23" s="5">
        <f>Table14[[#This Row],[Enrolment S.Y. 2025-2026 ]]*8</f>
        <v>920</v>
      </c>
      <c r="W23" s="5"/>
      <c r="X23" s="1"/>
      <c r="Y23" s="5"/>
      <c r="Z23" s="5">
        <f t="shared" si="6"/>
        <v>920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115</v>
      </c>
      <c r="D25" s="5">
        <f>Table14[[#This Row],[Enrolment S.Y. 2025-2026 ]]*8</f>
        <v>920</v>
      </c>
      <c r="E25" s="5">
        <v>118</v>
      </c>
      <c r="F25" s="1">
        <v>2024</v>
      </c>
      <c r="G25" s="5" t="s">
        <v>10</v>
      </c>
      <c r="H25" s="5">
        <f t="shared" si="0"/>
        <v>802</v>
      </c>
      <c r="I25" s="5">
        <f t="shared" si="1"/>
        <v>0</v>
      </c>
      <c r="J25" s="5">
        <f>Table14[[#This Row],[Enrolment S.Y. 2025-2026 ]]*8</f>
        <v>920</v>
      </c>
      <c r="K25" s="5"/>
      <c r="L25" s="1"/>
      <c r="M25" s="5"/>
      <c r="N25" s="5">
        <f t="shared" si="2"/>
        <v>920</v>
      </c>
      <c r="O25" s="5">
        <f t="shared" si="3"/>
        <v>0</v>
      </c>
      <c r="P25" s="5">
        <f>Table14[[#This Row],[Enrolment S.Y. 2025-2026 ]]*8</f>
        <v>920</v>
      </c>
      <c r="Q25" s="5">
        <v>160</v>
      </c>
      <c r="R25" s="1"/>
      <c r="S25" s="5" t="s">
        <v>88</v>
      </c>
      <c r="T25" s="5">
        <f t="shared" si="4"/>
        <v>760</v>
      </c>
      <c r="U25" s="5">
        <f t="shared" si="5"/>
        <v>0</v>
      </c>
      <c r="V25" s="5">
        <f>Table14[[#This Row],[Enrolment S.Y. 2025-2026 ]]*8</f>
        <v>920</v>
      </c>
      <c r="W25" s="5"/>
      <c r="X25" s="1"/>
      <c r="Y25" s="5"/>
      <c r="Z25" s="5">
        <f t="shared" si="6"/>
        <v>920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115</v>
      </c>
      <c r="D26" s="5">
        <f>Table14[[#This Row],[Enrolment S.Y. 2025-2026 ]]*8</f>
        <v>920</v>
      </c>
      <c r="E26" s="5">
        <v>148</v>
      </c>
      <c r="F26" s="1">
        <v>2024</v>
      </c>
      <c r="G26" s="5" t="s">
        <v>10</v>
      </c>
      <c r="H26" s="5">
        <f t="shared" si="0"/>
        <v>772</v>
      </c>
      <c r="I26" s="5">
        <f t="shared" si="1"/>
        <v>0</v>
      </c>
      <c r="J26" s="5">
        <f>Table14[[#This Row],[Enrolment S.Y. 2025-2026 ]]*8</f>
        <v>920</v>
      </c>
      <c r="K26" s="5"/>
      <c r="L26" s="1"/>
      <c r="M26" s="5"/>
      <c r="N26" s="5">
        <f t="shared" si="2"/>
        <v>920</v>
      </c>
      <c r="O26" s="5">
        <f t="shared" si="3"/>
        <v>0</v>
      </c>
      <c r="P26" s="5">
        <f>Table14[[#This Row],[Enrolment S.Y. 2025-2026 ]]*8</f>
        <v>920</v>
      </c>
      <c r="Q26" s="5"/>
      <c r="R26" s="1"/>
      <c r="S26" s="5"/>
      <c r="T26" s="5">
        <f t="shared" si="4"/>
        <v>920</v>
      </c>
      <c r="U26" s="5">
        <f t="shared" si="5"/>
        <v>0</v>
      </c>
      <c r="V26" s="5">
        <f>Table14[[#This Row],[Enrolment S.Y. 2025-2026 ]]*8</f>
        <v>920</v>
      </c>
      <c r="W26" s="5"/>
      <c r="X26" s="1"/>
      <c r="Y26" s="5"/>
      <c r="Z26" s="5">
        <f t="shared" si="6"/>
        <v>920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115</v>
      </c>
      <c r="D27" s="5">
        <f>Table14[[#This Row],[Enrolment S.Y. 2025-2026 ]]*8</f>
        <v>920</v>
      </c>
      <c r="E27" s="5">
        <v>118</v>
      </c>
      <c r="F27" s="1">
        <v>2024</v>
      </c>
      <c r="G27" s="5" t="s">
        <v>10</v>
      </c>
      <c r="H27" s="5">
        <f>IF((D27-E27)&lt;0,0,(D27-E27))</f>
        <v>802</v>
      </c>
      <c r="I27" s="5">
        <f>IF((E27-D27)&lt;0,0,(E27-D27))</f>
        <v>0</v>
      </c>
      <c r="J27" s="5">
        <f>Table14[[#This Row],[Enrolment S.Y. 2025-2026 ]]*8</f>
        <v>920</v>
      </c>
      <c r="K27" s="5"/>
      <c r="L27" s="1"/>
      <c r="M27" s="5"/>
      <c r="N27" s="5">
        <f t="shared" si="2"/>
        <v>920</v>
      </c>
      <c r="O27" s="5">
        <f t="shared" si="3"/>
        <v>0</v>
      </c>
      <c r="P27" s="5">
        <f>Table14[[#This Row],[Enrolment S.Y. 2025-2026 ]]*8</f>
        <v>920</v>
      </c>
      <c r="Q27" s="5"/>
      <c r="R27" s="1"/>
      <c r="S27" s="5"/>
      <c r="T27" s="5">
        <f t="shared" si="4"/>
        <v>920</v>
      </c>
      <c r="U27" s="5">
        <f t="shared" si="5"/>
        <v>0</v>
      </c>
      <c r="V27" s="5">
        <f>Table14[[#This Row],[Enrolment S.Y. 2025-2026 ]]*8</f>
        <v>920</v>
      </c>
      <c r="W27" s="5">
        <v>50</v>
      </c>
      <c r="X27" s="1">
        <v>2025</v>
      </c>
      <c r="Y27" s="5" t="s">
        <v>10</v>
      </c>
      <c r="Z27" s="5">
        <f t="shared" si="6"/>
        <v>870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115</v>
      </c>
      <c r="D28" s="5">
        <f>Table14[[#This Row],[Enrolment S.Y. 2025-2026 ]]*8</f>
        <v>920</v>
      </c>
      <c r="E28" s="5"/>
      <c r="F28" s="1"/>
      <c r="G28" s="5"/>
      <c r="H28" s="5">
        <f>IF((D28-E28)&lt;0,0,(D28-E28))</f>
        <v>920</v>
      </c>
      <c r="I28" s="5">
        <f>IF((E28-D28)&lt;0,0,(E28-D28))</f>
        <v>0</v>
      </c>
      <c r="J28" s="5">
        <f>Table14[[#This Row],[Enrolment S.Y. 2025-2026 ]]*8</f>
        <v>920</v>
      </c>
      <c r="K28" s="5"/>
      <c r="L28" s="1"/>
      <c r="M28" s="5"/>
      <c r="N28" s="5">
        <f t="shared" si="2"/>
        <v>920</v>
      </c>
      <c r="O28" s="5">
        <f t="shared" si="3"/>
        <v>0</v>
      </c>
      <c r="P28" s="5">
        <f>Table14[[#This Row],[Enrolment S.Y. 2025-2026 ]]*8</f>
        <v>920</v>
      </c>
      <c r="Q28" s="5">
        <v>50</v>
      </c>
      <c r="R28" s="1">
        <v>2025</v>
      </c>
      <c r="S28" s="5" t="s">
        <v>10</v>
      </c>
      <c r="T28" s="5">
        <f t="shared" si="4"/>
        <v>870</v>
      </c>
      <c r="U28" s="5">
        <f t="shared" si="5"/>
        <v>0</v>
      </c>
      <c r="V28" s="5">
        <f>Table14[[#This Row],[Enrolment S.Y. 2025-2026 ]]*8</f>
        <v>920</v>
      </c>
      <c r="W28" s="5"/>
      <c r="X28" s="1"/>
      <c r="Y28" s="5"/>
      <c r="Z28" s="5">
        <f t="shared" si="6"/>
        <v>920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145</v>
      </c>
      <c r="D46" s="5">
        <f>Table14[[#This Row],[Enrolment S.Y. 2025-2026 ]]*8</f>
        <v>1160</v>
      </c>
      <c r="E46" s="5">
        <v>84</v>
      </c>
      <c r="F46" s="1">
        <v>2025</v>
      </c>
      <c r="G46" s="5" t="s">
        <v>10</v>
      </c>
      <c r="H46" s="5">
        <f t="shared" si="0"/>
        <v>1076</v>
      </c>
      <c r="I46" s="5">
        <f t="shared" si="1"/>
        <v>0</v>
      </c>
      <c r="J46" s="5">
        <f>Table14[[#This Row],[Enrolment S.Y. 2025-2026 ]]*8</f>
        <v>1160</v>
      </c>
      <c r="K46" s="5"/>
      <c r="L46" s="1"/>
      <c r="M46" s="5"/>
      <c r="N46" s="5">
        <f t="shared" si="2"/>
        <v>1160</v>
      </c>
      <c r="O46" s="5">
        <f t="shared" si="3"/>
        <v>0</v>
      </c>
      <c r="P46" s="5">
        <f>Table14[[#This Row],[Enrolment S.Y. 2025-2026 ]]*8</f>
        <v>1160</v>
      </c>
      <c r="Q46" s="5"/>
      <c r="R46" s="1"/>
      <c r="S46" s="5"/>
      <c r="T46" s="5">
        <f t="shared" si="4"/>
        <v>1160</v>
      </c>
      <c r="U46" s="5">
        <f t="shared" si="5"/>
        <v>0</v>
      </c>
      <c r="V46" s="5">
        <f>Table14[[#This Row],[Enrolment S.Y. 2025-2026 ]]*8</f>
        <v>1160</v>
      </c>
      <c r="W46" s="5"/>
      <c r="X46" s="1"/>
      <c r="Y46" s="5"/>
      <c r="Z46" s="5">
        <f t="shared" si="6"/>
        <v>1160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145</v>
      </c>
      <c r="D50" s="5">
        <f>Table14[[#This Row],[Enrolment S.Y. 2025-2026 ]]*8</f>
        <v>1160</v>
      </c>
      <c r="E50" s="5"/>
      <c r="F50" s="1"/>
      <c r="G50" s="5"/>
      <c r="H50" s="5">
        <f t="shared" si="0"/>
        <v>1160</v>
      </c>
      <c r="I50" s="5">
        <f t="shared" si="1"/>
        <v>0</v>
      </c>
      <c r="J50" s="5">
        <f>Table14[[#This Row],[Enrolment S.Y. 2025-2026 ]]*8</f>
        <v>1160</v>
      </c>
      <c r="K50" s="5"/>
      <c r="L50" s="1"/>
      <c r="M50" s="5"/>
      <c r="N50" s="5">
        <f t="shared" si="10"/>
        <v>1160</v>
      </c>
      <c r="O50" s="5">
        <f t="shared" si="11"/>
        <v>0</v>
      </c>
      <c r="P50" s="5">
        <f>Table14[[#This Row],[Enrolment S.Y. 2025-2026 ]]*8</f>
        <v>1160</v>
      </c>
      <c r="Q50" s="5"/>
      <c r="R50" s="1"/>
      <c r="S50" s="5"/>
      <c r="T50" s="5">
        <f t="shared" si="4"/>
        <v>1160</v>
      </c>
      <c r="U50" s="5">
        <f t="shared" si="5"/>
        <v>0</v>
      </c>
      <c r="V50" s="5">
        <f>Table14[[#This Row],[Enrolment S.Y. 2025-2026 ]]*8</f>
        <v>1160</v>
      </c>
      <c r="W50" s="5">
        <v>153</v>
      </c>
      <c r="X50" s="1"/>
      <c r="Y50" s="5"/>
      <c r="Z50" s="5">
        <f t="shared" si="6"/>
        <v>1007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128</v>
      </c>
      <c r="D55" s="5">
        <f>Table14[[#This Row],[Enrolment S.Y. 2025-2026 ]]*8</f>
        <v>1024</v>
      </c>
      <c r="E55" s="5">
        <v>10</v>
      </c>
      <c r="F55" s="1">
        <v>2025</v>
      </c>
      <c r="G55" s="5" t="s">
        <v>88</v>
      </c>
      <c r="H55" s="5">
        <f t="shared" si="0"/>
        <v>1014</v>
      </c>
      <c r="I55" s="5">
        <f t="shared" si="1"/>
        <v>0</v>
      </c>
      <c r="J55" s="5">
        <f>Table14[[#This Row],[Enrolment S.Y. 2025-2026 ]]*8</f>
        <v>1024</v>
      </c>
      <c r="K55" s="5"/>
      <c r="L55" s="1"/>
      <c r="M55" s="5"/>
      <c r="N55" s="5">
        <f t="shared" si="2"/>
        <v>1024</v>
      </c>
      <c r="O55" s="5">
        <f t="shared" si="3"/>
        <v>0</v>
      </c>
      <c r="P55" s="5">
        <f>Table14[[#This Row],[Enrolment S.Y. 2025-2026 ]]*8</f>
        <v>1024</v>
      </c>
      <c r="Q55" s="5">
        <v>50</v>
      </c>
      <c r="R55" s="1">
        <v>2025</v>
      </c>
      <c r="S55" s="5" t="s">
        <v>88</v>
      </c>
      <c r="T55" s="5">
        <f t="shared" si="4"/>
        <v>974</v>
      </c>
      <c r="U55" s="5">
        <f t="shared" si="5"/>
        <v>0</v>
      </c>
      <c r="V55" s="5">
        <f>Table14[[#This Row],[Enrolment S.Y. 2025-2026 ]]*8</f>
        <v>1024</v>
      </c>
      <c r="W55" s="5">
        <v>50</v>
      </c>
      <c r="X55" s="1"/>
      <c r="Y55" s="5" t="s">
        <v>87</v>
      </c>
      <c r="Z55" s="5">
        <f t="shared" si="6"/>
        <v>974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128</v>
      </c>
      <c r="D56" s="5">
        <f>Table14[[#This Row],[Enrolment S.Y. 2025-2026 ]]*8</f>
        <v>1024</v>
      </c>
      <c r="E56" s="5">
        <v>10</v>
      </c>
      <c r="F56" s="1">
        <v>2025</v>
      </c>
      <c r="G56" s="5" t="s">
        <v>88</v>
      </c>
      <c r="H56" s="5">
        <f t="shared" si="0"/>
        <v>1014</v>
      </c>
      <c r="I56" s="5">
        <f t="shared" si="1"/>
        <v>0</v>
      </c>
      <c r="J56" s="5">
        <f>Table14[[#This Row],[Enrolment S.Y. 2025-2026 ]]*8</f>
        <v>1024</v>
      </c>
      <c r="K56" s="5"/>
      <c r="L56" s="1"/>
      <c r="M56" s="5"/>
      <c r="N56" s="5">
        <f t="shared" si="2"/>
        <v>1024</v>
      </c>
      <c r="O56" s="5">
        <f t="shared" si="3"/>
        <v>0</v>
      </c>
      <c r="P56" s="5">
        <f>Table14[[#This Row],[Enrolment S.Y. 2025-2026 ]]*8</f>
        <v>1024</v>
      </c>
      <c r="Q56" s="5">
        <v>50</v>
      </c>
      <c r="R56" s="1">
        <v>2025</v>
      </c>
      <c r="S56" s="5" t="s">
        <v>88</v>
      </c>
      <c r="T56" s="5">
        <f t="shared" si="4"/>
        <v>974</v>
      </c>
      <c r="U56" s="5">
        <f t="shared" si="5"/>
        <v>0</v>
      </c>
      <c r="V56" s="5">
        <f>Table14[[#This Row],[Enrolment S.Y. 2025-2026 ]]*8</f>
        <v>1024</v>
      </c>
      <c r="W56" s="5">
        <v>50</v>
      </c>
      <c r="X56" s="1"/>
      <c r="Y56" s="5" t="s">
        <v>87</v>
      </c>
      <c r="Z56" s="5">
        <f t="shared" si="6"/>
        <v>974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128</v>
      </c>
      <c r="D57" s="5">
        <f>Table14[[#This Row],[Enrolment S.Y. 2025-2026 ]]*8</f>
        <v>1024</v>
      </c>
      <c r="E57" s="5">
        <v>10</v>
      </c>
      <c r="F57" s="1">
        <v>2025</v>
      </c>
      <c r="G57" s="5" t="s">
        <v>88</v>
      </c>
      <c r="H57" s="5">
        <f t="shared" si="0"/>
        <v>1014</v>
      </c>
      <c r="I57" s="5">
        <f t="shared" si="1"/>
        <v>0</v>
      </c>
      <c r="J57" s="5">
        <f>Table14[[#This Row],[Enrolment S.Y. 2025-2026 ]]*8</f>
        <v>1024</v>
      </c>
      <c r="K57" s="5"/>
      <c r="L57" s="1"/>
      <c r="M57" s="5"/>
      <c r="N57" s="5">
        <f t="shared" si="2"/>
        <v>1024</v>
      </c>
      <c r="O57" s="5">
        <f t="shared" si="3"/>
        <v>0</v>
      </c>
      <c r="P57" s="5">
        <f>Table14[[#This Row],[Enrolment S.Y. 2025-2026 ]]*8</f>
        <v>1024</v>
      </c>
      <c r="Q57" s="5">
        <v>50</v>
      </c>
      <c r="R57" s="1">
        <v>2025</v>
      </c>
      <c r="S57" s="5" t="s">
        <v>88</v>
      </c>
      <c r="T57" s="5">
        <f t="shared" si="4"/>
        <v>974</v>
      </c>
      <c r="U57" s="5">
        <f t="shared" si="5"/>
        <v>0</v>
      </c>
      <c r="V57" s="5">
        <f>Table14[[#This Row],[Enrolment S.Y. 2025-2026 ]]*8</f>
        <v>1024</v>
      </c>
      <c r="W57" s="5">
        <v>50</v>
      </c>
      <c r="X57" s="1"/>
      <c r="Y57" s="5" t="s">
        <v>87</v>
      </c>
      <c r="Z57" s="5">
        <f t="shared" si="6"/>
        <v>974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>
        <v>50</v>
      </c>
      <c r="R58" s="1">
        <v>2025</v>
      </c>
      <c r="S58" s="5" t="s">
        <v>88</v>
      </c>
      <c r="T58" s="5">
        <f t="shared" si="4"/>
        <v>0</v>
      </c>
      <c r="U58" s="5">
        <f t="shared" si="5"/>
        <v>50</v>
      </c>
      <c r="V58" s="5">
        <f>Table14[[#This Row],[Enrolment S.Y. 2025-2026 ]]*8</f>
        <v>0</v>
      </c>
      <c r="W58" s="5">
        <v>50</v>
      </c>
      <c r="X58" s="1"/>
      <c r="Y58" s="5" t="s">
        <v>10</v>
      </c>
      <c r="Z58" s="5">
        <f t="shared" si="6"/>
        <v>0</v>
      </c>
      <c r="AA58" s="5">
        <f t="shared" si="7"/>
        <v>50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50</v>
      </c>
      <c r="R59" s="1">
        <v>2025</v>
      </c>
      <c r="S59" s="5" t="s">
        <v>88</v>
      </c>
      <c r="T59" s="5">
        <f t="shared" si="4"/>
        <v>0</v>
      </c>
      <c r="U59" s="5">
        <f t="shared" si="5"/>
        <v>50</v>
      </c>
      <c r="V59" s="5">
        <f>Table14[[#This Row],[Enrolment S.Y. 2025-2026 ]]*8</f>
        <v>0</v>
      </c>
      <c r="W59" s="5">
        <v>50</v>
      </c>
      <c r="X59" s="1">
        <v>2025</v>
      </c>
      <c r="Y59" s="5" t="s">
        <v>88</v>
      </c>
      <c r="Z59" s="5">
        <f t="shared" si="6"/>
        <v>0</v>
      </c>
      <c r="AA59" s="5">
        <f t="shared" si="7"/>
        <v>50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50</v>
      </c>
      <c r="R60" s="1">
        <v>2025</v>
      </c>
      <c r="S60" s="5" t="s">
        <v>88</v>
      </c>
      <c r="T60" s="5">
        <f t="shared" si="4"/>
        <v>0</v>
      </c>
      <c r="U60" s="5">
        <f t="shared" si="5"/>
        <v>50</v>
      </c>
      <c r="V60" s="5">
        <f>Table14[[#This Row],[Enrolment S.Y. 2025-2026 ]]*8</f>
        <v>0</v>
      </c>
      <c r="W60" s="5">
        <v>50</v>
      </c>
      <c r="X60" s="1"/>
      <c r="Y60" s="5" t="s">
        <v>87</v>
      </c>
      <c r="Z60" s="5">
        <f t="shared" si="6"/>
        <v>0</v>
      </c>
      <c r="AA60" s="5">
        <f t="shared" si="7"/>
        <v>50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50</v>
      </c>
      <c r="R61" s="1">
        <v>2025</v>
      </c>
      <c r="S61" s="5" t="s">
        <v>88</v>
      </c>
      <c r="T61" s="5">
        <f>IF((P61-Q61)&lt;0,0,(P61-Q61))</f>
        <v>0</v>
      </c>
      <c r="U61" s="5">
        <f>IF((Q61-P61)&lt;0,0,(Q61-P61))</f>
        <v>50</v>
      </c>
      <c r="V61" s="5">
        <f>Table14[[#This Row],[Enrolment S.Y. 2025-2026 ]]*8</f>
        <v>0</v>
      </c>
      <c r="W61" s="5">
        <v>50</v>
      </c>
      <c r="X61" s="1"/>
      <c r="Y61" s="5" t="s">
        <v>87</v>
      </c>
      <c r="Z61" s="5">
        <f>IF((V61-W61)&lt;0,0,(V61-W61))</f>
        <v>0</v>
      </c>
      <c r="AA61" s="5">
        <f>IF((W61-V61)&lt;0,0,(W61-V61))</f>
        <v>50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50</v>
      </c>
      <c r="R62" s="1">
        <v>2025</v>
      </c>
      <c r="S62" s="5" t="s">
        <v>88</v>
      </c>
      <c r="T62" s="5">
        <f t="shared" si="4"/>
        <v>0</v>
      </c>
      <c r="U62" s="5">
        <f t="shared" si="5"/>
        <v>50</v>
      </c>
      <c r="V62" s="5">
        <f>Table14[[#This Row],[Enrolment S.Y. 2025-2026 ]]*8</f>
        <v>0</v>
      </c>
      <c r="W62" s="5">
        <v>50</v>
      </c>
      <c r="X62" s="1"/>
      <c r="Y62" s="5" t="s">
        <v>87</v>
      </c>
      <c r="Z62" s="5">
        <f t="shared" si="6"/>
        <v>0</v>
      </c>
      <c r="AA62" s="5">
        <f t="shared" si="7"/>
        <v>50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50</v>
      </c>
      <c r="R64" s="1">
        <v>2025</v>
      </c>
      <c r="S64" s="5" t="s">
        <v>88</v>
      </c>
      <c r="T64" s="5">
        <f>IF((P64-Q64)&lt;0,0,(P64-Q64))</f>
        <v>0</v>
      </c>
      <c r="U64" s="5">
        <f>IF((Q64-P64)&lt;0,0,(Q64-P64))</f>
        <v>50</v>
      </c>
      <c r="V64" s="5">
        <f>Table14[[#This Row],[Enrolment S.Y. 2025-2026 ]]*8</f>
        <v>0</v>
      </c>
      <c r="W64" s="5">
        <v>50</v>
      </c>
      <c r="X64" s="1"/>
      <c r="Y64" s="5" t="s">
        <v>87</v>
      </c>
      <c r="Z64" s="5">
        <f>IF((V64-W64)&lt;0,0,(V64-W64))</f>
        <v>0</v>
      </c>
      <c r="AA64" s="5">
        <f>IF((W64-V64)&lt;0,0,(W64-V64))</f>
        <v>50</v>
      </c>
    </row>
    <row r="65" spans="1:27" ht="19.5">
      <c r="A65" s="1">
        <v>6</v>
      </c>
      <c r="B65" s="9" t="s">
        <v>92</v>
      </c>
      <c r="C65" s="1">
        <v>128</v>
      </c>
      <c r="D65" s="5">
        <f>Table14[[#This Row],[Enrolment S.Y. 2025-2026 ]]*8</f>
        <v>1024</v>
      </c>
      <c r="E65" s="5"/>
      <c r="F65" s="1">
        <v>2025</v>
      </c>
      <c r="G65" s="5" t="s">
        <v>87</v>
      </c>
      <c r="H65" s="5">
        <f t="shared" si="0"/>
        <v>1024</v>
      </c>
      <c r="I65" s="5">
        <f t="shared" si="1"/>
        <v>0</v>
      </c>
      <c r="J65" s="5">
        <f>Table14[[#This Row],[Enrolment S.Y. 2025-2026 ]]*8</f>
        <v>1024</v>
      </c>
      <c r="K65" s="5"/>
      <c r="L65" s="1"/>
      <c r="M65" s="5"/>
      <c r="N65" s="5">
        <f t="shared" si="12"/>
        <v>1024</v>
      </c>
      <c r="O65" s="5">
        <f t="shared" si="13"/>
        <v>0</v>
      </c>
      <c r="P65" s="5">
        <f>Table14[[#This Row],[Enrolment S.Y. 2025-2026 ]]*8</f>
        <v>1024</v>
      </c>
      <c r="Q65" s="5">
        <v>50</v>
      </c>
      <c r="R65" s="1">
        <v>2025</v>
      </c>
      <c r="S65" s="5" t="s">
        <v>88</v>
      </c>
      <c r="T65" s="5">
        <f t="shared" si="4"/>
        <v>974</v>
      </c>
      <c r="U65" s="5">
        <f t="shared" si="5"/>
        <v>0</v>
      </c>
      <c r="V65" s="5">
        <f>Table14[[#This Row],[Enrolment S.Y. 2025-2026 ]]*8</f>
        <v>1024</v>
      </c>
      <c r="W65" s="5">
        <v>50</v>
      </c>
      <c r="X65" s="1">
        <v>2025</v>
      </c>
      <c r="Y65" s="5" t="s">
        <v>87</v>
      </c>
      <c r="Z65" s="5">
        <f t="shared" si="6"/>
        <v>974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 T12:X19" name="LAS"/>
    <protectedRange sqref="G2:I2 M2:O2 S2:U2 Y2:AA2 G3:G10 M3:M10 S3:S10 Y3:Y10 G12:G19 M12:M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 Y12:Y1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55:Y65 S12:S19 M12:M19 M21:M29 G21:G29 Y21:Y29 S21:S29 S31:S41 M31:M41 G31:G41 Y31:Y41 Y43:Y53 S43:S53 M43:M53 G43:G53 G55:G65 S55:S65 M115:M122 M55:M65 M67:M77 G67:G77 Y67:Y77 S67:S77 S79:S89 M79:M89 G79:G89 Y79:Y89 Y91:Y101 S91:S101 M91:M101 G91:G101 G103:G113 Y103:Y113 S103:S113 M103:M113 Y12:Y19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R115:R122 R103:R113 R91:R101 R79:R89 R67:R77 R55:R65 R43:R53 R31:R41 R21:R29 R12:R19 R3:R10 L115:L122 L103:L113 L91:L101 L79:L89 L67:L77 L55:L65 L43:L53 L31:L41 L21:L29 L12:L19 L3:L10 F115:F122 F103:F113 F91:F101 F79:F89 F67:F77 F55:F65 F43:F53 F31:F41 F21:F29 F12:F19 F3:F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2026-03-10T03:29:23Z</dcterms:modified>
  <cp:category/>
  <cp:contentStatus/>
</cp:coreProperties>
</file>