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1" documentId="13_ncr:1_{BFB59F67-F0DC-4675-A682-EB0734A8026A}" xr6:coauthVersionLast="47" xr6:coauthVersionMax="47" xr10:uidLastSave="{42C9CDE6-B84A-43FD-A27C-C7FF25EE771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<sst xmlns="http://schemas.openxmlformats.org/spreadsheetml/2006/main" count="400" uniqueCount="91">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</sst>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29" activePane="topRight" state="frozen"/>
      <selection pane="topRight" activeCell="E31" sqref="E31:E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346</v>
      </c>
      <c r="D51" s="10">
        <v>485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139</v>
      </c>
    </row>
    <row r="52" spans="1:8" ht="27.75" customHeight="1">
      <c r="A52" s="10">
        <v>7</v>
      </c>
      <c r="B52" s="11" t="s">
        <v>15</v>
      </c>
      <c r="C52" s="10">
        <v>346</v>
      </c>
      <c r="D52" s="10">
        <v>485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139</v>
      </c>
    </row>
    <row r="53" spans="1:8" ht="27.75" customHeight="1">
      <c r="A53" s="10">
        <v>7</v>
      </c>
      <c r="B53" s="11" t="s">
        <v>12</v>
      </c>
      <c r="C53" s="10">
        <v>346</v>
      </c>
      <c r="D53" s="10">
        <v>485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139</v>
      </c>
    </row>
    <row r="54" spans="1:8" ht="27.75" customHeight="1">
      <c r="A54" s="10">
        <v>7</v>
      </c>
      <c r="B54" s="11" t="s">
        <v>21</v>
      </c>
      <c r="C54" s="10">
        <v>346</v>
      </c>
      <c r="D54" s="10">
        <v>0</v>
      </c>
      <c r="E54" s="10"/>
      <c r="F54" s="12"/>
      <c r="G54" s="3">
        <f t="shared" si="10"/>
        <v>346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346</v>
      </c>
      <c r="D55" s="10">
        <v>485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139</v>
      </c>
    </row>
    <row r="56" spans="1:8" ht="27.75" customHeight="1">
      <c r="A56" s="10">
        <v>7</v>
      </c>
      <c r="B56" s="11" t="s">
        <v>13</v>
      </c>
      <c r="C56" s="10">
        <v>346</v>
      </c>
      <c r="D56" s="10">
        <v>485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139</v>
      </c>
    </row>
    <row r="57" spans="1:8" ht="27.75" customHeight="1">
      <c r="A57" s="10">
        <v>7</v>
      </c>
      <c r="B57" s="11" t="s">
        <v>17</v>
      </c>
      <c r="C57" s="10">
        <v>346</v>
      </c>
      <c r="D57" s="10">
        <v>485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139</v>
      </c>
    </row>
    <row r="58" spans="1:8" ht="27.75" customHeight="1">
      <c r="A58" s="10">
        <v>7</v>
      </c>
      <c r="B58" s="11" t="s">
        <v>22</v>
      </c>
      <c r="C58" s="10">
        <v>346</v>
      </c>
      <c r="D58" s="10">
        <v>485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139</v>
      </c>
    </row>
    <row r="59" spans="1:8" ht="27.75" customHeight="1">
      <c r="A59" s="10">
        <v>7</v>
      </c>
      <c r="B59" s="11" t="s">
        <v>19</v>
      </c>
      <c r="C59" s="10">
        <v>346</v>
      </c>
      <c r="D59" s="10">
        <v>485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139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318</v>
      </c>
      <c r="D61" s="10">
        <v>0</v>
      </c>
      <c r="E61" s="10"/>
      <c r="F61" s="12"/>
      <c r="G61" s="3">
        <f t="shared" ref="G61:G69" si="12">IF((C61-D61)&lt;0,0,C61-D61)</f>
        <v>318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318</v>
      </c>
      <c r="D62" s="10">
        <v>0</v>
      </c>
      <c r="E62" s="10"/>
      <c r="F62" s="12"/>
      <c r="G62" s="3">
        <f t="shared" si="12"/>
        <v>318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318</v>
      </c>
      <c r="D63" s="10">
        <v>328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10</v>
      </c>
    </row>
    <row r="64" spans="1:8" ht="27.75" customHeight="1">
      <c r="A64" s="10">
        <v>8</v>
      </c>
      <c r="B64" s="11" t="s">
        <v>21</v>
      </c>
      <c r="C64" s="10">
        <v>318</v>
      </c>
      <c r="D64" s="10">
        <v>328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10</v>
      </c>
    </row>
    <row r="65" spans="1:8" ht="27.75" customHeight="1">
      <c r="A65" s="10">
        <v>8</v>
      </c>
      <c r="B65" s="11" t="s">
        <v>23</v>
      </c>
      <c r="C65" s="10">
        <v>318</v>
      </c>
      <c r="D65" s="10">
        <v>0</v>
      </c>
      <c r="E65" s="10"/>
      <c r="F65" s="12"/>
      <c r="G65" s="3">
        <f t="shared" si="12"/>
        <v>318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318</v>
      </c>
      <c r="D66" s="10">
        <v>0</v>
      </c>
      <c r="E66" s="10"/>
      <c r="F66" s="12"/>
      <c r="G66" s="3">
        <f t="shared" si="12"/>
        <v>318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318</v>
      </c>
      <c r="D67" s="10">
        <v>0</v>
      </c>
      <c r="E67" s="10"/>
      <c r="F67" s="12"/>
      <c r="G67" s="3">
        <f t="shared" si="12"/>
        <v>318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318</v>
      </c>
      <c r="D68" s="10">
        <v>0</v>
      </c>
      <c r="E68" s="10"/>
      <c r="F68" s="12"/>
      <c r="G68" s="3">
        <f t="shared" si="12"/>
        <v>318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318</v>
      </c>
      <c r="D69" s="10">
        <v>0</v>
      </c>
      <c r="E69" s="10"/>
      <c r="F69" s="12"/>
      <c r="G69" s="3">
        <f t="shared" si="12"/>
        <v>318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247</v>
      </c>
      <c r="D71" s="10">
        <v>0</v>
      </c>
      <c r="E71" s="10"/>
      <c r="F71" s="12"/>
      <c r="G71" s="3">
        <f t="shared" ref="G71:G79" si="14">IF((C71-D71)&lt;0,0,C71-D71)</f>
        <v>247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247</v>
      </c>
      <c r="D72" s="10">
        <v>0</v>
      </c>
      <c r="E72" s="10"/>
      <c r="F72" s="12"/>
      <c r="G72" s="3">
        <f t="shared" si="14"/>
        <v>247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247</v>
      </c>
      <c r="D73" s="10">
        <v>0</v>
      </c>
      <c r="E73" s="10"/>
      <c r="F73" s="12"/>
      <c r="G73" s="3">
        <f t="shared" si="14"/>
        <v>247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247</v>
      </c>
      <c r="D74" s="10">
        <v>200</v>
      </c>
      <c r="E74" s="10">
        <v>2024</v>
      </c>
      <c r="F74" s="12" t="s">
        <v>20</v>
      </c>
      <c r="G74" s="3">
        <f t="shared" si="14"/>
        <v>47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247</v>
      </c>
      <c r="D75" s="10">
        <v>200</v>
      </c>
      <c r="E75" s="10">
        <v>2024</v>
      </c>
      <c r="F75" s="12" t="s">
        <v>20</v>
      </c>
      <c r="G75" s="3">
        <f t="shared" si="14"/>
        <v>47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247</v>
      </c>
      <c r="D76" s="10">
        <v>0</v>
      </c>
      <c r="E76" s="10"/>
      <c r="F76" s="12"/>
      <c r="G76" s="3">
        <f t="shared" si="14"/>
        <v>247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247</v>
      </c>
      <c r="D77" s="10">
        <v>0</v>
      </c>
      <c r="E77" s="10"/>
      <c r="F77" s="12"/>
      <c r="G77" s="3">
        <f t="shared" si="14"/>
        <v>247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247</v>
      </c>
      <c r="D78" s="10">
        <v>0</v>
      </c>
      <c r="E78" s="10"/>
      <c r="F78" s="12"/>
      <c r="G78" s="3">
        <f t="shared" si="14"/>
        <v>247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247</v>
      </c>
      <c r="D79" s="10">
        <v>0</v>
      </c>
      <c r="E79" s="10"/>
      <c r="F79" s="12"/>
      <c r="G79" s="3">
        <f t="shared" si="14"/>
        <v>247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297</v>
      </c>
      <c r="D81" s="10">
        <v>0</v>
      </c>
      <c r="E81" s="10"/>
      <c r="F81" s="12"/>
      <c r="G81" s="3">
        <f t="shared" ref="G81:G89" si="16">IF((C81-D81)&lt;0,0,C81-D81)</f>
        <v>297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297</v>
      </c>
      <c r="D82" s="10">
        <v>0</v>
      </c>
      <c r="E82" s="10"/>
      <c r="F82" s="12"/>
      <c r="G82" s="3">
        <f t="shared" si="16"/>
        <v>297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297</v>
      </c>
      <c r="D83" s="10">
        <v>0</v>
      </c>
      <c r="E83" s="10"/>
      <c r="F83" s="12"/>
      <c r="G83" s="3">
        <f t="shared" si="16"/>
        <v>297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297</v>
      </c>
      <c r="D84" s="10">
        <v>0</v>
      </c>
      <c r="E84" s="10"/>
      <c r="F84" s="12"/>
      <c r="G84" s="3">
        <f t="shared" si="16"/>
        <v>297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297</v>
      </c>
      <c r="D85" s="10">
        <v>0</v>
      </c>
      <c r="E85" s="10"/>
      <c r="F85" s="12"/>
      <c r="G85" s="3">
        <f t="shared" si="16"/>
        <v>297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297</v>
      </c>
      <c r="D86" s="10">
        <v>0</v>
      </c>
      <c r="E86" s="10"/>
      <c r="F86" s="12"/>
      <c r="G86" s="3">
        <f t="shared" si="16"/>
        <v>297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297</v>
      </c>
      <c r="D87" s="10">
        <v>0</v>
      </c>
      <c r="E87" s="10"/>
      <c r="F87" s="12"/>
      <c r="G87" s="3">
        <f t="shared" si="16"/>
        <v>297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297</v>
      </c>
      <c r="D88" s="10">
        <v>0</v>
      </c>
      <c r="E88" s="10"/>
      <c r="F88" s="12"/>
      <c r="G88" s="3">
        <f t="shared" si="16"/>
        <v>297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297</v>
      </c>
      <c r="D89" s="10">
        <v>0</v>
      </c>
      <c r="E89" s="10"/>
      <c r="F89" s="12"/>
      <c r="G89" s="3">
        <f t="shared" si="16"/>
        <v>297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81:E89 E71:E79 E91:E98 E51:E59 E61:E69 E41:E49" xr:uid="{B46E7B13-721E-4D49-837E-C02BF9777D48}">
      <formula1>"2024,2025"</formula1>
    </dataValidation>
    <dataValidation type="list" allowBlank="1" showInputMessage="1" showErrorMessage="1" sqref="F14:F19 F21:F29 F31:F39 F41:F49 F91:F98 F61:F69 F71:F79 F81:F89 F2:F6 F8:F12 F51:F59" xr:uid="{2F7388E0-D1A1-4571-8C10-96CB9A727EB3}">
      <formula1>"CO,RO,SDO"</formula1>
    </dataValidation>
    <dataValidation type="list" allowBlank="1" showInputMessage="1" showErrorMessage="1" sqref="E2:E6 E8:E12 E14:E19 E21:E29 E31:E39" xr:uid="{6988BC17-5E8F-49EC-958A-48D5C5985508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37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24.8554687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5:X12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112:L127 L103:L110 L93:L101 L83:L91 L73:L81 L63:L71 L53:L61 L43:L51 L33:L41 L23:L31 L14:L21 L5:L12 R5:R12 R14:R21 R23:R31 R33:R41 R43:R51 R53:R61 R63:R71 R73:R81 R83:R91 R93:R101 R103:R110 R112:R127 X112:X127 X103:X110 X93:X101 X83:X91 X73:X81 X63:X71 X53:X61 X43:X51 X33:X41 X23:X31 X14:X21" xr:uid="{C8B05483-5999-47F7-9556-085BAF45B13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46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23.8554687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29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8.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0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3.75" customHeight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2.25" customHeight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67:C77" name="Textbooks_1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3:L10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 L115:L122 L103:L113 L91:L101 L79:L89 L67:L77 L55:L65 L43:L53 L31:L41 L21:L29 L12:L19 R3:R10" xr:uid="{DB461311-79CF-426B-9679-E572034A8835}">
      <formula1>"2024,2025 ,2026"</formula1>
    </dataValidation>
    <dataValidation type="list" allowBlank="1" showInputMessage="1" showErrorMessage="1" sqref="R12:R19 R21:R29 R31:R41 R43:R53 R55:R65 R67:R77 R79:R89 R91:R101 R103:R113 R115:R122 X3:X10 X12:X19 X21:X29 X31:X41 X43:X53 X55:X65 X67:X77 X79:X89 X91:X101 X103:X113 X115:X122" xr:uid="{380D4479-7E2C-46C2-9B3B-39A68C03FF4A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2026-03-16T06:52:02Z</dcterms:modified>
  <cp:category/>
  <cp:contentStatus/>
</cp:coreProperties>
</file>