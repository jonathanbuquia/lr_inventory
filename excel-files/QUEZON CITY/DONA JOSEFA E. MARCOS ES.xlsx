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81" documentId="13_ncr:1_{BFB59F67-F0DC-4675-A682-EB0734A8026A}" xr6:coauthVersionLast="47" xr6:coauthVersionMax="47" xr10:uidLastSave="{FBDDECF2-DB4A-47B4-9DCE-7EC8CF0C3AFE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" i="5" l="1"/>
  <c r="P45" i="5"/>
  <c r="P33" i="5"/>
  <c r="D33" i="5"/>
  <c r="H33" i="5"/>
  <c r="I33" i="5"/>
  <c r="J33" i="5"/>
  <c r="T33" i="5"/>
  <c r="U33" i="5"/>
  <c r="V33" i="5"/>
  <c r="Z33" i="5"/>
  <c r="AA33" i="5"/>
  <c r="P31" i="5"/>
  <c r="D31" i="5"/>
  <c r="H31" i="5"/>
  <c r="I31" i="5"/>
  <c r="J31" i="5"/>
  <c r="T31" i="5"/>
  <c r="U31" i="5"/>
  <c r="V31" i="5"/>
  <c r="Z31" i="5"/>
  <c r="AA31" i="5"/>
  <c r="P29" i="5"/>
  <c r="T29" i="5"/>
  <c r="U29" i="5"/>
  <c r="D29" i="5"/>
  <c r="H29" i="5"/>
  <c r="I29" i="5"/>
  <c r="J29" i="5"/>
  <c r="V29" i="5"/>
  <c r="Z29" i="5"/>
  <c r="AA29" i="5"/>
  <c r="P20" i="5"/>
  <c r="U20" i="5"/>
  <c r="D20" i="5"/>
  <c r="H20" i="5"/>
  <c r="I20" i="5"/>
  <c r="J20" i="5"/>
  <c r="N20" i="5" s="1"/>
  <c r="T20" i="5"/>
  <c r="V20" i="5"/>
  <c r="Z20" i="5"/>
  <c r="AA20" i="5"/>
  <c r="P4" i="4"/>
  <c r="P48" i="4"/>
  <c r="P44" i="4"/>
  <c r="P40" i="4"/>
  <c r="P38" i="4"/>
  <c r="P36" i="4"/>
  <c r="P18" i="4"/>
  <c r="P19" i="4"/>
  <c r="P11" i="4"/>
  <c r="O4" i="4"/>
  <c r="O3" i="4"/>
  <c r="D48" i="4"/>
  <c r="H48" i="4"/>
  <c r="I48" i="4"/>
  <c r="J48" i="4"/>
  <c r="T48" i="4"/>
  <c r="U48" i="4"/>
  <c r="V48" i="4"/>
  <c r="Z48" i="4"/>
  <c r="AA48" i="4"/>
  <c r="D4" i="4"/>
  <c r="H4" i="4"/>
  <c r="I4" i="4"/>
  <c r="J4" i="4"/>
  <c r="N4" i="4" s="1"/>
  <c r="T4" i="4"/>
  <c r="U4" i="4"/>
  <c r="V4" i="4"/>
  <c r="Z4" i="4"/>
  <c r="AA4" i="4"/>
  <c r="D63" i="5"/>
  <c r="H63" i="5"/>
  <c r="I63" i="5"/>
  <c r="J63" i="5"/>
  <c r="T63" i="5"/>
  <c r="U63" i="5"/>
  <c r="V63" i="5"/>
  <c r="Z63" i="5"/>
  <c r="AA63" i="5"/>
  <c r="P18" i="5"/>
  <c r="D45" i="5"/>
  <c r="H45" i="5"/>
  <c r="I45" i="5"/>
  <c r="J45" i="5"/>
  <c r="T45" i="5"/>
  <c r="U45" i="5"/>
  <c r="V45" i="5"/>
  <c r="Z45" i="5"/>
  <c r="AA45" i="5"/>
  <c r="D18" i="5"/>
  <c r="H18" i="5"/>
  <c r="I18" i="5"/>
  <c r="J18" i="5"/>
  <c r="T18" i="5"/>
  <c r="U18" i="5"/>
  <c r="V18" i="5"/>
  <c r="Z18" i="5"/>
  <c r="AA18" i="5"/>
  <c r="D38" i="4"/>
  <c r="H38" i="4"/>
  <c r="I38" i="4"/>
  <c r="J38" i="4"/>
  <c r="T38" i="4"/>
  <c r="U38" i="4"/>
  <c r="V38" i="4"/>
  <c r="Z38" i="4"/>
  <c r="AA38" i="4"/>
  <c r="D44" i="4"/>
  <c r="H44" i="4"/>
  <c r="I44" i="4"/>
  <c r="J44" i="4"/>
  <c r="T44" i="4"/>
  <c r="U44" i="4"/>
  <c r="V44" i="4"/>
  <c r="Z44" i="4"/>
  <c r="AA44" i="4"/>
  <c r="D40" i="4"/>
  <c r="H40" i="4"/>
  <c r="I40" i="4"/>
  <c r="J40" i="4"/>
  <c r="T40" i="4"/>
  <c r="U40" i="4"/>
  <c r="V40" i="4"/>
  <c r="Z40" i="4"/>
  <c r="AA40" i="4"/>
  <c r="D36" i="4"/>
  <c r="H36" i="4"/>
  <c r="I36" i="4"/>
  <c r="J36" i="4"/>
  <c r="T36" i="4"/>
  <c r="U36" i="4"/>
  <c r="V36" i="4"/>
  <c r="Z36" i="4"/>
  <c r="AA36" i="4"/>
  <c r="D19" i="4"/>
  <c r="H19" i="4"/>
  <c r="I19" i="4"/>
  <c r="J19" i="4"/>
  <c r="T19" i="4"/>
  <c r="U19" i="4"/>
  <c r="V19" i="4"/>
  <c r="Z19" i="4"/>
  <c r="AA19" i="4"/>
  <c r="D18" i="4"/>
  <c r="H18" i="4"/>
  <c r="I18" i="4"/>
  <c r="J18" i="4"/>
  <c r="T18" i="4"/>
  <c r="U18" i="4"/>
  <c r="V18" i="4"/>
  <c r="Z18" i="4"/>
  <c r="AA18" i="4"/>
  <c r="D11" i="4"/>
  <c r="H11" i="4"/>
  <c r="I11" i="4"/>
  <c r="J11" i="4"/>
  <c r="T11" i="4"/>
  <c r="U11" i="4"/>
  <c r="V11" i="4"/>
  <c r="Z11" i="4"/>
  <c r="AA11" i="4"/>
  <c r="H6" i="1"/>
  <c r="G6" i="1"/>
  <c r="P116" i="5"/>
  <c r="T116" i="5" s="1"/>
  <c r="P117" i="5"/>
  <c r="U117" i="5" s="1"/>
  <c r="P118" i="5"/>
  <c r="P119" i="5"/>
  <c r="P120" i="5"/>
  <c r="P104" i="5"/>
  <c r="T104" i="5" s="1"/>
  <c r="P105" i="5"/>
  <c r="P106" i="5"/>
  <c r="P107" i="5"/>
  <c r="P108" i="5"/>
  <c r="P91" i="5"/>
  <c r="P92" i="5"/>
  <c r="P93" i="5"/>
  <c r="P94" i="5"/>
  <c r="P95" i="5"/>
  <c r="P96" i="5"/>
  <c r="P78" i="5"/>
  <c r="P79" i="5"/>
  <c r="P80" i="5"/>
  <c r="P81" i="5"/>
  <c r="P82" i="5"/>
  <c r="P83" i="5"/>
  <c r="P84" i="5"/>
  <c r="P68" i="5"/>
  <c r="T68" i="5" s="1"/>
  <c r="P69" i="5"/>
  <c r="P70" i="5"/>
  <c r="P71" i="5"/>
  <c r="P72" i="5"/>
  <c r="P54" i="5"/>
  <c r="P55" i="5"/>
  <c r="U55" i="5" s="1"/>
  <c r="P56" i="5"/>
  <c r="P57" i="5"/>
  <c r="P58" i="5"/>
  <c r="U58" i="5" s="1"/>
  <c r="P59" i="5"/>
  <c r="P41" i="5"/>
  <c r="P42" i="5"/>
  <c r="P43" i="5"/>
  <c r="P44" i="5"/>
  <c r="P46" i="5"/>
  <c r="P47" i="5"/>
  <c r="D119" i="5"/>
  <c r="H119" i="5" s="1"/>
  <c r="J119" i="5"/>
  <c r="U119" i="5"/>
  <c r="T119" i="5"/>
  <c r="V119" i="5"/>
  <c r="Z119" i="5" s="1"/>
  <c r="D116" i="5"/>
  <c r="H116" i="5" s="1"/>
  <c r="J116" i="5"/>
  <c r="U116" i="5"/>
  <c r="V116" i="5"/>
  <c r="Z116" i="5" s="1"/>
  <c r="D95" i="5"/>
  <c r="H95" i="5" s="1"/>
  <c r="J95" i="5"/>
  <c r="T95" i="5"/>
  <c r="V95" i="5"/>
  <c r="Z95" i="5" s="1"/>
  <c r="D107" i="5"/>
  <c r="H107" i="5" s="1"/>
  <c r="J107" i="5"/>
  <c r="T107" i="5"/>
  <c r="V107" i="5"/>
  <c r="Z107" i="5" s="1"/>
  <c r="D104" i="5"/>
  <c r="H104" i="5" s="1"/>
  <c r="J104" i="5"/>
  <c r="V104" i="5"/>
  <c r="Z104" i="5" s="1"/>
  <c r="D92" i="5"/>
  <c r="H92" i="5" s="1"/>
  <c r="J92" i="5"/>
  <c r="T92" i="5"/>
  <c r="V92" i="5"/>
  <c r="Z92" i="5" s="1"/>
  <c r="D83" i="5"/>
  <c r="H83" i="5" s="1"/>
  <c r="J83" i="5"/>
  <c r="T83" i="5"/>
  <c r="V83" i="5"/>
  <c r="Z83" i="5" s="1"/>
  <c r="D80" i="5"/>
  <c r="H80" i="5" s="1"/>
  <c r="J80" i="5"/>
  <c r="T80" i="5"/>
  <c r="V80" i="5"/>
  <c r="Z80" i="5" s="1"/>
  <c r="D71" i="5"/>
  <c r="H71" i="5" s="1"/>
  <c r="J71" i="5"/>
  <c r="T71" i="5"/>
  <c r="V71" i="5"/>
  <c r="Z71" i="5" s="1"/>
  <c r="D68" i="5"/>
  <c r="H68" i="5" s="1"/>
  <c r="J68" i="5"/>
  <c r="V68" i="5"/>
  <c r="Z68" i="5" s="1"/>
  <c r="D58" i="5"/>
  <c r="H58" i="5" s="1"/>
  <c r="J58" i="5"/>
  <c r="V58" i="5"/>
  <c r="Z58" i="5" s="1"/>
  <c r="D55" i="5"/>
  <c r="H55" i="5" s="1"/>
  <c r="J55" i="5"/>
  <c r="V55" i="5"/>
  <c r="Z55" i="5" s="1"/>
  <c r="D46" i="5"/>
  <c r="H46" i="5" s="1"/>
  <c r="J46" i="5"/>
  <c r="U46" i="5"/>
  <c r="V46" i="5"/>
  <c r="Z46" i="5" s="1"/>
  <c r="D42" i="5"/>
  <c r="H42" i="5" s="1"/>
  <c r="J42" i="5"/>
  <c r="U42" i="5"/>
  <c r="V42" i="5"/>
  <c r="Z42" i="5" s="1"/>
  <c r="P3" i="4"/>
  <c r="T3" i="4" s="1"/>
  <c r="D3" i="4"/>
  <c r="H3" i="4" s="1"/>
  <c r="J3" i="4"/>
  <c r="V3" i="4"/>
  <c r="Z3" i="4" s="1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V129" i="5"/>
  <c r="AA129" i="5" s="1"/>
  <c r="P129" i="5"/>
  <c r="T129" i="5" s="1"/>
  <c r="J129" i="5"/>
  <c r="O129" i="5" s="1"/>
  <c r="D129" i="5"/>
  <c r="I129" i="5" s="1"/>
  <c r="V128" i="5"/>
  <c r="Z128" i="5" s="1"/>
  <c r="P128" i="5"/>
  <c r="J128" i="5"/>
  <c r="N128" i="5" s="1"/>
  <c r="D128" i="5"/>
  <c r="I128" i="5" s="1"/>
  <c r="V127" i="5"/>
  <c r="AA127" i="5" s="1"/>
  <c r="P127" i="5"/>
  <c r="U127" i="5" s="1"/>
  <c r="J127" i="5"/>
  <c r="O127" i="5" s="1"/>
  <c r="D127" i="5"/>
  <c r="I127" i="5" s="1"/>
  <c r="V126" i="5"/>
  <c r="Z126" i="5" s="1"/>
  <c r="P126" i="5"/>
  <c r="J126" i="5"/>
  <c r="N126" i="5" s="1"/>
  <c r="D126" i="5"/>
  <c r="I126" i="5" s="1"/>
  <c r="V125" i="5"/>
  <c r="AA125" i="5" s="1"/>
  <c r="P125" i="5"/>
  <c r="U125" i="5" s="1"/>
  <c r="J125" i="5"/>
  <c r="O125" i="5" s="1"/>
  <c r="D125" i="5"/>
  <c r="I125" i="5" s="1"/>
  <c r="V124" i="5"/>
  <c r="Z124" i="5" s="1"/>
  <c r="P124" i="5"/>
  <c r="J124" i="5"/>
  <c r="N124" i="5" s="1"/>
  <c r="D124" i="5"/>
  <c r="I124" i="5" s="1"/>
  <c r="V123" i="5"/>
  <c r="AA123" i="5" s="1"/>
  <c r="P123" i="5"/>
  <c r="U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0" i="5"/>
  <c r="AA120" i="5" s="1"/>
  <c r="U120" i="5"/>
  <c r="J120" i="5"/>
  <c r="D120" i="5"/>
  <c r="I120" i="5" s="1"/>
  <c r="V118" i="5"/>
  <c r="Z118" i="5" s="1"/>
  <c r="J118" i="5"/>
  <c r="D118" i="5"/>
  <c r="I118" i="5" s="1"/>
  <c r="V117" i="5"/>
  <c r="AA117" i="5" s="1"/>
  <c r="J117" i="5"/>
  <c r="D117" i="5"/>
  <c r="I117" i="5" s="1"/>
  <c r="V115" i="5"/>
  <c r="Z115" i="5" s="1"/>
  <c r="P115" i="5"/>
  <c r="J115" i="5"/>
  <c r="N115" i="5" s="1"/>
  <c r="D115" i="5"/>
  <c r="I115" i="5" s="1"/>
  <c r="V114" i="5"/>
  <c r="AA114" i="5" s="1"/>
  <c r="P114" i="5"/>
  <c r="U114" i="5" s="1"/>
  <c r="J114" i="5"/>
  <c r="O114" i="5" s="1"/>
  <c r="D114" i="5"/>
  <c r="I114" i="5" s="1"/>
  <c r="V113" i="5"/>
  <c r="Z113" i="5" s="1"/>
  <c r="P113" i="5"/>
  <c r="J113" i="5"/>
  <c r="N113" i="5" s="1"/>
  <c r="D113" i="5"/>
  <c r="I113" i="5" s="1"/>
  <c r="V112" i="5"/>
  <c r="AA112" i="5" s="1"/>
  <c r="P112" i="5"/>
  <c r="U112" i="5" s="1"/>
  <c r="J112" i="5"/>
  <c r="O112" i="5" s="1"/>
  <c r="D112" i="5"/>
  <c r="I112" i="5" s="1"/>
  <c r="V111" i="5"/>
  <c r="AA111" i="5" s="1"/>
  <c r="P111" i="5"/>
  <c r="J111" i="5"/>
  <c r="N111" i="5" s="1"/>
  <c r="D111" i="5"/>
  <c r="I111" i="5" s="1"/>
  <c r="V110" i="5"/>
  <c r="AA110" i="5" s="1"/>
  <c r="P110" i="5"/>
  <c r="U110" i="5" s="1"/>
  <c r="J110" i="5"/>
  <c r="O110" i="5" s="1"/>
  <c r="D110" i="5"/>
  <c r="I110" i="5" s="1"/>
  <c r="V108" i="5"/>
  <c r="AA108" i="5" s="1"/>
  <c r="J108" i="5"/>
  <c r="D108" i="5"/>
  <c r="I108" i="5" s="1"/>
  <c r="V106" i="5"/>
  <c r="AA106" i="5" s="1"/>
  <c r="U106" i="5"/>
  <c r="J106" i="5"/>
  <c r="D106" i="5"/>
  <c r="I106" i="5" s="1"/>
  <c r="V105" i="5"/>
  <c r="AA105" i="5" s="1"/>
  <c r="J105" i="5"/>
  <c r="D105" i="5"/>
  <c r="I105" i="5" s="1"/>
  <c r="V103" i="5"/>
  <c r="AA103" i="5" s="1"/>
  <c r="P103" i="5"/>
  <c r="U103" i="5" s="1"/>
  <c r="J103" i="5"/>
  <c r="O103" i="5" s="1"/>
  <c r="D103" i="5"/>
  <c r="I103" i="5" s="1"/>
  <c r="V102" i="5"/>
  <c r="AA102" i="5" s="1"/>
  <c r="P102" i="5"/>
  <c r="J102" i="5"/>
  <c r="N102" i="5" s="1"/>
  <c r="D102" i="5"/>
  <c r="H102" i="5" s="1"/>
  <c r="V101" i="5"/>
  <c r="AA101" i="5" s="1"/>
  <c r="P101" i="5"/>
  <c r="U101" i="5" s="1"/>
  <c r="J101" i="5"/>
  <c r="O101" i="5" s="1"/>
  <c r="D101" i="5"/>
  <c r="H101" i="5" s="1"/>
  <c r="V100" i="5"/>
  <c r="AA100" i="5" s="1"/>
  <c r="P100" i="5"/>
  <c r="J100" i="5"/>
  <c r="N100" i="5" s="1"/>
  <c r="D100" i="5"/>
  <c r="I100" i="5" s="1"/>
  <c r="V99" i="5"/>
  <c r="AA99" i="5" s="1"/>
  <c r="P99" i="5"/>
  <c r="U99" i="5" s="1"/>
  <c r="J99" i="5"/>
  <c r="O99" i="5" s="1"/>
  <c r="D99" i="5"/>
  <c r="I99" i="5" s="1"/>
  <c r="V98" i="5"/>
  <c r="AA98" i="5" s="1"/>
  <c r="P98" i="5"/>
  <c r="J98" i="5"/>
  <c r="N98" i="5" s="1"/>
  <c r="D98" i="5"/>
  <c r="I98" i="5" s="1"/>
  <c r="V96" i="5"/>
  <c r="AA96" i="5" s="1"/>
  <c r="U96" i="5"/>
  <c r="J96" i="5"/>
  <c r="D96" i="5"/>
  <c r="I96" i="5" s="1"/>
  <c r="V94" i="5"/>
  <c r="AA94" i="5" s="1"/>
  <c r="J94" i="5"/>
  <c r="D94" i="5"/>
  <c r="I94" i="5" s="1"/>
  <c r="V93" i="5"/>
  <c r="AA93" i="5" s="1"/>
  <c r="U93" i="5"/>
  <c r="J93" i="5"/>
  <c r="D93" i="5"/>
  <c r="I93" i="5" s="1"/>
  <c r="V91" i="5"/>
  <c r="AA91" i="5" s="1"/>
  <c r="J91" i="5"/>
  <c r="D91" i="5"/>
  <c r="I91" i="5" s="1"/>
  <c r="V90" i="5"/>
  <c r="AA90" i="5" s="1"/>
  <c r="P90" i="5"/>
  <c r="U90" i="5" s="1"/>
  <c r="J90" i="5"/>
  <c r="O90" i="5" s="1"/>
  <c r="D90" i="5"/>
  <c r="I90" i="5" s="1"/>
  <c r="V89" i="5"/>
  <c r="Z89" i="5" s="1"/>
  <c r="P89" i="5"/>
  <c r="J89" i="5"/>
  <c r="N89" i="5" s="1"/>
  <c r="D89" i="5"/>
  <c r="I89" i="5" s="1"/>
  <c r="V88" i="5"/>
  <c r="AA88" i="5" s="1"/>
  <c r="P88" i="5"/>
  <c r="U88" i="5" s="1"/>
  <c r="J88" i="5"/>
  <c r="O88" i="5" s="1"/>
  <c r="D88" i="5"/>
  <c r="I88" i="5" s="1"/>
  <c r="V87" i="5"/>
  <c r="AA87" i="5" s="1"/>
  <c r="P87" i="5"/>
  <c r="U87" i="5" s="1"/>
  <c r="J87" i="5"/>
  <c r="N87" i="5" s="1"/>
  <c r="D87" i="5"/>
  <c r="I87" i="5" s="1"/>
  <c r="V86" i="5"/>
  <c r="AA86" i="5" s="1"/>
  <c r="P86" i="5"/>
  <c r="U86" i="5" s="1"/>
  <c r="J86" i="5"/>
  <c r="D86" i="5"/>
  <c r="I86" i="5" s="1"/>
  <c r="V84" i="5"/>
  <c r="AA84" i="5" s="1"/>
  <c r="U84" i="5"/>
  <c r="J84" i="5"/>
  <c r="D84" i="5"/>
  <c r="I84" i="5" s="1"/>
  <c r="V82" i="5"/>
  <c r="AA82" i="5" s="1"/>
  <c r="U82" i="5"/>
  <c r="J82" i="5"/>
  <c r="D82" i="5"/>
  <c r="H82" i="5" s="1"/>
  <c r="V81" i="5"/>
  <c r="Z81" i="5" s="1"/>
  <c r="U81" i="5"/>
  <c r="J81" i="5"/>
  <c r="D81" i="5"/>
  <c r="I81" i="5" s="1"/>
  <c r="V79" i="5"/>
  <c r="Z79" i="5" s="1"/>
  <c r="U79" i="5"/>
  <c r="J79" i="5"/>
  <c r="D79" i="5"/>
  <c r="I79" i="5" s="1"/>
  <c r="V78" i="5"/>
  <c r="AA78" i="5" s="1"/>
  <c r="U78" i="5"/>
  <c r="J78" i="5"/>
  <c r="D78" i="5"/>
  <c r="H78" i="5" s="1"/>
  <c r="V77" i="5"/>
  <c r="AA77" i="5" s="1"/>
  <c r="P77" i="5"/>
  <c r="U77" i="5" s="1"/>
  <c r="J77" i="5"/>
  <c r="D77" i="5"/>
  <c r="H77" i="5" s="1"/>
  <c r="V76" i="5"/>
  <c r="AA76" i="5" s="1"/>
  <c r="P76" i="5"/>
  <c r="U76" i="5" s="1"/>
  <c r="J76" i="5"/>
  <c r="N76" i="5" s="1"/>
  <c r="D76" i="5"/>
  <c r="I76" i="5" s="1"/>
  <c r="V75" i="5"/>
  <c r="AA75" i="5" s="1"/>
  <c r="P75" i="5"/>
  <c r="U75" i="5" s="1"/>
  <c r="J75" i="5"/>
  <c r="D75" i="5"/>
  <c r="I75" i="5" s="1"/>
  <c r="V74" i="5"/>
  <c r="AA74" i="5" s="1"/>
  <c r="P74" i="5"/>
  <c r="U74" i="5" s="1"/>
  <c r="J74" i="5"/>
  <c r="N74" i="5" s="1"/>
  <c r="D74" i="5"/>
  <c r="I74" i="5" s="1"/>
  <c r="V72" i="5"/>
  <c r="Z72" i="5" s="1"/>
  <c r="U72" i="5"/>
  <c r="J72" i="5"/>
  <c r="D72" i="5"/>
  <c r="I72" i="5" s="1"/>
  <c r="V70" i="5"/>
  <c r="AA70" i="5" s="1"/>
  <c r="U70" i="5"/>
  <c r="J70" i="5"/>
  <c r="D70" i="5"/>
  <c r="I70" i="5" s="1"/>
  <c r="V69" i="5"/>
  <c r="AA69" i="5" s="1"/>
  <c r="U69" i="5"/>
  <c r="J69" i="5"/>
  <c r="D69" i="5"/>
  <c r="I69" i="5" s="1"/>
  <c r="V67" i="5"/>
  <c r="AA67" i="5" s="1"/>
  <c r="P67" i="5"/>
  <c r="U67" i="5" s="1"/>
  <c r="J67" i="5"/>
  <c r="N67" i="5" s="1"/>
  <c r="D67" i="5"/>
  <c r="I67" i="5" s="1"/>
  <c r="V66" i="5"/>
  <c r="AA66" i="5" s="1"/>
  <c r="P66" i="5"/>
  <c r="U66" i="5" s="1"/>
  <c r="J66" i="5"/>
  <c r="D66" i="5"/>
  <c r="I66" i="5" s="1"/>
  <c r="V65" i="5"/>
  <c r="AA65" i="5" s="1"/>
  <c r="P65" i="5"/>
  <c r="U65" i="5" s="1"/>
  <c r="J65" i="5"/>
  <c r="N65" i="5" s="1"/>
  <c r="D65" i="5"/>
  <c r="I65" i="5" s="1"/>
  <c r="V64" i="5"/>
  <c r="AA64" i="5" s="1"/>
  <c r="P64" i="5"/>
  <c r="U64" i="5" s="1"/>
  <c r="J64" i="5"/>
  <c r="D64" i="5"/>
  <c r="H64" i="5" s="1"/>
  <c r="V62" i="5"/>
  <c r="AA62" i="5" s="1"/>
  <c r="P62" i="5"/>
  <c r="U62" i="5" s="1"/>
  <c r="J62" i="5"/>
  <c r="N62" i="5" s="1"/>
  <c r="D62" i="5"/>
  <c r="I62" i="5" s="1"/>
  <c r="V61" i="5"/>
  <c r="AA61" i="5" s="1"/>
  <c r="P61" i="5"/>
  <c r="U61" i="5" s="1"/>
  <c r="J61" i="5"/>
  <c r="D61" i="5"/>
  <c r="I61" i="5" s="1"/>
  <c r="V59" i="5"/>
  <c r="AA59" i="5" s="1"/>
  <c r="U59" i="5"/>
  <c r="J59" i="5"/>
  <c r="D59" i="5"/>
  <c r="I59" i="5" s="1"/>
  <c r="V57" i="5"/>
  <c r="AA57" i="5" s="1"/>
  <c r="U57" i="5"/>
  <c r="J57" i="5"/>
  <c r="D57" i="5"/>
  <c r="I57" i="5" s="1"/>
  <c r="V56" i="5"/>
  <c r="AA56" i="5" s="1"/>
  <c r="U56" i="5"/>
  <c r="J56" i="5"/>
  <c r="D56" i="5"/>
  <c r="I56" i="5" s="1"/>
  <c r="V54" i="5"/>
  <c r="AA54" i="5" s="1"/>
  <c r="U54" i="5"/>
  <c r="J54" i="5"/>
  <c r="D54" i="5"/>
  <c r="I54" i="5" s="1"/>
  <c r="V53" i="5"/>
  <c r="AA53" i="5" s="1"/>
  <c r="P53" i="5"/>
  <c r="U53" i="5" s="1"/>
  <c r="J53" i="5"/>
  <c r="N53" i="5" s="1"/>
  <c r="D53" i="5"/>
  <c r="I53" i="5" s="1"/>
  <c r="V52" i="5"/>
  <c r="AA52" i="5" s="1"/>
  <c r="P52" i="5"/>
  <c r="U52" i="5" s="1"/>
  <c r="J52" i="5"/>
  <c r="D52" i="5"/>
  <c r="I52" i="5" s="1"/>
  <c r="V51" i="5"/>
  <c r="AA51" i="5" s="1"/>
  <c r="P51" i="5"/>
  <c r="U51" i="5" s="1"/>
  <c r="J51" i="5"/>
  <c r="N51" i="5" s="1"/>
  <c r="D51" i="5"/>
  <c r="H51" i="5" s="1"/>
  <c r="V50" i="5"/>
  <c r="AA50" i="5" s="1"/>
  <c r="P50" i="5"/>
  <c r="U50" i="5" s="1"/>
  <c r="J50" i="5"/>
  <c r="D50" i="5"/>
  <c r="H50" i="5" s="1"/>
  <c r="V49" i="5"/>
  <c r="AA49" i="5" s="1"/>
  <c r="P49" i="5"/>
  <c r="U49" i="5" s="1"/>
  <c r="J49" i="5"/>
  <c r="N49" i="5" s="1"/>
  <c r="D49" i="5"/>
  <c r="H49" i="5" s="1"/>
  <c r="V47" i="5"/>
  <c r="AA47" i="5" s="1"/>
  <c r="U47" i="5"/>
  <c r="J47" i="5"/>
  <c r="D47" i="5"/>
  <c r="I47" i="5" s="1"/>
  <c r="V44" i="5"/>
  <c r="AA44" i="5" s="1"/>
  <c r="U44" i="5"/>
  <c r="J44" i="5"/>
  <c r="D44" i="5"/>
  <c r="H44" i="5" s="1"/>
  <c r="V43" i="5"/>
  <c r="AA43" i="5" s="1"/>
  <c r="U43" i="5"/>
  <c r="J43" i="5"/>
  <c r="D43" i="5"/>
  <c r="I43" i="5" s="1"/>
  <c r="V41" i="5"/>
  <c r="Z41" i="5" s="1"/>
  <c r="U41" i="5"/>
  <c r="J41" i="5"/>
  <c r="D41" i="5"/>
  <c r="H41" i="5" s="1"/>
  <c r="V40" i="5"/>
  <c r="AA40" i="5" s="1"/>
  <c r="P40" i="5"/>
  <c r="U40" i="5" s="1"/>
  <c r="J40" i="5"/>
  <c r="D40" i="5"/>
  <c r="I40" i="5" s="1"/>
  <c r="V39" i="5"/>
  <c r="Z39" i="5" s="1"/>
  <c r="P39" i="5"/>
  <c r="U39" i="5" s="1"/>
  <c r="J39" i="5"/>
  <c r="N39" i="5" s="1"/>
  <c r="D39" i="5"/>
  <c r="H39" i="5" s="1"/>
  <c r="V38" i="5"/>
  <c r="Z38" i="5" s="1"/>
  <c r="P38" i="5"/>
  <c r="U38" i="5" s="1"/>
  <c r="J38" i="5"/>
  <c r="D38" i="5"/>
  <c r="I38" i="5" s="1"/>
  <c r="V37" i="5"/>
  <c r="Z37" i="5" s="1"/>
  <c r="P37" i="5"/>
  <c r="U37" i="5" s="1"/>
  <c r="J37" i="5"/>
  <c r="N37" i="5" s="1"/>
  <c r="D37" i="5"/>
  <c r="H37" i="5" s="1"/>
  <c r="V36" i="5"/>
  <c r="AA36" i="5" s="1"/>
  <c r="P36" i="5"/>
  <c r="U36" i="5" s="1"/>
  <c r="J36" i="5"/>
  <c r="D36" i="5"/>
  <c r="I36" i="5" s="1"/>
  <c r="V34" i="5"/>
  <c r="AA34" i="5" s="1"/>
  <c r="P34" i="5"/>
  <c r="U34" i="5" s="1"/>
  <c r="J34" i="5"/>
  <c r="O34" i="5" s="1"/>
  <c r="D34" i="5"/>
  <c r="H34" i="5" s="1"/>
  <c r="V32" i="5"/>
  <c r="AA32" i="5" s="1"/>
  <c r="P32" i="5"/>
  <c r="U32" i="5" s="1"/>
  <c r="J32" i="5"/>
  <c r="D32" i="5"/>
  <c r="I32" i="5" s="1"/>
  <c r="V30" i="5"/>
  <c r="Z30" i="5" s="1"/>
  <c r="P30" i="5"/>
  <c r="U30" i="5" s="1"/>
  <c r="J30" i="5"/>
  <c r="O30" i="5" s="1"/>
  <c r="D30" i="5"/>
  <c r="I30" i="5" s="1"/>
  <c r="V28" i="5"/>
  <c r="AA28" i="5" s="1"/>
  <c r="P28" i="5"/>
  <c r="U28" i="5" s="1"/>
  <c r="J28" i="5"/>
  <c r="N28" i="5" s="1"/>
  <c r="D28" i="5"/>
  <c r="I28" i="5" s="1"/>
  <c r="V27" i="5"/>
  <c r="AA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1" i="5"/>
  <c r="AA21" i="5" s="1"/>
  <c r="P21" i="5"/>
  <c r="T21" i="5" s="1"/>
  <c r="J21" i="5"/>
  <c r="N21" i="5" s="1"/>
  <c r="D21" i="5"/>
  <c r="I21" i="5" s="1"/>
  <c r="V19" i="5"/>
  <c r="AA19" i="5" s="1"/>
  <c r="P19" i="5"/>
  <c r="U19" i="5" s="1"/>
  <c r="J19" i="5"/>
  <c r="O19" i="5" s="1"/>
  <c r="D19" i="5"/>
  <c r="I19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7" i="4"/>
  <c r="Z7" i="4" s="1"/>
  <c r="V8" i="4"/>
  <c r="AA8" i="4" s="1"/>
  <c r="V9" i="4"/>
  <c r="Z9" i="4" s="1"/>
  <c r="V10" i="4"/>
  <c r="AA10" i="4" s="1"/>
  <c r="V12" i="4"/>
  <c r="Z12" i="4" s="1"/>
  <c r="V13" i="4"/>
  <c r="AA13" i="4" s="1"/>
  <c r="V14" i="4"/>
  <c r="Z14" i="4" s="1"/>
  <c r="V16" i="4"/>
  <c r="Z16" i="4" s="1"/>
  <c r="V17" i="4"/>
  <c r="Z17" i="4" s="1"/>
  <c r="V20" i="4"/>
  <c r="Z20" i="4" s="1"/>
  <c r="V21" i="4"/>
  <c r="Z21" i="4" s="1"/>
  <c r="V22" i="4"/>
  <c r="AA22" i="4" s="1"/>
  <c r="V23" i="4"/>
  <c r="Z23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2" i="4"/>
  <c r="Z32" i="4" s="1"/>
  <c r="V33" i="4"/>
  <c r="Z33" i="4" s="1"/>
  <c r="V35" i="4"/>
  <c r="Z35" i="4" s="1"/>
  <c r="V37" i="4"/>
  <c r="AA37" i="4" s="1"/>
  <c r="V39" i="4"/>
  <c r="Z39" i="4" s="1"/>
  <c r="V41" i="4"/>
  <c r="Z41" i="4" s="1"/>
  <c r="V42" i="4"/>
  <c r="Z42" i="4" s="1"/>
  <c r="V43" i="4"/>
  <c r="AA43" i="4" s="1"/>
  <c r="V45" i="4"/>
  <c r="Z45" i="4" s="1"/>
  <c r="V46" i="4"/>
  <c r="Z46" i="4" s="1"/>
  <c r="V47" i="4"/>
  <c r="Z47" i="4" s="1"/>
  <c r="V50" i="4"/>
  <c r="AA50" i="4" s="1"/>
  <c r="V51" i="4"/>
  <c r="Z51" i="4" s="1"/>
  <c r="V52" i="4"/>
  <c r="AA52" i="4" s="1"/>
  <c r="V53" i="4"/>
  <c r="Z53" i="4" s="1"/>
  <c r="V54" i="4"/>
  <c r="AA54" i="4" s="1"/>
  <c r="V55" i="4"/>
  <c r="Z55" i="4" s="1"/>
  <c r="V56" i="4"/>
  <c r="Z56" i="4" s="1"/>
  <c r="V57" i="4"/>
  <c r="Z57" i="4" s="1"/>
  <c r="V58" i="4"/>
  <c r="AA58" i="4" s="1"/>
  <c r="V60" i="4"/>
  <c r="Z60" i="4" s="1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V68" i="4"/>
  <c r="Z68" i="4" s="1"/>
  <c r="V70" i="4"/>
  <c r="Z70" i="4" s="1"/>
  <c r="V71" i="4"/>
  <c r="Z71" i="4" s="1"/>
  <c r="V72" i="4"/>
  <c r="AA72" i="4" s="1"/>
  <c r="V73" i="4"/>
  <c r="Z73" i="4" s="1"/>
  <c r="V74" i="4"/>
  <c r="Z74" i="4" s="1"/>
  <c r="V75" i="4"/>
  <c r="Z75" i="4" s="1"/>
  <c r="V76" i="4"/>
  <c r="AA76" i="4" s="1"/>
  <c r="V77" i="4"/>
  <c r="Z77" i="4" s="1"/>
  <c r="V78" i="4"/>
  <c r="Z78" i="4" s="1"/>
  <c r="V80" i="4"/>
  <c r="Z80" i="4" s="1"/>
  <c r="V81" i="4"/>
  <c r="AA81" i="4" s="1"/>
  <c r="V82" i="4"/>
  <c r="Z82" i="4" s="1"/>
  <c r="V83" i="4"/>
  <c r="Z83" i="4" s="1"/>
  <c r="V84" i="4"/>
  <c r="Z84" i="4" s="1"/>
  <c r="V85" i="4"/>
  <c r="AA85" i="4" s="1"/>
  <c r="V86" i="4"/>
  <c r="Z86" i="4" s="1"/>
  <c r="V87" i="4"/>
  <c r="AA87" i="4" s="1"/>
  <c r="V88" i="4"/>
  <c r="Z88" i="4" s="1"/>
  <c r="V90" i="4"/>
  <c r="AA90" i="4" s="1"/>
  <c r="V91" i="4"/>
  <c r="Z91" i="4" s="1"/>
  <c r="V92" i="4"/>
  <c r="Z92" i="4" s="1"/>
  <c r="V93" i="4"/>
  <c r="Z93" i="4" s="1"/>
  <c r="V94" i="4"/>
  <c r="AA94" i="4" s="1"/>
  <c r="V95" i="4"/>
  <c r="Z95" i="4" s="1"/>
  <c r="V96" i="4"/>
  <c r="Z96" i="4" s="1"/>
  <c r="V97" i="4"/>
  <c r="Z97" i="4" s="1"/>
  <c r="V98" i="4"/>
  <c r="AA98" i="4" s="1"/>
  <c r="V100" i="4"/>
  <c r="V101" i="4"/>
  <c r="Z101" i="4" s="1"/>
  <c r="V102" i="4"/>
  <c r="Z102" i="4" s="1"/>
  <c r="V103" i="4"/>
  <c r="AA103" i="4" s="1"/>
  <c r="V104" i="4"/>
  <c r="Z104" i="4" s="1"/>
  <c r="V105" i="4"/>
  <c r="Z105" i="4" s="1"/>
  <c r="V106" i="4"/>
  <c r="Z106" i="4" s="1"/>
  <c r="V107" i="4"/>
  <c r="AA107" i="4" s="1"/>
  <c r="V108" i="4"/>
  <c r="V110" i="4"/>
  <c r="Z110" i="4" s="1"/>
  <c r="V111" i="4"/>
  <c r="Z111" i="4" s="1"/>
  <c r="V112" i="4"/>
  <c r="AA112" i="4" s="1"/>
  <c r="V113" i="4"/>
  <c r="Z113" i="4" s="1"/>
  <c r="V114" i="4"/>
  <c r="Z114" i="4" s="1"/>
  <c r="V115" i="4"/>
  <c r="Z115" i="4" s="1"/>
  <c r="V116" i="4"/>
  <c r="AA116" i="4" s="1"/>
  <c r="V117" i="4"/>
  <c r="V119" i="4"/>
  <c r="Z119" i="4" s="1"/>
  <c r="V120" i="4"/>
  <c r="Z120" i="4" s="1"/>
  <c r="V121" i="4"/>
  <c r="AA121" i="4" s="1"/>
  <c r="V122" i="4"/>
  <c r="Z122" i="4" s="1"/>
  <c r="V123" i="4"/>
  <c r="AA123" i="4" s="1"/>
  <c r="V124" i="4"/>
  <c r="Z124" i="4" s="1"/>
  <c r="V125" i="4"/>
  <c r="AA125" i="4" s="1"/>
  <c r="V126" i="4"/>
  <c r="V127" i="4"/>
  <c r="Z127" i="4" s="1"/>
  <c r="V128" i="4"/>
  <c r="Z128" i="4" s="1"/>
  <c r="V129" i="4"/>
  <c r="AA129" i="4" s="1"/>
  <c r="V130" i="4"/>
  <c r="Z130" i="4" s="1"/>
  <c r="V131" i="4"/>
  <c r="Z131" i="4" s="1"/>
  <c r="V132" i="4"/>
  <c r="Z132" i="4" s="1"/>
  <c r="V133" i="4"/>
  <c r="AA133" i="4" s="1"/>
  <c r="T134" i="4"/>
  <c r="U134" i="4"/>
  <c r="V134" i="4"/>
  <c r="P7" i="4"/>
  <c r="T7" i="4" s="1"/>
  <c r="P8" i="4"/>
  <c r="T8" i="4" s="1"/>
  <c r="P9" i="4"/>
  <c r="T9" i="4" s="1"/>
  <c r="P10" i="4"/>
  <c r="T10" i="4" s="1"/>
  <c r="P12" i="4"/>
  <c r="U12" i="4" s="1"/>
  <c r="P13" i="4"/>
  <c r="T13" i="4" s="1"/>
  <c r="P14" i="4"/>
  <c r="T14" i="4" s="1"/>
  <c r="P16" i="4"/>
  <c r="P17" i="4"/>
  <c r="T17" i="4" s="1"/>
  <c r="P20" i="4"/>
  <c r="P21" i="4"/>
  <c r="U21" i="4" s="1"/>
  <c r="P22" i="4"/>
  <c r="T22" i="4" s="1"/>
  <c r="P23" i="4"/>
  <c r="T23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2" i="4"/>
  <c r="T32" i="4" s="1"/>
  <c r="P33" i="4"/>
  <c r="P35" i="4"/>
  <c r="P37" i="4"/>
  <c r="T37" i="4" s="1"/>
  <c r="P39" i="4"/>
  <c r="T39" i="4" s="1"/>
  <c r="P41" i="4"/>
  <c r="P42" i="4"/>
  <c r="U42" i="4" s="1"/>
  <c r="P43" i="4"/>
  <c r="T43" i="4" s="1"/>
  <c r="P45" i="4"/>
  <c r="T45" i="4" s="1"/>
  <c r="P46" i="4"/>
  <c r="P47" i="4"/>
  <c r="T47" i="4" s="1"/>
  <c r="P50" i="4"/>
  <c r="T50" i="4" s="1"/>
  <c r="P51" i="4"/>
  <c r="T51" i="4" s="1"/>
  <c r="P52" i="4"/>
  <c r="P53" i="4"/>
  <c r="U53" i="4" s="1"/>
  <c r="P54" i="4"/>
  <c r="T54" i="4" s="1"/>
  <c r="P55" i="4"/>
  <c r="T55" i="4" s="1"/>
  <c r="P56" i="4"/>
  <c r="P57" i="4"/>
  <c r="T57" i="4" s="1"/>
  <c r="P58" i="4"/>
  <c r="T58" i="4" s="1"/>
  <c r="P60" i="4"/>
  <c r="T60" i="4" s="1"/>
  <c r="P61" i="4"/>
  <c r="P62" i="4"/>
  <c r="U62" i="4" s="1"/>
  <c r="P63" i="4"/>
  <c r="T63" i="4" s="1"/>
  <c r="P64" i="4"/>
  <c r="T64" i="4" s="1"/>
  <c r="P65" i="4"/>
  <c r="P66" i="4"/>
  <c r="T66" i="4" s="1"/>
  <c r="P67" i="4"/>
  <c r="T67" i="4" s="1"/>
  <c r="P68" i="4"/>
  <c r="T68" i="4" s="1"/>
  <c r="P70" i="4"/>
  <c r="P71" i="4"/>
  <c r="U71" i="4" s="1"/>
  <c r="P72" i="4"/>
  <c r="T72" i="4" s="1"/>
  <c r="P73" i="4"/>
  <c r="T73" i="4" s="1"/>
  <c r="P74" i="4"/>
  <c r="P75" i="4"/>
  <c r="T75" i="4" s="1"/>
  <c r="P76" i="4"/>
  <c r="T76" i="4" s="1"/>
  <c r="P77" i="4"/>
  <c r="T77" i="4" s="1"/>
  <c r="P78" i="4"/>
  <c r="P80" i="4"/>
  <c r="U80" i="4" s="1"/>
  <c r="P81" i="4"/>
  <c r="T81" i="4" s="1"/>
  <c r="P82" i="4"/>
  <c r="T82" i="4" s="1"/>
  <c r="P83" i="4"/>
  <c r="P84" i="4"/>
  <c r="T84" i="4" s="1"/>
  <c r="P85" i="4"/>
  <c r="T85" i="4" s="1"/>
  <c r="P86" i="4"/>
  <c r="T86" i="4" s="1"/>
  <c r="P87" i="4"/>
  <c r="P88" i="4"/>
  <c r="U88" i="4" s="1"/>
  <c r="P90" i="4"/>
  <c r="T90" i="4" s="1"/>
  <c r="P91" i="4"/>
  <c r="T91" i="4" s="1"/>
  <c r="P92" i="4"/>
  <c r="P93" i="4"/>
  <c r="T93" i="4" s="1"/>
  <c r="P94" i="4"/>
  <c r="T94" i="4" s="1"/>
  <c r="P95" i="4"/>
  <c r="T95" i="4" s="1"/>
  <c r="P96" i="4"/>
  <c r="P97" i="4"/>
  <c r="U97" i="4" s="1"/>
  <c r="P98" i="4"/>
  <c r="T98" i="4" s="1"/>
  <c r="P100" i="4"/>
  <c r="T100" i="4" s="1"/>
  <c r="P101" i="4"/>
  <c r="P102" i="4"/>
  <c r="T102" i="4" s="1"/>
  <c r="P103" i="4"/>
  <c r="T103" i="4" s="1"/>
  <c r="P104" i="4"/>
  <c r="T104" i="4" s="1"/>
  <c r="P105" i="4"/>
  <c r="P106" i="4"/>
  <c r="U106" i="4" s="1"/>
  <c r="P107" i="4"/>
  <c r="T107" i="4" s="1"/>
  <c r="P108" i="4"/>
  <c r="T108" i="4" s="1"/>
  <c r="P110" i="4"/>
  <c r="P111" i="4"/>
  <c r="U111" i="4" s="1"/>
  <c r="P112" i="4"/>
  <c r="T112" i="4" s="1"/>
  <c r="P113" i="4"/>
  <c r="T113" i="4" s="1"/>
  <c r="P114" i="4"/>
  <c r="P115" i="4"/>
  <c r="U115" i="4" s="1"/>
  <c r="P116" i="4"/>
  <c r="T116" i="4" s="1"/>
  <c r="P117" i="4"/>
  <c r="T117" i="4" s="1"/>
  <c r="P119" i="4"/>
  <c r="P120" i="4"/>
  <c r="T120" i="4" s="1"/>
  <c r="P121" i="4"/>
  <c r="T121" i="4" s="1"/>
  <c r="P122" i="4"/>
  <c r="T122" i="4" s="1"/>
  <c r="P123" i="4"/>
  <c r="P124" i="4"/>
  <c r="U124" i="4" s="1"/>
  <c r="P125" i="4"/>
  <c r="T125" i="4" s="1"/>
  <c r="P126" i="4"/>
  <c r="T126" i="4" s="1"/>
  <c r="P127" i="4"/>
  <c r="P128" i="4"/>
  <c r="T128" i="4" s="1"/>
  <c r="P129" i="4"/>
  <c r="T129" i="4" s="1"/>
  <c r="P130" i="4"/>
  <c r="T130" i="4" s="1"/>
  <c r="P131" i="4"/>
  <c r="P132" i="4"/>
  <c r="U132" i="4" s="1"/>
  <c r="P133" i="4"/>
  <c r="T133" i="4" s="1"/>
  <c r="J7" i="4"/>
  <c r="N7" i="4" s="1"/>
  <c r="J8" i="4"/>
  <c r="J9" i="4"/>
  <c r="N9" i="4" s="1"/>
  <c r="J10" i="4"/>
  <c r="N10" i="4" s="1"/>
  <c r="J12" i="4"/>
  <c r="O12" i="4" s="1"/>
  <c r="J13" i="4"/>
  <c r="O13" i="4" s="1"/>
  <c r="J14" i="4"/>
  <c r="N14" i="4" s="1"/>
  <c r="J16" i="4"/>
  <c r="N16" i="4" s="1"/>
  <c r="J17" i="4"/>
  <c r="N17" i="4" s="1"/>
  <c r="J20" i="4"/>
  <c r="N20" i="4" s="1"/>
  <c r="J21" i="4"/>
  <c r="O21" i="4" s="1"/>
  <c r="J22" i="4"/>
  <c r="O22" i="4" s="1"/>
  <c r="J23" i="4"/>
  <c r="N23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2" i="4"/>
  <c r="N32" i="4" s="1"/>
  <c r="J33" i="4"/>
  <c r="N33" i="4" s="1"/>
  <c r="J35" i="4"/>
  <c r="N35" i="4" s="1"/>
  <c r="J37" i="4"/>
  <c r="O37" i="4" s="1"/>
  <c r="J39" i="4"/>
  <c r="N39" i="4" s="1"/>
  <c r="J41" i="4"/>
  <c r="N41" i="4" s="1"/>
  <c r="J42" i="4"/>
  <c r="O42" i="4" s="1"/>
  <c r="J43" i="4"/>
  <c r="O43" i="4" s="1"/>
  <c r="J45" i="4"/>
  <c r="N45" i="4" s="1"/>
  <c r="J46" i="4"/>
  <c r="N46" i="4" s="1"/>
  <c r="J47" i="4"/>
  <c r="N47" i="4" s="1"/>
  <c r="J50" i="4"/>
  <c r="O50" i="4" s="1"/>
  <c r="J51" i="4"/>
  <c r="N51" i="4" s="1"/>
  <c r="J52" i="4"/>
  <c r="N52" i="4" s="1"/>
  <c r="J53" i="4"/>
  <c r="O53" i="4" s="1"/>
  <c r="J54" i="4"/>
  <c r="O54" i="4" s="1"/>
  <c r="J55" i="4"/>
  <c r="N55" i="4" s="1"/>
  <c r="J56" i="4"/>
  <c r="N56" i="4" s="1"/>
  <c r="J57" i="4"/>
  <c r="N57" i="4" s="1"/>
  <c r="J58" i="4"/>
  <c r="O58" i="4" s="1"/>
  <c r="J60" i="4"/>
  <c r="N60" i="4" s="1"/>
  <c r="J61" i="4"/>
  <c r="N61" i="4" s="1"/>
  <c r="J62" i="4"/>
  <c r="O62" i="4" s="1"/>
  <c r="J63" i="4"/>
  <c r="O63" i="4" s="1"/>
  <c r="J64" i="4"/>
  <c r="N64" i="4" s="1"/>
  <c r="J65" i="4"/>
  <c r="N65" i="4" s="1"/>
  <c r="J66" i="4"/>
  <c r="N66" i="4" s="1"/>
  <c r="J67" i="4"/>
  <c r="O67" i="4" s="1"/>
  <c r="J68" i="4"/>
  <c r="N68" i="4" s="1"/>
  <c r="J70" i="4"/>
  <c r="N70" i="4" s="1"/>
  <c r="J71" i="4"/>
  <c r="O71" i="4" s="1"/>
  <c r="J72" i="4"/>
  <c r="O72" i="4" s="1"/>
  <c r="J73" i="4"/>
  <c r="N73" i="4" s="1"/>
  <c r="J74" i="4"/>
  <c r="N74" i="4" s="1"/>
  <c r="J75" i="4"/>
  <c r="N75" i="4" s="1"/>
  <c r="J76" i="4"/>
  <c r="O76" i="4" s="1"/>
  <c r="J77" i="4"/>
  <c r="N77" i="4" s="1"/>
  <c r="J78" i="4"/>
  <c r="N78" i="4" s="1"/>
  <c r="J80" i="4"/>
  <c r="O80" i="4" s="1"/>
  <c r="J81" i="4"/>
  <c r="O81" i="4" s="1"/>
  <c r="J82" i="4"/>
  <c r="N82" i="4" s="1"/>
  <c r="J83" i="4"/>
  <c r="N83" i="4" s="1"/>
  <c r="J84" i="4"/>
  <c r="N84" i="4" s="1"/>
  <c r="J85" i="4"/>
  <c r="O85" i="4" s="1"/>
  <c r="J86" i="4"/>
  <c r="N86" i="4" s="1"/>
  <c r="J87" i="4"/>
  <c r="N87" i="4" s="1"/>
  <c r="J88" i="4"/>
  <c r="O88" i="4" s="1"/>
  <c r="J90" i="4"/>
  <c r="O90" i="4" s="1"/>
  <c r="J91" i="4"/>
  <c r="N91" i="4" s="1"/>
  <c r="J92" i="4"/>
  <c r="N92" i="4" s="1"/>
  <c r="J93" i="4"/>
  <c r="N93" i="4" s="1"/>
  <c r="J94" i="4"/>
  <c r="O94" i="4" s="1"/>
  <c r="J95" i="4"/>
  <c r="N95" i="4" s="1"/>
  <c r="J96" i="4"/>
  <c r="N96" i="4" s="1"/>
  <c r="J97" i="4"/>
  <c r="O97" i="4" s="1"/>
  <c r="J98" i="4"/>
  <c r="O98" i="4" s="1"/>
  <c r="J100" i="4"/>
  <c r="N100" i="4" s="1"/>
  <c r="J101" i="4"/>
  <c r="N101" i="4" s="1"/>
  <c r="J102" i="4"/>
  <c r="N102" i="4" s="1"/>
  <c r="J103" i="4"/>
  <c r="O103" i="4" s="1"/>
  <c r="J104" i="4"/>
  <c r="N104" i="4" s="1"/>
  <c r="J105" i="4"/>
  <c r="N105" i="4" s="1"/>
  <c r="J106" i="4"/>
  <c r="O106" i="4" s="1"/>
  <c r="J107" i="4"/>
  <c r="O107" i="4" s="1"/>
  <c r="J108" i="4"/>
  <c r="N108" i="4" s="1"/>
  <c r="J110" i="4"/>
  <c r="N110" i="4" s="1"/>
  <c r="J111" i="4"/>
  <c r="N111" i="4" s="1"/>
  <c r="J112" i="4"/>
  <c r="O112" i="4" s="1"/>
  <c r="J113" i="4"/>
  <c r="N113" i="4" s="1"/>
  <c r="J114" i="4"/>
  <c r="N114" i="4" s="1"/>
  <c r="J115" i="4"/>
  <c r="O115" i="4" s="1"/>
  <c r="J116" i="4"/>
  <c r="O116" i="4" s="1"/>
  <c r="J117" i="4"/>
  <c r="N117" i="4" s="1"/>
  <c r="J119" i="4"/>
  <c r="N119" i="4" s="1"/>
  <c r="J120" i="4"/>
  <c r="N120" i="4" s="1"/>
  <c r="J121" i="4"/>
  <c r="O121" i="4" s="1"/>
  <c r="J122" i="4"/>
  <c r="N122" i="4" s="1"/>
  <c r="J123" i="4"/>
  <c r="N123" i="4" s="1"/>
  <c r="J124" i="4"/>
  <c r="O124" i="4" s="1"/>
  <c r="J125" i="4"/>
  <c r="O125" i="4" s="1"/>
  <c r="J126" i="4"/>
  <c r="N126" i="4" s="1"/>
  <c r="J127" i="4"/>
  <c r="N127" i="4" s="1"/>
  <c r="J128" i="4"/>
  <c r="N128" i="4" s="1"/>
  <c r="J129" i="4"/>
  <c r="O129" i="4" s="1"/>
  <c r="J130" i="4"/>
  <c r="N130" i="4" s="1"/>
  <c r="J131" i="4"/>
  <c r="N131" i="4" s="1"/>
  <c r="J132" i="4"/>
  <c r="O132" i="4" s="1"/>
  <c r="J133" i="4"/>
  <c r="O133" i="4" s="1"/>
  <c r="J134" i="4"/>
  <c r="D33" i="4"/>
  <c r="H33" i="4" s="1"/>
  <c r="D23" i="4"/>
  <c r="H23" i="4" s="1"/>
  <c r="D14" i="4"/>
  <c r="H14" i="4" s="1"/>
  <c r="D31" i="4"/>
  <c r="H31" i="4" s="1"/>
  <c r="D32" i="4"/>
  <c r="H32" i="4" s="1"/>
  <c r="D21" i="4"/>
  <c r="H21" i="4" s="1"/>
  <c r="D12" i="4"/>
  <c r="H12" i="4" s="1"/>
  <c r="D13" i="4"/>
  <c r="H13" i="4" s="1"/>
  <c r="D22" i="4"/>
  <c r="H22" i="4" s="1"/>
  <c r="V6" i="4"/>
  <c r="AA6" i="4" s="1"/>
  <c r="P6" i="4"/>
  <c r="T6" i="4" s="1"/>
  <c r="J6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D7" i="4"/>
  <c r="I7" i="4" s="1"/>
  <c r="D8" i="4"/>
  <c r="I8" i="4" s="1"/>
  <c r="D9" i="4"/>
  <c r="I9" i="4" s="1"/>
  <c r="D10" i="4"/>
  <c r="I10" i="4" s="1"/>
  <c r="D16" i="4"/>
  <c r="D17" i="4"/>
  <c r="I17" i="4" s="1"/>
  <c r="D20" i="4"/>
  <c r="I20" i="4" s="1"/>
  <c r="D25" i="4"/>
  <c r="H25" i="4" s="1"/>
  <c r="D26" i="4"/>
  <c r="H26" i="4" s="1"/>
  <c r="D27" i="4"/>
  <c r="D28" i="4"/>
  <c r="D29" i="4"/>
  <c r="I29" i="4" s="1"/>
  <c r="D30" i="4"/>
  <c r="I30" i="4" s="1"/>
  <c r="D35" i="4"/>
  <c r="H35" i="4" s="1"/>
  <c r="D37" i="4"/>
  <c r="H37" i="4" s="1"/>
  <c r="D39" i="4"/>
  <c r="H39" i="4" s="1"/>
  <c r="D41" i="4"/>
  <c r="H41" i="4" s="1"/>
  <c r="D42" i="4"/>
  <c r="D43" i="4"/>
  <c r="D45" i="4"/>
  <c r="I45" i="4" s="1"/>
  <c r="D46" i="4"/>
  <c r="I46" i="4" s="1"/>
  <c r="D47" i="4"/>
  <c r="I47" i="4" s="1"/>
  <c r="D50" i="4"/>
  <c r="I50" i="4" s="1"/>
  <c r="D51" i="4"/>
  <c r="H51" i="4" s="1"/>
  <c r="D52" i="4"/>
  <c r="H52" i="4" s="1"/>
  <c r="D53" i="4"/>
  <c r="D54" i="4"/>
  <c r="D55" i="4"/>
  <c r="I55" i="4" s="1"/>
  <c r="D56" i="4"/>
  <c r="I56" i="4" s="1"/>
  <c r="D57" i="4"/>
  <c r="H57" i="4" s="1"/>
  <c r="D58" i="4"/>
  <c r="H58" i="4" s="1"/>
  <c r="D60" i="4"/>
  <c r="H60" i="4" s="1"/>
  <c r="D61" i="4"/>
  <c r="H61" i="4" s="1"/>
  <c r="D62" i="4"/>
  <c r="H62" i="4" s="1"/>
  <c r="D63" i="4"/>
  <c r="D64" i="4"/>
  <c r="D65" i="4"/>
  <c r="I65" i="4" s="1"/>
  <c r="D66" i="4"/>
  <c r="I66" i="4" s="1"/>
  <c r="D67" i="4"/>
  <c r="I67" i="4" s="1"/>
  <c r="D68" i="4"/>
  <c r="I68" i="4" s="1"/>
  <c r="D70" i="4"/>
  <c r="H70" i="4" s="1"/>
  <c r="D71" i="4"/>
  <c r="H71" i="4" s="1"/>
  <c r="D72" i="4"/>
  <c r="D73" i="4"/>
  <c r="D74" i="4"/>
  <c r="I74" i="4" s="1"/>
  <c r="D75" i="4"/>
  <c r="I75" i="4" s="1"/>
  <c r="D76" i="4"/>
  <c r="H76" i="4" s="1"/>
  <c r="D77" i="4"/>
  <c r="H77" i="4" s="1"/>
  <c r="D78" i="4"/>
  <c r="H78" i="4" s="1"/>
  <c r="D80" i="4"/>
  <c r="H80" i="4" s="1"/>
  <c r="D81" i="4"/>
  <c r="D82" i="4"/>
  <c r="D83" i="4"/>
  <c r="I83" i="4" s="1"/>
  <c r="D84" i="4"/>
  <c r="I84" i="4" s="1"/>
  <c r="D85" i="4"/>
  <c r="I85" i="4" s="1"/>
  <c r="D86" i="4"/>
  <c r="I86" i="4" s="1"/>
  <c r="D87" i="4"/>
  <c r="H87" i="4" s="1"/>
  <c r="D88" i="4"/>
  <c r="H88" i="4" s="1"/>
  <c r="D90" i="4"/>
  <c r="D91" i="4"/>
  <c r="D92" i="4"/>
  <c r="I92" i="4" s="1"/>
  <c r="D93" i="4"/>
  <c r="I93" i="4" s="1"/>
  <c r="D94" i="4"/>
  <c r="H94" i="4" s="1"/>
  <c r="D95" i="4"/>
  <c r="H95" i="4" s="1"/>
  <c r="D96" i="4"/>
  <c r="H96" i="4" s="1"/>
  <c r="D97" i="4"/>
  <c r="H97" i="4" s="1"/>
  <c r="D98" i="4"/>
  <c r="I98" i="4" s="1"/>
  <c r="D100" i="4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H106" i="4" s="1"/>
  <c r="D107" i="4"/>
  <c r="I107" i="4" s="1"/>
  <c r="D108" i="4"/>
  <c r="I108" i="4" s="1"/>
  <c r="D110" i="4"/>
  <c r="I110" i="4" s="1"/>
  <c r="D111" i="4"/>
  <c r="I111" i="4" s="1"/>
  <c r="D112" i="4"/>
  <c r="H112" i="4" s="1"/>
  <c r="D113" i="4"/>
  <c r="H113" i="4" s="1"/>
  <c r="D114" i="4"/>
  <c r="I114" i="4" s="1"/>
  <c r="D115" i="4"/>
  <c r="H115" i="4" s="1"/>
  <c r="D116" i="4"/>
  <c r="I116" i="4" s="1"/>
  <c r="D117" i="4"/>
  <c r="I117" i="4" s="1"/>
  <c r="D6" i="4"/>
  <c r="I6" i="4" s="1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G5" i="1"/>
  <c r="H5" i="1"/>
  <c r="G7" i="1"/>
  <c r="H7" i="1"/>
  <c r="G2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9" i="1"/>
  <c r="G9" i="1"/>
  <c r="H4" i="1"/>
  <c r="G4" i="1"/>
  <c r="H3" i="1"/>
  <c r="G3" i="1"/>
  <c r="H2" i="1"/>
  <c r="N63" i="5" l="1"/>
  <c r="O63" i="5"/>
  <c r="N45" i="5"/>
  <c r="O45" i="5"/>
  <c r="N33" i="5"/>
  <c r="O33" i="5"/>
  <c r="N31" i="5"/>
  <c r="O31" i="5"/>
  <c r="N29" i="5"/>
  <c r="O29" i="5"/>
  <c r="N48" i="4"/>
  <c r="O48" i="4"/>
  <c r="N44" i="4"/>
  <c r="O44" i="4"/>
  <c r="N40" i="4"/>
  <c r="O40" i="4"/>
  <c r="N38" i="4"/>
  <c r="O38" i="4"/>
  <c r="N36" i="4"/>
  <c r="O36" i="4"/>
  <c r="U35" i="4"/>
  <c r="N18" i="4"/>
  <c r="O18" i="4"/>
  <c r="N19" i="4"/>
  <c r="O19" i="4"/>
  <c r="N11" i="4"/>
  <c r="O11" i="4"/>
  <c r="N18" i="5"/>
  <c r="O18" i="5"/>
  <c r="N41" i="5"/>
  <c r="O41" i="5"/>
  <c r="N43" i="5"/>
  <c r="O43" i="5"/>
  <c r="N44" i="5"/>
  <c r="O44" i="5"/>
  <c r="N47" i="5"/>
  <c r="O47" i="5"/>
  <c r="N54" i="5"/>
  <c r="O54" i="5"/>
  <c r="N56" i="5"/>
  <c r="O56" i="5"/>
  <c r="N57" i="5"/>
  <c r="O57" i="5"/>
  <c r="N59" i="5"/>
  <c r="O59" i="5"/>
  <c r="N69" i="5"/>
  <c r="O69" i="5"/>
  <c r="N70" i="5"/>
  <c r="O70" i="5"/>
  <c r="N72" i="5"/>
  <c r="O72" i="5"/>
  <c r="N78" i="5"/>
  <c r="O78" i="5"/>
  <c r="N79" i="5"/>
  <c r="O79" i="5"/>
  <c r="N81" i="5"/>
  <c r="O81" i="5"/>
  <c r="N82" i="5"/>
  <c r="O82" i="5"/>
  <c r="N84" i="5"/>
  <c r="O84" i="5"/>
  <c r="N91" i="5"/>
  <c r="O91" i="5"/>
  <c r="N93" i="5"/>
  <c r="O93" i="5"/>
  <c r="N94" i="5"/>
  <c r="O94" i="5"/>
  <c r="N96" i="5"/>
  <c r="O96" i="5"/>
  <c r="N105" i="5"/>
  <c r="O105" i="5"/>
  <c r="N106" i="5"/>
  <c r="O106" i="5"/>
  <c r="N108" i="5"/>
  <c r="O108" i="5"/>
  <c r="N117" i="5"/>
  <c r="O117" i="5"/>
  <c r="N118" i="5"/>
  <c r="O118" i="5"/>
  <c r="N120" i="5"/>
  <c r="O120" i="5"/>
  <c r="N42" i="5"/>
  <c r="O42" i="5"/>
  <c r="N46" i="5"/>
  <c r="O46" i="5"/>
  <c r="N55" i="5"/>
  <c r="O55" i="5"/>
  <c r="N58" i="5"/>
  <c r="O58" i="5"/>
  <c r="N68" i="5"/>
  <c r="O68" i="5"/>
  <c r="N71" i="5"/>
  <c r="O71" i="5"/>
  <c r="N80" i="5"/>
  <c r="O80" i="5"/>
  <c r="N83" i="5"/>
  <c r="O83" i="5"/>
  <c r="N92" i="5"/>
  <c r="O92" i="5"/>
  <c r="N104" i="5"/>
  <c r="O104" i="5"/>
  <c r="N107" i="5"/>
  <c r="O107" i="5"/>
  <c r="N95" i="5"/>
  <c r="O95" i="5"/>
  <c r="N116" i="5"/>
  <c r="O116" i="5"/>
  <c r="N119" i="5"/>
  <c r="O119" i="5"/>
  <c r="N3" i="4"/>
  <c r="O14" i="4"/>
  <c r="T111" i="4"/>
  <c r="Z133" i="4"/>
  <c r="Z123" i="4"/>
  <c r="Z10" i="4"/>
  <c r="T88" i="4"/>
  <c r="U72" i="4"/>
  <c r="T35" i="4"/>
  <c r="Z52" i="4"/>
  <c r="U121" i="4"/>
  <c r="AA33" i="4"/>
  <c r="O95" i="4"/>
  <c r="AA110" i="4"/>
  <c r="U3" i="4"/>
  <c r="O28" i="4"/>
  <c r="T12" i="4"/>
  <c r="Z87" i="4"/>
  <c r="U66" i="4"/>
  <c r="U50" i="4"/>
  <c r="AA74" i="4"/>
  <c r="O126" i="4"/>
  <c r="Z63" i="4"/>
  <c r="U95" i="5"/>
  <c r="I119" i="5"/>
  <c r="AA119" i="5"/>
  <c r="U104" i="5"/>
  <c r="U92" i="5"/>
  <c r="I116" i="5"/>
  <c r="AA116" i="5"/>
  <c r="U107" i="5"/>
  <c r="I95" i="5"/>
  <c r="AA95" i="5"/>
  <c r="I107" i="5"/>
  <c r="AA107" i="5"/>
  <c r="U83" i="5"/>
  <c r="I104" i="5"/>
  <c r="AA104" i="5"/>
  <c r="U68" i="5"/>
  <c r="I92" i="5"/>
  <c r="AA92" i="5"/>
  <c r="U80" i="5"/>
  <c r="I83" i="5"/>
  <c r="AA83" i="5"/>
  <c r="U71" i="5"/>
  <c r="I80" i="5"/>
  <c r="T58" i="5"/>
  <c r="AA80" i="5"/>
  <c r="I68" i="5"/>
  <c r="I71" i="5"/>
  <c r="AA71" i="5"/>
  <c r="T55" i="5"/>
  <c r="AA68" i="5"/>
  <c r="T46" i="5"/>
  <c r="I58" i="5"/>
  <c r="AA58" i="5"/>
  <c r="T42" i="5"/>
  <c r="I55" i="5"/>
  <c r="AA55" i="5"/>
  <c r="I46" i="5"/>
  <c r="AA46" i="5"/>
  <c r="AA124" i="5"/>
  <c r="I42" i="5"/>
  <c r="AA42" i="5"/>
  <c r="H110" i="5"/>
  <c r="AA118" i="5"/>
  <c r="I82" i="5"/>
  <c r="T99" i="5"/>
  <c r="Z78" i="5"/>
  <c r="AA81" i="5"/>
  <c r="H67" i="5"/>
  <c r="H86" i="5"/>
  <c r="T81" i="5"/>
  <c r="H90" i="5"/>
  <c r="T77" i="5"/>
  <c r="H84" i="5"/>
  <c r="I50" i="5"/>
  <c r="N30" i="5"/>
  <c r="Z67" i="5"/>
  <c r="O76" i="5"/>
  <c r="H69" i="5"/>
  <c r="Z84" i="5"/>
  <c r="O13" i="5"/>
  <c r="AA41" i="5"/>
  <c r="T44" i="5"/>
  <c r="O49" i="5"/>
  <c r="N9" i="5"/>
  <c r="H12" i="5"/>
  <c r="U21" i="5"/>
  <c r="AA39" i="5"/>
  <c r="H52" i="5"/>
  <c r="Z76" i="5"/>
  <c r="I78" i="5"/>
  <c r="H79" i="5"/>
  <c r="Z87" i="5"/>
  <c r="Z94" i="5"/>
  <c r="H108" i="5"/>
  <c r="AA126" i="5"/>
  <c r="T24" i="5"/>
  <c r="O37" i="5"/>
  <c r="AA38" i="5"/>
  <c r="Z53" i="5"/>
  <c r="T59" i="5"/>
  <c r="I77" i="5"/>
  <c r="H127" i="5"/>
  <c r="H23" i="5"/>
  <c r="Z34" i="5"/>
  <c r="I51" i="5"/>
  <c r="T78" i="5"/>
  <c r="H88" i="5"/>
  <c r="AA89" i="5"/>
  <c r="H94" i="5"/>
  <c r="H103" i="5"/>
  <c r="T32" i="5"/>
  <c r="AA37" i="5"/>
  <c r="O39" i="5"/>
  <c r="Z52" i="5"/>
  <c r="U129" i="5"/>
  <c r="Z22" i="4"/>
  <c r="O113" i="4"/>
  <c r="O82" i="4"/>
  <c r="N63" i="4"/>
  <c r="O51" i="4"/>
  <c r="N42" i="4"/>
  <c r="T115" i="4"/>
  <c r="U98" i="4"/>
  <c r="U93" i="4"/>
  <c r="U76" i="4"/>
  <c r="T42" i="4"/>
  <c r="U22" i="4"/>
  <c r="U17" i="4"/>
  <c r="AA131" i="4"/>
  <c r="Z121" i="4"/>
  <c r="AA96" i="4"/>
  <c r="Z85" i="4"/>
  <c r="AA61" i="4"/>
  <c r="Z50" i="4"/>
  <c r="AA20" i="4"/>
  <c r="Z8" i="4"/>
  <c r="N132" i="4"/>
  <c r="N106" i="4"/>
  <c r="O100" i="4"/>
  <c r="O68" i="4"/>
  <c r="O32" i="4"/>
  <c r="U125" i="4"/>
  <c r="U120" i="4"/>
  <c r="U103" i="4"/>
  <c r="T71" i="4"/>
  <c r="U54" i="4"/>
  <c r="U47" i="4"/>
  <c r="U27" i="4"/>
  <c r="AA119" i="4"/>
  <c r="Z107" i="4"/>
  <c r="AA83" i="4"/>
  <c r="Z72" i="4"/>
  <c r="AA46" i="4"/>
  <c r="Z31" i="4"/>
  <c r="N88" i="4"/>
  <c r="O130" i="4"/>
  <c r="N124" i="4"/>
  <c r="O117" i="4"/>
  <c r="N112" i="4"/>
  <c r="O86" i="4"/>
  <c r="N62" i="4"/>
  <c r="O55" i="4"/>
  <c r="N12" i="4"/>
  <c r="U129" i="4"/>
  <c r="T97" i="4"/>
  <c r="U81" i="4"/>
  <c r="U75" i="4"/>
  <c r="U58" i="4"/>
  <c r="T21" i="4"/>
  <c r="Z129" i="4"/>
  <c r="AA105" i="4"/>
  <c r="Z94" i="4"/>
  <c r="AA70" i="4"/>
  <c r="Z58" i="4"/>
  <c r="AA29" i="4"/>
  <c r="N21" i="4"/>
  <c r="Z98" i="4"/>
  <c r="I33" i="4"/>
  <c r="N80" i="4"/>
  <c r="O73" i="4"/>
  <c r="O39" i="4"/>
  <c r="T124" i="4"/>
  <c r="U107" i="4"/>
  <c r="U102" i="4"/>
  <c r="U85" i="4"/>
  <c r="T53" i="4"/>
  <c r="U31" i="4"/>
  <c r="U26" i="4"/>
  <c r="U8" i="4"/>
  <c r="AA127" i="4"/>
  <c r="Z116" i="4"/>
  <c r="AA92" i="4"/>
  <c r="Z81" i="4"/>
  <c r="AA56" i="4"/>
  <c r="Z43" i="4"/>
  <c r="AA16" i="4"/>
  <c r="O104" i="4"/>
  <c r="N97" i="4"/>
  <c r="O91" i="4"/>
  <c r="N85" i="4"/>
  <c r="N30" i="4"/>
  <c r="O23" i="4"/>
  <c r="U133" i="4"/>
  <c r="U128" i="4"/>
  <c r="U112" i="4"/>
  <c r="T80" i="4"/>
  <c r="U63" i="4"/>
  <c r="U57" i="4"/>
  <c r="U37" i="4"/>
  <c r="AA114" i="4"/>
  <c r="Z103" i="4"/>
  <c r="AA78" i="4"/>
  <c r="Z67" i="4"/>
  <c r="AA41" i="4"/>
  <c r="Z27" i="4"/>
  <c r="I3" i="4"/>
  <c r="N133" i="4"/>
  <c r="O122" i="4"/>
  <c r="N115" i="4"/>
  <c r="O60" i="4"/>
  <c r="N53" i="4"/>
  <c r="O45" i="4"/>
  <c r="N37" i="4"/>
  <c r="O9" i="4"/>
  <c r="T106" i="4"/>
  <c r="U90" i="4"/>
  <c r="U84" i="4"/>
  <c r="U67" i="4"/>
  <c r="T30" i="4"/>
  <c r="U13" i="4"/>
  <c r="U7" i="4"/>
  <c r="Z125" i="4"/>
  <c r="AA101" i="4"/>
  <c r="Z90" i="4"/>
  <c r="AA65" i="4"/>
  <c r="Z54" i="4"/>
  <c r="AA25" i="4"/>
  <c r="Z13" i="4"/>
  <c r="AA3" i="4"/>
  <c r="O108" i="4"/>
  <c r="O77" i="4"/>
  <c r="N71" i="4"/>
  <c r="O64" i="4"/>
  <c r="T132" i="4"/>
  <c r="U116" i="4"/>
  <c r="U94" i="4"/>
  <c r="T62" i="4"/>
  <c r="U43" i="4"/>
  <c r="Z112" i="4"/>
  <c r="Z76" i="4"/>
  <c r="Z37" i="4"/>
  <c r="T78" i="4"/>
  <c r="U78" i="4"/>
  <c r="T119" i="4"/>
  <c r="U119" i="4"/>
  <c r="N103" i="4"/>
  <c r="N81" i="4"/>
  <c r="T70" i="4"/>
  <c r="U70" i="4"/>
  <c r="T46" i="4"/>
  <c r="U46" i="4"/>
  <c r="N27" i="4"/>
  <c r="Z134" i="4"/>
  <c r="AA134" i="4"/>
  <c r="N129" i="4"/>
  <c r="N107" i="4"/>
  <c r="T96" i="4"/>
  <c r="U96" i="4"/>
  <c r="T74" i="4"/>
  <c r="U74" i="4"/>
  <c r="N58" i="4"/>
  <c r="N31" i="4"/>
  <c r="T20" i="4"/>
  <c r="U20" i="4"/>
  <c r="Z100" i="4"/>
  <c r="AA100" i="4"/>
  <c r="N90" i="4"/>
  <c r="N116" i="4"/>
  <c r="T105" i="4"/>
  <c r="U105" i="4"/>
  <c r="T83" i="4"/>
  <c r="U83" i="4"/>
  <c r="N67" i="4"/>
  <c r="N43" i="4"/>
  <c r="T29" i="4"/>
  <c r="U29" i="4"/>
  <c r="Z108" i="4"/>
  <c r="AA108" i="4"/>
  <c r="T123" i="4"/>
  <c r="U123" i="4"/>
  <c r="T101" i="4"/>
  <c r="U101" i="4"/>
  <c r="T25" i="4"/>
  <c r="U25" i="4"/>
  <c r="T127" i="4"/>
  <c r="U127" i="4"/>
  <c r="T56" i="4"/>
  <c r="U56" i="4"/>
  <c r="N13" i="4"/>
  <c r="T131" i="4"/>
  <c r="U131" i="4"/>
  <c r="T110" i="4"/>
  <c r="U110" i="4"/>
  <c r="N94" i="4"/>
  <c r="N72" i="4"/>
  <c r="T61" i="4"/>
  <c r="U61" i="4"/>
  <c r="T33" i="4"/>
  <c r="U33" i="4"/>
  <c r="Z126" i="4"/>
  <c r="AA126" i="4"/>
  <c r="N121" i="4"/>
  <c r="N98" i="4"/>
  <c r="T87" i="4"/>
  <c r="U87" i="4"/>
  <c r="T65" i="4"/>
  <c r="U65" i="4"/>
  <c r="N50" i="4"/>
  <c r="N22" i="4"/>
  <c r="T52" i="4"/>
  <c r="U52" i="4"/>
  <c r="O8" i="4"/>
  <c r="N8" i="4"/>
  <c r="N125" i="4"/>
  <c r="T114" i="4"/>
  <c r="U114" i="4"/>
  <c r="T92" i="4"/>
  <c r="U92" i="4"/>
  <c r="N76" i="4"/>
  <c r="N54" i="4"/>
  <c r="T41" i="4"/>
  <c r="U41" i="4"/>
  <c r="T16" i="4"/>
  <c r="U16" i="4"/>
  <c r="Z117" i="4"/>
  <c r="AA117" i="4"/>
  <c r="O131" i="4"/>
  <c r="O123" i="4"/>
  <c r="O114" i="4"/>
  <c r="O105" i="4"/>
  <c r="O96" i="4"/>
  <c r="O87" i="4"/>
  <c r="O78" i="4"/>
  <c r="O70" i="4"/>
  <c r="O61" i="4"/>
  <c r="O52" i="4"/>
  <c r="O41" i="4"/>
  <c r="O29" i="4"/>
  <c r="O20" i="4"/>
  <c r="O10" i="4"/>
  <c r="U130" i="4"/>
  <c r="U122" i="4"/>
  <c r="U113" i="4"/>
  <c r="U104" i="4"/>
  <c r="U95" i="4"/>
  <c r="U86" i="4"/>
  <c r="U77" i="4"/>
  <c r="U68" i="4"/>
  <c r="U60" i="4"/>
  <c r="U51" i="4"/>
  <c r="U39" i="4"/>
  <c r="U28" i="4"/>
  <c r="U9" i="4"/>
  <c r="AA130" i="4"/>
  <c r="AA122" i="4"/>
  <c r="AA113" i="4"/>
  <c r="AA104" i="4"/>
  <c r="AA95" i="4"/>
  <c r="AA91" i="4"/>
  <c r="AA86" i="4"/>
  <c r="AA82" i="4"/>
  <c r="AA77" i="4"/>
  <c r="AA73" i="4"/>
  <c r="AA68" i="4"/>
  <c r="AA64" i="4"/>
  <c r="AA60" i="4"/>
  <c r="AA55" i="4"/>
  <c r="AA51" i="4"/>
  <c r="AA45" i="4"/>
  <c r="AA39" i="4"/>
  <c r="AA32" i="4"/>
  <c r="AA28" i="4"/>
  <c r="AA23" i="4"/>
  <c r="AA14" i="4"/>
  <c r="AA9" i="4"/>
  <c r="O128" i="4"/>
  <c r="O120" i="4"/>
  <c r="O111" i="4"/>
  <c r="O102" i="4"/>
  <c r="O93" i="4"/>
  <c r="O84" i="4"/>
  <c r="O75" i="4"/>
  <c r="O66" i="4"/>
  <c r="O57" i="4"/>
  <c r="O47" i="4"/>
  <c r="O35" i="4"/>
  <c r="O26" i="4"/>
  <c r="O17" i="4"/>
  <c r="O7" i="4"/>
  <c r="O127" i="4"/>
  <c r="O119" i="4"/>
  <c r="O110" i="4"/>
  <c r="O101" i="4"/>
  <c r="O92" i="4"/>
  <c r="O83" i="4"/>
  <c r="O74" i="4"/>
  <c r="O65" i="4"/>
  <c r="O56" i="4"/>
  <c r="O46" i="4"/>
  <c r="O33" i="4"/>
  <c r="O25" i="4"/>
  <c r="O16" i="4"/>
  <c r="U126" i="4"/>
  <c r="U117" i="4"/>
  <c r="U108" i="4"/>
  <c r="U100" i="4"/>
  <c r="U91" i="4"/>
  <c r="U82" i="4"/>
  <c r="U73" i="4"/>
  <c r="U64" i="4"/>
  <c r="U55" i="4"/>
  <c r="U45" i="4"/>
  <c r="U32" i="4"/>
  <c r="U23" i="4"/>
  <c r="U14" i="4"/>
  <c r="AA132" i="4"/>
  <c r="AA128" i="4"/>
  <c r="AA124" i="4"/>
  <c r="AA120" i="4"/>
  <c r="AA115" i="4"/>
  <c r="AA111" i="4"/>
  <c r="AA106" i="4"/>
  <c r="AA102" i="4"/>
  <c r="AA97" i="4"/>
  <c r="AA93" i="4"/>
  <c r="AA88" i="4"/>
  <c r="AA84" i="4"/>
  <c r="AA80" i="4"/>
  <c r="AA75" i="4"/>
  <c r="AA71" i="4"/>
  <c r="AA66" i="4"/>
  <c r="AA62" i="4"/>
  <c r="AA57" i="4"/>
  <c r="AA53" i="4"/>
  <c r="AA47" i="4"/>
  <c r="AA42" i="4"/>
  <c r="AA35" i="4"/>
  <c r="AA30" i="4"/>
  <c r="AA26" i="4"/>
  <c r="AA21" i="4"/>
  <c r="AA17" i="4"/>
  <c r="AA12" i="4"/>
  <c r="AA7" i="4"/>
  <c r="U10" i="4"/>
  <c r="O4" i="5"/>
  <c r="N5" i="5"/>
  <c r="Z6" i="5"/>
  <c r="T8" i="5"/>
  <c r="Z17" i="5"/>
  <c r="H25" i="5"/>
  <c r="O26" i="5"/>
  <c r="I41" i="5"/>
  <c r="T43" i="5"/>
  <c r="Z44" i="5"/>
  <c r="H56" i="5"/>
  <c r="Z59" i="5"/>
  <c r="Z61" i="5"/>
  <c r="Z62" i="5"/>
  <c r="Z70" i="5"/>
  <c r="AA72" i="5"/>
  <c r="Z74" i="5"/>
  <c r="AA79" i="5"/>
  <c r="H98" i="5"/>
  <c r="I101" i="5"/>
  <c r="O102" i="5"/>
  <c r="O111" i="5"/>
  <c r="T114" i="5"/>
  <c r="AA115" i="5"/>
  <c r="H3" i="5"/>
  <c r="T4" i="5"/>
  <c r="T10" i="5"/>
  <c r="N12" i="5"/>
  <c r="O24" i="5"/>
  <c r="AA30" i="5"/>
  <c r="N34" i="5"/>
  <c r="H36" i="5"/>
  <c r="H54" i="5"/>
  <c r="I64" i="5"/>
  <c r="H74" i="5"/>
  <c r="H75" i="5"/>
  <c r="T84" i="5"/>
  <c r="Z93" i="5"/>
  <c r="O98" i="5"/>
  <c r="T110" i="5"/>
  <c r="I14" i="5"/>
  <c r="Z15" i="5"/>
  <c r="O17" i="5"/>
  <c r="N19" i="5"/>
  <c r="N25" i="5"/>
  <c r="Z26" i="5"/>
  <c r="T28" i="5"/>
  <c r="T40" i="5"/>
  <c r="I44" i="5"/>
  <c r="H47" i="5"/>
  <c r="T49" i="5"/>
  <c r="O53" i="5"/>
  <c r="H61" i="5"/>
  <c r="H62" i="5"/>
  <c r="H72" i="5"/>
  <c r="O89" i="5"/>
  <c r="Z91" i="5"/>
  <c r="T101" i="5"/>
  <c r="Z102" i="5"/>
  <c r="H105" i="5"/>
  <c r="T106" i="5"/>
  <c r="Z111" i="5"/>
  <c r="AA122" i="5"/>
  <c r="H5" i="5"/>
  <c r="O6" i="5"/>
  <c r="Z10" i="5"/>
  <c r="H16" i="5"/>
  <c r="T17" i="5"/>
  <c r="T34" i="5"/>
  <c r="Z40" i="5"/>
  <c r="T52" i="5"/>
  <c r="T53" i="5"/>
  <c r="T56" i="5"/>
  <c r="O74" i="5"/>
  <c r="T75" i="5"/>
  <c r="T96" i="5"/>
  <c r="Z98" i="5"/>
  <c r="Z106" i="5"/>
  <c r="Z108" i="5"/>
  <c r="Z110" i="5"/>
  <c r="O115" i="5"/>
  <c r="T120" i="5"/>
  <c r="H123" i="5"/>
  <c r="T127" i="5"/>
  <c r="O87" i="5"/>
  <c r="H93" i="5"/>
  <c r="I102" i="5"/>
  <c r="T6" i="5"/>
  <c r="N7" i="5"/>
  <c r="Z13" i="5"/>
  <c r="H19" i="5"/>
  <c r="O21" i="5"/>
  <c r="T26" i="5"/>
  <c r="N27" i="5"/>
  <c r="T37" i="5"/>
  <c r="Z49" i="5"/>
  <c r="Z50" i="5"/>
  <c r="Z51" i="5"/>
  <c r="H57" i="5"/>
  <c r="H59" i="5"/>
  <c r="H65" i="5"/>
  <c r="H66" i="5"/>
  <c r="H76" i="5"/>
  <c r="Z77" i="5"/>
  <c r="T79" i="5"/>
  <c r="H87" i="5"/>
  <c r="H89" i="5"/>
  <c r="H91" i="5"/>
  <c r="Z99" i="5"/>
  <c r="Z100" i="5"/>
  <c r="T103" i="5"/>
  <c r="H111" i="5"/>
  <c r="Z112" i="5"/>
  <c r="AA113" i="5"/>
  <c r="Z117" i="5"/>
  <c r="H120" i="5"/>
  <c r="O124" i="5"/>
  <c r="AA128" i="5"/>
  <c r="H112" i="5"/>
  <c r="Z114" i="5"/>
  <c r="H117" i="5"/>
  <c r="O122" i="5"/>
  <c r="T125" i="5"/>
  <c r="N3" i="5"/>
  <c r="Z8" i="5"/>
  <c r="O15" i="5"/>
  <c r="N23" i="5"/>
  <c r="Z28" i="5"/>
  <c r="Z32" i="5"/>
  <c r="I49" i="5"/>
  <c r="T54" i="5"/>
  <c r="T69" i="5"/>
  <c r="T72" i="5"/>
  <c r="T82" i="5"/>
  <c r="H96" i="5"/>
  <c r="H99" i="5"/>
  <c r="H100" i="5"/>
  <c r="Z105" i="5"/>
  <c r="H113" i="5"/>
  <c r="H114" i="5"/>
  <c r="T123" i="5"/>
  <c r="Z127" i="5"/>
  <c r="H129" i="5"/>
  <c r="Z4" i="5"/>
  <c r="H9" i="5"/>
  <c r="O10" i="5"/>
  <c r="T15" i="5"/>
  <c r="N16" i="5"/>
  <c r="Z24" i="5"/>
  <c r="H30" i="5"/>
  <c r="I34" i="5"/>
  <c r="I37" i="5"/>
  <c r="H53" i="5"/>
  <c r="Z54" i="5"/>
  <c r="Z82" i="5"/>
  <c r="H7" i="5"/>
  <c r="O8" i="5"/>
  <c r="T13" i="5"/>
  <c r="N14" i="5"/>
  <c r="Z21" i="5"/>
  <c r="H27" i="5"/>
  <c r="O28" i="5"/>
  <c r="H38" i="5"/>
  <c r="I39" i="5"/>
  <c r="H40" i="5"/>
  <c r="H43" i="5"/>
  <c r="O51" i="5"/>
  <c r="Z56" i="5"/>
  <c r="Z57" i="5"/>
  <c r="T62" i="5"/>
  <c r="Z65" i="5"/>
  <c r="H70" i="5"/>
  <c r="Z75" i="5"/>
  <c r="T76" i="5"/>
  <c r="H81" i="5"/>
  <c r="T86" i="5"/>
  <c r="T88" i="5"/>
  <c r="T90" i="5"/>
  <c r="T93" i="5"/>
  <c r="O100" i="5"/>
  <c r="H106" i="5"/>
  <c r="T112" i="5"/>
  <c r="O113" i="5"/>
  <c r="T117" i="5"/>
  <c r="Z123" i="5"/>
  <c r="H125" i="5"/>
  <c r="O128" i="5"/>
  <c r="O126" i="5"/>
  <c r="U100" i="5"/>
  <c r="T100" i="5"/>
  <c r="U111" i="5"/>
  <c r="T111" i="5"/>
  <c r="U118" i="5"/>
  <c r="T118" i="5"/>
  <c r="H4" i="5"/>
  <c r="H6" i="5"/>
  <c r="H8" i="5"/>
  <c r="H10" i="5"/>
  <c r="H13" i="5"/>
  <c r="H15" i="5"/>
  <c r="H17" i="5"/>
  <c r="H21" i="5"/>
  <c r="H24" i="5"/>
  <c r="H26" i="5"/>
  <c r="H28" i="5"/>
  <c r="H32" i="5"/>
  <c r="T36" i="5"/>
  <c r="O38" i="5"/>
  <c r="N38" i="5"/>
  <c r="Z43" i="5"/>
  <c r="T47" i="5"/>
  <c r="O50" i="5"/>
  <c r="N50" i="5"/>
  <c r="T64" i="5"/>
  <c r="O65" i="5"/>
  <c r="Z69" i="5"/>
  <c r="T70" i="5"/>
  <c r="Z96" i="5"/>
  <c r="U115" i="5"/>
  <c r="T115" i="5"/>
  <c r="Z125" i="5"/>
  <c r="U113" i="5"/>
  <c r="T113" i="5"/>
  <c r="T3" i="5"/>
  <c r="T5" i="5"/>
  <c r="T7" i="5"/>
  <c r="T9" i="5"/>
  <c r="T12" i="5"/>
  <c r="T14" i="5"/>
  <c r="T16" i="5"/>
  <c r="T19" i="5"/>
  <c r="T23" i="5"/>
  <c r="T25" i="5"/>
  <c r="T27" i="5"/>
  <c r="T30" i="5"/>
  <c r="O32" i="5"/>
  <c r="N32" i="5"/>
  <c r="Z36" i="5"/>
  <c r="T38" i="5"/>
  <c r="O40" i="5"/>
  <c r="N40" i="5"/>
  <c r="Z47" i="5"/>
  <c r="T50" i="5"/>
  <c r="O52" i="5"/>
  <c r="N52" i="5"/>
  <c r="T57" i="5"/>
  <c r="Z64" i="5"/>
  <c r="T65" i="5"/>
  <c r="O75" i="5"/>
  <c r="N75" i="5"/>
  <c r="Z86" i="5"/>
  <c r="T87" i="5"/>
  <c r="Z120" i="5"/>
  <c r="O66" i="5"/>
  <c r="N66" i="5"/>
  <c r="U102" i="5"/>
  <c r="T102" i="5"/>
  <c r="T39" i="5"/>
  <c r="T51" i="5"/>
  <c r="O61" i="5"/>
  <c r="N61" i="5"/>
  <c r="T66" i="5"/>
  <c r="O67" i="5"/>
  <c r="T74" i="5"/>
  <c r="U89" i="5"/>
  <c r="T89" i="5"/>
  <c r="Z101" i="5"/>
  <c r="U105" i="5"/>
  <c r="T105" i="5"/>
  <c r="U128" i="5"/>
  <c r="T128" i="5"/>
  <c r="U91" i="5"/>
  <c r="T91" i="5"/>
  <c r="U126" i="5"/>
  <c r="T126" i="5"/>
  <c r="Z3" i="5"/>
  <c r="Z5" i="5"/>
  <c r="Z7" i="5"/>
  <c r="Z9" i="5"/>
  <c r="Z12" i="5"/>
  <c r="Z14" i="5"/>
  <c r="Z16" i="5"/>
  <c r="Z19" i="5"/>
  <c r="Z23" i="5"/>
  <c r="Z25" i="5"/>
  <c r="Z27" i="5"/>
  <c r="T41" i="5"/>
  <c r="T61" i="5"/>
  <c r="O62" i="5"/>
  <c r="Z66" i="5"/>
  <c r="T67" i="5"/>
  <c r="O77" i="5"/>
  <c r="N77" i="5"/>
  <c r="Z88" i="5"/>
  <c r="U94" i="5"/>
  <c r="T94" i="5"/>
  <c r="Z103" i="5"/>
  <c r="U108" i="5"/>
  <c r="T108" i="5"/>
  <c r="U124" i="5"/>
  <c r="T124" i="5"/>
  <c r="O36" i="5"/>
  <c r="N36" i="5"/>
  <c r="O64" i="5"/>
  <c r="N64" i="5"/>
  <c r="O86" i="5"/>
  <c r="N86" i="5"/>
  <c r="Z90" i="5"/>
  <c r="U98" i="5"/>
  <c r="T98" i="5"/>
  <c r="U122" i="5"/>
  <c r="T122" i="5"/>
  <c r="Z129" i="5"/>
  <c r="N88" i="5"/>
  <c r="N90" i="5"/>
  <c r="N99" i="5"/>
  <c r="N101" i="5"/>
  <c r="N103" i="5"/>
  <c r="N110" i="5"/>
  <c r="N112" i="5"/>
  <c r="N114" i="5"/>
  <c r="N123" i="5"/>
  <c r="N125" i="5"/>
  <c r="N127" i="5"/>
  <c r="N129" i="5"/>
  <c r="H115" i="5"/>
  <c r="H118" i="5"/>
  <c r="H122" i="5"/>
  <c r="H124" i="5"/>
  <c r="H126" i="5"/>
  <c r="H128" i="5"/>
  <c r="I23" i="4"/>
  <c r="I14" i="4"/>
  <c r="I31" i="4"/>
  <c r="I32" i="4"/>
  <c r="I21" i="4"/>
  <c r="I12" i="4"/>
  <c r="I13" i="4"/>
  <c r="I22" i="4"/>
  <c r="H10" i="4"/>
  <c r="H9" i="4"/>
  <c r="H8" i="4"/>
  <c r="H104" i="4"/>
  <c r="I113" i="4"/>
  <c r="I106" i="4"/>
  <c r="I71" i="4"/>
  <c r="H103" i="4"/>
  <c r="I112" i="4"/>
  <c r="I58" i="4"/>
  <c r="I57" i="4"/>
  <c r="H86" i="4"/>
  <c r="I95" i="4"/>
  <c r="I52" i="4"/>
  <c r="Z6" i="4"/>
  <c r="H93" i="4"/>
  <c r="H114" i="4"/>
  <c r="H75" i="4"/>
  <c r="I94" i="4"/>
  <c r="I37" i="4"/>
  <c r="H68" i="4"/>
  <c r="I88" i="4"/>
  <c r="I35" i="4"/>
  <c r="U6" i="4"/>
  <c r="H50" i="4"/>
  <c r="I77" i="4"/>
  <c r="I26" i="4"/>
  <c r="H105" i="4"/>
  <c r="H20" i="4"/>
  <c r="I76" i="4"/>
  <c r="H56" i="4"/>
  <c r="O6" i="4"/>
  <c r="N6" i="4"/>
  <c r="O134" i="4"/>
  <c r="N134" i="4"/>
  <c r="I91" i="4"/>
  <c r="H91" i="4"/>
  <c r="H74" i="4"/>
  <c r="I72" i="4"/>
  <c r="H72" i="4"/>
  <c r="I16" i="4"/>
  <c r="H16" i="4"/>
  <c r="I53" i="4"/>
  <c r="H53" i="4"/>
  <c r="I42" i="4"/>
  <c r="H42" i="4"/>
  <c r="I27" i="4"/>
  <c r="H27" i="4"/>
  <c r="H7" i="4"/>
  <c r="H111" i="4"/>
  <c r="H102" i="4"/>
  <c r="H85" i="4"/>
  <c r="H67" i="4"/>
  <c r="H47" i="4"/>
  <c r="I87" i="4"/>
  <c r="I70" i="4"/>
  <c r="I51" i="4"/>
  <c r="I25" i="4"/>
  <c r="H30" i="4"/>
  <c r="I100" i="4"/>
  <c r="H100" i="4"/>
  <c r="H92" i="4"/>
  <c r="I43" i="4"/>
  <c r="H43" i="4"/>
  <c r="H6" i="4"/>
  <c r="H110" i="4"/>
  <c r="H101" i="4"/>
  <c r="H84" i="4"/>
  <c r="H66" i="4"/>
  <c r="H46" i="4"/>
  <c r="I73" i="4"/>
  <c r="H73" i="4"/>
  <c r="H55" i="4"/>
  <c r="I90" i="4"/>
  <c r="H90" i="4"/>
  <c r="I54" i="4"/>
  <c r="H54" i="4"/>
  <c r="H117" i="4"/>
  <c r="H108" i="4"/>
  <c r="H98" i="4"/>
  <c r="H83" i="4"/>
  <c r="H65" i="4"/>
  <c r="H45" i="4"/>
  <c r="H17" i="4"/>
  <c r="H29" i="4"/>
  <c r="I81" i="4"/>
  <c r="H81" i="4"/>
  <c r="I28" i="4"/>
  <c r="H28" i="4"/>
  <c r="H116" i="4"/>
  <c r="H107" i="4"/>
  <c r="I115" i="4"/>
  <c r="I97" i="4"/>
  <c r="I80" i="4"/>
  <c r="I62" i="4"/>
  <c r="I41" i="4"/>
  <c r="I82" i="4"/>
  <c r="H82" i="4"/>
  <c r="I64" i="4"/>
  <c r="H64" i="4"/>
  <c r="I63" i="4"/>
  <c r="H63" i="4"/>
  <c r="I96" i="4"/>
  <c r="I78" i="4"/>
  <c r="I60" i="4"/>
  <c r="I39" i="4"/>
  <c r="I61" i="4"/>
</calcChain>
</file>

<file path=xl/sharedStrings.xml><?xml version="1.0" encoding="utf-8"?>
<sst xmlns="http://schemas.openxmlformats.org/spreadsheetml/2006/main" count="494" uniqueCount="94">
  <si>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</si>
  <si>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</si>
  <si>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</si>
  <si>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</si>
  <si>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</si>
  <si>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</si>
  <si>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</si>
  <si>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</si>
  <si>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</si>
  <si>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</si>
  <si>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</si>
  <si>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</si>
  <si>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</si>
  <si>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Wika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</si>
  <si>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</si>
  <si>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</si>
  <si>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</si>
  <si>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</si>
  <si>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</si>
  <si>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</si>
  <si>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</si>
  <si>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</si>
  <si>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</si>
  <si>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</si>
  <si>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</si>
  <si>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</si>
  <si>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</si>
  <si>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</si>
  <si>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</si>
  <si>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</si>
  <si>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</si>
  <si>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</si>
  <si>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</si>
  <si>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</si>
  <si>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</si>
  <si>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</si>
  <si>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</si>
  <si>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</si>
  <si>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</si>
  <si>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</si>
  <si>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</si>
  <si>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</si>
  <si>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</si>
  <si>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</si>
  <si>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</si>
  <si>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</si>
  <si>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</si>
  <si>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</si>
  <si>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</si>
  <si>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</si>
  <si>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</si>
  <si>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</si>
  <si>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</si>
  <si>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</si>
  <si>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</si>
  <si>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</si>
  <si>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</si>
  <si>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</si>
  <si>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</si>
  <si>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</si>
  <si>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</si>
  <si>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</si>
  <si>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</si>
  <si>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</si>
  <si>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ESP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</si>
  <si>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</si>
  <si>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</si>
  <si>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</si>
  <si>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</si>
  <si>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</si>
  <si>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</si>
  <si>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</si>
  <si>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</si>
  <si>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</si>
  <si>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</si>
  <si>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</si>
  <si>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</si>
  <si>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</si>
  <si>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</si>
  <si>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</si>
  <si>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</si>
  <si>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</si>
  <si>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</si>
  <si>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</si>
  <si>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</si>
  <si>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</si>
  <si>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</si>
  <si>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</si>
  <si>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</si>
  <si>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</si>
  <si>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</si>
  <si>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 &amp; Arts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</si>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</sst>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7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34" totalsRowShown="0" dataDxfId="59" headerRowBorderDxfId="57" tableBorderDxfId="58">
  <autoFilter ref="A2:AA134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7" totalsRowShown="0" dataDxfId="29" headerRowBorderDxfId="27" tableBorderDxfId="28">
  <autoFilter ref="A2:AA14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E1" activePane="topRight" state="frozen"/>
      <selection pane="topRight" activeCell="L39" sqref="L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86</v>
      </c>
      <c r="D2" s="1">
        <v>128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42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86</v>
      </c>
      <c r="D4" s="1">
        <v>128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42</v>
      </c>
    </row>
    <row r="5" spans="1:8" ht="25.5" customHeight="1">
      <c r="A5" s="1">
        <v>1</v>
      </c>
      <c r="B5" s="2" t="s">
        <v>12</v>
      </c>
      <c r="C5" s="1">
        <v>86</v>
      </c>
      <c r="D5" s="1">
        <v>128</v>
      </c>
      <c r="E5" s="1">
        <v>2025</v>
      </c>
      <c r="F5" s="5" t="s">
        <v>9</v>
      </c>
      <c r="G5" s="3">
        <f t="shared" ref="G5:G7" si="0">IF((C5-D5)&lt;0,0,C5-D5)</f>
        <v>0</v>
      </c>
      <c r="H5" s="4">
        <f t="shared" ref="H5:H7" si="1">IF((D5-C5)&lt;0,0,D5-C5)</f>
        <v>42</v>
      </c>
    </row>
    <row r="6" spans="1:8" ht="25.5" customHeight="1">
      <c r="A6" s="1">
        <v>1</v>
      </c>
      <c r="B6" s="2" t="s">
        <v>13</v>
      </c>
      <c r="C6" s="1">
        <v>86</v>
      </c>
      <c r="D6" s="1">
        <v>128</v>
      </c>
      <c r="E6" s="1">
        <v>2025</v>
      </c>
      <c r="F6" s="5" t="s">
        <v>9</v>
      </c>
      <c r="G6" s="3">
        <f t="shared" si="0"/>
        <v>0</v>
      </c>
      <c r="H6" s="4">
        <f t="shared" si="1"/>
        <v>42</v>
      </c>
    </row>
    <row r="7" spans="1:8" ht="19.5">
      <c r="A7" s="1">
        <v>1</v>
      </c>
      <c r="B7" s="2" t="s">
        <v>14</v>
      </c>
      <c r="C7" s="1"/>
      <c r="D7" s="1"/>
      <c r="E7" s="1"/>
      <c r="F7" s="5"/>
      <c r="G7" s="3">
        <f t="shared" si="0"/>
        <v>0</v>
      </c>
      <c r="H7" s="4">
        <f t="shared" si="1"/>
        <v>0</v>
      </c>
    </row>
    <row r="8" spans="1:8">
      <c r="C8" s="6"/>
      <c r="D8" s="6"/>
      <c r="E8" s="6"/>
    </row>
    <row r="9" spans="1:8" ht="39.75" customHeight="1">
      <c r="A9" s="1">
        <v>2</v>
      </c>
      <c r="B9" s="2" t="s">
        <v>8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9.2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8.5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4" customHeight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9.149999999999999">
      <c r="A13" s="1">
        <v>2</v>
      </c>
      <c r="B13" s="2" t="s">
        <v>14</v>
      </c>
      <c r="C13" s="1"/>
      <c r="D13" s="1"/>
      <c r="E13" s="1"/>
      <c r="F13" s="5"/>
      <c r="G13" s="3">
        <f>IF((C13-D13)&lt;0,0,C13-D13)</f>
        <v>0</v>
      </c>
      <c r="H13" s="4">
        <f>IF((D13-C13)&lt;0,0,D13-C13)</f>
        <v>0</v>
      </c>
    </row>
    <row r="14" spans="1:8">
      <c r="C14" s="6"/>
      <c r="D14" s="6"/>
      <c r="E14" s="6"/>
    </row>
    <row r="15" spans="1:8" ht="49.5" customHeight="1">
      <c r="A15" s="1">
        <v>3</v>
      </c>
      <c r="B15" s="2" t="s">
        <v>8</v>
      </c>
      <c r="C15" s="1"/>
      <c r="D15" s="1"/>
      <c r="E15" s="1"/>
      <c r="F15" s="5"/>
      <c r="G15" s="3">
        <f t="shared" ref="G15:G20" si="2">IF((C15-D15)&lt;0,0,C15-D15)</f>
        <v>0</v>
      </c>
      <c r="H15" s="4">
        <f t="shared" ref="H15:H20" si="3">IF((D15-C15)&lt;0,0,D15-C15)</f>
        <v>0</v>
      </c>
    </row>
    <row r="16" spans="1:8" ht="29.25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7" customHeight="1">
      <c r="A17" s="1">
        <v>3</v>
      </c>
      <c r="B17" s="2" t="s">
        <v>11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3.25" customHeight="1">
      <c r="A18" s="1">
        <v>3</v>
      </c>
      <c r="B18" s="2" t="s">
        <v>15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1" customHeight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9.149999999999999">
      <c r="A20" s="1">
        <v>3</v>
      </c>
      <c r="B20" s="2" t="s">
        <v>14</v>
      </c>
      <c r="C20" s="1"/>
      <c r="D20" s="1"/>
      <c r="E20" s="1"/>
      <c r="F20" s="5"/>
      <c r="G20" s="3">
        <f t="shared" si="2"/>
        <v>0</v>
      </c>
      <c r="H20" s="4">
        <f t="shared" si="3"/>
        <v>0</v>
      </c>
    </row>
    <row r="21" spans="1:8">
      <c r="A21" s="7"/>
      <c r="B21" s="7"/>
      <c r="C21" s="8"/>
      <c r="D21" s="8"/>
      <c r="E21" s="8"/>
      <c r="F21" s="7"/>
      <c r="G21" s="7"/>
      <c r="H21" s="7"/>
    </row>
    <row r="22" spans="1:8" ht="28.5" customHeight="1">
      <c r="A22" s="1">
        <v>4</v>
      </c>
      <c r="B22" s="9" t="s">
        <v>16</v>
      </c>
      <c r="C22" s="1">
        <v>128</v>
      </c>
      <c r="D22" s="1">
        <v>155</v>
      </c>
      <c r="E22" s="1">
        <v>2024</v>
      </c>
      <c r="F22" s="5" t="s">
        <v>9</v>
      </c>
      <c r="G22" s="3">
        <f t="shared" ref="G22:G30" si="4">IF((C22-D22)&lt;0,0,C22-D22)</f>
        <v>0</v>
      </c>
      <c r="H22" s="4">
        <f t="shared" ref="H22:H30" si="5">IF((D22-C22)&lt;0,0,D22-C22)</f>
        <v>27</v>
      </c>
    </row>
    <row r="23" spans="1:8" ht="24" customHeight="1">
      <c r="A23" s="1">
        <v>4</v>
      </c>
      <c r="B23" s="9" t="s">
        <v>17</v>
      </c>
      <c r="C23" s="1">
        <v>128</v>
      </c>
      <c r="D23" s="1">
        <v>155</v>
      </c>
      <c r="E23" s="1">
        <v>2024</v>
      </c>
      <c r="F23" s="5" t="s">
        <v>9</v>
      </c>
      <c r="G23" s="3">
        <f t="shared" si="4"/>
        <v>0</v>
      </c>
      <c r="H23" s="4">
        <f t="shared" si="5"/>
        <v>27</v>
      </c>
    </row>
    <row r="24" spans="1:8" ht="19.5">
      <c r="A24" s="1">
        <v>4</v>
      </c>
      <c r="B24" s="9" t="s">
        <v>14</v>
      </c>
      <c r="C24" s="1">
        <v>128</v>
      </c>
      <c r="D24" s="1">
        <v>155</v>
      </c>
      <c r="E24" s="1">
        <v>2025</v>
      </c>
      <c r="F24" s="5" t="s">
        <v>9</v>
      </c>
      <c r="G24" s="3">
        <f t="shared" si="4"/>
        <v>0</v>
      </c>
      <c r="H24" s="4">
        <f t="shared" si="5"/>
        <v>27</v>
      </c>
    </row>
    <row r="25" spans="1:8" ht="27" customHeight="1">
      <c r="A25" s="1">
        <v>4</v>
      </c>
      <c r="B25" s="9" t="s">
        <v>11</v>
      </c>
      <c r="C25" s="1">
        <v>128</v>
      </c>
      <c r="D25" s="1">
        <v>155</v>
      </c>
      <c r="E25" s="1">
        <v>2025</v>
      </c>
      <c r="F25" s="5" t="s">
        <v>9</v>
      </c>
      <c r="G25" s="3">
        <f t="shared" si="4"/>
        <v>0</v>
      </c>
      <c r="H25" s="4">
        <f t="shared" si="5"/>
        <v>27</v>
      </c>
    </row>
    <row r="26" spans="1:8" ht="33.75" customHeight="1">
      <c r="A26" s="1">
        <v>4</v>
      </c>
      <c r="B26" s="9" t="s">
        <v>18</v>
      </c>
      <c r="C26" s="1">
        <v>128</v>
      </c>
      <c r="D26" s="1">
        <v>155</v>
      </c>
      <c r="E26" s="1">
        <v>2024</v>
      </c>
      <c r="F26" s="5" t="s">
        <v>9</v>
      </c>
      <c r="G26" s="3">
        <f t="shared" si="4"/>
        <v>0</v>
      </c>
      <c r="H26" s="4">
        <f t="shared" si="5"/>
        <v>27</v>
      </c>
    </row>
    <row r="27" spans="1:8" ht="33.75" customHeight="1">
      <c r="A27" s="1">
        <v>4</v>
      </c>
      <c r="B27" s="9" t="s">
        <v>15</v>
      </c>
      <c r="C27" s="1">
        <v>128</v>
      </c>
      <c r="D27" s="1">
        <v>155</v>
      </c>
      <c r="E27" s="1">
        <v>2024</v>
      </c>
      <c r="F27" s="5" t="s">
        <v>9</v>
      </c>
      <c r="G27" s="3">
        <f t="shared" si="4"/>
        <v>0</v>
      </c>
      <c r="H27" s="4">
        <f t="shared" si="5"/>
        <v>27</v>
      </c>
    </row>
    <row r="28" spans="1:8" ht="33.75" customHeight="1">
      <c r="A28" s="1">
        <v>4</v>
      </c>
      <c r="B28" s="9" t="s">
        <v>19</v>
      </c>
      <c r="C28" s="1">
        <v>128</v>
      </c>
      <c r="D28" s="1">
        <v>155</v>
      </c>
      <c r="E28" s="1">
        <v>2024</v>
      </c>
      <c r="F28" s="5" t="s">
        <v>9</v>
      </c>
      <c r="G28" s="3">
        <f t="shared" si="4"/>
        <v>0</v>
      </c>
      <c r="H28" s="4">
        <f t="shared" si="5"/>
        <v>27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1">
        <v>4</v>
      </c>
      <c r="B30" s="9" t="s">
        <v>21</v>
      </c>
      <c r="C30" s="1"/>
      <c r="D30" s="1"/>
      <c r="E30" s="1"/>
      <c r="F30" s="5"/>
      <c r="G30" s="3">
        <f t="shared" si="4"/>
        <v>0</v>
      </c>
      <c r="H30" s="4">
        <f t="shared" si="5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ref="G32:G40" si="6">IF((C32-D32)&lt;0,0,C32-D32)</f>
        <v>0</v>
      </c>
      <c r="H32" s="4">
        <f t="shared" ref="H32:H40" si="7">IF((D32-C32)&lt;0,0,D32-C32)</f>
        <v>0</v>
      </c>
    </row>
    <row r="33" spans="1:8" ht="27.75" customHeight="1">
      <c r="A33" s="1">
        <v>5</v>
      </c>
      <c r="B33" s="9" t="s">
        <v>17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14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27.75" customHeight="1">
      <c r="A35" s="1">
        <v>5</v>
      </c>
      <c r="B35" s="9" t="s">
        <v>11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39" customHeight="1">
      <c r="A36" s="1">
        <v>5</v>
      </c>
      <c r="B36" s="9" t="s">
        <v>18</v>
      </c>
      <c r="C36" s="1">
        <v>120</v>
      </c>
      <c r="D36" s="1">
        <v>105</v>
      </c>
      <c r="E36" s="1">
        <v>2025</v>
      </c>
      <c r="F36" s="5" t="s">
        <v>9</v>
      </c>
      <c r="G36" s="3">
        <f t="shared" si="6"/>
        <v>15</v>
      </c>
      <c r="H36" s="4">
        <f t="shared" si="7"/>
        <v>0</v>
      </c>
    </row>
    <row r="37" spans="1:8" ht="27.75" customHeight="1">
      <c r="A37" s="1">
        <v>5</v>
      </c>
      <c r="B37" s="9" t="s">
        <v>15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120</v>
      </c>
      <c r="D38" s="1">
        <v>105</v>
      </c>
      <c r="E38" s="1">
        <v>2025</v>
      </c>
      <c r="F38" s="5" t="s">
        <v>9</v>
      </c>
      <c r="G38" s="3">
        <f t="shared" si="6"/>
        <v>15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1">
        <v>5</v>
      </c>
      <c r="B40" s="9" t="s">
        <v>21</v>
      </c>
      <c r="C40" s="1"/>
      <c r="D40" s="1"/>
      <c r="E40" s="1"/>
      <c r="F40" s="5"/>
      <c r="G40" s="3">
        <f t="shared" si="6"/>
        <v>0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ref="G42:G50" si="8">IF((C42-D42)&lt;0,0,C42-D42)</f>
        <v>0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17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14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27.75" customHeight="1">
      <c r="A45" s="1">
        <v>6</v>
      </c>
      <c r="B45" s="9" t="s">
        <v>11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36.75" customHeight="1">
      <c r="A46" s="1">
        <v>6</v>
      </c>
      <c r="B46" s="9" t="s">
        <v>18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15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1">
        <v>6</v>
      </c>
      <c r="B50" s="9" t="s">
        <v>21</v>
      </c>
      <c r="C50" s="1"/>
      <c r="D50" s="1"/>
      <c r="E50" s="1"/>
      <c r="F50" s="5"/>
      <c r="G50" s="3">
        <f t="shared" si="8"/>
        <v>0</v>
      </c>
      <c r="H50" s="4">
        <f t="shared" si="9"/>
        <v>0</v>
      </c>
    </row>
    <row r="51" spans="1:8" ht="27.75" customHeight="1">
      <c r="A51" s="7"/>
      <c r="B51" s="7"/>
      <c r="C51" s="8"/>
      <c r="D51" s="8"/>
      <c r="E51" s="8"/>
      <c r="F51" s="7"/>
      <c r="G51" s="7"/>
      <c r="H51" s="7"/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ref="G52:G60" si="10">IF((C52-D52)&lt;0,0,C52-D52)</f>
        <v>0</v>
      </c>
      <c r="H52" s="4">
        <f t="shared" ref="H52:H60" si="11">IF((D52-C52)&lt;0,0,D52-C52)</f>
        <v>0</v>
      </c>
    </row>
    <row r="53" spans="1:8" ht="27.75" customHeight="1">
      <c r="A53" s="10">
        <v>7</v>
      </c>
      <c r="B53" s="11" t="s">
        <v>17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14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27.75" customHeight="1">
      <c r="A55" s="10">
        <v>7</v>
      </c>
      <c r="B55" s="11" t="s">
        <v>22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39" customHeight="1">
      <c r="A56" s="10">
        <v>7</v>
      </c>
      <c r="B56" s="11" t="s">
        <v>18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15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19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23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10">
        <v>7</v>
      </c>
      <c r="B60" s="11" t="s">
        <v>21</v>
      </c>
      <c r="C60" s="10"/>
      <c r="D60" s="10"/>
      <c r="E60" s="10"/>
      <c r="F60" s="12"/>
      <c r="G60" s="3">
        <f t="shared" si="10"/>
        <v>0</v>
      </c>
      <c r="H60" s="4">
        <f t="shared" si="11"/>
        <v>0</v>
      </c>
    </row>
    <row r="61" spans="1:8" ht="27.75" customHeight="1">
      <c r="A61" s="7"/>
      <c r="B61" s="7"/>
      <c r="C61" s="8"/>
      <c r="D61" s="8"/>
      <c r="E61" s="8"/>
      <c r="F61" s="7"/>
      <c r="G61" s="7"/>
      <c r="H61" s="7"/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ref="G62:G70" si="12">IF((C62-D62)&lt;0,0,C62-D62)</f>
        <v>0</v>
      </c>
      <c r="H62" s="4">
        <f t="shared" ref="H62:H70" si="13">IF((D62-C62)&lt;0,0,D62-C62)</f>
        <v>0</v>
      </c>
    </row>
    <row r="63" spans="1:8" ht="27.75" customHeight="1">
      <c r="A63" s="10">
        <v>8</v>
      </c>
      <c r="B63" s="11" t="s">
        <v>17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14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24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15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19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23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10">
        <v>8</v>
      </c>
      <c r="B70" s="11" t="s">
        <v>21</v>
      </c>
      <c r="C70" s="10"/>
      <c r="D70" s="10"/>
      <c r="E70" s="10"/>
      <c r="F70" s="12"/>
      <c r="G70" s="3">
        <f t="shared" si="12"/>
        <v>0</v>
      </c>
      <c r="H70" s="4">
        <f t="shared" si="13"/>
        <v>0</v>
      </c>
    </row>
    <row r="71" spans="1:8" ht="27.75" customHeight="1">
      <c r="A71" s="7"/>
      <c r="B71" s="7"/>
      <c r="C71" s="8"/>
      <c r="D71" s="8"/>
      <c r="E71" s="8"/>
      <c r="F71" s="7"/>
      <c r="G71" s="7"/>
      <c r="H71" s="7"/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ref="G72:G80" si="14">IF((C72-D72)&lt;0,0,C72-D72)</f>
        <v>0</v>
      </c>
      <c r="H72" s="4">
        <f t="shared" ref="H72:H80" si="15">IF((D72-C72)&lt;0,0,D72-C72)</f>
        <v>0</v>
      </c>
    </row>
    <row r="73" spans="1:8" ht="27.75" customHeight="1">
      <c r="A73" s="10">
        <v>9</v>
      </c>
      <c r="B73" s="11" t="s">
        <v>17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14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24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15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19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23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10">
        <v>9</v>
      </c>
      <c r="B80" s="11" t="s">
        <v>21</v>
      </c>
      <c r="C80" s="10"/>
      <c r="D80" s="10"/>
      <c r="E80" s="10"/>
      <c r="F80" s="12"/>
      <c r="G80" s="3">
        <f t="shared" si="14"/>
        <v>0</v>
      </c>
      <c r="H80" s="4">
        <f t="shared" si="15"/>
        <v>0</v>
      </c>
    </row>
    <row r="81" spans="1:8" ht="27.75" customHeight="1">
      <c r="A81" s="7"/>
      <c r="B81" s="8"/>
      <c r="C81" s="8"/>
      <c r="D81" s="8"/>
      <c r="E81" s="8"/>
      <c r="F81" s="7"/>
      <c r="G81" s="7"/>
      <c r="H81" s="7"/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ref="G82:G90" si="16">IF((C82-D82)&lt;0,0,C82-D82)</f>
        <v>0</v>
      </c>
      <c r="H82" s="4">
        <f t="shared" ref="H82:H90" si="17">IF((D82-C82)&lt;0,0,D82-C82)</f>
        <v>0</v>
      </c>
    </row>
    <row r="83" spans="1:8" ht="27.75" customHeight="1">
      <c r="A83" s="10">
        <v>10</v>
      </c>
      <c r="B83" s="11" t="s">
        <v>17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14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24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15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19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23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10">
        <v>10</v>
      </c>
      <c r="B90" s="11" t="s">
        <v>21</v>
      </c>
      <c r="C90" s="10"/>
      <c r="D90" s="10"/>
      <c r="E90" s="10"/>
      <c r="F90" s="12"/>
      <c r="G90" s="3">
        <f t="shared" si="16"/>
        <v>0</v>
      </c>
      <c r="H90" s="4">
        <f t="shared" si="17"/>
        <v>0</v>
      </c>
    </row>
    <row r="91" spans="1:8" ht="27.75" customHeight="1">
      <c r="A91" s="7"/>
      <c r="B91" s="7"/>
      <c r="C91" s="8"/>
      <c r="D91" s="8"/>
      <c r="E91" s="8"/>
      <c r="F91" s="7"/>
      <c r="G91" s="7"/>
      <c r="H91" s="7"/>
    </row>
    <row r="92" spans="1:8" ht="39.75" customHeight="1">
      <c r="A92" s="1" t="s">
        <v>25</v>
      </c>
      <c r="B92" s="9" t="s">
        <v>26</v>
      </c>
      <c r="C92" s="1"/>
      <c r="D92" s="1"/>
      <c r="E92" s="1"/>
      <c r="F92" s="5"/>
      <c r="G92" s="3">
        <f t="shared" ref="G92:G99" si="18">IF((C92-D92)&lt;0,0,C92-D92)</f>
        <v>0</v>
      </c>
      <c r="H92" s="4">
        <f t="shared" ref="H92:H99" si="19">IF((D92-C92)&lt;0,0,D92-C92)</f>
        <v>0</v>
      </c>
    </row>
    <row r="93" spans="1:8" ht="27.75" customHeight="1">
      <c r="A93" s="1" t="s">
        <v>25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27.75" customHeight="1">
      <c r="A95" s="1" t="s">
        <v>25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40.5" customHeight="1">
      <c r="A96" s="1" t="s">
        <v>25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38.25" customHeight="1">
      <c r="A97" s="1" t="s">
        <v>25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27.75" customHeight="1">
      <c r="A98" s="1" t="s">
        <v>25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47.25" customHeight="1">
      <c r="A99" s="1" t="s">
        <v>25</v>
      </c>
      <c r="B99" s="9" t="s">
        <v>33</v>
      </c>
      <c r="C99" s="1"/>
      <c r="D99" s="1"/>
      <c r="E99" s="1"/>
      <c r="F99" s="5"/>
      <c r="G99" s="3">
        <f t="shared" si="18"/>
        <v>0</v>
      </c>
      <c r="H99" s="4">
        <f t="shared" si="19"/>
        <v>0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E15:E20 E22:E30 E32:E40 E52:E60 E62:E70 E42:E50 E2:E7 E72:E80 E82:E90 E9:E13 E92:E99" xr:uid="{B46E7B13-721E-4D49-837E-C02BF9777D48}">
      <formula1>"2024,2025"</formula1>
    </dataValidation>
    <dataValidation type="list" allowBlank="1" showInputMessage="1" showErrorMessage="1" sqref="F15:F20 F22:F30 F32:F40 F42:F50 F52:F60 F62:F70 F72:F80 F82:F90 F2:F7 F9:F13 F92:F9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66"/>
  <sheetViews>
    <sheetView topLeftCell="A43" zoomScale="70" zoomScaleNormal="70" workbookViewId="0">
      <selection activeCell="E50" sqref="E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114</v>
      </c>
      <c r="D3" s="34">
        <f>Table1[[#This Row],[Enrolment S.Y. 2025-2026 ]]*8</f>
        <v>912</v>
      </c>
      <c r="E3" s="34">
        <v>95</v>
      </c>
      <c r="F3" s="32">
        <v>2025</v>
      </c>
      <c r="G3" s="5" t="s">
        <v>9</v>
      </c>
      <c r="H3" s="34">
        <f>IF((D3-E3)&lt;0,0,(D3-E3))</f>
        <v>817</v>
      </c>
      <c r="I3" s="34">
        <f>IF((E3-D3)&lt;0,0,(E3-D3))</f>
        <v>0</v>
      </c>
      <c r="J3" s="34">
        <f>Table1[[#This Row],[Enrolment S.Y. 2025-2026 ]]*8</f>
        <v>912</v>
      </c>
      <c r="K3" s="34"/>
      <c r="L3" s="32"/>
      <c r="M3" s="34"/>
      <c r="N3" s="5">
        <f t="shared" ref="N3:O3" si="0">IF((J3-K3)&lt;0,0,(J3-K3))</f>
        <v>912</v>
      </c>
      <c r="O3" s="5">
        <f t="shared" si="0"/>
        <v>0</v>
      </c>
      <c r="P3" s="5">
        <f>Table1[[#This Row],[Enrolment S.Y. 2025-2026 ]]*8</f>
        <v>912</v>
      </c>
      <c r="Q3" s="34"/>
      <c r="R3" s="32"/>
      <c r="S3" s="34"/>
      <c r="T3" s="34">
        <f>IF((P3-Q3)&lt;0,0,(P3-Q3))</f>
        <v>912</v>
      </c>
      <c r="U3" s="34">
        <f>IF((Q3-P3)&lt;0,0,(Q3-P3))</f>
        <v>0</v>
      </c>
      <c r="V3" s="34">
        <f>Table1[[#This Row],[Enrolment S.Y. 2025-2026 ]]*8</f>
        <v>912</v>
      </c>
      <c r="W3" s="34">
        <v>1250</v>
      </c>
      <c r="X3" s="32">
        <v>2025</v>
      </c>
      <c r="Y3" s="5" t="s">
        <v>9</v>
      </c>
      <c r="Z3" s="34">
        <f>IF((V3-W3)&lt;0,0,(V3-W3))</f>
        <v>0</v>
      </c>
      <c r="AA3" s="34">
        <f>IF((W3-V3)&lt;0,0,(W3-V3))</f>
        <v>338</v>
      </c>
    </row>
    <row r="4" spans="1:27" ht="30.6" customHeight="1">
      <c r="A4" s="39" t="s">
        <v>62</v>
      </c>
      <c r="B4" s="33"/>
      <c r="C4" s="32">
        <v>114</v>
      </c>
      <c r="D4" s="34">
        <f>Table1[[#This Row],[Enrolment S.Y. 2025-2026 ]]*8</f>
        <v>912</v>
      </c>
      <c r="E4" s="34">
        <v>190</v>
      </c>
      <c r="F4" s="32">
        <v>2024</v>
      </c>
      <c r="G4" s="5" t="s">
        <v>9</v>
      </c>
      <c r="H4" s="34">
        <f>IF((D4-E4)&lt;0,0,(D4-E4))</f>
        <v>722</v>
      </c>
      <c r="I4" s="34">
        <f>IF((E4-D4)&lt;0,0,(E4-D4))</f>
        <v>0</v>
      </c>
      <c r="J4" s="34">
        <f>Table1[[#This Row],[Enrolment S.Y. 2025-2026 ]]*8</f>
        <v>912</v>
      </c>
      <c r="K4" s="34"/>
      <c r="L4" s="32"/>
      <c r="M4" s="34"/>
      <c r="N4" s="5">
        <f t="shared" ref="N4" si="1">IF((J4-K4)&lt;0,0,(J4-K4))</f>
        <v>912</v>
      </c>
      <c r="O4" s="5">
        <f t="shared" ref="O4" si="2">IF((K4-L4)&lt;0,0,(K4-L4))</f>
        <v>0</v>
      </c>
      <c r="P4" s="5">
        <f>Table1[[#This Row],[Enrolment S.Y. 2025-2026 ]]*8</f>
        <v>912</v>
      </c>
      <c r="Q4" s="34"/>
      <c r="R4" s="32"/>
      <c r="S4" s="34"/>
      <c r="T4" s="34">
        <f>IF((P4-Q4)&lt;0,0,(P4-Q4))</f>
        <v>912</v>
      </c>
      <c r="U4" s="34">
        <f>IF((Q4-P4)&lt;0,0,(Q4-P4))</f>
        <v>0</v>
      </c>
      <c r="V4" s="34">
        <f>Table1[[#This Row],[Enrolment S.Y. 2025-2026 ]]*8</f>
        <v>912</v>
      </c>
      <c r="W4" s="34"/>
      <c r="X4" s="32"/>
      <c r="Y4" s="34"/>
      <c r="Z4" s="34">
        <f>IF((V4-W4)&lt;0,0,(V4-W4))</f>
        <v>912</v>
      </c>
      <c r="AA4" s="34">
        <f>IF((W4-V4)&lt;0,0,(W4-V4))</f>
        <v>0</v>
      </c>
    </row>
    <row r="5" spans="1:27" s="7" customFormat="1" ht="19.149999999999999">
      <c r="J5" s="13"/>
      <c r="N5" s="13"/>
      <c r="O5" s="13"/>
      <c r="P5" s="13"/>
      <c r="S5" s="5"/>
      <c r="T5" s="13"/>
      <c r="U5" s="13"/>
      <c r="V5" s="13"/>
      <c r="Z5" s="13"/>
      <c r="AA5" s="13"/>
    </row>
    <row r="6" spans="1:27" ht="38.25">
      <c r="A6" s="1">
        <v>1</v>
      </c>
      <c r="B6" s="2" t="s">
        <v>8</v>
      </c>
      <c r="C6" s="1">
        <v>86</v>
      </c>
      <c r="D6" s="5">
        <f>Table1[[#This Row],[Enrolment S.Y. 2025-2026 ]]*8</f>
        <v>688</v>
      </c>
      <c r="E6" s="5">
        <v>392</v>
      </c>
      <c r="F6" s="1">
        <v>2024</v>
      </c>
      <c r="G6" s="5" t="s">
        <v>9</v>
      </c>
      <c r="H6" s="5">
        <f t="shared" ref="H6:H84" si="3">IF((D6-E6)&lt;0,0,(D6-E6))</f>
        <v>296</v>
      </c>
      <c r="I6" s="5">
        <f t="shared" ref="I6:I84" si="4">IF((E6-D6)&lt;0,0,(E6-D6))</f>
        <v>0</v>
      </c>
      <c r="J6" s="5">
        <f>Table1[[#This Row],[Enrolment S.Y. 2025-2026 ]]*8</f>
        <v>688</v>
      </c>
      <c r="K6" s="5"/>
      <c r="L6" s="1"/>
      <c r="M6" s="5"/>
      <c r="N6" s="5">
        <f t="shared" ref="N6" si="5">IF((J6-K6)&lt;0,0,(J6-K6))</f>
        <v>688</v>
      </c>
      <c r="O6" s="5">
        <f t="shared" ref="O6" si="6">IF((K6-J6)&lt;0,0,(K6-J6))</f>
        <v>0</v>
      </c>
      <c r="P6" s="5">
        <f>Table1[[#This Row],[Enrolment S.Y. 2025-2026 ]]*8</f>
        <v>688</v>
      </c>
      <c r="Q6" s="5"/>
      <c r="R6" s="1"/>
      <c r="S6" s="5"/>
      <c r="T6" s="5">
        <f t="shared" ref="T6" si="7">IF((P6-Q6)&lt;0,0,(P6-Q6))</f>
        <v>688</v>
      </c>
      <c r="U6" s="5">
        <f t="shared" ref="U6" si="8">IF((Q6-P6)&lt;0,0,(Q6-P6))</f>
        <v>0</v>
      </c>
      <c r="V6" s="5">
        <f>Table1[[#This Row],[Enrolment S.Y. 2025-2026 ]]*8</f>
        <v>688</v>
      </c>
      <c r="W6" s="5"/>
      <c r="X6" s="1"/>
      <c r="Y6" s="5"/>
      <c r="Z6" s="5">
        <f t="shared" ref="Z6" si="9">IF((V6-W6)&lt;0,0,(V6-W6))</f>
        <v>688</v>
      </c>
      <c r="AA6" s="5">
        <f t="shared" ref="AA6" si="10">IF((W6-V6)&lt;0,0,(W6-V6))</f>
        <v>0</v>
      </c>
    </row>
    <row r="7" spans="1:27" ht="19.5">
      <c r="A7" s="1">
        <v>1</v>
      </c>
      <c r="B7" s="2" t="s">
        <v>10</v>
      </c>
      <c r="C7" s="1">
        <v>86</v>
      </c>
      <c r="D7" s="5">
        <f>Table1[[#This Row],[Enrolment S.Y. 2025-2026 ]]*8</f>
        <v>688</v>
      </c>
      <c r="E7" s="5">
        <v>392</v>
      </c>
      <c r="F7" s="1">
        <v>2024</v>
      </c>
      <c r="G7" s="5" t="s">
        <v>9</v>
      </c>
      <c r="H7" s="5">
        <f t="shared" si="3"/>
        <v>296</v>
      </c>
      <c r="I7" s="5">
        <f t="shared" si="4"/>
        <v>0</v>
      </c>
      <c r="J7" s="5">
        <f>Table1[[#This Row],[Enrolment S.Y. 2025-2026 ]]*8</f>
        <v>688</v>
      </c>
      <c r="K7" s="5"/>
      <c r="L7" s="1"/>
      <c r="M7" s="5"/>
      <c r="N7" s="5">
        <f t="shared" ref="N7:N76" si="11">IF((J7-K7)&lt;0,0,(J7-K7))</f>
        <v>688</v>
      </c>
      <c r="O7" s="5">
        <f t="shared" ref="O7:O76" si="12">IF((K7-J7)&lt;0,0,(K7-J7))</f>
        <v>0</v>
      </c>
      <c r="P7" s="5">
        <f>Table1[[#This Row],[Enrolment S.Y. 2025-2026 ]]*8</f>
        <v>688</v>
      </c>
      <c r="Q7" s="5"/>
      <c r="R7" s="1"/>
      <c r="S7" s="5"/>
      <c r="T7" s="5">
        <f t="shared" ref="T7:T76" si="13">IF((P7-Q7)&lt;0,0,(P7-Q7))</f>
        <v>688</v>
      </c>
      <c r="U7" s="5">
        <f t="shared" ref="U7:U76" si="14">IF((Q7-P7)&lt;0,0,(Q7-P7))</f>
        <v>0</v>
      </c>
      <c r="V7" s="5">
        <f>Table1[[#This Row],[Enrolment S.Y. 2025-2026 ]]*8</f>
        <v>688</v>
      </c>
      <c r="W7" s="5"/>
      <c r="X7" s="1"/>
      <c r="Y7" s="5"/>
      <c r="Z7" s="5">
        <f t="shared" ref="Z7:Z76" si="15">IF((V7-W7)&lt;0,0,(V7-W7))</f>
        <v>688</v>
      </c>
      <c r="AA7" s="5">
        <f t="shared" ref="AA7:AA76" si="16">IF((W7-V7)&lt;0,0,(W7-V7))</f>
        <v>0</v>
      </c>
    </row>
    <row r="8" spans="1:27" ht="19.5">
      <c r="A8" s="1">
        <v>1</v>
      </c>
      <c r="B8" s="2" t="s">
        <v>11</v>
      </c>
      <c r="C8" s="1">
        <v>86</v>
      </c>
      <c r="D8" s="5">
        <f>Table1[[#This Row],[Enrolment S.Y. 2025-2026 ]]*8</f>
        <v>688</v>
      </c>
      <c r="E8" s="5">
        <v>448</v>
      </c>
      <c r="F8" s="1">
        <v>2024</v>
      </c>
      <c r="G8" s="5" t="s">
        <v>9</v>
      </c>
      <c r="H8" s="5">
        <f t="shared" si="3"/>
        <v>240</v>
      </c>
      <c r="I8" s="5">
        <f t="shared" si="4"/>
        <v>0</v>
      </c>
      <c r="J8" s="5">
        <f>Table1[[#This Row],[Enrolment S.Y. 2025-2026 ]]*8</f>
        <v>688</v>
      </c>
      <c r="K8" s="5"/>
      <c r="L8" s="1"/>
      <c r="M8" s="5"/>
      <c r="N8" s="5">
        <f t="shared" si="11"/>
        <v>688</v>
      </c>
      <c r="O8" s="5">
        <f t="shared" si="12"/>
        <v>0</v>
      </c>
      <c r="P8" s="5">
        <f>Table1[[#This Row],[Enrolment S.Y. 2025-2026 ]]*8</f>
        <v>688</v>
      </c>
      <c r="Q8" s="5"/>
      <c r="R8" s="1"/>
      <c r="S8" s="5"/>
      <c r="T8" s="5">
        <f t="shared" si="13"/>
        <v>688</v>
      </c>
      <c r="U8" s="5">
        <f t="shared" si="14"/>
        <v>0</v>
      </c>
      <c r="V8" s="5">
        <f>Table1[[#This Row],[Enrolment S.Y. 2025-2026 ]]*8</f>
        <v>688</v>
      </c>
      <c r="W8" s="5"/>
      <c r="X8" s="1"/>
      <c r="Y8" s="5"/>
      <c r="Z8" s="5">
        <f t="shared" si="15"/>
        <v>688</v>
      </c>
      <c r="AA8" s="5">
        <f t="shared" si="16"/>
        <v>0</v>
      </c>
    </row>
    <row r="9" spans="1:27" ht="19.5">
      <c r="A9" s="1">
        <v>1</v>
      </c>
      <c r="B9" s="2" t="s">
        <v>12</v>
      </c>
      <c r="C9" s="1">
        <v>86</v>
      </c>
      <c r="D9" s="5">
        <f>Table1[[#This Row],[Enrolment S.Y. 2025-2026 ]]*8</f>
        <v>688</v>
      </c>
      <c r="E9" s="5">
        <v>448</v>
      </c>
      <c r="F9" s="1">
        <v>2024</v>
      </c>
      <c r="G9" s="5" t="s">
        <v>9</v>
      </c>
      <c r="H9" s="5">
        <f t="shared" si="3"/>
        <v>240</v>
      </c>
      <c r="I9" s="5">
        <f t="shared" si="4"/>
        <v>0</v>
      </c>
      <c r="J9" s="5">
        <f>Table1[[#This Row],[Enrolment S.Y. 2025-2026 ]]*8</f>
        <v>688</v>
      </c>
      <c r="K9" s="5"/>
      <c r="L9" s="1"/>
      <c r="M9" s="5"/>
      <c r="N9" s="5">
        <f t="shared" si="11"/>
        <v>688</v>
      </c>
      <c r="O9" s="5">
        <f t="shared" si="12"/>
        <v>0</v>
      </c>
      <c r="P9" s="5">
        <f>Table1[[#This Row],[Enrolment S.Y. 2025-2026 ]]*8</f>
        <v>688</v>
      </c>
      <c r="Q9" s="5"/>
      <c r="R9" s="1"/>
      <c r="S9" s="5"/>
      <c r="T9" s="5">
        <f t="shared" si="13"/>
        <v>688</v>
      </c>
      <c r="U9" s="5">
        <f t="shared" si="14"/>
        <v>0</v>
      </c>
      <c r="V9" s="5">
        <f>Table1[[#This Row],[Enrolment S.Y. 2025-2026 ]]*8</f>
        <v>688</v>
      </c>
      <c r="W9" s="5"/>
      <c r="X9" s="1"/>
      <c r="Y9" s="5"/>
      <c r="Z9" s="5">
        <f t="shared" si="15"/>
        <v>688</v>
      </c>
      <c r="AA9" s="5">
        <f t="shared" si="16"/>
        <v>0</v>
      </c>
    </row>
    <row r="10" spans="1:27" ht="19.5">
      <c r="A10" s="1">
        <v>1</v>
      </c>
      <c r="B10" s="2" t="s">
        <v>14</v>
      </c>
      <c r="C10" s="1">
        <v>86</v>
      </c>
      <c r="D10" s="5">
        <f>Table1[[#This Row],[Enrolment S.Y. 2025-2026 ]]*8</f>
        <v>688</v>
      </c>
      <c r="E10" s="5">
        <v>448</v>
      </c>
      <c r="F10" s="1">
        <v>2024</v>
      </c>
      <c r="G10" s="5" t="s">
        <v>9</v>
      </c>
      <c r="H10" s="5">
        <f t="shared" si="3"/>
        <v>240</v>
      </c>
      <c r="I10" s="5">
        <f t="shared" si="4"/>
        <v>0</v>
      </c>
      <c r="J10" s="5">
        <f>Table1[[#This Row],[Enrolment S.Y. 2025-2026 ]]*8</f>
        <v>688</v>
      </c>
      <c r="K10" s="5"/>
      <c r="L10" s="1"/>
      <c r="M10" s="5"/>
      <c r="N10" s="5">
        <f t="shared" si="11"/>
        <v>688</v>
      </c>
      <c r="O10" s="5">
        <f t="shared" si="12"/>
        <v>0</v>
      </c>
      <c r="P10" s="5">
        <f>Table1[[#This Row],[Enrolment S.Y. 2025-2026 ]]*8</f>
        <v>688</v>
      </c>
      <c r="Q10" s="5"/>
      <c r="R10" s="1"/>
      <c r="S10" s="5"/>
      <c r="T10" s="5">
        <f t="shared" si="13"/>
        <v>688</v>
      </c>
      <c r="U10" s="5">
        <f t="shared" si="14"/>
        <v>0</v>
      </c>
      <c r="V10" s="5">
        <f>Table1[[#This Row],[Enrolment S.Y. 2025-2026 ]]*8</f>
        <v>688</v>
      </c>
      <c r="W10" s="5"/>
      <c r="X10" s="1"/>
      <c r="Y10" s="5"/>
      <c r="Z10" s="5">
        <f t="shared" si="15"/>
        <v>688</v>
      </c>
      <c r="AA10" s="5">
        <f t="shared" si="16"/>
        <v>0</v>
      </c>
    </row>
    <row r="11" spans="1:27" ht="19.5">
      <c r="A11" s="1">
        <v>1</v>
      </c>
      <c r="B11" s="2" t="s">
        <v>14</v>
      </c>
      <c r="C11" s="32">
        <v>86</v>
      </c>
      <c r="D11" s="34">
        <f>Table1[[#This Row],[Enrolment S.Y. 2025-2026 ]]*8</f>
        <v>688</v>
      </c>
      <c r="E11" s="34">
        <v>13</v>
      </c>
      <c r="F11" s="32">
        <v>2025</v>
      </c>
      <c r="G11" s="5" t="s">
        <v>9</v>
      </c>
      <c r="H11" s="34">
        <f>IF((D11-E11)&lt;0,0,(D11-E11))</f>
        <v>675</v>
      </c>
      <c r="I11" s="34">
        <f>IF((E11-D11)&lt;0,0,(E11-D11))</f>
        <v>0</v>
      </c>
      <c r="J11" s="34">
        <f>Table1[[#This Row],[Enrolment S.Y. 2025-2026 ]]*8</f>
        <v>688</v>
      </c>
      <c r="K11" s="34"/>
      <c r="L11" s="32"/>
      <c r="M11" s="34"/>
      <c r="N11" s="5">
        <f t="shared" ref="N11" si="17">IF((J11-K11)&lt;0,0,(J11-K11))</f>
        <v>688</v>
      </c>
      <c r="O11" s="5">
        <f t="shared" ref="O11" si="18">IF((K11-J11)&lt;0,0,(K11-J11))</f>
        <v>0</v>
      </c>
      <c r="P11" s="5">
        <f>Table1[[#This Row],[Enrolment S.Y. 2025-2026 ]]*8</f>
        <v>688</v>
      </c>
      <c r="Q11" s="34"/>
      <c r="R11" s="32"/>
      <c r="S11" s="34"/>
      <c r="T11" s="34">
        <f>IF((P11-Q11)&lt;0,0,(P11-Q11))</f>
        <v>688</v>
      </c>
      <c r="U11" s="34">
        <f>IF((Q11-P11)&lt;0,0,(Q11-P11))</f>
        <v>0</v>
      </c>
      <c r="V11" s="34">
        <f>Table1[[#This Row],[Enrolment S.Y. 2025-2026 ]]*8</f>
        <v>688</v>
      </c>
      <c r="W11" s="34"/>
      <c r="X11" s="32"/>
      <c r="Y11" s="34"/>
      <c r="Z11" s="34">
        <f>IF((V11-W11)&lt;0,0,(V11-W11))</f>
        <v>688</v>
      </c>
      <c r="AA11" s="34">
        <f>IF((W11-V11)&lt;0,0,(W11-V11))</f>
        <v>0</v>
      </c>
    </row>
    <row r="12" spans="1:27" ht="19.149999999999999">
      <c r="A12" s="1">
        <v>1</v>
      </c>
      <c r="B12" s="9" t="s">
        <v>16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1"/>
        <v>0</v>
      </c>
      <c r="O12" s="5">
        <f t="shared" si="12"/>
        <v>0</v>
      </c>
      <c r="P12" s="5">
        <f>Table1[[#This Row],[Enrolment S.Y. 2025-2026 ]]*8</f>
        <v>0</v>
      </c>
      <c r="Q12" s="5"/>
      <c r="R12" s="1"/>
      <c r="S12" s="5"/>
      <c r="T12" s="5">
        <f t="shared" si="13"/>
        <v>0</v>
      </c>
      <c r="U12" s="5">
        <f t="shared" si="14"/>
        <v>0</v>
      </c>
      <c r="V12" s="5">
        <f>Table1[[#This Row],[Enrolment S.Y. 2025-2026 ]]*8</f>
        <v>0</v>
      </c>
      <c r="W12" s="5"/>
      <c r="X12" s="1"/>
      <c r="Y12" s="5"/>
      <c r="Z12" s="5">
        <f t="shared" si="15"/>
        <v>0</v>
      </c>
      <c r="AA12" s="5">
        <f t="shared" si="16"/>
        <v>0</v>
      </c>
    </row>
    <row r="13" spans="1:27" ht="19.149999999999999">
      <c r="A13" s="1">
        <v>1</v>
      </c>
      <c r="B13" s="9" t="s">
        <v>17</v>
      </c>
      <c r="C13" s="1"/>
      <c r="D13" s="5">
        <f>Table1[[#This Row],[Enrolment S.Y. 2025-2026 ]]*8</f>
        <v>0</v>
      </c>
      <c r="E13" s="5"/>
      <c r="F13" s="1"/>
      <c r="G13" s="5"/>
      <c r="H13" s="5">
        <f>IF((D13-E13)&lt;0,0,(D13-E13))</f>
        <v>0</v>
      </c>
      <c r="I13" s="5">
        <f>IF((E13-D13)&lt;0,0,(E13-D13))</f>
        <v>0</v>
      </c>
      <c r="J13" s="5">
        <f>Table1[[#This Row],[Enrolment S.Y. 2025-2026 ]]*8</f>
        <v>0</v>
      </c>
      <c r="K13" s="5"/>
      <c r="L13" s="1"/>
      <c r="M13" s="5"/>
      <c r="N13" s="5">
        <f t="shared" si="11"/>
        <v>0</v>
      </c>
      <c r="O13" s="5">
        <f t="shared" si="12"/>
        <v>0</v>
      </c>
      <c r="P13" s="5">
        <f>Table1[[#This Row],[Enrolment S.Y. 2025-2026 ]]*8</f>
        <v>0</v>
      </c>
      <c r="Q13" s="5"/>
      <c r="R13" s="1"/>
      <c r="S13" s="5"/>
      <c r="T13" s="5">
        <f t="shared" si="13"/>
        <v>0</v>
      </c>
      <c r="U13" s="5">
        <f t="shared" si="14"/>
        <v>0</v>
      </c>
      <c r="V13" s="5">
        <f>Table1[[#This Row],[Enrolment S.Y. 2025-2026 ]]*8</f>
        <v>0</v>
      </c>
      <c r="W13" s="5"/>
      <c r="X13" s="1"/>
      <c r="Y13" s="5"/>
      <c r="Z13" s="5">
        <f t="shared" si="15"/>
        <v>0</v>
      </c>
      <c r="AA13" s="5">
        <f t="shared" si="16"/>
        <v>0</v>
      </c>
    </row>
    <row r="14" spans="1:27" ht="19.149999999999999">
      <c r="A14" s="1">
        <v>1</v>
      </c>
      <c r="B14" s="9" t="s">
        <v>63</v>
      </c>
      <c r="C14" s="1"/>
      <c r="D14" s="5">
        <f>Table1[[#This Row],[Enrolment S.Y. 2025-2026 ]]*8</f>
        <v>0</v>
      </c>
      <c r="E14" s="5"/>
      <c r="F14" s="1"/>
      <c r="G14" s="5"/>
      <c r="H14" s="5">
        <f>IF((D14-E14)&lt;0,0,(D14-E14))</f>
        <v>0</v>
      </c>
      <c r="I14" s="5">
        <f>IF((E14-D14)&lt;0,0,(E14-D14))</f>
        <v>0</v>
      </c>
      <c r="J14" s="5">
        <f>Table1[[#This Row],[Enrolment S.Y. 2025-2026 ]]*8</f>
        <v>0</v>
      </c>
      <c r="K14" s="5"/>
      <c r="L14" s="1"/>
      <c r="M14" s="5"/>
      <c r="N14" s="5">
        <f t="shared" si="11"/>
        <v>0</v>
      </c>
      <c r="O14" s="5">
        <f t="shared" si="12"/>
        <v>0</v>
      </c>
      <c r="P14" s="5">
        <f>Table1[[#This Row],[Enrolment S.Y. 2025-2026 ]]*8</f>
        <v>0</v>
      </c>
      <c r="Q14" s="5"/>
      <c r="R14" s="1"/>
      <c r="S14" s="5"/>
      <c r="T14" s="5">
        <f t="shared" si="13"/>
        <v>0</v>
      </c>
      <c r="U14" s="5">
        <f t="shared" si="14"/>
        <v>0</v>
      </c>
      <c r="V14" s="5">
        <f>Table1[[#This Row],[Enrolment S.Y. 2025-2026 ]]*8</f>
        <v>0</v>
      </c>
      <c r="W14" s="5"/>
      <c r="X14" s="1"/>
      <c r="Y14" s="5"/>
      <c r="Z14" s="5">
        <f t="shared" si="15"/>
        <v>0</v>
      </c>
      <c r="AA14" s="5">
        <f t="shared" si="16"/>
        <v>0</v>
      </c>
    </row>
    <row r="15" spans="1:27" s="7" customFormat="1" ht="19.149999999999999">
      <c r="J15" s="13"/>
      <c r="N15" s="13"/>
      <c r="O15" s="13"/>
      <c r="P15" s="13"/>
      <c r="S15" s="5"/>
      <c r="T15" s="13"/>
      <c r="U15" s="13"/>
      <c r="V15" s="13"/>
      <c r="Y15" s="13"/>
      <c r="Z15" s="13"/>
      <c r="AA15" s="13"/>
    </row>
    <row r="16" spans="1:27" ht="30" customHeight="1">
      <c r="A16" s="1">
        <v>2</v>
      </c>
      <c r="B16" s="2" t="s">
        <v>8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3"/>
        <v>0</v>
      </c>
      <c r="I16" s="5">
        <f t="shared" si="4"/>
        <v>0</v>
      </c>
      <c r="J16" s="5">
        <f>Table1[[#This Row],[Enrolment S.Y. 2025-2026 ]]*8</f>
        <v>0</v>
      </c>
      <c r="K16" s="5"/>
      <c r="L16" s="1"/>
      <c r="M16" s="5"/>
      <c r="N16" s="5">
        <f t="shared" si="11"/>
        <v>0</v>
      </c>
      <c r="O16" s="5">
        <f t="shared" si="12"/>
        <v>0</v>
      </c>
      <c r="P16" s="5">
        <f>Table1[[#This Row],[Enrolment S.Y. 2025-2026 ]]*8</f>
        <v>0</v>
      </c>
      <c r="Q16" s="5"/>
      <c r="R16" s="1"/>
      <c r="S16" s="5"/>
      <c r="T16" s="5">
        <f t="shared" si="13"/>
        <v>0</v>
      </c>
      <c r="U16" s="5">
        <f t="shared" si="14"/>
        <v>0</v>
      </c>
      <c r="V16" s="5">
        <f>Table1[[#This Row],[Enrolment S.Y. 2025-2026 ]]*8</f>
        <v>0</v>
      </c>
      <c r="W16" s="5"/>
      <c r="X16" s="1"/>
      <c r="Y16" s="5"/>
      <c r="Z16" s="5">
        <f t="shared" si="15"/>
        <v>0</v>
      </c>
      <c r="AA16" s="5">
        <f t="shared" si="16"/>
        <v>0</v>
      </c>
    </row>
    <row r="17" spans="1:27" ht="19.149999999999999">
      <c r="A17" s="1">
        <v>2</v>
      </c>
      <c r="B17" s="2" t="s">
        <v>10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3"/>
        <v>0</v>
      </c>
      <c r="I17" s="5">
        <f t="shared" si="4"/>
        <v>0</v>
      </c>
      <c r="J17" s="5">
        <f>Table1[[#This Row],[Enrolment S.Y. 2025-2026 ]]*8</f>
        <v>0</v>
      </c>
      <c r="K17" s="5"/>
      <c r="L17" s="1"/>
      <c r="M17" s="5"/>
      <c r="N17" s="5">
        <f t="shared" si="11"/>
        <v>0</v>
      </c>
      <c r="O17" s="5">
        <f t="shared" si="12"/>
        <v>0</v>
      </c>
      <c r="P17" s="5">
        <f>Table1[[#This Row],[Enrolment S.Y. 2025-2026 ]]*8</f>
        <v>0</v>
      </c>
      <c r="Q17" s="5"/>
      <c r="R17" s="1"/>
      <c r="S17" s="5"/>
      <c r="T17" s="5">
        <f t="shared" si="13"/>
        <v>0</v>
      </c>
      <c r="U17" s="5">
        <f t="shared" si="14"/>
        <v>0</v>
      </c>
      <c r="V17" s="5">
        <f>Table1[[#This Row],[Enrolment S.Y. 2025-2026 ]]*8</f>
        <v>0</v>
      </c>
      <c r="W17" s="5"/>
      <c r="X17" s="1"/>
      <c r="Y17" s="5"/>
      <c r="Z17" s="5">
        <f t="shared" si="15"/>
        <v>0</v>
      </c>
      <c r="AA17" s="5">
        <f t="shared" si="16"/>
        <v>0</v>
      </c>
    </row>
    <row r="18" spans="1:27" ht="19.5">
      <c r="A18" s="1">
        <v>2</v>
      </c>
      <c r="B18" s="2" t="s">
        <v>11</v>
      </c>
      <c r="C18" s="32">
        <v>100</v>
      </c>
      <c r="D18" s="34">
        <f>Table1[[#This Row],[Enrolment S.Y. 2025-2026 ]]*8</f>
        <v>800</v>
      </c>
      <c r="E18" s="34">
        <v>103</v>
      </c>
      <c r="F18" s="32">
        <v>2025</v>
      </c>
      <c r="G18" s="5" t="s">
        <v>9</v>
      </c>
      <c r="H18" s="34">
        <f>IF((D18-E18)&lt;0,0,(D18-E18))</f>
        <v>697</v>
      </c>
      <c r="I18" s="34">
        <f>IF((E18-D18)&lt;0,0,(E18-D18))</f>
        <v>0</v>
      </c>
      <c r="J18" s="34">
        <f>Table1[[#This Row],[Enrolment S.Y. 2025-2026 ]]*8</f>
        <v>800</v>
      </c>
      <c r="K18" s="34"/>
      <c r="L18" s="32"/>
      <c r="M18" s="34"/>
      <c r="N18" s="5">
        <f t="shared" ref="N18:N19" si="19">IF((J18-K18)&lt;0,0,(J18-K18))</f>
        <v>800</v>
      </c>
      <c r="O18" s="5">
        <f t="shared" ref="O18:O19" si="20">IF((K18-J18)&lt;0,0,(K18-J18))</f>
        <v>0</v>
      </c>
      <c r="P18" s="5">
        <f>Table1[[#This Row],[Enrolment S.Y. 2025-2026 ]]*8</f>
        <v>800</v>
      </c>
      <c r="Q18" s="34"/>
      <c r="R18" s="32"/>
      <c r="S18" s="34"/>
      <c r="T18" s="34">
        <f>IF((P18-Q18)&lt;0,0,(P18-Q18))</f>
        <v>800</v>
      </c>
      <c r="U18" s="34">
        <f>IF((Q18-P18)&lt;0,0,(Q18-P18))</f>
        <v>0</v>
      </c>
      <c r="V18" s="34">
        <f>Table1[[#This Row],[Enrolment S.Y. 2025-2026 ]]*8</f>
        <v>800</v>
      </c>
      <c r="W18" s="34"/>
      <c r="X18" s="32"/>
      <c r="Y18" s="34"/>
      <c r="Z18" s="34">
        <f>IF((V18-W18)&lt;0,0,(V18-W18))</f>
        <v>800</v>
      </c>
      <c r="AA18" s="34">
        <f>IF((W18-V18)&lt;0,0,(W18-V18))</f>
        <v>0</v>
      </c>
    </row>
    <row r="19" spans="1:27" ht="19.5">
      <c r="A19" s="1">
        <v>2</v>
      </c>
      <c r="B19" s="2" t="s">
        <v>12</v>
      </c>
      <c r="C19" s="32">
        <v>100</v>
      </c>
      <c r="D19" s="34">
        <f>Table1[[#This Row],[Enrolment S.Y. 2025-2026 ]]*8</f>
        <v>800</v>
      </c>
      <c r="E19" s="34">
        <v>103</v>
      </c>
      <c r="F19" s="32">
        <v>2025</v>
      </c>
      <c r="G19" s="5" t="s">
        <v>9</v>
      </c>
      <c r="H19" s="34">
        <f>IF((D19-E19)&lt;0,0,(D19-E19))</f>
        <v>697</v>
      </c>
      <c r="I19" s="34">
        <f>IF((E19-D19)&lt;0,0,(E19-D19))</f>
        <v>0</v>
      </c>
      <c r="J19" s="34">
        <f>Table1[[#This Row],[Enrolment S.Y. 2025-2026 ]]*8</f>
        <v>800</v>
      </c>
      <c r="K19" s="34"/>
      <c r="L19" s="32"/>
      <c r="M19" s="34"/>
      <c r="N19" s="5">
        <f t="shared" si="19"/>
        <v>800</v>
      </c>
      <c r="O19" s="5">
        <f t="shared" si="20"/>
        <v>0</v>
      </c>
      <c r="P19" s="5">
        <f>Table1[[#This Row],[Enrolment S.Y. 2025-2026 ]]*8</f>
        <v>800</v>
      </c>
      <c r="Q19" s="34"/>
      <c r="R19" s="32"/>
      <c r="S19" s="34"/>
      <c r="T19" s="34">
        <f>IF((P19-Q19)&lt;0,0,(P19-Q19))</f>
        <v>800</v>
      </c>
      <c r="U19" s="34">
        <f>IF((Q19-P19)&lt;0,0,(Q19-P19))</f>
        <v>0</v>
      </c>
      <c r="V19" s="34">
        <f>Table1[[#This Row],[Enrolment S.Y. 2025-2026 ]]*8</f>
        <v>800</v>
      </c>
      <c r="W19" s="34"/>
      <c r="X19" s="32"/>
      <c r="Y19" s="34"/>
      <c r="Z19" s="34">
        <f>IF((V19-W19)&lt;0,0,(V19-W19))</f>
        <v>800</v>
      </c>
      <c r="AA19" s="34">
        <f>IF((W19-V19)&lt;0,0,(W19-V19))</f>
        <v>0</v>
      </c>
    </row>
    <row r="20" spans="1:27" ht="19.5">
      <c r="A20" s="1">
        <v>2</v>
      </c>
      <c r="B20" s="2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 t="shared" si="3"/>
        <v>0</v>
      </c>
      <c r="I20" s="5">
        <f t="shared" si="4"/>
        <v>0</v>
      </c>
      <c r="J20" s="5">
        <f>Table1[[#This Row],[Enrolment S.Y. 2025-2026 ]]*8</f>
        <v>0</v>
      </c>
      <c r="K20" s="5"/>
      <c r="L20" s="1"/>
      <c r="M20" s="5"/>
      <c r="N20" s="5">
        <f t="shared" si="11"/>
        <v>0</v>
      </c>
      <c r="O20" s="5">
        <f t="shared" si="12"/>
        <v>0</v>
      </c>
      <c r="P20" s="5">
        <f>Table1[[#This Row],[Enrolment S.Y. 2025-2026 ]]*8</f>
        <v>0</v>
      </c>
      <c r="Q20" s="5"/>
      <c r="R20" s="1"/>
      <c r="S20" s="5"/>
      <c r="T20" s="5">
        <f t="shared" si="13"/>
        <v>0</v>
      </c>
      <c r="U20" s="5">
        <f t="shared" si="14"/>
        <v>0</v>
      </c>
      <c r="V20" s="5">
        <f>Table1[[#This Row],[Enrolment S.Y. 2025-2026 ]]*8</f>
        <v>0</v>
      </c>
      <c r="W20" s="5"/>
      <c r="X20" s="1"/>
      <c r="Y20" s="5"/>
      <c r="Z20" s="5">
        <f t="shared" si="15"/>
        <v>0</v>
      </c>
      <c r="AA20" s="5">
        <f t="shared" si="16"/>
        <v>0</v>
      </c>
    </row>
    <row r="21" spans="1:27" ht="19.5">
      <c r="A21" s="1">
        <v>2</v>
      </c>
      <c r="B21" s="9" t="s">
        <v>17</v>
      </c>
      <c r="C21" s="1">
        <v>100</v>
      </c>
      <c r="D21" s="5">
        <f>Table1[[#This Row],[Enrolment S.Y. 2025-2026 ]]*8</f>
        <v>800</v>
      </c>
      <c r="E21" s="5">
        <v>103</v>
      </c>
      <c r="F21" s="1">
        <v>2025</v>
      </c>
      <c r="G21" s="5" t="s">
        <v>9</v>
      </c>
      <c r="H21" s="5">
        <f>IF((D21-E21)&lt;0,0,(D21-E21))</f>
        <v>697</v>
      </c>
      <c r="I21" s="5">
        <f>IF((E21-D21)&lt;0,0,(E21-D21))</f>
        <v>0</v>
      </c>
      <c r="J21" s="5">
        <f>Table1[[#This Row],[Enrolment S.Y. 2025-2026 ]]*8</f>
        <v>800</v>
      </c>
      <c r="K21" s="5"/>
      <c r="L21" s="1"/>
      <c r="M21" s="5"/>
      <c r="N21" s="5">
        <f t="shared" si="11"/>
        <v>800</v>
      </c>
      <c r="O21" s="5">
        <f t="shared" si="12"/>
        <v>0</v>
      </c>
      <c r="P21" s="5">
        <f>Table1[[#This Row],[Enrolment S.Y. 2025-2026 ]]*8</f>
        <v>800</v>
      </c>
      <c r="Q21" s="5"/>
      <c r="R21" s="1"/>
      <c r="S21" s="5"/>
      <c r="T21" s="5">
        <f t="shared" si="13"/>
        <v>800</v>
      </c>
      <c r="U21" s="5">
        <f t="shared" si="14"/>
        <v>0</v>
      </c>
      <c r="V21" s="5">
        <f>Table1[[#This Row],[Enrolment S.Y. 2025-2026 ]]*8</f>
        <v>800</v>
      </c>
      <c r="W21" s="5"/>
      <c r="X21" s="1"/>
      <c r="Y21" s="5"/>
      <c r="Z21" s="5">
        <f t="shared" si="15"/>
        <v>800</v>
      </c>
      <c r="AA21" s="5">
        <f t="shared" si="16"/>
        <v>0</v>
      </c>
    </row>
    <row r="22" spans="1:27" ht="19.5">
      <c r="A22" s="1">
        <v>2</v>
      </c>
      <c r="B22" s="9" t="s">
        <v>16</v>
      </c>
      <c r="C22" s="1">
        <v>100</v>
      </c>
      <c r="D22" s="5">
        <f>Table1[[#This Row],[Enrolment S.Y. 2025-2026 ]]*8</f>
        <v>800</v>
      </c>
      <c r="E22" s="5">
        <v>103</v>
      </c>
      <c r="F22" s="1">
        <v>2025</v>
      </c>
      <c r="G22" s="5" t="s">
        <v>9</v>
      </c>
      <c r="H22" s="5">
        <f>IF((D22-E22)&lt;0,0,(D22-E22))</f>
        <v>697</v>
      </c>
      <c r="I22" s="5">
        <f>IF((E22-D22)&lt;0,0,(E22-D22))</f>
        <v>0</v>
      </c>
      <c r="J22" s="5">
        <f>Table1[[#This Row],[Enrolment S.Y. 2025-2026 ]]*8</f>
        <v>800</v>
      </c>
      <c r="K22" s="5"/>
      <c r="L22" s="1"/>
      <c r="M22" s="5"/>
      <c r="N22" s="5">
        <f t="shared" si="11"/>
        <v>800</v>
      </c>
      <c r="O22" s="5">
        <f t="shared" si="12"/>
        <v>0</v>
      </c>
      <c r="P22" s="5">
        <f>Table1[[#This Row],[Enrolment S.Y. 2025-2026 ]]*8</f>
        <v>800</v>
      </c>
      <c r="Q22" s="5"/>
      <c r="R22" s="1"/>
      <c r="S22" s="5"/>
      <c r="T22" s="5">
        <f t="shared" si="13"/>
        <v>800</v>
      </c>
      <c r="U22" s="5">
        <f t="shared" si="14"/>
        <v>0</v>
      </c>
      <c r="V22" s="5">
        <f>Table1[[#This Row],[Enrolment S.Y. 2025-2026 ]]*8</f>
        <v>800</v>
      </c>
      <c r="W22" s="5"/>
      <c r="X22" s="1"/>
      <c r="Y22" s="5"/>
      <c r="Z22" s="5">
        <f t="shared" si="15"/>
        <v>800</v>
      </c>
      <c r="AA22" s="5">
        <f t="shared" si="16"/>
        <v>0</v>
      </c>
    </row>
    <row r="23" spans="1:27" ht="19.149999999999999">
      <c r="A23" s="1">
        <v>2</v>
      </c>
      <c r="B23" s="9" t="s">
        <v>63</v>
      </c>
      <c r="C23" s="1"/>
      <c r="D23" s="5">
        <f>Table1[[#This Row],[Enrolment S.Y. 2025-2026 ]]*8</f>
        <v>0</v>
      </c>
      <c r="E23" s="5"/>
      <c r="F23" s="1"/>
      <c r="G23" s="5"/>
      <c r="H23" s="5">
        <f>IF((D23-E23)&lt;0,0,(D23-E23))</f>
        <v>0</v>
      </c>
      <c r="I23" s="5">
        <f>IF((E23-D23)&lt;0,0,(E23-D23))</f>
        <v>0</v>
      </c>
      <c r="J23" s="5">
        <f>Table1[[#This Row],[Enrolment S.Y. 2025-2026 ]]*8</f>
        <v>0</v>
      </c>
      <c r="K23" s="5"/>
      <c r="L23" s="1"/>
      <c r="M23" s="5"/>
      <c r="N23" s="5">
        <f t="shared" si="11"/>
        <v>0</v>
      </c>
      <c r="O23" s="5">
        <f t="shared" si="12"/>
        <v>0</v>
      </c>
      <c r="P23" s="5">
        <f>Table1[[#This Row],[Enrolment S.Y. 2025-2026 ]]*8</f>
        <v>0</v>
      </c>
      <c r="Q23" s="5"/>
      <c r="R23" s="1"/>
      <c r="S23" s="5"/>
      <c r="T23" s="5">
        <f t="shared" si="13"/>
        <v>0</v>
      </c>
      <c r="U23" s="5">
        <f t="shared" si="14"/>
        <v>0</v>
      </c>
      <c r="V23" s="5">
        <f>Table1[[#This Row],[Enrolment S.Y. 2025-2026 ]]*8</f>
        <v>0</v>
      </c>
      <c r="W23" s="5"/>
      <c r="X23" s="1"/>
      <c r="Y23" s="5"/>
      <c r="Z23" s="5">
        <f t="shared" si="15"/>
        <v>0</v>
      </c>
      <c r="AA23" s="5">
        <f t="shared" si="16"/>
        <v>0</v>
      </c>
    </row>
    <row r="24" spans="1:27" s="7" customFormat="1" ht="19.149999999999999">
      <c r="J24" s="13"/>
      <c r="M24" s="5"/>
      <c r="N24" s="13"/>
      <c r="O24" s="13"/>
      <c r="P24" s="13"/>
      <c r="S24" s="5"/>
      <c r="T24" s="13"/>
      <c r="U24" s="13"/>
      <c r="V24" s="13"/>
      <c r="Y24" s="5"/>
      <c r="Z24" s="13"/>
      <c r="AA24" s="13"/>
    </row>
    <row r="25" spans="1:27" ht="19.149999999999999">
      <c r="A25" s="1">
        <v>3</v>
      </c>
      <c r="B25" s="2" t="s">
        <v>8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3"/>
        <v>0</v>
      </c>
      <c r="I25" s="5">
        <f t="shared" si="4"/>
        <v>0</v>
      </c>
      <c r="J25" s="5">
        <f>Table1[[#This Row],[Enrolment S.Y. 2025-2026 ]]*8</f>
        <v>0</v>
      </c>
      <c r="K25" s="5"/>
      <c r="L25" s="1"/>
      <c r="M25" s="5"/>
      <c r="N25" s="5">
        <f t="shared" si="11"/>
        <v>0</v>
      </c>
      <c r="O25" s="5">
        <f t="shared" si="12"/>
        <v>0</v>
      </c>
      <c r="P25" s="5">
        <f>Table1[[#This Row],[Enrolment S.Y. 2025-2026 ]]*8</f>
        <v>0</v>
      </c>
      <c r="Q25" s="5"/>
      <c r="R25" s="1"/>
      <c r="S25" s="5"/>
      <c r="T25" s="5">
        <f t="shared" si="13"/>
        <v>0</v>
      </c>
      <c r="U25" s="5">
        <f t="shared" si="14"/>
        <v>0</v>
      </c>
      <c r="V25" s="5">
        <f>Table1[[#This Row],[Enrolment S.Y. 2025-2026 ]]*8</f>
        <v>0</v>
      </c>
      <c r="W25" s="5"/>
      <c r="X25" s="1"/>
      <c r="Y25" s="5"/>
      <c r="Z25" s="5">
        <f t="shared" si="15"/>
        <v>0</v>
      </c>
      <c r="AA25" s="5">
        <f t="shared" si="16"/>
        <v>0</v>
      </c>
    </row>
    <row r="26" spans="1:27" ht="19.149999999999999">
      <c r="A26" s="1">
        <v>3</v>
      </c>
      <c r="B26" s="2" t="s">
        <v>10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3"/>
        <v>0</v>
      </c>
      <c r="I26" s="5">
        <f t="shared" si="4"/>
        <v>0</v>
      </c>
      <c r="J26" s="5">
        <f>Table1[[#This Row],[Enrolment S.Y. 2025-2026 ]]*8</f>
        <v>0</v>
      </c>
      <c r="K26" s="5"/>
      <c r="L26" s="1"/>
      <c r="M26" s="5"/>
      <c r="N26" s="5">
        <f t="shared" si="11"/>
        <v>0</v>
      </c>
      <c r="O26" s="5">
        <f t="shared" si="12"/>
        <v>0</v>
      </c>
      <c r="P26" s="5">
        <f>Table1[[#This Row],[Enrolment S.Y. 2025-2026 ]]*8</f>
        <v>0</v>
      </c>
      <c r="Q26" s="5"/>
      <c r="R26" s="1"/>
      <c r="S26" s="5"/>
      <c r="T26" s="5">
        <f t="shared" si="13"/>
        <v>0</v>
      </c>
      <c r="U26" s="5">
        <f t="shared" si="14"/>
        <v>0</v>
      </c>
      <c r="V26" s="5">
        <f>Table1[[#This Row],[Enrolment S.Y. 2025-2026 ]]*8</f>
        <v>0</v>
      </c>
      <c r="W26" s="5"/>
      <c r="X26" s="1"/>
      <c r="Y26" s="5"/>
      <c r="Z26" s="5">
        <f t="shared" si="15"/>
        <v>0</v>
      </c>
      <c r="AA26" s="5">
        <f t="shared" si="16"/>
        <v>0</v>
      </c>
    </row>
    <row r="27" spans="1:27" ht="19.5">
      <c r="A27" s="1">
        <v>3</v>
      </c>
      <c r="B27" s="2" t="s">
        <v>11</v>
      </c>
      <c r="C27" s="1">
        <v>106</v>
      </c>
      <c r="D27" s="5">
        <f>Table1[[#This Row],[Enrolment S.Y. 2025-2026 ]]*8</f>
        <v>848</v>
      </c>
      <c r="E27" s="5">
        <v>128</v>
      </c>
      <c r="F27" s="1">
        <v>2025</v>
      </c>
      <c r="G27" s="5" t="s">
        <v>9</v>
      </c>
      <c r="H27" s="5">
        <f t="shared" si="3"/>
        <v>720</v>
      </c>
      <c r="I27" s="5">
        <f t="shared" si="4"/>
        <v>0</v>
      </c>
      <c r="J27" s="5">
        <f>Table1[[#This Row],[Enrolment S.Y. 2025-2026 ]]*8</f>
        <v>848</v>
      </c>
      <c r="K27" s="5"/>
      <c r="L27" s="1"/>
      <c r="M27" s="5"/>
      <c r="N27" s="5">
        <f t="shared" si="11"/>
        <v>848</v>
      </c>
      <c r="O27" s="5">
        <f t="shared" si="12"/>
        <v>0</v>
      </c>
      <c r="P27" s="5">
        <f>Table1[[#This Row],[Enrolment S.Y. 2025-2026 ]]*8</f>
        <v>848</v>
      </c>
      <c r="Q27" s="5"/>
      <c r="R27" s="1"/>
      <c r="S27" s="5"/>
      <c r="T27" s="5">
        <f t="shared" si="13"/>
        <v>848</v>
      </c>
      <c r="U27" s="5">
        <f t="shared" si="14"/>
        <v>0</v>
      </c>
      <c r="V27" s="5">
        <f>Table1[[#This Row],[Enrolment S.Y. 2025-2026 ]]*8</f>
        <v>848</v>
      </c>
      <c r="W27" s="5"/>
      <c r="X27" s="1"/>
      <c r="Y27" s="5"/>
      <c r="Z27" s="5">
        <f t="shared" si="15"/>
        <v>848</v>
      </c>
      <c r="AA27" s="5">
        <f t="shared" si="16"/>
        <v>0</v>
      </c>
    </row>
    <row r="28" spans="1:27" ht="19.5">
      <c r="A28" s="1">
        <v>3</v>
      </c>
      <c r="B28" s="2" t="s">
        <v>15</v>
      </c>
      <c r="C28" s="1">
        <v>106</v>
      </c>
      <c r="D28" s="5">
        <f>Table1[[#This Row],[Enrolment S.Y. 2025-2026 ]]*8</f>
        <v>848</v>
      </c>
      <c r="E28" s="5">
        <v>128</v>
      </c>
      <c r="F28" s="1">
        <v>2025</v>
      </c>
      <c r="G28" s="5" t="s">
        <v>9</v>
      </c>
      <c r="H28" s="5">
        <f t="shared" si="3"/>
        <v>720</v>
      </c>
      <c r="I28" s="5">
        <f t="shared" si="4"/>
        <v>0</v>
      </c>
      <c r="J28" s="5">
        <f>Table1[[#This Row],[Enrolment S.Y. 2025-2026 ]]*8</f>
        <v>848</v>
      </c>
      <c r="K28" s="5"/>
      <c r="L28" s="1"/>
      <c r="M28" s="5"/>
      <c r="N28" s="5">
        <f t="shared" si="11"/>
        <v>848</v>
      </c>
      <c r="O28" s="5">
        <f t="shared" si="12"/>
        <v>0</v>
      </c>
      <c r="P28" s="5">
        <f>Table1[[#This Row],[Enrolment S.Y. 2025-2026 ]]*8</f>
        <v>848</v>
      </c>
      <c r="Q28" s="5"/>
      <c r="R28" s="1"/>
      <c r="S28" s="5"/>
      <c r="T28" s="5">
        <f t="shared" si="13"/>
        <v>848</v>
      </c>
      <c r="U28" s="5">
        <f t="shared" si="14"/>
        <v>0</v>
      </c>
      <c r="V28" s="5">
        <f>Table1[[#This Row],[Enrolment S.Y. 2025-2026 ]]*8</f>
        <v>848</v>
      </c>
      <c r="W28" s="5"/>
      <c r="X28" s="1"/>
      <c r="Y28" s="5"/>
      <c r="Z28" s="5">
        <f t="shared" si="15"/>
        <v>848</v>
      </c>
      <c r="AA28" s="5">
        <f t="shared" si="16"/>
        <v>0</v>
      </c>
    </row>
    <row r="29" spans="1:27" ht="19.5">
      <c r="A29" s="1">
        <v>3</v>
      </c>
      <c r="B29" s="2" t="s">
        <v>12</v>
      </c>
      <c r="C29" s="1">
        <v>106</v>
      </c>
      <c r="D29" s="5">
        <f>Table1[[#This Row],[Enrolment S.Y. 2025-2026 ]]*8</f>
        <v>848</v>
      </c>
      <c r="E29" s="5">
        <v>128</v>
      </c>
      <c r="F29" s="1">
        <v>2025</v>
      </c>
      <c r="G29" s="5" t="s">
        <v>9</v>
      </c>
      <c r="H29" s="5">
        <f t="shared" si="3"/>
        <v>720</v>
      </c>
      <c r="I29" s="5">
        <f t="shared" si="4"/>
        <v>0</v>
      </c>
      <c r="J29" s="5">
        <f>Table1[[#This Row],[Enrolment S.Y. 2025-2026 ]]*8</f>
        <v>848</v>
      </c>
      <c r="K29" s="5"/>
      <c r="L29" s="1"/>
      <c r="M29" s="5"/>
      <c r="N29" s="5">
        <f t="shared" si="11"/>
        <v>848</v>
      </c>
      <c r="O29" s="5">
        <f t="shared" si="12"/>
        <v>0</v>
      </c>
      <c r="P29" s="5">
        <f>Table1[[#This Row],[Enrolment S.Y. 2025-2026 ]]*8</f>
        <v>848</v>
      </c>
      <c r="Q29" s="5"/>
      <c r="R29" s="1"/>
      <c r="S29" s="5"/>
      <c r="T29" s="5">
        <f t="shared" si="13"/>
        <v>848</v>
      </c>
      <c r="U29" s="5">
        <f t="shared" si="14"/>
        <v>0</v>
      </c>
      <c r="V29" s="5">
        <f>Table1[[#This Row],[Enrolment S.Y. 2025-2026 ]]*8</f>
        <v>848</v>
      </c>
      <c r="W29" s="5"/>
      <c r="X29" s="1"/>
      <c r="Y29" s="5"/>
      <c r="Z29" s="5">
        <f t="shared" si="15"/>
        <v>848</v>
      </c>
      <c r="AA29" s="5">
        <f t="shared" si="16"/>
        <v>0</v>
      </c>
    </row>
    <row r="30" spans="1:27" ht="19.5">
      <c r="A30" s="1">
        <v>3</v>
      </c>
      <c r="B30" s="2" t="s">
        <v>14</v>
      </c>
      <c r="C30" s="1">
        <v>106</v>
      </c>
      <c r="D30" s="5">
        <f>Table1[[#This Row],[Enrolment S.Y. 2025-2026 ]]*8</f>
        <v>848</v>
      </c>
      <c r="E30" s="5">
        <v>128</v>
      </c>
      <c r="F30" s="1">
        <v>2025</v>
      </c>
      <c r="G30" s="5" t="s">
        <v>9</v>
      </c>
      <c r="H30" s="5">
        <f t="shared" si="3"/>
        <v>720</v>
      </c>
      <c r="I30" s="5">
        <f t="shared" si="4"/>
        <v>0</v>
      </c>
      <c r="J30" s="5">
        <f>Table1[[#This Row],[Enrolment S.Y. 2025-2026 ]]*8</f>
        <v>848</v>
      </c>
      <c r="K30" s="5"/>
      <c r="L30" s="1"/>
      <c r="M30" s="5"/>
      <c r="N30" s="5">
        <f t="shared" si="11"/>
        <v>848</v>
      </c>
      <c r="O30" s="5">
        <f t="shared" si="12"/>
        <v>0</v>
      </c>
      <c r="P30" s="5">
        <f>Table1[[#This Row],[Enrolment S.Y. 2025-2026 ]]*8</f>
        <v>848</v>
      </c>
      <c r="Q30" s="5"/>
      <c r="R30" s="1"/>
      <c r="S30" s="5"/>
      <c r="T30" s="5">
        <f t="shared" si="13"/>
        <v>848</v>
      </c>
      <c r="U30" s="5">
        <f t="shared" si="14"/>
        <v>0</v>
      </c>
      <c r="V30" s="5">
        <f>Table1[[#This Row],[Enrolment S.Y. 2025-2026 ]]*8</f>
        <v>848</v>
      </c>
      <c r="W30" s="5"/>
      <c r="X30" s="1"/>
      <c r="Y30" s="5"/>
      <c r="Z30" s="5">
        <f t="shared" si="15"/>
        <v>848</v>
      </c>
      <c r="AA30" s="5">
        <f t="shared" si="16"/>
        <v>0</v>
      </c>
    </row>
    <row r="31" spans="1:27" ht="19.5">
      <c r="A31" s="1">
        <v>3</v>
      </c>
      <c r="B31" s="9" t="s">
        <v>16</v>
      </c>
      <c r="C31" s="1">
        <v>106</v>
      </c>
      <c r="D31" s="5">
        <f>Table1[[#This Row],[Enrolment S.Y. 2025-2026 ]]*8</f>
        <v>848</v>
      </c>
      <c r="E31" s="5">
        <v>128</v>
      </c>
      <c r="F31" s="1">
        <v>2025</v>
      </c>
      <c r="G31" s="5" t="s">
        <v>9</v>
      </c>
      <c r="H31" s="5">
        <f>IF((D31-E31)&lt;0,0,(D31-E31))</f>
        <v>720</v>
      </c>
      <c r="I31" s="5">
        <f>IF((E31-D31)&lt;0,0,(E31-D31))</f>
        <v>0</v>
      </c>
      <c r="J31" s="5">
        <f>Table1[[#This Row],[Enrolment S.Y. 2025-2026 ]]*8</f>
        <v>848</v>
      </c>
      <c r="K31" s="5"/>
      <c r="L31" s="1"/>
      <c r="M31" s="5"/>
      <c r="N31" s="5">
        <f t="shared" si="11"/>
        <v>848</v>
      </c>
      <c r="O31" s="5">
        <f t="shared" si="12"/>
        <v>0</v>
      </c>
      <c r="P31" s="5">
        <f>Table1[[#This Row],[Enrolment S.Y. 2025-2026 ]]*8</f>
        <v>848</v>
      </c>
      <c r="Q31" s="5"/>
      <c r="R31" s="1"/>
      <c r="S31" s="5"/>
      <c r="T31" s="5">
        <f t="shared" si="13"/>
        <v>848</v>
      </c>
      <c r="U31" s="5">
        <f t="shared" si="14"/>
        <v>0</v>
      </c>
      <c r="V31" s="5">
        <f>Table1[[#This Row],[Enrolment S.Y. 2025-2026 ]]*8</f>
        <v>848</v>
      </c>
      <c r="W31" s="5"/>
      <c r="X31" s="1"/>
      <c r="Y31" s="5"/>
      <c r="Z31" s="5">
        <f t="shared" si="15"/>
        <v>848</v>
      </c>
      <c r="AA31" s="5">
        <f t="shared" si="16"/>
        <v>0</v>
      </c>
    </row>
    <row r="32" spans="1:27" ht="19.5">
      <c r="A32" s="1">
        <v>3</v>
      </c>
      <c r="B32" s="9" t="s">
        <v>17</v>
      </c>
      <c r="C32" s="1"/>
      <c r="D32" s="5">
        <f>Table1[[#This Row],[Enrolment S.Y. 2025-2026 ]]*8</f>
        <v>0</v>
      </c>
      <c r="E32" s="5"/>
      <c r="F32" s="1"/>
      <c r="G32" s="5"/>
      <c r="H32" s="5">
        <f>IF((D32-E32)&lt;0,0,(D32-E32))</f>
        <v>0</v>
      </c>
      <c r="I32" s="5">
        <f>IF((E32-D32)&lt;0,0,(E32-D32))</f>
        <v>0</v>
      </c>
      <c r="J32" s="5">
        <f>Table1[[#This Row],[Enrolment S.Y. 2025-2026 ]]*8</f>
        <v>0</v>
      </c>
      <c r="K32" s="5"/>
      <c r="L32" s="1"/>
      <c r="M32" s="5"/>
      <c r="N32" s="5">
        <f t="shared" si="11"/>
        <v>0</v>
      </c>
      <c r="O32" s="5">
        <f t="shared" si="12"/>
        <v>0</v>
      </c>
      <c r="P32" s="5">
        <f>Table1[[#This Row],[Enrolment S.Y. 2025-2026 ]]*8</f>
        <v>0</v>
      </c>
      <c r="Q32" s="5"/>
      <c r="R32" s="1"/>
      <c r="S32" s="5"/>
      <c r="T32" s="5">
        <f t="shared" si="13"/>
        <v>0</v>
      </c>
      <c r="U32" s="5">
        <f t="shared" si="14"/>
        <v>0</v>
      </c>
      <c r="V32" s="5">
        <f>Table1[[#This Row],[Enrolment S.Y. 2025-2026 ]]*8</f>
        <v>0</v>
      </c>
      <c r="W32" s="5"/>
      <c r="X32" s="1"/>
      <c r="Y32" s="5"/>
      <c r="Z32" s="5">
        <f t="shared" si="15"/>
        <v>0</v>
      </c>
      <c r="AA32" s="5">
        <f t="shared" si="16"/>
        <v>0</v>
      </c>
    </row>
    <row r="33" spans="1:27" ht="19.149999999999999">
      <c r="A33" s="1">
        <v>3</v>
      </c>
      <c r="B33" s="9" t="s">
        <v>63</v>
      </c>
      <c r="C33" s="1"/>
      <c r="D33" s="5">
        <f>Table1[[#This Row],[Enrolment S.Y. 2025-2026 ]]*8</f>
        <v>0</v>
      </c>
      <c r="E33" s="5"/>
      <c r="F33" s="1"/>
      <c r="G33" s="5"/>
      <c r="H33" s="5">
        <f>IF((D33-E33)&lt;0,0,(D33-E33))</f>
        <v>0</v>
      </c>
      <c r="I33" s="5">
        <f>IF((E33-D33)&lt;0,0,(E33-D33))</f>
        <v>0</v>
      </c>
      <c r="J33" s="5">
        <f>Table1[[#This Row],[Enrolment S.Y. 2025-2026 ]]*8</f>
        <v>0</v>
      </c>
      <c r="K33" s="5"/>
      <c r="L33" s="1"/>
      <c r="M33" s="5"/>
      <c r="N33" s="5">
        <f t="shared" si="11"/>
        <v>0</v>
      </c>
      <c r="O33" s="5">
        <f t="shared" si="12"/>
        <v>0</v>
      </c>
      <c r="P33" s="5">
        <f>Table1[[#This Row],[Enrolment S.Y. 2025-2026 ]]*8</f>
        <v>0</v>
      </c>
      <c r="Q33" s="5"/>
      <c r="R33" s="1"/>
      <c r="S33" s="5"/>
      <c r="T33" s="5">
        <f t="shared" si="13"/>
        <v>0</v>
      </c>
      <c r="U33" s="5">
        <f t="shared" si="14"/>
        <v>0</v>
      </c>
      <c r="V33" s="5">
        <f>Table1[[#This Row],[Enrolment S.Y. 2025-2026 ]]*8</f>
        <v>0</v>
      </c>
      <c r="W33" s="5"/>
      <c r="X33" s="1"/>
      <c r="Y33" s="5"/>
      <c r="Z33" s="5">
        <f t="shared" si="15"/>
        <v>0</v>
      </c>
      <c r="AA33" s="5">
        <f t="shared" si="16"/>
        <v>0</v>
      </c>
    </row>
    <row r="34" spans="1:27" s="7" customFormat="1" ht="19.149999999999999">
      <c r="J34" s="13"/>
      <c r="M34" s="5"/>
      <c r="N34" s="13"/>
      <c r="O34" s="13"/>
      <c r="P34" s="13"/>
      <c r="S34" s="5"/>
      <c r="T34" s="13"/>
      <c r="U34" s="13"/>
      <c r="V34" s="13"/>
      <c r="Y34" s="5"/>
      <c r="Z34" s="13"/>
      <c r="AA34" s="13"/>
    </row>
    <row r="35" spans="1:27" ht="19.5">
      <c r="A35" s="1">
        <v>4</v>
      </c>
      <c r="B35" s="9" t="s">
        <v>16</v>
      </c>
      <c r="C35" s="1">
        <v>128</v>
      </c>
      <c r="D35" s="5">
        <f>Table1[[#This Row],[Enrolment S.Y. 2025-2026 ]]*8</f>
        <v>1024</v>
      </c>
      <c r="E35" s="5">
        <v>12</v>
      </c>
      <c r="F35" s="1">
        <v>2025</v>
      </c>
      <c r="G35" s="5" t="s">
        <v>9</v>
      </c>
      <c r="H35" s="5">
        <f t="shared" si="3"/>
        <v>1012</v>
      </c>
      <c r="I35" s="5">
        <f t="shared" si="4"/>
        <v>0</v>
      </c>
      <c r="J35" s="5">
        <f>Table1[[#This Row],[Enrolment S.Y. 2025-2026 ]]*8</f>
        <v>1024</v>
      </c>
      <c r="K35" s="5"/>
      <c r="L35" s="1"/>
      <c r="M35" s="5"/>
      <c r="N35" s="5">
        <f t="shared" si="11"/>
        <v>1024</v>
      </c>
      <c r="O35" s="5">
        <f t="shared" si="12"/>
        <v>0</v>
      </c>
      <c r="P35" s="5">
        <f>Table1[[#This Row],[Enrolment S.Y. 2025-2026 ]]*8</f>
        <v>1024</v>
      </c>
      <c r="Q35" s="5"/>
      <c r="R35" s="1"/>
      <c r="S35" s="5"/>
      <c r="T35" s="5">
        <f t="shared" si="13"/>
        <v>1024</v>
      </c>
      <c r="U35" s="5">
        <f t="shared" si="14"/>
        <v>0</v>
      </c>
      <c r="V35" s="5">
        <f>Table1[[#This Row],[Enrolment S.Y. 2025-2026 ]]*8</f>
        <v>1024</v>
      </c>
      <c r="W35" s="5"/>
      <c r="X35" s="1"/>
      <c r="Y35" s="5"/>
      <c r="Z35" s="5">
        <f t="shared" si="15"/>
        <v>1024</v>
      </c>
      <c r="AA35" s="5">
        <f t="shared" si="16"/>
        <v>0</v>
      </c>
    </row>
    <row r="36" spans="1:27" ht="19.5">
      <c r="A36" s="1">
        <v>4</v>
      </c>
      <c r="B36" s="9" t="s">
        <v>16</v>
      </c>
      <c r="C36" s="32">
        <v>128</v>
      </c>
      <c r="D36" s="34">
        <f>Table1[[#This Row],[Enrolment S.Y. 2025-2026 ]]*8</f>
        <v>1024</v>
      </c>
      <c r="E36" s="34">
        <v>472</v>
      </c>
      <c r="F36" s="32">
        <v>2024</v>
      </c>
      <c r="G36" s="5" t="s">
        <v>9</v>
      </c>
      <c r="H36" s="34">
        <f>IF((D36-E36)&lt;0,0,(D36-E36))</f>
        <v>552</v>
      </c>
      <c r="I36" s="34">
        <f>IF((E36-D36)&lt;0,0,(E36-D36))</f>
        <v>0</v>
      </c>
      <c r="J36" s="34">
        <f>Table1[[#This Row],[Enrolment S.Y. 2025-2026 ]]*8</f>
        <v>1024</v>
      </c>
      <c r="K36" s="34"/>
      <c r="L36" s="32"/>
      <c r="M36" s="34"/>
      <c r="N36" s="5">
        <f t="shared" ref="N36" si="21">IF((J36-K36)&lt;0,0,(J36-K36))</f>
        <v>1024</v>
      </c>
      <c r="O36" s="5">
        <f t="shared" ref="O36" si="22">IF((K36-J36)&lt;0,0,(K36-J36))</f>
        <v>0</v>
      </c>
      <c r="P36" s="5">
        <f>Table1[[#This Row],[Enrolment S.Y. 2025-2026 ]]*8</f>
        <v>1024</v>
      </c>
      <c r="Q36" s="34"/>
      <c r="R36" s="32"/>
      <c r="S36" s="34"/>
      <c r="T36" s="34">
        <f>IF((P36-Q36)&lt;0,0,(P36-Q36))</f>
        <v>1024</v>
      </c>
      <c r="U36" s="34">
        <f>IF((Q36-P36)&lt;0,0,(Q36-P36))</f>
        <v>0</v>
      </c>
      <c r="V36" s="34">
        <f>Table1[[#This Row],[Enrolment S.Y. 2025-2026 ]]*8</f>
        <v>1024</v>
      </c>
      <c r="W36" s="34"/>
      <c r="X36" s="32"/>
      <c r="Y36" s="34"/>
      <c r="Z36" s="34">
        <f>IF((V36-W36)&lt;0,0,(V36-W36))</f>
        <v>1024</v>
      </c>
      <c r="AA36" s="34">
        <f>IF((W36-V36)&lt;0,0,(W36-V36))</f>
        <v>0</v>
      </c>
    </row>
    <row r="37" spans="1:27" ht="19.5">
      <c r="A37" s="1">
        <v>4</v>
      </c>
      <c r="B37" s="9" t="s">
        <v>17</v>
      </c>
      <c r="C37" s="1">
        <v>128</v>
      </c>
      <c r="D37" s="5">
        <f>Table1[[#This Row],[Enrolment S.Y. 2025-2026 ]]*8</f>
        <v>1024</v>
      </c>
      <c r="E37" s="5">
        <v>413</v>
      </c>
      <c r="F37" s="1">
        <v>2024</v>
      </c>
      <c r="G37" s="5" t="s">
        <v>9</v>
      </c>
      <c r="H37" s="5">
        <f t="shared" si="3"/>
        <v>611</v>
      </c>
      <c r="I37" s="5">
        <f t="shared" si="4"/>
        <v>0</v>
      </c>
      <c r="J37" s="5">
        <f>Table1[[#This Row],[Enrolment S.Y. 2025-2026 ]]*8</f>
        <v>1024</v>
      </c>
      <c r="K37" s="5"/>
      <c r="L37" s="1"/>
      <c r="M37" s="5"/>
      <c r="N37" s="5">
        <f t="shared" si="11"/>
        <v>1024</v>
      </c>
      <c r="O37" s="5">
        <f t="shared" si="12"/>
        <v>0</v>
      </c>
      <c r="P37" s="5">
        <f>Table1[[#This Row],[Enrolment S.Y. 2025-2026 ]]*8</f>
        <v>1024</v>
      </c>
      <c r="Q37" s="5"/>
      <c r="R37" s="1"/>
      <c r="S37" s="5"/>
      <c r="T37" s="5">
        <f t="shared" si="13"/>
        <v>1024</v>
      </c>
      <c r="U37" s="5">
        <f t="shared" si="14"/>
        <v>0</v>
      </c>
      <c r="V37" s="5">
        <f>Table1[[#This Row],[Enrolment S.Y. 2025-2026 ]]*8</f>
        <v>1024</v>
      </c>
      <c r="W37" s="5"/>
      <c r="X37" s="1"/>
      <c r="Y37" s="5"/>
      <c r="Z37" s="5">
        <f t="shared" si="15"/>
        <v>1024</v>
      </c>
      <c r="AA37" s="5">
        <f t="shared" si="16"/>
        <v>0</v>
      </c>
    </row>
    <row r="38" spans="1:27" ht="19.5">
      <c r="A38" s="1">
        <v>4</v>
      </c>
      <c r="B38" s="9" t="s">
        <v>64</v>
      </c>
      <c r="C38" s="32">
        <v>128</v>
      </c>
      <c r="D38" s="34">
        <f>Table1[[#This Row],[Enrolment S.Y. 2025-2026 ]]*8</f>
        <v>1024</v>
      </c>
      <c r="E38" s="34">
        <v>472</v>
      </c>
      <c r="F38" s="32">
        <v>2024</v>
      </c>
      <c r="G38" s="5" t="s">
        <v>9</v>
      </c>
      <c r="H38" s="34">
        <f>IF((D38-E38)&lt;0,0,(D38-E38))</f>
        <v>552</v>
      </c>
      <c r="I38" s="34">
        <f>IF((E38-D38)&lt;0,0,(E38-D38))</f>
        <v>0</v>
      </c>
      <c r="J38" s="34">
        <f>Table1[[#This Row],[Enrolment S.Y. 2025-2026 ]]*8</f>
        <v>1024</v>
      </c>
      <c r="K38" s="34"/>
      <c r="L38" s="32"/>
      <c r="M38" s="34"/>
      <c r="N38" s="5">
        <f t="shared" ref="N38" si="23">IF((J38-K38)&lt;0,0,(J38-K38))</f>
        <v>1024</v>
      </c>
      <c r="O38" s="5">
        <f t="shared" ref="O38" si="24">IF((K38-J38)&lt;0,0,(K38-J38))</f>
        <v>0</v>
      </c>
      <c r="P38" s="5">
        <f>Table1[[#This Row],[Enrolment S.Y. 2025-2026 ]]*8</f>
        <v>1024</v>
      </c>
      <c r="Q38" s="34"/>
      <c r="R38" s="32"/>
      <c r="S38" s="34"/>
      <c r="T38" s="34">
        <f>IF((P38-Q38)&lt;0,0,(P38-Q38))</f>
        <v>1024</v>
      </c>
      <c r="U38" s="34">
        <f>IF((Q38-P38)&lt;0,0,(Q38-P38))</f>
        <v>0</v>
      </c>
      <c r="V38" s="34">
        <f>Table1[[#This Row],[Enrolment S.Y. 2025-2026 ]]*8</f>
        <v>1024</v>
      </c>
      <c r="W38" s="34"/>
      <c r="X38" s="32"/>
      <c r="Y38" s="34"/>
      <c r="Z38" s="34">
        <f>IF((V38-W38)&lt;0,0,(V38-W38))</f>
        <v>1024</v>
      </c>
      <c r="AA38" s="34">
        <f>IF((W38-V38)&lt;0,0,(W38-V38))</f>
        <v>0</v>
      </c>
    </row>
    <row r="39" spans="1:27" ht="19.5">
      <c r="A39" s="1">
        <v>4</v>
      </c>
      <c r="B39" s="9" t="s">
        <v>14</v>
      </c>
      <c r="C39" s="1">
        <v>128</v>
      </c>
      <c r="D39" s="5">
        <f>Table1[[#This Row],[Enrolment S.Y. 2025-2026 ]]*8</f>
        <v>1024</v>
      </c>
      <c r="E39" s="5">
        <v>472</v>
      </c>
      <c r="F39" s="1">
        <v>2024</v>
      </c>
      <c r="G39" s="5" t="s">
        <v>9</v>
      </c>
      <c r="H39" s="5">
        <f t="shared" si="3"/>
        <v>552</v>
      </c>
      <c r="I39" s="5">
        <f t="shared" si="4"/>
        <v>0</v>
      </c>
      <c r="J39" s="5">
        <f>Table1[[#This Row],[Enrolment S.Y. 2025-2026 ]]*8</f>
        <v>1024</v>
      </c>
      <c r="K39" s="5"/>
      <c r="L39" s="1"/>
      <c r="M39" s="5"/>
      <c r="N39" s="5">
        <f t="shared" si="11"/>
        <v>1024</v>
      </c>
      <c r="O39" s="5">
        <f t="shared" si="12"/>
        <v>0</v>
      </c>
      <c r="P39" s="5">
        <f>Table1[[#This Row],[Enrolment S.Y. 2025-2026 ]]*8</f>
        <v>1024</v>
      </c>
      <c r="Q39" s="5"/>
      <c r="R39" s="1"/>
      <c r="S39" s="5"/>
      <c r="T39" s="5">
        <f t="shared" si="13"/>
        <v>1024</v>
      </c>
      <c r="U39" s="5">
        <f t="shared" si="14"/>
        <v>0</v>
      </c>
      <c r="V39" s="5">
        <f>Table1[[#This Row],[Enrolment S.Y. 2025-2026 ]]*8</f>
        <v>1024</v>
      </c>
      <c r="W39" s="5"/>
      <c r="X39" s="1"/>
      <c r="Y39" s="5"/>
      <c r="Z39" s="5">
        <f t="shared" si="15"/>
        <v>1024</v>
      </c>
      <c r="AA39" s="5">
        <f t="shared" si="16"/>
        <v>0</v>
      </c>
    </row>
    <row r="40" spans="1:27" ht="19.5">
      <c r="A40" s="1">
        <v>4</v>
      </c>
      <c r="B40" s="9" t="s">
        <v>14</v>
      </c>
      <c r="C40" s="32">
        <v>128</v>
      </c>
      <c r="D40" s="34">
        <f>Table1[[#This Row],[Enrolment S.Y. 2025-2026 ]]*8</f>
        <v>1024</v>
      </c>
      <c r="E40" s="34">
        <v>13</v>
      </c>
      <c r="F40" s="32">
        <v>2025</v>
      </c>
      <c r="G40" s="5" t="s">
        <v>9</v>
      </c>
      <c r="H40" s="34">
        <f>IF((D40-E40)&lt;0,0,(D40-E40))</f>
        <v>1011</v>
      </c>
      <c r="I40" s="34">
        <f>IF((E40-D40)&lt;0,0,(E40-D40))</f>
        <v>0</v>
      </c>
      <c r="J40" s="34">
        <f>Table1[[#This Row],[Enrolment S.Y. 2025-2026 ]]*8</f>
        <v>1024</v>
      </c>
      <c r="K40" s="34"/>
      <c r="L40" s="32"/>
      <c r="M40" s="34"/>
      <c r="N40" s="5">
        <f t="shared" ref="N40" si="25">IF((J40-K40)&lt;0,0,(J40-K40))</f>
        <v>1024</v>
      </c>
      <c r="O40" s="5">
        <f t="shared" ref="O40" si="26">IF((K40-J40)&lt;0,0,(K40-J40))</f>
        <v>0</v>
      </c>
      <c r="P40" s="5">
        <f>Table1[[#This Row],[Enrolment S.Y. 2025-2026 ]]*8</f>
        <v>1024</v>
      </c>
      <c r="Q40" s="34"/>
      <c r="R40" s="32"/>
      <c r="S40" s="34"/>
      <c r="T40" s="34">
        <f>IF((P40-Q40)&lt;0,0,(P40-Q40))</f>
        <v>1024</v>
      </c>
      <c r="U40" s="34">
        <f>IF((Q40-P40)&lt;0,0,(Q40-P40))</f>
        <v>0</v>
      </c>
      <c r="V40" s="34">
        <f>Table1[[#This Row],[Enrolment S.Y. 2025-2026 ]]*8</f>
        <v>1024</v>
      </c>
      <c r="W40" s="34"/>
      <c r="X40" s="32"/>
      <c r="Y40" s="34"/>
      <c r="Z40" s="34">
        <f>IF((V40-W40)&lt;0,0,(V40-W40))</f>
        <v>1024</v>
      </c>
      <c r="AA40" s="34">
        <f>IF((W40-V40)&lt;0,0,(W40-V40))</f>
        <v>0</v>
      </c>
    </row>
    <row r="41" spans="1:27" ht="19.5">
      <c r="A41" s="1">
        <v>4</v>
      </c>
      <c r="B41" s="9" t="s">
        <v>11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3"/>
        <v>0</v>
      </c>
      <c r="I41" s="5">
        <f t="shared" si="4"/>
        <v>0</v>
      </c>
      <c r="J41" s="5">
        <f>Table1[[#This Row],[Enrolment S.Y. 2025-2026 ]]*8</f>
        <v>0</v>
      </c>
      <c r="K41" s="5"/>
      <c r="L41" s="1"/>
      <c r="M41" s="5"/>
      <c r="N41" s="5">
        <f t="shared" si="11"/>
        <v>0</v>
      </c>
      <c r="O41" s="5">
        <f t="shared" si="12"/>
        <v>0</v>
      </c>
      <c r="P41" s="5">
        <f>Table1[[#This Row],[Enrolment S.Y. 2025-2026 ]]*8</f>
        <v>0</v>
      </c>
      <c r="Q41" s="5"/>
      <c r="R41" s="1"/>
      <c r="S41" s="5"/>
      <c r="T41" s="5">
        <f t="shared" si="13"/>
        <v>0</v>
      </c>
      <c r="U41" s="5">
        <f t="shared" si="14"/>
        <v>0</v>
      </c>
      <c r="V41" s="5">
        <f>Table1[[#This Row],[Enrolment S.Y. 2025-2026 ]]*8</f>
        <v>0</v>
      </c>
      <c r="W41" s="5"/>
      <c r="X41" s="1"/>
      <c r="Y41" s="5"/>
      <c r="Z41" s="5">
        <f t="shared" si="15"/>
        <v>0</v>
      </c>
      <c r="AA41" s="5">
        <f t="shared" si="16"/>
        <v>0</v>
      </c>
    </row>
    <row r="42" spans="1:27" ht="38.25">
      <c r="A42" s="1">
        <v>4</v>
      </c>
      <c r="B42" s="9" t="s">
        <v>18</v>
      </c>
      <c r="C42" s="1">
        <v>128</v>
      </c>
      <c r="D42" s="5">
        <f>Table1[[#This Row],[Enrolment S.Y. 2025-2026 ]]*8</f>
        <v>1024</v>
      </c>
      <c r="E42" s="5">
        <v>472</v>
      </c>
      <c r="F42" s="1">
        <v>2024</v>
      </c>
      <c r="G42" s="5" t="s">
        <v>9</v>
      </c>
      <c r="H42" s="5">
        <f t="shared" si="3"/>
        <v>552</v>
      </c>
      <c r="I42" s="5">
        <f t="shared" si="4"/>
        <v>0</v>
      </c>
      <c r="J42" s="5">
        <f>Table1[[#This Row],[Enrolment S.Y. 2025-2026 ]]*8</f>
        <v>1024</v>
      </c>
      <c r="K42" s="5"/>
      <c r="L42" s="1"/>
      <c r="M42" s="5"/>
      <c r="N42" s="5">
        <f t="shared" si="11"/>
        <v>1024</v>
      </c>
      <c r="O42" s="5">
        <f t="shared" si="12"/>
        <v>0</v>
      </c>
      <c r="P42" s="5">
        <f>Table1[[#This Row],[Enrolment S.Y. 2025-2026 ]]*8</f>
        <v>1024</v>
      </c>
      <c r="Q42" s="5"/>
      <c r="R42" s="1"/>
      <c r="S42" s="5"/>
      <c r="T42" s="5">
        <f t="shared" si="13"/>
        <v>1024</v>
      </c>
      <c r="U42" s="5">
        <f t="shared" si="14"/>
        <v>0</v>
      </c>
      <c r="V42" s="5">
        <f>Table1[[#This Row],[Enrolment S.Y. 2025-2026 ]]*8</f>
        <v>1024</v>
      </c>
      <c r="W42" s="5"/>
      <c r="X42" s="1"/>
      <c r="Y42" s="5"/>
      <c r="Z42" s="5">
        <f t="shared" si="15"/>
        <v>1024</v>
      </c>
      <c r="AA42" s="5">
        <f t="shared" si="16"/>
        <v>0</v>
      </c>
    </row>
    <row r="43" spans="1:27" ht="19.5">
      <c r="A43" s="1">
        <v>4</v>
      </c>
      <c r="B43" s="9" t="s">
        <v>15</v>
      </c>
      <c r="C43" s="1">
        <v>128</v>
      </c>
      <c r="D43" s="5">
        <f>Table1[[#This Row],[Enrolment S.Y. 2025-2026 ]]*8</f>
        <v>1024</v>
      </c>
      <c r="E43" s="5">
        <v>472</v>
      </c>
      <c r="F43" s="1">
        <v>2024</v>
      </c>
      <c r="G43" s="5" t="s">
        <v>9</v>
      </c>
      <c r="H43" s="5">
        <f t="shared" si="3"/>
        <v>552</v>
      </c>
      <c r="I43" s="5">
        <f t="shared" si="4"/>
        <v>0</v>
      </c>
      <c r="J43" s="5">
        <f>Table1[[#This Row],[Enrolment S.Y. 2025-2026 ]]*8</f>
        <v>1024</v>
      </c>
      <c r="K43" s="5"/>
      <c r="L43" s="1"/>
      <c r="M43" s="5"/>
      <c r="N43" s="5">
        <f t="shared" si="11"/>
        <v>1024</v>
      </c>
      <c r="O43" s="5">
        <f t="shared" si="12"/>
        <v>0</v>
      </c>
      <c r="P43" s="5">
        <f>Table1[[#This Row],[Enrolment S.Y. 2025-2026 ]]*8</f>
        <v>1024</v>
      </c>
      <c r="Q43" s="5"/>
      <c r="R43" s="1"/>
      <c r="S43" s="5"/>
      <c r="T43" s="5">
        <f t="shared" si="13"/>
        <v>1024</v>
      </c>
      <c r="U43" s="5">
        <f t="shared" si="14"/>
        <v>0</v>
      </c>
      <c r="V43" s="5">
        <f>Table1[[#This Row],[Enrolment S.Y. 2025-2026 ]]*8</f>
        <v>1024</v>
      </c>
      <c r="W43" s="5"/>
      <c r="X43" s="1"/>
      <c r="Y43" s="5"/>
      <c r="Z43" s="5">
        <f t="shared" si="15"/>
        <v>1024</v>
      </c>
      <c r="AA43" s="5">
        <f t="shared" si="16"/>
        <v>0</v>
      </c>
    </row>
    <row r="44" spans="1:27" ht="19.5">
      <c r="A44" s="1">
        <v>4</v>
      </c>
      <c r="B44" s="9" t="s">
        <v>15</v>
      </c>
      <c r="C44" s="32">
        <v>128</v>
      </c>
      <c r="D44" s="34">
        <f>Table1[[#This Row],[Enrolment S.Y. 2025-2026 ]]*8</f>
        <v>1024</v>
      </c>
      <c r="E44" s="34">
        <v>14</v>
      </c>
      <c r="F44" s="32">
        <v>2025</v>
      </c>
      <c r="G44" s="5" t="s">
        <v>9</v>
      </c>
      <c r="H44" s="34">
        <f>IF((D44-E44)&lt;0,0,(D44-E44))</f>
        <v>1010</v>
      </c>
      <c r="I44" s="34">
        <f>IF((E44-D44)&lt;0,0,(E44-D44))</f>
        <v>0</v>
      </c>
      <c r="J44" s="34">
        <f>Table1[[#This Row],[Enrolment S.Y. 2025-2026 ]]*8</f>
        <v>1024</v>
      </c>
      <c r="K44" s="34"/>
      <c r="L44" s="32"/>
      <c r="M44" s="34"/>
      <c r="N44" s="5">
        <f t="shared" ref="N44" si="27">IF((J44-K44)&lt;0,0,(J44-K44))</f>
        <v>1024</v>
      </c>
      <c r="O44" s="5">
        <f t="shared" ref="O44" si="28">IF((K44-J44)&lt;0,0,(K44-J44))</f>
        <v>0</v>
      </c>
      <c r="P44" s="5">
        <f>Table1[[#This Row],[Enrolment S.Y. 2025-2026 ]]*8</f>
        <v>1024</v>
      </c>
      <c r="Q44" s="34"/>
      <c r="R44" s="32"/>
      <c r="S44" s="34"/>
      <c r="T44" s="34">
        <f>IF((P44-Q44)&lt;0,0,(P44-Q44))</f>
        <v>1024</v>
      </c>
      <c r="U44" s="34">
        <f>IF((Q44-P44)&lt;0,0,(Q44-P44))</f>
        <v>0</v>
      </c>
      <c r="V44" s="34">
        <f>Table1[[#This Row],[Enrolment S.Y. 2025-2026 ]]*8</f>
        <v>1024</v>
      </c>
      <c r="W44" s="34"/>
      <c r="X44" s="32"/>
      <c r="Y44" s="34"/>
      <c r="Z44" s="34">
        <f>IF((V44-W44)&lt;0,0,(V44-W44))</f>
        <v>1024</v>
      </c>
      <c r="AA44" s="34">
        <f>IF((W44-V44)&lt;0,0,(W44-V44))</f>
        <v>0</v>
      </c>
    </row>
    <row r="45" spans="1:27" ht="19.5">
      <c r="A45" s="1">
        <v>4</v>
      </c>
      <c r="B45" s="9" t="s">
        <v>19</v>
      </c>
      <c r="C45" s="1">
        <v>128</v>
      </c>
      <c r="D45" s="5">
        <f>Table1[[#This Row],[Enrolment S.Y. 2025-2026 ]]*8</f>
        <v>1024</v>
      </c>
      <c r="E45" s="5">
        <v>413</v>
      </c>
      <c r="F45" s="1">
        <v>2024</v>
      </c>
      <c r="G45" s="5" t="s">
        <v>9</v>
      </c>
      <c r="H45" s="5">
        <f t="shared" si="3"/>
        <v>611</v>
      </c>
      <c r="I45" s="5">
        <f t="shared" si="4"/>
        <v>0</v>
      </c>
      <c r="J45" s="5">
        <f>Table1[[#This Row],[Enrolment S.Y. 2025-2026 ]]*8</f>
        <v>1024</v>
      </c>
      <c r="K45" s="5"/>
      <c r="L45" s="1"/>
      <c r="M45" s="5"/>
      <c r="N45" s="5">
        <f t="shared" si="11"/>
        <v>1024</v>
      </c>
      <c r="O45" s="5">
        <f t="shared" si="12"/>
        <v>0</v>
      </c>
      <c r="P45" s="5">
        <f>Table1[[#This Row],[Enrolment S.Y. 2025-2026 ]]*8</f>
        <v>1024</v>
      </c>
      <c r="Q45" s="5"/>
      <c r="R45" s="1"/>
      <c r="S45" s="5"/>
      <c r="T45" s="5">
        <f t="shared" si="13"/>
        <v>1024</v>
      </c>
      <c r="U45" s="5">
        <f t="shared" si="14"/>
        <v>0</v>
      </c>
      <c r="V45" s="5">
        <f>Table1[[#This Row],[Enrolment S.Y. 2025-2026 ]]*8</f>
        <v>1024</v>
      </c>
      <c r="W45" s="5"/>
      <c r="X45" s="1"/>
      <c r="Y45" s="5"/>
      <c r="Z45" s="5">
        <f t="shared" si="15"/>
        <v>1024</v>
      </c>
      <c r="AA45" s="5">
        <f t="shared" si="16"/>
        <v>0</v>
      </c>
    </row>
    <row r="46" spans="1:27" ht="19.5">
      <c r="A46" s="1">
        <v>4</v>
      </c>
      <c r="B46" s="9" t="s">
        <v>20</v>
      </c>
      <c r="C46" s="1">
        <v>128</v>
      </c>
      <c r="D46" s="5">
        <f>Table1[[#This Row],[Enrolment S.Y. 2025-2026 ]]*8</f>
        <v>1024</v>
      </c>
      <c r="E46" s="5">
        <v>472</v>
      </c>
      <c r="F46" s="1">
        <v>2024</v>
      </c>
      <c r="G46" s="5" t="s">
        <v>9</v>
      </c>
      <c r="H46" s="5">
        <f t="shared" si="3"/>
        <v>552</v>
      </c>
      <c r="I46" s="5">
        <f t="shared" si="4"/>
        <v>0</v>
      </c>
      <c r="J46" s="5">
        <f>Table1[[#This Row],[Enrolment S.Y. 2025-2026 ]]*8</f>
        <v>1024</v>
      </c>
      <c r="K46" s="5"/>
      <c r="L46" s="1"/>
      <c r="M46" s="5"/>
      <c r="N46" s="5">
        <f t="shared" si="11"/>
        <v>1024</v>
      </c>
      <c r="O46" s="5">
        <f t="shared" si="12"/>
        <v>0</v>
      </c>
      <c r="P46" s="5">
        <f>Table1[[#This Row],[Enrolment S.Y. 2025-2026 ]]*8</f>
        <v>1024</v>
      </c>
      <c r="Q46" s="5"/>
      <c r="R46" s="1"/>
      <c r="S46" s="5"/>
      <c r="T46" s="5">
        <f t="shared" si="13"/>
        <v>1024</v>
      </c>
      <c r="U46" s="5">
        <f t="shared" si="14"/>
        <v>0</v>
      </c>
      <c r="V46" s="5">
        <f>Table1[[#This Row],[Enrolment S.Y. 2025-2026 ]]*8</f>
        <v>1024</v>
      </c>
      <c r="W46" s="5"/>
      <c r="X46" s="1"/>
      <c r="Y46" s="5"/>
      <c r="Z46" s="5">
        <f t="shared" si="15"/>
        <v>1024</v>
      </c>
      <c r="AA46" s="5">
        <f t="shared" si="16"/>
        <v>0</v>
      </c>
    </row>
    <row r="47" spans="1:27" ht="19.5">
      <c r="A47" s="1">
        <v>4</v>
      </c>
      <c r="B47" s="9" t="s">
        <v>21</v>
      </c>
      <c r="C47" s="1">
        <v>128</v>
      </c>
      <c r="D47" s="5">
        <f>Table1[[#This Row],[Enrolment S.Y. 2025-2026 ]]*8</f>
        <v>1024</v>
      </c>
      <c r="E47" s="5">
        <v>472</v>
      </c>
      <c r="F47" s="1">
        <v>2024</v>
      </c>
      <c r="G47" s="5" t="s">
        <v>9</v>
      </c>
      <c r="H47" s="5">
        <f t="shared" si="3"/>
        <v>552</v>
      </c>
      <c r="I47" s="5">
        <f t="shared" si="4"/>
        <v>0</v>
      </c>
      <c r="J47" s="5">
        <f>Table1[[#This Row],[Enrolment S.Y. 2025-2026 ]]*8</f>
        <v>1024</v>
      </c>
      <c r="K47" s="5"/>
      <c r="L47" s="1"/>
      <c r="M47" s="5"/>
      <c r="N47" s="5">
        <f t="shared" si="11"/>
        <v>1024</v>
      </c>
      <c r="O47" s="5">
        <f t="shared" si="12"/>
        <v>0</v>
      </c>
      <c r="P47" s="5">
        <f>Table1[[#This Row],[Enrolment S.Y. 2025-2026 ]]*8</f>
        <v>1024</v>
      </c>
      <c r="Q47" s="5"/>
      <c r="R47" s="1"/>
      <c r="S47" s="5"/>
      <c r="T47" s="5">
        <f t="shared" si="13"/>
        <v>1024</v>
      </c>
      <c r="U47" s="5">
        <f t="shared" si="14"/>
        <v>0</v>
      </c>
      <c r="V47" s="5">
        <f>Table1[[#This Row],[Enrolment S.Y. 2025-2026 ]]*8</f>
        <v>1024</v>
      </c>
      <c r="W47" s="5"/>
      <c r="X47" s="1"/>
      <c r="Y47" s="5"/>
      <c r="Z47" s="5">
        <f t="shared" si="15"/>
        <v>1024</v>
      </c>
      <c r="AA47" s="5">
        <f t="shared" si="16"/>
        <v>0</v>
      </c>
    </row>
    <row r="48" spans="1:27" ht="21">
      <c r="A48" s="1">
        <v>4</v>
      </c>
      <c r="B48" s="9" t="s">
        <v>21</v>
      </c>
      <c r="C48" s="1">
        <v>128</v>
      </c>
      <c r="D48" s="34">
        <f>Table1[[#This Row],[Enrolment S.Y. 2025-2026 ]]*8</f>
        <v>1024</v>
      </c>
      <c r="E48" s="34"/>
      <c r="F48" s="32"/>
      <c r="G48" s="34"/>
      <c r="H48" s="34">
        <f>IF((D48-E48)&lt;0,0,(D48-E48))</f>
        <v>1024</v>
      </c>
      <c r="I48" s="34">
        <f>IF((E48-D48)&lt;0,0,(E48-D48))</f>
        <v>0</v>
      </c>
      <c r="J48" s="34">
        <f>Table1[[#This Row],[Enrolment S.Y. 2025-2026 ]]*8</f>
        <v>1024</v>
      </c>
      <c r="K48" s="34"/>
      <c r="L48" s="32"/>
      <c r="M48" s="34"/>
      <c r="N48" s="5">
        <f t="shared" ref="N48" si="29">IF((J48-K48)&lt;0,0,(J48-K48))</f>
        <v>1024</v>
      </c>
      <c r="O48" s="5">
        <f t="shared" ref="O48" si="30">IF((K48-J48)&lt;0,0,(K48-J48))</f>
        <v>0</v>
      </c>
      <c r="P48" s="5">
        <f>Table1[[#This Row],[Enrolment S.Y. 2025-2026 ]]*8</f>
        <v>1024</v>
      </c>
      <c r="Q48" s="34">
        <v>139</v>
      </c>
      <c r="R48" s="32">
        <v>2025</v>
      </c>
      <c r="S48" s="34" t="s">
        <v>9</v>
      </c>
      <c r="T48" s="34">
        <f>IF((P48-Q48)&lt;0,0,(P48-Q48))</f>
        <v>885</v>
      </c>
      <c r="U48" s="34">
        <f>IF((Q48-P48)&lt;0,0,(Q48-P48))</f>
        <v>0</v>
      </c>
      <c r="V48" s="34">
        <f>Table1[[#This Row],[Enrolment S.Y. 2025-2026 ]]*8</f>
        <v>1024</v>
      </c>
      <c r="W48" s="34"/>
      <c r="X48" s="32"/>
      <c r="Y48" s="34"/>
      <c r="Z48" s="34">
        <f>IF((V48-W48)&lt;0,0,(V48-W48))</f>
        <v>1024</v>
      </c>
      <c r="AA48" s="34">
        <f>IF((W48-V48)&lt;0,0,(W48-V48))</f>
        <v>0</v>
      </c>
    </row>
    <row r="49" spans="1:27" s="7" customFormat="1" ht="19.149999999999999">
      <c r="J49" s="13"/>
      <c r="M49" s="5"/>
      <c r="N49" s="13"/>
      <c r="O49" s="13"/>
      <c r="P49" s="13"/>
      <c r="S49" s="5"/>
      <c r="T49" s="13"/>
      <c r="U49" s="13"/>
      <c r="V49" s="13"/>
      <c r="Y49" s="5"/>
      <c r="Z49" s="13"/>
      <c r="AA49" s="13"/>
    </row>
    <row r="50" spans="1:27" ht="19.5">
      <c r="A50" s="1">
        <v>5</v>
      </c>
      <c r="B50" s="9" t="s">
        <v>16</v>
      </c>
      <c r="C50" s="1">
        <v>120</v>
      </c>
      <c r="D50" s="5">
        <f>Table1[[#This Row],[Enrolment S.Y. 2025-2026 ]]*8</f>
        <v>960</v>
      </c>
      <c r="E50" s="5">
        <v>82</v>
      </c>
      <c r="F50" s="1">
        <v>2025</v>
      </c>
      <c r="G50" s="5" t="s">
        <v>9</v>
      </c>
      <c r="H50" s="5">
        <f t="shared" si="3"/>
        <v>878</v>
      </c>
      <c r="I50" s="5">
        <f t="shared" si="4"/>
        <v>0</v>
      </c>
      <c r="J50" s="5">
        <f>Table1[[#This Row],[Enrolment S.Y. 2025-2026 ]]*8</f>
        <v>960</v>
      </c>
      <c r="K50" s="5"/>
      <c r="L50" s="1"/>
      <c r="M50" s="5"/>
      <c r="N50" s="5">
        <f t="shared" si="11"/>
        <v>960</v>
      </c>
      <c r="O50" s="5">
        <f t="shared" si="12"/>
        <v>0</v>
      </c>
      <c r="P50" s="5">
        <f>Table1[[#This Row],[Enrolment S.Y. 2025-2026 ]]*8</f>
        <v>960</v>
      </c>
      <c r="Q50" s="5"/>
      <c r="R50" s="1"/>
      <c r="S50" s="5"/>
      <c r="T50" s="5">
        <f t="shared" si="13"/>
        <v>960</v>
      </c>
      <c r="U50" s="5">
        <f t="shared" si="14"/>
        <v>0</v>
      </c>
      <c r="V50" s="5">
        <f>Table1[[#This Row],[Enrolment S.Y. 2025-2026 ]]*8</f>
        <v>960</v>
      </c>
      <c r="W50" s="5"/>
      <c r="X50" s="1"/>
      <c r="Y50" s="5"/>
      <c r="Z50" s="5">
        <f t="shared" si="15"/>
        <v>960</v>
      </c>
      <c r="AA50" s="5">
        <f t="shared" si="16"/>
        <v>0</v>
      </c>
    </row>
    <row r="51" spans="1:27" ht="19.5">
      <c r="A51" s="1">
        <v>5</v>
      </c>
      <c r="B51" s="9" t="s">
        <v>17</v>
      </c>
      <c r="C51" s="1">
        <v>120</v>
      </c>
      <c r="D51" s="5">
        <f>Table1[[#This Row],[Enrolment S.Y. 2025-2026 ]]*8</f>
        <v>960</v>
      </c>
      <c r="E51" s="5">
        <v>82</v>
      </c>
      <c r="F51" s="1">
        <v>2025</v>
      </c>
      <c r="G51" s="5" t="s">
        <v>9</v>
      </c>
      <c r="H51" s="5">
        <f t="shared" si="3"/>
        <v>878</v>
      </c>
      <c r="I51" s="5">
        <f t="shared" si="4"/>
        <v>0</v>
      </c>
      <c r="J51" s="5">
        <f>Table1[[#This Row],[Enrolment S.Y. 2025-2026 ]]*8</f>
        <v>960</v>
      </c>
      <c r="K51" s="5"/>
      <c r="L51" s="1"/>
      <c r="M51" s="5"/>
      <c r="N51" s="5">
        <f t="shared" si="11"/>
        <v>960</v>
      </c>
      <c r="O51" s="5">
        <f t="shared" si="12"/>
        <v>0</v>
      </c>
      <c r="P51" s="5">
        <f>Table1[[#This Row],[Enrolment S.Y. 2025-2026 ]]*8</f>
        <v>960</v>
      </c>
      <c r="Q51" s="5"/>
      <c r="R51" s="1"/>
      <c r="S51" s="5"/>
      <c r="T51" s="5">
        <f t="shared" si="13"/>
        <v>960</v>
      </c>
      <c r="U51" s="5">
        <f t="shared" si="14"/>
        <v>0</v>
      </c>
      <c r="V51" s="5">
        <f>Table1[[#This Row],[Enrolment S.Y. 2025-2026 ]]*8</f>
        <v>960</v>
      </c>
      <c r="W51" s="5"/>
      <c r="X51" s="1"/>
      <c r="Y51" s="5"/>
      <c r="Z51" s="5">
        <f t="shared" si="15"/>
        <v>960</v>
      </c>
      <c r="AA51" s="5">
        <f t="shared" si="16"/>
        <v>0</v>
      </c>
    </row>
    <row r="52" spans="1:27" ht="19.5">
      <c r="A52" s="1">
        <v>5</v>
      </c>
      <c r="B52" s="9" t="s">
        <v>14</v>
      </c>
      <c r="C52" s="1">
        <v>120</v>
      </c>
      <c r="D52" s="5">
        <f>Table1[[#This Row],[Enrolment S.Y. 2025-2026 ]]*8</f>
        <v>960</v>
      </c>
      <c r="E52" s="5">
        <v>82</v>
      </c>
      <c r="F52" s="1">
        <v>2025</v>
      </c>
      <c r="G52" s="5" t="s">
        <v>9</v>
      </c>
      <c r="H52" s="5">
        <f t="shared" si="3"/>
        <v>878</v>
      </c>
      <c r="I52" s="5">
        <f t="shared" si="4"/>
        <v>0</v>
      </c>
      <c r="J52" s="5">
        <f>Table1[[#This Row],[Enrolment S.Y. 2025-2026 ]]*8</f>
        <v>960</v>
      </c>
      <c r="K52" s="5"/>
      <c r="L52" s="1"/>
      <c r="M52" s="5"/>
      <c r="N52" s="5">
        <f t="shared" si="11"/>
        <v>960</v>
      </c>
      <c r="O52" s="5">
        <f t="shared" si="12"/>
        <v>0</v>
      </c>
      <c r="P52" s="5">
        <f>Table1[[#This Row],[Enrolment S.Y. 2025-2026 ]]*8</f>
        <v>960</v>
      </c>
      <c r="Q52" s="5"/>
      <c r="R52" s="1"/>
      <c r="S52" s="5"/>
      <c r="T52" s="5">
        <f t="shared" si="13"/>
        <v>960</v>
      </c>
      <c r="U52" s="5">
        <f t="shared" si="14"/>
        <v>0</v>
      </c>
      <c r="V52" s="5">
        <f>Table1[[#This Row],[Enrolment S.Y. 2025-2026 ]]*8</f>
        <v>960</v>
      </c>
      <c r="W52" s="5"/>
      <c r="X52" s="1"/>
      <c r="Y52" s="5"/>
      <c r="Z52" s="5">
        <f t="shared" si="15"/>
        <v>960</v>
      </c>
      <c r="AA52" s="5">
        <f t="shared" si="16"/>
        <v>0</v>
      </c>
    </row>
    <row r="53" spans="1:27" ht="19.5">
      <c r="A53" s="1">
        <v>5</v>
      </c>
      <c r="B53" s="9" t="s">
        <v>11</v>
      </c>
      <c r="C53" s="1">
        <v>120</v>
      </c>
      <c r="D53" s="5">
        <f>Table1[[#This Row],[Enrolment S.Y. 2025-2026 ]]*8</f>
        <v>960</v>
      </c>
      <c r="E53" s="5">
        <v>82</v>
      </c>
      <c r="F53" s="1">
        <v>2025</v>
      </c>
      <c r="G53" s="5" t="s">
        <v>9</v>
      </c>
      <c r="H53" s="5">
        <f t="shared" si="3"/>
        <v>878</v>
      </c>
      <c r="I53" s="5">
        <f t="shared" si="4"/>
        <v>0</v>
      </c>
      <c r="J53" s="5">
        <f>Table1[[#This Row],[Enrolment S.Y. 2025-2026 ]]*8</f>
        <v>960</v>
      </c>
      <c r="K53" s="5"/>
      <c r="L53" s="1"/>
      <c r="M53" s="5"/>
      <c r="N53" s="5">
        <f t="shared" si="11"/>
        <v>960</v>
      </c>
      <c r="O53" s="5">
        <f t="shared" si="12"/>
        <v>0</v>
      </c>
      <c r="P53" s="5">
        <f>Table1[[#This Row],[Enrolment S.Y. 2025-2026 ]]*8</f>
        <v>960</v>
      </c>
      <c r="Q53" s="5"/>
      <c r="R53" s="1"/>
      <c r="S53" s="5"/>
      <c r="T53" s="5">
        <f t="shared" si="13"/>
        <v>960</v>
      </c>
      <c r="U53" s="5">
        <f t="shared" si="14"/>
        <v>0</v>
      </c>
      <c r="V53" s="5">
        <f>Table1[[#This Row],[Enrolment S.Y. 2025-2026 ]]*8</f>
        <v>960</v>
      </c>
      <c r="W53" s="5"/>
      <c r="X53" s="1"/>
      <c r="Y53" s="5"/>
      <c r="Z53" s="5">
        <f t="shared" si="15"/>
        <v>960</v>
      </c>
      <c r="AA53" s="5">
        <f t="shared" si="16"/>
        <v>0</v>
      </c>
    </row>
    <row r="54" spans="1:27" ht="38.25">
      <c r="A54" s="1">
        <v>5</v>
      </c>
      <c r="B54" s="9" t="s">
        <v>18</v>
      </c>
      <c r="C54" s="1">
        <v>120</v>
      </c>
      <c r="D54" s="5">
        <f>Table1[[#This Row],[Enrolment S.Y. 2025-2026 ]]*8</f>
        <v>960</v>
      </c>
      <c r="E54" s="5">
        <v>82</v>
      </c>
      <c r="F54" s="1">
        <v>2025</v>
      </c>
      <c r="G54" s="5" t="s">
        <v>9</v>
      </c>
      <c r="H54" s="5">
        <f t="shared" si="3"/>
        <v>878</v>
      </c>
      <c r="I54" s="5">
        <f t="shared" si="4"/>
        <v>0</v>
      </c>
      <c r="J54" s="5">
        <f>Table1[[#This Row],[Enrolment S.Y. 2025-2026 ]]*8</f>
        <v>960</v>
      </c>
      <c r="K54" s="5"/>
      <c r="L54" s="1"/>
      <c r="M54" s="5"/>
      <c r="N54" s="5">
        <f t="shared" si="11"/>
        <v>960</v>
      </c>
      <c r="O54" s="5">
        <f t="shared" si="12"/>
        <v>0</v>
      </c>
      <c r="P54" s="5">
        <f>Table1[[#This Row],[Enrolment S.Y. 2025-2026 ]]*8</f>
        <v>960</v>
      </c>
      <c r="Q54" s="5"/>
      <c r="R54" s="1"/>
      <c r="S54" s="5"/>
      <c r="T54" s="5">
        <f t="shared" si="13"/>
        <v>960</v>
      </c>
      <c r="U54" s="5">
        <f t="shared" si="14"/>
        <v>0</v>
      </c>
      <c r="V54" s="5">
        <f>Table1[[#This Row],[Enrolment S.Y. 2025-2026 ]]*8</f>
        <v>960</v>
      </c>
      <c r="W54" s="5"/>
      <c r="X54" s="1"/>
      <c r="Y54" s="5"/>
      <c r="Z54" s="5">
        <f t="shared" si="15"/>
        <v>960</v>
      </c>
      <c r="AA54" s="5">
        <f t="shared" si="16"/>
        <v>0</v>
      </c>
    </row>
    <row r="55" spans="1:27" ht="19.5">
      <c r="A55" s="1">
        <v>5</v>
      </c>
      <c r="B55" s="9" t="s">
        <v>15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3"/>
        <v>0</v>
      </c>
      <c r="I55" s="5">
        <f t="shared" si="4"/>
        <v>0</v>
      </c>
      <c r="J55" s="5">
        <f>Table1[[#This Row],[Enrolment S.Y. 2025-2026 ]]*8</f>
        <v>0</v>
      </c>
      <c r="K55" s="5"/>
      <c r="L55" s="1"/>
      <c r="M55" s="5"/>
      <c r="N55" s="5">
        <f t="shared" si="11"/>
        <v>0</v>
      </c>
      <c r="O55" s="5">
        <f t="shared" si="12"/>
        <v>0</v>
      </c>
      <c r="P55" s="5">
        <f>Table1[[#This Row],[Enrolment S.Y. 2025-2026 ]]*8</f>
        <v>0</v>
      </c>
      <c r="Q55" s="5"/>
      <c r="R55" s="1"/>
      <c r="S55" s="5"/>
      <c r="T55" s="5">
        <f t="shared" si="13"/>
        <v>0</v>
      </c>
      <c r="U55" s="5">
        <f t="shared" si="14"/>
        <v>0</v>
      </c>
      <c r="V55" s="5">
        <f>Table1[[#This Row],[Enrolment S.Y. 2025-2026 ]]*8</f>
        <v>0</v>
      </c>
      <c r="W55" s="5"/>
      <c r="X55" s="1"/>
      <c r="Y55" s="5"/>
      <c r="Z55" s="5">
        <f t="shared" si="15"/>
        <v>0</v>
      </c>
      <c r="AA55" s="5">
        <f t="shared" si="16"/>
        <v>0</v>
      </c>
    </row>
    <row r="56" spans="1:27" ht="19.5">
      <c r="A56" s="1">
        <v>5</v>
      </c>
      <c r="B56" s="9" t="s">
        <v>19</v>
      </c>
      <c r="C56" s="1">
        <v>120</v>
      </c>
      <c r="D56" s="5">
        <f>Table1[[#This Row],[Enrolment S.Y. 2025-2026 ]]*8</f>
        <v>960</v>
      </c>
      <c r="E56" s="5">
        <v>82</v>
      </c>
      <c r="F56" s="1">
        <v>2025</v>
      </c>
      <c r="G56" s="5" t="s">
        <v>9</v>
      </c>
      <c r="H56" s="5">
        <f t="shared" si="3"/>
        <v>878</v>
      </c>
      <c r="I56" s="5">
        <f t="shared" si="4"/>
        <v>0</v>
      </c>
      <c r="J56" s="5">
        <f>Table1[[#This Row],[Enrolment S.Y. 2025-2026 ]]*8</f>
        <v>960</v>
      </c>
      <c r="K56" s="5"/>
      <c r="L56" s="1"/>
      <c r="M56" s="5"/>
      <c r="N56" s="5">
        <f t="shared" si="11"/>
        <v>960</v>
      </c>
      <c r="O56" s="5">
        <f t="shared" si="12"/>
        <v>0</v>
      </c>
      <c r="P56" s="5">
        <f>Table1[[#This Row],[Enrolment S.Y. 2025-2026 ]]*8</f>
        <v>960</v>
      </c>
      <c r="Q56" s="5"/>
      <c r="R56" s="1"/>
      <c r="S56" s="5"/>
      <c r="T56" s="5">
        <f t="shared" si="13"/>
        <v>960</v>
      </c>
      <c r="U56" s="5">
        <f t="shared" si="14"/>
        <v>0</v>
      </c>
      <c r="V56" s="5">
        <f>Table1[[#This Row],[Enrolment S.Y. 2025-2026 ]]*8</f>
        <v>960</v>
      </c>
      <c r="W56" s="5"/>
      <c r="X56" s="1"/>
      <c r="Y56" s="5"/>
      <c r="Z56" s="5">
        <f t="shared" si="15"/>
        <v>960</v>
      </c>
      <c r="AA56" s="5">
        <f t="shared" si="16"/>
        <v>0</v>
      </c>
    </row>
    <row r="57" spans="1:27" ht="19.5">
      <c r="A57" s="1">
        <v>5</v>
      </c>
      <c r="B57" s="9" t="s">
        <v>20</v>
      </c>
      <c r="C57" s="1">
        <v>120</v>
      </c>
      <c r="D57" s="5">
        <f>Table1[[#This Row],[Enrolment S.Y. 2025-2026 ]]*8</f>
        <v>960</v>
      </c>
      <c r="E57" s="5">
        <v>82</v>
      </c>
      <c r="F57" s="1">
        <v>2025</v>
      </c>
      <c r="G57" s="5" t="s">
        <v>9</v>
      </c>
      <c r="H57" s="5">
        <f t="shared" si="3"/>
        <v>878</v>
      </c>
      <c r="I57" s="5">
        <f t="shared" si="4"/>
        <v>0</v>
      </c>
      <c r="J57" s="5">
        <f>Table1[[#This Row],[Enrolment S.Y. 2025-2026 ]]*8</f>
        <v>960</v>
      </c>
      <c r="K57" s="5"/>
      <c r="L57" s="1"/>
      <c r="M57" s="5"/>
      <c r="N57" s="5">
        <f t="shared" si="11"/>
        <v>960</v>
      </c>
      <c r="O57" s="5">
        <f t="shared" si="12"/>
        <v>0</v>
      </c>
      <c r="P57" s="5">
        <f>Table1[[#This Row],[Enrolment S.Y. 2025-2026 ]]*8</f>
        <v>960</v>
      </c>
      <c r="Q57" s="5"/>
      <c r="R57" s="1"/>
      <c r="S57" s="5"/>
      <c r="T57" s="5">
        <f t="shared" si="13"/>
        <v>960</v>
      </c>
      <c r="U57" s="5">
        <f t="shared" si="14"/>
        <v>0</v>
      </c>
      <c r="V57" s="5">
        <f>Table1[[#This Row],[Enrolment S.Y. 2025-2026 ]]*8</f>
        <v>960</v>
      </c>
      <c r="W57" s="5"/>
      <c r="X57" s="1"/>
      <c r="Y57" s="5"/>
      <c r="Z57" s="5">
        <f t="shared" si="15"/>
        <v>960</v>
      </c>
      <c r="AA57" s="5">
        <f t="shared" si="16"/>
        <v>0</v>
      </c>
    </row>
    <row r="58" spans="1:27" ht="19.5">
      <c r="A58" s="1">
        <v>5</v>
      </c>
      <c r="B58" s="9" t="s">
        <v>21</v>
      </c>
      <c r="C58" s="1">
        <v>120</v>
      </c>
      <c r="D58" s="5">
        <f>Table1[[#This Row],[Enrolment S.Y. 2025-2026 ]]*8</f>
        <v>960</v>
      </c>
      <c r="E58" s="5">
        <v>82</v>
      </c>
      <c r="F58" s="1">
        <v>2025</v>
      </c>
      <c r="G58" s="5" t="s">
        <v>9</v>
      </c>
      <c r="H58" s="5">
        <f t="shared" si="3"/>
        <v>878</v>
      </c>
      <c r="I58" s="5">
        <f t="shared" si="4"/>
        <v>0</v>
      </c>
      <c r="J58" s="5">
        <f>Table1[[#This Row],[Enrolment S.Y. 2025-2026 ]]*8</f>
        <v>960</v>
      </c>
      <c r="K58" s="5"/>
      <c r="L58" s="1"/>
      <c r="M58" s="5"/>
      <c r="N58" s="5">
        <f t="shared" si="11"/>
        <v>960</v>
      </c>
      <c r="O58" s="5">
        <f t="shared" si="12"/>
        <v>0</v>
      </c>
      <c r="P58" s="5">
        <f>Table1[[#This Row],[Enrolment S.Y. 2025-2026 ]]*8</f>
        <v>960</v>
      </c>
      <c r="Q58" s="5"/>
      <c r="R58" s="1"/>
      <c r="S58" s="5"/>
      <c r="T58" s="5">
        <f t="shared" si="13"/>
        <v>960</v>
      </c>
      <c r="U58" s="5">
        <f t="shared" si="14"/>
        <v>0</v>
      </c>
      <c r="V58" s="5">
        <f>Table1[[#This Row],[Enrolment S.Y. 2025-2026 ]]*8</f>
        <v>960</v>
      </c>
      <c r="W58" s="5"/>
      <c r="X58" s="1"/>
      <c r="Y58" s="5"/>
      <c r="Z58" s="5">
        <f t="shared" si="15"/>
        <v>960</v>
      </c>
      <c r="AA58" s="5">
        <f t="shared" si="16"/>
        <v>0</v>
      </c>
    </row>
    <row r="59" spans="1:27" s="7" customFormat="1" ht="19.149999999999999">
      <c r="J59" s="13"/>
      <c r="M59" s="5"/>
      <c r="N59" s="13"/>
      <c r="O59" s="13"/>
      <c r="P59" s="13"/>
      <c r="S59" s="5"/>
      <c r="T59" s="13"/>
      <c r="U59" s="13"/>
      <c r="V59" s="13"/>
      <c r="Y59" s="5"/>
      <c r="Z59" s="13"/>
      <c r="AA59" s="13"/>
    </row>
    <row r="60" spans="1:27" ht="19.149999999999999">
      <c r="A60" s="1">
        <v>6</v>
      </c>
      <c r="B60" s="9" t="s">
        <v>16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3"/>
        <v>0</v>
      </c>
      <c r="I60" s="5">
        <f t="shared" si="4"/>
        <v>0</v>
      </c>
      <c r="J60" s="5">
        <f>Table1[[#This Row],[Enrolment S.Y. 2025-2026 ]]*8</f>
        <v>0</v>
      </c>
      <c r="K60" s="5"/>
      <c r="L60" s="1"/>
      <c r="M60" s="5"/>
      <c r="N60" s="5">
        <f t="shared" si="11"/>
        <v>0</v>
      </c>
      <c r="O60" s="5">
        <f t="shared" si="12"/>
        <v>0</v>
      </c>
      <c r="P60" s="5">
        <f>Table1[[#This Row],[Enrolment S.Y. 2025-2026 ]]*8</f>
        <v>0</v>
      </c>
      <c r="Q60" s="5"/>
      <c r="R60" s="1"/>
      <c r="S60" s="5"/>
      <c r="T60" s="5">
        <f t="shared" si="13"/>
        <v>0</v>
      </c>
      <c r="U60" s="5">
        <f t="shared" si="14"/>
        <v>0</v>
      </c>
      <c r="V60" s="5">
        <f>Table1[[#This Row],[Enrolment S.Y. 2025-2026 ]]*8</f>
        <v>0</v>
      </c>
      <c r="W60" s="5"/>
      <c r="X60" s="1"/>
      <c r="Y60" s="5"/>
      <c r="Z60" s="5">
        <f t="shared" si="15"/>
        <v>0</v>
      </c>
      <c r="AA60" s="5">
        <f t="shared" si="16"/>
        <v>0</v>
      </c>
    </row>
    <row r="61" spans="1:27" ht="19.149999999999999">
      <c r="A61" s="1">
        <v>6</v>
      </c>
      <c r="B61" s="9" t="s">
        <v>17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3"/>
        <v>0</v>
      </c>
      <c r="I61" s="5">
        <f t="shared" si="4"/>
        <v>0</v>
      </c>
      <c r="J61" s="5">
        <f>Table1[[#This Row],[Enrolment S.Y. 2025-2026 ]]*8</f>
        <v>0</v>
      </c>
      <c r="K61" s="5"/>
      <c r="L61" s="1"/>
      <c r="M61" s="5"/>
      <c r="N61" s="5">
        <f t="shared" si="11"/>
        <v>0</v>
      </c>
      <c r="O61" s="5">
        <f t="shared" si="12"/>
        <v>0</v>
      </c>
      <c r="P61" s="5">
        <f>Table1[[#This Row],[Enrolment S.Y. 2025-2026 ]]*8</f>
        <v>0</v>
      </c>
      <c r="Q61" s="5"/>
      <c r="R61" s="1"/>
      <c r="S61" s="5"/>
      <c r="T61" s="5">
        <f t="shared" si="13"/>
        <v>0</v>
      </c>
      <c r="U61" s="5">
        <f t="shared" si="14"/>
        <v>0</v>
      </c>
      <c r="V61" s="5">
        <f>Table1[[#This Row],[Enrolment S.Y. 2025-2026 ]]*8</f>
        <v>0</v>
      </c>
      <c r="W61" s="5"/>
      <c r="X61" s="1"/>
      <c r="Y61" s="5"/>
      <c r="Z61" s="5">
        <f t="shared" si="15"/>
        <v>0</v>
      </c>
      <c r="AA61" s="5">
        <f t="shared" si="16"/>
        <v>0</v>
      </c>
    </row>
    <row r="62" spans="1:27" ht="19.149999999999999">
      <c r="A62" s="1">
        <v>6</v>
      </c>
      <c r="B62" s="9" t="s">
        <v>14</v>
      </c>
      <c r="C62" s="1"/>
      <c r="D62" s="5">
        <f>Table1[[#This Row],[Enrolment S.Y. 2025-2026 ]]*8</f>
        <v>0</v>
      </c>
      <c r="E62" s="5"/>
      <c r="F62" s="1"/>
      <c r="G62" s="5"/>
      <c r="H62" s="5">
        <f t="shared" si="3"/>
        <v>0</v>
      </c>
      <c r="I62" s="5">
        <f t="shared" si="4"/>
        <v>0</v>
      </c>
      <c r="J62" s="5">
        <f>Table1[[#This Row],[Enrolment S.Y. 2025-2026 ]]*8</f>
        <v>0</v>
      </c>
      <c r="K62" s="5"/>
      <c r="L62" s="1"/>
      <c r="M62" s="5"/>
      <c r="N62" s="5">
        <f t="shared" si="11"/>
        <v>0</v>
      </c>
      <c r="O62" s="5">
        <f t="shared" si="12"/>
        <v>0</v>
      </c>
      <c r="P62" s="5">
        <f>Table1[[#This Row],[Enrolment S.Y. 2025-2026 ]]*8</f>
        <v>0</v>
      </c>
      <c r="Q62" s="5"/>
      <c r="R62" s="1"/>
      <c r="S62" s="5"/>
      <c r="T62" s="5">
        <f t="shared" si="13"/>
        <v>0</v>
      </c>
      <c r="U62" s="5">
        <f t="shared" si="14"/>
        <v>0</v>
      </c>
      <c r="V62" s="5">
        <f>Table1[[#This Row],[Enrolment S.Y. 2025-2026 ]]*8</f>
        <v>0</v>
      </c>
      <c r="W62" s="5"/>
      <c r="X62" s="1"/>
      <c r="Y62" s="5"/>
      <c r="Z62" s="5">
        <f t="shared" si="15"/>
        <v>0</v>
      </c>
      <c r="AA62" s="5">
        <f t="shared" si="16"/>
        <v>0</v>
      </c>
    </row>
    <row r="63" spans="1:27" ht="19.149999999999999">
      <c r="A63" s="1">
        <v>6</v>
      </c>
      <c r="B63" s="9" t="s">
        <v>11</v>
      </c>
      <c r="C63" s="1"/>
      <c r="D63" s="5">
        <f>Table1[[#This Row],[Enrolment S.Y. 2025-2026 ]]*8</f>
        <v>0</v>
      </c>
      <c r="E63" s="5"/>
      <c r="F63" s="1"/>
      <c r="G63" s="5"/>
      <c r="H63" s="5">
        <f t="shared" si="3"/>
        <v>0</v>
      </c>
      <c r="I63" s="5">
        <f t="shared" si="4"/>
        <v>0</v>
      </c>
      <c r="J63" s="5">
        <f>Table1[[#This Row],[Enrolment S.Y. 2025-2026 ]]*8</f>
        <v>0</v>
      </c>
      <c r="K63" s="5"/>
      <c r="L63" s="1"/>
      <c r="M63" s="5"/>
      <c r="N63" s="5">
        <f t="shared" si="11"/>
        <v>0</v>
      </c>
      <c r="O63" s="5">
        <f t="shared" si="12"/>
        <v>0</v>
      </c>
      <c r="P63" s="5">
        <f>Table1[[#This Row],[Enrolment S.Y. 2025-2026 ]]*8</f>
        <v>0</v>
      </c>
      <c r="Q63" s="5"/>
      <c r="R63" s="1"/>
      <c r="S63" s="5"/>
      <c r="T63" s="5">
        <f t="shared" si="13"/>
        <v>0</v>
      </c>
      <c r="U63" s="5">
        <f t="shared" si="14"/>
        <v>0</v>
      </c>
      <c r="V63" s="5">
        <f>Table1[[#This Row],[Enrolment S.Y. 2025-2026 ]]*8</f>
        <v>0</v>
      </c>
      <c r="W63" s="5"/>
      <c r="X63" s="1"/>
      <c r="Y63" s="5"/>
      <c r="Z63" s="5">
        <f t="shared" si="15"/>
        <v>0</v>
      </c>
      <c r="AA63" s="5">
        <f t="shared" si="16"/>
        <v>0</v>
      </c>
    </row>
    <row r="64" spans="1:27" ht="19.149999999999999">
      <c r="A64" s="1">
        <v>6</v>
      </c>
      <c r="B64" s="9" t="s">
        <v>18</v>
      </c>
      <c r="C64" s="1"/>
      <c r="D64" s="5">
        <f>Table1[[#This Row],[Enrolment S.Y. 2025-2026 ]]*8</f>
        <v>0</v>
      </c>
      <c r="E64" s="5"/>
      <c r="F64" s="1"/>
      <c r="G64" s="5"/>
      <c r="H64" s="5">
        <f t="shared" si="3"/>
        <v>0</v>
      </c>
      <c r="I64" s="5">
        <f t="shared" si="4"/>
        <v>0</v>
      </c>
      <c r="J64" s="5">
        <f>Table1[[#This Row],[Enrolment S.Y. 2025-2026 ]]*8</f>
        <v>0</v>
      </c>
      <c r="K64" s="5"/>
      <c r="L64" s="1"/>
      <c r="M64" s="5"/>
      <c r="N64" s="5">
        <f t="shared" si="11"/>
        <v>0</v>
      </c>
      <c r="O64" s="5">
        <f t="shared" si="12"/>
        <v>0</v>
      </c>
      <c r="P64" s="5">
        <f>Table1[[#This Row],[Enrolment S.Y. 2025-2026 ]]*8</f>
        <v>0</v>
      </c>
      <c r="Q64" s="5"/>
      <c r="R64" s="1"/>
      <c r="S64" s="5"/>
      <c r="T64" s="5">
        <f t="shared" si="13"/>
        <v>0</v>
      </c>
      <c r="U64" s="5">
        <f t="shared" si="14"/>
        <v>0</v>
      </c>
      <c r="V64" s="5">
        <f>Table1[[#This Row],[Enrolment S.Y. 2025-2026 ]]*8</f>
        <v>0</v>
      </c>
      <c r="W64" s="5"/>
      <c r="X64" s="1"/>
      <c r="Y64" s="5"/>
      <c r="Z64" s="5">
        <f t="shared" si="15"/>
        <v>0</v>
      </c>
      <c r="AA64" s="5">
        <f t="shared" si="16"/>
        <v>0</v>
      </c>
    </row>
    <row r="65" spans="1:27" ht="19.149999999999999">
      <c r="A65" s="1">
        <v>6</v>
      </c>
      <c r="B65" s="9" t="s">
        <v>15</v>
      </c>
      <c r="C65" s="1"/>
      <c r="D65" s="5">
        <f>Table1[[#This Row],[Enrolment S.Y. 2025-2026 ]]*8</f>
        <v>0</v>
      </c>
      <c r="E65" s="5"/>
      <c r="F65" s="1"/>
      <c r="G65" s="5"/>
      <c r="H65" s="5">
        <f t="shared" si="3"/>
        <v>0</v>
      </c>
      <c r="I65" s="5">
        <f t="shared" si="4"/>
        <v>0</v>
      </c>
      <c r="J65" s="5">
        <f>Table1[[#This Row],[Enrolment S.Y. 2025-2026 ]]*8</f>
        <v>0</v>
      </c>
      <c r="K65" s="5"/>
      <c r="L65" s="1"/>
      <c r="M65" s="5"/>
      <c r="N65" s="5">
        <f t="shared" si="11"/>
        <v>0</v>
      </c>
      <c r="O65" s="5">
        <f t="shared" si="12"/>
        <v>0</v>
      </c>
      <c r="P65" s="5">
        <f>Table1[[#This Row],[Enrolment S.Y. 2025-2026 ]]*8</f>
        <v>0</v>
      </c>
      <c r="Q65" s="5"/>
      <c r="R65" s="1"/>
      <c r="S65" s="5"/>
      <c r="T65" s="5">
        <f t="shared" si="13"/>
        <v>0</v>
      </c>
      <c r="U65" s="5">
        <f t="shared" si="14"/>
        <v>0</v>
      </c>
      <c r="V65" s="5">
        <f>Table1[[#This Row],[Enrolment S.Y. 2025-2026 ]]*8</f>
        <v>0</v>
      </c>
      <c r="W65" s="5"/>
      <c r="X65" s="1"/>
      <c r="Y65" s="5"/>
      <c r="Z65" s="5">
        <f t="shared" si="15"/>
        <v>0</v>
      </c>
      <c r="AA65" s="5">
        <f t="shared" si="16"/>
        <v>0</v>
      </c>
    </row>
    <row r="66" spans="1:27" ht="19.149999999999999">
      <c r="A66" s="1">
        <v>6</v>
      </c>
      <c r="B66" s="9" t="s">
        <v>19</v>
      </c>
      <c r="C66" s="1"/>
      <c r="D66" s="5">
        <f>Table1[[#This Row],[Enrolment S.Y. 2025-2026 ]]*8</f>
        <v>0</v>
      </c>
      <c r="E66" s="5"/>
      <c r="F66" s="1"/>
      <c r="G66" s="5"/>
      <c r="H66" s="5">
        <f t="shared" si="3"/>
        <v>0</v>
      </c>
      <c r="I66" s="5">
        <f t="shared" si="4"/>
        <v>0</v>
      </c>
      <c r="J66" s="5">
        <f>Table1[[#This Row],[Enrolment S.Y. 2025-2026 ]]*8</f>
        <v>0</v>
      </c>
      <c r="K66" s="5"/>
      <c r="L66" s="1"/>
      <c r="M66" s="5"/>
      <c r="N66" s="5">
        <f t="shared" si="11"/>
        <v>0</v>
      </c>
      <c r="O66" s="5">
        <f t="shared" si="12"/>
        <v>0</v>
      </c>
      <c r="P66" s="5">
        <f>Table1[[#This Row],[Enrolment S.Y. 2025-2026 ]]*8</f>
        <v>0</v>
      </c>
      <c r="Q66" s="5"/>
      <c r="R66" s="1"/>
      <c r="S66" s="5"/>
      <c r="T66" s="5">
        <f t="shared" si="13"/>
        <v>0</v>
      </c>
      <c r="U66" s="5">
        <f t="shared" si="14"/>
        <v>0</v>
      </c>
      <c r="V66" s="5">
        <f>Table1[[#This Row],[Enrolment S.Y. 2025-2026 ]]*8</f>
        <v>0</v>
      </c>
      <c r="W66" s="5"/>
      <c r="X66" s="1"/>
      <c r="Y66" s="5"/>
      <c r="Z66" s="5">
        <f t="shared" si="15"/>
        <v>0</v>
      </c>
      <c r="AA66" s="5">
        <f t="shared" si="16"/>
        <v>0</v>
      </c>
    </row>
    <row r="67" spans="1:27" ht="19.149999999999999">
      <c r="A67" s="1">
        <v>6</v>
      </c>
      <c r="B67" s="9" t="s">
        <v>20</v>
      </c>
      <c r="C67" s="1"/>
      <c r="D67" s="5">
        <f>Table1[[#This Row],[Enrolment S.Y. 2025-2026 ]]*8</f>
        <v>0</v>
      </c>
      <c r="E67" s="5"/>
      <c r="F67" s="1"/>
      <c r="G67" s="5"/>
      <c r="H67" s="5">
        <f t="shared" si="3"/>
        <v>0</v>
      </c>
      <c r="I67" s="5">
        <f t="shared" si="4"/>
        <v>0</v>
      </c>
      <c r="J67" s="5">
        <f>Table1[[#This Row],[Enrolment S.Y. 2025-2026 ]]*8</f>
        <v>0</v>
      </c>
      <c r="K67" s="5"/>
      <c r="L67" s="1"/>
      <c r="M67" s="5"/>
      <c r="N67" s="5">
        <f t="shared" si="11"/>
        <v>0</v>
      </c>
      <c r="O67" s="5">
        <f t="shared" si="12"/>
        <v>0</v>
      </c>
      <c r="P67" s="5">
        <f>Table1[[#This Row],[Enrolment S.Y. 2025-2026 ]]*8</f>
        <v>0</v>
      </c>
      <c r="Q67" s="5"/>
      <c r="R67" s="1"/>
      <c r="S67" s="5"/>
      <c r="T67" s="5">
        <f t="shared" si="13"/>
        <v>0</v>
      </c>
      <c r="U67" s="5">
        <f t="shared" si="14"/>
        <v>0</v>
      </c>
      <c r="V67" s="5">
        <f>Table1[[#This Row],[Enrolment S.Y. 2025-2026 ]]*8</f>
        <v>0</v>
      </c>
      <c r="W67" s="5"/>
      <c r="X67" s="1"/>
      <c r="Y67" s="5"/>
      <c r="Z67" s="5">
        <f t="shared" si="15"/>
        <v>0</v>
      </c>
      <c r="AA67" s="5">
        <f t="shared" si="16"/>
        <v>0</v>
      </c>
    </row>
    <row r="68" spans="1:27" ht="19.149999999999999">
      <c r="A68" s="1">
        <v>6</v>
      </c>
      <c r="B68" s="9" t="s">
        <v>21</v>
      </c>
      <c r="C68" s="1"/>
      <c r="D68" s="5">
        <f>Table1[[#This Row],[Enrolment S.Y. 2025-2026 ]]*8</f>
        <v>0</v>
      </c>
      <c r="E68" s="5"/>
      <c r="F68" s="1"/>
      <c r="G68" s="5"/>
      <c r="H68" s="5">
        <f t="shared" si="3"/>
        <v>0</v>
      </c>
      <c r="I68" s="5">
        <f t="shared" si="4"/>
        <v>0</v>
      </c>
      <c r="J68" s="5">
        <f>Table1[[#This Row],[Enrolment S.Y. 2025-2026 ]]*8</f>
        <v>0</v>
      </c>
      <c r="K68" s="5"/>
      <c r="L68" s="1"/>
      <c r="M68" s="5"/>
      <c r="N68" s="5">
        <f t="shared" si="11"/>
        <v>0</v>
      </c>
      <c r="O68" s="5">
        <f t="shared" si="12"/>
        <v>0</v>
      </c>
      <c r="P68" s="5">
        <f>Table1[[#This Row],[Enrolment S.Y. 2025-2026 ]]*8</f>
        <v>0</v>
      </c>
      <c r="Q68" s="5"/>
      <c r="R68" s="1"/>
      <c r="S68" s="5"/>
      <c r="T68" s="5">
        <f t="shared" si="13"/>
        <v>0</v>
      </c>
      <c r="U68" s="5">
        <f t="shared" si="14"/>
        <v>0</v>
      </c>
      <c r="V68" s="5">
        <f>Table1[[#This Row],[Enrolment S.Y. 2025-2026 ]]*8</f>
        <v>0</v>
      </c>
      <c r="W68" s="5"/>
      <c r="X68" s="1"/>
      <c r="Y68" s="5"/>
      <c r="Z68" s="5">
        <f t="shared" si="15"/>
        <v>0</v>
      </c>
      <c r="AA68" s="5">
        <f t="shared" si="16"/>
        <v>0</v>
      </c>
    </row>
    <row r="69" spans="1:27" s="7" customFormat="1" ht="19.149999999999999">
      <c r="J69" s="13"/>
      <c r="M69" s="5"/>
      <c r="N69" s="13"/>
      <c r="O69" s="13"/>
      <c r="P69" s="13"/>
      <c r="S69" s="5"/>
      <c r="T69" s="13"/>
      <c r="U69" s="13"/>
      <c r="V69" s="13"/>
      <c r="Y69" s="5"/>
      <c r="Z69" s="13"/>
      <c r="AA69" s="13"/>
    </row>
    <row r="70" spans="1:27" ht="19.149999999999999">
      <c r="A70" s="10">
        <v>7</v>
      </c>
      <c r="B70" s="11" t="s">
        <v>16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3"/>
        <v>0</v>
      </c>
      <c r="I70" s="12">
        <f t="shared" si="4"/>
        <v>0</v>
      </c>
      <c r="J70" s="12">
        <f>Table1[[#This Row],[Enrolment S.Y. 2025-2026 ]]*8</f>
        <v>0</v>
      </c>
      <c r="K70" s="12"/>
      <c r="L70" s="10"/>
      <c r="M70" s="12"/>
      <c r="N70" s="12">
        <f t="shared" si="11"/>
        <v>0</v>
      </c>
      <c r="O70" s="12">
        <f t="shared" si="12"/>
        <v>0</v>
      </c>
      <c r="P70" s="12">
        <f>Table1[[#This Row],[Enrolment S.Y. 2025-2026 ]]*8</f>
        <v>0</v>
      </c>
      <c r="Q70" s="12"/>
      <c r="R70" s="10"/>
      <c r="S70" s="12"/>
      <c r="T70" s="12">
        <f t="shared" si="13"/>
        <v>0</v>
      </c>
      <c r="U70" s="12">
        <f t="shared" si="14"/>
        <v>0</v>
      </c>
      <c r="V70" s="12">
        <f>Table1[[#This Row],[Enrolment S.Y. 2025-2026 ]]*8</f>
        <v>0</v>
      </c>
      <c r="W70" s="12"/>
      <c r="X70" s="10"/>
      <c r="Y70" s="12"/>
      <c r="Z70" s="12">
        <f t="shared" si="15"/>
        <v>0</v>
      </c>
      <c r="AA70" s="12">
        <f t="shared" si="16"/>
        <v>0</v>
      </c>
    </row>
    <row r="71" spans="1:27" ht="19.149999999999999">
      <c r="A71" s="10">
        <v>7</v>
      </c>
      <c r="B71" s="11" t="s">
        <v>17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3"/>
        <v>0</v>
      </c>
      <c r="I71" s="12">
        <f t="shared" si="4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1"/>
        <v>0</v>
      </c>
      <c r="O71" s="12">
        <f t="shared" si="12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3"/>
        <v>0</v>
      </c>
      <c r="U71" s="12">
        <f t="shared" si="14"/>
        <v>0</v>
      </c>
      <c r="V71" s="12">
        <f>Table1[[#This Row],[Enrolment S.Y. 2025-2026 ]]*8</f>
        <v>0</v>
      </c>
      <c r="W71" s="12"/>
      <c r="X71" s="10"/>
      <c r="Y71" s="12"/>
      <c r="Z71" s="12">
        <f t="shared" si="15"/>
        <v>0</v>
      </c>
      <c r="AA71" s="12">
        <f t="shared" si="16"/>
        <v>0</v>
      </c>
    </row>
    <row r="72" spans="1:27" ht="19.149999999999999">
      <c r="A72" s="10">
        <v>7</v>
      </c>
      <c r="B72" s="11" t="s">
        <v>14</v>
      </c>
      <c r="C72" s="10"/>
      <c r="D72" s="12">
        <f>Table1[[#This Row],[Enrolment S.Y. 2025-2026 ]]*8</f>
        <v>0</v>
      </c>
      <c r="E72" s="12"/>
      <c r="F72" s="10"/>
      <c r="G72" s="12"/>
      <c r="H72" s="12">
        <f t="shared" si="3"/>
        <v>0</v>
      </c>
      <c r="I72" s="12">
        <f t="shared" si="4"/>
        <v>0</v>
      </c>
      <c r="J72" s="12">
        <f>Table1[[#This Row],[Enrolment S.Y. 2025-2026 ]]*8</f>
        <v>0</v>
      </c>
      <c r="K72" s="12"/>
      <c r="L72" s="10"/>
      <c r="M72" s="12"/>
      <c r="N72" s="12">
        <f t="shared" si="11"/>
        <v>0</v>
      </c>
      <c r="O72" s="12">
        <f t="shared" si="12"/>
        <v>0</v>
      </c>
      <c r="P72" s="12">
        <f>Table1[[#This Row],[Enrolment S.Y. 2025-2026 ]]*8</f>
        <v>0</v>
      </c>
      <c r="Q72" s="12"/>
      <c r="R72" s="10"/>
      <c r="S72" s="12"/>
      <c r="T72" s="12">
        <f t="shared" si="13"/>
        <v>0</v>
      </c>
      <c r="U72" s="12">
        <f t="shared" si="14"/>
        <v>0</v>
      </c>
      <c r="V72" s="12">
        <f>Table1[[#This Row],[Enrolment S.Y. 2025-2026 ]]*8</f>
        <v>0</v>
      </c>
      <c r="W72" s="12"/>
      <c r="X72" s="10"/>
      <c r="Y72" s="12"/>
      <c r="Z72" s="12">
        <f t="shared" si="15"/>
        <v>0</v>
      </c>
      <c r="AA72" s="12">
        <f t="shared" si="16"/>
        <v>0</v>
      </c>
    </row>
    <row r="73" spans="1:27" ht="19.149999999999999">
      <c r="A73" s="10">
        <v>7</v>
      </c>
      <c r="B73" s="11" t="s">
        <v>22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3"/>
        <v>0</v>
      </c>
      <c r="I73" s="12">
        <f t="shared" si="4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1"/>
        <v>0</v>
      </c>
      <c r="O73" s="12">
        <f t="shared" si="12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3"/>
        <v>0</v>
      </c>
      <c r="U73" s="12">
        <f t="shared" si="14"/>
        <v>0</v>
      </c>
      <c r="V73" s="12">
        <f>Table1[[#This Row],[Enrolment S.Y. 2025-2026 ]]*8</f>
        <v>0</v>
      </c>
      <c r="W73" s="12"/>
      <c r="X73" s="10"/>
      <c r="Y73" s="12"/>
      <c r="Z73" s="12">
        <f t="shared" si="15"/>
        <v>0</v>
      </c>
      <c r="AA73" s="12">
        <f t="shared" si="16"/>
        <v>0</v>
      </c>
    </row>
    <row r="74" spans="1:27" ht="19.149999999999999">
      <c r="A74" s="10">
        <v>7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3"/>
        <v>0</v>
      </c>
      <c r="I74" s="12">
        <f t="shared" si="4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1"/>
        <v>0</v>
      </c>
      <c r="O74" s="12">
        <f t="shared" si="12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3"/>
        <v>0</v>
      </c>
      <c r="U74" s="12">
        <f t="shared" si="14"/>
        <v>0</v>
      </c>
      <c r="V74" s="12">
        <f>Table1[[#This Row],[Enrolment S.Y. 2025-2026 ]]*8</f>
        <v>0</v>
      </c>
      <c r="W74" s="12"/>
      <c r="X74" s="10"/>
      <c r="Y74" s="12"/>
      <c r="Z74" s="12">
        <f t="shared" si="15"/>
        <v>0</v>
      </c>
      <c r="AA74" s="12">
        <f t="shared" si="16"/>
        <v>0</v>
      </c>
    </row>
    <row r="75" spans="1:27" ht="19.149999999999999">
      <c r="A75" s="10">
        <v>7</v>
      </c>
      <c r="B75" s="11" t="s">
        <v>15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3"/>
        <v>0</v>
      </c>
      <c r="I75" s="12">
        <f t="shared" si="4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1"/>
        <v>0</v>
      </c>
      <c r="O75" s="12">
        <f t="shared" si="12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3"/>
        <v>0</v>
      </c>
      <c r="U75" s="12">
        <f t="shared" si="14"/>
        <v>0</v>
      </c>
      <c r="V75" s="12">
        <f>Table1[[#This Row],[Enrolment S.Y. 2025-2026 ]]*8</f>
        <v>0</v>
      </c>
      <c r="W75" s="12"/>
      <c r="X75" s="10"/>
      <c r="Y75" s="12"/>
      <c r="Z75" s="12">
        <f t="shared" si="15"/>
        <v>0</v>
      </c>
      <c r="AA75" s="12">
        <f t="shared" si="16"/>
        <v>0</v>
      </c>
    </row>
    <row r="76" spans="1:27" ht="19.149999999999999">
      <c r="A76" s="10">
        <v>7</v>
      </c>
      <c r="B76" s="11" t="s">
        <v>19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3"/>
        <v>0</v>
      </c>
      <c r="I76" s="12">
        <f t="shared" si="4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1"/>
        <v>0</v>
      </c>
      <c r="O76" s="12">
        <f t="shared" si="12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3"/>
        <v>0</v>
      </c>
      <c r="U76" s="12">
        <f t="shared" si="14"/>
        <v>0</v>
      </c>
      <c r="V76" s="12">
        <f>Table1[[#This Row],[Enrolment S.Y. 2025-2026 ]]*8</f>
        <v>0</v>
      </c>
      <c r="W76" s="12"/>
      <c r="X76" s="10"/>
      <c r="Y76" s="12"/>
      <c r="Z76" s="12">
        <f t="shared" si="15"/>
        <v>0</v>
      </c>
      <c r="AA76" s="12">
        <f t="shared" si="16"/>
        <v>0</v>
      </c>
    </row>
    <row r="77" spans="1:27" ht="19.149999999999999">
      <c r="A77" s="10">
        <v>7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3"/>
        <v>0</v>
      </c>
      <c r="I77" s="12">
        <f t="shared" si="4"/>
        <v>0</v>
      </c>
      <c r="J77" s="12">
        <f>Table1[[#This Row],[Enrolment S.Y. 2025-2026 ]]*8</f>
        <v>0</v>
      </c>
      <c r="K77" s="12"/>
      <c r="L77" s="10"/>
      <c r="M77" s="12"/>
      <c r="N77" s="12">
        <f t="shared" ref="N77:N133" si="31">IF((J77-K77)&lt;0,0,(J77-K77))</f>
        <v>0</v>
      </c>
      <c r="O77" s="12">
        <f t="shared" ref="O77:O133" si="32">IF((K77-J77)&lt;0,0,(K77-J77))</f>
        <v>0</v>
      </c>
      <c r="P77" s="12">
        <f>Table1[[#This Row],[Enrolment S.Y. 2025-2026 ]]*8</f>
        <v>0</v>
      </c>
      <c r="Q77" s="12"/>
      <c r="R77" s="10"/>
      <c r="S77" s="12"/>
      <c r="T77" s="12">
        <f t="shared" ref="T77:T134" si="33">IF((P77-Q77)&lt;0,0,(P77-Q77))</f>
        <v>0</v>
      </c>
      <c r="U77" s="12">
        <f t="shared" ref="U77:U134" si="34">IF((Q77-P77)&lt;0,0,(Q77-P77))</f>
        <v>0</v>
      </c>
      <c r="V77" s="12">
        <f>Table1[[#This Row],[Enrolment S.Y. 2025-2026 ]]*8</f>
        <v>0</v>
      </c>
      <c r="W77" s="12"/>
      <c r="X77" s="10"/>
      <c r="Y77" s="12"/>
      <c r="Z77" s="12">
        <f t="shared" ref="Z77:Z134" si="35">IF((V77-W77)&lt;0,0,(V77-W77))</f>
        <v>0</v>
      </c>
      <c r="AA77" s="12">
        <f t="shared" ref="AA77:AA134" si="36">IF((W77-V77)&lt;0,0,(W77-V77))</f>
        <v>0</v>
      </c>
    </row>
    <row r="78" spans="1:27" ht="19.149999999999999">
      <c r="A78" s="10">
        <v>7</v>
      </c>
      <c r="B78" s="11" t="s">
        <v>21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si="3"/>
        <v>0</v>
      </c>
      <c r="I78" s="12">
        <f t="shared" si="4"/>
        <v>0</v>
      </c>
      <c r="J78" s="12">
        <f>Table1[[#This Row],[Enrolment S.Y. 2025-2026 ]]*8</f>
        <v>0</v>
      </c>
      <c r="K78" s="12"/>
      <c r="L78" s="10"/>
      <c r="M78" s="12"/>
      <c r="N78" s="12">
        <f t="shared" si="31"/>
        <v>0</v>
      </c>
      <c r="O78" s="12">
        <f t="shared" si="32"/>
        <v>0</v>
      </c>
      <c r="P78" s="12">
        <f>Table1[[#This Row],[Enrolment S.Y. 2025-2026 ]]*8</f>
        <v>0</v>
      </c>
      <c r="Q78" s="12"/>
      <c r="R78" s="10"/>
      <c r="S78" s="12"/>
      <c r="T78" s="12">
        <f t="shared" si="33"/>
        <v>0</v>
      </c>
      <c r="U78" s="12">
        <f t="shared" si="34"/>
        <v>0</v>
      </c>
      <c r="V78" s="12">
        <f>Table1[[#This Row],[Enrolment S.Y. 2025-2026 ]]*8</f>
        <v>0</v>
      </c>
      <c r="W78" s="12"/>
      <c r="X78" s="10"/>
      <c r="Y78" s="12"/>
      <c r="Z78" s="12">
        <f t="shared" si="35"/>
        <v>0</v>
      </c>
      <c r="AA78" s="12">
        <f t="shared" si="36"/>
        <v>0</v>
      </c>
    </row>
    <row r="79" spans="1:27" s="7" customFormat="1" ht="19.149999999999999">
      <c r="J79" s="13"/>
      <c r="M79" s="5"/>
      <c r="N79" s="13"/>
      <c r="O79" s="13"/>
      <c r="P79" s="13"/>
      <c r="S79" s="5"/>
      <c r="T79" s="13"/>
      <c r="U79" s="13"/>
      <c r="V79" s="13"/>
      <c r="Y79" s="5"/>
      <c r="Z79" s="13"/>
      <c r="AA79" s="13"/>
    </row>
    <row r="80" spans="1:27" ht="19.149999999999999">
      <c r="A80" s="10">
        <v>8</v>
      </c>
      <c r="B80" s="11" t="s">
        <v>16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3"/>
        <v>0</v>
      </c>
      <c r="I80" s="12">
        <f t="shared" si="4"/>
        <v>0</v>
      </c>
      <c r="J80" s="12">
        <f>Table1[[#This Row],[Enrolment S.Y. 2025-2026 ]]*8</f>
        <v>0</v>
      </c>
      <c r="K80" s="12"/>
      <c r="L80" s="10"/>
      <c r="M80" s="12"/>
      <c r="N80" s="12">
        <f t="shared" si="31"/>
        <v>0</v>
      </c>
      <c r="O80" s="12">
        <f t="shared" si="32"/>
        <v>0</v>
      </c>
      <c r="P80" s="12">
        <f>Table1[[#This Row],[Enrolment S.Y. 2025-2026 ]]*8</f>
        <v>0</v>
      </c>
      <c r="Q80" s="12"/>
      <c r="R80" s="10"/>
      <c r="S80" s="12"/>
      <c r="T80" s="12">
        <f t="shared" si="33"/>
        <v>0</v>
      </c>
      <c r="U80" s="12">
        <f t="shared" si="34"/>
        <v>0</v>
      </c>
      <c r="V80" s="12">
        <f>Table1[[#This Row],[Enrolment S.Y. 2025-2026 ]]*8</f>
        <v>0</v>
      </c>
      <c r="W80" s="12"/>
      <c r="X80" s="10"/>
      <c r="Y80" s="12"/>
      <c r="Z80" s="12">
        <f t="shared" si="35"/>
        <v>0</v>
      </c>
      <c r="AA80" s="12">
        <f t="shared" si="36"/>
        <v>0</v>
      </c>
    </row>
    <row r="81" spans="1:27" ht="19.149999999999999">
      <c r="A81" s="10">
        <v>8</v>
      </c>
      <c r="B81" s="11" t="s">
        <v>17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3"/>
        <v>0</v>
      </c>
      <c r="I81" s="12">
        <f t="shared" si="4"/>
        <v>0</v>
      </c>
      <c r="J81" s="12">
        <f>Table1[[#This Row],[Enrolment S.Y. 2025-2026 ]]*8</f>
        <v>0</v>
      </c>
      <c r="K81" s="12"/>
      <c r="L81" s="10"/>
      <c r="M81" s="12"/>
      <c r="N81" s="12">
        <f t="shared" si="31"/>
        <v>0</v>
      </c>
      <c r="O81" s="12">
        <f t="shared" si="32"/>
        <v>0</v>
      </c>
      <c r="P81" s="12">
        <f>Table1[[#This Row],[Enrolment S.Y. 2025-2026 ]]*8</f>
        <v>0</v>
      </c>
      <c r="Q81" s="12"/>
      <c r="R81" s="10"/>
      <c r="S81" s="12"/>
      <c r="T81" s="12">
        <f t="shared" si="33"/>
        <v>0</v>
      </c>
      <c r="U81" s="12">
        <f t="shared" si="34"/>
        <v>0</v>
      </c>
      <c r="V81" s="12">
        <f>Table1[[#This Row],[Enrolment S.Y. 2025-2026 ]]*8</f>
        <v>0</v>
      </c>
      <c r="W81" s="12"/>
      <c r="X81" s="10"/>
      <c r="Y81" s="12"/>
      <c r="Z81" s="12">
        <f t="shared" si="35"/>
        <v>0</v>
      </c>
      <c r="AA81" s="12">
        <f t="shared" si="36"/>
        <v>0</v>
      </c>
    </row>
    <row r="82" spans="1:27" ht="19.149999999999999">
      <c r="A82" s="10">
        <v>8</v>
      </c>
      <c r="B82" s="11" t="s">
        <v>14</v>
      </c>
      <c r="C82" s="10"/>
      <c r="D82" s="12">
        <f>Table1[[#This Row],[Enrolment S.Y. 2025-2026 ]]*8</f>
        <v>0</v>
      </c>
      <c r="E82" s="12"/>
      <c r="F82" s="10"/>
      <c r="G82" s="12"/>
      <c r="H82" s="12">
        <f t="shared" si="3"/>
        <v>0</v>
      </c>
      <c r="I82" s="12">
        <f t="shared" si="4"/>
        <v>0</v>
      </c>
      <c r="J82" s="12">
        <f>Table1[[#This Row],[Enrolment S.Y. 2025-2026 ]]*8</f>
        <v>0</v>
      </c>
      <c r="K82" s="12"/>
      <c r="L82" s="10"/>
      <c r="M82" s="12"/>
      <c r="N82" s="12">
        <f t="shared" si="31"/>
        <v>0</v>
      </c>
      <c r="O82" s="12">
        <f t="shared" si="32"/>
        <v>0</v>
      </c>
      <c r="P82" s="12">
        <f>Table1[[#This Row],[Enrolment S.Y. 2025-2026 ]]*8</f>
        <v>0</v>
      </c>
      <c r="Q82" s="12"/>
      <c r="R82" s="10"/>
      <c r="S82" s="12"/>
      <c r="T82" s="12">
        <f t="shared" si="33"/>
        <v>0</v>
      </c>
      <c r="U82" s="12">
        <f t="shared" si="34"/>
        <v>0</v>
      </c>
      <c r="V82" s="12">
        <f>Table1[[#This Row],[Enrolment S.Y. 2025-2026 ]]*8</f>
        <v>0</v>
      </c>
      <c r="W82" s="12"/>
      <c r="X82" s="10"/>
      <c r="Y82" s="12"/>
      <c r="Z82" s="12">
        <f t="shared" si="35"/>
        <v>0</v>
      </c>
      <c r="AA82" s="12">
        <f t="shared" si="36"/>
        <v>0</v>
      </c>
    </row>
    <row r="83" spans="1:27" ht="19.149999999999999">
      <c r="A83" s="10">
        <v>8</v>
      </c>
      <c r="B83" s="11" t="s">
        <v>22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3"/>
        <v>0</v>
      </c>
      <c r="I83" s="12">
        <f t="shared" si="4"/>
        <v>0</v>
      </c>
      <c r="J83" s="12">
        <f>Table1[[#This Row],[Enrolment S.Y. 2025-2026 ]]*8</f>
        <v>0</v>
      </c>
      <c r="K83" s="12"/>
      <c r="L83" s="10"/>
      <c r="M83" s="12"/>
      <c r="N83" s="12">
        <f t="shared" si="31"/>
        <v>0</v>
      </c>
      <c r="O83" s="12">
        <f t="shared" si="32"/>
        <v>0</v>
      </c>
      <c r="P83" s="12">
        <f>Table1[[#This Row],[Enrolment S.Y. 2025-2026 ]]*8</f>
        <v>0</v>
      </c>
      <c r="Q83" s="12"/>
      <c r="R83" s="10"/>
      <c r="S83" s="12"/>
      <c r="T83" s="12">
        <f t="shared" si="33"/>
        <v>0</v>
      </c>
      <c r="U83" s="12">
        <f t="shared" si="34"/>
        <v>0</v>
      </c>
      <c r="V83" s="12">
        <f>Table1[[#This Row],[Enrolment S.Y. 2025-2026 ]]*8</f>
        <v>0</v>
      </c>
      <c r="W83" s="12"/>
      <c r="X83" s="10"/>
      <c r="Y83" s="12"/>
      <c r="Z83" s="12">
        <f t="shared" si="35"/>
        <v>0</v>
      </c>
      <c r="AA83" s="12">
        <f t="shared" si="36"/>
        <v>0</v>
      </c>
    </row>
    <row r="84" spans="1:27" ht="19.149999999999999">
      <c r="A84" s="10">
        <v>8</v>
      </c>
      <c r="B84" s="11" t="s">
        <v>24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3"/>
        <v>0</v>
      </c>
      <c r="I84" s="12">
        <f t="shared" si="4"/>
        <v>0</v>
      </c>
      <c r="J84" s="12">
        <f>Table1[[#This Row],[Enrolment S.Y. 2025-2026 ]]*8</f>
        <v>0</v>
      </c>
      <c r="K84" s="12"/>
      <c r="L84" s="10"/>
      <c r="M84" s="12"/>
      <c r="N84" s="12">
        <f t="shared" si="31"/>
        <v>0</v>
      </c>
      <c r="O84" s="12">
        <f t="shared" si="32"/>
        <v>0</v>
      </c>
      <c r="P84" s="12">
        <f>Table1[[#This Row],[Enrolment S.Y. 2025-2026 ]]*8</f>
        <v>0</v>
      </c>
      <c r="Q84" s="12"/>
      <c r="R84" s="10"/>
      <c r="S84" s="12"/>
      <c r="T84" s="12">
        <f t="shared" si="33"/>
        <v>0</v>
      </c>
      <c r="U84" s="12">
        <f t="shared" si="34"/>
        <v>0</v>
      </c>
      <c r="V84" s="12">
        <f>Table1[[#This Row],[Enrolment S.Y. 2025-2026 ]]*8</f>
        <v>0</v>
      </c>
      <c r="W84" s="12"/>
      <c r="X84" s="10"/>
      <c r="Y84" s="12"/>
      <c r="Z84" s="12">
        <f t="shared" si="35"/>
        <v>0</v>
      </c>
      <c r="AA84" s="12">
        <f t="shared" si="36"/>
        <v>0</v>
      </c>
    </row>
    <row r="85" spans="1:27" ht="19.149999999999999">
      <c r="A85" s="10">
        <v>8</v>
      </c>
      <c r="B85" s="11" t="s">
        <v>15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ref="H85:H134" si="37">IF((D85-E85)&lt;0,0,(D85-E85))</f>
        <v>0</v>
      </c>
      <c r="I85" s="12">
        <f t="shared" ref="I85:I134" si="38">IF((E85-D85)&lt;0,0,(E85-D85))</f>
        <v>0</v>
      </c>
      <c r="J85" s="12">
        <f>Table1[[#This Row],[Enrolment S.Y. 2025-2026 ]]*8</f>
        <v>0</v>
      </c>
      <c r="K85" s="12"/>
      <c r="L85" s="10"/>
      <c r="M85" s="12"/>
      <c r="N85" s="12">
        <f t="shared" si="31"/>
        <v>0</v>
      </c>
      <c r="O85" s="12">
        <f t="shared" si="32"/>
        <v>0</v>
      </c>
      <c r="P85" s="12">
        <f>Table1[[#This Row],[Enrolment S.Y. 2025-2026 ]]*8</f>
        <v>0</v>
      </c>
      <c r="Q85" s="12"/>
      <c r="R85" s="10"/>
      <c r="S85" s="12"/>
      <c r="T85" s="12">
        <f t="shared" si="33"/>
        <v>0</v>
      </c>
      <c r="U85" s="12">
        <f t="shared" si="34"/>
        <v>0</v>
      </c>
      <c r="V85" s="12">
        <f>Table1[[#This Row],[Enrolment S.Y. 2025-2026 ]]*8</f>
        <v>0</v>
      </c>
      <c r="W85" s="12"/>
      <c r="X85" s="10"/>
      <c r="Y85" s="12"/>
      <c r="Z85" s="12">
        <f t="shared" si="35"/>
        <v>0</v>
      </c>
      <c r="AA85" s="12">
        <f t="shared" si="36"/>
        <v>0</v>
      </c>
    </row>
    <row r="86" spans="1:27" ht="19.149999999999999">
      <c r="A86" s="10">
        <v>8</v>
      </c>
      <c r="B86" s="11" t="s">
        <v>19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37"/>
        <v>0</v>
      </c>
      <c r="I86" s="12">
        <f t="shared" si="38"/>
        <v>0</v>
      </c>
      <c r="J86" s="12">
        <f>Table1[[#This Row],[Enrolment S.Y. 2025-2026 ]]*8</f>
        <v>0</v>
      </c>
      <c r="K86" s="12"/>
      <c r="L86" s="10"/>
      <c r="M86" s="12"/>
      <c r="N86" s="12">
        <f t="shared" si="31"/>
        <v>0</v>
      </c>
      <c r="O86" s="12">
        <f t="shared" si="32"/>
        <v>0</v>
      </c>
      <c r="P86" s="12">
        <f>Table1[[#This Row],[Enrolment S.Y. 2025-2026 ]]*8</f>
        <v>0</v>
      </c>
      <c r="Q86" s="12"/>
      <c r="R86" s="10"/>
      <c r="S86" s="12"/>
      <c r="T86" s="12">
        <f t="shared" si="33"/>
        <v>0</v>
      </c>
      <c r="U86" s="12">
        <f t="shared" si="34"/>
        <v>0</v>
      </c>
      <c r="V86" s="12">
        <f>Table1[[#This Row],[Enrolment S.Y. 2025-2026 ]]*8</f>
        <v>0</v>
      </c>
      <c r="W86" s="12"/>
      <c r="X86" s="10"/>
      <c r="Y86" s="12"/>
      <c r="Z86" s="12">
        <f t="shared" si="35"/>
        <v>0</v>
      </c>
      <c r="AA86" s="12">
        <f t="shared" si="36"/>
        <v>0</v>
      </c>
    </row>
    <row r="87" spans="1:27" ht="19.149999999999999">
      <c r="A87" s="10">
        <v>8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37"/>
        <v>0</v>
      </c>
      <c r="I87" s="12">
        <f t="shared" si="38"/>
        <v>0</v>
      </c>
      <c r="J87" s="12">
        <f>Table1[[#This Row],[Enrolment S.Y. 2025-2026 ]]*8</f>
        <v>0</v>
      </c>
      <c r="K87" s="12"/>
      <c r="L87" s="10"/>
      <c r="M87" s="12"/>
      <c r="N87" s="12">
        <f t="shared" si="31"/>
        <v>0</v>
      </c>
      <c r="O87" s="12">
        <f t="shared" si="32"/>
        <v>0</v>
      </c>
      <c r="P87" s="12">
        <f>Table1[[#This Row],[Enrolment S.Y. 2025-2026 ]]*8</f>
        <v>0</v>
      </c>
      <c r="Q87" s="12"/>
      <c r="R87" s="10"/>
      <c r="S87" s="12"/>
      <c r="T87" s="12">
        <f t="shared" si="33"/>
        <v>0</v>
      </c>
      <c r="U87" s="12">
        <f t="shared" si="34"/>
        <v>0</v>
      </c>
      <c r="V87" s="12">
        <f>Table1[[#This Row],[Enrolment S.Y. 2025-2026 ]]*8</f>
        <v>0</v>
      </c>
      <c r="W87" s="12"/>
      <c r="X87" s="10"/>
      <c r="Y87" s="12"/>
      <c r="Z87" s="12">
        <f t="shared" si="35"/>
        <v>0</v>
      </c>
      <c r="AA87" s="12">
        <f t="shared" si="36"/>
        <v>0</v>
      </c>
    </row>
    <row r="88" spans="1:27" ht="19.149999999999999">
      <c r="A88" s="10">
        <v>8</v>
      </c>
      <c r="B88" s="11" t="s">
        <v>21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37"/>
        <v>0</v>
      </c>
      <c r="I88" s="12">
        <f t="shared" si="38"/>
        <v>0</v>
      </c>
      <c r="J88" s="12">
        <f>Table1[[#This Row],[Enrolment S.Y. 2025-2026 ]]*8</f>
        <v>0</v>
      </c>
      <c r="K88" s="12"/>
      <c r="L88" s="10"/>
      <c r="M88" s="12"/>
      <c r="N88" s="12">
        <f t="shared" si="31"/>
        <v>0</v>
      </c>
      <c r="O88" s="12">
        <f t="shared" si="32"/>
        <v>0</v>
      </c>
      <c r="P88" s="12">
        <f>Table1[[#This Row],[Enrolment S.Y. 2025-2026 ]]*8</f>
        <v>0</v>
      </c>
      <c r="Q88" s="12"/>
      <c r="R88" s="10"/>
      <c r="S88" s="12"/>
      <c r="T88" s="12">
        <f t="shared" si="33"/>
        <v>0</v>
      </c>
      <c r="U88" s="12">
        <f t="shared" si="34"/>
        <v>0</v>
      </c>
      <c r="V88" s="12">
        <f>Table1[[#This Row],[Enrolment S.Y. 2025-2026 ]]*8</f>
        <v>0</v>
      </c>
      <c r="W88" s="12"/>
      <c r="X88" s="10"/>
      <c r="Y88" s="12"/>
      <c r="Z88" s="12">
        <f t="shared" si="35"/>
        <v>0</v>
      </c>
      <c r="AA88" s="12">
        <f t="shared" si="36"/>
        <v>0</v>
      </c>
    </row>
    <row r="89" spans="1:27" s="7" customFormat="1" ht="19.149999999999999">
      <c r="J89" s="13"/>
      <c r="M89" s="5"/>
      <c r="N89" s="13"/>
      <c r="O89" s="13"/>
      <c r="P89" s="13"/>
      <c r="S89" s="5"/>
      <c r="T89" s="13"/>
      <c r="U89" s="13"/>
      <c r="V89" s="13"/>
      <c r="Y89" s="5"/>
      <c r="Z89" s="13"/>
      <c r="AA89" s="13"/>
    </row>
    <row r="90" spans="1:27" ht="19.149999999999999">
      <c r="A90" s="10">
        <v>9</v>
      </c>
      <c r="B90" s="11" t="s">
        <v>16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37"/>
        <v>0</v>
      </c>
      <c r="I90" s="12">
        <f t="shared" si="38"/>
        <v>0</v>
      </c>
      <c r="J90" s="12">
        <f>Table1[[#This Row],[Enrolment S.Y. 2025-2026 ]]*8</f>
        <v>0</v>
      </c>
      <c r="K90" s="12"/>
      <c r="L90" s="10"/>
      <c r="M90" s="12"/>
      <c r="N90" s="12">
        <f t="shared" si="31"/>
        <v>0</v>
      </c>
      <c r="O90" s="12">
        <f t="shared" si="32"/>
        <v>0</v>
      </c>
      <c r="P90" s="12">
        <f>Table1[[#This Row],[Enrolment S.Y. 2025-2026 ]]*8</f>
        <v>0</v>
      </c>
      <c r="Q90" s="12"/>
      <c r="R90" s="10"/>
      <c r="S90" s="12"/>
      <c r="T90" s="12">
        <f t="shared" si="33"/>
        <v>0</v>
      </c>
      <c r="U90" s="12">
        <f t="shared" si="34"/>
        <v>0</v>
      </c>
      <c r="V90" s="12">
        <f>Table1[[#This Row],[Enrolment S.Y. 2025-2026 ]]*8</f>
        <v>0</v>
      </c>
      <c r="W90" s="12"/>
      <c r="X90" s="10"/>
      <c r="Y90" s="12"/>
      <c r="Z90" s="12">
        <f t="shared" si="35"/>
        <v>0</v>
      </c>
      <c r="AA90" s="12">
        <f t="shared" si="36"/>
        <v>0</v>
      </c>
    </row>
    <row r="91" spans="1:27" ht="19.149999999999999">
      <c r="A91" s="10">
        <v>9</v>
      </c>
      <c r="B91" s="11" t="s">
        <v>17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37"/>
        <v>0</v>
      </c>
      <c r="I91" s="12">
        <f t="shared" si="38"/>
        <v>0</v>
      </c>
      <c r="J91" s="12">
        <f>Table1[[#This Row],[Enrolment S.Y. 2025-2026 ]]*8</f>
        <v>0</v>
      </c>
      <c r="K91" s="12"/>
      <c r="L91" s="10"/>
      <c r="M91" s="12"/>
      <c r="N91" s="12">
        <f t="shared" si="31"/>
        <v>0</v>
      </c>
      <c r="O91" s="12">
        <f t="shared" si="32"/>
        <v>0</v>
      </c>
      <c r="P91" s="12">
        <f>Table1[[#This Row],[Enrolment S.Y. 2025-2026 ]]*8</f>
        <v>0</v>
      </c>
      <c r="Q91" s="12"/>
      <c r="R91" s="10"/>
      <c r="S91" s="12"/>
      <c r="T91" s="12">
        <f t="shared" si="33"/>
        <v>0</v>
      </c>
      <c r="U91" s="12">
        <f t="shared" si="34"/>
        <v>0</v>
      </c>
      <c r="V91" s="12">
        <f>Table1[[#This Row],[Enrolment S.Y. 2025-2026 ]]*8</f>
        <v>0</v>
      </c>
      <c r="W91" s="12"/>
      <c r="X91" s="10"/>
      <c r="Y91" s="12"/>
      <c r="Z91" s="12">
        <f t="shared" si="35"/>
        <v>0</v>
      </c>
      <c r="AA91" s="12">
        <f t="shared" si="36"/>
        <v>0</v>
      </c>
    </row>
    <row r="92" spans="1:27" ht="19.149999999999999">
      <c r="A92" s="10">
        <v>9</v>
      </c>
      <c r="B92" s="11" t="s">
        <v>14</v>
      </c>
      <c r="C92" s="10"/>
      <c r="D92" s="12">
        <f>Table1[[#This Row],[Enrolment S.Y. 2025-2026 ]]*8</f>
        <v>0</v>
      </c>
      <c r="E92" s="12"/>
      <c r="F92" s="10"/>
      <c r="G92" s="12"/>
      <c r="H92" s="12">
        <f t="shared" si="37"/>
        <v>0</v>
      </c>
      <c r="I92" s="12">
        <f t="shared" si="38"/>
        <v>0</v>
      </c>
      <c r="J92" s="12">
        <f>Table1[[#This Row],[Enrolment S.Y. 2025-2026 ]]*8</f>
        <v>0</v>
      </c>
      <c r="K92" s="12"/>
      <c r="L92" s="10"/>
      <c r="M92" s="12"/>
      <c r="N92" s="12">
        <f t="shared" si="31"/>
        <v>0</v>
      </c>
      <c r="O92" s="12">
        <f t="shared" si="32"/>
        <v>0</v>
      </c>
      <c r="P92" s="12">
        <f>Table1[[#This Row],[Enrolment S.Y. 2025-2026 ]]*8</f>
        <v>0</v>
      </c>
      <c r="Q92" s="12"/>
      <c r="R92" s="10"/>
      <c r="S92" s="12"/>
      <c r="T92" s="12">
        <f t="shared" si="33"/>
        <v>0</v>
      </c>
      <c r="U92" s="12">
        <f t="shared" si="34"/>
        <v>0</v>
      </c>
      <c r="V92" s="12">
        <f>Table1[[#This Row],[Enrolment S.Y. 2025-2026 ]]*8</f>
        <v>0</v>
      </c>
      <c r="W92" s="12"/>
      <c r="X92" s="10"/>
      <c r="Y92" s="12"/>
      <c r="Z92" s="12">
        <f t="shared" si="35"/>
        <v>0</v>
      </c>
      <c r="AA92" s="12">
        <f t="shared" si="36"/>
        <v>0</v>
      </c>
    </row>
    <row r="93" spans="1:27" ht="19.149999999999999">
      <c r="A93" s="10">
        <v>9</v>
      </c>
      <c r="B93" s="11" t="s">
        <v>22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si="37"/>
        <v>0</v>
      </c>
      <c r="I93" s="12">
        <f t="shared" si="38"/>
        <v>0</v>
      </c>
      <c r="J93" s="12">
        <f>Table1[[#This Row],[Enrolment S.Y. 2025-2026 ]]*8</f>
        <v>0</v>
      </c>
      <c r="K93" s="12"/>
      <c r="L93" s="10"/>
      <c r="M93" s="12"/>
      <c r="N93" s="12">
        <f t="shared" si="31"/>
        <v>0</v>
      </c>
      <c r="O93" s="12">
        <f t="shared" si="32"/>
        <v>0</v>
      </c>
      <c r="P93" s="12">
        <f>Table1[[#This Row],[Enrolment S.Y. 2025-2026 ]]*8</f>
        <v>0</v>
      </c>
      <c r="Q93" s="12"/>
      <c r="R93" s="10"/>
      <c r="S93" s="12"/>
      <c r="T93" s="12">
        <f t="shared" si="33"/>
        <v>0</v>
      </c>
      <c r="U93" s="12">
        <f t="shared" si="34"/>
        <v>0</v>
      </c>
      <c r="V93" s="12">
        <f>Table1[[#This Row],[Enrolment S.Y. 2025-2026 ]]*8</f>
        <v>0</v>
      </c>
      <c r="W93" s="12"/>
      <c r="X93" s="10"/>
      <c r="Y93" s="12"/>
      <c r="Z93" s="12">
        <f t="shared" si="35"/>
        <v>0</v>
      </c>
      <c r="AA93" s="12">
        <f t="shared" si="36"/>
        <v>0</v>
      </c>
    </row>
    <row r="94" spans="1:27" ht="19.149999999999999">
      <c r="A94" s="10">
        <v>9</v>
      </c>
      <c r="B94" s="11" t="s">
        <v>24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37"/>
        <v>0</v>
      </c>
      <c r="I94" s="12">
        <f t="shared" si="38"/>
        <v>0</v>
      </c>
      <c r="J94" s="12">
        <f>Table1[[#This Row],[Enrolment S.Y. 2025-2026 ]]*8</f>
        <v>0</v>
      </c>
      <c r="K94" s="12"/>
      <c r="L94" s="10"/>
      <c r="M94" s="12"/>
      <c r="N94" s="12">
        <f t="shared" si="31"/>
        <v>0</v>
      </c>
      <c r="O94" s="12">
        <f t="shared" si="32"/>
        <v>0</v>
      </c>
      <c r="P94" s="12">
        <f>Table1[[#This Row],[Enrolment S.Y. 2025-2026 ]]*8</f>
        <v>0</v>
      </c>
      <c r="Q94" s="12"/>
      <c r="R94" s="10"/>
      <c r="S94" s="12"/>
      <c r="T94" s="12">
        <f t="shared" si="33"/>
        <v>0</v>
      </c>
      <c r="U94" s="12">
        <f t="shared" si="34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5"/>
        <v>0</v>
      </c>
      <c r="AA94" s="12">
        <f t="shared" si="36"/>
        <v>0</v>
      </c>
    </row>
    <row r="95" spans="1:27" ht="19.149999999999999">
      <c r="A95" s="10">
        <v>9</v>
      </c>
      <c r="B95" s="11" t="s">
        <v>15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37"/>
        <v>0</v>
      </c>
      <c r="I95" s="12">
        <f t="shared" si="38"/>
        <v>0</v>
      </c>
      <c r="J95" s="12">
        <f>Table1[[#This Row],[Enrolment S.Y. 2025-2026 ]]*8</f>
        <v>0</v>
      </c>
      <c r="K95" s="12"/>
      <c r="L95" s="10"/>
      <c r="M95" s="12"/>
      <c r="N95" s="12">
        <f t="shared" si="31"/>
        <v>0</v>
      </c>
      <c r="O95" s="12">
        <f t="shared" si="32"/>
        <v>0</v>
      </c>
      <c r="P95" s="12">
        <f>Table1[[#This Row],[Enrolment S.Y. 2025-2026 ]]*8</f>
        <v>0</v>
      </c>
      <c r="Q95" s="12"/>
      <c r="R95" s="10"/>
      <c r="S95" s="12"/>
      <c r="T95" s="12">
        <f t="shared" si="33"/>
        <v>0</v>
      </c>
      <c r="U95" s="12">
        <f t="shared" si="34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5"/>
        <v>0</v>
      </c>
      <c r="AA95" s="12">
        <f t="shared" si="36"/>
        <v>0</v>
      </c>
    </row>
    <row r="96" spans="1:27" ht="19.149999999999999">
      <c r="A96" s="10">
        <v>9</v>
      </c>
      <c r="B96" s="11" t="s">
        <v>19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37"/>
        <v>0</v>
      </c>
      <c r="I96" s="12">
        <f t="shared" si="38"/>
        <v>0</v>
      </c>
      <c r="J96" s="12">
        <f>Table1[[#This Row],[Enrolment S.Y. 2025-2026 ]]*8</f>
        <v>0</v>
      </c>
      <c r="K96" s="12"/>
      <c r="L96" s="10"/>
      <c r="M96" s="12"/>
      <c r="N96" s="12">
        <f t="shared" si="31"/>
        <v>0</v>
      </c>
      <c r="O96" s="12">
        <f t="shared" si="32"/>
        <v>0</v>
      </c>
      <c r="P96" s="12">
        <f>Table1[[#This Row],[Enrolment S.Y. 2025-2026 ]]*8</f>
        <v>0</v>
      </c>
      <c r="Q96" s="12"/>
      <c r="R96" s="10"/>
      <c r="S96" s="12"/>
      <c r="T96" s="12">
        <f t="shared" si="33"/>
        <v>0</v>
      </c>
      <c r="U96" s="12">
        <f t="shared" si="34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5"/>
        <v>0</v>
      </c>
      <c r="AA96" s="12">
        <f t="shared" si="36"/>
        <v>0</v>
      </c>
    </row>
    <row r="97" spans="1:27" ht="19.149999999999999">
      <c r="A97" s="10">
        <v>9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37"/>
        <v>0</v>
      </c>
      <c r="I97" s="12">
        <f t="shared" si="38"/>
        <v>0</v>
      </c>
      <c r="J97" s="12">
        <f>Table1[[#This Row],[Enrolment S.Y. 2025-2026 ]]*8</f>
        <v>0</v>
      </c>
      <c r="K97" s="12"/>
      <c r="L97" s="10"/>
      <c r="M97" s="12"/>
      <c r="N97" s="12">
        <f t="shared" si="31"/>
        <v>0</v>
      </c>
      <c r="O97" s="12">
        <f t="shared" si="32"/>
        <v>0</v>
      </c>
      <c r="P97" s="12">
        <f>Table1[[#This Row],[Enrolment S.Y. 2025-2026 ]]*8</f>
        <v>0</v>
      </c>
      <c r="Q97" s="12"/>
      <c r="R97" s="10"/>
      <c r="S97" s="12"/>
      <c r="T97" s="12">
        <f t="shared" si="33"/>
        <v>0</v>
      </c>
      <c r="U97" s="12">
        <f t="shared" si="34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5"/>
        <v>0</v>
      </c>
      <c r="AA97" s="12">
        <f t="shared" si="36"/>
        <v>0</v>
      </c>
    </row>
    <row r="98" spans="1:27" ht="19.149999999999999">
      <c r="A98" s="10">
        <v>9</v>
      </c>
      <c r="B98" s="11" t="s">
        <v>21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37"/>
        <v>0</v>
      </c>
      <c r="I98" s="12">
        <f t="shared" si="38"/>
        <v>0</v>
      </c>
      <c r="J98" s="12">
        <f>Table1[[#This Row],[Enrolment S.Y. 2025-2026 ]]*8</f>
        <v>0</v>
      </c>
      <c r="K98" s="12"/>
      <c r="L98" s="10"/>
      <c r="M98" s="12"/>
      <c r="N98" s="12">
        <f t="shared" si="31"/>
        <v>0</v>
      </c>
      <c r="O98" s="12">
        <f t="shared" si="32"/>
        <v>0</v>
      </c>
      <c r="P98" s="12">
        <f>Table1[[#This Row],[Enrolment S.Y. 2025-2026 ]]*8</f>
        <v>0</v>
      </c>
      <c r="Q98" s="12"/>
      <c r="R98" s="10"/>
      <c r="S98" s="12"/>
      <c r="T98" s="12">
        <f t="shared" si="33"/>
        <v>0</v>
      </c>
      <c r="U98" s="12">
        <f t="shared" si="34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5"/>
        <v>0</v>
      </c>
      <c r="AA98" s="12">
        <f t="shared" si="36"/>
        <v>0</v>
      </c>
    </row>
    <row r="99" spans="1:27" s="7" customFormat="1" ht="19.149999999999999">
      <c r="J99" s="13"/>
      <c r="M99" s="5"/>
      <c r="N99" s="13"/>
      <c r="O99" s="13"/>
      <c r="P99" s="13"/>
      <c r="S99" s="5"/>
      <c r="T99" s="13"/>
      <c r="U99" s="13"/>
      <c r="V99" s="13"/>
      <c r="Y99" s="5"/>
      <c r="Z99" s="13"/>
      <c r="AA99" s="13"/>
    </row>
    <row r="100" spans="1:27" ht="19.149999999999999">
      <c r="A100" s="10">
        <v>10</v>
      </c>
      <c r="B100" s="11" t="s">
        <v>16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17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ht="19.149999999999999">
      <c r="A102" s="10">
        <v>10</v>
      </c>
      <c r="B102" s="11" t="s">
        <v>14</v>
      </c>
      <c r="C102" s="10"/>
      <c r="D102" s="12">
        <f>Table1[[#This Row],[Enrolment S.Y. 2025-2026 ]]*8</f>
        <v>0</v>
      </c>
      <c r="E102" s="12"/>
      <c r="F102" s="10"/>
      <c r="G102" s="12"/>
      <c r="H102" s="12">
        <f>IF((D102-E102)&lt;0,0,(D102-E102))</f>
        <v>0</v>
      </c>
      <c r="I102" s="12">
        <f>IF((E102-D102)&lt;0,0,(E102-D102))</f>
        <v>0</v>
      </c>
      <c r="J102" s="12">
        <f>Table1[[#This Row],[Enrolment S.Y. 2025-2026 ]]*8</f>
        <v>0</v>
      </c>
      <c r="K102" s="12"/>
      <c r="L102" s="10"/>
      <c r="M102" s="12"/>
      <c r="N102" s="12">
        <f>IF((J102-K102)&lt;0,0,(J102-K102))</f>
        <v>0</v>
      </c>
      <c r="O102" s="12">
        <f>IF((K102-J102)&lt;0,0,(K102-J102))</f>
        <v>0</v>
      </c>
      <c r="P102" s="12">
        <f>Table1[[#This Row],[Enrolment S.Y. 2025-2026 ]]*8</f>
        <v>0</v>
      </c>
      <c r="Q102" s="12"/>
      <c r="R102" s="10"/>
      <c r="S102" s="12"/>
      <c r="T102" s="12">
        <f>IF((P102-Q102)&lt;0,0,(P102-Q102))</f>
        <v>0</v>
      </c>
      <c r="U102" s="12">
        <f>IF((Q102-P102)&lt;0,0,(Q102-P102))</f>
        <v>0</v>
      </c>
      <c r="V102" s="12">
        <f>Table1[[#This Row],[Enrolment S.Y. 2025-2026 ]]*8</f>
        <v>0</v>
      </c>
      <c r="W102" s="12"/>
      <c r="X102" s="10"/>
      <c r="Y102" s="12"/>
      <c r="Z102" s="12">
        <f>IF((V102-W102)&lt;0,0,(V102-W102))</f>
        <v>0</v>
      </c>
      <c r="AA102" s="12">
        <f>IF((W102-V102)&lt;0,0,(W102-V102))</f>
        <v>0</v>
      </c>
    </row>
    <row r="103" spans="1:27" ht="19.149999999999999">
      <c r="A103" s="10">
        <v>10</v>
      </c>
      <c r="B103" s="11" t="s">
        <v>22</v>
      </c>
      <c r="C103" s="10"/>
      <c r="D103" s="12">
        <f>Table1[[#This Row],[Enrolment S.Y. 2025-2026 ]]*8</f>
        <v>0</v>
      </c>
      <c r="E103" s="12"/>
      <c r="F103" s="10"/>
      <c r="G103" s="12"/>
      <c r="H103" s="12">
        <f>IF((D103-E103)&lt;0,0,(D103-E103))</f>
        <v>0</v>
      </c>
      <c r="I103" s="12">
        <f>IF((E103-D103)&lt;0,0,(E103-D103))</f>
        <v>0</v>
      </c>
      <c r="J103" s="12">
        <f>Table1[[#This Row],[Enrolment S.Y. 2025-2026 ]]*8</f>
        <v>0</v>
      </c>
      <c r="K103" s="12"/>
      <c r="L103" s="10"/>
      <c r="M103" s="12"/>
      <c r="N103" s="12">
        <f>IF((J103-K103)&lt;0,0,(J103-K103))</f>
        <v>0</v>
      </c>
      <c r="O103" s="12">
        <f>IF((K103-J103)&lt;0,0,(K103-J103))</f>
        <v>0</v>
      </c>
      <c r="P103" s="12">
        <f>Table1[[#This Row],[Enrolment S.Y. 2025-2026 ]]*8</f>
        <v>0</v>
      </c>
      <c r="Q103" s="12"/>
      <c r="R103" s="10"/>
      <c r="S103" s="12"/>
      <c r="T103" s="12">
        <f>IF((P103-Q103)&lt;0,0,(P103-Q103))</f>
        <v>0</v>
      </c>
      <c r="U103" s="12">
        <f>IF((Q103-P103)&lt;0,0,(Q103-P103))</f>
        <v>0</v>
      </c>
      <c r="V103" s="12">
        <f>Table1[[#This Row],[Enrolment S.Y. 2025-2026 ]]*8</f>
        <v>0</v>
      </c>
      <c r="W103" s="12"/>
      <c r="X103" s="10"/>
      <c r="Y103" s="12"/>
      <c r="Z103" s="12">
        <f>IF((V103-W103)&lt;0,0,(V103-W103))</f>
        <v>0</v>
      </c>
      <c r="AA103" s="12">
        <f>IF((W103-V103)&lt;0,0,(W103-V103))</f>
        <v>0</v>
      </c>
    </row>
    <row r="104" spans="1:27" ht="19.149999999999999">
      <c r="A104" s="10">
        <v>10</v>
      </c>
      <c r="B104" s="11" t="s">
        <v>24</v>
      </c>
      <c r="C104" s="10"/>
      <c r="D104" s="12">
        <f>Table1[[#This Row],[Enrolment S.Y. 2025-2026 ]]*8</f>
        <v>0</v>
      </c>
      <c r="E104" s="12"/>
      <c r="F104" s="10"/>
      <c r="G104" s="12"/>
      <c r="H104" s="12">
        <f>IF((D104-E104)&lt;0,0,(D104-E104))</f>
        <v>0</v>
      </c>
      <c r="I104" s="12">
        <f>IF((E104-D104)&lt;0,0,(E104-D104))</f>
        <v>0</v>
      </c>
      <c r="J104" s="12">
        <f>Table1[[#This Row],[Enrolment S.Y. 2025-2026 ]]*8</f>
        <v>0</v>
      </c>
      <c r="K104" s="12"/>
      <c r="L104" s="10"/>
      <c r="M104" s="12"/>
      <c r="N104" s="12">
        <f>IF((J104-K104)&lt;0,0,(J104-K104))</f>
        <v>0</v>
      </c>
      <c r="O104" s="12">
        <f>IF((K104-J104)&lt;0,0,(K104-J104))</f>
        <v>0</v>
      </c>
      <c r="P104" s="12">
        <f>Table1[[#This Row],[Enrolment S.Y. 2025-2026 ]]*8</f>
        <v>0</v>
      </c>
      <c r="Q104" s="12"/>
      <c r="R104" s="10"/>
      <c r="S104" s="12"/>
      <c r="T104" s="12">
        <f>IF((P104-Q104)&lt;0,0,(P104-Q104))</f>
        <v>0</v>
      </c>
      <c r="U104" s="12">
        <f>IF((Q104-P104)&lt;0,0,(Q104-P104))</f>
        <v>0</v>
      </c>
      <c r="V104" s="12">
        <f>Table1[[#This Row],[Enrolment S.Y. 2025-2026 ]]*8</f>
        <v>0</v>
      </c>
      <c r="W104" s="12"/>
      <c r="X104" s="10"/>
      <c r="Y104" s="12"/>
      <c r="Z104" s="12">
        <f>IF((V104-W104)&lt;0,0,(V104-W104))</f>
        <v>0</v>
      </c>
      <c r="AA104" s="12">
        <f>IF((W104-V104)&lt;0,0,(W104-V104))</f>
        <v>0</v>
      </c>
    </row>
    <row r="105" spans="1:27" ht="19.149999999999999">
      <c r="A105" s="10">
        <v>10</v>
      </c>
      <c r="B105" s="11" t="s">
        <v>15</v>
      </c>
      <c r="C105" s="10"/>
      <c r="D105" s="12">
        <f>Table1[[#This Row],[Enrolment S.Y. 2025-2026 ]]*8</f>
        <v>0</v>
      </c>
      <c r="E105" s="12"/>
      <c r="F105" s="10"/>
      <c r="G105" s="12"/>
      <c r="H105" s="12">
        <f>IF((D105-E105)&lt;0,0,(D105-E105))</f>
        <v>0</v>
      </c>
      <c r="I105" s="12">
        <f>IF((E105-D105)&lt;0,0,(E105-D105))</f>
        <v>0</v>
      </c>
      <c r="J105" s="12">
        <f>Table1[[#This Row],[Enrolment S.Y. 2025-2026 ]]*8</f>
        <v>0</v>
      </c>
      <c r="K105" s="12"/>
      <c r="L105" s="10"/>
      <c r="M105" s="12"/>
      <c r="N105" s="12">
        <f>IF((J105-K105)&lt;0,0,(J105-K105))</f>
        <v>0</v>
      </c>
      <c r="O105" s="12">
        <f>IF((K105-J105)&lt;0,0,(K105-J105))</f>
        <v>0</v>
      </c>
      <c r="P105" s="12">
        <f>Table1[[#This Row],[Enrolment S.Y. 2025-2026 ]]*8</f>
        <v>0</v>
      </c>
      <c r="Q105" s="12"/>
      <c r="R105" s="10"/>
      <c r="S105" s="12"/>
      <c r="T105" s="12">
        <f>IF((P105-Q105)&lt;0,0,(P105-Q105))</f>
        <v>0</v>
      </c>
      <c r="U105" s="12">
        <f>IF((Q105-P105)&lt;0,0,(Q105-P105))</f>
        <v>0</v>
      </c>
      <c r="V105" s="12">
        <f>Table1[[#This Row],[Enrolment S.Y. 2025-2026 ]]*8</f>
        <v>0</v>
      </c>
      <c r="W105" s="12"/>
      <c r="X105" s="10"/>
      <c r="Y105" s="12"/>
      <c r="Z105" s="12">
        <f>IF((V105-W105)&lt;0,0,(V105-W105))</f>
        <v>0</v>
      </c>
      <c r="AA105" s="12">
        <f>IF((W105-V105)&lt;0,0,(W105-V105))</f>
        <v>0</v>
      </c>
    </row>
    <row r="106" spans="1:27" ht="19.149999999999999">
      <c r="A106" s="10">
        <v>10</v>
      </c>
      <c r="B106" s="11" t="s">
        <v>19</v>
      </c>
      <c r="C106" s="10"/>
      <c r="D106" s="12">
        <f>Table1[[#This Row],[Enrolment S.Y. 2025-2026 ]]*8</f>
        <v>0</v>
      </c>
      <c r="E106" s="12"/>
      <c r="F106" s="10"/>
      <c r="G106" s="12"/>
      <c r="H106" s="12">
        <f>IF((D106-E106)&lt;0,0,(D106-E106))</f>
        <v>0</v>
      </c>
      <c r="I106" s="12">
        <f>IF((E106-D106)&lt;0,0,(E106-D106))</f>
        <v>0</v>
      </c>
      <c r="J106" s="12">
        <f>Table1[[#This Row],[Enrolment S.Y. 2025-2026 ]]*8</f>
        <v>0</v>
      </c>
      <c r="K106" s="12"/>
      <c r="L106" s="10"/>
      <c r="M106" s="12"/>
      <c r="N106" s="12">
        <f>IF((J106-K106)&lt;0,0,(J106-K106))</f>
        <v>0</v>
      </c>
      <c r="O106" s="12">
        <f>IF((K106-J106)&lt;0,0,(K106-J106))</f>
        <v>0</v>
      </c>
      <c r="P106" s="12">
        <f>Table1[[#This Row],[Enrolment S.Y. 2025-2026 ]]*8</f>
        <v>0</v>
      </c>
      <c r="Q106" s="12"/>
      <c r="R106" s="10"/>
      <c r="S106" s="12"/>
      <c r="T106" s="12">
        <f>IF((P106-Q106)&lt;0,0,(P106-Q106))</f>
        <v>0</v>
      </c>
      <c r="U106" s="12">
        <f>IF((Q106-P106)&lt;0,0,(Q106-P106))</f>
        <v>0</v>
      </c>
      <c r="V106" s="12">
        <f>Table1[[#This Row],[Enrolment S.Y. 2025-2026 ]]*8</f>
        <v>0</v>
      </c>
      <c r="W106" s="12"/>
      <c r="X106" s="10"/>
      <c r="Y106" s="12"/>
      <c r="Z106" s="12">
        <f>IF((V106-W106)&lt;0,0,(V106-W106))</f>
        <v>0</v>
      </c>
      <c r="AA106" s="12">
        <f>IF((W106-V106)&lt;0,0,(W106-V106))</f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Table1[[#This Row],[Enrolment S.Y. 2025-2026 ]]*8</f>
        <v>0</v>
      </c>
      <c r="E107" s="12"/>
      <c r="F107" s="10"/>
      <c r="G107" s="12"/>
      <c r="H107" s="12">
        <f>IF((D107-E107)&lt;0,0,(D107-E107))</f>
        <v>0</v>
      </c>
      <c r="I107" s="12">
        <f>IF((E107-D107)&lt;0,0,(E107-D107))</f>
        <v>0</v>
      </c>
      <c r="J107" s="12">
        <f>Table1[[#This Row],[Enrolment S.Y. 2025-2026 ]]*8</f>
        <v>0</v>
      </c>
      <c r="K107" s="12"/>
      <c r="L107" s="10"/>
      <c r="M107" s="12"/>
      <c r="N107" s="12">
        <f>IF((J107-K107)&lt;0,0,(J107-K107))</f>
        <v>0</v>
      </c>
      <c r="O107" s="12">
        <f>IF((K107-J107)&lt;0,0,(K107-J107))</f>
        <v>0</v>
      </c>
      <c r="P107" s="12">
        <f>Table1[[#This Row],[Enrolment S.Y. 2025-2026 ]]*8</f>
        <v>0</v>
      </c>
      <c r="Q107" s="12"/>
      <c r="R107" s="10"/>
      <c r="S107" s="12"/>
      <c r="T107" s="12">
        <f>IF((P107-Q107)&lt;0,0,(P107-Q107))</f>
        <v>0</v>
      </c>
      <c r="U107" s="12">
        <f>IF((Q107-P107)&lt;0,0,(Q107-P107))</f>
        <v>0</v>
      </c>
      <c r="V107" s="12">
        <f>Table1[[#This Row],[Enrolment S.Y. 2025-2026 ]]*8</f>
        <v>0</v>
      </c>
      <c r="W107" s="12"/>
      <c r="X107" s="10"/>
      <c r="Y107" s="12"/>
      <c r="Z107" s="12">
        <f>IF((V107-W107)&lt;0,0,(V107-W107))</f>
        <v>0</v>
      </c>
      <c r="AA107" s="12">
        <f>IF((W107-V107)&lt;0,0,(W107-V107))</f>
        <v>0</v>
      </c>
    </row>
    <row r="108" spans="1:27" ht="19.149999999999999">
      <c r="A108" s="10">
        <v>10</v>
      </c>
      <c r="B108" s="11" t="s">
        <v>21</v>
      </c>
      <c r="C108" s="10"/>
      <c r="D108" s="12">
        <f>Table1[[#This Row],[Enrolment S.Y. 2025-2026 ]]*8</f>
        <v>0</v>
      </c>
      <c r="E108" s="12"/>
      <c r="F108" s="10"/>
      <c r="G108" s="12"/>
      <c r="H108" s="12">
        <f>IF((D108-E108)&lt;0,0,(D108-E108))</f>
        <v>0</v>
      </c>
      <c r="I108" s="12">
        <f>IF((E108-D108)&lt;0,0,(E108-D108))</f>
        <v>0</v>
      </c>
      <c r="J108" s="12">
        <f>Table1[[#This Row],[Enrolment S.Y. 2025-2026 ]]*8</f>
        <v>0</v>
      </c>
      <c r="K108" s="12"/>
      <c r="L108" s="10"/>
      <c r="M108" s="12"/>
      <c r="N108" s="12">
        <f>IF((J108-K108)&lt;0,0,(J108-K108))</f>
        <v>0</v>
      </c>
      <c r="O108" s="12">
        <f>IF((K108-J108)&lt;0,0,(K108-J108))</f>
        <v>0</v>
      </c>
      <c r="P108" s="12">
        <f>Table1[[#This Row],[Enrolment S.Y. 2025-2026 ]]*8</f>
        <v>0</v>
      </c>
      <c r="Q108" s="12"/>
      <c r="R108" s="10"/>
      <c r="S108" s="12"/>
      <c r="T108" s="12">
        <f>IF((P108-Q108)&lt;0,0,(P108-Q108))</f>
        <v>0</v>
      </c>
      <c r="U108" s="12">
        <f>IF((Q108-P108)&lt;0,0,(Q108-P108))</f>
        <v>0</v>
      </c>
      <c r="V108" s="12">
        <f>Table1[[#This Row],[Enrolment S.Y. 2025-2026 ]]*8</f>
        <v>0</v>
      </c>
      <c r="W108" s="12"/>
      <c r="X108" s="10"/>
      <c r="Y108" s="12"/>
      <c r="Z108" s="12">
        <f>IF((V108-W108)&lt;0,0,(V108-W108))</f>
        <v>0</v>
      </c>
      <c r="AA108" s="12">
        <f>IF((W108-V108)&lt;0,0,(W108-V108))</f>
        <v>0</v>
      </c>
    </row>
    <row r="109" spans="1:27" s="7" customFormat="1" ht="19.149999999999999">
      <c r="J109" s="13"/>
      <c r="M109" s="5"/>
      <c r="N109" s="13"/>
      <c r="O109" s="13"/>
      <c r="P109" s="13"/>
      <c r="S109" s="5"/>
      <c r="T109" s="13"/>
      <c r="U109" s="13"/>
      <c r="V109" s="13"/>
      <c r="Y109" s="5"/>
      <c r="Z109" s="13"/>
      <c r="AA109" s="13"/>
    </row>
    <row r="110" spans="1:27" ht="38.450000000000003">
      <c r="A110" s="1" t="s">
        <v>25</v>
      </c>
      <c r="B110" s="9" t="s">
        <v>26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37"/>
        <v>0</v>
      </c>
      <c r="I110" s="5">
        <f t="shared" si="38"/>
        <v>0</v>
      </c>
      <c r="J110" s="5">
        <f>Table1[[#This Row],[Enrolment S.Y. 2025-2026 ]]*8</f>
        <v>0</v>
      </c>
      <c r="K110" s="5"/>
      <c r="L110" s="1"/>
      <c r="M110" s="5"/>
      <c r="N110" s="5">
        <f t="shared" si="31"/>
        <v>0</v>
      </c>
      <c r="O110" s="5">
        <f t="shared" si="32"/>
        <v>0</v>
      </c>
      <c r="P110" s="5">
        <f>Table1[[#This Row],[Enrolment S.Y. 2025-2026 ]]*8</f>
        <v>0</v>
      </c>
      <c r="Q110" s="5"/>
      <c r="R110" s="1"/>
      <c r="S110" s="5"/>
      <c r="T110" s="5">
        <f t="shared" si="33"/>
        <v>0</v>
      </c>
      <c r="U110" s="5">
        <f t="shared" si="34"/>
        <v>0</v>
      </c>
      <c r="V110" s="5">
        <f>Table1[[#This Row],[Enrolment S.Y. 2025-2026 ]]*8</f>
        <v>0</v>
      </c>
      <c r="W110" s="5"/>
      <c r="X110" s="1"/>
      <c r="Y110" s="5"/>
      <c r="Z110" s="5">
        <f t="shared" si="35"/>
        <v>0</v>
      </c>
      <c r="AA110" s="5">
        <f t="shared" si="36"/>
        <v>0</v>
      </c>
    </row>
    <row r="111" spans="1:27" ht="19.149999999999999">
      <c r="A111" s="1" t="s">
        <v>25</v>
      </c>
      <c r="B111" s="9" t="s">
        <v>27</v>
      </c>
      <c r="C111" s="1"/>
      <c r="D111" s="5">
        <f>Table1[[#This Row],[Enrolment S.Y. 2025-2026 ]]*8</f>
        <v>0</v>
      </c>
      <c r="E111" s="5"/>
      <c r="F111" s="1"/>
      <c r="G111" s="5"/>
      <c r="H111" s="5">
        <f t="shared" si="37"/>
        <v>0</v>
      </c>
      <c r="I111" s="5">
        <f t="shared" si="38"/>
        <v>0</v>
      </c>
      <c r="J111" s="5">
        <f>Table1[[#This Row],[Enrolment S.Y. 2025-2026 ]]*8</f>
        <v>0</v>
      </c>
      <c r="K111" s="5"/>
      <c r="L111" s="1"/>
      <c r="M111" s="5"/>
      <c r="N111" s="5">
        <f t="shared" si="31"/>
        <v>0</v>
      </c>
      <c r="O111" s="5">
        <f t="shared" si="32"/>
        <v>0</v>
      </c>
      <c r="P111" s="5">
        <f>Table1[[#This Row],[Enrolment S.Y. 2025-2026 ]]*8</f>
        <v>0</v>
      </c>
      <c r="Q111" s="5"/>
      <c r="R111" s="1"/>
      <c r="S111" s="5"/>
      <c r="T111" s="5">
        <f t="shared" si="33"/>
        <v>0</v>
      </c>
      <c r="U111" s="5">
        <f t="shared" si="34"/>
        <v>0</v>
      </c>
      <c r="V111" s="5">
        <f>Table1[[#This Row],[Enrolment S.Y. 2025-2026 ]]*8</f>
        <v>0</v>
      </c>
      <c r="W111" s="5"/>
      <c r="X111" s="1"/>
      <c r="Y111" s="5"/>
      <c r="Z111" s="5">
        <f t="shared" si="35"/>
        <v>0</v>
      </c>
      <c r="AA111" s="5">
        <f t="shared" si="36"/>
        <v>0</v>
      </c>
    </row>
    <row r="112" spans="1:27" ht="19.149999999999999">
      <c r="A112" s="1" t="s">
        <v>25</v>
      </c>
      <c r="B112" s="9" t="s">
        <v>28</v>
      </c>
      <c r="C112" s="1"/>
      <c r="D112" s="5">
        <f>Table1[[#This Row],[Enrolment S.Y. 2025-2026 ]]*8</f>
        <v>0</v>
      </c>
      <c r="E112" s="5"/>
      <c r="F112" s="1"/>
      <c r="G112" s="5"/>
      <c r="H112" s="5">
        <f t="shared" si="37"/>
        <v>0</v>
      </c>
      <c r="I112" s="5">
        <f t="shared" si="38"/>
        <v>0</v>
      </c>
      <c r="J112" s="5">
        <f>Table1[[#This Row],[Enrolment S.Y. 2025-2026 ]]*8</f>
        <v>0</v>
      </c>
      <c r="K112" s="5"/>
      <c r="L112" s="1"/>
      <c r="M112" s="5"/>
      <c r="N112" s="5">
        <f t="shared" si="31"/>
        <v>0</v>
      </c>
      <c r="O112" s="5">
        <f t="shared" si="32"/>
        <v>0</v>
      </c>
      <c r="P112" s="5">
        <f>Table1[[#This Row],[Enrolment S.Y. 2025-2026 ]]*8</f>
        <v>0</v>
      </c>
      <c r="Q112" s="5"/>
      <c r="R112" s="1"/>
      <c r="S112" s="5"/>
      <c r="T112" s="5">
        <f t="shared" si="33"/>
        <v>0</v>
      </c>
      <c r="U112" s="5">
        <f t="shared" si="34"/>
        <v>0</v>
      </c>
      <c r="V112" s="5">
        <f>Table1[[#This Row],[Enrolment S.Y. 2025-2026 ]]*8</f>
        <v>0</v>
      </c>
      <c r="W112" s="5"/>
      <c r="X112" s="1"/>
      <c r="Y112" s="5"/>
      <c r="Z112" s="5">
        <f t="shared" si="35"/>
        <v>0</v>
      </c>
      <c r="AA112" s="5">
        <f t="shared" si="36"/>
        <v>0</v>
      </c>
    </row>
    <row r="113" spans="1:27" ht="19.149999999999999">
      <c r="A113" s="1" t="s">
        <v>25</v>
      </c>
      <c r="B113" s="9" t="s">
        <v>29</v>
      </c>
      <c r="C113" s="1"/>
      <c r="D113" s="5">
        <f>Table1[[#This Row],[Enrolment S.Y. 2025-2026 ]]*8</f>
        <v>0</v>
      </c>
      <c r="E113" s="5"/>
      <c r="F113" s="1"/>
      <c r="G113" s="5"/>
      <c r="H113" s="5">
        <f t="shared" si="37"/>
        <v>0</v>
      </c>
      <c r="I113" s="5">
        <f t="shared" si="38"/>
        <v>0</v>
      </c>
      <c r="J113" s="5">
        <f>Table1[[#This Row],[Enrolment S.Y. 2025-2026 ]]*8</f>
        <v>0</v>
      </c>
      <c r="K113" s="5"/>
      <c r="L113" s="1"/>
      <c r="M113" s="5"/>
      <c r="N113" s="5">
        <f t="shared" si="31"/>
        <v>0</v>
      </c>
      <c r="O113" s="5">
        <f t="shared" si="32"/>
        <v>0</v>
      </c>
      <c r="P113" s="5">
        <f>Table1[[#This Row],[Enrolment S.Y. 2025-2026 ]]*8</f>
        <v>0</v>
      </c>
      <c r="Q113" s="5"/>
      <c r="R113" s="1"/>
      <c r="S113" s="5"/>
      <c r="T113" s="5">
        <f t="shared" si="33"/>
        <v>0</v>
      </c>
      <c r="U113" s="5">
        <f t="shared" si="34"/>
        <v>0</v>
      </c>
      <c r="V113" s="5">
        <f>Table1[[#This Row],[Enrolment S.Y. 2025-2026 ]]*8</f>
        <v>0</v>
      </c>
      <c r="W113" s="5"/>
      <c r="X113" s="1"/>
      <c r="Y113" s="5"/>
      <c r="Z113" s="5">
        <f t="shared" si="35"/>
        <v>0</v>
      </c>
      <c r="AA113" s="5">
        <f t="shared" si="36"/>
        <v>0</v>
      </c>
    </row>
    <row r="114" spans="1:27" ht="38.450000000000003">
      <c r="A114" s="1" t="s">
        <v>25</v>
      </c>
      <c r="B114" s="9" t="s">
        <v>30</v>
      </c>
      <c r="C114" s="1"/>
      <c r="D114" s="5">
        <f>Table1[[#This Row],[Enrolment S.Y. 2025-2026 ]]*8</f>
        <v>0</v>
      </c>
      <c r="E114" s="5"/>
      <c r="F114" s="1"/>
      <c r="G114" s="5"/>
      <c r="H114" s="5">
        <f t="shared" si="37"/>
        <v>0</v>
      </c>
      <c r="I114" s="5">
        <f t="shared" si="38"/>
        <v>0</v>
      </c>
      <c r="J114" s="5">
        <f>Table1[[#This Row],[Enrolment S.Y. 2025-2026 ]]*8</f>
        <v>0</v>
      </c>
      <c r="K114" s="5"/>
      <c r="L114" s="1"/>
      <c r="M114" s="5"/>
      <c r="N114" s="5">
        <f t="shared" si="31"/>
        <v>0</v>
      </c>
      <c r="O114" s="5">
        <f t="shared" si="32"/>
        <v>0</v>
      </c>
      <c r="P114" s="5">
        <f>Table1[[#This Row],[Enrolment S.Y. 2025-2026 ]]*8</f>
        <v>0</v>
      </c>
      <c r="Q114" s="5"/>
      <c r="R114" s="1"/>
      <c r="S114" s="5"/>
      <c r="T114" s="5">
        <f t="shared" si="33"/>
        <v>0</v>
      </c>
      <c r="U114" s="5">
        <f t="shared" si="34"/>
        <v>0</v>
      </c>
      <c r="V114" s="5">
        <f>Table1[[#This Row],[Enrolment S.Y. 2025-2026 ]]*8</f>
        <v>0</v>
      </c>
      <c r="W114" s="5"/>
      <c r="X114" s="1"/>
      <c r="Y114" s="5"/>
      <c r="Z114" s="5">
        <f t="shared" si="35"/>
        <v>0</v>
      </c>
      <c r="AA114" s="5">
        <f t="shared" si="36"/>
        <v>0</v>
      </c>
    </row>
    <row r="115" spans="1:27" ht="19.149999999999999">
      <c r="A115" s="1" t="s">
        <v>25</v>
      </c>
      <c r="B115" s="9" t="s">
        <v>31</v>
      </c>
      <c r="C115" s="1"/>
      <c r="D115" s="5">
        <f>Table1[[#This Row],[Enrolment S.Y. 2025-2026 ]]*8</f>
        <v>0</v>
      </c>
      <c r="E115" s="5"/>
      <c r="F115" s="1"/>
      <c r="G115" s="5"/>
      <c r="H115" s="5">
        <f t="shared" si="37"/>
        <v>0</v>
      </c>
      <c r="I115" s="5">
        <f t="shared" si="38"/>
        <v>0</v>
      </c>
      <c r="J115" s="5">
        <f>Table1[[#This Row],[Enrolment S.Y. 2025-2026 ]]*8</f>
        <v>0</v>
      </c>
      <c r="K115" s="5"/>
      <c r="L115" s="1"/>
      <c r="M115" s="5"/>
      <c r="N115" s="5">
        <f t="shared" si="31"/>
        <v>0</v>
      </c>
      <c r="O115" s="5">
        <f t="shared" si="32"/>
        <v>0</v>
      </c>
      <c r="P115" s="5">
        <f>Table1[[#This Row],[Enrolment S.Y. 2025-2026 ]]*8</f>
        <v>0</v>
      </c>
      <c r="Q115" s="5"/>
      <c r="R115" s="1"/>
      <c r="S115" s="5"/>
      <c r="T115" s="5">
        <f t="shared" si="33"/>
        <v>0</v>
      </c>
      <c r="U115" s="5">
        <f t="shared" si="34"/>
        <v>0</v>
      </c>
      <c r="V115" s="5">
        <f>Table1[[#This Row],[Enrolment S.Y. 2025-2026 ]]*8</f>
        <v>0</v>
      </c>
      <c r="W115" s="5"/>
      <c r="X115" s="1"/>
      <c r="Y115" s="5"/>
      <c r="Z115" s="5">
        <f t="shared" si="35"/>
        <v>0</v>
      </c>
      <c r="AA115" s="5">
        <f t="shared" si="36"/>
        <v>0</v>
      </c>
    </row>
    <row r="116" spans="1:27" ht="38.450000000000003">
      <c r="A116" s="1" t="s">
        <v>25</v>
      </c>
      <c r="B116" s="9" t="s">
        <v>32</v>
      </c>
      <c r="C116" s="1"/>
      <c r="D116" s="5">
        <f>Table1[[#This Row],[Enrolment S.Y. 2025-2026 ]]*8</f>
        <v>0</v>
      </c>
      <c r="E116" s="5"/>
      <c r="F116" s="1"/>
      <c r="G116" s="5"/>
      <c r="H116" s="5">
        <f t="shared" si="37"/>
        <v>0</v>
      </c>
      <c r="I116" s="5">
        <f t="shared" si="38"/>
        <v>0</v>
      </c>
      <c r="J116" s="5">
        <f>Table1[[#This Row],[Enrolment S.Y. 2025-2026 ]]*8</f>
        <v>0</v>
      </c>
      <c r="K116" s="5"/>
      <c r="L116" s="1"/>
      <c r="M116" s="5"/>
      <c r="N116" s="5">
        <f t="shared" si="31"/>
        <v>0</v>
      </c>
      <c r="O116" s="5">
        <f t="shared" si="32"/>
        <v>0</v>
      </c>
      <c r="P116" s="5">
        <f>Table1[[#This Row],[Enrolment S.Y. 2025-2026 ]]*8</f>
        <v>0</v>
      </c>
      <c r="Q116" s="5"/>
      <c r="R116" s="1"/>
      <c r="S116" s="5"/>
      <c r="T116" s="5">
        <f t="shared" si="33"/>
        <v>0</v>
      </c>
      <c r="U116" s="5">
        <f t="shared" si="34"/>
        <v>0</v>
      </c>
      <c r="V116" s="5">
        <f>Table1[[#This Row],[Enrolment S.Y. 2025-2026 ]]*8</f>
        <v>0</v>
      </c>
      <c r="W116" s="5"/>
      <c r="X116" s="1"/>
      <c r="Y116" s="5"/>
      <c r="Z116" s="5">
        <f t="shared" si="35"/>
        <v>0</v>
      </c>
      <c r="AA116" s="5">
        <f t="shared" si="36"/>
        <v>0</v>
      </c>
    </row>
    <row r="117" spans="1:27" ht="38.450000000000003">
      <c r="A117" s="1" t="s">
        <v>25</v>
      </c>
      <c r="B117" s="9" t="s">
        <v>33</v>
      </c>
      <c r="C117" s="1"/>
      <c r="D117" s="5">
        <f>Table1[[#This Row],[Enrolment S.Y. 2025-2026 ]]*8</f>
        <v>0</v>
      </c>
      <c r="E117" s="5"/>
      <c r="F117" s="1"/>
      <c r="G117" s="5"/>
      <c r="H117" s="5">
        <f t="shared" si="37"/>
        <v>0</v>
      </c>
      <c r="I117" s="5">
        <f t="shared" si="38"/>
        <v>0</v>
      </c>
      <c r="J117" s="5">
        <f>Table1[[#This Row],[Enrolment S.Y. 2025-2026 ]]*8</f>
        <v>0</v>
      </c>
      <c r="K117" s="5"/>
      <c r="L117" s="1"/>
      <c r="M117" s="5"/>
      <c r="N117" s="5">
        <f t="shared" si="31"/>
        <v>0</v>
      </c>
      <c r="O117" s="5">
        <f t="shared" si="32"/>
        <v>0</v>
      </c>
      <c r="P117" s="5">
        <f>Table1[[#This Row],[Enrolment S.Y. 2025-2026 ]]*8</f>
        <v>0</v>
      </c>
      <c r="Q117" s="5"/>
      <c r="R117" s="1"/>
      <c r="S117" s="5"/>
      <c r="T117" s="5">
        <f t="shared" si="33"/>
        <v>0</v>
      </c>
      <c r="U117" s="5">
        <f t="shared" si="34"/>
        <v>0</v>
      </c>
      <c r="V117" s="5">
        <f>Table1[[#This Row],[Enrolment S.Y. 2025-2026 ]]*8</f>
        <v>0</v>
      </c>
      <c r="W117" s="5"/>
      <c r="X117" s="1"/>
      <c r="Y117" s="5"/>
      <c r="Z117" s="5">
        <f t="shared" si="35"/>
        <v>0</v>
      </c>
      <c r="AA117" s="5">
        <f t="shared" si="36"/>
        <v>0</v>
      </c>
    </row>
    <row r="118" spans="1:27" s="7" customFormat="1" ht="19.149999999999999">
      <c r="J118" s="13"/>
      <c r="N118" s="13"/>
      <c r="O118" s="13"/>
      <c r="P118" s="13"/>
      <c r="T118" s="13"/>
      <c r="U118" s="13"/>
      <c r="V118" s="13"/>
      <c r="Z118" s="13"/>
      <c r="AA118" s="13"/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37"/>
        <v>0</v>
      </c>
      <c r="I119" s="5">
        <f t="shared" si="38"/>
        <v>0</v>
      </c>
      <c r="J119" s="5">
        <f>Table1[[#This Row],[Enrolment S.Y. 2025-2026 ]]*8</f>
        <v>0</v>
      </c>
      <c r="K119" s="5"/>
      <c r="L119" s="1"/>
      <c r="M119" s="5"/>
      <c r="N119" s="5">
        <f t="shared" si="31"/>
        <v>0</v>
      </c>
      <c r="O119" s="5">
        <f t="shared" si="32"/>
        <v>0</v>
      </c>
      <c r="P119" s="5">
        <f>Table1[[#This Row],[Enrolment S.Y. 2025-2026 ]]*8</f>
        <v>0</v>
      </c>
      <c r="Q119" s="5"/>
      <c r="R119" s="1"/>
      <c r="S119" s="5"/>
      <c r="T119" s="5">
        <f t="shared" si="33"/>
        <v>0</v>
      </c>
      <c r="U119" s="5">
        <f t="shared" si="34"/>
        <v>0</v>
      </c>
      <c r="V119" s="5">
        <f>Table1[[#This Row],[Enrolment S.Y. 2025-2026 ]]*8</f>
        <v>0</v>
      </c>
      <c r="W119" s="5"/>
      <c r="X119" s="1"/>
      <c r="Y119" s="5"/>
      <c r="Z119" s="5">
        <f t="shared" si="35"/>
        <v>0</v>
      </c>
      <c r="AA119" s="5">
        <f t="shared" si="36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37"/>
        <v>0</v>
      </c>
      <c r="I120" s="5">
        <f t="shared" si="38"/>
        <v>0</v>
      </c>
      <c r="J120" s="5">
        <f>Table1[[#This Row],[Enrolment S.Y. 2025-2026 ]]*8</f>
        <v>0</v>
      </c>
      <c r="K120" s="5"/>
      <c r="L120" s="1"/>
      <c r="M120" s="5"/>
      <c r="N120" s="5">
        <f t="shared" si="31"/>
        <v>0</v>
      </c>
      <c r="O120" s="5">
        <f t="shared" si="32"/>
        <v>0</v>
      </c>
      <c r="P120" s="5">
        <f>Table1[[#This Row],[Enrolment S.Y. 2025-2026 ]]*8</f>
        <v>0</v>
      </c>
      <c r="Q120" s="5"/>
      <c r="R120" s="1"/>
      <c r="S120" s="5"/>
      <c r="T120" s="5">
        <f t="shared" si="33"/>
        <v>0</v>
      </c>
      <c r="U120" s="5">
        <f t="shared" si="34"/>
        <v>0</v>
      </c>
      <c r="V120" s="5">
        <f>Table1[[#This Row],[Enrolment S.Y. 2025-2026 ]]*8</f>
        <v>0</v>
      </c>
      <c r="W120" s="5"/>
      <c r="X120" s="1"/>
      <c r="Y120" s="5"/>
      <c r="Z120" s="5">
        <f t="shared" si="35"/>
        <v>0</v>
      </c>
      <c r="AA120" s="5">
        <f t="shared" si="36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37"/>
        <v>0</v>
      </c>
      <c r="I121" s="5">
        <f t="shared" si="38"/>
        <v>0</v>
      </c>
      <c r="J121" s="5">
        <f>Table1[[#This Row],[Enrolment S.Y. 2025-2026 ]]*8</f>
        <v>0</v>
      </c>
      <c r="K121" s="5"/>
      <c r="L121" s="1"/>
      <c r="M121" s="5"/>
      <c r="N121" s="5">
        <f t="shared" si="31"/>
        <v>0</v>
      </c>
      <c r="O121" s="5">
        <f t="shared" si="32"/>
        <v>0</v>
      </c>
      <c r="P121" s="5">
        <f>Table1[[#This Row],[Enrolment S.Y. 2025-2026 ]]*8</f>
        <v>0</v>
      </c>
      <c r="Q121" s="5"/>
      <c r="R121" s="1"/>
      <c r="S121" s="5"/>
      <c r="T121" s="5">
        <f t="shared" si="33"/>
        <v>0</v>
      </c>
      <c r="U121" s="5">
        <f t="shared" si="34"/>
        <v>0</v>
      </c>
      <c r="V121" s="5">
        <f>Table1[[#This Row],[Enrolment S.Y. 2025-2026 ]]*8</f>
        <v>0</v>
      </c>
      <c r="W121" s="5"/>
      <c r="X121" s="1"/>
      <c r="Y121" s="5"/>
      <c r="Z121" s="5">
        <f t="shared" si="35"/>
        <v>0</v>
      </c>
      <c r="AA121" s="5">
        <f t="shared" si="36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37"/>
        <v>0</v>
      </c>
      <c r="I122" s="5">
        <f t="shared" si="38"/>
        <v>0</v>
      </c>
      <c r="J122" s="5">
        <f>Table1[[#This Row],[Enrolment S.Y. 2025-2026 ]]*8</f>
        <v>0</v>
      </c>
      <c r="K122" s="5"/>
      <c r="L122" s="1"/>
      <c r="M122" s="5"/>
      <c r="N122" s="5">
        <f t="shared" si="31"/>
        <v>0</v>
      </c>
      <c r="O122" s="5">
        <f t="shared" si="32"/>
        <v>0</v>
      </c>
      <c r="P122" s="5">
        <f>Table1[[#This Row],[Enrolment S.Y. 2025-2026 ]]*8</f>
        <v>0</v>
      </c>
      <c r="Q122" s="5"/>
      <c r="R122" s="1"/>
      <c r="S122" s="5"/>
      <c r="T122" s="5">
        <f t="shared" si="33"/>
        <v>0</v>
      </c>
      <c r="U122" s="5">
        <f t="shared" si="34"/>
        <v>0</v>
      </c>
      <c r="V122" s="5">
        <f>Table1[[#This Row],[Enrolment S.Y. 2025-2026 ]]*8</f>
        <v>0</v>
      </c>
      <c r="W122" s="5"/>
      <c r="X122" s="1"/>
      <c r="Y122" s="5"/>
      <c r="Z122" s="5">
        <f t="shared" si="35"/>
        <v>0</v>
      </c>
      <c r="AA122" s="5">
        <f t="shared" si="36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37"/>
        <v>0</v>
      </c>
      <c r="I123" s="5">
        <f t="shared" si="38"/>
        <v>0</v>
      </c>
      <c r="J123" s="5">
        <f>Table1[[#This Row],[Enrolment S.Y. 2025-2026 ]]*8</f>
        <v>0</v>
      </c>
      <c r="K123" s="5"/>
      <c r="L123" s="1"/>
      <c r="M123" s="5"/>
      <c r="N123" s="5">
        <f t="shared" si="31"/>
        <v>0</v>
      </c>
      <c r="O123" s="5">
        <f t="shared" si="32"/>
        <v>0</v>
      </c>
      <c r="P123" s="5">
        <f>Table1[[#This Row],[Enrolment S.Y. 2025-2026 ]]*8</f>
        <v>0</v>
      </c>
      <c r="Q123" s="5"/>
      <c r="R123" s="1"/>
      <c r="S123" s="5"/>
      <c r="T123" s="5">
        <f t="shared" si="33"/>
        <v>0</v>
      </c>
      <c r="U123" s="5">
        <f t="shared" si="34"/>
        <v>0</v>
      </c>
      <c r="V123" s="5">
        <f>Table1[[#This Row],[Enrolment S.Y. 2025-2026 ]]*8</f>
        <v>0</v>
      </c>
      <c r="W123" s="5"/>
      <c r="X123" s="1"/>
      <c r="Y123" s="5"/>
      <c r="Z123" s="5">
        <f t="shared" si="35"/>
        <v>0</v>
      </c>
      <c r="AA123" s="5">
        <f t="shared" si="36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37"/>
        <v>0</v>
      </c>
      <c r="I124" s="5">
        <f t="shared" si="38"/>
        <v>0</v>
      </c>
      <c r="J124" s="5">
        <f>Table1[[#This Row],[Enrolment S.Y. 2025-2026 ]]*8</f>
        <v>0</v>
      </c>
      <c r="K124" s="5"/>
      <c r="L124" s="1"/>
      <c r="M124" s="5"/>
      <c r="N124" s="5">
        <f t="shared" si="31"/>
        <v>0</v>
      </c>
      <c r="O124" s="5">
        <f t="shared" si="32"/>
        <v>0</v>
      </c>
      <c r="P124" s="5">
        <f>Table1[[#This Row],[Enrolment S.Y. 2025-2026 ]]*8</f>
        <v>0</v>
      </c>
      <c r="Q124" s="5"/>
      <c r="R124" s="1"/>
      <c r="S124" s="5"/>
      <c r="T124" s="5">
        <f t="shared" si="33"/>
        <v>0</v>
      </c>
      <c r="U124" s="5">
        <f t="shared" si="34"/>
        <v>0</v>
      </c>
      <c r="V124" s="5">
        <f>Table1[[#This Row],[Enrolment S.Y. 2025-2026 ]]*8</f>
        <v>0</v>
      </c>
      <c r="W124" s="5"/>
      <c r="X124" s="1"/>
      <c r="Y124" s="5"/>
      <c r="Z124" s="5">
        <f t="shared" si="35"/>
        <v>0</v>
      </c>
      <c r="AA124" s="5">
        <f t="shared" si="36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37"/>
        <v>0</v>
      </c>
      <c r="I125" s="5">
        <f t="shared" si="38"/>
        <v>0</v>
      </c>
      <c r="J125" s="5">
        <f>Table1[[#This Row],[Enrolment S.Y. 2025-2026 ]]*8</f>
        <v>0</v>
      </c>
      <c r="K125" s="5"/>
      <c r="L125" s="1"/>
      <c r="M125" s="5"/>
      <c r="N125" s="5">
        <f t="shared" si="31"/>
        <v>0</v>
      </c>
      <c r="O125" s="5">
        <f t="shared" si="32"/>
        <v>0</v>
      </c>
      <c r="P125" s="5">
        <f>Table1[[#This Row],[Enrolment S.Y. 2025-2026 ]]*8</f>
        <v>0</v>
      </c>
      <c r="Q125" s="5"/>
      <c r="R125" s="1"/>
      <c r="S125" s="5"/>
      <c r="T125" s="5">
        <f t="shared" si="33"/>
        <v>0</v>
      </c>
      <c r="U125" s="5">
        <f t="shared" si="34"/>
        <v>0</v>
      </c>
      <c r="V125" s="5">
        <f>Table1[[#This Row],[Enrolment S.Y. 2025-2026 ]]*8</f>
        <v>0</v>
      </c>
      <c r="W125" s="5"/>
      <c r="X125" s="1"/>
      <c r="Y125" s="5"/>
      <c r="Z125" s="5">
        <f t="shared" si="35"/>
        <v>0</v>
      </c>
      <c r="AA125" s="5">
        <f t="shared" si="36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37"/>
        <v>0</v>
      </c>
      <c r="I126" s="5">
        <f t="shared" si="38"/>
        <v>0</v>
      </c>
      <c r="J126" s="5">
        <f>Table1[[#This Row],[Enrolment S.Y. 2025-2026 ]]*8</f>
        <v>0</v>
      </c>
      <c r="K126" s="5"/>
      <c r="L126" s="1"/>
      <c r="M126" s="5"/>
      <c r="N126" s="5">
        <f t="shared" si="31"/>
        <v>0</v>
      </c>
      <c r="O126" s="5">
        <f t="shared" si="32"/>
        <v>0</v>
      </c>
      <c r="P126" s="5">
        <f>Table1[[#This Row],[Enrolment S.Y. 2025-2026 ]]*8</f>
        <v>0</v>
      </c>
      <c r="Q126" s="5"/>
      <c r="R126" s="1"/>
      <c r="S126" s="5"/>
      <c r="T126" s="5">
        <f t="shared" si="33"/>
        <v>0</v>
      </c>
      <c r="U126" s="5">
        <f t="shared" si="34"/>
        <v>0</v>
      </c>
      <c r="V126" s="5">
        <f>Table1[[#This Row],[Enrolment S.Y. 2025-2026 ]]*8</f>
        <v>0</v>
      </c>
      <c r="W126" s="5"/>
      <c r="X126" s="1"/>
      <c r="Y126" s="5"/>
      <c r="Z126" s="5">
        <f t="shared" si="35"/>
        <v>0</v>
      </c>
      <c r="AA126" s="5">
        <f t="shared" si="36"/>
        <v>0</v>
      </c>
    </row>
    <row r="127" spans="1:27" ht="19.149999999999999">
      <c r="A127" s="1"/>
      <c r="B127" s="9"/>
      <c r="C127" s="1"/>
      <c r="D127" s="5"/>
      <c r="E127" s="5"/>
      <c r="F127" s="1"/>
      <c r="G127" s="5"/>
      <c r="H127" s="5">
        <f t="shared" si="37"/>
        <v>0</v>
      </c>
      <c r="I127" s="5">
        <f t="shared" si="38"/>
        <v>0</v>
      </c>
      <c r="J127" s="5">
        <f>Table1[[#This Row],[Enrolment S.Y. 2025-2026 ]]*8</f>
        <v>0</v>
      </c>
      <c r="K127" s="5"/>
      <c r="L127" s="1"/>
      <c r="M127" s="5"/>
      <c r="N127" s="5">
        <f t="shared" si="31"/>
        <v>0</v>
      </c>
      <c r="O127" s="5">
        <f t="shared" si="32"/>
        <v>0</v>
      </c>
      <c r="P127" s="5">
        <f>Table1[[#This Row],[Enrolment S.Y. 2025-2026 ]]*8</f>
        <v>0</v>
      </c>
      <c r="Q127" s="5"/>
      <c r="R127" s="1"/>
      <c r="S127" s="5"/>
      <c r="T127" s="5">
        <f t="shared" si="33"/>
        <v>0</v>
      </c>
      <c r="U127" s="5">
        <f t="shared" si="34"/>
        <v>0</v>
      </c>
      <c r="V127" s="5">
        <f>Table1[[#This Row],[Enrolment S.Y. 2025-2026 ]]*8</f>
        <v>0</v>
      </c>
      <c r="W127" s="5"/>
      <c r="X127" s="1"/>
      <c r="Y127" s="5"/>
      <c r="Z127" s="5">
        <f t="shared" si="35"/>
        <v>0</v>
      </c>
      <c r="AA127" s="5">
        <f t="shared" si="36"/>
        <v>0</v>
      </c>
    </row>
    <row r="128" spans="1:27" ht="19.149999999999999">
      <c r="A128" s="1"/>
      <c r="B128" s="9"/>
      <c r="C128" s="1"/>
      <c r="D128" s="5"/>
      <c r="E128" s="5"/>
      <c r="F128" s="1"/>
      <c r="G128" s="5"/>
      <c r="H128" s="5">
        <f t="shared" si="37"/>
        <v>0</v>
      </c>
      <c r="I128" s="5">
        <f t="shared" si="38"/>
        <v>0</v>
      </c>
      <c r="J128" s="5">
        <f>Table1[[#This Row],[Enrolment S.Y. 2025-2026 ]]*8</f>
        <v>0</v>
      </c>
      <c r="K128" s="5"/>
      <c r="L128" s="1"/>
      <c r="M128" s="5"/>
      <c r="N128" s="5">
        <f t="shared" si="31"/>
        <v>0</v>
      </c>
      <c r="O128" s="5">
        <f t="shared" si="32"/>
        <v>0</v>
      </c>
      <c r="P128" s="5">
        <f>Table1[[#This Row],[Enrolment S.Y. 2025-2026 ]]*8</f>
        <v>0</v>
      </c>
      <c r="Q128" s="5"/>
      <c r="R128" s="1"/>
      <c r="S128" s="5"/>
      <c r="T128" s="5">
        <f t="shared" si="33"/>
        <v>0</v>
      </c>
      <c r="U128" s="5">
        <f t="shared" si="34"/>
        <v>0</v>
      </c>
      <c r="V128" s="5">
        <f>Table1[[#This Row],[Enrolment S.Y. 2025-2026 ]]*8</f>
        <v>0</v>
      </c>
      <c r="W128" s="5"/>
      <c r="X128" s="1"/>
      <c r="Y128" s="5"/>
      <c r="Z128" s="5">
        <f t="shared" si="35"/>
        <v>0</v>
      </c>
      <c r="AA128" s="5">
        <f t="shared" si="36"/>
        <v>0</v>
      </c>
    </row>
    <row r="129" spans="1:27" ht="19.149999999999999">
      <c r="A129" s="1"/>
      <c r="B129" s="9"/>
      <c r="C129" s="1"/>
      <c r="D129" s="5"/>
      <c r="E129" s="5"/>
      <c r="F129" s="1"/>
      <c r="G129" s="5"/>
      <c r="H129" s="5">
        <f t="shared" si="37"/>
        <v>0</v>
      </c>
      <c r="I129" s="5">
        <f t="shared" si="38"/>
        <v>0</v>
      </c>
      <c r="J129" s="5">
        <f>Table1[[#This Row],[Enrolment S.Y. 2025-2026 ]]*8</f>
        <v>0</v>
      </c>
      <c r="K129" s="5"/>
      <c r="L129" s="1"/>
      <c r="M129" s="5"/>
      <c r="N129" s="5">
        <f t="shared" si="31"/>
        <v>0</v>
      </c>
      <c r="O129" s="5">
        <f t="shared" si="32"/>
        <v>0</v>
      </c>
      <c r="P129" s="5">
        <f>Table1[[#This Row],[Enrolment S.Y. 2025-2026 ]]*8</f>
        <v>0</v>
      </c>
      <c r="Q129" s="5"/>
      <c r="R129" s="1"/>
      <c r="S129" s="5"/>
      <c r="T129" s="5">
        <f t="shared" si="33"/>
        <v>0</v>
      </c>
      <c r="U129" s="5">
        <f t="shared" si="34"/>
        <v>0</v>
      </c>
      <c r="V129" s="5">
        <f>Table1[[#This Row],[Enrolment S.Y. 2025-2026 ]]*8</f>
        <v>0</v>
      </c>
      <c r="W129" s="5"/>
      <c r="X129" s="1"/>
      <c r="Y129" s="5"/>
      <c r="Z129" s="5">
        <f t="shared" si="35"/>
        <v>0</v>
      </c>
      <c r="AA129" s="5">
        <f t="shared" si="36"/>
        <v>0</v>
      </c>
    </row>
    <row r="130" spans="1:27" ht="19.149999999999999">
      <c r="A130" s="1"/>
      <c r="B130" s="9"/>
      <c r="C130" s="1"/>
      <c r="D130" s="5"/>
      <c r="E130" s="5"/>
      <c r="F130" s="1"/>
      <c r="G130" s="5"/>
      <c r="H130" s="5">
        <f t="shared" si="37"/>
        <v>0</v>
      </c>
      <c r="I130" s="5">
        <f t="shared" si="38"/>
        <v>0</v>
      </c>
      <c r="J130" s="5">
        <f>Table1[[#This Row],[Enrolment S.Y. 2025-2026 ]]*8</f>
        <v>0</v>
      </c>
      <c r="K130" s="5"/>
      <c r="L130" s="1"/>
      <c r="M130" s="5"/>
      <c r="N130" s="5">
        <f t="shared" si="31"/>
        <v>0</v>
      </c>
      <c r="O130" s="5">
        <f t="shared" si="32"/>
        <v>0</v>
      </c>
      <c r="P130" s="5">
        <f>Table1[[#This Row],[Enrolment S.Y. 2025-2026 ]]*8</f>
        <v>0</v>
      </c>
      <c r="Q130" s="5"/>
      <c r="R130" s="1"/>
      <c r="S130" s="5"/>
      <c r="T130" s="5">
        <f t="shared" si="33"/>
        <v>0</v>
      </c>
      <c r="U130" s="5">
        <f t="shared" si="34"/>
        <v>0</v>
      </c>
      <c r="V130" s="5">
        <f>Table1[[#This Row],[Enrolment S.Y. 2025-2026 ]]*8</f>
        <v>0</v>
      </c>
      <c r="W130" s="5"/>
      <c r="X130" s="1"/>
      <c r="Y130" s="5"/>
      <c r="Z130" s="5">
        <f t="shared" si="35"/>
        <v>0</v>
      </c>
      <c r="AA130" s="5">
        <f t="shared" si="36"/>
        <v>0</v>
      </c>
    </row>
    <row r="131" spans="1:27" ht="19.149999999999999">
      <c r="A131" s="1"/>
      <c r="B131" s="9"/>
      <c r="C131" s="1"/>
      <c r="D131" s="5"/>
      <c r="E131" s="5"/>
      <c r="F131" s="1"/>
      <c r="G131" s="5"/>
      <c r="H131" s="5">
        <f t="shared" si="37"/>
        <v>0</v>
      </c>
      <c r="I131" s="5">
        <f t="shared" si="38"/>
        <v>0</v>
      </c>
      <c r="J131" s="5">
        <f>Table1[[#This Row],[Enrolment S.Y. 2025-2026 ]]*8</f>
        <v>0</v>
      </c>
      <c r="K131" s="5"/>
      <c r="L131" s="1"/>
      <c r="M131" s="5"/>
      <c r="N131" s="5">
        <f t="shared" si="31"/>
        <v>0</v>
      </c>
      <c r="O131" s="5">
        <f t="shared" si="32"/>
        <v>0</v>
      </c>
      <c r="P131" s="5">
        <f>Table1[[#This Row],[Enrolment S.Y. 2025-2026 ]]*8</f>
        <v>0</v>
      </c>
      <c r="Q131" s="5"/>
      <c r="R131" s="1"/>
      <c r="S131" s="5"/>
      <c r="T131" s="5">
        <f t="shared" si="33"/>
        <v>0</v>
      </c>
      <c r="U131" s="5">
        <f t="shared" si="34"/>
        <v>0</v>
      </c>
      <c r="V131" s="5">
        <f>Table1[[#This Row],[Enrolment S.Y. 2025-2026 ]]*8</f>
        <v>0</v>
      </c>
      <c r="W131" s="5"/>
      <c r="X131" s="1"/>
      <c r="Y131" s="5"/>
      <c r="Z131" s="5">
        <f t="shared" si="35"/>
        <v>0</v>
      </c>
      <c r="AA131" s="5">
        <f t="shared" si="36"/>
        <v>0</v>
      </c>
    </row>
    <row r="132" spans="1:27" ht="19.149999999999999">
      <c r="A132" s="1"/>
      <c r="B132" s="9"/>
      <c r="C132" s="1"/>
      <c r="D132" s="5"/>
      <c r="E132" s="5"/>
      <c r="F132" s="1"/>
      <c r="G132" s="5"/>
      <c r="H132" s="5">
        <f t="shared" si="37"/>
        <v>0</v>
      </c>
      <c r="I132" s="5">
        <f t="shared" si="38"/>
        <v>0</v>
      </c>
      <c r="J132" s="5">
        <f>Table1[[#This Row],[Enrolment S.Y. 2025-2026 ]]*8</f>
        <v>0</v>
      </c>
      <c r="K132" s="5"/>
      <c r="L132" s="1"/>
      <c r="M132" s="5"/>
      <c r="N132" s="5">
        <f t="shared" si="31"/>
        <v>0</v>
      </c>
      <c r="O132" s="5">
        <f t="shared" si="32"/>
        <v>0</v>
      </c>
      <c r="P132" s="5">
        <f>Table1[[#This Row],[Enrolment S.Y. 2025-2026 ]]*8</f>
        <v>0</v>
      </c>
      <c r="Q132" s="5"/>
      <c r="R132" s="1"/>
      <c r="S132" s="5"/>
      <c r="T132" s="5">
        <f t="shared" si="33"/>
        <v>0</v>
      </c>
      <c r="U132" s="5">
        <f t="shared" si="34"/>
        <v>0</v>
      </c>
      <c r="V132" s="5">
        <f>Table1[[#This Row],[Enrolment S.Y. 2025-2026 ]]*8</f>
        <v>0</v>
      </c>
      <c r="W132" s="5"/>
      <c r="X132" s="1"/>
      <c r="Y132" s="5"/>
      <c r="Z132" s="5">
        <f t="shared" si="35"/>
        <v>0</v>
      </c>
      <c r="AA132" s="5">
        <f t="shared" si="36"/>
        <v>0</v>
      </c>
    </row>
    <row r="133" spans="1:27" ht="19.149999999999999">
      <c r="A133" s="1"/>
      <c r="B133" s="9"/>
      <c r="C133" s="1"/>
      <c r="D133" s="5"/>
      <c r="E133" s="5"/>
      <c r="F133" s="1"/>
      <c r="G133" s="5"/>
      <c r="H133" s="5">
        <f t="shared" si="37"/>
        <v>0</v>
      </c>
      <c r="I133" s="5">
        <f t="shared" si="38"/>
        <v>0</v>
      </c>
      <c r="J133" s="5">
        <f>Table1[[#This Row],[Enrolment S.Y. 2025-2026 ]]*8</f>
        <v>0</v>
      </c>
      <c r="K133" s="5"/>
      <c r="L133" s="1"/>
      <c r="M133" s="5"/>
      <c r="N133" s="5">
        <f t="shared" si="31"/>
        <v>0</v>
      </c>
      <c r="O133" s="5">
        <f t="shared" si="32"/>
        <v>0</v>
      </c>
      <c r="P133" s="5">
        <f>Table1[[#This Row],[Enrolment S.Y. 2025-2026 ]]*8</f>
        <v>0</v>
      </c>
      <c r="Q133" s="5"/>
      <c r="R133" s="1"/>
      <c r="S133" s="5"/>
      <c r="T133" s="5">
        <f t="shared" si="33"/>
        <v>0</v>
      </c>
      <c r="U133" s="5">
        <f t="shared" si="34"/>
        <v>0</v>
      </c>
      <c r="V133" s="5">
        <f>Table1[[#This Row],[Enrolment S.Y. 2025-2026 ]]*8</f>
        <v>0</v>
      </c>
      <c r="W133" s="5"/>
      <c r="X133" s="1"/>
      <c r="Y133" s="5"/>
      <c r="Z133" s="5">
        <f t="shared" si="35"/>
        <v>0</v>
      </c>
      <c r="AA133" s="5">
        <f t="shared" si="36"/>
        <v>0</v>
      </c>
    </row>
    <row r="134" spans="1:27" ht="19.149999999999999">
      <c r="A134" s="29"/>
      <c r="B134" s="30"/>
      <c r="C134" s="29"/>
      <c r="D134" s="5"/>
      <c r="E134" s="31"/>
      <c r="F134" s="29"/>
      <c r="G134" s="31"/>
      <c r="H134" s="5">
        <f t="shared" si="37"/>
        <v>0</v>
      </c>
      <c r="I134" s="5">
        <f t="shared" si="38"/>
        <v>0</v>
      </c>
      <c r="J134" s="5">
        <f>Table1[[#This Row],[Enrolment S.Y. 2025-2026 ]]*8</f>
        <v>0</v>
      </c>
      <c r="K134" s="31"/>
      <c r="L134" s="29"/>
      <c r="M134" s="31"/>
      <c r="N134" s="5">
        <f t="shared" ref="N134" si="39">IF((J134-K134)&lt;0,0,(J134-K134))</f>
        <v>0</v>
      </c>
      <c r="O134" s="5">
        <f t="shared" ref="O134" si="40">IF((K134-J134)&lt;0,0,(K134-J134))</f>
        <v>0</v>
      </c>
      <c r="P134" s="5"/>
      <c r="Q134" s="31"/>
      <c r="R134" s="29"/>
      <c r="S134" s="31"/>
      <c r="T134" s="5">
        <f t="shared" si="33"/>
        <v>0</v>
      </c>
      <c r="U134" s="5">
        <f t="shared" si="34"/>
        <v>0</v>
      </c>
      <c r="V134" s="5">
        <f>Table1[[#This Row],[Enrolment S.Y. 2025-2026 ]]*8</f>
        <v>0</v>
      </c>
      <c r="W134" s="31"/>
      <c r="X134" s="29"/>
      <c r="Y134" s="31"/>
      <c r="Z134" s="5">
        <f t="shared" si="35"/>
        <v>0</v>
      </c>
      <c r="AA134" s="5">
        <f t="shared" si="36"/>
        <v>0</v>
      </c>
    </row>
    <row r="135" spans="1:27">
      <c r="J135" t="e">
        <f>#REF!*8</f>
        <v>#REF!</v>
      </c>
    </row>
    <row r="136" spans="1:27">
      <c r="J136" t="e">
        <f>#REF!*8</f>
        <v>#REF!</v>
      </c>
    </row>
    <row r="137" spans="1:27">
      <c r="J137" t="e">
        <f>#REF!*8</f>
        <v>#REF!</v>
      </c>
    </row>
    <row r="138" spans="1:27">
      <c r="J138" t="e">
        <f>#REF!*8</f>
        <v>#REF!</v>
      </c>
    </row>
    <row r="139" spans="1:27">
      <c r="J139" t="e">
        <f>#REF!*8</f>
        <v>#REF!</v>
      </c>
    </row>
    <row r="140" spans="1:27">
      <c r="J140" t="e">
        <f>#REF!*8</f>
        <v>#REF!</v>
      </c>
    </row>
    <row r="141" spans="1:27">
      <c r="J141" t="e">
        <f>#REF!*8</f>
        <v>#REF!</v>
      </c>
    </row>
    <row r="142" spans="1:27">
      <c r="J142" t="e">
        <f>#REF!*8</f>
        <v>#REF!</v>
      </c>
    </row>
    <row r="143" spans="1:27">
      <c r="J143" t="e">
        <f>#REF!*8</f>
        <v>#REF!</v>
      </c>
    </row>
    <row r="144" spans="1:27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 ht="15"/>
    <row r="166" spans="10:10" ht="15"/>
  </sheetData>
  <protectedRanges>
    <protectedRange sqref="C2:C4 C25:C33 C50:C58 C60:C68 C70:C78 C80:C88 C90:C98 C100:C108 C110:C117 C119:C134 C6:C14 C16:C23 C35:C48" name="Textbooks"/>
    <protectedRange sqref="J2:L4 D2:F4 H6:L6 D25:F33 Q25:R33 W25:X33 D35:F48 H35:I48 Q35:R48 W35:X48 H50:I58 Q50:R58 W50:X58 D60:F68 H60:I68 Q60:R68 W60:X68 D70:F78 H70:I78 Q70:R78 W70:X78 D80:F88 H80:I88 Q80:R88 W80:X88 D90:F98 H90:I98 Q90:R98 W90:X98 D100:F108 H100:I108 Q100:R108 W100:X108 D110:F117 H110:I117 Q110:R117 W110:X117 D119:F134 H119:I134 N134:R134 W119:X134 H25:I33 H7:I14 K7:L14 K35:L48 K50:L58 K60:L68 K70:L78 K80:L88 K90:L98 K100:L108 K110:L117 K119:L134 K25:L33 Q119:R133 P2:R2 V2:X4 D6:F14 T6:X14 N5:P5 T5:V5 J5 Y15 Q16:R23 W16:X23 H16:I23 K16:L23 T15:V134 J7:J134 Z5:AA134 D16:F23 N6:R14 N15:P133 N3:R4 D50:F58" name="LAS"/>
    <protectedRange sqref="M2:O2 S2:U4 G119:G134 M119:M134 S119:S134 Y119:Y134 M6:M14 Y6:Y14 M3:M4 G60:G68 G70:G78 G80:G88 G90:G98 G100:G108 G110:G117 G6:G14 G25:G33 G35:G48 G2:I4 G16:G23 Y16:Y117 M16:M117 S5:S117 G50:G58 Y2:AA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9:S134 M119:M134 Y119:Y134 G119:G134" xr:uid="{8289B4A9-982E-4C7E-A8E2-4BF3404561DB}">
      <formula1>"CO,RO,SDO"</formula1>
    </dataValidation>
    <dataValidation type="list" allowBlank="1" showInputMessage="1" showErrorMessage="1" sqref="X25:X33 X35:X48 X50:X58 X70:X78 X80:X88 X60:X68 L119:L134 X90:X98 X100:X108 X6:X14 L25:L33 L35:L48 L50:L58 L70:L78 L80:L88 L60:L68 R119:R134 L90:L98 L100:L108 L6:L14 R25:R33 R35:R48 R50:R58 R70:R78 R80:R88 R60:R68 F119:F134 R90:R98 R100:R108 R6:R14 F25:F33 F35:F48 F16:F23 F70:F78 F80:F88 F60:F68 F6:F14 F90:F98 F100:F108 F110:F117 R110:R117 L110:L117 X110:X117 X119:X134 X16:X23 L16:L23 R16:R23 F50:F58" xr:uid="{4ECCD083-8EC4-42EE-B46C-B614411F330D}">
      <formula1>"2024,2025"</formula1>
    </dataValidation>
    <dataValidation type="list" allowBlank="1" showInputMessage="1" showErrorMessage="1" sqref="G110:G117 M6:M14 Y6:Y14 G6:G14 G25:G33 G35:G48 G60:G68 G70:G78 G80:G88 G90:G98 G100:G108 G16:G23 G3:G4 M16:M117 Y16:Y117 S5:S117 G50:G58 Y3" xr:uid="{5129D80C-83DF-45BE-B6AD-F21CA596CBA5}">
      <formula1>"CO,RO,SDO,LGU,SCHOOL"</formula1>
    </dataValidation>
  </dataValidations>
  <pageMargins left="0.7" right="0.7" top="0.75" bottom="0.75" header="0.3" footer="0.3"/>
  <ignoredErrors>
    <ignoredError sqref="J6 P6:P7 V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7"/>
  <sheetViews>
    <sheetView tabSelected="1" topLeftCell="M55" zoomScale="55" zoomScaleNormal="55" workbookViewId="0">
      <selection activeCell="Y72" sqref="Y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27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90" si="0">IF((D3-E3)&lt;0,0,(D3-E3))</f>
        <v>0</v>
      </c>
      <c r="I3" s="5">
        <f t="shared" ref="I3:I90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9" si="2">IF((J3-K3)&lt;0,0,(J3-K3))</f>
        <v>0</v>
      </c>
      <c r="O3" s="5">
        <f t="shared" ref="O3:O77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9" si="4">IF((P3-Q3)&lt;0,0,(P3-Q3))</f>
        <v>0</v>
      </c>
      <c r="U3" s="5">
        <f t="shared" ref="U3:U79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9" si="6">IF((V3-W3)&lt;0,0,(V3-W3))</f>
        <v>0</v>
      </c>
      <c r="AA3" s="5">
        <f t="shared" ref="AA3:AA79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100</v>
      </c>
      <c r="D15" s="5">
        <f>Table14[[#This Row],[Enrolment S.Y. 2025-2026 ]]*8</f>
        <v>800</v>
      </c>
      <c r="E15" s="5"/>
      <c r="F15" s="1"/>
      <c r="G15" s="5"/>
      <c r="H15" s="5">
        <f t="shared" si="0"/>
        <v>800</v>
      </c>
      <c r="I15" s="5">
        <f t="shared" si="1"/>
        <v>0</v>
      </c>
      <c r="J15" s="5">
        <f>Table14[[#This Row],[Enrolment S.Y. 2025-2026 ]]*8</f>
        <v>800</v>
      </c>
      <c r="K15" s="5">
        <v>110</v>
      </c>
      <c r="L15" s="1">
        <v>2025</v>
      </c>
      <c r="M15" s="5" t="s">
        <v>9</v>
      </c>
      <c r="N15" s="5">
        <f t="shared" si="2"/>
        <v>690</v>
      </c>
      <c r="O15" s="5">
        <f t="shared" si="3"/>
        <v>0</v>
      </c>
      <c r="P15" s="5">
        <f>Table14[[#This Row],[Enrolment S.Y. 2025-2026 ]]*8</f>
        <v>800</v>
      </c>
      <c r="Q15" s="5"/>
      <c r="R15" s="1"/>
      <c r="S15" s="5"/>
      <c r="T15" s="5">
        <f t="shared" si="4"/>
        <v>800</v>
      </c>
      <c r="U15" s="5">
        <f t="shared" si="5"/>
        <v>0</v>
      </c>
      <c r="V15" s="5">
        <f>Table14[[#This Row],[Enrolment S.Y. 2025-2026 ]]*8</f>
        <v>800</v>
      </c>
      <c r="W15" s="5"/>
      <c r="X15" s="1"/>
      <c r="Y15" s="5"/>
      <c r="Z15" s="5">
        <f t="shared" si="6"/>
        <v>800</v>
      </c>
      <c r="AA15" s="5">
        <f t="shared" si="7"/>
        <v>0</v>
      </c>
    </row>
    <row r="16" spans="1:27" ht="19.5">
      <c r="A16" s="1">
        <v>2</v>
      </c>
      <c r="B16" s="2" t="s">
        <v>14</v>
      </c>
      <c r="C16" s="1">
        <v>100</v>
      </c>
      <c r="D16" s="5">
        <f>Table14[[#This Row],[Enrolment S.Y. 2025-2026 ]]*8</f>
        <v>800</v>
      </c>
      <c r="E16" s="5">
        <v>3002</v>
      </c>
      <c r="F16" s="1">
        <v>2024</v>
      </c>
      <c r="G16" s="5" t="s">
        <v>9</v>
      </c>
      <c r="H16" s="5">
        <f t="shared" si="0"/>
        <v>0</v>
      </c>
      <c r="I16" s="5">
        <f t="shared" si="1"/>
        <v>2202</v>
      </c>
      <c r="J16" s="5">
        <f>Table14[[#This Row],[Enrolment S.Y. 2025-2026 ]]*8</f>
        <v>800</v>
      </c>
      <c r="K16" s="5"/>
      <c r="L16" s="1"/>
      <c r="M16" s="5"/>
      <c r="N16" s="5">
        <f t="shared" si="2"/>
        <v>800</v>
      </c>
      <c r="O16" s="5">
        <f t="shared" si="3"/>
        <v>0</v>
      </c>
      <c r="P16" s="5">
        <f>Table14[[#This Row],[Enrolment S.Y. 2025-2026 ]]*8</f>
        <v>800</v>
      </c>
      <c r="Q16" s="5"/>
      <c r="R16" s="1"/>
      <c r="S16" s="5"/>
      <c r="T16" s="5">
        <f t="shared" si="4"/>
        <v>800</v>
      </c>
      <c r="U16" s="5">
        <f t="shared" si="5"/>
        <v>0</v>
      </c>
      <c r="V16" s="5">
        <f>Table14[[#This Row],[Enrolment S.Y. 2025-2026 ]]*8</f>
        <v>800</v>
      </c>
      <c r="W16" s="5">
        <v>500</v>
      </c>
      <c r="X16" s="1">
        <v>2025</v>
      </c>
      <c r="Y16" s="5" t="s">
        <v>9</v>
      </c>
      <c r="Z16" s="5">
        <f t="shared" si="6"/>
        <v>300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100</v>
      </c>
      <c r="D17" s="5">
        <f>Table14[[#This Row],[Enrolment S.Y. 2025-2026 ]]*8</f>
        <v>800</v>
      </c>
      <c r="E17" s="5">
        <v>980</v>
      </c>
      <c r="F17" s="1">
        <v>2024</v>
      </c>
      <c r="G17" s="5" t="s">
        <v>9</v>
      </c>
      <c r="H17" s="5">
        <f>IF((D17-E17)&lt;0,0,(D17-E17))</f>
        <v>0</v>
      </c>
      <c r="I17" s="5">
        <f>IF((E17-D17)&lt;0,0,(E17-D17))</f>
        <v>180</v>
      </c>
      <c r="J17" s="5">
        <f>Table14[[#This Row],[Enrolment S.Y. 2025-2026 ]]*8</f>
        <v>800</v>
      </c>
      <c r="K17" s="5"/>
      <c r="L17" s="1"/>
      <c r="M17" s="5"/>
      <c r="N17" s="5">
        <f t="shared" si="2"/>
        <v>800</v>
      </c>
      <c r="O17" s="5">
        <f>IF((K17-J17)&lt;0,0,(K17-J17))</f>
        <v>0</v>
      </c>
      <c r="P17" s="5">
        <f>Table14[[#This Row],[Enrolment S.Y. 2025-2026 ]]*8</f>
        <v>800</v>
      </c>
      <c r="Q17" s="5"/>
      <c r="R17" s="1"/>
      <c r="S17" s="5"/>
      <c r="T17" s="5">
        <f t="shared" si="4"/>
        <v>800</v>
      </c>
      <c r="U17" s="5">
        <f t="shared" si="5"/>
        <v>0</v>
      </c>
      <c r="V17" s="5">
        <f>Table14[[#This Row],[Enrolment S.Y. 2025-2026 ]]*8</f>
        <v>800</v>
      </c>
      <c r="W17" s="5"/>
      <c r="X17" s="1"/>
      <c r="Y17" s="5"/>
      <c r="Z17" s="5">
        <f t="shared" si="6"/>
        <v>800</v>
      </c>
      <c r="AA17" s="5">
        <f t="shared" si="7"/>
        <v>0</v>
      </c>
    </row>
    <row r="18" spans="1:27" ht="21">
      <c r="A18" s="1">
        <v>2</v>
      </c>
      <c r="B18" s="9" t="s">
        <v>17</v>
      </c>
      <c r="C18" s="34">
        <v>100</v>
      </c>
      <c r="D18" s="34">
        <f>Table14[[#This Row],[Enrolment S.Y. 2025-2026 ]]*8</f>
        <v>800</v>
      </c>
      <c r="E18" s="34">
        <v>103</v>
      </c>
      <c r="F18" s="32">
        <v>2025</v>
      </c>
      <c r="G18" s="5" t="s">
        <v>9</v>
      </c>
      <c r="H18" s="34">
        <f>IF((D18-E18)&lt;0,0,(D18-E18))</f>
        <v>697</v>
      </c>
      <c r="I18" s="34">
        <f>IF((E18-D18)&lt;0,0,(E18-D18))</f>
        <v>0</v>
      </c>
      <c r="J18" s="34">
        <f>Table14[[#This Row],[Enrolment S.Y. 2025-2026 ]]*8</f>
        <v>800</v>
      </c>
      <c r="K18" s="34">
        <v>110</v>
      </c>
      <c r="L18" s="32">
        <v>2025</v>
      </c>
      <c r="M18" s="34" t="s">
        <v>9</v>
      </c>
      <c r="N18" s="5">
        <f t="shared" si="2"/>
        <v>690</v>
      </c>
      <c r="O18" s="5">
        <f>IF((K18-J18)&lt;0,0,(K18-J18))</f>
        <v>0</v>
      </c>
      <c r="P18" s="5">
        <f>Table14[[#This Row],[Enrolment S.Y. 2025-2026 ]]*8</f>
        <v>800</v>
      </c>
      <c r="Q18" s="34"/>
      <c r="R18" s="32"/>
      <c r="S18" s="34"/>
      <c r="T18" s="34">
        <f>IF((P18-Q18)&lt;0,0,(P18-Q18))</f>
        <v>800</v>
      </c>
      <c r="U18" s="34">
        <f>IF((Q18-P18)&lt;0,0,(Q18-P18))</f>
        <v>0</v>
      </c>
      <c r="V18" s="34">
        <f>Table14[[#This Row],[Enrolment S.Y. 2025-2026 ]]*8</f>
        <v>800</v>
      </c>
      <c r="W18" s="34">
        <v>500</v>
      </c>
      <c r="X18" s="1">
        <v>2025</v>
      </c>
      <c r="Y18" s="5" t="s">
        <v>9</v>
      </c>
      <c r="Z18" s="34">
        <f>IF((V18-W18)&lt;0,0,(V18-W18))</f>
        <v>300</v>
      </c>
      <c r="AA18" s="34">
        <f>IF((W18-V18)&lt;0,0,(W18-V18))</f>
        <v>0</v>
      </c>
    </row>
    <row r="19" spans="1:27" ht="19.5">
      <c r="A19" s="1">
        <v>2</v>
      </c>
      <c r="B19" s="9" t="s">
        <v>16</v>
      </c>
      <c r="C19" s="1">
        <v>100</v>
      </c>
      <c r="D19" s="5">
        <f>Table14[[#This Row],[Enrolment S.Y. 2025-2026 ]]*8</f>
        <v>800</v>
      </c>
      <c r="E19" s="5">
        <v>700</v>
      </c>
      <c r="F19" s="1">
        <v>2024</v>
      </c>
      <c r="G19" s="5" t="s">
        <v>9</v>
      </c>
      <c r="H19" s="5">
        <f>IF((D19-E19)&lt;0,0,(D19-E19))</f>
        <v>100</v>
      </c>
      <c r="I19" s="5">
        <f>IF((E19-D19)&lt;0,0,(E19-D19))</f>
        <v>0</v>
      </c>
      <c r="J19" s="5">
        <f>Table14[[#This Row],[Enrolment S.Y. 2025-2026 ]]*8</f>
        <v>800</v>
      </c>
      <c r="K19" s="5"/>
      <c r="L19" s="1"/>
      <c r="M19" s="5"/>
      <c r="N19" s="5">
        <f t="shared" si="2"/>
        <v>800</v>
      </c>
      <c r="O19" s="5">
        <f t="shared" si="3"/>
        <v>0</v>
      </c>
      <c r="P19" s="5">
        <f>Table14[[#This Row],[Enrolment S.Y. 2025-2026 ]]*8</f>
        <v>800</v>
      </c>
      <c r="Q19" s="5"/>
      <c r="R19" s="1"/>
      <c r="S19" s="5"/>
      <c r="T19" s="5">
        <f t="shared" si="4"/>
        <v>800</v>
      </c>
      <c r="U19" s="5">
        <f t="shared" si="5"/>
        <v>0</v>
      </c>
      <c r="V19" s="5">
        <f>Table14[[#This Row],[Enrolment S.Y. 2025-2026 ]]*8</f>
        <v>800</v>
      </c>
      <c r="W19" s="5"/>
      <c r="X19" s="1"/>
      <c r="Y19" s="5"/>
      <c r="Z19" s="5">
        <f t="shared" si="6"/>
        <v>800</v>
      </c>
      <c r="AA19" s="5">
        <f t="shared" si="7"/>
        <v>0</v>
      </c>
    </row>
    <row r="20" spans="1:27" ht="19.5">
      <c r="A20" s="1">
        <v>2</v>
      </c>
      <c r="B20" s="9" t="s">
        <v>16</v>
      </c>
      <c r="C20" s="1">
        <v>100</v>
      </c>
      <c r="D20" s="34">
        <f>Table14[[#This Row],[Enrolment S.Y. 2025-2026 ]]*8</f>
        <v>800</v>
      </c>
      <c r="E20" s="34"/>
      <c r="F20" s="32"/>
      <c r="G20" s="34"/>
      <c r="H20" s="46">
        <f>IF((D20-E20)&lt;0,0,(D20-E20))</f>
        <v>800</v>
      </c>
      <c r="I20" s="46">
        <f>IF((E20-D20)&lt;0,0,(E20-D20))</f>
        <v>0</v>
      </c>
      <c r="J20" s="34">
        <f>Table14[[#This Row],[Enrolment S.Y. 2025-2026 ]]*8</f>
        <v>800</v>
      </c>
      <c r="K20" s="34"/>
      <c r="L20" s="32"/>
      <c r="M20" s="34"/>
      <c r="N20" s="5">
        <f t="shared" si="2"/>
        <v>800</v>
      </c>
      <c r="O20" s="34"/>
      <c r="P20" s="5">
        <f>Table14[[#This Row],[Enrolment S.Y. 2025-2026 ]]*8</f>
        <v>800</v>
      </c>
      <c r="Q20" s="34"/>
      <c r="R20" s="32"/>
      <c r="S20" s="34"/>
      <c r="T20" s="34">
        <f>IF((P20-Q20)&lt;0,0,(P20-Q20))</f>
        <v>800</v>
      </c>
      <c r="U20" s="5">
        <f t="shared" si="5"/>
        <v>0</v>
      </c>
      <c r="V20" s="34">
        <f>Table14[[#This Row],[Enrolment S.Y. 2025-2026 ]]*8</f>
        <v>800</v>
      </c>
      <c r="W20" s="5">
        <v>450</v>
      </c>
      <c r="X20" s="1">
        <v>2025</v>
      </c>
      <c r="Y20" s="5" t="s">
        <v>9</v>
      </c>
      <c r="Z20" s="34">
        <f>IF((V20-W20)&lt;0,0,(V20-W20))</f>
        <v>350</v>
      </c>
      <c r="AA20" s="34">
        <f>IF((W20-V20)&lt;0,0,(W20-V20))</f>
        <v>0</v>
      </c>
    </row>
    <row r="21" spans="1:27" ht="19.5">
      <c r="A21" s="1">
        <v>2</v>
      </c>
      <c r="B21" s="9" t="s">
        <v>63</v>
      </c>
      <c r="C21" s="1"/>
      <c r="D21" s="5">
        <f>Table14[[#This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s="7" customFormat="1"/>
    <row r="23" spans="1:27" ht="38.25">
      <c r="A23" s="1">
        <v>3</v>
      </c>
      <c r="B23" s="2" t="s">
        <v>8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10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15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2" t="s">
        <v>12</v>
      </c>
      <c r="C27" s="1">
        <v>106</v>
      </c>
      <c r="D27" s="5">
        <f>Table14[[#This Row],[Enrolment S.Y. 2025-2026 ]]*8</f>
        <v>848</v>
      </c>
      <c r="E27" s="5">
        <v>42</v>
      </c>
      <c r="F27" s="1">
        <v>2024</v>
      </c>
      <c r="G27" s="5" t="s">
        <v>9</v>
      </c>
      <c r="H27" s="5">
        <f t="shared" si="0"/>
        <v>806</v>
      </c>
      <c r="I27" s="5">
        <f t="shared" si="1"/>
        <v>0</v>
      </c>
      <c r="J27" s="5">
        <f>Table14[[#This Row],[Enrolment S.Y. 2025-2026 ]]*8</f>
        <v>848</v>
      </c>
      <c r="K27" s="5">
        <v>42</v>
      </c>
      <c r="L27" s="1">
        <v>2024</v>
      </c>
      <c r="M27" s="5" t="s">
        <v>9</v>
      </c>
      <c r="N27" s="5">
        <f t="shared" si="2"/>
        <v>806</v>
      </c>
      <c r="O27" s="5">
        <f t="shared" si="3"/>
        <v>0</v>
      </c>
      <c r="P27" s="5">
        <f>Table14[[#This Row],[Enrolment S.Y. 2025-2026 ]]*8</f>
        <v>848</v>
      </c>
      <c r="Q27" s="5">
        <v>42</v>
      </c>
      <c r="R27" s="1">
        <v>2024</v>
      </c>
      <c r="S27" s="5" t="s">
        <v>9</v>
      </c>
      <c r="T27" s="5">
        <f t="shared" si="4"/>
        <v>806</v>
      </c>
      <c r="U27" s="5">
        <f t="shared" si="5"/>
        <v>0</v>
      </c>
      <c r="V27" s="5">
        <f>Table14[[#This Row],[Enrolment S.Y. 2025-2026 ]]*8</f>
        <v>848</v>
      </c>
      <c r="W27" s="5">
        <v>42</v>
      </c>
      <c r="X27" s="1">
        <v>2024</v>
      </c>
      <c r="Y27" s="5" t="s">
        <v>9</v>
      </c>
      <c r="Z27" s="5">
        <f t="shared" si="6"/>
        <v>806</v>
      </c>
      <c r="AA27" s="5">
        <f t="shared" si="7"/>
        <v>0</v>
      </c>
    </row>
    <row r="28" spans="1:27" ht="19.5">
      <c r="A28" s="1">
        <v>3</v>
      </c>
      <c r="B28" s="2" t="s">
        <v>14</v>
      </c>
      <c r="C28" s="1">
        <v>106</v>
      </c>
      <c r="D28" s="5">
        <f>Table14[[#This Row],[Enrolment S.Y. 2025-2026 ]]*8</f>
        <v>848</v>
      </c>
      <c r="E28" s="5">
        <v>1038</v>
      </c>
      <c r="F28" s="1">
        <v>2024</v>
      </c>
      <c r="G28" s="5" t="s">
        <v>9</v>
      </c>
      <c r="H28" s="5">
        <f t="shared" si="0"/>
        <v>0</v>
      </c>
      <c r="I28" s="5">
        <f t="shared" si="1"/>
        <v>190</v>
      </c>
      <c r="J28" s="5">
        <f>Table14[[#This Row],[Enrolment S.Y. 2025-2026 ]]*8</f>
        <v>848</v>
      </c>
      <c r="K28" s="5"/>
      <c r="L28" s="1"/>
      <c r="M28" s="5"/>
      <c r="N28" s="5">
        <f t="shared" si="2"/>
        <v>848</v>
      </c>
      <c r="O28" s="5">
        <f t="shared" si="3"/>
        <v>0</v>
      </c>
      <c r="P28" s="5">
        <f>Table14[[#This Row],[Enrolment S.Y. 2025-2026 ]]*8</f>
        <v>848</v>
      </c>
      <c r="Q28" s="5"/>
      <c r="R28" s="1"/>
      <c r="S28" s="5"/>
      <c r="T28" s="5">
        <f t="shared" si="4"/>
        <v>848</v>
      </c>
      <c r="U28" s="5">
        <f t="shared" si="5"/>
        <v>0</v>
      </c>
      <c r="V28" s="5">
        <f>Table14[[#This Row],[Enrolment S.Y. 2025-2026 ]]*8</f>
        <v>848</v>
      </c>
      <c r="W28" s="5"/>
      <c r="X28" s="1"/>
      <c r="Y28" s="5"/>
      <c r="Z28" s="5">
        <f t="shared" si="6"/>
        <v>848</v>
      </c>
      <c r="AA28" s="5">
        <f t="shared" si="7"/>
        <v>0</v>
      </c>
    </row>
    <row r="29" spans="1:27" ht="21">
      <c r="A29" s="1">
        <v>3</v>
      </c>
      <c r="B29" s="2" t="s">
        <v>14</v>
      </c>
      <c r="C29" s="1">
        <v>106</v>
      </c>
      <c r="D29" s="34">
        <f>Table14[[#This Row],[Enrolment S.Y. 2025-2026 ]]*8</f>
        <v>848</v>
      </c>
      <c r="E29" s="34"/>
      <c r="F29" s="32"/>
      <c r="G29" s="34"/>
      <c r="H29" s="46">
        <f>IF((D29-E29)&lt;0,0,(D29-E29))</f>
        <v>848</v>
      </c>
      <c r="I29" s="46">
        <f>IF((E29-D29)&lt;0,0,(E29-D29))</f>
        <v>0</v>
      </c>
      <c r="J29" s="34">
        <f>Table14[[#This Row],[Enrolment S.Y. 2025-2026 ]]*8</f>
        <v>848</v>
      </c>
      <c r="K29" s="34"/>
      <c r="L29" s="32"/>
      <c r="M29" s="34"/>
      <c r="N29" s="5">
        <f t="shared" si="2"/>
        <v>848</v>
      </c>
      <c r="O29" s="5">
        <f t="shared" si="3"/>
        <v>0</v>
      </c>
      <c r="P29" s="5">
        <f>Table14[[#This Row],[Enrolment S.Y. 2025-2026 ]]*8</f>
        <v>848</v>
      </c>
      <c r="Q29" s="34"/>
      <c r="R29" s="32"/>
      <c r="S29" s="34"/>
      <c r="T29" s="5">
        <f t="shared" si="4"/>
        <v>848</v>
      </c>
      <c r="U29" s="5">
        <f t="shared" ref="U29" si="8">IF((Q29-P29)&lt;0,0,(Q29-P29))</f>
        <v>0</v>
      </c>
      <c r="V29" s="34">
        <f>Table14[[#This Row],[Enrolment S.Y. 2025-2026 ]]*8</f>
        <v>848</v>
      </c>
      <c r="W29" s="34">
        <v>700</v>
      </c>
      <c r="X29" s="32">
        <v>2025</v>
      </c>
      <c r="Y29" s="34" t="s">
        <v>9</v>
      </c>
      <c r="Z29" s="34">
        <f>IF((V29-W29)&lt;0,0,(V29-W29))</f>
        <v>148</v>
      </c>
      <c r="AA29" s="34">
        <f>IF((W29-V29)&lt;0,0,(W29-V29))</f>
        <v>0</v>
      </c>
    </row>
    <row r="30" spans="1:27" ht="19.5">
      <c r="A30" s="1">
        <v>3</v>
      </c>
      <c r="B30" s="9" t="s">
        <v>16</v>
      </c>
      <c r="C30" s="1">
        <v>106</v>
      </c>
      <c r="D30" s="5">
        <f>Table14[[#This Row],[Enrolment S.Y. 2025-2026 ]]*8</f>
        <v>848</v>
      </c>
      <c r="E30" s="5">
        <v>504</v>
      </c>
      <c r="F30" s="1">
        <v>2024</v>
      </c>
      <c r="G30" s="5" t="s">
        <v>9</v>
      </c>
      <c r="H30" s="5">
        <f>IF((D30-E30)&lt;0,0,(D30-E30))</f>
        <v>344</v>
      </c>
      <c r="I30" s="5">
        <f>IF((E30-D30)&lt;0,0,(E30-D30))</f>
        <v>0</v>
      </c>
      <c r="J30" s="5">
        <f>Table14[[#This Row],[Enrolment S.Y. 2025-2026 ]]*8</f>
        <v>848</v>
      </c>
      <c r="K30" s="5"/>
      <c r="L30" s="1"/>
      <c r="M30" s="5"/>
      <c r="N30" s="5">
        <f t="shared" si="2"/>
        <v>848</v>
      </c>
      <c r="O30" s="5">
        <f t="shared" si="3"/>
        <v>0</v>
      </c>
      <c r="P30" s="5">
        <f>Table14[[#This Row],[Enrolment S.Y. 2025-2026 ]]*8</f>
        <v>848</v>
      </c>
      <c r="Q30" s="5"/>
      <c r="R30" s="1"/>
      <c r="S30" s="5"/>
      <c r="T30" s="5">
        <f t="shared" si="4"/>
        <v>848</v>
      </c>
      <c r="U30" s="5">
        <f t="shared" si="5"/>
        <v>0</v>
      </c>
      <c r="V30" s="5">
        <f>Table14[[#This Row],[Enrolment S.Y. 2025-2026 ]]*8</f>
        <v>848</v>
      </c>
      <c r="W30" s="5"/>
      <c r="X30" s="1"/>
      <c r="Y30" s="5"/>
      <c r="Z30" s="5">
        <f t="shared" si="6"/>
        <v>848</v>
      </c>
      <c r="AA30" s="5">
        <f t="shared" si="7"/>
        <v>0</v>
      </c>
    </row>
    <row r="31" spans="1:27" ht="21">
      <c r="A31" s="1">
        <v>3</v>
      </c>
      <c r="B31" s="9" t="s">
        <v>16</v>
      </c>
      <c r="C31" s="1">
        <v>106</v>
      </c>
      <c r="D31" s="34">
        <f>Table14[[#This Row],[Enrolment S.Y. 2025-2026 ]]*8</f>
        <v>848</v>
      </c>
      <c r="E31" s="34"/>
      <c r="F31" s="32"/>
      <c r="G31" s="34"/>
      <c r="H31" s="46">
        <f>IF((D31-E31)&lt;0,0,(D31-E31))</f>
        <v>848</v>
      </c>
      <c r="I31" s="46">
        <f>IF((E31-D31)&lt;0,0,(E31-D31))</f>
        <v>0</v>
      </c>
      <c r="J31" s="34">
        <f>Table14[[#This Row],[Enrolment S.Y. 2025-2026 ]]*8</f>
        <v>848</v>
      </c>
      <c r="K31" s="34"/>
      <c r="L31" s="32"/>
      <c r="M31" s="34"/>
      <c r="N31" s="5">
        <f t="shared" si="2"/>
        <v>848</v>
      </c>
      <c r="O31" s="5">
        <f t="shared" si="3"/>
        <v>0</v>
      </c>
      <c r="P31" s="5">
        <f>Table14[[#This Row],[Enrolment S.Y. 2025-2026 ]]*8</f>
        <v>848</v>
      </c>
      <c r="Q31" s="34"/>
      <c r="R31" s="32"/>
      <c r="S31" s="34"/>
      <c r="T31" s="34">
        <f>IF((P31-Q31)&lt;0,0,(P31-Q31))</f>
        <v>848</v>
      </c>
      <c r="U31" s="34">
        <f>IF((Q31-P31)&lt;0,0,(Q31-P31))</f>
        <v>0</v>
      </c>
      <c r="V31" s="34">
        <f>Table14[[#This Row],[Enrolment S.Y. 2025-2026 ]]*8</f>
        <v>848</v>
      </c>
      <c r="W31" s="34">
        <v>550</v>
      </c>
      <c r="X31" s="32">
        <v>2025</v>
      </c>
      <c r="Y31" s="34" t="s">
        <v>9</v>
      </c>
      <c r="Z31" s="34">
        <f>IF((V31-W31)&lt;0,0,(V31-W31))</f>
        <v>298</v>
      </c>
      <c r="AA31" s="34">
        <f>IF((W31-V31)&lt;0,0,(W31-V31))</f>
        <v>0</v>
      </c>
    </row>
    <row r="32" spans="1:27" ht="19.5">
      <c r="A32" s="1">
        <v>3</v>
      </c>
      <c r="B32" s="9" t="s">
        <v>17</v>
      </c>
      <c r="C32" s="1">
        <v>106</v>
      </c>
      <c r="D32" s="5">
        <f>Table14[[#This Row],[Enrolment S.Y. 2025-2026 ]]*8</f>
        <v>848</v>
      </c>
      <c r="E32" s="5">
        <v>630</v>
      </c>
      <c r="F32" s="1">
        <v>2024</v>
      </c>
      <c r="G32" s="5" t="s">
        <v>9</v>
      </c>
      <c r="H32" s="5">
        <f>IF((D32-E32)&lt;0,0,(D32-E32))</f>
        <v>218</v>
      </c>
      <c r="I32" s="5">
        <f>IF((E32-D32)&lt;0,0,(E32-D32))</f>
        <v>0</v>
      </c>
      <c r="J32" s="5">
        <f>Table14[[#This Row],[Enrolment S.Y. 2025-2026 ]]*8</f>
        <v>848</v>
      </c>
      <c r="K32" s="5"/>
      <c r="L32" s="1"/>
      <c r="M32" s="5"/>
      <c r="N32" s="5">
        <f t="shared" si="2"/>
        <v>848</v>
      </c>
      <c r="O32" s="5">
        <f t="shared" si="3"/>
        <v>0</v>
      </c>
      <c r="P32" s="5">
        <f>Table14[[#This Row],[Enrolment S.Y. 2025-2026 ]]*8</f>
        <v>848</v>
      </c>
      <c r="Q32" s="5"/>
      <c r="R32" s="1"/>
      <c r="S32" s="5"/>
      <c r="T32" s="5">
        <f t="shared" si="4"/>
        <v>848</v>
      </c>
      <c r="U32" s="5">
        <f t="shared" si="5"/>
        <v>0</v>
      </c>
      <c r="V32" s="5">
        <f>Table14[[#This Row],[Enrolment S.Y. 2025-2026 ]]*8</f>
        <v>848</v>
      </c>
      <c r="W32" s="5"/>
      <c r="X32" s="1"/>
      <c r="Y32" s="5"/>
      <c r="Z32" s="5">
        <f t="shared" si="6"/>
        <v>848</v>
      </c>
      <c r="AA32" s="5">
        <f t="shared" si="7"/>
        <v>0</v>
      </c>
    </row>
    <row r="33" spans="1:27" ht="21">
      <c r="A33" s="1">
        <v>3</v>
      </c>
      <c r="B33" s="9" t="s">
        <v>17</v>
      </c>
      <c r="C33" s="1">
        <v>106</v>
      </c>
      <c r="D33" s="34">
        <f>Table14[[#This Row],[Enrolment S.Y. 2025-2026 ]]*8</f>
        <v>848</v>
      </c>
      <c r="E33" s="34"/>
      <c r="F33" s="32"/>
      <c r="G33" s="34"/>
      <c r="H33" s="46">
        <f>IF((D33-E33)&lt;0,0,(D33-E33))</f>
        <v>848</v>
      </c>
      <c r="I33" s="46">
        <f>IF((E33-D33)&lt;0,0,(E33-D33))</f>
        <v>0</v>
      </c>
      <c r="J33" s="34">
        <f>Table14[[#This Row],[Enrolment S.Y. 2025-2026 ]]*8</f>
        <v>848</v>
      </c>
      <c r="K33" s="34"/>
      <c r="L33" s="32"/>
      <c r="M33" s="34"/>
      <c r="N33" s="5">
        <f t="shared" ref="N33" si="9">IF((J33-K33)&lt;0,0,(J33-K33))</f>
        <v>848</v>
      </c>
      <c r="O33" s="5">
        <f t="shared" ref="O33" si="10">IF((K33-J33)&lt;0,0,(K33-J33))</f>
        <v>0</v>
      </c>
      <c r="P33" s="5">
        <f>Table14[[#This Row],[Enrolment S.Y. 2025-2026 ]]*8</f>
        <v>848</v>
      </c>
      <c r="Q33" s="34"/>
      <c r="R33" s="32"/>
      <c r="S33" s="34"/>
      <c r="T33" s="34">
        <f>IF((P33-Q33)&lt;0,0,(P33-Q33))</f>
        <v>848</v>
      </c>
      <c r="U33" s="34">
        <f>IF((Q33-P33)&lt;0,0,(Q33-P33))</f>
        <v>0</v>
      </c>
      <c r="V33" s="34">
        <f>Table14[[#This Row],[Enrolment S.Y. 2025-2026 ]]*8</f>
        <v>848</v>
      </c>
      <c r="W33" s="34">
        <v>400</v>
      </c>
      <c r="X33" s="32">
        <v>2025</v>
      </c>
      <c r="Y33" s="34" t="s">
        <v>9</v>
      </c>
      <c r="Z33" s="34">
        <f>IF((V33-W33)&lt;0,0,(V33-W33))</f>
        <v>448</v>
      </c>
      <c r="AA33" s="34">
        <f>IF((W33-V33)&lt;0,0,(W33-V33))</f>
        <v>0</v>
      </c>
    </row>
    <row r="34" spans="1:27" ht="19.149999999999999">
      <c r="A34" s="1">
        <v>3</v>
      </c>
      <c r="B34" s="9" t="s">
        <v>63</v>
      </c>
      <c r="C34" s="1"/>
      <c r="D34" s="5">
        <f>Table14[[#This Row],[Enrolment S.Y. 2025-2026 ]]*8</f>
        <v>0</v>
      </c>
      <c r="E34" s="5"/>
      <c r="F34" s="1"/>
      <c r="G34" s="5"/>
      <c r="H34" s="5">
        <f>IF((D34-E34)&lt;0,0,(D34-E34))</f>
        <v>0</v>
      </c>
      <c r="I34" s="5">
        <f>IF((E34-D34)&lt;0,0,(E34-D34))</f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s="7" customFormat="1"/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si="2"/>
        <v>0</v>
      </c>
      <c r="O36" s="5">
        <f t="shared" si="3"/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1">
        <v>4</v>
      </c>
      <c r="B37" s="9" t="s">
        <v>17</v>
      </c>
      <c r="C37" s="1"/>
      <c r="D37" s="5">
        <f>Table14[[#This Row],[Enrolment S.Y. 2025-2026 ]]*8</f>
        <v>0</v>
      </c>
      <c r="E37" s="5"/>
      <c r="F37" s="1"/>
      <c r="G37" s="5"/>
      <c r="H37" s="5">
        <f t="shared" si="0"/>
        <v>0</v>
      </c>
      <c r="I37" s="5">
        <f t="shared" si="1"/>
        <v>0</v>
      </c>
      <c r="J37" s="5">
        <f>Table14[[#This Row],[Enrolment S.Y. 2025-2026 ]]*8</f>
        <v>0</v>
      </c>
      <c r="K37" s="5"/>
      <c r="L37" s="1"/>
      <c r="M37" s="5"/>
      <c r="N37" s="5">
        <f t="shared" si="2"/>
        <v>0</v>
      </c>
      <c r="O37" s="5">
        <f t="shared" si="3"/>
        <v>0</v>
      </c>
      <c r="P37" s="5">
        <f>Table14[[#This Row],[Enrolment S.Y. 2025-2026 ]]*8</f>
        <v>0</v>
      </c>
      <c r="Q37" s="5"/>
      <c r="R37" s="1"/>
      <c r="S37" s="5"/>
      <c r="T37" s="5">
        <f t="shared" si="4"/>
        <v>0</v>
      </c>
      <c r="U37" s="5">
        <f t="shared" si="5"/>
        <v>0</v>
      </c>
      <c r="V37" s="5">
        <f>Table14[[#This Row],[Enrolment S.Y. 2025-2026 ]]*8</f>
        <v>0</v>
      </c>
      <c r="W37" s="5"/>
      <c r="X37" s="1"/>
      <c r="Y37" s="5"/>
      <c r="Z37" s="5">
        <f t="shared" si="6"/>
        <v>0</v>
      </c>
      <c r="AA37" s="5">
        <f t="shared" si="7"/>
        <v>0</v>
      </c>
    </row>
    <row r="38" spans="1:27" ht="19.149999999999999">
      <c r="A38" s="1">
        <v>4</v>
      </c>
      <c r="B38" s="9" t="s">
        <v>14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2"/>
        <v>0</v>
      </c>
      <c r="O38" s="5">
        <f t="shared" si="3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2"/>
        <v>0</v>
      </c>
      <c r="O39" s="5">
        <f t="shared" si="3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1">
        <v>4</v>
      </c>
      <c r="B40" s="9" t="s">
        <v>18</v>
      </c>
      <c r="C40" s="1"/>
      <c r="D40" s="5">
        <f>Table14[[#This Row],[Enrolment S.Y. 2025-2026 ]]*8</f>
        <v>0</v>
      </c>
      <c r="E40" s="5"/>
      <c r="F40" s="1"/>
      <c r="G40" s="5"/>
      <c r="H40" s="5">
        <f t="shared" si="0"/>
        <v>0</v>
      </c>
      <c r="I40" s="5">
        <f t="shared" si="1"/>
        <v>0</v>
      </c>
      <c r="J40" s="5">
        <f>Table14[[#This Row],[Enrolment S.Y. 2025-2026 ]]*8</f>
        <v>0</v>
      </c>
      <c r="K40" s="5"/>
      <c r="L40" s="1"/>
      <c r="M40" s="5"/>
      <c r="N40" s="5">
        <f t="shared" si="2"/>
        <v>0</v>
      </c>
      <c r="O40" s="5">
        <f t="shared" si="3"/>
        <v>0</v>
      </c>
      <c r="P40" s="5">
        <f>Table14[[#This Row],[Enrolment S.Y. 2025-2026 ]]*8</f>
        <v>0</v>
      </c>
      <c r="Q40" s="5"/>
      <c r="R40" s="1"/>
      <c r="S40" s="5"/>
      <c r="T40" s="5">
        <f t="shared" si="4"/>
        <v>0</v>
      </c>
      <c r="U40" s="5">
        <f t="shared" si="5"/>
        <v>0</v>
      </c>
      <c r="V40" s="5">
        <f>Table14[[#This Row],[Enrolment S.Y. 2025-2026 ]]*8</f>
        <v>0</v>
      </c>
      <c r="W40" s="5"/>
      <c r="X40" s="1"/>
      <c r="Y40" s="5"/>
      <c r="Z40" s="5">
        <f t="shared" si="6"/>
        <v>0</v>
      </c>
      <c r="AA40" s="5">
        <f t="shared" si="7"/>
        <v>0</v>
      </c>
    </row>
    <row r="41" spans="1:27" ht="19.149999999999999">
      <c r="A41" s="1">
        <v>4</v>
      </c>
      <c r="B41" s="9" t="s">
        <v>15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ref="N41:N47" si="11">IF((J41-K41)&lt;0,0,(J41-K41))</f>
        <v>0</v>
      </c>
      <c r="O41" s="5">
        <f t="shared" ref="O41:O47" si="12">IF((K41-J41)&lt;0,0,(K41-J41))</f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ht="19.149999999999999">
      <c r="A42" s="37">
        <v>4</v>
      </c>
      <c r="B42" s="9" t="s">
        <v>89</v>
      </c>
      <c r="C42" s="5"/>
      <c r="D42" s="5">
        <f>Table14[[#This Row],[Enrolment S.Y. 2025-2026 ]]*8</f>
        <v>0</v>
      </c>
      <c r="E42" s="5"/>
      <c r="F42" s="1"/>
      <c r="G42" s="5"/>
      <c r="H42" s="5">
        <f>IF((D42-E42)&lt;0,0,(D42-E42))</f>
        <v>0</v>
      </c>
      <c r="I42" s="5">
        <f>IF((E42-D42)&lt;0,0,(E42-D42))</f>
        <v>0</v>
      </c>
      <c r="J42" s="5">
        <f>Table14[[#This Row],[Enrolment S.Y. 2025-2026 ]]*8</f>
        <v>0</v>
      </c>
      <c r="K42" s="5"/>
      <c r="L42" s="1"/>
      <c r="M42" s="5"/>
      <c r="N42" s="5">
        <f t="shared" si="11"/>
        <v>0</v>
      </c>
      <c r="O42" s="5">
        <f t="shared" si="12"/>
        <v>0</v>
      </c>
      <c r="P42" s="5">
        <f>Table14[[#This Row],[Enrolment S.Y. 2025-2026 ]]*8</f>
        <v>0</v>
      </c>
      <c r="Q42" s="5"/>
      <c r="R42" s="1"/>
      <c r="S42" s="5"/>
      <c r="T42" s="5">
        <f>IF((P42-Q42)&lt;0,0,(P42-Q42))</f>
        <v>0</v>
      </c>
      <c r="U42" s="5">
        <f>IF((Q42-P42)&lt;0,0,(Q42-P42))</f>
        <v>0</v>
      </c>
      <c r="V42" s="5">
        <f>Table14[[#This Row],[Enrolment S.Y. 2025-2026 ]]*8</f>
        <v>0</v>
      </c>
      <c r="W42" s="5"/>
      <c r="X42" s="1"/>
      <c r="Y42" s="5"/>
      <c r="Z42" s="5">
        <f>IF((V42-W42)&lt;0,0,(V42-W42))</f>
        <v>0</v>
      </c>
      <c r="AA42" s="5">
        <f>IF((W42-V42)&lt;0,0,(W42-V42))</f>
        <v>0</v>
      </c>
    </row>
    <row r="43" spans="1:27" ht="19.149999999999999">
      <c r="A43" s="1">
        <v>4</v>
      </c>
      <c r="B43" s="9" t="s">
        <v>90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11"/>
        <v>0</v>
      </c>
      <c r="O43" s="5">
        <f t="shared" si="12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4</v>
      </c>
      <c r="B44" s="9" t="s">
        <v>20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11"/>
        <v>0</v>
      </c>
      <c r="O44" s="5">
        <f t="shared" si="12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37">
        <v>4</v>
      </c>
      <c r="B45" s="9" t="s">
        <v>91</v>
      </c>
      <c r="C45" s="34"/>
      <c r="D45" s="34">
        <f>Table14[[#This Row],[Enrolment S.Y. 2025-2026 ]]*8</f>
        <v>0</v>
      </c>
      <c r="E45" s="34"/>
      <c r="F45" s="32"/>
      <c r="G45" s="34"/>
      <c r="H45" s="34">
        <f>IF((D45-E45)&lt;0,0,(D45-E45))</f>
        <v>0</v>
      </c>
      <c r="I45" s="34">
        <f>IF((E45-D45)&lt;0,0,(E45-D45))</f>
        <v>0</v>
      </c>
      <c r="J45" s="34">
        <f>Table14[[#This Row],[Enrolment S.Y. 2025-2026 ]]*8</f>
        <v>0</v>
      </c>
      <c r="K45" s="34"/>
      <c r="L45" s="32"/>
      <c r="M45" s="34"/>
      <c r="N45" s="5">
        <f t="shared" ref="N45" si="13">IF((J45-K45)&lt;0,0,(J45-K45))</f>
        <v>0</v>
      </c>
      <c r="O45" s="5">
        <f t="shared" ref="O45" si="14">IF((K45-J45)&lt;0,0,(K45-J45))</f>
        <v>0</v>
      </c>
      <c r="P45" s="5">
        <f>Table14[[#This Row],[Enrolment S.Y. 2025-2026 ]]*8</f>
        <v>0</v>
      </c>
      <c r="Q45" s="34"/>
      <c r="R45" s="32"/>
      <c r="S45" s="34"/>
      <c r="T45" s="34">
        <f>IF((P45-Q45)&lt;0,0,(P45-Q45))</f>
        <v>0</v>
      </c>
      <c r="U45" s="34">
        <f>IF((Q45-P45)&lt;0,0,(Q45-P45))</f>
        <v>0</v>
      </c>
      <c r="V45" s="34">
        <f>Table14[[#This Row],[Enrolment S.Y. 2025-2026 ]]*8</f>
        <v>0</v>
      </c>
      <c r="W45" s="34"/>
      <c r="X45" s="32"/>
      <c r="Y45" s="34"/>
      <c r="Z45" s="34">
        <f>IF((V45-W45)&lt;0,0,(V45-W45))</f>
        <v>0</v>
      </c>
      <c r="AA45" s="34">
        <f>IF((W45-V45)&lt;0,0,(W45-V45))</f>
        <v>0</v>
      </c>
    </row>
    <row r="46" spans="1:27" ht="19.5">
      <c r="A46" s="37">
        <v>4</v>
      </c>
      <c r="B46" s="9" t="s">
        <v>92</v>
      </c>
      <c r="C46" s="5"/>
      <c r="D46" s="5">
        <f>Table14[[#This Row],[Enrolment S.Y. 2025-2026 ]]*8</f>
        <v>0</v>
      </c>
      <c r="E46" s="5"/>
      <c r="F46" s="1"/>
      <c r="G46" s="5"/>
      <c r="H46" s="5">
        <f>IF((D46-E46)&lt;0,0,(D46-E46))</f>
        <v>0</v>
      </c>
      <c r="I46" s="5">
        <f>IF((E46-D46)&lt;0,0,(E46-D46))</f>
        <v>0</v>
      </c>
      <c r="J46" s="5">
        <f>Table14[[#This Row],[Enrolment S.Y. 2025-2026 ]]*8</f>
        <v>0</v>
      </c>
      <c r="K46" s="5"/>
      <c r="L46" s="1"/>
      <c r="M46" s="5"/>
      <c r="N46" s="5">
        <f t="shared" si="11"/>
        <v>0</v>
      </c>
      <c r="O46" s="5">
        <f t="shared" si="12"/>
        <v>0</v>
      </c>
      <c r="P46" s="5">
        <f>Table14[[#This Row],[Enrolment S.Y. 2025-2026 ]]*8</f>
        <v>0</v>
      </c>
      <c r="Q46" s="5"/>
      <c r="R46" s="1"/>
      <c r="S46" s="5"/>
      <c r="T46" s="5">
        <f>IF((P46-Q46)&lt;0,0,(P46-Q46))</f>
        <v>0</v>
      </c>
      <c r="U46" s="5">
        <f>IF((Q46-P46)&lt;0,0,(Q46-P46))</f>
        <v>0</v>
      </c>
      <c r="V46" s="5">
        <f>Table14[[#This Row],[Enrolment S.Y. 2025-2026 ]]*8</f>
        <v>0</v>
      </c>
      <c r="W46" s="5"/>
      <c r="X46" s="1"/>
      <c r="Y46" s="5"/>
      <c r="Z46" s="5">
        <f>IF((V46-W46)&lt;0,0,(V46-W46))</f>
        <v>0</v>
      </c>
      <c r="AA46" s="5">
        <f>IF((W46-V46)&lt;0,0,(W46-V46))</f>
        <v>0</v>
      </c>
    </row>
    <row r="47" spans="1:27" ht="19.149999999999999">
      <c r="A47" s="1">
        <v>4</v>
      </c>
      <c r="B47" s="9" t="s">
        <v>93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11"/>
        <v>0</v>
      </c>
      <c r="O47" s="5">
        <f t="shared" si="12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s="7" customFormat="1"/>
    <row r="49" spans="1:27" ht="19.5">
      <c r="A49" s="1">
        <v>5</v>
      </c>
      <c r="B49" s="9" t="s">
        <v>16</v>
      </c>
      <c r="C49" s="1">
        <v>120</v>
      </c>
      <c r="D49" s="5">
        <f>Table14[[#This Row],[Enrolment S.Y. 2025-2026 ]]*8</f>
        <v>960</v>
      </c>
      <c r="E49" s="5"/>
      <c r="F49" s="1"/>
      <c r="G49" s="5"/>
      <c r="H49" s="5">
        <f t="shared" si="0"/>
        <v>960</v>
      </c>
      <c r="I49" s="5">
        <f t="shared" si="1"/>
        <v>0</v>
      </c>
      <c r="J49" s="5">
        <f>Table14[[#This Row],[Enrolment S.Y. 2025-2026 ]]*8</f>
        <v>960</v>
      </c>
      <c r="K49" s="5">
        <v>131</v>
      </c>
      <c r="L49" s="1">
        <v>2025</v>
      </c>
      <c r="M49" s="5" t="s">
        <v>9</v>
      </c>
      <c r="N49" s="5">
        <f t="shared" si="2"/>
        <v>829</v>
      </c>
      <c r="O49" s="5">
        <f t="shared" si="3"/>
        <v>0</v>
      </c>
      <c r="P49" s="5">
        <f>Table14[[#This Row],[Enrolment S.Y. 2025-2026 ]]*8</f>
        <v>960</v>
      </c>
      <c r="Q49" s="5"/>
      <c r="R49" s="1"/>
      <c r="S49" s="5"/>
      <c r="T49" s="5">
        <f t="shared" si="4"/>
        <v>960</v>
      </c>
      <c r="U49" s="5">
        <f t="shared" si="5"/>
        <v>0</v>
      </c>
      <c r="V49" s="5">
        <f>Table14[[#This Row],[Enrolment S.Y. 2025-2026 ]]*8</f>
        <v>960</v>
      </c>
      <c r="W49" s="5"/>
      <c r="X49" s="1"/>
      <c r="Y49" s="5"/>
      <c r="Z49" s="5">
        <f t="shared" si="6"/>
        <v>960</v>
      </c>
      <c r="AA49" s="5">
        <f t="shared" si="7"/>
        <v>0</v>
      </c>
    </row>
    <row r="50" spans="1:27" ht="19.149999999999999">
      <c r="A50" s="1">
        <v>5</v>
      </c>
      <c r="B50" s="9" t="s">
        <v>17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2"/>
        <v>0</v>
      </c>
      <c r="O50" s="5">
        <f t="shared" si="3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14</v>
      </c>
      <c r="C51" s="1">
        <v>120</v>
      </c>
      <c r="D51" s="5">
        <f>Table14[[#This Row],[Enrolment S.Y. 2025-2026 ]]*8</f>
        <v>960</v>
      </c>
      <c r="E51" s="5"/>
      <c r="F51" s="1"/>
      <c r="G51" s="5"/>
      <c r="H51" s="5">
        <f t="shared" si="0"/>
        <v>960</v>
      </c>
      <c r="I51" s="5">
        <f t="shared" si="1"/>
        <v>0</v>
      </c>
      <c r="J51" s="5">
        <f>Table14[[#This Row],[Enrolment S.Y. 2025-2026 ]]*8</f>
        <v>960</v>
      </c>
      <c r="K51" s="5">
        <v>131</v>
      </c>
      <c r="L51" s="1">
        <v>2025</v>
      </c>
      <c r="M51" s="5" t="s">
        <v>9</v>
      </c>
      <c r="N51" s="5">
        <f t="shared" si="2"/>
        <v>829</v>
      </c>
      <c r="O51" s="5">
        <f t="shared" si="3"/>
        <v>0</v>
      </c>
      <c r="P51" s="5">
        <f>Table14[[#This Row],[Enrolment S.Y. 2025-2026 ]]*8</f>
        <v>960</v>
      </c>
      <c r="Q51" s="5"/>
      <c r="R51" s="1"/>
      <c r="S51" s="5"/>
      <c r="T51" s="5">
        <f t="shared" si="4"/>
        <v>960</v>
      </c>
      <c r="U51" s="5">
        <f t="shared" si="5"/>
        <v>0</v>
      </c>
      <c r="V51" s="5">
        <f>Table14[[#This Row],[Enrolment S.Y. 2025-2026 ]]*8</f>
        <v>960</v>
      </c>
      <c r="W51" s="5"/>
      <c r="X51" s="1"/>
      <c r="Y51" s="5"/>
      <c r="Z51" s="5">
        <f t="shared" si="6"/>
        <v>960</v>
      </c>
      <c r="AA51" s="5">
        <f t="shared" si="7"/>
        <v>0</v>
      </c>
    </row>
    <row r="52" spans="1:27" ht="19.149999999999999">
      <c r="A52" s="1">
        <v>5</v>
      </c>
      <c r="B52" s="9" t="s">
        <v>11</v>
      </c>
      <c r="C52" s="1"/>
      <c r="D52" s="5">
        <f>Table14[[#This Row],[Enrolment S.Y. 2025-2026 ]]*8</f>
        <v>0</v>
      </c>
      <c r="E52" s="5"/>
      <c r="F52" s="1"/>
      <c r="G52" s="5"/>
      <c r="H52" s="5">
        <f t="shared" si="0"/>
        <v>0</v>
      </c>
      <c r="I52" s="5">
        <f t="shared" si="1"/>
        <v>0</v>
      </c>
      <c r="J52" s="5">
        <f>Table14[[#This Row],[Enrolment S.Y. 2025-2026 ]]*8</f>
        <v>0</v>
      </c>
      <c r="K52" s="5"/>
      <c r="L52" s="1"/>
      <c r="M52" s="5"/>
      <c r="N52" s="5">
        <f t="shared" si="2"/>
        <v>0</v>
      </c>
      <c r="O52" s="5">
        <f t="shared" si="3"/>
        <v>0</v>
      </c>
      <c r="P52" s="5">
        <f>Table14[[#This Row],[Enrolment S.Y. 2025-2026 ]]*8</f>
        <v>0</v>
      </c>
      <c r="Q52" s="5"/>
      <c r="R52" s="1"/>
      <c r="S52" s="5"/>
      <c r="T52" s="5">
        <f t="shared" si="4"/>
        <v>0</v>
      </c>
      <c r="U52" s="5">
        <f t="shared" si="5"/>
        <v>0</v>
      </c>
      <c r="V52" s="5">
        <f>Table14[[#This Row],[Enrolment S.Y. 2025-2026 ]]*8</f>
        <v>0</v>
      </c>
      <c r="W52" s="5"/>
      <c r="X52" s="1"/>
      <c r="Y52" s="5"/>
      <c r="Z52" s="5">
        <f t="shared" si="6"/>
        <v>0</v>
      </c>
      <c r="AA52" s="5">
        <f t="shared" si="7"/>
        <v>0</v>
      </c>
    </row>
    <row r="53" spans="1:27" ht="19.149999999999999">
      <c r="A53" s="1">
        <v>5</v>
      </c>
      <c r="B53" s="9" t="s">
        <v>18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2"/>
        <v>0</v>
      </c>
      <c r="O53" s="5">
        <f t="shared" si="3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ht="19.149999999999999">
      <c r="A54" s="1">
        <v>5</v>
      </c>
      <c r="B54" s="9" t="s">
        <v>15</v>
      </c>
      <c r="C54" s="1"/>
      <c r="D54" s="5">
        <f>Table14[[#This Row],[Enrolment S.Y. 2025-2026 ]]*8</f>
        <v>0</v>
      </c>
      <c r="E54" s="5"/>
      <c r="F54" s="1"/>
      <c r="G54" s="5"/>
      <c r="H54" s="5">
        <f t="shared" si="0"/>
        <v>0</v>
      </c>
      <c r="I54" s="5">
        <f t="shared" si="1"/>
        <v>0</v>
      </c>
      <c r="J54" s="5">
        <f>Table14[[#This Row],[Enrolment S.Y. 2025-2026 ]]*8</f>
        <v>0</v>
      </c>
      <c r="K54" s="5"/>
      <c r="L54" s="1"/>
      <c r="M54" s="5"/>
      <c r="N54" s="5">
        <f t="shared" ref="N54:N59" si="15">IF((J54-K54)&lt;0,0,(J54-K54))</f>
        <v>0</v>
      </c>
      <c r="O54" s="5">
        <f t="shared" ref="O54:O59" si="16">IF((K54-J54)&lt;0,0,(K54-J54))</f>
        <v>0</v>
      </c>
      <c r="P54" s="5">
        <f>Table14[[#This Row],[Enrolment S.Y. 2025-2026 ]]*8</f>
        <v>0</v>
      </c>
      <c r="Q54" s="5"/>
      <c r="R54" s="1"/>
      <c r="S54" s="5"/>
      <c r="T54" s="5">
        <f t="shared" si="4"/>
        <v>0</v>
      </c>
      <c r="U54" s="5">
        <f t="shared" si="5"/>
        <v>0</v>
      </c>
      <c r="V54" s="5">
        <f>Table14[[#This Row],[Enrolment S.Y. 2025-2026 ]]*8</f>
        <v>0</v>
      </c>
      <c r="W54" s="5"/>
      <c r="X54" s="1"/>
      <c r="Y54" s="5"/>
      <c r="Z54" s="5">
        <f t="shared" si="6"/>
        <v>0</v>
      </c>
      <c r="AA54" s="5">
        <f t="shared" si="7"/>
        <v>0</v>
      </c>
    </row>
    <row r="55" spans="1:27" ht="19.149999999999999">
      <c r="A55" s="37">
        <v>5</v>
      </c>
      <c r="B55" s="9" t="s">
        <v>89</v>
      </c>
      <c r="C55" s="5"/>
      <c r="D55" s="5">
        <f>Table14[[#This Row],[Enrolment S.Y. 2025-2026 ]]*8</f>
        <v>0</v>
      </c>
      <c r="E55" s="5"/>
      <c r="F55" s="1"/>
      <c r="G55" s="5"/>
      <c r="H55" s="5">
        <f>IF((D55-E55)&lt;0,0,(D55-E55))</f>
        <v>0</v>
      </c>
      <c r="I55" s="5">
        <f>IF((E55-D55)&lt;0,0,(E55-D55))</f>
        <v>0</v>
      </c>
      <c r="J55" s="5">
        <f>Table14[[#This Row],[Enrolment S.Y. 2025-2026 ]]*8</f>
        <v>0</v>
      </c>
      <c r="K55" s="5"/>
      <c r="L55" s="1"/>
      <c r="M55" s="5"/>
      <c r="N55" s="5">
        <f t="shared" si="15"/>
        <v>0</v>
      </c>
      <c r="O55" s="5">
        <f t="shared" si="16"/>
        <v>0</v>
      </c>
      <c r="P55" s="5">
        <f>Table14[[#This Row],[Enrolment S.Y. 2025-2026 ]]*8</f>
        <v>0</v>
      </c>
      <c r="Q55" s="5"/>
      <c r="R55" s="1"/>
      <c r="S55" s="5"/>
      <c r="T55" s="5">
        <f>IF((P55-Q55)&lt;0,0,(P55-Q55))</f>
        <v>0</v>
      </c>
      <c r="U55" s="5">
        <f>IF((Q55-P55)&lt;0,0,(Q55-P55))</f>
        <v>0</v>
      </c>
      <c r="V55" s="5">
        <f>Table14[[#This Row],[Enrolment S.Y. 2025-2026 ]]*8</f>
        <v>0</v>
      </c>
      <c r="W55" s="5"/>
      <c r="X55" s="1"/>
      <c r="Y55" s="5"/>
      <c r="Z55" s="5">
        <f>IF((V55-W55)&lt;0,0,(V55-W55))</f>
        <v>0</v>
      </c>
      <c r="AA55" s="5">
        <f>IF((W55-V55)&lt;0,0,(W55-V55))</f>
        <v>0</v>
      </c>
    </row>
    <row r="56" spans="1:27" ht="19.149999999999999">
      <c r="A56" s="1">
        <v>5</v>
      </c>
      <c r="B56" s="9" t="s">
        <v>90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15"/>
        <v>0</v>
      </c>
      <c r="O56" s="5">
        <f t="shared" si="16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5</v>
      </c>
      <c r="B57" s="9" t="s">
        <v>20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15"/>
        <v>0</v>
      </c>
      <c r="O57" s="5">
        <f t="shared" si="16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37">
        <v>5</v>
      </c>
      <c r="B58" s="9" t="s">
        <v>92</v>
      </c>
      <c r="C58" s="5"/>
      <c r="D58" s="5">
        <f>Table14[[#This Row],[Enrolment S.Y. 2025-2026 ]]*8</f>
        <v>0</v>
      </c>
      <c r="E58" s="5"/>
      <c r="F58" s="1"/>
      <c r="G58" s="5"/>
      <c r="H58" s="5">
        <f>IF((D58-E58)&lt;0,0,(D58-E58))</f>
        <v>0</v>
      </c>
      <c r="I58" s="5">
        <f>IF((E58-D58)&lt;0,0,(E58-D58))</f>
        <v>0</v>
      </c>
      <c r="J58" s="5">
        <f>Table14[[#This Row],[Enrolment S.Y. 2025-2026 ]]*8</f>
        <v>0</v>
      </c>
      <c r="K58" s="5"/>
      <c r="L58" s="1"/>
      <c r="M58" s="5"/>
      <c r="N58" s="5">
        <f t="shared" si="15"/>
        <v>0</v>
      </c>
      <c r="O58" s="5">
        <f t="shared" si="16"/>
        <v>0</v>
      </c>
      <c r="P58" s="5">
        <f>Table14[[#This Row],[Enrolment S.Y. 2025-2026 ]]*8</f>
        <v>0</v>
      </c>
      <c r="Q58" s="5"/>
      <c r="R58" s="1"/>
      <c r="S58" s="5"/>
      <c r="T58" s="5">
        <f>IF((P58-Q58)&lt;0,0,(P58-Q58))</f>
        <v>0</v>
      </c>
      <c r="U58" s="5">
        <f>IF((Q58-P58)&lt;0,0,(Q58-P58))</f>
        <v>0</v>
      </c>
      <c r="V58" s="5">
        <f>Table14[[#This Row],[Enrolment S.Y. 2025-2026 ]]*8</f>
        <v>0</v>
      </c>
      <c r="W58" s="5"/>
      <c r="X58" s="1"/>
      <c r="Y58" s="5"/>
      <c r="Z58" s="5">
        <f>IF((V58-W58)&lt;0,0,(V58-W58))</f>
        <v>0</v>
      </c>
      <c r="AA58" s="5">
        <f>IF((W58-V58)&lt;0,0,(W58-V58))</f>
        <v>0</v>
      </c>
    </row>
    <row r="59" spans="1:27" ht="19.149999999999999">
      <c r="A59" s="1">
        <v>5</v>
      </c>
      <c r="B59" s="9" t="s">
        <v>93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15"/>
        <v>0</v>
      </c>
      <c r="O59" s="5">
        <f t="shared" si="16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s="7" customFormat="1"/>
    <row r="61" spans="1:27" ht="19.5">
      <c r="A61" s="1">
        <v>6</v>
      </c>
      <c r="B61" s="9" t="s">
        <v>16</v>
      </c>
      <c r="C61" s="1">
        <v>88</v>
      </c>
      <c r="D61" s="5">
        <f>Table14[[#This Row],[Enrolment S.Y. 2025-2026 ]]*8</f>
        <v>704</v>
      </c>
      <c r="E61" s="5">
        <v>30</v>
      </c>
      <c r="F61" s="1">
        <v>2025</v>
      </c>
      <c r="G61" s="5" t="s">
        <v>9</v>
      </c>
      <c r="H61" s="5">
        <f t="shared" si="0"/>
        <v>674</v>
      </c>
      <c r="I61" s="5">
        <f t="shared" si="1"/>
        <v>0</v>
      </c>
      <c r="J61" s="5">
        <f>Table14[[#This Row],[Enrolment S.Y. 2025-2026 ]]*8</f>
        <v>704</v>
      </c>
      <c r="K61" s="5">
        <v>150</v>
      </c>
      <c r="L61" s="1">
        <v>2025</v>
      </c>
      <c r="M61" s="5" t="s">
        <v>9</v>
      </c>
      <c r="N61" s="5">
        <f t="shared" si="2"/>
        <v>554</v>
      </c>
      <c r="O61" s="5">
        <f t="shared" si="3"/>
        <v>0</v>
      </c>
      <c r="P61" s="5">
        <f>Table14[[#This Row],[Enrolment S.Y. 2025-2026 ]]*8</f>
        <v>704</v>
      </c>
      <c r="Q61" s="5">
        <v>100</v>
      </c>
      <c r="R61" s="1">
        <v>2025</v>
      </c>
      <c r="S61" s="5" t="s">
        <v>9</v>
      </c>
      <c r="T61" s="5">
        <f t="shared" si="4"/>
        <v>604</v>
      </c>
      <c r="U61" s="5">
        <f t="shared" si="5"/>
        <v>0</v>
      </c>
      <c r="V61" s="5">
        <f>Table14[[#This Row],[Enrolment S.Y. 2025-2026 ]]*8</f>
        <v>704</v>
      </c>
      <c r="W61" s="5"/>
      <c r="X61" s="1"/>
      <c r="Y61" s="5"/>
      <c r="Z61" s="5">
        <f t="shared" si="6"/>
        <v>704</v>
      </c>
      <c r="AA61" s="5">
        <f t="shared" si="7"/>
        <v>0</v>
      </c>
    </row>
    <row r="62" spans="1:27" ht="19.5">
      <c r="A62" s="1">
        <v>6</v>
      </c>
      <c r="B62" s="9" t="s">
        <v>17</v>
      </c>
      <c r="C62" s="1">
        <v>88</v>
      </c>
      <c r="D62" s="5">
        <f>Table14[[#This Row],[Enrolment S.Y. 2025-2026 ]]*8</f>
        <v>704</v>
      </c>
      <c r="E62" s="5">
        <v>140</v>
      </c>
      <c r="F62" s="1">
        <v>2025</v>
      </c>
      <c r="G62" s="5" t="s">
        <v>9</v>
      </c>
      <c r="H62" s="5">
        <f t="shared" si="0"/>
        <v>564</v>
      </c>
      <c r="I62" s="5">
        <f t="shared" si="1"/>
        <v>0</v>
      </c>
      <c r="J62" s="5">
        <f>Table14[[#This Row],[Enrolment S.Y. 2025-2026 ]]*8</f>
        <v>704</v>
      </c>
      <c r="K62" s="5">
        <v>700</v>
      </c>
      <c r="L62" s="1">
        <v>2025</v>
      </c>
      <c r="M62" s="5" t="s">
        <v>9</v>
      </c>
      <c r="N62" s="5">
        <f t="shared" si="2"/>
        <v>4</v>
      </c>
      <c r="O62" s="5">
        <f t="shared" si="3"/>
        <v>0</v>
      </c>
      <c r="P62" s="5">
        <f>Table14[[#This Row],[Enrolment S.Y. 2025-2026 ]]*8</f>
        <v>704</v>
      </c>
      <c r="Q62" s="5">
        <v>300</v>
      </c>
      <c r="R62" s="1">
        <v>2025</v>
      </c>
      <c r="S62" s="5" t="s">
        <v>9</v>
      </c>
      <c r="T62" s="5">
        <f t="shared" si="4"/>
        <v>404</v>
      </c>
      <c r="U62" s="5">
        <f t="shared" si="5"/>
        <v>0</v>
      </c>
      <c r="V62" s="5">
        <f>Table14[[#This Row],[Enrolment S.Y. 2025-2026 ]]*8</f>
        <v>704</v>
      </c>
      <c r="W62" s="5"/>
      <c r="X62" s="1"/>
      <c r="Y62" s="5"/>
      <c r="Z62" s="5">
        <f t="shared" si="6"/>
        <v>704</v>
      </c>
      <c r="AA62" s="5">
        <f t="shared" si="7"/>
        <v>0</v>
      </c>
    </row>
    <row r="63" spans="1:27" ht="19.5">
      <c r="A63" s="1">
        <v>6</v>
      </c>
      <c r="B63" s="9" t="s">
        <v>64</v>
      </c>
      <c r="C63" s="34">
        <v>88</v>
      </c>
      <c r="D63" s="34">
        <f>Table14[[#This Row],[Enrolment S.Y. 2025-2026 ]]*8</f>
        <v>704</v>
      </c>
      <c r="E63" s="34"/>
      <c r="F63" s="32"/>
      <c r="G63" s="34"/>
      <c r="H63" s="34">
        <f>IF((D63-E63)&lt;0,0,(D63-E63))</f>
        <v>704</v>
      </c>
      <c r="I63" s="34">
        <f>IF((E63-D63)&lt;0,0,(E63-D63))</f>
        <v>0</v>
      </c>
      <c r="J63" s="34">
        <f>Table14[[#This Row],[Enrolment S.Y. 2025-2026 ]]*8</f>
        <v>704</v>
      </c>
      <c r="K63" s="34"/>
      <c r="L63" s="32"/>
      <c r="M63" s="34"/>
      <c r="N63" s="5">
        <f t="shared" ref="N63" si="17">IF((J63-K63)&lt;0,0,(J63-K63))</f>
        <v>704</v>
      </c>
      <c r="O63" s="5">
        <f t="shared" ref="O63" si="18">IF((K63-J63)&lt;0,0,(K63-J63))</f>
        <v>0</v>
      </c>
      <c r="P63" s="5">
        <f>Table14[[#This Row],[Enrolment S.Y. 2025-2026 ]]*8</f>
        <v>704</v>
      </c>
      <c r="Q63" s="34">
        <v>200</v>
      </c>
      <c r="R63" s="1">
        <v>2025</v>
      </c>
      <c r="S63" s="5" t="s">
        <v>9</v>
      </c>
      <c r="T63" s="34">
        <f>IF((P63-Q63)&lt;0,0,(P63-Q63))</f>
        <v>504</v>
      </c>
      <c r="U63" s="34">
        <f>IF((Q63-P63)&lt;0,0,(Q63-P63))</f>
        <v>0</v>
      </c>
      <c r="V63" s="34">
        <f>Table14[[#This Row],[Enrolment S.Y. 2025-2026 ]]*8</f>
        <v>704</v>
      </c>
      <c r="W63" s="34"/>
      <c r="X63" s="32"/>
      <c r="Y63" s="34"/>
      <c r="Z63" s="34">
        <f>IF((V63-W63)&lt;0,0,(V63-W63))</f>
        <v>704</v>
      </c>
      <c r="AA63" s="34">
        <f>IF((W63-V63)&lt;0,0,(W63-V63))</f>
        <v>0</v>
      </c>
    </row>
    <row r="64" spans="1:27" ht="19.5">
      <c r="A64" s="1">
        <v>6</v>
      </c>
      <c r="B64" s="9" t="s">
        <v>14</v>
      </c>
      <c r="C64" s="1">
        <v>88</v>
      </c>
      <c r="D64" s="5">
        <f>Table14[[#This Row],[Enrolment S.Y. 2025-2026 ]]*8</f>
        <v>704</v>
      </c>
      <c r="E64" s="5">
        <v>110</v>
      </c>
      <c r="F64" s="1">
        <v>2025</v>
      </c>
      <c r="G64" s="5" t="s">
        <v>9</v>
      </c>
      <c r="H64" s="5">
        <f t="shared" si="0"/>
        <v>594</v>
      </c>
      <c r="I64" s="5">
        <f t="shared" si="1"/>
        <v>0</v>
      </c>
      <c r="J64" s="5">
        <f>Table14[[#This Row],[Enrolment S.Y. 2025-2026 ]]*8</f>
        <v>704</v>
      </c>
      <c r="K64" s="5">
        <v>700</v>
      </c>
      <c r="L64" s="1">
        <v>2025</v>
      </c>
      <c r="M64" s="5" t="s">
        <v>9</v>
      </c>
      <c r="N64" s="5">
        <f t="shared" si="2"/>
        <v>4</v>
      </c>
      <c r="O64" s="5">
        <f t="shared" si="3"/>
        <v>0</v>
      </c>
      <c r="P64" s="5">
        <f>Table14[[#This Row],[Enrolment S.Y. 2025-2026 ]]*8</f>
        <v>704</v>
      </c>
      <c r="Q64" s="34">
        <v>450</v>
      </c>
      <c r="R64" s="1">
        <v>2025</v>
      </c>
      <c r="S64" s="5" t="s">
        <v>9</v>
      </c>
      <c r="T64" s="5">
        <f t="shared" si="4"/>
        <v>254</v>
      </c>
      <c r="U64" s="5">
        <f t="shared" si="5"/>
        <v>0</v>
      </c>
      <c r="V64" s="5">
        <f>Table14[[#This Row],[Enrolment S.Y. 2025-2026 ]]*8</f>
        <v>704</v>
      </c>
      <c r="W64" s="5"/>
      <c r="X64" s="1"/>
      <c r="Y64" s="5"/>
      <c r="Z64" s="5">
        <f t="shared" si="6"/>
        <v>704</v>
      </c>
      <c r="AA64" s="5">
        <f t="shared" si="7"/>
        <v>0</v>
      </c>
    </row>
    <row r="65" spans="1:27" ht="19.5">
      <c r="A65" s="1">
        <v>6</v>
      </c>
      <c r="B65" s="9" t="s">
        <v>11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2"/>
        <v>0</v>
      </c>
      <c r="O65" s="5">
        <f t="shared" si="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ht="38.25">
      <c r="A66" s="1">
        <v>6</v>
      </c>
      <c r="B66" s="9" t="s">
        <v>18</v>
      </c>
      <c r="C66" s="1">
        <v>88</v>
      </c>
      <c r="D66" s="5">
        <f>Table14[[#This Row],[Enrolment S.Y. 2025-2026 ]]*8</f>
        <v>704</v>
      </c>
      <c r="E66" s="5"/>
      <c r="F66" s="1"/>
      <c r="G66" s="5"/>
      <c r="H66" s="5">
        <f t="shared" si="0"/>
        <v>704</v>
      </c>
      <c r="I66" s="5">
        <f t="shared" si="1"/>
        <v>0</v>
      </c>
      <c r="J66" s="5">
        <f>Table14[[#This Row],[Enrolment S.Y. 2025-2026 ]]*8</f>
        <v>704</v>
      </c>
      <c r="K66" s="5"/>
      <c r="L66" s="1"/>
      <c r="M66" s="5"/>
      <c r="N66" s="5">
        <f t="shared" si="2"/>
        <v>704</v>
      </c>
      <c r="O66" s="5">
        <f t="shared" si="3"/>
        <v>0</v>
      </c>
      <c r="P66" s="5">
        <f>Table14[[#This Row],[Enrolment S.Y. 2025-2026 ]]*8</f>
        <v>704</v>
      </c>
      <c r="Q66" s="5">
        <v>300</v>
      </c>
      <c r="R66" s="1">
        <v>2025</v>
      </c>
      <c r="S66" s="5" t="s">
        <v>9</v>
      </c>
      <c r="T66" s="5">
        <f t="shared" si="4"/>
        <v>404</v>
      </c>
      <c r="U66" s="5">
        <f t="shared" si="5"/>
        <v>0</v>
      </c>
      <c r="V66" s="5">
        <f>Table14[[#This Row],[Enrolment S.Y. 2025-2026 ]]*8</f>
        <v>704</v>
      </c>
      <c r="W66" s="5">
        <v>350</v>
      </c>
      <c r="X66" s="1">
        <v>2025</v>
      </c>
      <c r="Y66" s="5" t="s">
        <v>9</v>
      </c>
      <c r="Z66" s="5">
        <f t="shared" si="6"/>
        <v>354</v>
      </c>
      <c r="AA66" s="5">
        <f t="shared" si="7"/>
        <v>0</v>
      </c>
    </row>
    <row r="67" spans="1:27" ht="19.5">
      <c r="A67" s="1">
        <v>6</v>
      </c>
      <c r="B67" s="9" t="s">
        <v>15</v>
      </c>
      <c r="C67" s="1">
        <v>88</v>
      </c>
      <c r="D67" s="5">
        <f>Table14[[#This Row],[Enrolment S.Y. 2025-2026 ]]*8</f>
        <v>704</v>
      </c>
      <c r="E67" s="5"/>
      <c r="F67" s="1"/>
      <c r="G67" s="5"/>
      <c r="H67" s="5">
        <f t="shared" si="0"/>
        <v>704</v>
      </c>
      <c r="I67" s="5">
        <f t="shared" si="1"/>
        <v>0</v>
      </c>
      <c r="J67" s="5">
        <f>Table14[[#This Row],[Enrolment S.Y. 2025-2026 ]]*8</f>
        <v>704</v>
      </c>
      <c r="K67" s="5"/>
      <c r="L67" s="1"/>
      <c r="M67" s="5"/>
      <c r="N67" s="5">
        <f t="shared" si="2"/>
        <v>704</v>
      </c>
      <c r="O67" s="5">
        <f t="shared" si="3"/>
        <v>0</v>
      </c>
      <c r="P67" s="5">
        <f>Table14[[#This Row],[Enrolment S.Y. 2025-2026 ]]*8</f>
        <v>704</v>
      </c>
      <c r="Q67" s="5">
        <v>200</v>
      </c>
      <c r="R67" s="1">
        <v>2025</v>
      </c>
      <c r="S67" s="5" t="s">
        <v>9</v>
      </c>
      <c r="T67" s="5">
        <f t="shared" si="4"/>
        <v>504</v>
      </c>
      <c r="U67" s="5">
        <f t="shared" si="5"/>
        <v>0</v>
      </c>
      <c r="V67" s="5">
        <f>Table14[[#This Row],[Enrolment S.Y. 2025-2026 ]]*8</f>
        <v>704</v>
      </c>
      <c r="W67" s="5"/>
      <c r="X67" s="1"/>
      <c r="Y67" s="5"/>
      <c r="Z67" s="5">
        <f t="shared" si="6"/>
        <v>704</v>
      </c>
      <c r="AA67" s="5">
        <f t="shared" si="7"/>
        <v>0</v>
      </c>
    </row>
    <row r="68" spans="1:27" ht="19.5">
      <c r="A68" s="37">
        <v>6</v>
      </c>
      <c r="B68" s="9" t="s">
        <v>89</v>
      </c>
      <c r="C68" s="5">
        <v>88</v>
      </c>
      <c r="D68" s="5">
        <f>Table14[[#This Row],[Enrolment S.Y. 2025-2026 ]]*8</f>
        <v>704</v>
      </c>
      <c r="E68" s="5"/>
      <c r="F68" s="1"/>
      <c r="G68" s="5"/>
      <c r="H68" s="5">
        <f>IF((D68-E68)&lt;0,0,(D68-E68))</f>
        <v>704</v>
      </c>
      <c r="I68" s="5">
        <f>IF((E68-D68)&lt;0,0,(E68-D68))</f>
        <v>0</v>
      </c>
      <c r="J68" s="5">
        <f>Table14[[#This Row],[Enrolment S.Y. 2025-2026 ]]*8</f>
        <v>704</v>
      </c>
      <c r="K68" s="5"/>
      <c r="L68" s="1"/>
      <c r="M68" s="5"/>
      <c r="N68" s="5">
        <f t="shared" ref="N68:N72" si="19">IF((J68-K68)&lt;0,0,(J68-K68))</f>
        <v>704</v>
      </c>
      <c r="O68" s="5">
        <f t="shared" ref="O68:O72" si="20">IF((K68-J68)&lt;0,0,(K68-J68))</f>
        <v>0</v>
      </c>
      <c r="P68" s="5">
        <f>Table14[[#This Row],[Enrolment S.Y. 2025-2026 ]]*8</f>
        <v>704</v>
      </c>
      <c r="Q68" s="5">
        <v>200</v>
      </c>
      <c r="R68" s="1">
        <v>2025</v>
      </c>
      <c r="S68" s="5" t="s">
        <v>9</v>
      </c>
      <c r="T68" s="5">
        <f>IF((P68-Q68)&lt;0,0,(P68-Q68))</f>
        <v>504</v>
      </c>
      <c r="U68" s="5">
        <f>IF((Q68-P68)&lt;0,0,(Q68-P68))</f>
        <v>0</v>
      </c>
      <c r="V68" s="5">
        <f>Table14[[#This Row],[Enrolment S.Y. 2025-2026 ]]*8</f>
        <v>704</v>
      </c>
      <c r="W68" s="5"/>
      <c r="X68" s="1"/>
      <c r="Y68" s="5"/>
      <c r="Z68" s="5">
        <f>IF((V68-W68)&lt;0,0,(V68-W68))</f>
        <v>704</v>
      </c>
      <c r="AA68" s="5">
        <f>IF((W68-V68)&lt;0,0,(W68-V68))</f>
        <v>0</v>
      </c>
    </row>
    <row r="69" spans="1:27" ht="19.5">
      <c r="A69" s="1">
        <v>6</v>
      </c>
      <c r="B69" s="9" t="s">
        <v>90</v>
      </c>
      <c r="C69" s="1">
        <v>88</v>
      </c>
      <c r="D69" s="5">
        <f>Table14[[#This Row],[Enrolment S.Y. 2025-2026 ]]*8</f>
        <v>704</v>
      </c>
      <c r="E69" s="5"/>
      <c r="F69" s="1"/>
      <c r="G69" s="5"/>
      <c r="H69" s="5">
        <f t="shared" si="0"/>
        <v>704</v>
      </c>
      <c r="I69" s="5">
        <f t="shared" si="1"/>
        <v>0</v>
      </c>
      <c r="J69" s="5">
        <f>Table14[[#This Row],[Enrolment S.Y. 2025-2026 ]]*8</f>
        <v>704</v>
      </c>
      <c r="K69" s="5"/>
      <c r="L69" s="1"/>
      <c r="M69" s="5"/>
      <c r="N69" s="5">
        <f t="shared" si="19"/>
        <v>704</v>
      </c>
      <c r="O69" s="5">
        <f t="shared" si="20"/>
        <v>0</v>
      </c>
      <c r="P69" s="5">
        <f>Table14[[#This Row],[Enrolment S.Y. 2025-2026 ]]*8</f>
        <v>704</v>
      </c>
      <c r="Q69" s="5">
        <v>350</v>
      </c>
      <c r="R69" s="1">
        <v>2025</v>
      </c>
      <c r="S69" s="5" t="s">
        <v>9</v>
      </c>
      <c r="T69" s="5">
        <f t="shared" si="4"/>
        <v>354</v>
      </c>
      <c r="U69" s="5">
        <f t="shared" si="5"/>
        <v>0</v>
      </c>
      <c r="V69" s="5">
        <f>Table14[[#This Row],[Enrolment S.Y. 2025-2026 ]]*8</f>
        <v>704</v>
      </c>
      <c r="W69" s="5"/>
      <c r="X69" s="1"/>
      <c r="Y69" s="5"/>
      <c r="Z69" s="5">
        <f t="shared" si="6"/>
        <v>704</v>
      </c>
      <c r="AA69" s="5">
        <f t="shared" si="7"/>
        <v>0</v>
      </c>
    </row>
    <row r="70" spans="1:27" ht="19.5">
      <c r="A70" s="1">
        <v>6</v>
      </c>
      <c r="B70" s="9" t="s">
        <v>20</v>
      </c>
      <c r="C70" s="1"/>
      <c r="D70" s="5">
        <f>Table14[[#This Row],[Enrolment S.Y. 2025-2026 ]]*8</f>
        <v>0</v>
      </c>
      <c r="E70" s="5"/>
      <c r="F70" s="1"/>
      <c r="G70" s="5"/>
      <c r="H70" s="5">
        <f t="shared" si="0"/>
        <v>0</v>
      </c>
      <c r="I70" s="5">
        <f t="shared" si="1"/>
        <v>0</v>
      </c>
      <c r="J70" s="5">
        <f>Table14[[#This Row],[Enrolment S.Y. 2025-2026 ]]*8</f>
        <v>0</v>
      </c>
      <c r="K70" s="5"/>
      <c r="L70" s="1"/>
      <c r="M70" s="5"/>
      <c r="N70" s="5">
        <f t="shared" si="19"/>
        <v>0</v>
      </c>
      <c r="O70" s="5">
        <f t="shared" si="20"/>
        <v>0</v>
      </c>
      <c r="P70" s="5">
        <f>Table14[[#This Row],[Enrolment S.Y. 2025-2026 ]]*8</f>
        <v>0</v>
      </c>
      <c r="Q70" s="5"/>
      <c r="R70" s="1"/>
      <c r="S70" s="5"/>
      <c r="T70" s="5">
        <f t="shared" si="4"/>
        <v>0</v>
      </c>
      <c r="U70" s="5">
        <f t="shared" si="5"/>
        <v>0</v>
      </c>
      <c r="V70" s="5">
        <f>Table14[[#This Row],[Enrolment S.Y. 2025-2026 ]]*8</f>
        <v>0</v>
      </c>
      <c r="W70" s="5"/>
      <c r="X70" s="1"/>
      <c r="Y70" s="5"/>
      <c r="Z70" s="5">
        <f t="shared" si="6"/>
        <v>0</v>
      </c>
      <c r="AA70" s="5">
        <f t="shared" si="7"/>
        <v>0</v>
      </c>
    </row>
    <row r="71" spans="1:27" ht="19.5">
      <c r="A71" s="37">
        <v>6</v>
      </c>
      <c r="B71" s="9" t="s">
        <v>92</v>
      </c>
      <c r="C71" s="5">
        <v>88</v>
      </c>
      <c r="D71" s="5">
        <f>Table14[[#This Row],[Enrolment S.Y. 2025-2026 ]]*8</f>
        <v>704</v>
      </c>
      <c r="E71" s="5"/>
      <c r="F71" s="1"/>
      <c r="G71" s="5"/>
      <c r="H71" s="5">
        <f>IF((D71-E71)&lt;0,0,(D71-E71))</f>
        <v>704</v>
      </c>
      <c r="I71" s="5">
        <f>IF((E71-D71)&lt;0,0,(E71-D71))</f>
        <v>0</v>
      </c>
      <c r="J71" s="5">
        <f>Table14[[#This Row],[Enrolment S.Y. 2025-2026 ]]*8</f>
        <v>704</v>
      </c>
      <c r="K71" s="5"/>
      <c r="L71" s="1"/>
      <c r="M71" s="5"/>
      <c r="N71" s="5">
        <f t="shared" si="19"/>
        <v>704</v>
      </c>
      <c r="O71" s="5">
        <f t="shared" si="20"/>
        <v>0</v>
      </c>
      <c r="P71" s="5">
        <f>Table14[[#This Row],[Enrolment S.Y. 2025-2026 ]]*8</f>
        <v>704</v>
      </c>
      <c r="Q71" s="5">
        <v>150</v>
      </c>
      <c r="R71" s="1">
        <v>2025</v>
      </c>
      <c r="S71" s="5" t="s">
        <v>9</v>
      </c>
      <c r="T71" s="5">
        <f>IF((P71-Q71)&lt;0,0,(P71-Q71))</f>
        <v>554</v>
      </c>
      <c r="U71" s="5">
        <f>IF((Q71-P71)&lt;0,0,(Q71-P71))</f>
        <v>0</v>
      </c>
      <c r="V71" s="5">
        <f>Table14[[#This Row],[Enrolment S.Y. 2025-2026 ]]*8</f>
        <v>704</v>
      </c>
      <c r="W71" s="5"/>
      <c r="X71" s="1"/>
      <c r="Y71" s="5"/>
      <c r="Z71" s="5">
        <f>IF((V71-W71)&lt;0,0,(V71-W71))</f>
        <v>704</v>
      </c>
      <c r="AA71" s="5">
        <f>IF((W71-V71)&lt;0,0,(W71-V71))</f>
        <v>0</v>
      </c>
    </row>
    <row r="72" spans="1:27" ht="19.5">
      <c r="A72" s="1">
        <v>6</v>
      </c>
      <c r="B72" s="9" t="s">
        <v>93</v>
      </c>
      <c r="C72" s="1">
        <v>88</v>
      </c>
      <c r="D72" s="5">
        <f>Table14[[#This Row],[Enrolment S.Y. 2025-2026 ]]*8</f>
        <v>704</v>
      </c>
      <c r="E72" s="5"/>
      <c r="F72" s="1"/>
      <c r="G72" s="5"/>
      <c r="H72" s="5">
        <f t="shared" si="0"/>
        <v>704</v>
      </c>
      <c r="I72" s="5">
        <f t="shared" si="1"/>
        <v>0</v>
      </c>
      <c r="J72" s="5">
        <f>Table14[[#This Row],[Enrolment S.Y. 2025-2026 ]]*8</f>
        <v>704</v>
      </c>
      <c r="K72" s="5"/>
      <c r="L72" s="1"/>
      <c r="M72" s="5"/>
      <c r="N72" s="5">
        <f t="shared" si="19"/>
        <v>704</v>
      </c>
      <c r="O72" s="5">
        <f t="shared" si="20"/>
        <v>0</v>
      </c>
      <c r="P72" s="5">
        <f>Table14[[#This Row],[Enrolment S.Y. 2025-2026 ]]*8</f>
        <v>704</v>
      </c>
      <c r="Q72" s="5">
        <v>150</v>
      </c>
      <c r="R72" s="1">
        <v>2025</v>
      </c>
      <c r="S72" s="5" t="s">
        <v>9</v>
      </c>
      <c r="T72" s="5">
        <f t="shared" si="4"/>
        <v>554</v>
      </c>
      <c r="U72" s="5">
        <f t="shared" si="5"/>
        <v>0</v>
      </c>
      <c r="V72" s="5">
        <f>Table14[[#This Row],[Enrolment S.Y. 2025-2026 ]]*8</f>
        <v>704</v>
      </c>
      <c r="W72" s="5">
        <v>400</v>
      </c>
      <c r="X72" s="1">
        <v>2025</v>
      </c>
      <c r="Y72" s="5" t="s">
        <v>9</v>
      </c>
      <c r="Z72" s="5">
        <f t="shared" si="6"/>
        <v>304</v>
      </c>
      <c r="AA72" s="5">
        <f t="shared" si="7"/>
        <v>0</v>
      </c>
    </row>
    <row r="73" spans="1:27" s="7" customFormat="1"/>
    <row r="74" spans="1:27" ht="19.149999999999999">
      <c r="A74" s="10">
        <v>7</v>
      </c>
      <c r="B74" s="11" t="s">
        <v>16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2"/>
        <v>0</v>
      </c>
      <c r="O74" s="12">
        <f t="shared" si="3"/>
        <v>0</v>
      </c>
      <c r="P74" s="12">
        <f>Table14[[#This Row],[Enrolment S.Y. 2025-2026 ]]*8</f>
        <v>0</v>
      </c>
      <c r="Q74" s="12"/>
      <c r="R74" s="10"/>
      <c r="S74" s="12"/>
      <c r="T74" s="12">
        <f t="shared" si="4"/>
        <v>0</v>
      </c>
      <c r="U74" s="12">
        <f t="shared" si="5"/>
        <v>0</v>
      </c>
      <c r="V74" s="12">
        <f>Table14[[#This Row],[Enrolment S.Y. 2025-2026 ]]*8</f>
        <v>0</v>
      </c>
      <c r="W74" s="12"/>
      <c r="X74" s="10"/>
      <c r="Y74" s="12"/>
      <c r="Z74" s="12">
        <f t="shared" si="6"/>
        <v>0</v>
      </c>
      <c r="AA74" s="12">
        <f t="shared" si="7"/>
        <v>0</v>
      </c>
    </row>
    <row r="75" spans="1:27" ht="19.149999999999999">
      <c r="A75" s="10">
        <v>7</v>
      </c>
      <c r="B75" s="11" t="s">
        <v>17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2"/>
        <v>0</v>
      </c>
      <c r="O75" s="12">
        <f t="shared" si="3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4"/>
        <v>0</v>
      </c>
      <c r="U75" s="12">
        <f t="shared" si="5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6"/>
        <v>0</v>
      </c>
      <c r="AA75" s="12">
        <f t="shared" si="7"/>
        <v>0</v>
      </c>
    </row>
    <row r="76" spans="1:27" ht="19.149999999999999">
      <c r="A76" s="10">
        <v>7</v>
      </c>
      <c r="B76" s="11" t="s">
        <v>14</v>
      </c>
      <c r="C76" s="10"/>
      <c r="D76" s="12">
        <f>Table14[[#This Row],[Enrolment S.Y. 2025-2026 ]]*8</f>
        <v>0</v>
      </c>
      <c r="E76" s="12"/>
      <c r="F76" s="10"/>
      <c r="G76" s="12"/>
      <c r="H76" s="12">
        <f t="shared" si="0"/>
        <v>0</v>
      </c>
      <c r="I76" s="12">
        <f t="shared" si="1"/>
        <v>0</v>
      </c>
      <c r="J76" s="12">
        <f>Table14[[#This Row],[Enrolment S.Y. 2025-2026 ]]*8</f>
        <v>0</v>
      </c>
      <c r="K76" s="12"/>
      <c r="L76" s="10"/>
      <c r="M76" s="12"/>
      <c r="N76" s="12">
        <f t="shared" si="2"/>
        <v>0</v>
      </c>
      <c r="O76" s="12">
        <f t="shared" si="3"/>
        <v>0</v>
      </c>
      <c r="P76" s="12">
        <f>Table14[[#This Row],[Enrolment S.Y. 2025-2026 ]]*8</f>
        <v>0</v>
      </c>
      <c r="Q76" s="12"/>
      <c r="R76" s="10"/>
      <c r="S76" s="12"/>
      <c r="T76" s="12">
        <f t="shared" si="4"/>
        <v>0</v>
      </c>
      <c r="U76" s="12">
        <f t="shared" si="5"/>
        <v>0</v>
      </c>
      <c r="V76" s="12">
        <f>Table14[[#This Row],[Enrolment S.Y. 2025-2026 ]]*8</f>
        <v>0</v>
      </c>
      <c r="W76" s="12"/>
      <c r="X76" s="10"/>
      <c r="Y76" s="12"/>
      <c r="Z76" s="12">
        <f t="shared" si="6"/>
        <v>0</v>
      </c>
      <c r="AA76" s="12">
        <f t="shared" si="7"/>
        <v>0</v>
      </c>
    </row>
    <row r="77" spans="1:27" ht="19.149999999999999">
      <c r="A77" s="10">
        <v>7</v>
      </c>
      <c r="B77" s="11" t="s">
        <v>22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2"/>
        <v>0</v>
      </c>
      <c r="O77" s="12">
        <f t="shared" si="3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4"/>
        <v>0</v>
      </c>
      <c r="U77" s="12">
        <f t="shared" si="5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6"/>
        <v>0</v>
      </c>
      <c r="AA77" s="12">
        <f t="shared" si="7"/>
        <v>0</v>
      </c>
    </row>
    <row r="78" spans="1:27" ht="19.149999999999999">
      <c r="A78" s="10">
        <v>7</v>
      </c>
      <c r="B78" s="11" t="s">
        <v>18</v>
      </c>
      <c r="C78" s="10"/>
      <c r="D78" s="12">
        <f>Table14[[#This Row],[Enrolment S.Y. 2025-2026 ]]*8</f>
        <v>0</v>
      </c>
      <c r="E78" s="12"/>
      <c r="F78" s="10"/>
      <c r="G78" s="12"/>
      <c r="H78" s="12">
        <f t="shared" si="0"/>
        <v>0</v>
      </c>
      <c r="I78" s="12">
        <f t="shared" si="1"/>
        <v>0</v>
      </c>
      <c r="J78" s="12">
        <f>Table14[[#This Row],[Enrolment S.Y. 2025-2026 ]]*8</f>
        <v>0</v>
      </c>
      <c r="K78" s="12"/>
      <c r="L78" s="10"/>
      <c r="M78" s="12"/>
      <c r="N78" s="12">
        <f t="shared" ref="N78:N84" si="21">IF((J78-K78)&lt;0,0,(J78-K78))</f>
        <v>0</v>
      </c>
      <c r="O78" s="12">
        <f t="shared" ref="O78:O84" si="22">IF((K78-J78)&lt;0,0,(K78-J78))</f>
        <v>0</v>
      </c>
      <c r="P78" s="12">
        <f>Table14[[#This Row],[Enrolment S.Y. 2025-2026 ]]*8</f>
        <v>0</v>
      </c>
      <c r="Q78" s="12"/>
      <c r="R78" s="10"/>
      <c r="S78" s="12"/>
      <c r="T78" s="12">
        <f t="shared" si="4"/>
        <v>0</v>
      </c>
      <c r="U78" s="12">
        <f t="shared" si="5"/>
        <v>0</v>
      </c>
      <c r="V78" s="12">
        <f>Table14[[#This Row],[Enrolment S.Y. 2025-2026 ]]*8</f>
        <v>0</v>
      </c>
      <c r="W78" s="12"/>
      <c r="X78" s="10"/>
      <c r="Y78" s="12"/>
      <c r="Z78" s="12">
        <f t="shared" si="6"/>
        <v>0</v>
      </c>
      <c r="AA78" s="12">
        <f t="shared" si="7"/>
        <v>0</v>
      </c>
    </row>
    <row r="79" spans="1:27" ht="19.149999999999999">
      <c r="A79" s="10">
        <v>7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si="21"/>
        <v>0</v>
      </c>
      <c r="O79" s="12">
        <f t="shared" si="22"/>
        <v>0</v>
      </c>
      <c r="P79" s="12">
        <f>Table14[[#This Row],[Enrolment S.Y. 2025-2026 ]]*8</f>
        <v>0</v>
      </c>
      <c r="Q79" s="12"/>
      <c r="R79" s="10"/>
      <c r="S79" s="12"/>
      <c r="T79" s="12">
        <f t="shared" si="4"/>
        <v>0</v>
      </c>
      <c r="U79" s="12">
        <f t="shared" si="5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6"/>
        <v>0</v>
      </c>
      <c r="AA79" s="12">
        <f t="shared" si="7"/>
        <v>0</v>
      </c>
    </row>
    <row r="80" spans="1:27" ht="19.149999999999999">
      <c r="A80" s="38">
        <v>7</v>
      </c>
      <c r="B80" s="11" t="s">
        <v>89</v>
      </c>
      <c r="C80" s="12"/>
      <c r="D80" s="12">
        <f>Table14[[#This Row],[Enrolment S.Y. 2025-2026 ]]*8</f>
        <v>0</v>
      </c>
      <c r="E80" s="12"/>
      <c r="F80" s="10"/>
      <c r="G80" s="12"/>
      <c r="H80" s="12">
        <f>IF((D80-E80)&lt;0,0,(D80-E80))</f>
        <v>0</v>
      </c>
      <c r="I80" s="12">
        <f>IF((E80-D80)&lt;0,0,(E80-D80))</f>
        <v>0</v>
      </c>
      <c r="J80" s="12">
        <f>Table14[[#This Row],[Enrolment S.Y. 2025-2026 ]]*8</f>
        <v>0</v>
      </c>
      <c r="K80" s="12"/>
      <c r="L80" s="10"/>
      <c r="M80" s="12"/>
      <c r="N80" s="12">
        <f t="shared" si="21"/>
        <v>0</v>
      </c>
      <c r="O80" s="12">
        <f t="shared" si="22"/>
        <v>0</v>
      </c>
      <c r="P80" s="12">
        <f>Table14[[#This Row],[Enrolment S.Y. 2025-2026 ]]*8</f>
        <v>0</v>
      </c>
      <c r="Q80" s="12"/>
      <c r="R80" s="10"/>
      <c r="S80" s="12"/>
      <c r="T80" s="12">
        <f>IF((P80-Q80)&lt;0,0,(P80-Q80))</f>
        <v>0</v>
      </c>
      <c r="U80" s="12">
        <f>IF((Q80-P80)&lt;0,0,(Q80-P80))</f>
        <v>0</v>
      </c>
      <c r="V80" s="12">
        <f>Table14[[#This Row],[Enrolment S.Y. 2025-2026 ]]*8</f>
        <v>0</v>
      </c>
      <c r="W80" s="12"/>
      <c r="X80" s="10"/>
      <c r="Y80" s="12"/>
      <c r="Z80" s="12">
        <f>IF((V80-W80)&lt;0,0,(V80-W80))</f>
        <v>0</v>
      </c>
      <c r="AA80" s="12">
        <f>IF((W80-V80)&lt;0,0,(W80-V80))</f>
        <v>0</v>
      </c>
    </row>
    <row r="81" spans="1:27" ht="19.149999999999999">
      <c r="A81" s="10">
        <v>7</v>
      </c>
      <c r="B81" s="11" t="s">
        <v>90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1"/>
        <v>0</v>
      </c>
      <c r="O81" s="12">
        <f t="shared" si="22"/>
        <v>0</v>
      </c>
      <c r="P81" s="12">
        <f>Table14[[#This Row],[Enrolment S.Y. 2025-2026 ]]*8</f>
        <v>0</v>
      </c>
      <c r="Q81" s="12"/>
      <c r="R81" s="10"/>
      <c r="S81" s="12"/>
      <c r="T81" s="12">
        <f t="shared" ref="T81:T129" si="23">IF((P81-Q81)&lt;0,0,(P81-Q81))</f>
        <v>0</v>
      </c>
      <c r="U81" s="12">
        <f t="shared" ref="U81:U129" si="24">IF((Q81-P81)&lt;0,0,(Q81-P81))</f>
        <v>0</v>
      </c>
      <c r="V81" s="12">
        <f>Table14[[#This Row],[Enrolment S.Y. 2025-2026 ]]*8</f>
        <v>0</v>
      </c>
      <c r="W81" s="12"/>
      <c r="X81" s="10"/>
      <c r="Y81" s="12"/>
      <c r="Z81" s="12">
        <f t="shared" ref="Z81:Z129" si="25">IF((V81-W81)&lt;0,0,(V81-W81))</f>
        <v>0</v>
      </c>
      <c r="AA81" s="12">
        <f t="shared" ref="AA81:AA129" si="26">IF((W81-V81)&lt;0,0,(W81-V81))</f>
        <v>0</v>
      </c>
    </row>
    <row r="82" spans="1:27" ht="19.149999999999999">
      <c r="A82" s="10">
        <v>7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1"/>
        <v>0</v>
      </c>
      <c r="O82" s="12">
        <f t="shared" si="22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23"/>
        <v>0</v>
      </c>
      <c r="U82" s="12">
        <f t="shared" si="24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25"/>
        <v>0</v>
      </c>
      <c r="AA82" s="12">
        <f t="shared" si="26"/>
        <v>0</v>
      </c>
    </row>
    <row r="83" spans="1:27" ht="19.149999999999999">
      <c r="A83" s="38">
        <v>7</v>
      </c>
      <c r="B83" s="11" t="s">
        <v>92</v>
      </c>
      <c r="C83" s="12"/>
      <c r="D83" s="12">
        <f>Table14[[#This Row],[Enrolment S.Y. 2025-2026 ]]*8</f>
        <v>0</v>
      </c>
      <c r="E83" s="12"/>
      <c r="F83" s="10"/>
      <c r="G83" s="12"/>
      <c r="H83" s="12">
        <f>IF((D83-E83)&lt;0,0,(D83-E83))</f>
        <v>0</v>
      </c>
      <c r="I83" s="12">
        <f>IF((E83-D83)&lt;0,0,(E83-D83))</f>
        <v>0</v>
      </c>
      <c r="J83" s="12">
        <f>Table14[[#This Row],[Enrolment S.Y. 2025-2026 ]]*8</f>
        <v>0</v>
      </c>
      <c r="K83" s="12"/>
      <c r="L83" s="10"/>
      <c r="M83" s="12"/>
      <c r="N83" s="12">
        <f t="shared" si="21"/>
        <v>0</v>
      </c>
      <c r="O83" s="12">
        <f t="shared" si="22"/>
        <v>0</v>
      </c>
      <c r="P83" s="12">
        <f>Table14[[#This Row],[Enrolment S.Y. 2025-2026 ]]*8</f>
        <v>0</v>
      </c>
      <c r="Q83" s="12"/>
      <c r="R83" s="10"/>
      <c r="S83" s="12"/>
      <c r="T83" s="12">
        <f>IF((P83-Q83)&lt;0,0,(P83-Q83))</f>
        <v>0</v>
      </c>
      <c r="U83" s="12">
        <f>IF((Q83-P83)&lt;0,0,(Q83-P83))</f>
        <v>0</v>
      </c>
      <c r="V83" s="12">
        <f>Table14[[#This Row],[Enrolment S.Y. 2025-2026 ]]*8</f>
        <v>0</v>
      </c>
      <c r="W83" s="12"/>
      <c r="X83" s="10"/>
      <c r="Y83" s="12"/>
      <c r="Z83" s="12">
        <f>IF((V83-W83)&lt;0,0,(V83-W83))</f>
        <v>0</v>
      </c>
      <c r="AA83" s="12">
        <f>IF((W83-V83)&lt;0,0,(W83-V83))</f>
        <v>0</v>
      </c>
    </row>
    <row r="84" spans="1:27" ht="19.149999999999999">
      <c r="A84" s="10">
        <v>7</v>
      </c>
      <c r="B84" s="11" t="s">
        <v>93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si="0"/>
        <v>0</v>
      </c>
      <c r="I84" s="12">
        <f t="shared" si="1"/>
        <v>0</v>
      </c>
      <c r="J84" s="12">
        <f>Table14[[#This Row],[Enrolment S.Y. 2025-2026 ]]*8</f>
        <v>0</v>
      </c>
      <c r="K84" s="12"/>
      <c r="L84" s="10"/>
      <c r="M84" s="12"/>
      <c r="N84" s="12">
        <f t="shared" si="21"/>
        <v>0</v>
      </c>
      <c r="O84" s="12">
        <f t="shared" si="22"/>
        <v>0</v>
      </c>
      <c r="P84" s="12">
        <f>Table14[[#This Row],[Enrolment S.Y. 2025-2026 ]]*8</f>
        <v>0</v>
      </c>
      <c r="Q84" s="12"/>
      <c r="R84" s="10"/>
      <c r="S84" s="12"/>
      <c r="T84" s="12">
        <f t="shared" si="23"/>
        <v>0</v>
      </c>
      <c r="U84" s="12">
        <f t="shared" si="24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25"/>
        <v>0</v>
      </c>
      <c r="AA84" s="12">
        <f t="shared" si="26"/>
        <v>0</v>
      </c>
    </row>
    <row r="85" spans="1:27" s="7" customFormat="1"/>
    <row r="86" spans="1:27" ht="19.149999999999999">
      <c r="A86" s="10">
        <v>8</v>
      </c>
      <c r="B86" s="11" t="s">
        <v>16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0"/>
        <v>0</v>
      </c>
      <c r="I86" s="12">
        <f t="shared" si="1"/>
        <v>0</v>
      </c>
      <c r="J86" s="12">
        <f>Table14[[#This Row],[Enrolment S.Y. 2025-2026 ]]*8</f>
        <v>0</v>
      </c>
      <c r="K86" s="12"/>
      <c r="L86" s="10"/>
      <c r="M86" s="12"/>
      <c r="N86" s="12">
        <f t="shared" ref="N81:N129" si="27">IF((J86-K86)&lt;0,0,(J86-K86))</f>
        <v>0</v>
      </c>
      <c r="O86" s="12">
        <f t="shared" ref="O81:O129" si="28">IF((K86-J86)&lt;0,0,(K86-J86))</f>
        <v>0</v>
      </c>
      <c r="P86" s="12">
        <f>Table14[[#This Row],[Enrolment S.Y. 2025-2026 ]]*8</f>
        <v>0</v>
      </c>
      <c r="Q86" s="12"/>
      <c r="R86" s="10"/>
      <c r="S86" s="12"/>
      <c r="T86" s="12">
        <f t="shared" si="23"/>
        <v>0</v>
      </c>
      <c r="U86" s="12">
        <f t="shared" si="24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25"/>
        <v>0</v>
      </c>
      <c r="AA86" s="12">
        <f t="shared" si="26"/>
        <v>0</v>
      </c>
    </row>
    <row r="87" spans="1:27" ht="19.149999999999999">
      <c r="A87" s="10">
        <v>8</v>
      </c>
      <c r="B87" s="11" t="s">
        <v>17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0"/>
        <v>0</v>
      </c>
      <c r="I87" s="12">
        <f t="shared" si="1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7"/>
        <v>0</v>
      </c>
      <c r="O87" s="12">
        <f t="shared" si="28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23"/>
        <v>0</v>
      </c>
      <c r="U87" s="12">
        <f t="shared" si="24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25"/>
        <v>0</v>
      </c>
      <c r="AA87" s="12">
        <f t="shared" si="26"/>
        <v>0</v>
      </c>
    </row>
    <row r="88" spans="1:27" ht="19.149999999999999">
      <c r="A88" s="10">
        <v>8</v>
      </c>
      <c r="B88" s="11" t="s">
        <v>14</v>
      </c>
      <c r="C88" s="10"/>
      <c r="D88" s="12">
        <f>Table14[[#This Row],[Enrolment S.Y. 2025-2026 ]]*8</f>
        <v>0</v>
      </c>
      <c r="E88" s="12"/>
      <c r="F88" s="10"/>
      <c r="G88" s="12"/>
      <c r="H88" s="12">
        <f t="shared" si="0"/>
        <v>0</v>
      </c>
      <c r="I88" s="12">
        <f t="shared" si="1"/>
        <v>0</v>
      </c>
      <c r="J88" s="12">
        <f>Table14[[#This Row],[Enrolment S.Y. 2025-2026 ]]*8</f>
        <v>0</v>
      </c>
      <c r="K88" s="12"/>
      <c r="L88" s="10"/>
      <c r="M88" s="12"/>
      <c r="N88" s="12">
        <f t="shared" si="27"/>
        <v>0</v>
      </c>
      <c r="O88" s="12">
        <f t="shared" si="28"/>
        <v>0</v>
      </c>
      <c r="P88" s="12">
        <f>Table14[[#This Row],[Enrolment S.Y. 2025-2026 ]]*8</f>
        <v>0</v>
      </c>
      <c r="Q88" s="12"/>
      <c r="R88" s="10"/>
      <c r="S88" s="12"/>
      <c r="T88" s="12">
        <f t="shared" si="23"/>
        <v>0</v>
      </c>
      <c r="U88" s="12">
        <f t="shared" si="24"/>
        <v>0</v>
      </c>
      <c r="V88" s="12">
        <f>Table14[[#This Row],[Enrolment S.Y. 2025-2026 ]]*8</f>
        <v>0</v>
      </c>
      <c r="W88" s="12"/>
      <c r="X88" s="10"/>
      <c r="Y88" s="12"/>
      <c r="Z88" s="12">
        <f t="shared" si="25"/>
        <v>0</v>
      </c>
      <c r="AA88" s="12">
        <f t="shared" si="26"/>
        <v>0</v>
      </c>
    </row>
    <row r="89" spans="1:27" ht="19.149999999999999">
      <c r="A89" s="10">
        <v>8</v>
      </c>
      <c r="B89" s="11" t="s">
        <v>22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0"/>
        <v>0</v>
      </c>
      <c r="I89" s="12">
        <f t="shared" si="1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7"/>
        <v>0</v>
      </c>
      <c r="O89" s="12">
        <f t="shared" si="28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23"/>
        <v>0</v>
      </c>
      <c r="U89" s="12">
        <f t="shared" si="24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25"/>
        <v>0</v>
      </c>
      <c r="AA89" s="12">
        <f t="shared" si="26"/>
        <v>0</v>
      </c>
    </row>
    <row r="90" spans="1:27" ht="19.149999999999999">
      <c r="A90" s="10">
        <v>8</v>
      </c>
      <c r="B90" s="11" t="s">
        <v>24</v>
      </c>
      <c r="C90" s="10"/>
      <c r="D90" s="12">
        <f>Table14[[#This Row],[Enrolment S.Y. 2025-2026 ]]*8</f>
        <v>0</v>
      </c>
      <c r="E90" s="12"/>
      <c r="F90" s="10"/>
      <c r="G90" s="12"/>
      <c r="H90" s="12">
        <f t="shared" si="0"/>
        <v>0</v>
      </c>
      <c r="I90" s="12">
        <f t="shared" si="1"/>
        <v>0</v>
      </c>
      <c r="J90" s="12">
        <f>Table14[[#This Row],[Enrolment S.Y. 2025-2026 ]]*8</f>
        <v>0</v>
      </c>
      <c r="K90" s="12"/>
      <c r="L90" s="10"/>
      <c r="M90" s="12"/>
      <c r="N90" s="12">
        <f t="shared" si="27"/>
        <v>0</v>
      </c>
      <c r="O90" s="12">
        <f t="shared" si="28"/>
        <v>0</v>
      </c>
      <c r="P90" s="12">
        <f>Table14[[#This Row],[Enrolment S.Y. 2025-2026 ]]*8</f>
        <v>0</v>
      </c>
      <c r="Q90" s="12"/>
      <c r="R90" s="10"/>
      <c r="S90" s="12"/>
      <c r="T90" s="12">
        <f t="shared" si="23"/>
        <v>0</v>
      </c>
      <c r="U90" s="12">
        <f t="shared" si="24"/>
        <v>0</v>
      </c>
      <c r="V90" s="12">
        <f>Table14[[#This Row],[Enrolment S.Y. 2025-2026 ]]*8</f>
        <v>0</v>
      </c>
      <c r="W90" s="12"/>
      <c r="X90" s="10"/>
      <c r="Y90" s="12"/>
      <c r="Z90" s="12">
        <f t="shared" si="25"/>
        <v>0</v>
      </c>
      <c r="AA90" s="12">
        <f t="shared" si="26"/>
        <v>0</v>
      </c>
    </row>
    <row r="91" spans="1:27" ht="19.149999999999999">
      <c r="A91" s="10">
        <v>8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ref="H91:H129" si="29">IF((D91-E91)&lt;0,0,(D91-E91))</f>
        <v>0</v>
      </c>
      <c r="I91" s="12">
        <f t="shared" ref="I91:I129" si="30">IF((E91-D91)&lt;0,0,(E91-D91))</f>
        <v>0</v>
      </c>
      <c r="J91" s="12">
        <f>Table14[[#This Row],[Enrolment S.Y. 2025-2026 ]]*8</f>
        <v>0</v>
      </c>
      <c r="K91" s="12"/>
      <c r="L91" s="10"/>
      <c r="M91" s="12"/>
      <c r="N91" s="12">
        <f t="shared" ref="N91:N96" si="31">IF((J91-K91)&lt;0,0,(J91-K91))</f>
        <v>0</v>
      </c>
      <c r="O91" s="12">
        <f t="shared" ref="O91:O96" si="32">IF((K91-J91)&lt;0,0,(K91-J91))</f>
        <v>0</v>
      </c>
      <c r="P91" s="12">
        <f>Table14[[#This Row],[Enrolment S.Y. 2025-2026 ]]*8</f>
        <v>0</v>
      </c>
      <c r="Q91" s="12"/>
      <c r="R91" s="10"/>
      <c r="S91" s="12"/>
      <c r="T91" s="12">
        <f t="shared" si="23"/>
        <v>0</v>
      </c>
      <c r="U91" s="12">
        <f t="shared" si="24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25"/>
        <v>0</v>
      </c>
      <c r="AA91" s="12">
        <f t="shared" si="26"/>
        <v>0</v>
      </c>
    </row>
    <row r="92" spans="1:27" ht="19.149999999999999">
      <c r="A92" s="38">
        <v>8</v>
      </c>
      <c r="B92" s="11" t="s">
        <v>89</v>
      </c>
      <c r="C92" s="12"/>
      <c r="D92" s="12">
        <f>Table14[[#This Row],[Enrolment S.Y. 2025-2026 ]]*8</f>
        <v>0</v>
      </c>
      <c r="E92" s="12"/>
      <c r="F92" s="10"/>
      <c r="G92" s="12"/>
      <c r="H92" s="12">
        <f>IF((D92-E92)&lt;0,0,(D92-E92))</f>
        <v>0</v>
      </c>
      <c r="I92" s="12">
        <f>IF((E92-D92)&lt;0,0,(E92-D92))</f>
        <v>0</v>
      </c>
      <c r="J92" s="12">
        <f>Table14[[#This Row],[Enrolment S.Y. 2025-2026 ]]*8</f>
        <v>0</v>
      </c>
      <c r="K92" s="12"/>
      <c r="L92" s="10"/>
      <c r="M92" s="12"/>
      <c r="N92" s="12">
        <f t="shared" si="31"/>
        <v>0</v>
      </c>
      <c r="O92" s="12">
        <f t="shared" si="32"/>
        <v>0</v>
      </c>
      <c r="P92" s="12">
        <f>Table14[[#This Row],[Enrolment S.Y. 2025-2026 ]]*8</f>
        <v>0</v>
      </c>
      <c r="Q92" s="12"/>
      <c r="R92" s="10"/>
      <c r="S92" s="12"/>
      <c r="T92" s="12">
        <f>IF((P92-Q92)&lt;0,0,(P92-Q92))</f>
        <v>0</v>
      </c>
      <c r="U92" s="12">
        <f>IF((Q92-P92)&lt;0,0,(Q92-P92))</f>
        <v>0</v>
      </c>
      <c r="V92" s="12">
        <f>Table14[[#This Row],[Enrolment S.Y. 2025-2026 ]]*8</f>
        <v>0</v>
      </c>
      <c r="W92" s="12"/>
      <c r="X92" s="10"/>
      <c r="Y92" s="12"/>
      <c r="Z92" s="12">
        <f>IF((V92-W92)&lt;0,0,(V92-W92))</f>
        <v>0</v>
      </c>
      <c r="AA92" s="12">
        <f>IF((W92-V92)&lt;0,0,(W92-V92))</f>
        <v>0</v>
      </c>
    </row>
    <row r="93" spans="1:27" ht="19.149999999999999">
      <c r="A93" s="10">
        <v>8</v>
      </c>
      <c r="B93" s="11" t="s">
        <v>90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9"/>
        <v>0</v>
      </c>
      <c r="I93" s="12">
        <f t="shared" si="30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31"/>
        <v>0</v>
      </c>
      <c r="O93" s="12">
        <f t="shared" si="32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23"/>
        <v>0</v>
      </c>
      <c r="U93" s="12">
        <f t="shared" si="24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25"/>
        <v>0</v>
      </c>
      <c r="AA93" s="12">
        <f t="shared" si="26"/>
        <v>0</v>
      </c>
    </row>
    <row r="94" spans="1:27" ht="19.149999999999999">
      <c r="A94" s="10">
        <v>8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9"/>
        <v>0</v>
      </c>
      <c r="I94" s="12">
        <f t="shared" si="30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31"/>
        <v>0</v>
      </c>
      <c r="O94" s="12">
        <f t="shared" si="32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23"/>
        <v>0</v>
      </c>
      <c r="U94" s="12">
        <f t="shared" si="24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25"/>
        <v>0</v>
      </c>
      <c r="AA94" s="12">
        <f t="shared" si="26"/>
        <v>0</v>
      </c>
    </row>
    <row r="95" spans="1:27" ht="19.149999999999999">
      <c r="A95" s="38">
        <v>8</v>
      </c>
      <c r="B95" s="11" t="s">
        <v>92</v>
      </c>
      <c r="C95" s="12"/>
      <c r="D95" s="12">
        <f>Table14[[#This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Table14[[#This Row],[Enrolment S.Y. 2025-2026 ]]*8</f>
        <v>0</v>
      </c>
      <c r="K95" s="12"/>
      <c r="L95" s="10"/>
      <c r="M95" s="12"/>
      <c r="N95" s="12">
        <f t="shared" si="31"/>
        <v>0</v>
      </c>
      <c r="O95" s="12">
        <f t="shared" si="32"/>
        <v>0</v>
      </c>
      <c r="P95" s="12">
        <f>Table14[[#This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Table14[[#This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8</v>
      </c>
      <c r="B96" s="11" t="s">
        <v>93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9"/>
        <v>0</v>
      </c>
      <c r="I96" s="12">
        <f t="shared" si="30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31"/>
        <v>0</v>
      </c>
      <c r="O96" s="12">
        <f t="shared" si="32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23"/>
        <v>0</v>
      </c>
      <c r="U96" s="12">
        <f t="shared" si="24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25"/>
        <v>0</v>
      </c>
      <c r="AA96" s="12">
        <f t="shared" si="26"/>
        <v>0</v>
      </c>
    </row>
    <row r="97" spans="1:27" s="7" customFormat="1"/>
    <row r="98" spans="1:27" ht="19.149999999999999">
      <c r="A98" s="10">
        <v>9</v>
      </c>
      <c r="B98" s="11" t="s">
        <v>16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9"/>
        <v>0</v>
      </c>
      <c r="I98" s="12">
        <f t="shared" si="30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7"/>
        <v>0</v>
      </c>
      <c r="O98" s="12">
        <f t="shared" si="28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23"/>
        <v>0</v>
      </c>
      <c r="U98" s="12">
        <f t="shared" si="24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25"/>
        <v>0</v>
      </c>
      <c r="AA98" s="12">
        <f t="shared" si="26"/>
        <v>0</v>
      </c>
    </row>
    <row r="99" spans="1:27" ht="19.149999999999999">
      <c r="A99" s="10">
        <v>9</v>
      </c>
      <c r="B99" s="11" t="s">
        <v>17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9"/>
        <v>0</v>
      </c>
      <c r="I99" s="12">
        <f t="shared" si="30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7"/>
        <v>0</v>
      </c>
      <c r="O99" s="12">
        <f t="shared" si="28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23"/>
        <v>0</v>
      </c>
      <c r="U99" s="12">
        <f t="shared" si="24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25"/>
        <v>0</v>
      </c>
      <c r="AA99" s="12">
        <f t="shared" si="26"/>
        <v>0</v>
      </c>
    </row>
    <row r="100" spans="1:27" ht="19.149999999999999">
      <c r="A100" s="10">
        <v>9</v>
      </c>
      <c r="B100" s="11" t="s">
        <v>14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 t="shared" si="29"/>
        <v>0</v>
      </c>
      <c r="I100" s="12">
        <f t="shared" si="30"/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7"/>
        <v>0</v>
      </c>
      <c r="O100" s="12">
        <f t="shared" si="28"/>
        <v>0</v>
      </c>
      <c r="P100" s="12">
        <f>Table14[[#This Row],[Enrolment S.Y. 2025-2026 ]]*8</f>
        <v>0</v>
      </c>
      <c r="Q100" s="12"/>
      <c r="R100" s="10"/>
      <c r="S100" s="12"/>
      <c r="T100" s="12">
        <f t="shared" si="23"/>
        <v>0</v>
      </c>
      <c r="U100" s="12">
        <f t="shared" si="24"/>
        <v>0</v>
      </c>
      <c r="V100" s="12">
        <f>Table14[[#This Row],[Enrolment S.Y. 2025-2026 ]]*8</f>
        <v>0</v>
      </c>
      <c r="W100" s="12"/>
      <c r="X100" s="10"/>
      <c r="Y100" s="12"/>
      <c r="Z100" s="12">
        <f t="shared" si="25"/>
        <v>0</v>
      </c>
      <c r="AA100" s="12">
        <f t="shared" si="26"/>
        <v>0</v>
      </c>
    </row>
    <row r="101" spans="1:27" ht="19.149999999999999">
      <c r="A101" s="10">
        <v>9</v>
      </c>
      <c r="B101" s="11" t="s">
        <v>22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9"/>
        <v>0</v>
      </c>
      <c r="I101" s="12">
        <f t="shared" si="30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7"/>
        <v>0</v>
      </c>
      <c r="O101" s="12">
        <f t="shared" si="28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23"/>
        <v>0</v>
      </c>
      <c r="U101" s="12">
        <f t="shared" si="24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25"/>
        <v>0</v>
      </c>
      <c r="AA101" s="12">
        <f t="shared" si="26"/>
        <v>0</v>
      </c>
    </row>
    <row r="102" spans="1:27" ht="19.149999999999999">
      <c r="A102" s="10">
        <v>9</v>
      </c>
      <c r="B102" s="11" t="s">
        <v>24</v>
      </c>
      <c r="C102" s="10"/>
      <c r="D102" s="12">
        <f>Table14[[#This Row],[Enrolment S.Y. 2025-2026 ]]*8</f>
        <v>0</v>
      </c>
      <c r="E102" s="12"/>
      <c r="F102" s="10"/>
      <c r="G102" s="12"/>
      <c r="H102" s="12">
        <f t="shared" si="29"/>
        <v>0</v>
      </c>
      <c r="I102" s="12">
        <f t="shared" si="30"/>
        <v>0</v>
      </c>
      <c r="J102" s="12">
        <f>Table14[[#This Row],[Enrolment S.Y. 2025-2026 ]]*8</f>
        <v>0</v>
      </c>
      <c r="K102" s="12"/>
      <c r="L102" s="10"/>
      <c r="M102" s="12"/>
      <c r="N102" s="12">
        <f t="shared" si="27"/>
        <v>0</v>
      </c>
      <c r="O102" s="12">
        <f t="shared" si="28"/>
        <v>0</v>
      </c>
      <c r="P102" s="12">
        <f>Table14[[#This Row],[Enrolment S.Y. 2025-2026 ]]*8</f>
        <v>0</v>
      </c>
      <c r="Q102" s="12"/>
      <c r="R102" s="10"/>
      <c r="S102" s="12"/>
      <c r="T102" s="12">
        <f t="shared" si="23"/>
        <v>0</v>
      </c>
      <c r="U102" s="12">
        <f t="shared" si="24"/>
        <v>0</v>
      </c>
      <c r="V102" s="12">
        <f>Table14[[#This Row],[Enrolment S.Y. 2025-2026 ]]*8</f>
        <v>0</v>
      </c>
      <c r="W102" s="12"/>
      <c r="X102" s="10"/>
      <c r="Y102" s="12"/>
      <c r="Z102" s="12">
        <f t="shared" si="25"/>
        <v>0</v>
      </c>
      <c r="AA102" s="12">
        <f t="shared" si="26"/>
        <v>0</v>
      </c>
    </row>
    <row r="103" spans="1:27" ht="19.149999999999999">
      <c r="A103" s="10">
        <v>9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9"/>
        <v>0</v>
      </c>
      <c r="I103" s="12">
        <f t="shared" si="30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7"/>
        <v>0</v>
      </c>
      <c r="O103" s="12">
        <f t="shared" si="28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23"/>
        <v>0</v>
      </c>
      <c r="U103" s="12">
        <f t="shared" si="24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25"/>
        <v>0</v>
      </c>
      <c r="AA103" s="12">
        <f t="shared" si="26"/>
        <v>0</v>
      </c>
    </row>
    <row r="104" spans="1:27" ht="19.149999999999999">
      <c r="A104" s="38">
        <v>9</v>
      </c>
      <c r="B104" s="11" t="s">
        <v>89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>IF((D104-E104)&lt;0,0,(D104-E104))</f>
        <v>0</v>
      </c>
      <c r="I104" s="12">
        <f>IF((E104-D104)&lt;0,0,(E104-D104))</f>
        <v>0</v>
      </c>
      <c r="J104" s="12">
        <f>Table14[[#This Row],[Enrolment S.Y. 2025-2026 ]]*8</f>
        <v>0</v>
      </c>
      <c r="K104" s="12"/>
      <c r="L104" s="10"/>
      <c r="M104" s="12"/>
      <c r="N104" s="12">
        <f t="shared" ref="N104:N108" si="33">IF((J104-K104)&lt;0,0,(J104-K104))</f>
        <v>0</v>
      </c>
      <c r="O104" s="12">
        <f t="shared" ref="O104:O108" si="34">IF((K104-J104)&lt;0,0,(K104-J104))</f>
        <v>0</v>
      </c>
      <c r="P104" s="12">
        <f>Table14[[#This Row],[Enrolment S.Y. 2025-2026 ]]*8</f>
        <v>0</v>
      </c>
      <c r="Q104" s="12"/>
      <c r="R104" s="10"/>
      <c r="S104" s="12"/>
      <c r="T104" s="12">
        <f>IF((P104-Q104)&lt;0,0,(P104-Q104))</f>
        <v>0</v>
      </c>
      <c r="U104" s="12">
        <f>IF((Q104-P104)&lt;0,0,(Q104-P104))</f>
        <v>0</v>
      </c>
      <c r="V104" s="12">
        <f>Table14[[#This Row],[Enrolment S.Y. 2025-2026 ]]*8</f>
        <v>0</v>
      </c>
      <c r="W104" s="12"/>
      <c r="X104" s="10"/>
      <c r="Y104" s="12"/>
      <c r="Z104" s="12">
        <f>IF((V104-W104)&lt;0,0,(V104-W104))</f>
        <v>0</v>
      </c>
      <c r="AA104" s="12">
        <f>IF((W104-V104)&lt;0,0,(W104-V104))</f>
        <v>0</v>
      </c>
    </row>
    <row r="105" spans="1:27" ht="19.149999999999999">
      <c r="A105" s="10">
        <v>9</v>
      </c>
      <c r="B105" s="11" t="s">
        <v>90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9"/>
        <v>0</v>
      </c>
      <c r="I105" s="12">
        <f t="shared" si="30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33"/>
        <v>0</v>
      </c>
      <c r="O105" s="12">
        <f t="shared" si="34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23"/>
        <v>0</v>
      </c>
      <c r="U105" s="12">
        <f t="shared" si="24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25"/>
        <v>0</v>
      </c>
      <c r="AA105" s="12">
        <f t="shared" si="26"/>
        <v>0</v>
      </c>
    </row>
    <row r="106" spans="1:27" ht="19.149999999999999">
      <c r="A106" s="10">
        <v>9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9"/>
        <v>0</v>
      </c>
      <c r="I106" s="12">
        <f t="shared" si="30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33"/>
        <v>0</v>
      </c>
      <c r="O106" s="12">
        <f t="shared" si="34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23"/>
        <v>0</v>
      </c>
      <c r="U106" s="12">
        <f t="shared" si="24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25"/>
        <v>0</v>
      </c>
      <c r="AA106" s="12">
        <f t="shared" si="26"/>
        <v>0</v>
      </c>
    </row>
    <row r="107" spans="1:27" ht="19.149999999999999">
      <c r="A107" s="38">
        <v>9</v>
      </c>
      <c r="B107" s="11" t="s">
        <v>92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>IF((D107-E107)&lt;0,0,(D107-E107))</f>
        <v>0</v>
      </c>
      <c r="I107" s="12">
        <f>IF((E107-D107)&lt;0,0,(E107-D107))</f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33"/>
        <v>0</v>
      </c>
      <c r="O107" s="12">
        <f t="shared" si="34"/>
        <v>0</v>
      </c>
      <c r="P107" s="12">
        <f>Table14[[#This Row],[Enrolment S.Y. 2025-2026 ]]*8</f>
        <v>0</v>
      </c>
      <c r="Q107" s="12"/>
      <c r="R107" s="10"/>
      <c r="S107" s="12"/>
      <c r="T107" s="12">
        <f>IF((P107-Q107)&lt;0,0,(P107-Q107))</f>
        <v>0</v>
      </c>
      <c r="U107" s="12">
        <f>IF((Q107-P107)&lt;0,0,(Q107-P107))</f>
        <v>0</v>
      </c>
      <c r="V107" s="12">
        <f>Table14[[#This Row],[Enrolment S.Y. 2025-2026 ]]*8</f>
        <v>0</v>
      </c>
      <c r="W107" s="12"/>
      <c r="X107" s="10"/>
      <c r="Y107" s="12"/>
      <c r="Z107" s="12">
        <f>IF((V107-W107)&lt;0,0,(V107-W107))</f>
        <v>0</v>
      </c>
      <c r="AA107" s="12">
        <f>IF((W107-V107)&lt;0,0,(W107-V107))</f>
        <v>0</v>
      </c>
    </row>
    <row r="108" spans="1:27" ht="19.149999999999999">
      <c r="A108" s="10">
        <v>9</v>
      </c>
      <c r="B108" s="11" t="s">
        <v>93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9"/>
        <v>0</v>
      </c>
      <c r="I108" s="12">
        <f t="shared" si="30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33"/>
        <v>0</v>
      </c>
      <c r="O108" s="12">
        <f t="shared" si="34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23"/>
        <v>0</v>
      </c>
      <c r="U108" s="12">
        <f t="shared" si="24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25"/>
        <v>0</v>
      </c>
      <c r="AA108" s="12">
        <f t="shared" si="26"/>
        <v>0</v>
      </c>
    </row>
    <row r="109" spans="1:27" s="7" customFormat="1"/>
    <row r="110" spans="1:27" ht="19.149999999999999">
      <c r="A110" s="10">
        <v>10</v>
      </c>
      <c r="B110" s="11" t="s">
        <v>16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9"/>
        <v>0</v>
      </c>
      <c r="I110" s="12">
        <f t="shared" si="30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7"/>
        <v>0</v>
      </c>
      <c r="O110" s="12">
        <f t="shared" si="28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23"/>
        <v>0</v>
      </c>
      <c r="U110" s="12">
        <f t="shared" si="24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25"/>
        <v>0</v>
      </c>
      <c r="AA110" s="12">
        <f t="shared" si="26"/>
        <v>0</v>
      </c>
    </row>
    <row r="111" spans="1:27" ht="19.149999999999999">
      <c r="A111" s="10">
        <v>10</v>
      </c>
      <c r="B111" s="11" t="s">
        <v>17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9"/>
        <v>0</v>
      </c>
      <c r="I111" s="12">
        <f t="shared" si="30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7"/>
        <v>0</v>
      </c>
      <c r="O111" s="12">
        <f t="shared" si="28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23"/>
        <v>0</v>
      </c>
      <c r="U111" s="12">
        <f t="shared" si="24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25"/>
        <v>0</v>
      </c>
      <c r="AA111" s="12">
        <f t="shared" si="26"/>
        <v>0</v>
      </c>
    </row>
    <row r="112" spans="1:27" ht="19.149999999999999">
      <c r="A112" s="10">
        <v>10</v>
      </c>
      <c r="B112" s="11" t="s">
        <v>14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 t="shared" si="29"/>
        <v>0</v>
      </c>
      <c r="I112" s="12">
        <f t="shared" si="30"/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7"/>
        <v>0</v>
      </c>
      <c r="O112" s="12">
        <f t="shared" si="28"/>
        <v>0</v>
      </c>
      <c r="P112" s="12">
        <f>Table14[[#This Row],[Enrolment S.Y. 2025-2026 ]]*8</f>
        <v>0</v>
      </c>
      <c r="Q112" s="12"/>
      <c r="R112" s="10"/>
      <c r="S112" s="12"/>
      <c r="T112" s="12">
        <f t="shared" si="23"/>
        <v>0</v>
      </c>
      <c r="U112" s="12">
        <f t="shared" si="24"/>
        <v>0</v>
      </c>
      <c r="V112" s="12">
        <f>Table14[[#This Row],[Enrolment S.Y. 2025-2026 ]]*8</f>
        <v>0</v>
      </c>
      <c r="W112" s="12"/>
      <c r="X112" s="10"/>
      <c r="Y112" s="12"/>
      <c r="Z112" s="12">
        <f t="shared" si="25"/>
        <v>0</v>
      </c>
      <c r="AA112" s="12">
        <f t="shared" si="26"/>
        <v>0</v>
      </c>
    </row>
    <row r="113" spans="1:27" ht="19.149999999999999">
      <c r="A113" s="10">
        <v>10</v>
      </c>
      <c r="B113" s="11" t="s">
        <v>22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9"/>
        <v>0</v>
      </c>
      <c r="I113" s="12">
        <f t="shared" si="30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7"/>
        <v>0</v>
      </c>
      <c r="O113" s="12">
        <f t="shared" si="28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23"/>
        <v>0</v>
      </c>
      <c r="U113" s="12">
        <f t="shared" si="24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25"/>
        <v>0</v>
      </c>
      <c r="AA113" s="12">
        <f t="shared" si="26"/>
        <v>0</v>
      </c>
    </row>
    <row r="114" spans="1:27" ht="19.149999999999999">
      <c r="A114" s="10">
        <v>10</v>
      </c>
      <c r="B114" s="11" t="s">
        <v>24</v>
      </c>
      <c r="C114" s="10"/>
      <c r="D114" s="12">
        <f>Table14[[#This Row],[Enrolment S.Y. 2025-2026 ]]*8</f>
        <v>0</v>
      </c>
      <c r="E114" s="12"/>
      <c r="F114" s="10"/>
      <c r="G114" s="12"/>
      <c r="H114" s="12">
        <f t="shared" si="29"/>
        <v>0</v>
      </c>
      <c r="I114" s="12">
        <f t="shared" si="30"/>
        <v>0</v>
      </c>
      <c r="J114" s="12">
        <f>Table14[[#This Row],[Enrolment S.Y. 2025-2026 ]]*8</f>
        <v>0</v>
      </c>
      <c r="K114" s="12"/>
      <c r="L114" s="10"/>
      <c r="M114" s="12"/>
      <c r="N114" s="12">
        <f t="shared" si="27"/>
        <v>0</v>
      </c>
      <c r="O114" s="12">
        <f t="shared" si="28"/>
        <v>0</v>
      </c>
      <c r="P114" s="12">
        <f>Table14[[#This Row],[Enrolment S.Y. 2025-2026 ]]*8</f>
        <v>0</v>
      </c>
      <c r="Q114" s="12"/>
      <c r="R114" s="10"/>
      <c r="S114" s="12"/>
      <c r="T114" s="12">
        <f t="shared" si="23"/>
        <v>0</v>
      </c>
      <c r="U114" s="12">
        <f t="shared" si="24"/>
        <v>0</v>
      </c>
      <c r="V114" s="12">
        <f>Table14[[#This Row],[Enrolment S.Y. 2025-2026 ]]*8</f>
        <v>0</v>
      </c>
      <c r="W114" s="12"/>
      <c r="X114" s="10"/>
      <c r="Y114" s="12"/>
      <c r="Z114" s="12">
        <f t="shared" si="25"/>
        <v>0</v>
      </c>
      <c r="AA114" s="12">
        <f t="shared" si="26"/>
        <v>0</v>
      </c>
    </row>
    <row r="115" spans="1:27" ht="19.149999999999999">
      <c r="A115" s="10">
        <v>10</v>
      </c>
      <c r="B115" s="11" t="s">
        <v>15</v>
      </c>
      <c r="C115" s="10"/>
      <c r="D115" s="12">
        <f>Table14[[#This Row],[Enrolment S.Y. 2025-2026 ]]*8</f>
        <v>0</v>
      </c>
      <c r="E115" s="12"/>
      <c r="F115" s="10"/>
      <c r="G115" s="12"/>
      <c r="H115" s="12">
        <f t="shared" si="29"/>
        <v>0</v>
      </c>
      <c r="I115" s="12">
        <f t="shared" si="30"/>
        <v>0</v>
      </c>
      <c r="J115" s="12">
        <f>Table14[[#This Row],[Enrolment S.Y. 2025-2026 ]]*8</f>
        <v>0</v>
      </c>
      <c r="K115" s="12"/>
      <c r="L115" s="10"/>
      <c r="M115" s="12"/>
      <c r="N115" s="12">
        <f t="shared" si="27"/>
        <v>0</v>
      </c>
      <c r="O115" s="12">
        <f t="shared" si="28"/>
        <v>0</v>
      </c>
      <c r="P115" s="12">
        <f>Table14[[#This Row],[Enrolment S.Y. 2025-2026 ]]*8</f>
        <v>0</v>
      </c>
      <c r="Q115" s="12"/>
      <c r="R115" s="10"/>
      <c r="S115" s="12"/>
      <c r="T115" s="12">
        <f t="shared" si="23"/>
        <v>0</v>
      </c>
      <c r="U115" s="12">
        <f t="shared" si="24"/>
        <v>0</v>
      </c>
      <c r="V115" s="12">
        <f>Table14[[#This Row],[Enrolment S.Y. 2025-2026 ]]*8</f>
        <v>0</v>
      </c>
      <c r="W115" s="12"/>
      <c r="X115" s="10"/>
      <c r="Y115" s="12"/>
      <c r="Z115" s="12">
        <f t="shared" si="25"/>
        <v>0</v>
      </c>
      <c r="AA115" s="12">
        <f t="shared" si="26"/>
        <v>0</v>
      </c>
    </row>
    <row r="116" spans="1:27" ht="19.149999999999999">
      <c r="A116" s="38">
        <v>10</v>
      </c>
      <c r="B116" s="11" t="s">
        <v>89</v>
      </c>
      <c r="C116" s="10"/>
      <c r="D116" s="12">
        <f>Table14[[#This Row],[Enrolment S.Y. 2025-2026 ]]*8</f>
        <v>0</v>
      </c>
      <c r="E116" s="12"/>
      <c r="F116" s="10"/>
      <c r="G116" s="12"/>
      <c r="H116" s="12">
        <f>IF((D116-E116)&lt;0,0,(D116-E116))</f>
        <v>0</v>
      </c>
      <c r="I116" s="12">
        <f>IF((E116-D116)&lt;0,0,(E116-D116))</f>
        <v>0</v>
      </c>
      <c r="J116" s="12">
        <f>Table14[[#This Row],[Enrolment S.Y. 2025-2026 ]]*8</f>
        <v>0</v>
      </c>
      <c r="K116" s="12"/>
      <c r="L116" s="10"/>
      <c r="M116" s="12"/>
      <c r="N116" s="12">
        <f t="shared" ref="N116:N120" si="35">IF((J116-K116)&lt;0,0,(J116-K116))</f>
        <v>0</v>
      </c>
      <c r="O116" s="12">
        <f t="shared" ref="O116:O120" si="36">IF((K116-J116)&lt;0,0,(K116-J116))</f>
        <v>0</v>
      </c>
      <c r="P116" s="12">
        <f>Table14[[#This Row],[Enrolment S.Y. 2025-2026 ]]*8</f>
        <v>0</v>
      </c>
      <c r="Q116" s="12"/>
      <c r="R116" s="10"/>
      <c r="S116" s="12"/>
      <c r="T116" s="12">
        <f>IF((P116-Q116)&lt;0,0,(P116-Q116))</f>
        <v>0</v>
      </c>
      <c r="U116" s="12">
        <f>IF((Q116-P116)&lt;0,0,(Q116-P116))</f>
        <v>0</v>
      </c>
      <c r="V116" s="12">
        <f>Table14[[#This Row],[Enrolment S.Y. 2025-2026 ]]*8</f>
        <v>0</v>
      </c>
      <c r="W116" s="12"/>
      <c r="X116" s="10"/>
      <c r="Y116" s="12"/>
      <c r="Z116" s="12">
        <f>IF((V116-W116)&lt;0,0,(V116-W116))</f>
        <v>0</v>
      </c>
      <c r="AA116" s="12">
        <f>IF((W116-V116)&lt;0,0,(W116-V116))</f>
        <v>0</v>
      </c>
    </row>
    <row r="117" spans="1:27" ht="19.149999999999999">
      <c r="A117" s="10">
        <v>10</v>
      </c>
      <c r="B117" s="11" t="s">
        <v>90</v>
      </c>
      <c r="C117" s="10"/>
      <c r="D117" s="12">
        <f>Table14[[#This Row],[Enrolment S.Y. 2025-2026 ]]*8</f>
        <v>0</v>
      </c>
      <c r="E117" s="12"/>
      <c r="F117" s="10"/>
      <c r="G117" s="12"/>
      <c r="H117" s="12">
        <f t="shared" si="29"/>
        <v>0</v>
      </c>
      <c r="I117" s="12">
        <f t="shared" si="30"/>
        <v>0</v>
      </c>
      <c r="J117" s="12">
        <f>Table14[[#This Row],[Enrolment S.Y. 2025-2026 ]]*8</f>
        <v>0</v>
      </c>
      <c r="K117" s="12"/>
      <c r="L117" s="10"/>
      <c r="M117" s="12"/>
      <c r="N117" s="12">
        <f t="shared" si="35"/>
        <v>0</v>
      </c>
      <c r="O117" s="12">
        <f t="shared" si="36"/>
        <v>0</v>
      </c>
      <c r="P117" s="12">
        <f>Table14[[#This Row],[Enrolment S.Y. 2025-2026 ]]*8</f>
        <v>0</v>
      </c>
      <c r="Q117" s="12"/>
      <c r="R117" s="10"/>
      <c r="S117" s="12"/>
      <c r="T117" s="12">
        <f t="shared" si="23"/>
        <v>0</v>
      </c>
      <c r="U117" s="12">
        <f t="shared" si="24"/>
        <v>0</v>
      </c>
      <c r="V117" s="12">
        <f>Table14[[#This Row],[Enrolment S.Y. 2025-2026 ]]*8</f>
        <v>0</v>
      </c>
      <c r="W117" s="12"/>
      <c r="X117" s="10"/>
      <c r="Y117" s="12"/>
      <c r="Z117" s="12">
        <f t="shared" si="25"/>
        <v>0</v>
      </c>
      <c r="AA117" s="12">
        <f t="shared" si="26"/>
        <v>0</v>
      </c>
    </row>
    <row r="118" spans="1:27" ht="19.149999999999999">
      <c r="A118" s="10">
        <v>10</v>
      </c>
      <c r="B118" s="11" t="s">
        <v>23</v>
      </c>
      <c r="C118" s="10"/>
      <c r="D118" s="12">
        <f>Table14[[#This Row],[Enrolment S.Y. 2025-2026 ]]*8</f>
        <v>0</v>
      </c>
      <c r="E118" s="12"/>
      <c r="F118" s="10"/>
      <c r="G118" s="12"/>
      <c r="H118" s="12">
        <f t="shared" si="29"/>
        <v>0</v>
      </c>
      <c r="I118" s="12">
        <f t="shared" si="30"/>
        <v>0</v>
      </c>
      <c r="J118" s="12">
        <f>Table14[[#This Row],[Enrolment S.Y. 2025-2026 ]]*8</f>
        <v>0</v>
      </c>
      <c r="K118" s="12"/>
      <c r="L118" s="10"/>
      <c r="M118" s="12"/>
      <c r="N118" s="12">
        <f t="shared" si="35"/>
        <v>0</v>
      </c>
      <c r="O118" s="12">
        <f t="shared" si="36"/>
        <v>0</v>
      </c>
      <c r="P118" s="12">
        <f>Table14[[#This Row],[Enrolment S.Y. 2025-2026 ]]*8</f>
        <v>0</v>
      </c>
      <c r="Q118" s="12"/>
      <c r="R118" s="10"/>
      <c r="S118" s="12"/>
      <c r="T118" s="12">
        <f t="shared" si="23"/>
        <v>0</v>
      </c>
      <c r="U118" s="12">
        <f t="shared" si="24"/>
        <v>0</v>
      </c>
      <c r="V118" s="12">
        <f>Table14[[#This Row],[Enrolment S.Y. 2025-2026 ]]*8</f>
        <v>0</v>
      </c>
      <c r="W118" s="12"/>
      <c r="X118" s="10"/>
      <c r="Y118" s="12"/>
      <c r="Z118" s="12">
        <f t="shared" si="25"/>
        <v>0</v>
      </c>
      <c r="AA118" s="12">
        <f t="shared" si="26"/>
        <v>0</v>
      </c>
    </row>
    <row r="119" spans="1:27" ht="19.149999999999999">
      <c r="A119" s="38">
        <v>10</v>
      </c>
      <c r="B119" s="11" t="s">
        <v>92</v>
      </c>
      <c r="C119" s="10"/>
      <c r="D119" s="12">
        <f>Table14[[#This Row],[Enrolment S.Y. 2025-2026 ]]*8</f>
        <v>0</v>
      </c>
      <c r="E119" s="12"/>
      <c r="F119" s="10"/>
      <c r="G119" s="12"/>
      <c r="H119" s="12">
        <f>IF((D119-E119)&lt;0,0,(D119-E119))</f>
        <v>0</v>
      </c>
      <c r="I119" s="12">
        <f>IF((E119-D119)&lt;0,0,(E119-D119))</f>
        <v>0</v>
      </c>
      <c r="J119" s="12">
        <f>Table14[[#This Row],[Enrolment S.Y. 2025-2026 ]]*8</f>
        <v>0</v>
      </c>
      <c r="K119" s="12"/>
      <c r="L119" s="10"/>
      <c r="M119" s="12"/>
      <c r="N119" s="12">
        <f t="shared" si="35"/>
        <v>0</v>
      </c>
      <c r="O119" s="12">
        <f t="shared" si="36"/>
        <v>0</v>
      </c>
      <c r="P119" s="12">
        <f>Table14[[#This Row],[Enrolment S.Y. 2025-2026 ]]*8</f>
        <v>0</v>
      </c>
      <c r="Q119" s="12"/>
      <c r="R119" s="10"/>
      <c r="S119" s="12"/>
      <c r="T119" s="12">
        <f>IF((P119-Q119)&lt;0,0,(P119-Q119))</f>
        <v>0</v>
      </c>
      <c r="U119" s="12">
        <f>IF((Q119-P119)&lt;0,0,(Q119-P119))</f>
        <v>0</v>
      </c>
      <c r="V119" s="12">
        <f>Table14[[#This Row],[Enrolment S.Y. 2025-2026 ]]*8</f>
        <v>0</v>
      </c>
      <c r="W119" s="12"/>
      <c r="X119" s="10"/>
      <c r="Y119" s="12"/>
      <c r="Z119" s="12">
        <f>IF((V119-W119)&lt;0,0,(V119-W119))</f>
        <v>0</v>
      </c>
      <c r="AA119" s="12">
        <f>IF((W119-V119)&lt;0,0,(W119-V119))</f>
        <v>0</v>
      </c>
    </row>
    <row r="120" spans="1:27" ht="19.149999999999999">
      <c r="A120" s="10">
        <v>10</v>
      </c>
      <c r="B120" s="11" t="s">
        <v>93</v>
      </c>
      <c r="C120" s="10"/>
      <c r="D120" s="12">
        <f>Table14[[#This Row],[Enrolment S.Y. 2025-2026 ]]*8</f>
        <v>0</v>
      </c>
      <c r="E120" s="12"/>
      <c r="F120" s="10"/>
      <c r="G120" s="12"/>
      <c r="H120" s="12">
        <f t="shared" si="29"/>
        <v>0</v>
      </c>
      <c r="I120" s="12">
        <f t="shared" si="30"/>
        <v>0</v>
      </c>
      <c r="J120" s="12">
        <f>Table14[[#This Row],[Enrolment S.Y. 2025-2026 ]]*8</f>
        <v>0</v>
      </c>
      <c r="K120" s="12"/>
      <c r="L120" s="10"/>
      <c r="M120" s="12"/>
      <c r="N120" s="12">
        <f t="shared" si="35"/>
        <v>0</v>
      </c>
      <c r="O120" s="12">
        <f t="shared" si="36"/>
        <v>0</v>
      </c>
      <c r="P120" s="12">
        <f>Table14[[#This Row],[Enrolment S.Y. 2025-2026 ]]*8</f>
        <v>0</v>
      </c>
      <c r="Q120" s="12"/>
      <c r="R120" s="10"/>
      <c r="S120" s="12"/>
      <c r="T120" s="12">
        <f t="shared" si="23"/>
        <v>0</v>
      </c>
      <c r="U120" s="12">
        <f t="shared" si="24"/>
        <v>0</v>
      </c>
      <c r="V120" s="12">
        <f>Table14[[#This Row],[Enrolment S.Y. 2025-2026 ]]*8</f>
        <v>0</v>
      </c>
      <c r="W120" s="12"/>
      <c r="X120" s="10"/>
      <c r="Y120" s="12"/>
      <c r="Z120" s="12">
        <f t="shared" si="25"/>
        <v>0</v>
      </c>
      <c r="AA120" s="12">
        <f t="shared" si="26"/>
        <v>0</v>
      </c>
    </row>
    <row r="121" spans="1:27" s="7" customFormat="1"/>
    <row r="122" spans="1:27" ht="38.450000000000003">
      <c r="A122" s="1" t="s">
        <v>25</v>
      </c>
      <c r="B122" s="9" t="s">
        <v>26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9"/>
        <v>0</v>
      </c>
      <c r="I122" s="5">
        <f t="shared" si="30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7"/>
        <v>0</v>
      </c>
      <c r="O122" s="5">
        <f t="shared" si="28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23"/>
        <v>0</v>
      </c>
      <c r="U122" s="5">
        <f t="shared" si="24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25"/>
        <v>0</v>
      </c>
      <c r="AA122" s="5">
        <f t="shared" si="26"/>
        <v>0</v>
      </c>
    </row>
    <row r="123" spans="1:27" ht="19.149999999999999">
      <c r="A123" s="1" t="s">
        <v>25</v>
      </c>
      <c r="B123" s="9" t="s">
        <v>27</v>
      </c>
      <c r="C123" s="1"/>
      <c r="D123" s="5">
        <f>Table14[[#This Row],[Enrolment S.Y. 2025-2026 ]]*8</f>
        <v>0</v>
      </c>
      <c r="E123" s="5"/>
      <c r="F123" s="1"/>
      <c r="G123" s="5"/>
      <c r="H123" s="5">
        <f t="shared" si="29"/>
        <v>0</v>
      </c>
      <c r="I123" s="5">
        <f t="shared" si="30"/>
        <v>0</v>
      </c>
      <c r="J123" s="5">
        <f>Table14[[#This Row],[Enrolment S.Y. 2025-2026 ]]*8</f>
        <v>0</v>
      </c>
      <c r="K123" s="5"/>
      <c r="L123" s="1"/>
      <c r="M123" s="5"/>
      <c r="N123" s="5">
        <f t="shared" si="27"/>
        <v>0</v>
      </c>
      <c r="O123" s="5">
        <f t="shared" si="28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23"/>
        <v>0</v>
      </c>
      <c r="U123" s="5">
        <f t="shared" si="24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25"/>
        <v>0</v>
      </c>
      <c r="AA123" s="5">
        <f t="shared" si="26"/>
        <v>0</v>
      </c>
    </row>
    <row r="124" spans="1:27" ht="19.149999999999999">
      <c r="A124" s="1" t="s">
        <v>25</v>
      </c>
      <c r="B124" s="9" t="s">
        <v>28</v>
      </c>
      <c r="C124" s="1"/>
      <c r="D124" s="5">
        <f>Table14[[#This Row],[Enrolment S.Y. 2025-2026 ]]*8</f>
        <v>0</v>
      </c>
      <c r="E124" s="5"/>
      <c r="F124" s="1"/>
      <c r="G124" s="5"/>
      <c r="H124" s="5">
        <f t="shared" si="29"/>
        <v>0</v>
      </c>
      <c r="I124" s="5">
        <f t="shared" si="30"/>
        <v>0</v>
      </c>
      <c r="J124" s="5">
        <f>Table14[[#This Row],[Enrolment S.Y. 2025-2026 ]]*8</f>
        <v>0</v>
      </c>
      <c r="K124" s="5"/>
      <c r="L124" s="1"/>
      <c r="M124" s="5"/>
      <c r="N124" s="5">
        <f t="shared" si="27"/>
        <v>0</v>
      </c>
      <c r="O124" s="5">
        <f t="shared" si="28"/>
        <v>0</v>
      </c>
      <c r="P124" s="5">
        <f>Table14[[#This Row],[Enrolment S.Y. 2025-2026 ]]*8</f>
        <v>0</v>
      </c>
      <c r="Q124" s="5"/>
      <c r="R124" s="1"/>
      <c r="S124" s="5"/>
      <c r="T124" s="5">
        <f t="shared" si="23"/>
        <v>0</v>
      </c>
      <c r="U124" s="5">
        <f t="shared" si="24"/>
        <v>0</v>
      </c>
      <c r="V124" s="5">
        <f>Table14[[#This Row],[Enrolment S.Y. 2025-2026 ]]*8</f>
        <v>0</v>
      </c>
      <c r="W124" s="5"/>
      <c r="X124" s="1"/>
      <c r="Y124" s="5"/>
      <c r="Z124" s="5">
        <f t="shared" si="25"/>
        <v>0</v>
      </c>
      <c r="AA124" s="5">
        <f t="shared" si="26"/>
        <v>0</v>
      </c>
    </row>
    <row r="125" spans="1:27" ht="19.149999999999999">
      <c r="A125" s="1" t="s">
        <v>25</v>
      </c>
      <c r="B125" s="9" t="s">
        <v>29</v>
      </c>
      <c r="C125" s="1"/>
      <c r="D125" s="5">
        <f>Table14[[#This Row],[Enrolment S.Y. 2025-2026 ]]*8</f>
        <v>0</v>
      </c>
      <c r="E125" s="5"/>
      <c r="F125" s="1"/>
      <c r="G125" s="5"/>
      <c r="H125" s="5">
        <f t="shared" si="29"/>
        <v>0</v>
      </c>
      <c r="I125" s="5">
        <f t="shared" si="30"/>
        <v>0</v>
      </c>
      <c r="J125" s="5">
        <f>Table14[[#This Row],[Enrolment S.Y. 2025-2026 ]]*8</f>
        <v>0</v>
      </c>
      <c r="K125" s="5"/>
      <c r="L125" s="1"/>
      <c r="M125" s="5"/>
      <c r="N125" s="5">
        <f t="shared" si="27"/>
        <v>0</v>
      </c>
      <c r="O125" s="5">
        <f t="shared" si="28"/>
        <v>0</v>
      </c>
      <c r="P125" s="5">
        <f>Table14[[#This Row],[Enrolment S.Y. 2025-2026 ]]*8</f>
        <v>0</v>
      </c>
      <c r="Q125" s="5"/>
      <c r="R125" s="1"/>
      <c r="S125" s="5"/>
      <c r="T125" s="5">
        <f t="shared" si="23"/>
        <v>0</v>
      </c>
      <c r="U125" s="5">
        <f t="shared" si="24"/>
        <v>0</v>
      </c>
      <c r="V125" s="5">
        <f>Table14[[#This Row],[Enrolment S.Y. 2025-2026 ]]*8</f>
        <v>0</v>
      </c>
      <c r="W125" s="5"/>
      <c r="X125" s="1"/>
      <c r="Y125" s="5"/>
      <c r="Z125" s="5">
        <f t="shared" si="25"/>
        <v>0</v>
      </c>
      <c r="AA125" s="5">
        <f t="shared" si="26"/>
        <v>0</v>
      </c>
    </row>
    <row r="126" spans="1:27" ht="38.450000000000003">
      <c r="A126" s="1" t="s">
        <v>25</v>
      </c>
      <c r="B126" s="9" t="s">
        <v>30</v>
      </c>
      <c r="C126" s="1"/>
      <c r="D126" s="5">
        <f>Table14[[#This Row],[Enrolment S.Y. 2025-2026 ]]*8</f>
        <v>0</v>
      </c>
      <c r="E126" s="5"/>
      <c r="F126" s="1"/>
      <c r="G126" s="5"/>
      <c r="H126" s="5">
        <f t="shared" si="29"/>
        <v>0</v>
      </c>
      <c r="I126" s="5">
        <f t="shared" si="30"/>
        <v>0</v>
      </c>
      <c r="J126" s="5">
        <f>Table14[[#This Row],[Enrolment S.Y. 2025-2026 ]]*8</f>
        <v>0</v>
      </c>
      <c r="K126" s="5"/>
      <c r="L126" s="1"/>
      <c r="M126" s="5"/>
      <c r="N126" s="5">
        <f t="shared" si="27"/>
        <v>0</v>
      </c>
      <c r="O126" s="5">
        <f t="shared" si="28"/>
        <v>0</v>
      </c>
      <c r="P126" s="5">
        <f>Table14[[#This Row],[Enrolment S.Y. 2025-2026 ]]*8</f>
        <v>0</v>
      </c>
      <c r="Q126" s="5"/>
      <c r="R126" s="1"/>
      <c r="S126" s="5"/>
      <c r="T126" s="5">
        <f t="shared" si="23"/>
        <v>0</v>
      </c>
      <c r="U126" s="5">
        <f t="shared" si="24"/>
        <v>0</v>
      </c>
      <c r="V126" s="5">
        <f>Table14[[#This Row],[Enrolment S.Y. 2025-2026 ]]*8</f>
        <v>0</v>
      </c>
      <c r="W126" s="5"/>
      <c r="X126" s="1"/>
      <c r="Y126" s="5"/>
      <c r="Z126" s="5">
        <f t="shared" si="25"/>
        <v>0</v>
      </c>
      <c r="AA126" s="5">
        <f t="shared" si="26"/>
        <v>0</v>
      </c>
    </row>
    <row r="127" spans="1:27" ht="19.149999999999999">
      <c r="A127" s="1" t="s">
        <v>25</v>
      </c>
      <c r="B127" s="9" t="s">
        <v>31</v>
      </c>
      <c r="C127" s="1"/>
      <c r="D127" s="5">
        <f>Table14[[#This Row],[Enrolment S.Y. 2025-2026 ]]*8</f>
        <v>0</v>
      </c>
      <c r="E127" s="5"/>
      <c r="F127" s="1"/>
      <c r="G127" s="5"/>
      <c r="H127" s="5">
        <f t="shared" si="29"/>
        <v>0</v>
      </c>
      <c r="I127" s="5">
        <f t="shared" si="30"/>
        <v>0</v>
      </c>
      <c r="J127" s="5">
        <f>Table14[[#This Row],[Enrolment S.Y. 2025-2026 ]]*8</f>
        <v>0</v>
      </c>
      <c r="K127" s="5"/>
      <c r="L127" s="1"/>
      <c r="M127" s="5"/>
      <c r="N127" s="5">
        <f t="shared" si="27"/>
        <v>0</v>
      </c>
      <c r="O127" s="5">
        <f t="shared" si="28"/>
        <v>0</v>
      </c>
      <c r="P127" s="5">
        <f>Table14[[#This Row],[Enrolment S.Y. 2025-2026 ]]*8</f>
        <v>0</v>
      </c>
      <c r="Q127" s="5"/>
      <c r="R127" s="1"/>
      <c r="S127" s="5"/>
      <c r="T127" s="5">
        <f t="shared" si="23"/>
        <v>0</v>
      </c>
      <c r="U127" s="5">
        <f t="shared" si="24"/>
        <v>0</v>
      </c>
      <c r="V127" s="5">
        <f>Table14[[#This Row],[Enrolment S.Y. 2025-2026 ]]*8</f>
        <v>0</v>
      </c>
      <c r="W127" s="5"/>
      <c r="X127" s="1"/>
      <c r="Y127" s="5"/>
      <c r="Z127" s="5">
        <f t="shared" si="25"/>
        <v>0</v>
      </c>
      <c r="AA127" s="5">
        <f t="shared" si="26"/>
        <v>0</v>
      </c>
    </row>
    <row r="128" spans="1:27" ht="38.450000000000003">
      <c r="A128" s="1" t="s">
        <v>25</v>
      </c>
      <c r="B128" s="9" t="s">
        <v>32</v>
      </c>
      <c r="C128" s="1"/>
      <c r="D128" s="5">
        <f>Table14[[#This Row],[Enrolment S.Y. 2025-2026 ]]*8</f>
        <v>0</v>
      </c>
      <c r="E128" s="5"/>
      <c r="F128" s="1"/>
      <c r="G128" s="5"/>
      <c r="H128" s="5">
        <f t="shared" si="29"/>
        <v>0</v>
      </c>
      <c r="I128" s="5">
        <f t="shared" si="30"/>
        <v>0</v>
      </c>
      <c r="J128" s="5">
        <f>Table14[[#This Row],[Enrolment S.Y. 2025-2026 ]]*8</f>
        <v>0</v>
      </c>
      <c r="K128" s="5"/>
      <c r="L128" s="1"/>
      <c r="M128" s="5"/>
      <c r="N128" s="5">
        <f t="shared" si="27"/>
        <v>0</v>
      </c>
      <c r="O128" s="5">
        <f t="shared" si="28"/>
        <v>0</v>
      </c>
      <c r="P128" s="5">
        <f>Table14[[#This Row],[Enrolment S.Y. 2025-2026 ]]*8</f>
        <v>0</v>
      </c>
      <c r="Q128" s="5"/>
      <c r="R128" s="1"/>
      <c r="S128" s="5"/>
      <c r="T128" s="5">
        <f t="shared" si="23"/>
        <v>0</v>
      </c>
      <c r="U128" s="5">
        <f t="shared" si="24"/>
        <v>0</v>
      </c>
      <c r="V128" s="5">
        <f>Table14[[#This Row],[Enrolment S.Y. 2025-2026 ]]*8</f>
        <v>0</v>
      </c>
      <c r="W128" s="5"/>
      <c r="X128" s="1"/>
      <c r="Y128" s="5"/>
      <c r="Z128" s="5">
        <f t="shared" si="25"/>
        <v>0</v>
      </c>
      <c r="AA128" s="5">
        <f t="shared" si="26"/>
        <v>0</v>
      </c>
    </row>
    <row r="129" spans="1:28" ht="38.450000000000003">
      <c r="A129" s="1" t="s">
        <v>25</v>
      </c>
      <c r="B129" s="9" t="s">
        <v>33</v>
      </c>
      <c r="C129" s="1"/>
      <c r="D129" s="5">
        <f>Table14[[#This Row],[Enrolment S.Y. 2025-2026 ]]*8</f>
        <v>0</v>
      </c>
      <c r="E129" s="5"/>
      <c r="F129" s="1"/>
      <c r="G129" s="5"/>
      <c r="H129" s="5">
        <f t="shared" si="29"/>
        <v>0</v>
      </c>
      <c r="I129" s="5">
        <f t="shared" si="30"/>
        <v>0</v>
      </c>
      <c r="J129" s="5">
        <f>Table14[[#This Row],[Enrolment S.Y. 2025-2026 ]]*8</f>
        <v>0</v>
      </c>
      <c r="K129" s="5"/>
      <c r="L129" s="1"/>
      <c r="M129" s="5"/>
      <c r="N129" s="5">
        <f t="shared" si="27"/>
        <v>0</v>
      </c>
      <c r="O129" s="5">
        <f t="shared" si="28"/>
        <v>0</v>
      </c>
      <c r="P129" s="5">
        <f>Table14[[#This Row],[Enrolment S.Y. 2025-2026 ]]*8</f>
        <v>0</v>
      </c>
      <c r="Q129" s="5"/>
      <c r="R129" s="1"/>
      <c r="S129" s="5"/>
      <c r="T129" s="5">
        <f t="shared" si="23"/>
        <v>0</v>
      </c>
      <c r="U129" s="5">
        <f t="shared" si="24"/>
        <v>0</v>
      </c>
      <c r="V129" s="5">
        <f>Table14[[#This Row],[Enrolment S.Y. 2025-2026 ]]*8</f>
        <v>0</v>
      </c>
      <c r="W129" s="5"/>
      <c r="X129" s="1"/>
      <c r="Y129" s="5"/>
      <c r="Z129" s="5">
        <f t="shared" si="25"/>
        <v>0</v>
      </c>
      <c r="AA129" s="5">
        <f t="shared" si="26"/>
        <v>0</v>
      </c>
    </row>
    <row r="130" spans="1:28" s="7" customFormat="1"/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J148" t="e">
        <f>#REF!*8</f>
        <v>#REF!</v>
      </c>
    </row>
    <row r="149" spans="1:28">
      <c r="J149" t="e">
        <f>#REF!*8</f>
        <v>#REF!</v>
      </c>
    </row>
    <row r="150" spans="1:28">
      <c r="J150" t="e">
        <f>#REF!*8</f>
        <v>#REF!</v>
      </c>
    </row>
    <row r="151" spans="1:28">
      <c r="J151" t="e">
        <f>#REF!*8</f>
        <v>#REF!</v>
      </c>
    </row>
    <row r="152" spans="1:28">
      <c r="J152" t="e">
        <f>#REF!*8</f>
        <v>#REF!</v>
      </c>
    </row>
    <row r="153" spans="1:28">
      <c r="J153" t="e">
        <f>#REF!*8</f>
        <v>#REF!</v>
      </c>
    </row>
    <row r="154" spans="1:28">
      <c r="J154" t="e">
        <f>#REF!*8</f>
        <v>#REF!</v>
      </c>
    </row>
    <row r="155" spans="1:28">
      <c r="J155" t="e">
        <f>#REF!*8</f>
        <v>#REF!</v>
      </c>
    </row>
    <row r="156" spans="1:28">
      <c r="J156" t="e">
        <f>#REF!*8</f>
        <v>#REF!</v>
      </c>
    </row>
    <row r="157" spans="1:28">
      <c r="J157" t="e">
        <f>#REF!*8</f>
        <v>#REF!</v>
      </c>
    </row>
    <row r="158" spans="1:28">
      <c r="J158" t="e">
        <f>#REF!*8</f>
        <v>#REF!</v>
      </c>
    </row>
    <row r="159" spans="1:28">
      <c r="J159" t="e">
        <f>#REF!*8</f>
        <v>#REF!</v>
      </c>
    </row>
    <row r="160" spans="1:28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>
      <c r="J171" t="e">
        <f>#REF!*8</f>
        <v>#REF!</v>
      </c>
    </row>
    <row r="172" spans="10:10">
      <c r="J172" t="e">
        <f>#REF!*8</f>
        <v>#REF!</v>
      </c>
    </row>
    <row r="173" spans="10:10">
      <c r="J173" t="e">
        <f>#REF!*8</f>
        <v>#REF!</v>
      </c>
    </row>
    <row r="174" spans="10:10">
      <c r="J174" t="e">
        <f>#REF!*8</f>
        <v>#REF!</v>
      </c>
    </row>
    <row r="175" spans="10:10">
      <c r="J175" t="e">
        <f>#REF!*8</f>
        <v>#REF!</v>
      </c>
    </row>
    <row r="176" spans="10:10">
      <c r="J176" t="e">
        <f>#REF!*8</f>
        <v>#REF!</v>
      </c>
    </row>
    <row r="177" spans="10:10">
      <c r="J177" t="e">
        <f>#REF!*8</f>
        <v>#REF!</v>
      </c>
    </row>
  </sheetData>
  <protectedRanges>
    <protectedRange sqref="C2:C10 C36:C47 C61:C72 C74:C84 C86:C96 C122:C129 C110:C120 C98:C108 C12:C21 C23:C34 C49:C59" name="Textbooks"/>
    <protectedRange sqref="J2:L2 D2:F10 D12:F21 D36:F47 D49:F59 D74:F84 D86:F96 D98:F108 D122:F129 P2:R10 N3:O10 V2:X10 T3:U10 H3:L10 Z3:AA10 Z12:AA21 H12:L21 Z23:AA34 T36:X47 Z36:AA47 H36:L47 T49:X59 Z49:AA59 Z61:AA72 T74:X84 Z74:AA84 H74:L84 T86:X96 Z86:AA96 H86:L96 T98:X108 Z98:AA108 H98:L108 T110:X120 Z110:AA120 H110:L120 N122:R129 T122:X129 Z122:AA129 H122:L129 D110:F120 N49:R59 N74:R84 N86:R96 N98:R108 N110:R120 T12:X21 N12:R21 D23:F34 H23:L34 N23:R34 T23:X34 N36:R47 H49:L59 D61:F72 H61:L72 N61:R72 T61:X72" name="LAS"/>
    <protectedRange sqref="G2:I2 M2:O2 S2:U2 Y2:AA2 G3:G10 M3:M10 S3:S10 Y3:Y10 M12:M21 S12:S21 Y36:Y47 G36:G47 M36:M47 S36:S47 Y49:Y59 G49:G59 M49:M59 S49:S59 Y74:Y84 G74:G84 M74:M84 S74:S84 Y86:Y96 G86:G96 M86:M96 S86:S96 Y98:Y108 G98:G108 M98:M108 S98:S108 Y110:Y120 G110:G120 M110:M120 S110:S120 Y122:Y129 G122:G129 M122:M129 S122:S129 G12:G21 Y12:Y21 G23:G34 M23:M34 S23:S34 Y23:Y34 G61:G72 M61:M72 S61:S72 Y61:Y7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22:S129 Y122:Y129 G122:G129 Y3:Y10 S3:S10 M3:M10 G3:G10 M122:M129 S23:S34 S12:S21 M12:M21 G23:G34 G12:G21 Y12:Y21 M23:M34 S36:S47 M36:M47 G36:G47 Y36:Y47 Y49:Y59 S49:S59 M49:M59 G49:G59 G61:G72 S61:S72 M61:M72 Y23:Y34 M74:M84 G74:G84 Y74:Y84 S74:S84 S86:S96 M86:M96 G86:G96 Y86:Y96 Y98:Y108 S98:S108 M98:M108 G98:G108 G110:G120 Y110:Y120 S110:S120 M110:M120 Y61:Y72" xr:uid="{CBD486C7-A5DB-48F1-B496-5027CC51E830}">
      <formula1>"CO,RO,SDO,LGU,SCHOOL"</formula1>
    </dataValidation>
    <dataValidation type="list" allowBlank="1" showInputMessage="1" showErrorMessage="1" sqref="X12:X21 X36:X47 X49:X59 X74:X84 X86:X96 R61:R72 X98:X108 X110:X120 F110:F120 X3:X10 F23:F34 L36:L47 X23:X34 L74:L84 L86:L96 L49:L59 L98:L108 L110:L120 L12:L21 L3:L10 L23:L34 R36:R47 R49:R59 R74:R84 R86:R96 L61:L72 R98:R108 R110:R120 R12:R21 R3:R10 R23:R34 F36:F47 F49:F59 F74:F84 F86:F96 F61:F72 F3:F10 F98:F108 X122:X129 F12:F21 F122:F129 R122:R129 L122:L129 X61:X72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Russel Marmolejo</cp:lastModifiedBy>
  <cp:revision/>
  <dcterms:created xsi:type="dcterms:W3CDTF">2025-11-19T20:48:15Z</dcterms:created>
  <dcterms:modified xsi:type="dcterms:W3CDTF">2026-02-17T12:53:58Z</dcterms:modified>
  <cp:category/>
  <cp:contentStatus/>
</cp:coreProperties>
</file>