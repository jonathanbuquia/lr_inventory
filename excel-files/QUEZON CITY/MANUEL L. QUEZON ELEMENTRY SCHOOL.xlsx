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9" documentId="13_ncr:1_{BFB59F67-F0DC-4675-A682-EB0734A8026A}" xr6:coauthVersionLast="47" xr6:coauthVersionMax="47" xr10:uidLastSave="{CC01B7F8-3DE5-4495-BDE2-F49234E6C1AA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Z9" i="4"/>
  <c r="T33" i="4"/>
  <c r="Z45" i="4"/>
  <c r="AA31" i="4"/>
  <c r="U3" i="4"/>
  <c r="O26" i="4"/>
  <c r="T10" i="4"/>
  <c r="U59" i="4"/>
  <c r="U43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 l="1"/>
  <c r="N3" i="4"/>
</calcChain>
</file>

<file path=xl/sharedStrings.xml><?xml version="1.0" encoding="utf-8"?>
<sst xmlns="http://schemas.openxmlformats.org/spreadsheetml/2006/main" count="301" uniqueCount="92">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</sst>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1" activePane="topRight" state="frozen"/>
      <selection pane="topRight" activeCell="A50" sqref="A50:H145"/>
      <selection activeCell="A19" sqref="A19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980</v>
      </c>
      <c r="D2" s="1">
        <v>1040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60</v>
      </c>
    </row>
    <row r="3" spans="1:8" ht="29.25" customHeight="1">
      <c r="A3" s="1">
        <v>1</v>
      </c>
      <c r="B3" s="2" t="s">
        <v>10</v>
      </c>
      <c r="C3" s="1">
        <v>980</v>
      </c>
      <c r="D3" s="1">
        <v>1040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60</v>
      </c>
    </row>
    <row r="4" spans="1:8" ht="21" customHeight="1">
      <c r="A4" s="1">
        <v>1</v>
      </c>
      <c r="B4" s="2" t="s">
        <v>11</v>
      </c>
      <c r="C4" s="1">
        <v>980</v>
      </c>
      <c r="D4" s="1">
        <v>1040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60</v>
      </c>
    </row>
    <row r="5" spans="1:8" ht="25.5" customHeight="1">
      <c r="A5" s="1">
        <v>1</v>
      </c>
      <c r="B5" s="2" t="s">
        <v>12</v>
      </c>
      <c r="C5" s="1">
        <v>980</v>
      </c>
      <c r="D5" s="1">
        <v>1040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60</v>
      </c>
    </row>
    <row r="6" spans="1:8" ht="20.25">
      <c r="A6" s="1">
        <v>1</v>
      </c>
      <c r="B6" s="2" t="s">
        <v>13</v>
      </c>
      <c r="C6" s="1">
        <v>980</v>
      </c>
      <c r="D6" s="1"/>
      <c r="E6" s="1"/>
      <c r="F6" s="5"/>
      <c r="G6" s="3">
        <f t="shared" si="0"/>
        <v>980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1050</v>
      </c>
      <c r="D8" s="1"/>
      <c r="E8" s="1"/>
      <c r="F8" s="5"/>
      <c r="G8" s="3">
        <f>IF((C8-D8)&lt;0,0,C8-D8)</f>
        <v>1050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1050</v>
      </c>
      <c r="D9" s="1"/>
      <c r="E9" s="1"/>
      <c r="F9" s="5"/>
      <c r="G9" s="3">
        <f>IF((C9-D9)&lt;0,0,C9-D9)</f>
        <v>1050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1050</v>
      </c>
      <c r="D10" s="1"/>
      <c r="E10" s="1"/>
      <c r="F10" s="5"/>
      <c r="G10" s="3">
        <f>IF((C10-D10)&lt;0,0,C10-D10)</f>
        <v>1050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1050</v>
      </c>
      <c r="D11" s="1">
        <v>1050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0</v>
      </c>
    </row>
    <row r="12" spans="1:8" ht="20.25">
      <c r="A12" s="1">
        <v>2</v>
      </c>
      <c r="B12" s="2" t="s">
        <v>13</v>
      </c>
      <c r="C12" s="1">
        <v>1050</v>
      </c>
      <c r="D12" s="1"/>
      <c r="E12" s="1"/>
      <c r="F12" s="5"/>
      <c r="G12" s="3">
        <f>IF((C12-D12)&lt;0,0,C12-D12)</f>
        <v>1050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1151</v>
      </c>
      <c r="D14" s="1"/>
      <c r="E14" s="1"/>
      <c r="F14" s="5"/>
      <c r="G14" s="3">
        <f t="shared" ref="G14:G19" si="2">IF((C14-D14)&lt;0,0,C14-D14)</f>
        <v>1151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1151</v>
      </c>
      <c r="D15" s="1"/>
      <c r="E15" s="1"/>
      <c r="F15" s="5"/>
      <c r="G15" s="3">
        <f t="shared" si="2"/>
        <v>1151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1151</v>
      </c>
      <c r="D16" s="1"/>
      <c r="E16" s="1"/>
      <c r="F16" s="5"/>
      <c r="G16" s="3">
        <f t="shared" si="2"/>
        <v>1151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1151</v>
      </c>
      <c r="D17" s="1"/>
      <c r="E17" s="1"/>
      <c r="F17" s="5"/>
      <c r="G17" s="3">
        <f t="shared" si="2"/>
        <v>1151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1151</v>
      </c>
      <c r="D18" s="1"/>
      <c r="E18" s="1"/>
      <c r="F18" s="5"/>
      <c r="G18" s="3">
        <f t="shared" si="2"/>
        <v>1151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1151</v>
      </c>
      <c r="D19" s="1"/>
      <c r="E19" s="1"/>
      <c r="F19" s="5"/>
      <c r="G19" s="3">
        <f t="shared" si="2"/>
        <v>1151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1215</v>
      </c>
      <c r="D21" s="1"/>
      <c r="E21" s="1"/>
      <c r="F21" s="5"/>
      <c r="G21" s="3">
        <f t="shared" ref="G21:G29" si="4">IF((C21-D21)&lt;0,0,C21-D21)</f>
        <v>1215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1215</v>
      </c>
      <c r="D22" s="1">
        <v>1125</v>
      </c>
      <c r="E22" s="1">
        <v>2024</v>
      </c>
      <c r="F22" s="5" t="s">
        <v>14</v>
      </c>
      <c r="G22" s="3">
        <f t="shared" si="4"/>
        <v>90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1215</v>
      </c>
      <c r="D23" s="1">
        <v>1125</v>
      </c>
      <c r="E23" s="1">
        <v>2025</v>
      </c>
      <c r="F23" s="5" t="s">
        <v>14</v>
      </c>
      <c r="G23" s="3">
        <f t="shared" si="4"/>
        <v>90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1215</v>
      </c>
      <c r="D24" s="1">
        <v>1125</v>
      </c>
      <c r="E24" s="1">
        <v>2025</v>
      </c>
      <c r="F24" s="5" t="s">
        <v>14</v>
      </c>
      <c r="G24" s="3">
        <f t="shared" si="4"/>
        <v>90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1215</v>
      </c>
      <c r="D25" s="1">
        <v>1125</v>
      </c>
      <c r="E25" s="1">
        <v>2024</v>
      </c>
      <c r="F25" s="5" t="s">
        <v>14</v>
      </c>
      <c r="G25" s="3">
        <f t="shared" si="4"/>
        <v>90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1215</v>
      </c>
      <c r="D26" s="1">
        <v>1125</v>
      </c>
      <c r="E26" s="1">
        <v>2024</v>
      </c>
      <c r="F26" s="5" t="s">
        <v>14</v>
      </c>
      <c r="G26" s="3">
        <f t="shared" si="4"/>
        <v>90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1215</v>
      </c>
      <c r="D27" s="1">
        <v>1125</v>
      </c>
      <c r="E27" s="1">
        <v>2024</v>
      </c>
      <c r="F27" s="5" t="s">
        <v>14</v>
      </c>
      <c r="G27" s="3">
        <f t="shared" si="4"/>
        <v>90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1215</v>
      </c>
      <c r="D28" s="1"/>
      <c r="E28" s="1"/>
      <c r="F28" s="5"/>
      <c r="G28" s="3">
        <f t="shared" si="4"/>
        <v>1215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1215</v>
      </c>
      <c r="D29" s="1">
        <v>1125</v>
      </c>
      <c r="E29" s="1">
        <v>2026</v>
      </c>
      <c r="F29" s="5" t="s">
        <v>14</v>
      </c>
      <c r="G29" s="3">
        <f t="shared" si="4"/>
        <v>90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1006</v>
      </c>
      <c r="D31" s="1">
        <v>1100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94</v>
      </c>
    </row>
    <row r="32" spans="1:8" ht="27.75" customHeight="1">
      <c r="A32" s="1">
        <v>5</v>
      </c>
      <c r="B32" s="9" t="s">
        <v>17</v>
      </c>
      <c r="C32" s="1">
        <v>1006</v>
      </c>
      <c r="D32" s="1"/>
      <c r="E32" s="1"/>
      <c r="F32" s="5"/>
      <c r="G32" s="3">
        <f t="shared" si="6"/>
        <v>1006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1006</v>
      </c>
      <c r="D33" s="1"/>
      <c r="E33" s="1"/>
      <c r="F33" s="5"/>
      <c r="G33" s="3">
        <f t="shared" si="6"/>
        <v>1006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1006</v>
      </c>
      <c r="D34" s="1"/>
      <c r="E34" s="1"/>
      <c r="F34" s="5"/>
      <c r="G34" s="3">
        <f t="shared" si="6"/>
        <v>1006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1006</v>
      </c>
      <c r="D35" s="1">
        <v>1100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94</v>
      </c>
    </row>
    <row r="36" spans="1:8" ht="27.75" customHeight="1">
      <c r="A36" s="1">
        <v>5</v>
      </c>
      <c r="B36" s="9" t="s">
        <v>15</v>
      </c>
      <c r="C36" s="1">
        <v>1006</v>
      </c>
      <c r="D36" s="1">
        <v>1100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94</v>
      </c>
    </row>
    <row r="37" spans="1:8" ht="27.75" customHeight="1">
      <c r="A37" s="1">
        <v>5</v>
      </c>
      <c r="B37" s="9" t="s">
        <v>19</v>
      </c>
      <c r="C37" s="1">
        <v>1006</v>
      </c>
      <c r="D37" s="1">
        <v>1100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94</v>
      </c>
    </row>
    <row r="38" spans="1:8" ht="27.75" customHeight="1">
      <c r="A38" s="1">
        <v>5</v>
      </c>
      <c r="B38" s="9" t="s">
        <v>20</v>
      </c>
      <c r="C38" s="1">
        <v>1006</v>
      </c>
      <c r="D38" s="1">
        <v>1100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94</v>
      </c>
    </row>
    <row r="39" spans="1:8" ht="27.75" customHeight="1">
      <c r="A39" s="1">
        <v>5</v>
      </c>
      <c r="B39" s="9" t="s">
        <v>21</v>
      </c>
      <c r="C39" s="1">
        <v>1006</v>
      </c>
      <c r="D39" s="1"/>
      <c r="E39" s="1"/>
      <c r="F39" s="5"/>
      <c r="G39" s="3">
        <f t="shared" si="6"/>
        <v>1006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992</v>
      </c>
      <c r="D41" s="1"/>
      <c r="E41" s="1"/>
      <c r="F41" s="5"/>
      <c r="G41" s="3">
        <f t="shared" ref="G41:G49" si="8">IF((C41-D41)&lt;0,0,C41-D41)</f>
        <v>992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992</v>
      </c>
      <c r="D42" s="1"/>
      <c r="E42" s="1"/>
      <c r="F42" s="5"/>
      <c r="G42" s="3">
        <f t="shared" si="8"/>
        <v>992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992</v>
      </c>
      <c r="D43" s="1"/>
      <c r="E43" s="1"/>
      <c r="F43" s="5"/>
      <c r="G43" s="3">
        <f t="shared" si="8"/>
        <v>992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992</v>
      </c>
      <c r="D44" s="1"/>
      <c r="E44" s="1"/>
      <c r="F44" s="5"/>
      <c r="G44" s="3">
        <f t="shared" si="8"/>
        <v>992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992</v>
      </c>
      <c r="D45" s="1"/>
      <c r="E45" s="1"/>
      <c r="F45" s="5"/>
      <c r="G45" s="3">
        <f t="shared" si="8"/>
        <v>992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992</v>
      </c>
      <c r="D46" s="1"/>
      <c r="E46" s="1"/>
      <c r="F46" s="5"/>
      <c r="G46" s="3">
        <f t="shared" si="8"/>
        <v>992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992</v>
      </c>
      <c r="D47" s="1"/>
      <c r="E47" s="1"/>
      <c r="F47" s="5"/>
      <c r="G47" s="3">
        <f t="shared" si="8"/>
        <v>992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992</v>
      </c>
      <c r="D48" s="1"/>
      <c r="E48" s="1"/>
      <c r="F48" s="5"/>
      <c r="G48" s="3">
        <f t="shared" si="8"/>
        <v>992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992</v>
      </c>
      <c r="D49" s="1"/>
      <c r="E49" s="1"/>
      <c r="F49" s="5"/>
      <c r="G49" s="3">
        <f t="shared" si="8"/>
        <v>992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5F2065F9-F069-45D0-AE2D-FE27AB6815E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abSelected="1" topLeftCell="A48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22</v>
      </c>
      <c r="E1" s="39"/>
      <c r="F1" s="39"/>
      <c r="G1" s="39"/>
      <c r="H1" s="39"/>
      <c r="I1" s="39"/>
      <c r="J1" s="40" t="s">
        <v>23</v>
      </c>
      <c r="K1" s="40"/>
      <c r="L1" s="40"/>
      <c r="M1" s="40"/>
      <c r="N1" s="40"/>
      <c r="O1" s="40"/>
      <c r="P1" s="41" t="s">
        <v>24</v>
      </c>
      <c r="Q1" s="41"/>
      <c r="R1" s="41"/>
      <c r="S1" s="41"/>
      <c r="T1" s="41"/>
      <c r="U1" s="41"/>
      <c r="V1" s="42" t="s">
        <v>25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26</v>
      </c>
      <c r="E2" s="20" t="s">
        <v>27</v>
      </c>
      <c r="F2" s="21" t="s">
        <v>28</v>
      </c>
      <c r="G2" s="24" t="s">
        <v>29</v>
      </c>
      <c r="H2" s="17" t="s">
        <v>30</v>
      </c>
      <c r="I2" s="24" t="s">
        <v>31</v>
      </c>
      <c r="J2" s="22" t="s">
        <v>32</v>
      </c>
      <c r="K2" s="22" t="s">
        <v>33</v>
      </c>
      <c r="L2" s="23" t="s">
        <v>34</v>
      </c>
      <c r="M2" s="37" t="s">
        <v>35</v>
      </c>
      <c r="N2" s="37" t="s">
        <v>36</v>
      </c>
      <c r="O2" s="22" t="s">
        <v>37</v>
      </c>
      <c r="P2" s="24" t="s">
        <v>38</v>
      </c>
      <c r="Q2" s="24" t="s">
        <v>39</v>
      </c>
      <c r="R2" s="25" t="s">
        <v>40</v>
      </c>
      <c r="S2" s="17" t="s">
        <v>41</v>
      </c>
      <c r="T2" s="17" t="s">
        <v>42</v>
      </c>
      <c r="U2" s="24" t="s">
        <v>43</v>
      </c>
      <c r="V2" s="26" t="s">
        <v>44</v>
      </c>
      <c r="W2" s="26" t="s">
        <v>45</v>
      </c>
      <c r="X2" s="27" t="s">
        <v>46</v>
      </c>
      <c r="Y2" s="38" t="s">
        <v>47</v>
      </c>
      <c r="Z2" s="38" t="s">
        <v>48</v>
      </c>
      <c r="AA2" s="26" t="s">
        <v>49</v>
      </c>
    </row>
    <row r="3" spans="1:27" ht="30.6" customHeight="1">
      <c r="A3" s="36" t="s">
        <v>50</v>
      </c>
      <c r="B3" s="30"/>
      <c r="C3" s="29"/>
      <c r="D3" s="31">
        <f>Table1[[#This Row],[Enrolment S.Y. 2025-2026 ]]*8</f>
        <v>0</v>
      </c>
      <c r="E3" s="31"/>
      <c r="F3" s="29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29"/>
      <c r="M3" s="31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1"/>
      <c r="R3" s="29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29"/>
      <c r="Y3" s="31"/>
      <c r="Z3" s="31">
        <f>IF((V3-W3)&lt;0,0,(V3-W3))</f>
        <v>0</v>
      </c>
      <c r="AA3" s="31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14" sqref="A1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22</v>
      </c>
      <c r="E1" s="39"/>
      <c r="F1" s="39"/>
      <c r="G1" s="39"/>
      <c r="H1" s="39"/>
      <c r="I1" s="39"/>
      <c r="J1" s="40" t="s">
        <v>23</v>
      </c>
      <c r="K1" s="40"/>
      <c r="L1" s="40"/>
      <c r="M1" s="40"/>
      <c r="N1" s="40"/>
      <c r="O1" s="40"/>
      <c r="P1" s="41" t="s">
        <v>24</v>
      </c>
      <c r="Q1" s="41"/>
      <c r="R1" s="41"/>
      <c r="S1" s="41"/>
      <c r="T1" s="41"/>
      <c r="U1" s="41"/>
      <c r="V1" s="42" t="s">
        <v>25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52</v>
      </c>
      <c r="E2" s="20" t="s">
        <v>53</v>
      </c>
      <c r="F2" s="21" t="s">
        <v>54</v>
      </c>
      <c r="G2" s="24" t="s">
        <v>55</v>
      </c>
      <c r="H2" s="17" t="s">
        <v>56</v>
      </c>
      <c r="I2" s="24" t="s">
        <v>57</v>
      </c>
      <c r="J2" s="22" t="s">
        <v>58</v>
      </c>
      <c r="K2" s="22" t="s">
        <v>59</v>
      </c>
      <c r="L2" s="23" t="s">
        <v>60</v>
      </c>
      <c r="M2" s="37" t="s">
        <v>61</v>
      </c>
      <c r="N2" s="37" t="s">
        <v>62</v>
      </c>
      <c r="O2" s="22" t="s">
        <v>63</v>
      </c>
      <c r="P2" s="24" t="s">
        <v>64</v>
      </c>
      <c r="Q2" s="24" t="s">
        <v>65</v>
      </c>
      <c r="R2" s="25" t="s">
        <v>66</v>
      </c>
      <c r="S2" s="17" t="s">
        <v>67</v>
      </c>
      <c r="T2" s="17" t="s">
        <v>68</v>
      </c>
      <c r="U2" s="24" t="s">
        <v>69</v>
      </c>
      <c r="V2" s="26" t="s">
        <v>70</v>
      </c>
      <c r="W2" s="26" t="s">
        <v>71</v>
      </c>
      <c r="X2" s="27" t="s">
        <v>72</v>
      </c>
      <c r="Y2" s="38" t="s">
        <v>73</v>
      </c>
      <c r="Z2" s="38" t="s">
        <v>74</v>
      </c>
      <c r="AA2" s="26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4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4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4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4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4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4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0.25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>
      <c r="A70" s="10">
        <v>7</v>
      </c>
      <c r="B70" s="11" t="s">
        <v>80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>
      <c r="A73" s="35">
        <v>7</v>
      </c>
      <c r="B73" s="11" t="s">
        <v>76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>
      <c r="A74" s="10">
        <v>7</v>
      </c>
      <c r="B74" s="11" t="s">
        <v>77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>
      <c r="A75" s="10">
        <v>7</v>
      </c>
      <c r="B75" s="11" t="s">
        <v>81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>
      <c r="A76" s="35">
        <v>7</v>
      </c>
      <c r="B76" s="11" t="s">
        <v>78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>
      <c r="A77" s="10">
        <v>7</v>
      </c>
      <c r="B77" s="11" t="s">
        <v>79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20.25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>
      <c r="A82" s="10">
        <v>8</v>
      </c>
      <c r="B82" s="11" t="s">
        <v>80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>
      <c r="A83" s="10">
        <v>8</v>
      </c>
      <c r="B83" s="11" t="s">
        <v>82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>
      <c r="A85" s="35">
        <v>8</v>
      </c>
      <c r="B85" s="11" t="s">
        <v>76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>
      <c r="A86" s="10">
        <v>8</v>
      </c>
      <c r="B86" s="11" t="s">
        <v>77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>
      <c r="A87" s="10">
        <v>8</v>
      </c>
      <c r="B87" s="11" t="s">
        <v>81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>
      <c r="A88" s="35">
        <v>8</v>
      </c>
      <c r="B88" s="11" t="s">
        <v>78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>
      <c r="A89" s="10">
        <v>8</v>
      </c>
      <c r="B89" s="11" t="s">
        <v>79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20.25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>
      <c r="A94" s="10">
        <v>9</v>
      </c>
      <c r="B94" s="11" t="s">
        <v>80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>
      <c r="A95" s="10">
        <v>9</v>
      </c>
      <c r="B95" s="11" t="s">
        <v>82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>
      <c r="A97" s="35">
        <v>9</v>
      </c>
      <c r="B97" s="11" t="s">
        <v>76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9</v>
      </c>
      <c r="B98" s="11" t="s">
        <v>77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>
      <c r="A99" s="10">
        <v>9</v>
      </c>
      <c r="B99" s="11" t="s">
        <v>81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>
      <c r="A100" s="35">
        <v>9</v>
      </c>
      <c r="B100" s="11" t="s">
        <v>78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9</v>
      </c>
      <c r="B101" s="11" t="s">
        <v>79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20.25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>
      <c r="A106" s="10">
        <v>10</v>
      </c>
      <c r="B106" s="11" t="s">
        <v>80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>
      <c r="A107" s="10">
        <v>10</v>
      </c>
      <c r="B107" s="11" t="s">
        <v>82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>
      <c r="A109" s="35">
        <v>10</v>
      </c>
      <c r="B109" s="11" t="s">
        <v>76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>
      <c r="A110" s="10">
        <v>10</v>
      </c>
      <c r="B110" s="11" t="s">
        <v>77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>
      <c r="A111" s="10">
        <v>10</v>
      </c>
      <c r="B111" s="11" t="s">
        <v>81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>
      <c r="A112" s="35">
        <v>10</v>
      </c>
      <c r="B112" s="11" t="s">
        <v>78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>
      <c r="A113" s="10">
        <v>10</v>
      </c>
      <c r="B113" s="11" t="s">
        <v>79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4.5">
      <c r="A115" s="1" t="s">
        <v>83</v>
      </c>
      <c r="B115" s="9" t="s">
        <v>84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>
      <c r="A116" s="1" t="s">
        <v>83</v>
      </c>
      <c r="B116" s="9" t="s">
        <v>85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>
      <c r="A117" s="1" t="s">
        <v>83</v>
      </c>
      <c r="B117" s="9" t="s">
        <v>86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>
      <c r="A118" s="1" t="s">
        <v>83</v>
      </c>
      <c r="B118" s="9" t="s">
        <v>87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>
      <c r="A119" s="1" t="s">
        <v>83</v>
      </c>
      <c r="B119" s="9" t="s">
        <v>88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>
      <c r="A120" s="1" t="s">
        <v>83</v>
      </c>
      <c r="B120" s="9" t="s">
        <v>89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>
      <c r="A121" s="1" t="s">
        <v>83</v>
      </c>
      <c r="B121" s="9" t="s">
        <v>90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>
      <c r="A122" s="1" t="s">
        <v>83</v>
      </c>
      <c r="B122" s="9" t="s">
        <v>91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115:R122 R103:R113 R91:R101 R79:R89 R67:R77 R55:R65 R43:R53 R31:R41 R21:R29 R12:R19 R3:R10 X3:X10 X12:X19 X21:X29 X31:X41 X43:X53 X55:X65 X67:X77 X79:X89 X91:X101 X103:X113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2026-04-15T01:44:46Z</dcterms:modified>
  <cp:category/>
  <cp:contentStatus/>
</cp:coreProperties>
</file>