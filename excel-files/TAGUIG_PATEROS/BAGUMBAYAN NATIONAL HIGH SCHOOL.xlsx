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" documentId="13_ncr:1_{BFB59F67-F0DC-4675-A682-EB0734A8026A}" xr6:coauthVersionLast="47" xr6:coauthVersionMax="47" xr10:uidLastSave="{5BA5B5BF-7A1C-467C-BCE7-7B1FBED9C32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8" i="1" l="1"/>
  <c r="V98" i="1"/>
  <c r="W97" i="1"/>
  <c r="V97" i="1"/>
  <c r="W96" i="1"/>
  <c r="V96" i="1"/>
  <c r="W95" i="1"/>
  <c r="V95" i="1"/>
  <c r="W94" i="1"/>
  <c r="V94" i="1"/>
  <c r="W93" i="1"/>
  <c r="V93" i="1"/>
  <c r="W92" i="1"/>
  <c r="V92" i="1"/>
  <c r="W91" i="1"/>
  <c r="V91" i="1"/>
  <c r="W89" i="1"/>
  <c r="V89" i="1"/>
  <c r="W88" i="1"/>
  <c r="V88" i="1"/>
  <c r="W87" i="1"/>
  <c r="V87" i="1"/>
  <c r="W86" i="1"/>
  <c r="V86" i="1"/>
  <c r="W85" i="1"/>
  <c r="V85" i="1"/>
  <c r="W84" i="1"/>
  <c r="V84" i="1"/>
  <c r="W83" i="1"/>
  <c r="V83" i="1"/>
  <c r="W82" i="1"/>
  <c r="V82" i="1"/>
  <c r="W81" i="1"/>
  <c r="V81" i="1"/>
  <c r="W79" i="1"/>
  <c r="V79" i="1"/>
  <c r="W78" i="1"/>
  <c r="V78" i="1"/>
  <c r="W77" i="1"/>
  <c r="V77" i="1"/>
  <c r="W76" i="1"/>
  <c r="V76" i="1"/>
  <c r="W75" i="1"/>
  <c r="V75" i="1"/>
  <c r="W74" i="1"/>
  <c r="V74" i="1"/>
  <c r="W73" i="1"/>
  <c r="V73" i="1"/>
  <c r="W72" i="1"/>
  <c r="V72" i="1"/>
  <c r="W71" i="1"/>
  <c r="V71" i="1"/>
  <c r="W69" i="1"/>
  <c r="V69" i="1"/>
  <c r="W68" i="1"/>
  <c r="V68" i="1"/>
  <c r="W67" i="1"/>
  <c r="V67" i="1"/>
  <c r="W66" i="1"/>
  <c r="V66" i="1"/>
  <c r="W65" i="1"/>
  <c r="V65" i="1"/>
  <c r="W64" i="1"/>
  <c r="V64" i="1"/>
  <c r="W63" i="1"/>
  <c r="V63" i="1"/>
  <c r="W62" i="1"/>
  <c r="V62" i="1"/>
  <c r="W61" i="1"/>
  <c r="V61" i="1"/>
  <c r="W59" i="1"/>
  <c r="V59" i="1"/>
  <c r="W58" i="1"/>
  <c r="V58" i="1"/>
  <c r="W57" i="1"/>
  <c r="V57" i="1"/>
  <c r="W56" i="1"/>
  <c r="V56" i="1"/>
  <c r="W55" i="1"/>
  <c r="V55" i="1"/>
  <c r="W54" i="1"/>
  <c r="V54" i="1"/>
  <c r="W53" i="1"/>
  <c r="V53" i="1"/>
  <c r="W52" i="1"/>
  <c r="V52" i="1"/>
  <c r="W51" i="1"/>
  <c r="V51" i="1"/>
  <c r="W49" i="1"/>
  <c r="V49" i="1"/>
  <c r="W48" i="1"/>
  <c r="V48" i="1"/>
  <c r="W47" i="1"/>
  <c r="V47" i="1"/>
  <c r="W46" i="1"/>
  <c r="V46" i="1"/>
  <c r="W45" i="1"/>
  <c r="V45" i="1"/>
  <c r="W44" i="1"/>
  <c r="V44" i="1"/>
  <c r="W43" i="1"/>
  <c r="V43" i="1"/>
  <c r="W42" i="1"/>
  <c r="V42" i="1"/>
  <c r="W41" i="1"/>
  <c r="V41" i="1"/>
  <c r="W39" i="1"/>
  <c r="V39" i="1"/>
  <c r="W38" i="1"/>
  <c r="V38" i="1"/>
  <c r="W37" i="1"/>
  <c r="V37" i="1"/>
  <c r="W36" i="1"/>
  <c r="V36" i="1"/>
  <c r="W35" i="1"/>
  <c r="V35" i="1"/>
  <c r="W34" i="1"/>
  <c r="V34" i="1"/>
  <c r="W33" i="1"/>
  <c r="V33" i="1"/>
  <c r="W32" i="1"/>
  <c r="V32" i="1"/>
  <c r="W31" i="1"/>
  <c r="V31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19" i="1"/>
  <c r="V19" i="1"/>
  <c r="W18" i="1"/>
  <c r="V18" i="1"/>
  <c r="W17" i="1"/>
  <c r="V17" i="1"/>
  <c r="W16" i="1"/>
  <c r="V16" i="1"/>
  <c r="W15" i="1"/>
  <c r="V15" i="1"/>
  <c r="W14" i="1"/>
  <c r="V14" i="1"/>
  <c r="W12" i="1"/>
  <c r="V12" i="1"/>
  <c r="W11" i="1"/>
  <c r="V11" i="1"/>
  <c r="W10" i="1"/>
  <c r="V10" i="1"/>
  <c r="W9" i="1"/>
  <c r="V9" i="1"/>
  <c r="W8" i="1"/>
  <c r="V8" i="1"/>
  <c r="W6" i="1"/>
  <c r="V6" i="1"/>
  <c r="W5" i="1"/>
  <c r="V5" i="1"/>
  <c r="W4" i="1"/>
  <c r="V4" i="1"/>
  <c r="W3" i="1"/>
  <c r="V3" i="1"/>
  <c r="W2" i="1"/>
  <c r="V2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U112" i="5"/>
  <c r="T112" i="5"/>
  <c r="V112" i="5"/>
  <c r="Z112" i="5" s="1"/>
  <c r="U109" i="5"/>
  <c r="V109" i="5"/>
  <c r="Z109" i="5" s="1"/>
  <c r="T88" i="5"/>
  <c r="V88" i="5"/>
  <c r="Z88" i="5" s="1"/>
  <c r="T100" i="5"/>
  <c r="V100" i="5"/>
  <c r="Z100" i="5" s="1"/>
  <c r="V97" i="5"/>
  <c r="Z97" i="5" s="1"/>
  <c r="T85" i="5"/>
  <c r="V85" i="5"/>
  <c r="Z85" i="5" s="1"/>
  <c r="T76" i="5"/>
  <c r="V76" i="5"/>
  <c r="Z76" i="5" s="1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V111" i="5"/>
  <c r="Z111" i="5" s="1"/>
  <c r="V110" i="5"/>
  <c r="AA110" i="5" s="1"/>
  <c r="V108" i="5"/>
  <c r="Z108" i="5" s="1"/>
  <c r="P108" i="5"/>
  <c r="N108" i="5"/>
  <c r="V107" i="5"/>
  <c r="AA107" i="5" s="1"/>
  <c r="P107" i="5"/>
  <c r="U107" i="5" s="1"/>
  <c r="O107" i="5"/>
  <c r="V106" i="5"/>
  <c r="Z106" i="5" s="1"/>
  <c r="P106" i="5"/>
  <c r="N106" i="5"/>
  <c r="V105" i="5"/>
  <c r="AA105" i="5" s="1"/>
  <c r="P105" i="5"/>
  <c r="U105" i="5" s="1"/>
  <c r="O105" i="5"/>
  <c r="V104" i="5"/>
  <c r="AA104" i="5" s="1"/>
  <c r="P104" i="5"/>
  <c r="N104" i="5"/>
  <c r="V103" i="5"/>
  <c r="AA103" i="5" s="1"/>
  <c r="P103" i="5"/>
  <c r="U103" i="5" s="1"/>
  <c r="O103" i="5"/>
  <c r="V101" i="5"/>
  <c r="AA101" i="5" s="1"/>
  <c r="V99" i="5"/>
  <c r="AA99" i="5" s="1"/>
  <c r="U99" i="5"/>
  <c r="V98" i="5"/>
  <c r="AA98" i="5" s="1"/>
  <c r="V96" i="5"/>
  <c r="AA96" i="5" s="1"/>
  <c r="P96" i="5"/>
  <c r="U96" i="5" s="1"/>
  <c r="O96" i="5"/>
  <c r="V95" i="5"/>
  <c r="AA95" i="5" s="1"/>
  <c r="P95" i="5"/>
  <c r="N95" i="5"/>
  <c r="V94" i="5"/>
  <c r="AA94" i="5" s="1"/>
  <c r="P94" i="5"/>
  <c r="U94" i="5" s="1"/>
  <c r="O94" i="5"/>
  <c r="V93" i="5"/>
  <c r="AA93" i="5" s="1"/>
  <c r="P93" i="5"/>
  <c r="N93" i="5"/>
  <c r="V92" i="5"/>
  <c r="AA92" i="5" s="1"/>
  <c r="P92" i="5"/>
  <c r="U92" i="5" s="1"/>
  <c r="O92" i="5"/>
  <c r="V91" i="5"/>
  <c r="AA91" i="5" s="1"/>
  <c r="P91" i="5"/>
  <c r="N91" i="5"/>
  <c r="V89" i="5"/>
  <c r="AA89" i="5" s="1"/>
  <c r="U89" i="5"/>
  <c r="V87" i="5"/>
  <c r="AA87" i="5" s="1"/>
  <c r="V86" i="5"/>
  <c r="AA86" i="5" s="1"/>
  <c r="U86" i="5"/>
  <c r="V84" i="5"/>
  <c r="AA84" i="5" s="1"/>
  <c r="V83" i="5"/>
  <c r="AA83" i="5" s="1"/>
  <c r="P83" i="5"/>
  <c r="U83" i="5" s="1"/>
  <c r="O83" i="5"/>
  <c r="V82" i="5"/>
  <c r="Z82" i="5" s="1"/>
  <c r="P82" i="5"/>
  <c r="N82" i="5"/>
  <c r="V81" i="5"/>
  <c r="AA81" i="5" s="1"/>
  <c r="P81" i="5"/>
  <c r="U81" i="5" s="1"/>
  <c r="O81" i="5"/>
  <c r="V80" i="5"/>
  <c r="AA80" i="5" s="1"/>
  <c r="P80" i="5"/>
  <c r="U80" i="5" s="1"/>
  <c r="N80" i="5"/>
  <c r="V79" i="5"/>
  <c r="AA79" i="5" s="1"/>
  <c r="P79" i="5"/>
  <c r="U79" i="5" s="1"/>
  <c r="V77" i="5"/>
  <c r="AA77" i="5" s="1"/>
  <c r="U77" i="5"/>
  <c r="V75" i="5"/>
  <c r="AA75" i="5" s="1"/>
  <c r="U75" i="5"/>
  <c r="V74" i="5"/>
  <c r="Z74" i="5" s="1"/>
  <c r="U74" i="5"/>
  <c r="V72" i="5"/>
  <c r="Z72" i="5" s="1"/>
  <c r="U72" i="5"/>
  <c r="V71" i="5"/>
  <c r="AA71" i="5" s="1"/>
  <c r="U71" i="5"/>
  <c r="V70" i="5"/>
  <c r="AA70" i="5" s="1"/>
  <c r="P70" i="5"/>
  <c r="U70" i="5" s="1"/>
  <c r="V69" i="5"/>
  <c r="AA69" i="5" s="1"/>
  <c r="P69" i="5"/>
  <c r="U69" i="5" s="1"/>
  <c r="N69" i="5"/>
  <c r="V68" i="5"/>
  <c r="AA68" i="5" s="1"/>
  <c r="P68" i="5"/>
  <c r="U68" i="5" s="1"/>
  <c r="V67" i="5"/>
  <c r="AA67" i="5" s="1"/>
  <c r="P67" i="5"/>
  <c r="U67" i="5" s="1"/>
  <c r="N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AA112" i="5"/>
  <c r="U97" i="5"/>
  <c r="U85" i="5"/>
  <c r="AA109" i="5"/>
  <c r="U100" i="5"/>
  <c r="AA88" i="5"/>
  <c r="AA100" i="5"/>
  <c r="U76" i="5"/>
  <c r="AA97" i="5"/>
  <c r="U61" i="5"/>
  <c r="AA85" i="5"/>
  <c r="U73" i="5"/>
  <c r="AA76" i="5"/>
  <c r="U64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AA111" i="5"/>
  <c r="T92" i="5"/>
  <c r="Z71" i="5"/>
  <c r="AA74" i="5"/>
  <c r="H60" i="5"/>
  <c r="T74" i="5"/>
  <c r="T70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Z80" i="5"/>
  <c r="Z87" i="5"/>
  <c r="AA119" i="5"/>
  <c r="T22" i="5"/>
  <c r="O32" i="5"/>
  <c r="AA33" i="5"/>
  <c r="Z47" i="5"/>
  <c r="T53" i="5"/>
  <c r="H120" i="5"/>
  <c r="H21" i="5"/>
  <c r="Z29" i="5"/>
  <c r="I45" i="5"/>
  <c r="T71" i="5"/>
  <c r="AA82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Z70" i="5"/>
  <c r="T72" i="5"/>
  <c r="Z92" i="5"/>
  <c r="Z93" i="5"/>
  <c r="T96" i="5"/>
  <c r="Z105" i="5"/>
  <c r="AA106" i="5"/>
  <c r="Z110" i="5"/>
  <c r="O117" i="5"/>
  <c r="AA121" i="5"/>
  <c r="Z107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Z98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T79" i="5"/>
  <c r="T81" i="5"/>
  <c r="T83" i="5"/>
  <c r="T86" i="5"/>
  <c r="O93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<sst xmlns="http://schemas.openxmlformats.org/spreadsheetml/2006/main" count="481" uniqueCount="93">
  <si>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</si>
  <si>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</si>
  <si>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</si>
  <si>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</si>
  <si>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</si>
  <si>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</si>
  <si>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</si>
  <si>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</si>
  <si>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</si>
  <si>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</si>
  <si>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</si>
  <si>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</si>
  <si>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</si>
  <si>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</si>
  <si>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</si>
  <si>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</si>
  <si>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</si>
  <si>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</si>
  <si>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</si>
  <si>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</si>
  <si>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</si>
  <si>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</si>
  <si>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</si>
  <si>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</si>
  <si>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</si>
  <si>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</si>
  <si>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</si>
  <si>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</si>
  <si>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</si>
  <si>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</si>
  <si>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</si>
  <si>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</si>
  <si>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</si>
  <si>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</si>
  <si>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</si>
  <si>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</si>
  <si>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</si>
  <si>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</si>
  <si>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</si>
  <si>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</si>
  <si>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</si>
  <si>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</si>
  <si>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</si>
  <si>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</si>
  <si>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</si>
  <si>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</si>
  <si>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</si>
  <si>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</si>
  <si>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</si>
  <si>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</si>
  <si>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</si>
  <si>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</si>
  <si>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</si>
  <si>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</si>
  <si>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</si>
  <si>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</si>
  <si>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</si>
  <si>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</si>
  <si>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</si>
  <si>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</si>
  <si>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</si>
  <si>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</si>
  <si>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</si>
  <si>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</si>
  <si>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</si>
  <si>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</si>
  <si>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</si>
  <si>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</si>
  <si>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</si>
  <si>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</si>
  <si>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</si>
  <si>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</si>
  <si>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</si>
  <si>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</si>
  <si>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</si>
  <si>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</si>
  <si>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</si>
  <si>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</si>
  <si>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</si>
  <si>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</si>
  <si>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</si>
  <si>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</si>
  <si>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</si>
  <si>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</si>
  <si>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</si>
  <si>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</si>
  <si>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</si>
  <si>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</si>
  <si>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</si>
  <si>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</si>
  <si>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</si>
  <si>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 xml:space="preserve">  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</si>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</sst>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34"/>
    </font>
    <font>
      <b/>
      <sz val="11"/>
      <color rgb="FF000000"/>
      <name val="Aptos Narrow"/>
      <charset val="134"/>
    </font>
    <font>
      <sz val="11"/>
      <color rgb="FF000000"/>
      <name val="Aptos Narrow"/>
      <charset val="134"/>
    </font>
    <font>
      <b/>
      <sz val="11"/>
      <color rgb="FFFFFFFF"/>
      <name val="Bookman Old Style"/>
      <charset val="134"/>
    </font>
    <font>
      <b/>
      <sz val="11"/>
      <color theme="1"/>
      <name val="Aptos Narrow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275317"/>
        <bgColor indexed="64"/>
      </patternFill>
    </fill>
    <fill>
      <patternFill patternType="solid">
        <fgColor rgb="FF145F8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43AEE2"/>
      </top>
      <bottom style="thin">
        <color rgb="FF43AEE2"/>
      </bottom>
      <diagonal/>
    </border>
    <border>
      <left/>
      <right style="thin">
        <color rgb="FF43AEE2"/>
      </right>
      <top style="thin">
        <color rgb="FF43AEE2"/>
      </top>
      <bottom style="thin">
        <color rgb="FF43AEE2"/>
      </bottom>
      <diagonal/>
    </border>
    <border>
      <left style="thin">
        <color rgb="FF000000"/>
      </left>
      <right style="thin">
        <color rgb="FF000000"/>
      </right>
      <top style="thin">
        <color rgb="FF43AEE2"/>
      </top>
      <bottom style="thin">
        <color rgb="FF000000"/>
      </bottom>
      <diagonal/>
    </border>
    <border>
      <left/>
      <right style="thin">
        <color rgb="FF000000"/>
      </right>
      <top style="thin">
        <color rgb="FF43AEE2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43AEE2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8" fillId="2" borderId="12" xfId="0" applyFont="1" applyFill="1" applyBorder="1" applyAlignment="1">
      <alignment wrapText="1"/>
    </xf>
    <xf numFmtId="0" fontId="18" fillId="16" borderId="13" xfId="0" applyFont="1" applyFill="1" applyBorder="1" applyAlignment="1">
      <alignment wrapText="1"/>
    </xf>
    <xf numFmtId="0" fontId="18" fillId="17" borderId="12" xfId="0" applyFont="1" applyFill="1" applyBorder="1" applyAlignment="1">
      <alignment wrapText="1"/>
    </xf>
    <xf numFmtId="0" fontId="18" fillId="17" borderId="14" xfId="0" applyFont="1" applyFill="1" applyBorder="1" applyAlignment="1">
      <alignment wrapText="1"/>
    </xf>
    <xf numFmtId="0" fontId="15" fillId="13" borderId="1" xfId="0" applyFont="1" applyFill="1" applyBorder="1" applyAlignment="1">
      <alignment horizontal="center" wrapText="1"/>
    </xf>
    <xf numFmtId="0" fontId="15" fillId="13" borderId="3" xfId="0" applyFont="1" applyFill="1" applyBorder="1" applyAlignment="1">
      <alignment horizontal="center" wrapText="1"/>
    </xf>
    <xf numFmtId="0" fontId="15" fillId="14" borderId="1" xfId="0" applyFont="1" applyFill="1" applyBorder="1" applyAlignment="1">
      <alignment horizontal="center" wrapText="1"/>
    </xf>
    <xf numFmtId="0" fontId="15" fillId="14" borderId="2" xfId="0" applyFont="1" applyFill="1" applyBorder="1" applyAlignment="1">
      <alignment horizontal="center" wrapText="1"/>
    </xf>
    <xf numFmtId="0" fontId="16" fillId="14" borderId="10" xfId="0" applyFont="1" applyFill="1" applyBorder="1" applyAlignment="1">
      <alignment horizontal="center"/>
    </xf>
    <xf numFmtId="0" fontId="17" fillId="14" borderId="10" xfId="0" applyFont="1" applyFill="1" applyBorder="1" applyAlignment="1">
      <alignment horizontal="center"/>
    </xf>
    <xf numFmtId="0" fontId="17" fillId="14" borderId="1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 wrapText="1"/>
    </xf>
    <xf numFmtId="0" fontId="15" fillId="15" borderId="3" xfId="0" applyFont="1" applyFill="1" applyBorder="1" applyAlignment="1">
      <alignment horizontal="center" wrapText="1"/>
    </xf>
    <xf numFmtId="0" fontId="0" fillId="8" borderId="0" xfId="0" applyFill="1" applyAlignment="1">
      <alignment horizont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8" fillId="2" borderId="15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3" borderId="15" xfId="0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9" fillId="0" borderId="18" xfId="0" applyFont="1" applyBorder="1"/>
    <xf numFmtId="0" fontId="0" fillId="0" borderId="18" xfId="0" applyBorder="1"/>
    <xf numFmtId="0" fontId="19" fillId="8" borderId="18" xfId="0" applyFont="1" applyFill="1" applyBorder="1"/>
    <xf numFmtId="0" fontId="0" fillId="8" borderId="18" xfId="0" applyFill="1" applyBorder="1"/>
    <xf numFmtId="0" fontId="0" fillId="8" borderId="19" xfId="0" applyFill="1" applyBorder="1"/>
    <xf numFmtId="0" fontId="11" fillId="19" borderId="1" xfId="0" applyFont="1" applyFill="1" applyBorder="1" applyAlignment="1">
      <alignment horizontal="center" vertical="center" wrapText="1"/>
    </xf>
    <xf numFmtId="0" fontId="11" fillId="1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8"/>
  <sheetViews>
    <sheetView zoomScale="85" zoomScaleNormal="85" workbookViewId="0">
      <pane xSplit="2" topLeftCell="R1" activePane="topRight" state="frozen"/>
      <selection pane="topRight" activeCell="R1" sqref="R1:W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1" max="16" width="15.42578125" customWidth="1"/>
    <col min="18" max="18" width="16.85546875" customWidth="1"/>
  </cols>
  <sheetData>
    <row r="1" spans="1:23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42" t="s">
        <v>2</v>
      </c>
      <c r="L1" s="42" t="s">
        <v>3</v>
      </c>
      <c r="M1" s="42" t="s">
        <v>4</v>
      </c>
      <c r="N1" s="43" t="s">
        <v>5</v>
      </c>
      <c r="O1" s="44" t="s">
        <v>6</v>
      </c>
      <c r="P1" s="45" t="s">
        <v>7</v>
      </c>
      <c r="Q1" s="6"/>
      <c r="R1" s="60" t="s">
        <v>2</v>
      </c>
      <c r="S1" s="60" t="s">
        <v>3</v>
      </c>
      <c r="T1" s="60" t="s">
        <v>4</v>
      </c>
      <c r="U1" s="61" t="s">
        <v>5</v>
      </c>
      <c r="V1" s="62" t="s">
        <v>6</v>
      </c>
      <c r="W1" s="63" t="s">
        <v>7</v>
      </c>
    </row>
    <row r="2" spans="1:23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R2" s="64"/>
      <c r="S2" s="64"/>
      <c r="T2" s="64"/>
      <c r="U2" s="65"/>
      <c r="V2" s="66">
        <f>IF((R2-S2)&lt;0,0,R2-S2)</f>
        <v>0</v>
      </c>
      <c r="W2" s="67">
        <f>IF((S2-R2)&lt;0,0,S2-R2)</f>
        <v>0</v>
      </c>
    </row>
    <row r="3" spans="1:23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R3" s="64"/>
      <c r="S3" s="64"/>
      <c r="T3" s="64"/>
      <c r="U3" s="65"/>
      <c r="V3" s="66">
        <f>IF((R3-S3)&lt;0,0,R3-S3)</f>
        <v>0</v>
      </c>
      <c r="W3" s="67">
        <f>IF((S3-R3)&lt;0,0,S3-R3)</f>
        <v>0</v>
      </c>
    </row>
    <row r="4" spans="1:23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R4" s="64"/>
      <c r="S4" s="64"/>
      <c r="T4" s="64"/>
      <c r="U4" s="65"/>
      <c r="V4" s="66">
        <f>IF((R4-S4)&lt;0,0,R4-S4)</f>
        <v>0</v>
      </c>
      <c r="W4" s="67">
        <f>IF((S4-R4)&lt;0,0,S4-R4)</f>
        <v>0</v>
      </c>
    </row>
    <row r="5" spans="1:23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R5" s="64"/>
      <c r="S5" s="64"/>
      <c r="T5" s="64"/>
      <c r="U5" s="65"/>
      <c r="V5" s="66">
        <f t="shared" ref="V5:V6" si="2">IF((R5-S5)&lt;0,0,R5-S5)</f>
        <v>0</v>
      </c>
      <c r="W5" s="67">
        <f t="shared" ref="W5:W6" si="3">IF((S5-R5)&lt;0,0,S5-R5)</f>
        <v>0</v>
      </c>
    </row>
    <row r="6" spans="1:23" ht="19.5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  <c r="R6" s="64"/>
      <c r="S6" s="64"/>
      <c r="T6" s="64"/>
      <c r="U6" s="65"/>
      <c r="V6" s="66">
        <f t="shared" si="2"/>
        <v>0</v>
      </c>
      <c r="W6" s="67">
        <f t="shared" si="3"/>
        <v>0</v>
      </c>
    </row>
    <row r="7" spans="1:23" ht="15" hidden="1">
      <c r="C7" s="6"/>
      <c r="D7" s="6"/>
      <c r="E7" s="6"/>
      <c r="R7" s="68"/>
      <c r="S7" s="68"/>
      <c r="T7" s="68"/>
      <c r="U7" s="69"/>
      <c r="V7" s="69"/>
      <c r="W7" s="69"/>
    </row>
    <row r="8" spans="1:23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R8" s="64"/>
      <c r="S8" s="64"/>
      <c r="T8" s="64"/>
      <c r="U8" s="65"/>
      <c r="V8" s="66">
        <f>IF((R8-S8)&lt;0,0,R8-S8)</f>
        <v>0</v>
      </c>
      <c r="W8" s="67">
        <f>IF((S8-R8)&lt;0,0,S8-R8)</f>
        <v>0</v>
      </c>
    </row>
    <row r="9" spans="1:23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R9" s="64"/>
      <c r="S9" s="64"/>
      <c r="T9" s="64"/>
      <c r="U9" s="65"/>
      <c r="V9" s="66">
        <f>IF((R9-S9)&lt;0,0,R9-S9)</f>
        <v>0</v>
      </c>
      <c r="W9" s="67">
        <f>IF((S9-R9)&lt;0,0,S9-R9)</f>
        <v>0</v>
      </c>
    </row>
    <row r="10" spans="1:23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R10" s="64"/>
      <c r="S10" s="64"/>
      <c r="T10" s="64"/>
      <c r="U10" s="65"/>
      <c r="V10" s="66">
        <f>IF((R10-S10)&lt;0,0,R10-S10)</f>
        <v>0</v>
      </c>
      <c r="W10" s="67">
        <f>IF((S10-R10)&lt;0,0,S10-R10)</f>
        <v>0</v>
      </c>
    </row>
    <row r="11" spans="1:23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R11" s="64"/>
      <c r="S11" s="64"/>
      <c r="T11" s="64"/>
      <c r="U11" s="65"/>
      <c r="V11" s="66">
        <f>IF((R11-S11)&lt;0,0,R11-S11)</f>
        <v>0</v>
      </c>
      <c r="W11" s="67">
        <f>IF((S11-R11)&lt;0,0,S11-R11)</f>
        <v>0</v>
      </c>
    </row>
    <row r="12" spans="1:23" ht="19.5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R12" s="64"/>
      <c r="S12" s="64"/>
      <c r="T12" s="64"/>
      <c r="U12" s="65"/>
      <c r="V12" s="66">
        <f>IF((R12-S12)&lt;0,0,R12-S12)</f>
        <v>0</v>
      </c>
      <c r="W12" s="67">
        <f>IF((S12-R12)&lt;0,0,S12-R12)</f>
        <v>0</v>
      </c>
    </row>
    <row r="13" spans="1:23" ht="15" hidden="1">
      <c r="C13" s="6"/>
      <c r="D13" s="6"/>
      <c r="E13" s="6"/>
      <c r="R13" s="68"/>
      <c r="S13" s="68"/>
      <c r="T13" s="68"/>
      <c r="U13" s="69"/>
      <c r="V13" s="69"/>
      <c r="W13" s="69"/>
    </row>
    <row r="14" spans="1:23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4">IF((C14-D14)&lt;0,0,C14-D14)</f>
        <v>0</v>
      </c>
      <c r="H14" s="4">
        <f t="shared" ref="H14:H19" si="5">IF((D14-C14)&lt;0,0,D14-C14)</f>
        <v>0</v>
      </c>
      <c r="R14" s="64"/>
      <c r="S14" s="64"/>
      <c r="T14" s="64"/>
      <c r="U14" s="65"/>
      <c r="V14" s="66">
        <f t="shared" ref="V14:V19" si="6">IF((R14-S14)&lt;0,0,R14-S14)</f>
        <v>0</v>
      </c>
      <c r="W14" s="67">
        <f t="shared" ref="W14:W19" si="7">IF((S14-R14)&lt;0,0,S14-R14)</f>
        <v>0</v>
      </c>
    </row>
    <row r="15" spans="1:23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4"/>
        <v>0</v>
      </c>
      <c r="H15" s="4">
        <f t="shared" si="5"/>
        <v>0</v>
      </c>
      <c r="R15" s="64"/>
      <c r="S15" s="64"/>
      <c r="T15" s="64"/>
      <c r="U15" s="65"/>
      <c r="V15" s="66">
        <f t="shared" si="6"/>
        <v>0</v>
      </c>
      <c r="W15" s="67">
        <f t="shared" si="7"/>
        <v>0</v>
      </c>
    </row>
    <row r="16" spans="1:23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4"/>
        <v>0</v>
      </c>
      <c r="H16" s="4">
        <f t="shared" si="5"/>
        <v>0</v>
      </c>
      <c r="R16" s="64"/>
      <c r="S16" s="64"/>
      <c r="T16" s="64"/>
      <c r="U16" s="65"/>
      <c r="V16" s="66">
        <f t="shared" si="6"/>
        <v>0</v>
      </c>
      <c r="W16" s="67">
        <f t="shared" si="7"/>
        <v>0</v>
      </c>
    </row>
    <row r="17" spans="1:23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4"/>
        <v>0</v>
      </c>
      <c r="H17" s="4">
        <f t="shared" si="5"/>
        <v>0</v>
      </c>
      <c r="R17" s="64"/>
      <c r="S17" s="64"/>
      <c r="T17" s="64"/>
      <c r="U17" s="65"/>
      <c r="V17" s="66">
        <f t="shared" si="6"/>
        <v>0</v>
      </c>
      <c r="W17" s="67">
        <f t="shared" si="7"/>
        <v>0</v>
      </c>
    </row>
    <row r="18" spans="1:23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4"/>
        <v>0</v>
      </c>
      <c r="H18" s="4">
        <f t="shared" si="5"/>
        <v>0</v>
      </c>
      <c r="R18" s="64"/>
      <c r="S18" s="64"/>
      <c r="T18" s="64"/>
      <c r="U18" s="65"/>
      <c r="V18" s="66">
        <f t="shared" si="6"/>
        <v>0</v>
      </c>
      <c r="W18" s="67">
        <f t="shared" si="7"/>
        <v>0</v>
      </c>
    </row>
    <row r="19" spans="1:23" ht="19.5" hidden="1">
      <c r="A19" s="1">
        <v>3</v>
      </c>
      <c r="B19" s="2" t="s">
        <v>12</v>
      </c>
      <c r="C19" s="1"/>
      <c r="D19" s="1"/>
      <c r="E19" s="1"/>
      <c r="F19" s="5"/>
      <c r="G19" s="3">
        <f t="shared" si="4"/>
        <v>0</v>
      </c>
      <c r="H19" s="4">
        <f t="shared" si="5"/>
        <v>0</v>
      </c>
      <c r="R19" s="64"/>
      <c r="S19" s="64"/>
      <c r="T19" s="64"/>
      <c r="U19" s="65"/>
      <c r="V19" s="66">
        <f t="shared" si="6"/>
        <v>0</v>
      </c>
      <c r="W19" s="67">
        <f t="shared" si="7"/>
        <v>0</v>
      </c>
    </row>
    <row r="20" spans="1:23" ht="15" hidden="1">
      <c r="A20" s="7"/>
      <c r="B20" s="7"/>
      <c r="C20" s="8"/>
      <c r="D20" s="8"/>
      <c r="E20" s="8"/>
      <c r="F20" s="7"/>
      <c r="G20" s="7"/>
      <c r="H20" s="7"/>
      <c r="R20" s="70"/>
      <c r="S20" s="70"/>
      <c r="T20" s="70"/>
      <c r="U20" s="71"/>
      <c r="V20" s="71"/>
      <c r="W20" s="71"/>
    </row>
    <row r="21" spans="1:23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8">IF((C21-D21)&lt;0,0,C21-D21)</f>
        <v>0</v>
      </c>
      <c r="H21" s="4">
        <f t="shared" ref="H21:H29" si="9">IF((D21-C21)&lt;0,0,D21-C21)</f>
        <v>0</v>
      </c>
      <c r="R21" s="64"/>
      <c r="S21" s="64"/>
      <c r="T21" s="64"/>
      <c r="U21" s="65"/>
      <c r="V21" s="66">
        <f t="shared" ref="V21:V29" si="10">IF((R21-S21)&lt;0,0,R21-S21)</f>
        <v>0</v>
      </c>
      <c r="W21" s="67">
        <f t="shared" ref="W21:W29" si="11">IF((S21-R21)&lt;0,0,S21-R21)</f>
        <v>0</v>
      </c>
    </row>
    <row r="22" spans="1:23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8"/>
        <v>0</v>
      </c>
      <c r="H22" s="4">
        <f t="shared" si="9"/>
        <v>0</v>
      </c>
      <c r="R22" s="64"/>
      <c r="S22" s="64"/>
      <c r="T22" s="64"/>
      <c r="U22" s="65"/>
      <c r="V22" s="66">
        <f t="shared" si="10"/>
        <v>0</v>
      </c>
      <c r="W22" s="67">
        <f t="shared" si="11"/>
        <v>0</v>
      </c>
    </row>
    <row r="23" spans="1:23" ht="19.5" hidden="1">
      <c r="A23" s="1">
        <v>4</v>
      </c>
      <c r="B23" s="9" t="s">
        <v>12</v>
      </c>
      <c r="C23" s="1"/>
      <c r="D23" s="1"/>
      <c r="E23" s="1"/>
      <c r="F23" s="5"/>
      <c r="G23" s="3">
        <f t="shared" si="8"/>
        <v>0</v>
      </c>
      <c r="H23" s="4">
        <f t="shared" si="9"/>
        <v>0</v>
      </c>
      <c r="R23" s="64"/>
      <c r="S23" s="64"/>
      <c r="T23" s="64"/>
      <c r="U23" s="65"/>
      <c r="V23" s="66">
        <f t="shared" si="10"/>
        <v>0</v>
      </c>
      <c r="W23" s="67">
        <f t="shared" si="11"/>
        <v>0</v>
      </c>
    </row>
    <row r="24" spans="1:23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8"/>
        <v>0</v>
      </c>
      <c r="H24" s="4">
        <f t="shared" si="9"/>
        <v>0</v>
      </c>
      <c r="R24" s="64"/>
      <c r="S24" s="64"/>
      <c r="T24" s="64"/>
      <c r="U24" s="65"/>
      <c r="V24" s="66">
        <f t="shared" si="10"/>
        <v>0</v>
      </c>
      <c r="W24" s="67">
        <f t="shared" si="11"/>
        <v>0</v>
      </c>
    </row>
    <row r="25" spans="1:23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8"/>
        <v>0</v>
      </c>
      <c r="H25" s="4">
        <f t="shared" si="9"/>
        <v>0</v>
      </c>
      <c r="R25" s="64"/>
      <c r="S25" s="64"/>
      <c r="T25" s="64"/>
      <c r="U25" s="65"/>
      <c r="V25" s="66">
        <f t="shared" si="10"/>
        <v>0</v>
      </c>
      <c r="W25" s="67">
        <f t="shared" si="11"/>
        <v>0</v>
      </c>
    </row>
    <row r="26" spans="1:23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8"/>
        <v>0</v>
      </c>
      <c r="H26" s="4">
        <f t="shared" si="9"/>
        <v>0</v>
      </c>
      <c r="R26" s="64"/>
      <c r="S26" s="64"/>
      <c r="T26" s="64"/>
      <c r="U26" s="65"/>
      <c r="V26" s="66">
        <f t="shared" si="10"/>
        <v>0</v>
      </c>
      <c r="W26" s="67">
        <f t="shared" si="11"/>
        <v>0</v>
      </c>
    </row>
    <row r="27" spans="1:23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8"/>
        <v>0</v>
      </c>
      <c r="H27" s="4">
        <f t="shared" si="9"/>
        <v>0</v>
      </c>
      <c r="R27" s="64"/>
      <c r="S27" s="64"/>
      <c r="T27" s="64"/>
      <c r="U27" s="65"/>
      <c r="V27" s="66">
        <f t="shared" si="10"/>
        <v>0</v>
      </c>
      <c r="W27" s="67">
        <f t="shared" si="11"/>
        <v>0</v>
      </c>
    </row>
    <row r="28" spans="1:23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8"/>
        <v>0</v>
      </c>
      <c r="H28" s="4">
        <f t="shared" si="9"/>
        <v>0</v>
      </c>
      <c r="R28" s="64"/>
      <c r="S28" s="64"/>
      <c r="T28" s="64"/>
      <c r="U28" s="65"/>
      <c r="V28" s="66">
        <f t="shared" si="10"/>
        <v>0</v>
      </c>
      <c r="W28" s="67">
        <f t="shared" si="11"/>
        <v>0</v>
      </c>
    </row>
    <row r="29" spans="1:23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8"/>
        <v>0</v>
      </c>
      <c r="H29" s="4">
        <f t="shared" si="9"/>
        <v>0</v>
      </c>
      <c r="R29" s="64"/>
      <c r="S29" s="64"/>
      <c r="T29" s="64"/>
      <c r="U29" s="65"/>
      <c r="V29" s="66">
        <f t="shared" si="10"/>
        <v>0</v>
      </c>
      <c r="W29" s="67">
        <f t="shared" si="11"/>
        <v>0</v>
      </c>
    </row>
    <row r="30" spans="1:23" ht="27.75" hidden="1" customHeight="1">
      <c r="A30" s="7"/>
      <c r="B30" s="7"/>
      <c r="C30" s="8"/>
      <c r="D30" s="8"/>
      <c r="E30" s="8"/>
      <c r="F30" s="7"/>
      <c r="G30" s="7"/>
      <c r="H30" s="7"/>
      <c r="R30" s="70"/>
      <c r="S30" s="70"/>
      <c r="T30" s="70"/>
      <c r="U30" s="71"/>
      <c r="V30" s="71"/>
      <c r="W30" s="71"/>
    </row>
    <row r="31" spans="1:23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12">IF((C31-D31)&lt;0,0,C31-D31)</f>
        <v>0</v>
      </c>
      <c r="H31" s="4">
        <f t="shared" ref="H31:H39" si="13">IF((D31-C31)&lt;0,0,D31-C31)</f>
        <v>0</v>
      </c>
      <c r="R31" s="64"/>
      <c r="S31" s="64"/>
      <c r="T31" s="64"/>
      <c r="U31" s="65"/>
      <c r="V31" s="66">
        <f t="shared" ref="V31:V39" si="14">IF((R31-S31)&lt;0,0,R31-S31)</f>
        <v>0</v>
      </c>
      <c r="W31" s="67">
        <f t="shared" ref="W31:W39" si="15">IF((S31-R31)&lt;0,0,S31-R31)</f>
        <v>0</v>
      </c>
    </row>
    <row r="32" spans="1:23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12"/>
        <v>0</v>
      </c>
      <c r="H32" s="4">
        <f t="shared" si="13"/>
        <v>0</v>
      </c>
      <c r="R32" s="64"/>
      <c r="S32" s="64"/>
      <c r="T32" s="64"/>
      <c r="U32" s="65"/>
      <c r="V32" s="66">
        <f t="shared" si="14"/>
        <v>0</v>
      </c>
      <c r="W32" s="67">
        <f t="shared" si="15"/>
        <v>0</v>
      </c>
    </row>
    <row r="33" spans="1:23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12"/>
        <v>0</v>
      </c>
      <c r="H33" s="4">
        <f t="shared" si="13"/>
        <v>0</v>
      </c>
      <c r="R33" s="64"/>
      <c r="S33" s="64"/>
      <c r="T33" s="64"/>
      <c r="U33" s="65"/>
      <c r="V33" s="66">
        <f t="shared" si="14"/>
        <v>0</v>
      </c>
      <c r="W33" s="67">
        <f t="shared" si="15"/>
        <v>0</v>
      </c>
    </row>
    <row r="34" spans="1:23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12"/>
        <v>0</v>
      </c>
      <c r="H34" s="4">
        <f t="shared" si="13"/>
        <v>0</v>
      </c>
      <c r="R34" s="64"/>
      <c r="S34" s="64"/>
      <c r="T34" s="64"/>
      <c r="U34" s="65"/>
      <c r="V34" s="66">
        <f t="shared" si="14"/>
        <v>0</v>
      </c>
      <c r="W34" s="67">
        <f t="shared" si="15"/>
        <v>0</v>
      </c>
    </row>
    <row r="35" spans="1:23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12"/>
        <v>0</v>
      </c>
      <c r="H35" s="4">
        <f t="shared" si="13"/>
        <v>0</v>
      </c>
      <c r="R35" s="64"/>
      <c r="S35" s="64"/>
      <c r="T35" s="64"/>
      <c r="U35" s="65"/>
      <c r="V35" s="66">
        <f t="shared" si="14"/>
        <v>0</v>
      </c>
      <c r="W35" s="67">
        <f t="shared" si="15"/>
        <v>0</v>
      </c>
    </row>
    <row r="36" spans="1:23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12"/>
        <v>0</v>
      </c>
      <c r="H36" s="4">
        <f t="shared" si="13"/>
        <v>0</v>
      </c>
      <c r="R36" s="64"/>
      <c r="S36" s="64"/>
      <c r="T36" s="64"/>
      <c r="U36" s="65"/>
      <c r="V36" s="66">
        <f t="shared" si="14"/>
        <v>0</v>
      </c>
      <c r="W36" s="67">
        <f t="shared" si="15"/>
        <v>0</v>
      </c>
    </row>
    <row r="37" spans="1:23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12"/>
        <v>0</v>
      </c>
      <c r="H37" s="4">
        <f t="shared" si="13"/>
        <v>0</v>
      </c>
      <c r="R37" s="64"/>
      <c r="S37" s="64"/>
      <c r="T37" s="64"/>
      <c r="U37" s="65"/>
      <c r="V37" s="66">
        <f t="shared" si="14"/>
        <v>0</v>
      </c>
      <c r="W37" s="67">
        <f t="shared" si="15"/>
        <v>0</v>
      </c>
    </row>
    <row r="38" spans="1:23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12"/>
        <v>0</v>
      </c>
      <c r="H38" s="4">
        <f t="shared" si="13"/>
        <v>0</v>
      </c>
      <c r="R38" s="64"/>
      <c r="S38" s="64"/>
      <c r="T38" s="64"/>
      <c r="U38" s="65"/>
      <c r="V38" s="66">
        <f t="shared" si="14"/>
        <v>0</v>
      </c>
      <c r="W38" s="67">
        <f t="shared" si="15"/>
        <v>0</v>
      </c>
    </row>
    <row r="39" spans="1:23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12"/>
        <v>0</v>
      </c>
      <c r="H39" s="4">
        <f t="shared" si="13"/>
        <v>0</v>
      </c>
      <c r="R39" s="64"/>
      <c r="S39" s="64"/>
      <c r="T39" s="64"/>
      <c r="U39" s="65"/>
      <c r="V39" s="66">
        <f t="shared" si="14"/>
        <v>0</v>
      </c>
      <c r="W39" s="67">
        <f t="shared" si="15"/>
        <v>0</v>
      </c>
    </row>
    <row r="40" spans="1:23" ht="27.75" hidden="1" customHeight="1">
      <c r="A40" s="7"/>
      <c r="B40" s="7"/>
      <c r="C40" s="8"/>
      <c r="D40" s="8"/>
      <c r="E40" s="8"/>
      <c r="F40" s="7"/>
      <c r="G40" s="7"/>
      <c r="H40" s="7"/>
      <c r="R40" s="70"/>
      <c r="S40" s="70"/>
      <c r="T40" s="70"/>
      <c r="U40" s="71"/>
      <c r="V40" s="71"/>
      <c r="W40" s="71"/>
    </row>
    <row r="41" spans="1:23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16">IF((C41-D41)&lt;0,0,C41-D41)</f>
        <v>0</v>
      </c>
      <c r="H41" s="4">
        <f t="shared" ref="H41:H49" si="17">IF((D41-C41)&lt;0,0,D41-C41)</f>
        <v>0</v>
      </c>
      <c r="R41" s="64"/>
      <c r="S41" s="64"/>
      <c r="T41" s="64"/>
      <c r="U41" s="65"/>
      <c r="V41" s="66">
        <f t="shared" ref="V41:V49" si="18">IF((R41-S41)&lt;0,0,R41-S41)</f>
        <v>0</v>
      </c>
      <c r="W41" s="67">
        <f t="shared" ref="W41:W49" si="19">IF((S41-R41)&lt;0,0,S41-R41)</f>
        <v>0</v>
      </c>
    </row>
    <row r="42" spans="1:23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16"/>
        <v>0</v>
      </c>
      <c r="H42" s="4">
        <f t="shared" si="17"/>
        <v>0</v>
      </c>
      <c r="R42" s="64"/>
      <c r="S42" s="64"/>
      <c r="T42" s="64"/>
      <c r="U42" s="65"/>
      <c r="V42" s="66">
        <f t="shared" si="18"/>
        <v>0</v>
      </c>
      <c r="W42" s="67">
        <f t="shared" si="19"/>
        <v>0</v>
      </c>
    </row>
    <row r="43" spans="1:23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16"/>
        <v>0</v>
      </c>
      <c r="H43" s="4">
        <f t="shared" si="17"/>
        <v>0</v>
      </c>
      <c r="R43" s="64"/>
      <c r="S43" s="64"/>
      <c r="T43" s="64"/>
      <c r="U43" s="65"/>
      <c r="V43" s="66">
        <f t="shared" si="18"/>
        <v>0</v>
      </c>
      <c r="W43" s="67">
        <f t="shared" si="19"/>
        <v>0</v>
      </c>
    </row>
    <row r="44" spans="1:23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16"/>
        <v>0</v>
      </c>
      <c r="H44" s="4">
        <f t="shared" si="17"/>
        <v>0</v>
      </c>
      <c r="R44" s="64"/>
      <c r="S44" s="64"/>
      <c r="T44" s="64"/>
      <c r="U44" s="65"/>
      <c r="V44" s="66">
        <f t="shared" si="18"/>
        <v>0</v>
      </c>
      <c r="W44" s="67">
        <f t="shared" si="19"/>
        <v>0</v>
      </c>
    </row>
    <row r="45" spans="1:23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16"/>
        <v>0</v>
      </c>
      <c r="H45" s="4">
        <f t="shared" si="17"/>
        <v>0</v>
      </c>
      <c r="R45" s="64"/>
      <c r="S45" s="64"/>
      <c r="T45" s="64"/>
      <c r="U45" s="65"/>
      <c r="V45" s="66">
        <f t="shared" si="18"/>
        <v>0</v>
      </c>
      <c r="W45" s="67">
        <f t="shared" si="19"/>
        <v>0</v>
      </c>
    </row>
    <row r="46" spans="1:23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16"/>
        <v>0</v>
      </c>
      <c r="H46" s="4">
        <f t="shared" si="17"/>
        <v>0</v>
      </c>
      <c r="R46" s="64"/>
      <c r="S46" s="64"/>
      <c r="T46" s="64"/>
      <c r="U46" s="65"/>
      <c r="V46" s="66">
        <f t="shared" si="18"/>
        <v>0</v>
      </c>
      <c r="W46" s="67">
        <f t="shared" si="19"/>
        <v>0</v>
      </c>
    </row>
    <row r="47" spans="1:23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16"/>
        <v>0</v>
      </c>
      <c r="H47" s="4">
        <f t="shared" si="17"/>
        <v>0</v>
      </c>
      <c r="R47" s="64"/>
      <c r="S47" s="64"/>
      <c r="T47" s="64"/>
      <c r="U47" s="65"/>
      <c r="V47" s="66">
        <f t="shared" si="18"/>
        <v>0</v>
      </c>
      <c r="W47" s="67">
        <f t="shared" si="19"/>
        <v>0</v>
      </c>
    </row>
    <row r="48" spans="1:23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16"/>
        <v>0</v>
      </c>
      <c r="H48" s="4">
        <f t="shared" si="17"/>
        <v>0</v>
      </c>
      <c r="R48" s="64"/>
      <c r="S48" s="64"/>
      <c r="T48" s="64"/>
      <c r="U48" s="65"/>
      <c r="V48" s="66">
        <f t="shared" si="18"/>
        <v>0</v>
      </c>
      <c r="W48" s="67">
        <f t="shared" si="19"/>
        <v>0</v>
      </c>
    </row>
    <row r="49" spans="1:23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16"/>
        <v>0</v>
      </c>
      <c r="H49" s="4">
        <f t="shared" si="17"/>
        <v>0</v>
      </c>
      <c r="R49" s="64"/>
      <c r="S49" s="64"/>
      <c r="T49" s="64"/>
      <c r="U49" s="65"/>
      <c r="V49" s="66">
        <f t="shared" si="18"/>
        <v>0</v>
      </c>
      <c r="W49" s="67">
        <f t="shared" si="19"/>
        <v>0</v>
      </c>
    </row>
    <row r="50" spans="1:23" ht="27.75" hidden="1" customHeight="1">
      <c r="A50" s="7"/>
      <c r="B50" s="7"/>
      <c r="C50" s="8"/>
      <c r="D50" s="8"/>
      <c r="E50" s="8"/>
      <c r="F50" s="7"/>
      <c r="G50" s="7"/>
      <c r="H50" s="7"/>
      <c r="R50" s="70"/>
      <c r="S50" s="70"/>
      <c r="T50" s="70"/>
      <c r="U50" s="71"/>
      <c r="V50" s="71"/>
      <c r="W50" s="72"/>
    </row>
    <row r="51" spans="1:23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20">IF((C51-D51)&lt;0,0,C51-D51)</f>
        <v>0</v>
      </c>
      <c r="H51" s="4">
        <f t="shared" ref="H51:H59" si="21">IF((D51-C51)&lt;0,0,D51-C51)</f>
        <v>0</v>
      </c>
      <c r="K51" s="46">
        <v>914</v>
      </c>
      <c r="L51" s="46">
        <v>1102</v>
      </c>
      <c r="M51" s="46">
        <v>2025</v>
      </c>
      <c r="N51" s="47" t="s">
        <v>20</v>
      </c>
      <c r="O51" s="48">
        <v>0</v>
      </c>
      <c r="P51" s="49">
        <v>188</v>
      </c>
      <c r="R51" s="73">
        <v>914</v>
      </c>
      <c r="S51" s="73">
        <v>1102</v>
      </c>
      <c r="T51" s="73">
        <v>2025</v>
      </c>
      <c r="U51" s="74" t="s">
        <v>20</v>
      </c>
      <c r="V51" s="66">
        <f t="shared" ref="V51:V59" si="22">IF((R51-S51)&lt;0,0,R51-S51)</f>
        <v>0</v>
      </c>
      <c r="W51" s="67">
        <f t="shared" ref="W51:W59" si="23">IF((S51-R51)&lt;0,0,S51-R51)</f>
        <v>188</v>
      </c>
    </row>
    <row r="52" spans="1:23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20"/>
        <v>0</v>
      </c>
      <c r="H52" s="4">
        <f t="shared" si="21"/>
        <v>0</v>
      </c>
      <c r="K52" s="46"/>
      <c r="L52" s="46"/>
      <c r="M52" s="46"/>
      <c r="N52" s="47"/>
      <c r="O52" s="48">
        <v>0</v>
      </c>
      <c r="P52" s="49">
        <v>0</v>
      </c>
      <c r="R52" s="73"/>
      <c r="S52" s="73"/>
      <c r="T52" s="73"/>
      <c r="U52" s="74"/>
      <c r="V52" s="66">
        <f t="shared" si="22"/>
        <v>0</v>
      </c>
      <c r="W52" s="67">
        <f t="shared" si="23"/>
        <v>0</v>
      </c>
    </row>
    <row r="53" spans="1:23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20"/>
        <v>0</v>
      </c>
      <c r="H53" s="4">
        <f t="shared" si="21"/>
        <v>0</v>
      </c>
      <c r="K53" s="46">
        <v>914</v>
      </c>
      <c r="L53" s="46">
        <v>742</v>
      </c>
      <c r="M53" s="46">
        <v>2024</v>
      </c>
      <c r="N53" s="47" t="s">
        <v>20</v>
      </c>
      <c r="O53" s="48">
        <v>172</v>
      </c>
      <c r="P53" s="49">
        <v>0</v>
      </c>
      <c r="R53" s="73">
        <v>914</v>
      </c>
      <c r="S53" s="73">
        <v>742</v>
      </c>
      <c r="T53" s="73">
        <v>2024</v>
      </c>
      <c r="U53" s="74" t="s">
        <v>20</v>
      </c>
      <c r="V53" s="66">
        <f t="shared" si="22"/>
        <v>172</v>
      </c>
      <c r="W53" s="67">
        <f t="shared" si="23"/>
        <v>0</v>
      </c>
    </row>
    <row r="54" spans="1:23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20"/>
        <v>0</v>
      </c>
      <c r="H54" s="4">
        <f t="shared" si="21"/>
        <v>0</v>
      </c>
      <c r="K54" s="46">
        <v>914</v>
      </c>
      <c r="L54" s="46">
        <v>7</v>
      </c>
      <c r="M54" s="46">
        <v>2024</v>
      </c>
      <c r="N54" s="47" t="s">
        <v>20</v>
      </c>
      <c r="O54" s="48">
        <v>907</v>
      </c>
      <c r="P54" s="49">
        <v>0</v>
      </c>
      <c r="R54" s="73">
        <v>914</v>
      </c>
      <c r="S54" s="73">
        <v>7</v>
      </c>
      <c r="T54" s="73">
        <v>2024</v>
      </c>
      <c r="U54" s="74" t="s">
        <v>20</v>
      </c>
      <c r="V54" s="66">
        <f t="shared" si="22"/>
        <v>907</v>
      </c>
      <c r="W54" s="67">
        <f t="shared" si="23"/>
        <v>0</v>
      </c>
    </row>
    <row r="55" spans="1:23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20"/>
        <v>0</v>
      </c>
      <c r="H55" s="4">
        <f t="shared" si="21"/>
        <v>0</v>
      </c>
      <c r="K55" s="46">
        <v>914</v>
      </c>
      <c r="L55" s="46">
        <v>1102</v>
      </c>
      <c r="M55" s="46">
        <v>2025</v>
      </c>
      <c r="N55" s="47" t="s">
        <v>20</v>
      </c>
      <c r="O55" s="48">
        <v>0</v>
      </c>
      <c r="P55" s="49">
        <v>188</v>
      </c>
      <c r="R55" s="73">
        <v>914</v>
      </c>
      <c r="S55" s="73">
        <v>1102</v>
      </c>
      <c r="T55" s="73">
        <v>2025</v>
      </c>
      <c r="U55" s="74" t="s">
        <v>20</v>
      </c>
      <c r="V55" s="66">
        <f t="shared" si="22"/>
        <v>0</v>
      </c>
      <c r="W55" s="67">
        <f t="shared" si="23"/>
        <v>188</v>
      </c>
    </row>
    <row r="56" spans="1:23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20"/>
        <v>0</v>
      </c>
      <c r="H56" s="4">
        <f t="shared" si="21"/>
        <v>0</v>
      </c>
      <c r="K56" s="46">
        <v>914</v>
      </c>
      <c r="L56" s="46">
        <v>749</v>
      </c>
      <c r="M56" s="46">
        <v>2024</v>
      </c>
      <c r="N56" s="47" t="s">
        <v>20</v>
      </c>
      <c r="O56" s="48">
        <v>165</v>
      </c>
      <c r="P56" s="49">
        <v>0</v>
      </c>
      <c r="R56" s="73">
        <v>914</v>
      </c>
      <c r="S56" s="73">
        <v>749</v>
      </c>
      <c r="T56" s="73">
        <v>2024</v>
      </c>
      <c r="U56" s="74" t="s">
        <v>20</v>
      </c>
      <c r="V56" s="66">
        <f t="shared" si="22"/>
        <v>165</v>
      </c>
      <c r="W56" s="67">
        <f t="shared" si="23"/>
        <v>0</v>
      </c>
    </row>
    <row r="57" spans="1:23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20"/>
        <v>0</v>
      </c>
      <c r="H57" s="4">
        <f t="shared" si="21"/>
        <v>0</v>
      </c>
      <c r="K57" s="46">
        <v>914</v>
      </c>
      <c r="L57" s="46">
        <v>1102</v>
      </c>
      <c r="M57" s="46">
        <v>2025</v>
      </c>
      <c r="N57" s="47" t="s">
        <v>20</v>
      </c>
      <c r="O57" s="48">
        <v>0</v>
      </c>
      <c r="P57" s="49">
        <v>188</v>
      </c>
      <c r="R57" s="73">
        <v>914</v>
      </c>
      <c r="S57" s="73">
        <v>1102</v>
      </c>
      <c r="T57" s="73">
        <v>2025</v>
      </c>
      <c r="U57" s="74" t="s">
        <v>20</v>
      </c>
      <c r="V57" s="66">
        <f t="shared" si="22"/>
        <v>0</v>
      </c>
      <c r="W57" s="67">
        <f t="shared" si="23"/>
        <v>188</v>
      </c>
    </row>
    <row r="58" spans="1:23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20"/>
        <v>0</v>
      </c>
      <c r="H58" s="4">
        <f t="shared" si="21"/>
        <v>0</v>
      </c>
      <c r="K58" s="46"/>
      <c r="L58" s="46"/>
      <c r="M58" s="46"/>
      <c r="N58" s="47"/>
      <c r="O58" s="48">
        <v>0</v>
      </c>
      <c r="P58" s="49">
        <v>0</v>
      </c>
      <c r="R58" s="73"/>
      <c r="S58" s="73"/>
      <c r="T58" s="73"/>
      <c r="U58" s="74"/>
      <c r="V58" s="66">
        <f t="shared" si="22"/>
        <v>0</v>
      </c>
      <c r="W58" s="67">
        <f t="shared" si="23"/>
        <v>0</v>
      </c>
    </row>
    <row r="59" spans="1:23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20"/>
        <v>0</v>
      </c>
      <c r="H59" s="4">
        <f t="shared" si="21"/>
        <v>0</v>
      </c>
      <c r="K59" s="46">
        <v>914</v>
      </c>
      <c r="L59" s="46">
        <v>1102</v>
      </c>
      <c r="M59" s="46">
        <v>2025</v>
      </c>
      <c r="N59" s="47" t="s">
        <v>20</v>
      </c>
      <c r="O59" s="48">
        <v>0</v>
      </c>
      <c r="P59" s="49">
        <v>188</v>
      </c>
      <c r="R59" s="73">
        <v>914</v>
      </c>
      <c r="S59" s="73">
        <v>1102</v>
      </c>
      <c r="T59" s="73">
        <v>2025</v>
      </c>
      <c r="U59" s="74" t="s">
        <v>20</v>
      </c>
      <c r="V59" s="66">
        <f t="shared" si="22"/>
        <v>0</v>
      </c>
      <c r="W59" s="67">
        <f t="shared" si="23"/>
        <v>188</v>
      </c>
    </row>
    <row r="60" spans="1:23" ht="27.75" customHeight="1">
      <c r="A60" s="7"/>
      <c r="B60" s="7"/>
      <c r="C60" s="8"/>
      <c r="D60" s="8"/>
      <c r="E60" s="8"/>
      <c r="F60" s="7"/>
      <c r="G60" s="7"/>
      <c r="H60" s="7"/>
      <c r="K60" s="50"/>
      <c r="L60" s="50"/>
      <c r="M60" s="50"/>
      <c r="N60" s="51"/>
      <c r="O60" s="51"/>
      <c r="P60" s="52"/>
      <c r="R60" s="70"/>
      <c r="S60" s="70"/>
      <c r="T60" s="70"/>
      <c r="U60" s="71"/>
      <c r="V60" s="71"/>
      <c r="W60" s="72"/>
    </row>
    <row r="61" spans="1:23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24">IF((C61-D61)&lt;0,0,C61-D61)</f>
        <v>0</v>
      </c>
      <c r="H61" s="4">
        <f t="shared" ref="H61:H69" si="25">IF((D61-C61)&lt;0,0,D61-C61)</f>
        <v>0</v>
      </c>
      <c r="K61" s="46">
        <v>868</v>
      </c>
      <c r="L61" s="46">
        <v>702</v>
      </c>
      <c r="M61" s="46">
        <v>2025</v>
      </c>
      <c r="N61" s="47" t="s">
        <v>20</v>
      </c>
      <c r="O61" s="48">
        <v>166</v>
      </c>
      <c r="P61" s="49">
        <v>0</v>
      </c>
      <c r="R61" s="73">
        <v>868</v>
      </c>
      <c r="S61" s="73">
        <v>702</v>
      </c>
      <c r="T61" s="73">
        <v>2025</v>
      </c>
      <c r="U61" s="74" t="s">
        <v>20</v>
      </c>
      <c r="V61" s="66">
        <f t="shared" ref="V61:V69" si="26">IF((R61-S61)&lt;0,0,R61-S61)</f>
        <v>166</v>
      </c>
      <c r="W61" s="67">
        <f t="shared" ref="W61:W69" si="27">IF((S61-R61)&lt;0,0,S61-R61)</f>
        <v>0</v>
      </c>
    </row>
    <row r="62" spans="1:23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24"/>
        <v>0</v>
      </c>
      <c r="H62" s="4">
        <f t="shared" si="25"/>
        <v>0</v>
      </c>
      <c r="K62" s="46">
        <v>868</v>
      </c>
      <c r="L62" s="46">
        <v>784</v>
      </c>
      <c r="M62" s="46">
        <v>2024</v>
      </c>
      <c r="N62" s="47" t="s">
        <v>20</v>
      </c>
      <c r="O62" s="48">
        <v>84</v>
      </c>
      <c r="P62" s="49">
        <v>0</v>
      </c>
      <c r="R62" s="73">
        <v>868</v>
      </c>
      <c r="S62" s="73">
        <v>784</v>
      </c>
      <c r="T62" s="73">
        <v>2024</v>
      </c>
      <c r="U62" s="74" t="s">
        <v>20</v>
      </c>
      <c r="V62" s="66">
        <f t="shared" si="26"/>
        <v>84</v>
      </c>
      <c r="W62" s="67">
        <f t="shared" si="27"/>
        <v>0</v>
      </c>
    </row>
    <row r="63" spans="1:23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24"/>
        <v>0</v>
      </c>
      <c r="H63" s="4">
        <f t="shared" si="25"/>
        <v>0</v>
      </c>
      <c r="K63" s="46">
        <v>868</v>
      </c>
      <c r="L63" s="46">
        <v>740</v>
      </c>
      <c r="M63" s="46">
        <v>2024</v>
      </c>
      <c r="N63" s="47" t="s">
        <v>20</v>
      </c>
      <c r="O63" s="48">
        <v>128</v>
      </c>
      <c r="P63" s="49">
        <v>0</v>
      </c>
      <c r="R63" s="73">
        <v>868</v>
      </c>
      <c r="S63" s="73">
        <v>740</v>
      </c>
      <c r="T63" s="73">
        <v>2024</v>
      </c>
      <c r="U63" s="74" t="s">
        <v>20</v>
      </c>
      <c r="V63" s="66">
        <f t="shared" si="26"/>
        <v>128</v>
      </c>
      <c r="W63" s="67">
        <f t="shared" si="27"/>
        <v>0</v>
      </c>
    </row>
    <row r="64" spans="1:23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24"/>
        <v>0</v>
      </c>
      <c r="H64" s="4">
        <f t="shared" si="25"/>
        <v>0</v>
      </c>
      <c r="K64" s="46">
        <v>868</v>
      </c>
      <c r="L64" s="46">
        <v>1029</v>
      </c>
      <c r="M64" s="46">
        <v>2025</v>
      </c>
      <c r="N64" s="47" t="s">
        <v>20</v>
      </c>
      <c r="O64" s="48">
        <v>0</v>
      </c>
      <c r="P64" s="49">
        <v>161</v>
      </c>
      <c r="R64" s="73">
        <v>868</v>
      </c>
      <c r="S64" s="73">
        <v>1029</v>
      </c>
      <c r="T64" s="73">
        <v>2025</v>
      </c>
      <c r="U64" s="74" t="s">
        <v>20</v>
      </c>
      <c r="V64" s="66">
        <f t="shared" si="26"/>
        <v>0</v>
      </c>
      <c r="W64" s="67">
        <f t="shared" si="27"/>
        <v>161</v>
      </c>
    </row>
    <row r="65" spans="1:23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24"/>
        <v>0</v>
      </c>
      <c r="H65" s="4">
        <f t="shared" si="25"/>
        <v>0</v>
      </c>
      <c r="K65" s="46">
        <v>868</v>
      </c>
      <c r="L65" s="46">
        <v>8</v>
      </c>
      <c r="M65" s="46">
        <v>2024</v>
      </c>
      <c r="N65" s="47" t="s">
        <v>20</v>
      </c>
      <c r="O65" s="48">
        <v>860</v>
      </c>
      <c r="P65" s="49">
        <v>0</v>
      </c>
      <c r="R65" s="73">
        <v>868</v>
      </c>
      <c r="S65" s="73">
        <v>8</v>
      </c>
      <c r="T65" s="73">
        <v>2024</v>
      </c>
      <c r="U65" s="74" t="s">
        <v>20</v>
      </c>
      <c r="V65" s="66">
        <f t="shared" si="26"/>
        <v>860</v>
      </c>
      <c r="W65" s="67">
        <f t="shared" si="27"/>
        <v>0</v>
      </c>
    </row>
    <row r="66" spans="1:23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24"/>
        <v>0</v>
      </c>
      <c r="H66" s="4">
        <f t="shared" si="25"/>
        <v>0</v>
      </c>
      <c r="K66" s="46">
        <v>868</v>
      </c>
      <c r="L66" s="46">
        <v>541</v>
      </c>
      <c r="M66" s="46">
        <v>2024</v>
      </c>
      <c r="N66" s="47" t="s">
        <v>20</v>
      </c>
      <c r="O66" s="48">
        <v>327</v>
      </c>
      <c r="P66" s="49">
        <v>0</v>
      </c>
      <c r="R66" s="73">
        <v>868</v>
      </c>
      <c r="S66" s="73">
        <v>541</v>
      </c>
      <c r="T66" s="73">
        <v>2024</v>
      </c>
      <c r="U66" s="74" t="s">
        <v>20</v>
      </c>
      <c r="V66" s="66">
        <f t="shared" si="26"/>
        <v>327</v>
      </c>
      <c r="W66" s="67">
        <f t="shared" si="27"/>
        <v>0</v>
      </c>
    </row>
    <row r="67" spans="1:23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24"/>
        <v>0</v>
      </c>
      <c r="H67" s="4">
        <f t="shared" si="25"/>
        <v>0</v>
      </c>
      <c r="K67" s="46">
        <v>868</v>
      </c>
      <c r="L67" s="46">
        <v>670</v>
      </c>
      <c r="M67" s="46">
        <v>2024</v>
      </c>
      <c r="N67" s="47" t="s">
        <v>20</v>
      </c>
      <c r="O67" s="48">
        <v>198</v>
      </c>
      <c r="P67" s="49">
        <v>0</v>
      </c>
      <c r="R67" s="73">
        <v>868</v>
      </c>
      <c r="S67" s="73">
        <v>670</v>
      </c>
      <c r="T67" s="73">
        <v>2024</v>
      </c>
      <c r="U67" s="74" t="s">
        <v>20</v>
      </c>
      <c r="V67" s="66">
        <f t="shared" si="26"/>
        <v>198</v>
      </c>
      <c r="W67" s="67">
        <f t="shared" si="27"/>
        <v>0</v>
      </c>
    </row>
    <row r="68" spans="1:23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24"/>
        <v>0</v>
      </c>
      <c r="H68" s="4">
        <f t="shared" si="25"/>
        <v>0</v>
      </c>
      <c r="K68" s="46"/>
      <c r="L68" s="46"/>
      <c r="M68" s="46"/>
      <c r="N68" s="47"/>
      <c r="O68" s="48">
        <v>0</v>
      </c>
      <c r="P68" s="49">
        <v>0</v>
      </c>
      <c r="R68" s="73"/>
      <c r="S68" s="73"/>
      <c r="T68" s="73"/>
      <c r="U68" s="74"/>
      <c r="V68" s="66">
        <f t="shared" si="26"/>
        <v>0</v>
      </c>
      <c r="W68" s="67">
        <f t="shared" si="27"/>
        <v>0</v>
      </c>
    </row>
    <row r="69" spans="1:23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24"/>
        <v>0</v>
      </c>
      <c r="H69" s="4">
        <f t="shared" si="25"/>
        <v>0</v>
      </c>
      <c r="K69" s="46">
        <v>868</v>
      </c>
      <c r="L69" s="46">
        <v>555</v>
      </c>
      <c r="M69" s="46">
        <v>2024</v>
      </c>
      <c r="N69" s="47" t="s">
        <v>20</v>
      </c>
      <c r="O69" s="48">
        <v>313</v>
      </c>
      <c r="P69" s="49">
        <v>0</v>
      </c>
      <c r="R69" s="73">
        <v>868</v>
      </c>
      <c r="S69" s="73">
        <v>555</v>
      </c>
      <c r="T69" s="73">
        <v>2024</v>
      </c>
      <c r="U69" s="74" t="s">
        <v>20</v>
      </c>
      <c r="V69" s="66">
        <f t="shared" si="26"/>
        <v>313</v>
      </c>
      <c r="W69" s="67">
        <f t="shared" si="27"/>
        <v>0</v>
      </c>
    </row>
    <row r="70" spans="1:23" ht="27.75" customHeight="1">
      <c r="A70" s="7"/>
      <c r="B70" s="7"/>
      <c r="C70" s="8"/>
      <c r="D70" s="8"/>
      <c r="E70" s="8"/>
      <c r="F70" s="7"/>
      <c r="G70" s="7"/>
      <c r="H70" s="7"/>
      <c r="K70" s="50"/>
      <c r="L70" s="50"/>
      <c r="M70" s="50"/>
      <c r="N70" s="51"/>
      <c r="O70" s="51"/>
      <c r="P70" s="52"/>
      <c r="R70" s="70"/>
      <c r="S70" s="70"/>
      <c r="T70" s="70"/>
      <c r="U70" s="71"/>
      <c r="V70" s="71"/>
      <c r="W70" s="72"/>
    </row>
    <row r="71" spans="1:23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28">IF((C71-D71)&lt;0,0,C71-D71)</f>
        <v>0</v>
      </c>
      <c r="H71" s="4">
        <f t="shared" ref="H71:H79" si="29">IF((D71-C71)&lt;0,0,D71-C71)</f>
        <v>0</v>
      </c>
      <c r="K71" s="46">
        <v>723</v>
      </c>
      <c r="L71" s="46">
        <v>658</v>
      </c>
      <c r="M71" s="46">
        <v>2024</v>
      </c>
      <c r="N71" s="47" t="s">
        <v>20</v>
      </c>
      <c r="O71" s="48">
        <v>65</v>
      </c>
      <c r="P71" s="49">
        <v>0</v>
      </c>
      <c r="R71" s="73">
        <v>723</v>
      </c>
      <c r="S71" s="73">
        <v>658</v>
      </c>
      <c r="T71" s="73">
        <v>2024</v>
      </c>
      <c r="U71" s="74" t="s">
        <v>20</v>
      </c>
      <c r="V71" s="66">
        <f t="shared" ref="V71:V79" si="30">IF((R71-S71)&lt;0,0,R71-S71)</f>
        <v>65</v>
      </c>
      <c r="W71" s="67">
        <f t="shared" ref="W71:W79" si="31">IF((S71-R71)&lt;0,0,S71-R71)</f>
        <v>0</v>
      </c>
    </row>
    <row r="72" spans="1:23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28"/>
        <v>0</v>
      </c>
      <c r="H72" s="4">
        <f t="shared" si="29"/>
        <v>0</v>
      </c>
      <c r="K72" s="46">
        <v>723</v>
      </c>
      <c r="L72" s="46">
        <v>1466</v>
      </c>
      <c r="M72" s="46">
        <v>2024</v>
      </c>
      <c r="N72" s="47" t="s">
        <v>20</v>
      </c>
      <c r="O72" s="48">
        <v>0</v>
      </c>
      <c r="P72" s="49">
        <v>743</v>
      </c>
      <c r="R72" s="73">
        <v>723</v>
      </c>
      <c r="S72" s="73">
        <v>1466</v>
      </c>
      <c r="T72" s="73">
        <v>2024</v>
      </c>
      <c r="U72" s="74" t="s">
        <v>20</v>
      </c>
      <c r="V72" s="66">
        <f t="shared" si="30"/>
        <v>0</v>
      </c>
      <c r="W72" s="67">
        <f t="shared" si="31"/>
        <v>743</v>
      </c>
    </row>
    <row r="73" spans="1:23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28"/>
        <v>0</v>
      </c>
      <c r="H73" s="4">
        <f t="shared" si="29"/>
        <v>0</v>
      </c>
      <c r="K73" s="46">
        <v>723</v>
      </c>
      <c r="L73" s="46">
        <v>588</v>
      </c>
      <c r="M73" s="46">
        <v>2024</v>
      </c>
      <c r="N73" s="47" t="s">
        <v>20</v>
      </c>
      <c r="O73" s="48">
        <v>135</v>
      </c>
      <c r="P73" s="49">
        <v>0</v>
      </c>
      <c r="R73" s="73">
        <v>723</v>
      </c>
      <c r="S73" s="73">
        <v>588</v>
      </c>
      <c r="T73" s="73">
        <v>2024</v>
      </c>
      <c r="U73" s="74" t="s">
        <v>20</v>
      </c>
      <c r="V73" s="66">
        <f t="shared" si="30"/>
        <v>135</v>
      </c>
      <c r="W73" s="67">
        <f t="shared" si="31"/>
        <v>0</v>
      </c>
    </row>
    <row r="74" spans="1:23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28"/>
        <v>0</v>
      </c>
      <c r="H74" s="4">
        <f t="shared" si="29"/>
        <v>0</v>
      </c>
      <c r="K74" s="46">
        <v>723</v>
      </c>
      <c r="L74" s="46">
        <v>926</v>
      </c>
      <c r="M74" s="46">
        <v>2024</v>
      </c>
      <c r="N74" s="47" t="s">
        <v>20</v>
      </c>
      <c r="O74" s="48">
        <v>0</v>
      </c>
      <c r="P74" s="49">
        <v>203</v>
      </c>
      <c r="R74" s="73">
        <v>723</v>
      </c>
      <c r="S74" s="73">
        <v>926</v>
      </c>
      <c r="T74" s="73">
        <v>2024</v>
      </c>
      <c r="U74" s="74" t="s">
        <v>20</v>
      </c>
      <c r="V74" s="66">
        <f t="shared" si="30"/>
        <v>0</v>
      </c>
      <c r="W74" s="67">
        <f t="shared" si="31"/>
        <v>203</v>
      </c>
    </row>
    <row r="75" spans="1:23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28"/>
        <v>0</v>
      </c>
      <c r="H75" s="4">
        <f t="shared" si="29"/>
        <v>0</v>
      </c>
      <c r="K75" s="46">
        <v>723</v>
      </c>
      <c r="L75" s="46">
        <v>1399</v>
      </c>
      <c r="M75" s="46">
        <v>2024</v>
      </c>
      <c r="N75" s="47" t="s">
        <v>20</v>
      </c>
      <c r="O75" s="48">
        <v>0</v>
      </c>
      <c r="P75" s="49">
        <v>676</v>
      </c>
      <c r="R75" s="73">
        <v>723</v>
      </c>
      <c r="S75" s="73">
        <v>1399</v>
      </c>
      <c r="T75" s="73">
        <v>2024</v>
      </c>
      <c r="U75" s="74" t="s">
        <v>20</v>
      </c>
      <c r="V75" s="66">
        <f t="shared" si="30"/>
        <v>0</v>
      </c>
      <c r="W75" s="67">
        <f t="shared" si="31"/>
        <v>676</v>
      </c>
    </row>
    <row r="76" spans="1:23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28"/>
        <v>0</v>
      </c>
      <c r="H76" s="4">
        <f t="shared" si="29"/>
        <v>0</v>
      </c>
      <c r="K76" s="46">
        <v>723</v>
      </c>
      <c r="L76" s="46">
        <v>579</v>
      </c>
      <c r="M76" s="46">
        <v>2024</v>
      </c>
      <c r="N76" s="47" t="s">
        <v>20</v>
      </c>
      <c r="O76" s="48">
        <v>144</v>
      </c>
      <c r="P76" s="49">
        <v>0</v>
      </c>
      <c r="R76" s="73">
        <v>723</v>
      </c>
      <c r="S76" s="73">
        <v>579</v>
      </c>
      <c r="T76" s="73">
        <v>2024</v>
      </c>
      <c r="U76" s="74" t="s">
        <v>20</v>
      </c>
      <c r="V76" s="66">
        <f t="shared" si="30"/>
        <v>144</v>
      </c>
      <c r="W76" s="67">
        <f t="shared" si="31"/>
        <v>0</v>
      </c>
    </row>
    <row r="77" spans="1:23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28"/>
        <v>0</v>
      </c>
      <c r="H77" s="4">
        <f t="shared" si="29"/>
        <v>0</v>
      </c>
      <c r="K77" s="46">
        <v>723</v>
      </c>
      <c r="L77" s="46">
        <v>687</v>
      </c>
      <c r="M77" s="46">
        <v>2024</v>
      </c>
      <c r="N77" s="47" t="s">
        <v>20</v>
      </c>
      <c r="O77" s="48">
        <v>36</v>
      </c>
      <c r="P77" s="49">
        <v>0</v>
      </c>
      <c r="R77" s="73">
        <v>723</v>
      </c>
      <c r="S77" s="73">
        <v>687</v>
      </c>
      <c r="T77" s="73">
        <v>2024</v>
      </c>
      <c r="U77" s="74" t="s">
        <v>20</v>
      </c>
      <c r="V77" s="66">
        <f t="shared" si="30"/>
        <v>36</v>
      </c>
      <c r="W77" s="67">
        <f t="shared" si="31"/>
        <v>0</v>
      </c>
    </row>
    <row r="78" spans="1:23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28"/>
        <v>0</v>
      </c>
      <c r="H78" s="4">
        <f t="shared" si="29"/>
        <v>0</v>
      </c>
      <c r="K78" s="46"/>
      <c r="L78" s="46"/>
      <c r="M78" s="46"/>
      <c r="N78" s="47"/>
      <c r="O78" s="48">
        <v>0</v>
      </c>
      <c r="P78" s="49">
        <v>0</v>
      </c>
      <c r="R78" s="73"/>
      <c r="S78" s="73"/>
      <c r="T78" s="73"/>
      <c r="U78" s="74"/>
      <c r="V78" s="66">
        <f t="shared" si="30"/>
        <v>0</v>
      </c>
      <c r="W78" s="67">
        <f t="shared" si="31"/>
        <v>0</v>
      </c>
    </row>
    <row r="79" spans="1:23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28"/>
        <v>0</v>
      </c>
      <c r="H79" s="4">
        <f t="shared" si="29"/>
        <v>0</v>
      </c>
      <c r="K79" s="46">
        <v>723</v>
      </c>
      <c r="L79" s="46">
        <v>520</v>
      </c>
      <c r="M79" s="46">
        <v>2024</v>
      </c>
      <c r="N79" s="47" t="s">
        <v>20</v>
      </c>
      <c r="O79" s="48">
        <v>203</v>
      </c>
      <c r="P79" s="49">
        <v>0</v>
      </c>
      <c r="R79" s="73">
        <v>723</v>
      </c>
      <c r="S79" s="73">
        <v>520</v>
      </c>
      <c r="T79" s="73">
        <v>2024</v>
      </c>
      <c r="U79" s="74" t="s">
        <v>20</v>
      </c>
      <c r="V79" s="66">
        <f t="shared" si="30"/>
        <v>203</v>
      </c>
      <c r="W79" s="67">
        <f t="shared" si="31"/>
        <v>0</v>
      </c>
    </row>
    <row r="80" spans="1:23" ht="27.75" customHeight="1">
      <c r="A80" s="7"/>
      <c r="B80" s="8"/>
      <c r="C80" s="8"/>
      <c r="D80" s="8"/>
      <c r="E80" s="8"/>
      <c r="F80" s="7"/>
      <c r="G80" s="7"/>
      <c r="H80" s="7"/>
      <c r="K80" s="50"/>
      <c r="L80" s="50"/>
      <c r="M80" s="50"/>
      <c r="N80" s="51"/>
      <c r="O80" s="51"/>
      <c r="P80" s="52"/>
      <c r="R80" s="70"/>
      <c r="S80" s="70"/>
      <c r="T80" s="70"/>
      <c r="U80" s="71"/>
      <c r="V80" s="71"/>
      <c r="W80" s="72"/>
    </row>
    <row r="81" spans="1:23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32">IF((C81-D81)&lt;0,0,C81-D81)</f>
        <v>0</v>
      </c>
      <c r="H81" s="4">
        <f t="shared" ref="H81:H89" si="33">IF((D81-C81)&lt;0,0,D81-C81)</f>
        <v>0</v>
      </c>
      <c r="K81" s="46">
        <v>944</v>
      </c>
      <c r="L81" s="46">
        <v>283</v>
      </c>
      <c r="M81" s="46">
        <v>2024</v>
      </c>
      <c r="N81" s="47" t="s">
        <v>20</v>
      </c>
      <c r="O81" s="48">
        <v>661</v>
      </c>
      <c r="P81" s="49">
        <v>0</v>
      </c>
      <c r="R81" s="73">
        <v>944</v>
      </c>
      <c r="S81" s="73">
        <v>283</v>
      </c>
      <c r="T81" s="73">
        <v>2024</v>
      </c>
      <c r="U81" s="74" t="s">
        <v>20</v>
      </c>
      <c r="V81" s="66">
        <f t="shared" ref="V81:V89" si="34">IF((R81-S81)&lt;0,0,R81-S81)</f>
        <v>661</v>
      </c>
      <c r="W81" s="67">
        <f t="shared" ref="W81:W89" si="35">IF((S81-R81)&lt;0,0,S81-R81)</f>
        <v>0</v>
      </c>
    </row>
    <row r="82" spans="1:23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32"/>
        <v>0</v>
      </c>
      <c r="H82" s="4">
        <f t="shared" si="33"/>
        <v>0</v>
      </c>
      <c r="K82" s="46">
        <v>944</v>
      </c>
      <c r="L82" s="46">
        <v>796</v>
      </c>
      <c r="M82" s="46">
        <v>2024</v>
      </c>
      <c r="N82" s="47" t="s">
        <v>20</v>
      </c>
      <c r="O82" s="48">
        <v>148</v>
      </c>
      <c r="P82" s="49">
        <v>0</v>
      </c>
      <c r="R82" s="73">
        <v>944</v>
      </c>
      <c r="S82" s="73">
        <v>796</v>
      </c>
      <c r="T82" s="73">
        <v>2024</v>
      </c>
      <c r="U82" s="74" t="s">
        <v>20</v>
      </c>
      <c r="V82" s="66">
        <f t="shared" si="34"/>
        <v>148</v>
      </c>
      <c r="W82" s="67">
        <f t="shared" si="35"/>
        <v>0</v>
      </c>
    </row>
    <row r="83" spans="1:23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32"/>
        <v>0</v>
      </c>
      <c r="H83" s="4">
        <f t="shared" si="33"/>
        <v>0</v>
      </c>
      <c r="K83" s="46">
        <v>944</v>
      </c>
      <c r="L83" s="46">
        <v>390</v>
      </c>
      <c r="M83" s="46">
        <v>2024</v>
      </c>
      <c r="N83" s="47" t="s">
        <v>20</v>
      </c>
      <c r="O83" s="48">
        <v>554</v>
      </c>
      <c r="P83" s="49">
        <v>0</v>
      </c>
      <c r="R83" s="73">
        <v>944</v>
      </c>
      <c r="S83" s="73">
        <v>390</v>
      </c>
      <c r="T83" s="73">
        <v>2024</v>
      </c>
      <c r="U83" s="74" t="s">
        <v>20</v>
      </c>
      <c r="V83" s="66">
        <f t="shared" si="34"/>
        <v>554</v>
      </c>
      <c r="W83" s="67">
        <f t="shared" si="35"/>
        <v>0</v>
      </c>
    </row>
    <row r="84" spans="1:23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32"/>
        <v>0</v>
      </c>
      <c r="H84" s="4">
        <f t="shared" si="33"/>
        <v>0</v>
      </c>
      <c r="K84" s="46">
        <v>944</v>
      </c>
      <c r="L84" s="46">
        <v>408</v>
      </c>
      <c r="M84" s="46">
        <v>2024</v>
      </c>
      <c r="N84" s="47" t="s">
        <v>20</v>
      </c>
      <c r="O84" s="48">
        <v>536</v>
      </c>
      <c r="P84" s="49">
        <v>0</v>
      </c>
      <c r="R84" s="73">
        <v>944</v>
      </c>
      <c r="S84" s="73">
        <v>408</v>
      </c>
      <c r="T84" s="73">
        <v>2024</v>
      </c>
      <c r="U84" s="74" t="s">
        <v>20</v>
      </c>
      <c r="V84" s="66">
        <f t="shared" si="34"/>
        <v>536</v>
      </c>
      <c r="W84" s="67">
        <f t="shared" si="35"/>
        <v>0</v>
      </c>
    </row>
    <row r="85" spans="1:23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32"/>
        <v>0</v>
      </c>
      <c r="H85" s="4">
        <f t="shared" si="33"/>
        <v>0</v>
      </c>
      <c r="K85" s="46">
        <v>944</v>
      </c>
      <c r="L85" s="46">
        <v>899</v>
      </c>
      <c r="M85" s="46">
        <v>2024</v>
      </c>
      <c r="N85" s="47" t="s">
        <v>20</v>
      </c>
      <c r="O85" s="48">
        <v>45</v>
      </c>
      <c r="P85" s="49">
        <v>0</v>
      </c>
      <c r="R85" s="73">
        <v>944</v>
      </c>
      <c r="S85" s="73">
        <v>899</v>
      </c>
      <c r="T85" s="73">
        <v>2024</v>
      </c>
      <c r="U85" s="74" t="s">
        <v>20</v>
      </c>
      <c r="V85" s="66">
        <f t="shared" si="34"/>
        <v>45</v>
      </c>
      <c r="W85" s="67">
        <f t="shared" si="35"/>
        <v>0</v>
      </c>
    </row>
    <row r="86" spans="1:23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32"/>
        <v>0</v>
      </c>
      <c r="H86" s="4">
        <f t="shared" si="33"/>
        <v>0</v>
      </c>
      <c r="K86" s="46">
        <v>944</v>
      </c>
      <c r="L86" s="46">
        <v>600</v>
      </c>
      <c r="M86" s="46">
        <v>2024</v>
      </c>
      <c r="N86" s="47" t="s">
        <v>20</v>
      </c>
      <c r="O86" s="48">
        <v>344</v>
      </c>
      <c r="P86" s="49">
        <v>0</v>
      </c>
      <c r="R86" s="73">
        <v>944</v>
      </c>
      <c r="S86" s="73">
        <v>600</v>
      </c>
      <c r="T86" s="73">
        <v>2024</v>
      </c>
      <c r="U86" s="74" t="s">
        <v>20</v>
      </c>
      <c r="V86" s="66">
        <f t="shared" si="34"/>
        <v>344</v>
      </c>
      <c r="W86" s="67">
        <f t="shared" si="35"/>
        <v>0</v>
      </c>
    </row>
    <row r="87" spans="1:23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32"/>
        <v>0</v>
      </c>
      <c r="H87" s="4">
        <f t="shared" si="33"/>
        <v>0</v>
      </c>
      <c r="K87" s="46">
        <v>944</v>
      </c>
      <c r="L87" s="46">
        <v>816</v>
      </c>
      <c r="M87" s="46">
        <v>2024</v>
      </c>
      <c r="N87" s="47" t="s">
        <v>20</v>
      </c>
      <c r="O87" s="48">
        <v>128</v>
      </c>
      <c r="P87" s="49">
        <v>0</v>
      </c>
      <c r="R87" s="73">
        <v>944</v>
      </c>
      <c r="S87" s="73">
        <v>816</v>
      </c>
      <c r="T87" s="73">
        <v>2024</v>
      </c>
      <c r="U87" s="74" t="s">
        <v>20</v>
      </c>
      <c r="V87" s="66">
        <f t="shared" si="34"/>
        <v>128</v>
      </c>
      <c r="W87" s="67">
        <f t="shared" si="35"/>
        <v>0</v>
      </c>
    </row>
    <row r="88" spans="1:23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32"/>
        <v>0</v>
      </c>
      <c r="H88" s="4">
        <f t="shared" si="33"/>
        <v>0</v>
      </c>
      <c r="K88" s="46"/>
      <c r="L88" s="46"/>
      <c r="M88" s="46"/>
      <c r="N88" s="47"/>
      <c r="O88" s="48">
        <v>0</v>
      </c>
      <c r="P88" s="49">
        <v>0</v>
      </c>
      <c r="R88" s="73"/>
      <c r="S88" s="73"/>
      <c r="T88" s="73"/>
      <c r="U88" s="74"/>
      <c r="V88" s="66">
        <f t="shared" si="34"/>
        <v>0</v>
      </c>
      <c r="W88" s="67">
        <f t="shared" si="35"/>
        <v>0</v>
      </c>
    </row>
    <row r="89" spans="1:23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32"/>
        <v>0</v>
      </c>
      <c r="H89" s="4">
        <f t="shared" si="33"/>
        <v>0</v>
      </c>
      <c r="K89" s="46">
        <v>944</v>
      </c>
      <c r="L89" s="46">
        <v>1025</v>
      </c>
      <c r="M89" s="46">
        <v>2024</v>
      </c>
      <c r="N89" s="47" t="s">
        <v>20</v>
      </c>
      <c r="O89" s="48">
        <v>0</v>
      </c>
      <c r="P89" s="49">
        <v>81</v>
      </c>
      <c r="R89" s="73">
        <v>944</v>
      </c>
      <c r="S89" s="73">
        <v>1025</v>
      </c>
      <c r="T89" s="73">
        <v>2024</v>
      </c>
      <c r="U89" s="74" t="s">
        <v>20</v>
      </c>
      <c r="V89" s="66">
        <f t="shared" si="34"/>
        <v>0</v>
      </c>
      <c r="W89" s="67">
        <f t="shared" si="35"/>
        <v>81</v>
      </c>
    </row>
    <row r="90" spans="1:23" ht="27.75" customHeight="1">
      <c r="A90" s="7"/>
      <c r="B90" s="7"/>
      <c r="C90" s="8"/>
      <c r="D90" s="8"/>
      <c r="E90" s="8"/>
      <c r="F90" s="7"/>
      <c r="G90" s="7"/>
      <c r="H90" s="7"/>
      <c r="K90" s="50"/>
      <c r="L90" s="50"/>
      <c r="M90" s="50"/>
      <c r="N90" s="51"/>
      <c r="O90" s="51"/>
      <c r="P90" s="52"/>
      <c r="R90" s="70"/>
      <c r="S90" s="70"/>
      <c r="T90" s="70"/>
      <c r="U90" s="71"/>
      <c r="V90" s="71"/>
      <c r="W90" s="72"/>
    </row>
    <row r="91" spans="1:23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36">IF((C91-D91)&lt;0,0,C91-D91)</f>
        <v>0</v>
      </c>
      <c r="H91" s="4">
        <f t="shared" ref="H91:H98" si="37">IF((D91-C91)&lt;0,0,D91-C91)</f>
        <v>0</v>
      </c>
      <c r="K91" s="53">
        <v>743</v>
      </c>
      <c r="L91" s="53">
        <v>160</v>
      </c>
      <c r="M91" s="53">
        <v>2024</v>
      </c>
      <c r="N91" s="47" t="s">
        <v>20</v>
      </c>
      <c r="O91" s="48">
        <v>583</v>
      </c>
      <c r="P91" s="49">
        <v>0</v>
      </c>
      <c r="R91" s="64">
        <v>743</v>
      </c>
      <c r="S91" s="64">
        <v>160</v>
      </c>
      <c r="T91" s="64">
        <v>2024</v>
      </c>
      <c r="U91" s="74" t="s">
        <v>20</v>
      </c>
      <c r="V91" s="66">
        <f t="shared" ref="V91:V98" si="38">IF((R91-S91)&lt;0,0,R91-S91)</f>
        <v>583</v>
      </c>
      <c r="W91" s="67">
        <f t="shared" ref="W91:W98" si="39">IF((S91-R91)&lt;0,0,S91-R91)</f>
        <v>0</v>
      </c>
    </row>
    <row r="92" spans="1:23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36"/>
        <v>0</v>
      </c>
      <c r="H92" s="4">
        <f t="shared" si="37"/>
        <v>0</v>
      </c>
      <c r="K92" s="53"/>
      <c r="L92" s="53"/>
      <c r="M92" s="53"/>
      <c r="N92" s="54"/>
      <c r="O92" s="48">
        <v>0</v>
      </c>
      <c r="P92" s="49">
        <v>0</v>
      </c>
      <c r="R92" s="64"/>
      <c r="S92" s="64"/>
      <c r="T92" s="64"/>
      <c r="U92" s="65"/>
      <c r="V92" s="66">
        <f t="shared" si="38"/>
        <v>0</v>
      </c>
      <c r="W92" s="67">
        <f t="shared" si="39"/>
        <v>0</v>
      </c>
    </row>
    <row r="93" spans="1:23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36"/>
        <v>0</v>
      </c>
      <c r="H93" s="4">
        <f t="shared" si="37"/>
        <v>0</v>
      </c>
      <c r="K93" s="53"/>
      <c r="L93" s="53"/>
      <c r="M93" s="53"/>
      <c r="N93" s="54"/>
      <c r="O93" s="48">
        <v>0</v>
      </c>
      <c r="P93" s="49">
        <v>0</v>
      </c>
      <c r="R93" s="64"/>
      <c r="S93" s="64"/>
      <c r="T93" s="64"/>
      <c r="U93" s="65"/>
      <c r="V93" s="66">
        <f t="shared" si="38"/>
        <v>0</v>
      </c>
      <c r="W93" s="67">
        <f t="shared" si="39"/>
        <v>0</v>
      </c>
    </row>
    <row r="94" spans="1:23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36"/>
        <v>0</v>
      </c>
      <c r="H94" s="4">
        <f t="shared" si="37"/>
        <v>0</v>
      </c>
      <c r="K94" s="53">
        <v>743</v>
      </c>
      <c r="L94" s="53">
        <v>453</v>
      </c>
      <c r="M94" s="53">
        <v>2025</v>
      </c>
      <c r="N94" s="47" t="s">
        <v>20</v>
      </c>
      <c r="O94" s="48">
        <v>290</v>
      </c>
      <c r="P94" s="49">
        <v>0</v>
      </c>
      <c r="R94" s="64">
        <v>743</v>
      </c>
      <c r="S94" s="64">
        <v>453</v>
      </c>
      <c r="T94" s="64">
        <v>2025</v>
      </c>
      <c r="U94" s="74" t="s">
        <v>20</v>
      </c>
      <c r="V94" s="66">
        <f t="shared" si="38"/>
        <v>290</v>
      </c>
      <c r="W94" s="67">
        <f t="shared" si="39"/>
        <v>0</v>
      </c>
    </row>
    <row r="95" spans="1:23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36"/>
        <v>0</v>
      </c>
      <c r="H95" s="4">
        <f t="shared" si="37"/>
        <v>0</v>
      </c>
      <c r="K95" s="53">
        <v>743</v>
      </c>
      <c r="L95" s="53">
        <v>453</v>
      </c>
      <c r="M95" s="53">
        <v>2025</v>
      </c>
      <c r="N95" s="47" t="s">
        <v>20</v>
      </c>
      <c r="O95" s="48">
        <v>290</v>
      </c>
      <c r="P95" s="49">
        <v>0</v>
      </c>
      <c r="R95" s="64">
        <v>743</v>
      </c>
      <c r="S95" s="64">
        <v>453</v>
      </c>
      <c r="T95" s="64">
        <v>2025</v>
      </c>
      <c r="U95" s="74" t="s">
        <v>20</v>
      </c>
      <c r="V95" s="66">
        <f t="shared" si="38"/>
        <v>290</v>
      </c>
      <c r="W95" s="67">
        <f t="shared" si="39"/>
        <v>0</v>
      </c>
    </row>
    <row r="96" spans="1:23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36"/>
        <v>0</v>
      </c>
      <c r="H96" s="4">
        <f t="shared" si="37"/>
        <v>0</v>
      </c>
      <c r="K96" s="53">
        <v>743</v>
      </c>
      <c r="L96" s="53">
        <v>453</v>
      </c>
      <c r="M96" s="53">
        <v>2025</v>
      </c>
      <c r="N96" s="47" t="s">
        <v>20</v>
      </c>
      <c r="O96" s="48">
        <v>290</v>
      </c>
      <c r="P96" s="49">
        <v>0</v>
      </c>
      <c r="R96" s="64">
        <v>743</v>
      </c>
      <c r="S96" s="64">
        <v>453</v>
      </c>
      <c r="T96" s="64">
        <v>2025</v>
      </c>
      <c r="U96" s="74" t="s">
        <v>20</v>
      </c>
      <c r="V96" s="66">
        <f t="shared" si="38"/>
        <v>290</v>
      </c>
      <c r="W96" s="67">
        <f t="shared" si="39"/>
        <v>0</v>
      </c>
    </row>
    <row r="97" spans="1:23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36"/>
        <v>0</v>
      </c>
      <c r="H97" s="4">
        <f t="shared" si="37"/>
        <v>0</v>
      </c>
      <c r="K97" s="53">
        <v>743</v>
      </c>
      <c r="L97" s="53">
        <v>453</v>
      </c>
      <c r="M97" s="53">
        <v>2025</v>
      </c>
      <c r="N97" s="47" t="s">
        <v>20</v>
      </c>
      <c r="O97" s="48">
        <v>290</v>
      </c>
      <c r="P97" s="49">
        <v>0</v>
      </c>
      <c r="R97" s="64">
        <v>743</v>
      </c>
      <c r="S97" s="64">
        <v>453</v>
      </c>
      <c r="T97" s="64">
        <v>2025</v>
      </c>
      <c r="U97" s="74" t="s">
        <v>20</v>
      </c>
      <c r="V97" s="66">
        <f t="shared" si="38"/>
        <v>290</v>
      </c>
      <c r="W97" s="67">
        <f t="shared" si="39"/>
        <v>0</v>
      </c>
    </row>
    <row r="98" spans="1:23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36"/>
        <v>0</v>
      </c>
      <c r="H98" s="4">
        <f t="shared" si="37"/>
        <v>0</v>
      </c>
      <c r="K98" s="53">
        <v>743</v>
      </c>
      <c r="L98" s="53">
        <v>453</v>
      </c>
      <c r="M98" s="53">
        <v>2025</v>
      </c>
      <c r="N98" s="47" t="s">
        <v>20</v>
      </c>
      <c r="O98" s="48">
        <v>290</v>
      </c>
      <c r="P98" s="49">
        <v>0</v>
      </c>
      <c r="R98" s="64">
        <v>743</v>
      </c>
      <c r="S98" s="64">
        <v>453</v>
      </c>
      <c r="T98" s="64">
        <v>2025</v>
      </c>
      <c r="U98" s="74" t="s">
        <v>20</v>
      </c>
      <c r="V98" s="66">
        <f t="shared" si="38"/>
        <v>290</v>
      </c>
      <c r="W98" s="67">
        <f t="shared" si="39"/>
        <v>0</v>
      </c>
    </row>
  </sheetData>
  <protectedRanges>
    <protectedRange sqref="C1:E98" name="Textbooks"/>
    <protectedRange sqref="F1:F98" name="SOURCE"/>
    <protectedRange sqref="R1:T98" name="Textbooks_1"/>
    <protectedRange sqref="U1:U98" name="SOURCE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 T2:T6 T8:T12 T14:T19 T21:T29 T31:T39 T41:T49 T51:T59 T61:T69 T71:T79 T81:T89 T91:T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 U2:U6 U8:U12 U14:U19 U21:U29 U31:U39 U41:U49 U51:U59 U61:U69 U71:U79 U81:U89 U91:U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E93" zoomScale="70" zoomScaleNormal="70" workbookViewId="0">
      <selection activeCell="E9" sqref="E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6" t="s">
        <v>33</v>
      </c>
      <c r="E1" s="56"/>
      <c r="F1" s="56"/>
      <c r="G1" s="56"/>
      <c r="H1" s="56"/>
      <c r="I1" s="56"/>
      <c r="J1" s="57" t="s">
        <v>34</v>
      </c>
      <c r="K1" s="57"/>
      <c r="L1" s="57"/>
      <c r="M1" s="57"/>
      <c r="N1" s="57"/>
      <c r="O1" s="57"/>
      <c r="P1" s="58" t="s">
        <v>35</v>
      </c>
      <c r="Q1" s="58"/>
      <c r="R1" s="58"/>
      <c r="S1" s="58"/>
      <c r="T1" s="58"/>
      <c r="U1" s="58"/>
      <c r="V1" s="59" t="s">
        <v>36</v>
      </c>
      <c r="W1" s="59"/>
      <c r="X1" s="59"/>
      <c r="Y1" s="59"/>
      <c r="Z1" s="59"/>
      <c r="AA1" s="59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42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83" zoomScale="55" zoomScaleNormal="55" workbookViewId="0">
      <selection activeCell="D67" sqref="D67:O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6" t="s">
        <v>33</v>
      </c>
      <c r="E1" s="56"/>
      <c r="F1" s="56"/>
      <c r="G1" s="56"/>
      <c r="H1" s="56"/>
      <c r="I1" s="56"/>
      <c r="J1" s="57" t="s">
        <v>34</v>
      </c>
      <c r="K1" s="57"/>
      <c r="L1" s="57"/>
      <c r="M1" s="57"/>
      <c r="N1" s="57"/>
      <c r="O1" s="57"/>
      <c r="P1" s="58" t="s">
        <v>35</v>
      </c>
      <c r="Q1" s="58"/>
      <c r="R1" s="58"/>
      <c r="S1" s="58"/>
      <c r="T1" s="58"/>
      <c r="U1" s="58"/>
      <c r="V1" s="59" t="s">
        <v>36</v>
      </c>
      <c r="W1" s="59"/>
      <c r="X1" s="59"/>
      <c r="Y1" s="59"/>
      <c r="Z1" s="59"/>
      <c r="AA1" s="59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6.75" hidden="1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21">
      <c r="A67" s="10">
        <v>7</v>
      </c>
      <c r="B67" s="11" t="s">
        <v>14</v>
      </c>
      <c r="C67" s="10"/>
      <c r="D67" s="47">
        <v>0</v>
      </c>
      <c r="E67" s="47" t="s">
        <v>91</v>
      </c>
      <c r="F67" s="46"/>
      <c r="G67" s="47"/>
      <c r="H67" s="47">
        <v>0</v>
      </c>
      <c r="I67" s="47">
        <v>0</v>
      </c>
      <c r="J67" s="47"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1">
      <c r="A68" s="10">
        <v>7</v>
      </c>
      <c r="B68" s="11" t="s">
        <v>15</v>
      </c>
      <c r="C68" s="10"/>
      <c r="D68" s="47">
        <v>0</v>
      </c>
      <c r="E68" s="47">
        <v>60</v>
      </c>
      <c r="F68" s="46">
        <v>2025</v>
      </c>
      <c r="G68" s="47" t="s">
        <v>92</v>
      </c>
      <c r="H68" s="47">
        <v>0</v>
      </c>
      <c r="I68" s="47">
        <v>60</v>
      </c>
      <c r="J68" s="47"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47">
        <v>0</v>
      </c>
      <c r="E69" s="47"/>
      <c r="F69" s="46"/>
      <c r="G69" s="47"/>
      <c r="H69" s="47">
        <v>0</v>
      </c>
      <c r="I69" s="47">
        <v>0</v>
      </c>
      <c r="J69" s="47"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47">
        <v>0</v>
      </c>
      <c r="E70" s="47"/>
      <c r="F70" s="46"/>
      <c r="G70" s="47"/>
      <c r="H70" s="47">
        <v>0</v>
      </c>
      <c r="I70" s="47">
        <v>0</v>
      </c>
      <c r="J70" s="47"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1.5" customHeight="1">
      <c r="A71" s="10">
        <v>7</v>
      </c>
      <c r="B71" s="11" t="s">
        <v>16</v>
      </c>
      <c r="C71" s="10"/>
      <c r="D71" s="47">
        <v>0</v>
      </c>
      <c r="E71" s="47"/>
      <c r="F71" s="46"/>
      <c r="G71" s="47"/>
      <c r="H71" s="47">
        <v>0</v>
      </c>
      <c r="I71" s="47">
        <v>0</v>
      </c>
      <c r="J71" s="47"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47">
        <v>0</v>
      </c>
      <c r="E72" s="47"/>
      <c r="F72" s="46"/>
      <c r="G72" s="47"/>
      <c r="H72" s="47">
        <v>0</v>
      </c>
      <c r="I72" s="47">
        <v>0</v>
      </c>
      <c r="J72" s="47"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47">
        <v>0</v>
      </c>
      <c r="E73" s="47"/>
      <c r="F73" s="46"/>
      <c r="G73" s="47"/>
      <c r="H73" s="47">
        <v>0</v>
      </c>
      <c r="I73" s="47">
        <v>0</v>
      </c>
      <c r="J73" s="47"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47">
        <v>0</v>
      </c>
      <c r="E74" s="47"/>
      <c r="F74" s="46"/>
      <c r="G74" s="47"/>
      <c r="H74" s="47">
        <v>0</v>
      </c>
      <c r="I74" s="47">
        <v>0</v>
      </c>
      <c r="J74" s="47"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47">
        <v>0</v>
      </c>
      <c r="E75" s="47"/>
      <c r="F75" s="46"/>
      <c r="G75" s="47"/>
      <c r="H75" s="47">
        <v>0</v>
      </c>
      <c r="I75" s="47">
        <v>0</v>
      </c>
      <c r="J75" s="47"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47">
        <v>0</v>
      </c>
      <c r="E76" s="47"/>
      <c r="F76" s="46"/>
      <c r="G76" s="47"/>
      <c r="H76" s="47">
        <v>0</v>
      </c>
      <c r="I76" s="47">
        <v>0</v>
      </c>
      <c r="J76" s="47"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47">
        <v>0</v>
      </c>
      <c r="E77" s="47"/>
      <c r="F77" s="46"/>
      <c r="G77" s="47"/>
      <c r="H77" s="47">
        <v>0</v>
      </c>
      <c r="I77" s="47">
        <v>0</v>
      </c>
      <c r="J77" s="47"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>
      <c r="D78" s="51"/>
      <c r="E78" s="51"/>
      <c r="F78" s="51"/>
      <c r="G78" s="51"/>
      <c r="H78" s="51"/>
      <c r="I78" s="51"/>
      <c r="J78" s="51"/>
      <c r="K78" s="55"/>
      <c r="L78" s="55"/>
    </row>
    <row r="79" spans="1:27" ht="19.5">
      <c r="A79" s="10">
        <v>8</v>
      </c>
      <c r="B79" s="11" t="s">
        <v>14</v>
      </c>
      <c r="C79" s="10"/>
      <c r="D79" s="47">
        <v>0</v>
      </c>
      <c r="E79" s="47"/>
      <c r="F79" s="46"/>
      <c r="G79" s="47"/>
      <c r="H79" s="47">
        <v>0</v>
      </c>
      <c r="I79" s="47">
        <v>0</v>
      </c>
      <c r="J79" s="47"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47">
        <v>0</v>
      </c>
      <c r="E80" s="47"/>
      <c r="F80" s="46"/>
      <c r="G80" s="47"/>
      <c r="H80" s="47">
        <v>0</v>
      </c>
      <c r="I80" s="47">
        <v>0</v>
      </c>
      <c r="J80" s="47"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47">
        <v>0</v>
      </c>
      <c r="E81" s="47"/>
      <c r="F81" s="46"/>
      <c r="G81" s="47"/>
      <c r="H81" s="47">
        <v>0</v>
      </c>
      <c r="I81" s="47">
        <v>0</v>
      </c>
      <c r="J81" s="47"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47">
        <v>0</v>
      </c>
      <c r="E82" s="47"/>
      <c r="F82" s="46"/>
      <c r="G82" s="47"/>
      <c r="H82" s="47">
        <v>0</v>
      </c>
      <c r="I82" s="47">
        <v>0</v>
      </c>
      <c r="J82" s="47"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47">
        <v>0</v>
      </c>
      <c r="E83" s="47"/>
      <c r="F83" s="46"/>
      <c r="G83" s="47"/>
      <c r="H83" s="47">
        <v>0</v>
      </c>
      <c r="I83" s="47">
        <v>0</v>
      </c>
      <c r="J83" s="47"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47">
        <v>0</v>
      </c>
      <c r="E84" s="47"/>
      <c r="F84" s="46"/>
      <c r="G84" s="47"/>
      <c r="H84" s="47">
        <v>0</v>
      </c>
      <c r="I84" s="47">
        <v>0</v>
      </c>
      <c r="J84" s="47">
        <v>0</v>
      </c>
      <c r="K84" s="12"/>
      <c r="L84" s="10"/>
      <c r="M84" s="12"/>
      <c r="N84" s="12">
        <f t="shared" ref="N84:N89" si="22">IF((J84-K84)&lt;0,0,(J84-K84))</f>
        <v>0</v>
      </c>
      <c r="O84" s="12">
        <f t="shared" ref="O84:O89" si="23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47">
        <v>0</v>
      </c>
      <c r="E85" s="47"/>
      <c r="F85" s="46"/>
      <c r="G85" s="47"/>
      <c r="H85" s="47">
        <v>0</v>
      </c>
      <c r="I85" s="47">
        <v>0</v>
      </c>
      <c r="J85" s="47">
        <v>0</v>
      </c>
      <c r="K85" s="12"/>
      <c r="L85" s="10"/>
      <c r="M85" s="12"/>
      <c r="N85" s="12">
        <f t="shared" si="22"/>
        <v>0</v>
      </c>
      <c r="O85" s="12">
        <f t="shared" si="23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47">
        <v>0</v>
      </c>
      <c r="E86" s="47"/>
      <c r="F86" s="46"/>
      <c r="G86" s="47"/>
      <c r="H86" s="47">
        <v>0</v>
      </c>
      <c r="I86" s="47">
        <v>0</v>
      </c>
      <c r="J86" s="47">
        <v>0</v>
      </c>
      <c r="K86" s="12"/>
      <c r="L86" s="10"/>
      <c r="M86" s="12"/>
      <c r="N86" s="12">
        <f t="shared" si="22"/>
        <v>0</v>
      </c>
      <c r="O86" s="12">
        <f t="shared" si="23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47">
        <v>0</v>
      </c>
      <c r="E87" s="47"/>
      <c r="F87" s="46"/>
      <c r="G87" s="47"/>
      <c r="H87" s="47">
        <v>0</v>
      </c>
      <c r="I87" s="47">
        <v>0</v>
      </c>
      <c r="J87" s="47">
        <v>0</v>
      </c>
      <c r="K87" s="12"/>
      <c r="L87" s="10"/>
      <c r="M87" s="12"/>
      <c r="N87" s="12">
        <f t="shared" si="22"/>
        <v>0</v>
      </c>
      <c r="O87" s="12">
        <f t="shared" si="23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47">
        <v>0</v>
      </c>
      <c r="E88" s="47"/>
      <c r="F88" s="46"/>
      <c r="G88" s="47"/>
      <c r="H88" s="47">
        <v>0</v>
      </c>
      <c r="I88" s="47">
        <v>0</v>
      </c>
      <c r="J88" s="47">
        <v>0</v>
      </c>
      <c r="K88" s="12"/>
      <c r="L88" s="10"/>
      <c r="M88" s="12"/>
      <c r="N88" s="12">
        <f t="shared" si="22"/>
        <v>0</v>
      </c>
      <c r="O88" s="12">
        <f t="shared" si="23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47">
        <v>0</v>
      </c>
      <c r="E89" s="47"/>
      <c r="F89" s="46"/>
      <c r="G89" s="47"/>
      <c r="H89" s="47">
        <v>0</v>
      </c>
      <c r="I89" s="47">
        <v>0</v>
      </c>
      <c r="J89" s="47">
        <v>0</v>
      </c>
      <c r="K89" s="12"/>
      <c r="L89" s="10"/>
      <c r="M89" s="12"/>
      <c r="N89" s="12">
        <f t="shared" si="22"/>
        <v>0</v>
      </c>
      <c r="O89" s="12">
        <f t="shared" si="23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>
      <c r="D90" s="51"/>
      <c r="E90" s="51"/>
      <c r="F90" s="51"/>
      <c r="G90" s="51"/>
      <c r="H90" s="51"/>
      <c r="I90" s="51"/>
      <c r="J90" s="51"/>
      <c r="K90" s="55"/>
      <c r="L90" s="55"/>
    </row>
    <row r="91" spans="1:27" ht="19.5">
      <c r="A91" s="10">
        <v>9</v>
      </c>
      <c r="B91" s="11" t="s">
        <v>14</v>
      </c>
      <c r="C91" s="10"/>
      <c r="D91" s="47">
        <v>0</v>
      </c>
      <c r="E91" s="47"/>
      <c r="F91" s="46"/>
      <c r="G91" s="47"/>
      <c r="H91" s="47">
        <v>0</v>
      </c>
      <c r="I91" s="47">
        <v>0</v>
      </c>
      <c r="J91" s="47"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1">
      <c r="A92" s="10">
        <v>9</v>
      </c>
      <c r="B92" s="11" t="s">
        <v>15</v>
      </c>
      <c r="C92" s="10"/>
      <c r="D92" s="47">
        <v>723</v>
      </c>
      <c r="E92" s="47">
        <v>195</v>
      </c>
      <c r="F92" s="46">
        <v>2025</v>
      </c>
      <c r="G92" s="47" t="s">
        <v>92</v>
      </c>
      <c r="H92" s="47">
        <v>528</v>
      </c>
      <c r="I92" s="47">
        <v>0</v>
      </c>
      <c r="J92" s="47"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1">
      <c r="A93" s="10">
        <v>9</v>
      </c>
      <c r="B93" s="11" t="s">
        <v>12</v>
      </c>
      <c r="C93" s="10"/>
      <c r="D93" s="47">
        <v>723</v>
      </c>
      <c r="E93" s="47">
        <v>195</v>
      </c>
      <c r="F93" s="46">
        <v>2025</v>
      </c>
      <c r="G93" s="47" t="s">
        <v>92</v>
      </c>
      <c r="H93" s="47">
        <v>528</v>
      </c>
      <c r="I93" s="47">
        <v>0</v>
      </c>
      <c r="J93" s="47"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47">
        <v>0</v>
      </c>
      <c r="E94" s="47"/>
      <c r="F94" s="46"/>
      <c r="G94" s="47"/>
      <c r="H94" s="47">
        <v>0</v>
      </c>
      <c r="I94" s="47">
        <v>0</v>
      </c>
      <c r="J94" s="47"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47">
        <v>0</v>
      </c>
      <c r="E95" s="47"/>
      <c r="F95" s="46"/>
      <c r="G95" s="47"/>
      <c r="H95" s="47">
        <v>0</v>
      </c>
      <c r="I95" s="47">
        <v>0</v>
      </c>
      <c r="J95" s="47"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47">
        <v>0</v>
      </c>
      <c r="E96" s="47"/>
      <c r="F96" s="46"/>
      <c r="G96" s="47"/>
      <c r="H96" s="47">
        <v>0</v>
      </c>
      <c r="I96" s="47">
        <v>0</v>
      </c>
      <c r="J96" s="47"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47">
        <v>0</v>
      </c>
      <c r="E97" s="47"/>
      <c r="F97" s="46"/>
      <c r="G97" s="47"/>
      <c r="H97" s="47">
        <v>0</v>
      </c>
      <c r="I97" s="47">
        <v>0</v>
      </c>
      <c r="J97" s="47">
        <v>0</v>
      </c>
      <c r="K97" s="12"/>
      <c r="L97" s="10"/>
      <c r="M97" s="12"/>
      <c r="N97" s="12">
        <f t="shared" ref="N97:N101" si="24">IF((J97-K97)&lt;0,0,(J97-K97))</f>
        <v>0</v>
      </c>
      <c r="O97" s="12">
        <f t="shared" ref="O97:O101" si="25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47">
        <v>0</v>
      </c>
      <c r="E98" s="47"/>
      <c r="F98" s="46"/>
      <c r="G98" s="47"/>
      <c r="H98" s="47">
        <v>0</v>
      </c>
      <c r="I98" s="47">
        <v>0</v>
      </c>
      <c r="J98" s="47">
        <v>0</v>
      </c>
      <c r="K98" s="12"/>
      <c r="L98" s="10"/>
      <c r="M98" s="12"/>
      <c r="N98" s="12">
        <f t="shared" si="24"/>
        <v>0</v>
      </c>
      <c r="O98" s="12">
        <f t="shared" si="25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47">
        <v>0</v>
      </c>
      <c r="E99" s="47"/>
      <c r="F99" s="46"/>
      <c r="G99" s="47"/>
      <c r="H99" s="47">
        <v>0</v>
      </c>
      <c r="I99" s="47">
        <v>0</v>
      </c>
      <c r="J99" s="47">
        <v>0</v>
      </c>
      <c r="K99" s="12"/>
      <c r="L99" s="10"/>
      <c r="M99" s="12"/>
      <c r="N99" s="12">
        <f t="shared" si="24"/>
        <v>0</v>
      </c>
      <c r="O99" s="12">
        <f t="shared" si="25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47">
        <v>0</v>
      </c>
      <c r="E100" s="47"/>
      <c r="F100" s="46"/>
      <c r="G100" s="47"/>
      <c r="H100" s="47">
        <v>0</v>
      </c>
      <c r="I100" s="47">
        <v>0</v>
      </c>
      <c r="J100" s="47">
        <v>0</v>
      </c>
      <c r="K100" s="12"/>
      <c r="L100" s="10"/>
      <c r="M100" s="12"/>
      <c r="N100" s="12">
        <f t="shared" si="24"/>
        <v>0</v>
      </c>
      <c r="O100" s="12">
        <f t="shared" si="25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47">
        <v>0</v>
      </c>
      <c r="E101" s="47"/>
      <c r="F101" s="46"/>
      <c r="G101" s="47"/>
      <c r="H101" s="47">
        <v>0</v>
      </c>
      <c r="I101" s="47">
        <v>0</v>
      </c>
      <c r="J101" s="47">
        <v>0</v>
      </c>
      <c r="K101" s="12"/>
      <c r="L101" s="10"/>
      <c r="M101" s="12"/>
      <c r="N101" s="12">
        <f t="shared" si="24"/>
        <v>0</v>
      </c>
      <c r="O101" s="12">
        <f t="shared" si="25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>
      <c r="D102" s="51"/>
      <c r="E102" s="51"/>
      <c r="F102" s="51"/>
      <c r="G102" s="51"/>
      <c r="H102" s="51"/>
      <c r="I102" s="51"/>
      <c r="J102" s="51"/>
      <c r="K102" s="55"/>
      <c r="L102" s="55"/>
    </row>
    <row r="103" spans="1:27" ht="21">
      <c r="A103" s="10">
        <v>10</v>
      </c>
      <c r="B103" s="11" t="s">
        <v>14</v>
      </c>
      <c r="C103" s="10"/>
      <c r="D103" s="47">
        <v>944</v>
      </c>
      <c r="E103" s="47">
        <v>260</v>
      </c>
      <c r="F103" s="46">
        <v>2025</v>
      </c>
      <c r="G103" s="47" t="s">
        <v>92</v>
      </c>
      <c r="H103" s="47">
        <v>684</v>
      </c>
      <c r="I103" s="47">
        <v>0</v>
      </c>
      <c r="J103" s="47"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1">
      <c r="A104" s="10">
        <v>10</v>
      </c>
      <c r="B104" s="11" t="s">
        <v>15</v>
      </c>
      <c r="C104" s="10"/>
      <c r="D104" s="47">
        <v>944</v>
      </c>
      <c r="E104" s="47">
        <v>260</v>
      </c>
      <c r="F104" s="46">
        <v>2025</v>
      </c>
      <c r="G104" s="47" t="s">
        <v>92</v>
      </c>
      <c r="H104" s="47">
        <v>684</v>
      </c>
      <c r="I104" s="47">
        <v>0</v>
      </c>
      <c r="J104" s="47"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1">
      <c r="A105" s="10">
        <v>10</v>
      </c>
      <c r="B105" s="11" t="s">
        <v>12</v>
      </c>
      <c r="C105" s="10"/>
      <c r="D105" s="47">
        <v>944</v>
      </c>
      <c r="E105" s="47">
        <v>260</v>
      </c>
      <c r="F105" s="46">
        <v>2025</v>
      </c>
      <c r="G105" s="47" t="s">
        <v>92</v>
      </c>
      <c r="H105" s="47">
        <v>684</v>
      </c>
      <c r="I105" s="47">
        <v>0</v>
      </c>
      <c r="J105" s="47"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47">
        <v>944</v>
      </c>
      <c r="E106" s="47"/>
      <c r="F106" s="46"/>
      <c r="G106" s="47"/>
      <c r="H106" s="47">
        <v>944</v>
      </c>
      <c r="I106" s="47">
        <v>0</v>
      </c>
      <c r="J106" s="47"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47">
        <v>944</v>
      </c>
      <c r="E107" s="47"/>
      <c r="F107" s="46"/>
      <c r="G107" s="47"/>
      <c r="H107" s="47">
        <v>944</v>
      </c>
      <c r="I107" s="47">
        <v>0</v>
      </c>
      <c r="J107" s="47"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47">
        <v>944</v>
      </c>
      <c r="E108" s="47"/>
      <c r="F108" s="46"/>
      <c r="G108" s="47"/>
      <c r="H108" s="47">
        <v>944</v>
      </c>
      <c r="I108" s="47">
        <v>0</v>
      </c>
      <c r="J108" s="47"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47">
        <v>944</v>
      </c>
      <c r="E109" s="47"/>
      <c r="F109" s="46"/>
      <c r="G109" s="47"/>
      <c r="H109" s="47">
        <v>944</v>
      </c>
      <c r="I109" s="47">
        <v>0</v>
      </c>
      <c r="J109" s="47">
        <v>0</v>
      </c>
      <c r="K109" s="12"/>
      <c r="L109" s="10"/>
      <c r="M109" s="12"/>
      <c r="N109" s="12">
        <f t="shared" ref="N109:N113" si="26">IF((J109-K109)&lt;0,0,(J109-K109))</f>
        <v>0</v>
      </c>
      <c r="O109" s="12">
        <f t="shared" ref="O109:O113" si="27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47">
        <v>944</v>
      </c>
      <c r="E110" s="47"/>
      <c r="F110" s="46"/>
      <c r="G110" s="47"/>
      <c r="H110" s="47">
        <v>944</v>
      </c>
      <c r="I110" s="47">
        <v>0</v>
      </c>
      <c r="J110" s="47">
        <v>0</v>
      </c>
      <c r="K110" s="12"/>
      <c r="L110" s="10"/>
      <c r="M110" s="12"/>
      <c r="N110" s="12">
        <f t="shared" si="26"/>
        <v>0</v>
      </c>
      <c r="O110" s="12">
        <f t="shared" si="27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47">
        <v>944</v>
      </c>
      <c r="E111" s="47"/>
      <c r="F111" s="46"/>
      <c r="G111" s="47"/>
      <c r="H111" s="47">
        <v>944</v>
      </c>
      <c r="I111" s="47">
        <v>0</v>
      </c>
      <c r="J111" s="47">
        <v>0</v>
      </c>
      <c r="K111" s="12"/>
      <c r="L111" s="10"/>
      <c r="M111" s="12"/>
      <c r="N111" s="12">
        <f t="shared" si="26"/>
        <v>0</v>
      </c>
      <c r="O111" s="12">
        <f t="shared" si="27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47">
        <v>944</v>
      </c>
      <c r="E112" s="47"/>
      <c r="F112" s="46"/>
      <c r="G112" s="47"/>
      <c r="H112" s="47">
        <v>944</v>
      </c>
      <c r="I112" s="47">
        <v>0</v>
      </c>
      <c r="J112" s="47">
        <v>0</v>
      </c>
      <c r="K112" s="12"/>
      <c r="L112" s="10"/>
      <c r="M112" s="12"/>
      <c r="N112" s="12">
        <f t="shared" si="26"/>
        <v>0</v>
      </c>
      <c r="O112" s="12">
        <f t="shared" si="27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47">
        <v>944</v>
      </c>
      <c r="E113" s="47"/>
      <c r="F113" s="46"/>
      <c r="G113" s="47"/>
      <c r="H113" s="47">
        <v>944</v>
      </c>
      <c r="I113" s="47">
        <v>0</v>
      </c>
      <c r="J113" s="47">
        <v>0</v>
      </c>
      <c r="K113" s="12"/>
      <c r="L113" s="10"/>
      <c r="M113" s="12"/>
      <c r="N113" s="12">
        <f t="shared" si="26"/>
        <v>0</v>
      </c>
      <c r="O113" s="12">
        <f t="shared" si="27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D114" s="55"/>
      <c r="E114" s="55"/>
      <c r="F114" s="55"/>
      <c r="G114" s="55"/>
      <c r="H114" s="55"/>
      <c r="I114" s="55"/>
      <c r="J114" s="55"/>
      <c r="K114" s="55"/>
      <c r="L114" s="55"/>
    </row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ref="H84:H122" si="28">IF((D115-E115)&lt;0,0,(D115-E115))</f>
        <v>0</v>
      </c>
      <c r="I115" s="5">
        <f t="shared" ref="I84:I122" si="29">IF((E115-D115)&lt;0,0,(E115-D115))</f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8"/>
        <v>0</v>
      </c>
      <c r="I116" s="5">
        <f t="shared" si="29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8"/>
        <v>0</v>
      </c>
      <c r="I117" s="5">
        <f t="shared" si="29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8"/>
        <v>0</v>
      </c>
      <c r="I118" s="5">
        <f t="shared" si="29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8"/>
        <v>0</v>
      </c>
      <c r="I119" s="5">
        <f t="shared" si="29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8"/>
        <v>0</v>
      </c>
      <c r="I120" s="5">
        <f t="shared" si="29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8"/>
        <v>0</v>
      </c>
      <c r="I121" s="5">
        <f t="shared" si="29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8"/>
        <v>0</v>
      </c>
      <c r="I122" s="5">
        <f t="shared" si="29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Y103:Y113 Y67:Y77 S67:S77 S79:S89 M79:M89 S103:S113 Y79:Y89 Y91:Y101 S91:S101 M91:M101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115:F122 R115:R122 F55:F65 F3:F10 L115:L122 X115:X122 F12:F1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2025-12-12T03:50:10Z</dcterms:modified>
  <cp:category/>
  <cp:contentStatus/>
</cp:coreProperties>
</file>