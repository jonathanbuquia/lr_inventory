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1" documentId="13_ncr:1_{BFB59F67-F0DC-4675-A682-EB0734A8026A}" xr6:coauthVersionLast="47" xr6:coauthVersionMax="47" xr10:uidLastSave="{6223D019-6360-4F7D-99BB-AEAFDB55D67E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" l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19" i="1"/>
  <c r="V19" i="1"/>
  <c r="W18" i="1"/>
  <c r="V18" i="1"/>
  <c r="W17" i="1"/>
  <c r="V17" i="1"/>
  <c r="W16" i="1"/>
  <c r="V16" i="1"/>
  <c r="W15" i="1"/>
  <c r="V15" i="1"/>
  <c r="W14" i="1"/>
  <c r="V14" i="1"/>
  <c r="W12" i="1"/>
  <c r="V12" i="1"/>
  <c r="W11" i="1"/>
  <c r="V11" i="1"/>
  <c r="W10" i="1"/>
  <c r="V10" i="1"/>
  <c r="W9" i="1"/>
  <c r="V9" i="1"/>
  <c r="W8" i="1"/>
  <c r="V8" i="1"/>
  <c r="W6" i="1"/>
  <c r="V6" i="1"/>
  <c r="W5" i="1"/>
  <c r="V5" i="1"/>
  <c r="W4" i="1"/>
  <c r="V4" i="1"/>
  <c r="W3" i="1"/>
  <c r="V3" i="1"/>
  <c r="W2" i="1"/>
  <c r="V2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U112" i="5"/>
  <c r="T112" i="5"/>
  <c r="V112" i="5"/>
  <c r="Z112" i="5" s="1"/>
  <c r="U109" i="5"/>
  <c r="V109" i="5"/>
  <c r="Z109" i="5" s="1"/>
  <c r="T88" i="5"/>
  <c r="V88" i="5"/>
  <c r="Z88" i="5" s="1"/>
  <c r="T100" i="5"/>
  <c r="V100" i="5"/>
  <c r="Z100" i="5" s="1"/>
  <c r="V97" i="5"/>
  <c r="Z97" i="5" s="1"/>
  <c r="T85" i="5"/>
  <c r="V85" i="5"/>
  <c r="Z85" i="5" s="1"/>
  <c r="T76" i="5"/>
  <c r="V76" i="5"/>
  <c r="Z76" i="5" s="1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V111" i="5"/>
  <c r="Z111" i="5" s="1"/>
  <c r="V110" i="5"/>
  <c r="AA110" i="5" s="1"/>
  <c r="V108" i="5"/>
  <c r="Z108" i="5" s="1"/>
  <c r="P108" i="5"/>
  <c r="N108" i="5"/>
  <c r="V107" i="5"/>
  <c r="AA107" i="5" s="1"/>
  <c r="P107" i="5"/>
  <c r="U107" i="5" s="1"/>
  <c r="O107" i="5"/>
  <c r="V106" i="5"/>
  <c r="Z106" i="5" s="1"/>
  <c r="P106" i="5"/>
  <c r="N106" i="5"/>
  <c r="V105" i="5"/>
  <c r="AA105" i="5" s="1"/>
  <c r="P105" i="5"/>
  <c r="U105" i="5" s="1"/>
  <c r="O105" i="5"/>
  <c r="V104" i="5"/>
  <c r="AA104" i="5" s="1"/>
  <c r="P104" i="5"/>
  <c r="N104" i="5"/>
  <c r="V103" i="5"/>
  <c r="AA103" i="5" s="1"/>
  <c r="P103" i="5"/>
  <c r="U103" i="5" s="1"/>
  <c r="O103" i="5"/>
  <c r="V101" i="5"/>
  <c r="AA101" i="5" s="1"/>
  <c r="V99" i="5"/>
  <c r="AA99" i="5" s="1"/>
  <c r="U99" i="5"/>
  <c r="V98" i="5"/>
  <c r="AA98" i="5" s="1"/>
  <c r="V96" i="5"/>
  <c r="AA96" i="5" s="1"/>
  <c r="P96" i="5"/>
  <c r="U96" i="5" s="1"/>
  <c r="O96" i="5"/>
  <c r="V95" i="5"/>
  <c r="AA95" i="5" s="1"/>
  <c r="P95" i="5"/>
  <c r="N95" i="5"/>
  <c r="V94" i="5"/>
  <c r="AA94" i="5" s="1"/>
  <c r="P94" i="5"/>
  <c r="U94" i="5" s="1"/>
  <c r="O94" i="5"/>
  <c r="V93" i="5"/>
  <c r="AA93" i="5" s="1"/>
  <c r="P93" i="5"/>
  <c r="N93" i="5"/>
  <c r="V92" i="5"/>
  <c r="AA92" i="5" s="1"/>
  <c r="P92" i="5"/>
  <c r="U92" i="5" s="1"/>
  <c r="O92" i="5"/>
  <c r="V91" i="5"/>
  <c r="AA91" i="5" s="1"/>
  <c r="P91" i="5"/>
  <c r="N91" i="5"/>
  <c r="V89" i="5"/>
  <c r="AA89" i="5" s="1"/>
  <c r="U89" i="5"/>
  <c r="V87" i="5"/>
  <c r="AA87" i="5" s="1"/>
  <c r="V86" i="5"/>
  <c r="AA86" i="5" s="1"/>
  <c r="U86" i="5"/>
  <c r="V84" i="5"/>
  <c r="AA84" i="5" s="1"/>
  <c r="V83" i="5"/>
  <c r="AA83" i="5" s="1"/>
  <c r="P83" i="5"/>
  <c r="U83" i="5" s="1"/>
  <c r="O83" i="5"/>
  <c r="V82" i="5"/>
  <c r="Z82" i="5" s="1"/>
  <c r="P82" i="5"/>
  <c r="N82" i="5"/>
  <c r="V81" i="5"/>
  <c r="AA81" i="5" s="1"/>
  <c r="P81" i="5"/>
  <c r="U81" i="5" s="1"/>
  <c r="O81" i="5"/>
  <c r="V80" i="5"/>
  <c r="AA80" i="5" s="1"/>
  <c r="P80" i="5"/>
  <c r="U80" i="5" s="1"/>
  <c r="N80" i="5"/>
  <c r="V79" i="5"/>
  <c r="AA79" i="5" s="1"/>
  <c r="P79" i="5"/>
  <c r="U79" i="5" s="1"/>
  <c r="V77" i="5"/>
  <c r="AA77" i="5" s="1"/>
  <c r="U77" i="5"/>
  <c r="V75" i="5"/>
  <c r="AA75" i="5" s="1"/>
  <c r="U75" i="5"/>
  <c r="V74" i="5"/>
  <c r="Z74" i="5" s="1"/>
  <c r="U74" i="5"/>
  <c r="V72" i="5"/>
  <c r="Z72" i="5" s="1"/>
  <c r="U72" i="5"/>
  <c r="V71" i="5"/>
  <c r="AA71" i="5" s="1"/>
  <c r="U71" i="5"/>
  <c r="V70" i="5"/>
  <c r="AA70" i="5" s="1"/>
  <c r="P70" i="5"/>
  <c r="U70" i="5" s="1"/>
  <c r="V69" i="5"/>
  <c r="AA69" i="5" s="1"/>
  <c r="P69" i="5"/>
  <c r="U69" i="5" s="1"/>
  <c r="N69" i="5"/>
  <c r="V68" i="5"/>
  <c r="AA68" i="5" s="1"/>
  <c r="P68" i="5"/>
  <c r="U68" i="5" s="1"/>
  <c r="V67" i="5"/>
  <c r="AA67" i="5" s="1"/>
  <c r="P67" i="5"/>
  <c r="U67" i="5" s="1"/>
  <c r="N67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5" i="4"/>
  <c r="Z5" i="4" s="1"/>
  <c r="V6" i="4"/>
  <c r="Z6" i="4" s="1"/>
  <c r="V7" i="4"/>
  <c r="AA7" i="4" s="1"/>
  <c r="V8" i="4"/>
  <c r="Z8" i="4" s="1"/>
  <c r="V9" i="4"/>
  <c r="Z9" i="4" s="1"/>
  <c r="V10" i="4"/>
  <c r="Z10" i="4" s="1"/>
  <c r="V11" i="4"/>
  <c r="AA11" i="4" s="1"/>
  <c r="V12" i="4"/>
  <c r="Z12" i="4" s="1"/>
  <c r="V13" i="4"/>
  <c r="Z13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2" i="4"/>
  <c r="AA22" i="4" s="1"/>
  <c r="V23" i="4"/>
  <c r="Z23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2" i="4"/>
  <c r="Z32" i="4" s="1"/>
  <c r="V33" i="4"/>
  <c r="AA33" i="4" s="1"/>
  <c r="V35" i="4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2" i="4"/>
  <c r="AA42" i="4" s="1"/>
  <c r="V43" i="4"/>
  <c r="V45" i="4"/>
  <c r="Z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2" i="4"/>
  <c r="V54" i="4"/>
  <c r="Z54" i="4" s="1"/>
  <c r="V55" i="4"/>
  <c r="Z55" i="4" s="1"/>
  <c r="V56" i="4"/>
  <c r="AA56" i="4" s="1"/>
  <c r="V57" i="4"/>
  <c r="Z57" i="4" s="1"/>
  <c r="V58" i="4"/>
  <c r="AA58" i="4" s="1"/>
  <c r="V59" i="4"/>
  <c r="Z59" i="4" s="1"/>
  <c r="V60" i="4"/>
  <c r="AA60" i="4" s="1"/>
  <c r="V61" i="4"/>
  <c r="V62" i="4"/>
  <c r="Z62" i="4" s="1"/>
  <c r="V63" i="4"/>
  <c r="Z63" i="4" s="1"/>
  <c r="V64" i="4"/>
  <c r="AA64" i="4" s="1"/>
  <c r="V65" i="4"/>
  <c r="Z65" i="4" s="1"/>
  <c r="V66" i="4"/>
  <c r="Z66" i="4" s="1"/>
  <c r="V67" i="4"/>
  <c r="Z67" i="4" s="1"/>
  <c r="V68" i="4"/>
  <c r="AA68" i="4" s="1"/>
  <c r="T69" i="4"/>
  <c r="U69" i="4"/>
  <c r="V69" i="4"/>
  <c r="P5" i="4"/>
  <c r="P6" i="4"/>
  <c r="U6" i="4" s="1"/>
  <c r="P7" i="4"/>
  <c r="T7" i="4" s="1"/>
  <c r="P8" i="4"/>
  <c r="T8" i="4" s="1"/>
  <c r="P9" i="4"/>
  <c r="P10" i="4"/>
  <c r="T10" i="4" s="1"/>
  <c r="P11" i="4"/>
  <c r="T11" i="4" s="1"/>
  <c r="P12" i="4"/>
  <c r="T12" i="4" s="1"/>
  <c r="P13" i="4"/>
  <c r="P15" i="4"/>
  <c r="U15" i="4" s="1"/>
  <c r="P16" i="4"/>
  <c r="T16" i="4" s="1"/>
  <c r="P17" i="4"/>
  <c r="T17" i="4" s="1"/>
  <c r="P18" i="4"/>
  <c r="P19" i="4"/>
  <c r="T19" i="4" s="1"/>
  <c r="P20" i="4"/>
  <c r="T20" i="4" s="1"/>
  <c r="P21" i="4"/>
  <c r="T21" i="4" s="1"/>
  <c r="P22" i="4"/>
  <c r="P23" i="4"/>
  <c r="U23" i="4" s="1"/>
  <c r="P25" i="4"/>
  <c r="T25" i="4" s="1"/>
  <c r="P26" i="4"/>
  <c r="T26" i="4" s="1"/>
  <c r="P27" i="4"/>
  <c r="P28" i="4"/>
  <c r="T28" i="4" s="1"/>
  <c r="P29" i="4"/>
  <c r="T29" i="4" s="1"/>
  <c r="P30" i="4"/>
  <c r="T30" i="4" s="1"/>
  <c r="P31" i="4"/>
  <c r="P32" i="4"/>
  <c r="U32" i="4" s="1"/>
  <c r="P33" i="4"/>
  <c r="T33" i="4" s="1"/>
  <c r="P35" i="4"/>
  <c r="T35" i="4" s="1"/>
  <c r="P36" i="4"/>
  <c r="P37" i="4"/>
  <c r="T37" i="4" s="1"/>
  <c r="P38" i="4"/>
  <c r="T38" i="4" s="1"/>
  <c r="P39" i="4"/>
  <c r="T39" i="4" s="1"/>
  <c r="P40" i="4"/>
  <c r="P41" i="4"/>
  <c r="U41" i="4" s="1"/>
  <c r="P42" i="4"/>
  <c r="T42" i="4" s="1"/>
  <c r="P43" i="4"/>
  <c r="T43" i="4" s="1"/>
  <c r="P45" i="4"/>
  <c r="P46" i="4"/>
  <c r="U46" i="4" s="1"/>
  <c r="P47" i="4"/>
  <c r="T47" i="4" s="1"/>
  <c r="P48" i="4"/>
  <c r="T48" i="4" s="1"/>
  <c r="P49" i="4"/>
  <c r="P50" i="4"/>
  <c r="U50" i="4" s="1"/>
  <c r="P51" i="4"/>
  <c r="T51" i="4" s="1"/>
  <c r="P52" i="4"/>
  <c r="T52" i="4" s="1"/>
  <c r="P54" i="4"/>
  <c r="P55" i="4"/>
  <c r="T55" i="4" s="1"/>
  <c r="P56" i="4"/>
  <c r="T56" i="4" s="1"/>
  <c r="P57" i="4"/>
  <c r="T57" i="4" s="1"/>
  <c r="P58" i="4"/>
  <c r="P59" i="4"/>
  <c r="U59" i="4" s="1"/>
  <c r="P60" i="4"/>
  <c r="T60" i="4" s="1"/>
  <c r="P61" i="4"/>
  <c r="T61" i="4" s="1"/>
  <c r="P62" i="4"/>
  <c r="P63" i="4"/>
  <c r="T63" i="4" s="1"/>
  <c r="P64" i="4"/>
  <c r="T64" i="4" s="1"/>
  <c r="P65" i="4"/>
  <c r="T65" i="4" s="1"/>
  <c r="P66" i="4"/>
  <c r="P67" i="4"/>
  <c r="U67" i="4" s="1"/>
  <c r="P68" i="4"/>
  <c r="T68" i="4" s="1"/>
  <c r="J5" i="4"/>
  <c r="N5" i="4" s="1"/>
  <c r="J6" i="4"/>
  <c r="O6" i="4" s="1"/>
  <c r="J7" i="4"/>
  <c r="O7" i="4" s="1"/>
  <c r="J8" i="4"/>
  <c r="N8" i="4" s="1"/>
  <c r="J9" i="4"/>
  <c r="N9" i="4" s="1"/>
  <c r="J10" i="4"/>
  <c r="N10" i="4" s="1"/>
  <c r="J11" i="4"/>
  <c r="O11" i="4" s="1"/>
  <c r="J12" i="4"/>
  <c r="N12" i="4" s="1"/>
  <c r="J13" i="4"/>
  <c r="N13" i="4" s="1"/>
  <c r="J15" i="4"/>
  <c r="O15" i="4" s="1"/>
  <c r="J16" i="4"/>
  <c r="O16" i="4" s="1"/>
  <c r="J17" i="4"/>
  <c r="N17" i="4" s="1"/>
  <c r="J18" i="4"/>
  <c r="N18" i="4" s="1"/>
  <c r="J19" i="4"/>
  <c r="N19" i="4" s="1"/>
  <c r="J20" i="4"/>
  <c r="O20" i="4" s="1"/>
  <c r="J21" i="4"/>
  <c r="N21" i="4" s="1"/>
  <c r="J22" i="4"/>
  <c r="N22" i="4" s="1"/>
  <c r="J23" i="4"/>
  <c r="O23" i="4" s="1"/>
  <c r="J25" i="4"/>
  <c r="O25" i="4" s="1"/>
  <c r="J26" i="4"/>
  <c r="N26" i="4" s="1"/>
  <c r="J27" i="4"/>
  <c r="N27" i="4" s="1"/>
  <c r="J28" i="4"/>
  <c r="N28" i="4" s="1"/>
  <c r="J29" i="4"/>
  <c r="O29" i="4" s="1"/>
  <c r="J30" i="4"/>
  <c r="N30" i="4" s="1"/>
  <c r="J31" i="4"/>
  <c r="N31" i="4" s="1"/>
  <c r="J32" i="4"/>
  <c r="O32" i="4" s="1"/>
  <c r="J33" i="4"/>
  <c r="O33" i="4" s="1"/>
  <c r="J35" i="4"/>
  <c r="N35" i="4" s="1"/>
  <c r="J36" i="4"/>
  <c r="N36" i="4" s="1"/>
  <c r="J37" i="4"/>
  <c r="N37" i="4" s="1"/>
  <c r="J38" i="4"/>
  <c r="O38" i="4" s="1"/>
  <c r="J39" i="4"/>
  <c r="N39" i="4" s="1"/>
  <c r="J40" i="4"/>
  <c r="N40" i="4" s="1"/>
  <c r="J41" i="4"/>
  <c r="O41" i="4" s="1"/>
  <c r="J42" i="4"/>
  <c r="O42" i="4" s="1"/>
  <c r="J43" i="4"/>
  <c r="N43" i="4" s="1"/>
  <c r="J45" i="4"/>
  <c r="N45" i="4" s="1"/>
  <c r="J46" i="4"/>
  <c r="N46" i="4" s="1"/>
  <c r="J47" i="4"/>
  <c r="O47" i="4" s="1"/>
  <c r="J48" i="4"/>
  <c r="N48" i="4" s="1"/>
  <c r="J49" i="4"/>
  <c r="N49" i="4" s="1"/>
  <c r="J50" i="4"/>
  <c r="O50" i="4" s="1"/>
  <c r="J51" i="4"/>
  <c r="O51" i="4" s="1"/>
  <c r="J52" i="4"/>
  <c r="N52" i="4" s="1"/>
  <c r="J54" i="4"/>
  <c r="N54" i="4" s="1"/>
  <c r="J55" i="4"/>
  <c r="N55" i="4" s="1"/>
  <c r="J56" i="4"/>
  <c r="O56" i="4" s="1"/>
  <c r="J57" i="4"/>
  <c r="N57" i="4" s="1"/>
  <c r="J58" i="4"/>
  <c r="N58" i="4" s="1"/>
  <c r="J59" i="4"/>
  <c r="O59" i="4" s="1"/>
  <c r="J60" i="4"/>
  <c r="O60" i="4" s="1"/>
  <c r="J61" i="4"/>
  <c r="N61" i="4" s="1"/>
  <c r="J62" i="4"/>
  <c r="N62" i="4" s="1"/>
  <c r="J63" i="4"/>
  <c r="N63" i="4" s="1"/>
  <c r="J64" i="4"/>
  <c r="O64" i="4" s="1"/>
  <c r="J65" i="4"/>
  <c r="N65" i="4" s="1"/>
  <c r="J66" i="4"/>
  <c r="N66" i="4" s="1"/>
  <c r="J67" i="4"/>
  <c r="O67" i="4" s="1"/>
  <c r="J68" i="4"/>
  <c r="O68" i="4" s="1"/>
  <c r="J69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D5" i="4"/>
  <c r="H5" i="4" s="1"/>
  <c r="D6" i="4"/>
  <c r="H6" i="4" s="1"/>
  <c r="D7" i="4"/>
  <c r="D8" i="4"/>
  <c r="D9" i="4"/>
  <c r="I9" i="4" s="1"/>
  <c r="D10" i="4"/>
  <c r="I10" i="4" s="1"/>
  <c r="D11" i="4"/>
  <c r="H11" i="4" s="1"/>
  <c r="D12" i="4"/>
  <c r="H12" i="4" s="1"/>
  <c r="D13" i="4"/>
  <c r="H13" i="4" s="1"/>
  <c r="D15" i="4"/>
  <c r="H15" i="4" s="1"/>
  <c r="D16" i="4"/>
  <c r="D17" i="4"/>
  <c r="D18" i="4"/>
  <c r="I18" i="4" s="1"/>
  <c r="D19" i="4"/>
  <c r="I19" i="4" s="1"/>
  <c r="D20" i="4"/>
  <c r="I20" i="4" s="1"/>
  <c r="D21" i="4"/>
  <c r="I21" i="4" s="1"/>
  <c r="D22" i="4"/>
  <c r="H22" i="4" s="1"/>
  <c r="D23" i="4"/>
  <c r="H23" i="4" s="1"/>
  <c r="D25" i="4"/>
  <c r="D26" i="4"/>
  <c r="D27" i="4"/>
  <c r="I27" i="4" s="1"/>
  <c r="D28" i="4"/>
  <c r="I28" i="4" s="1"/>
  <c r="D29" i="4"/>
  <c r="H29" i="4" s="1"/>
  <c r="D30" i="4"/>
  <c r="H30" i="4" s="1"/>
  <c r="D31" i="4"/>
  <c r="H31" i="4" s="1"/>
  <c r="D32" i="4"/>
  <c r="H32" i="4" s="1"/>
  <c r="D33" i="4"/>
  <c r="I33" i="4" s="1"/>
  <c r="D35" i="4"/>
  <c r="D36" i="4"/>
  <c r="I36" i="4" s="1"/>
  <c r="D37" i="4"/>
  <c r="I37" i="4" s="1"/>
  <c r="D38" i="4"/>
  <c r="I38" i="4" s="1"/>
  <c r="D39" i="4"/>
  <c r="I39" i="4" s="1"/>
  <c r="D40" i="4"/>
  <c r="I40" i="4" s="1"/>
  <c r="D41" i="4"/>
  <c r="H41" i="4" s="1"/>
  <c r="D42" i="4"/>
  <c r="I42" i="4" s="1"/>
  <c r="D43" i="4"/>
  <c r="I43" i="4" s="1"/>
  <c r="D45" i="4"/>
  <c r="I45" i="4" s="1"/>
  <c r="D46" i="4"/>
  <c r="I46" i="4" s="1"/>
  <c r="D47" i="4"/>
  <c r="H47" i="4" s="1"/>
  <c r="D48" i="4"/>
  <c r="H48" i="4" s="1"/>
  <c r="D49" i="4"/>
  <c r="I49" i="4" s="1"/>
  <c r="D50" i="4"/>
  <c r="H50" i="4" s="1"/>
  <c r="D51" i="4"/>
  <c r="I51" i="4" s="1"/>
  <c r="D52" i="4"/>
  <c r="I52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T46" i="4"/>
  <c r="Z68" i="4"/>
  <c r="Z58" i="4"/>
  <c r="T23" i="4"/>
  <c r="U7" i="4"/>
  <c r="U56" i="4"/>
  <c r="O30" i="4"/>
  <c r="AA45" i="4"/>
  <c r="U3" i="4"/>
  <c r="Z22" i="4"/>
  <c r="AA9" i="4"/>
  <c r="O61" i="4"/>
  <c r="U88" i="5"/>
  <c r="AA112" i="5"/>
  <c r="U97" i="5"/>
  <c r="U85" i="5"/>
  <c r="AA109" i="5"/>
  <c r="U100" i="5"/>
  <c r="AA88" i="5"/>
  <c r="AA100" i="5"/>
  <c r="U76" i="5"/>
  <c r="AA97" i="5"/>
  <c r="U61" i="5"/>
  <c r="AA85" i="5"/>
  <c r="U73" i="5"/>
  <c r="AA76" i="5"/>
  <c r="U64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AA111" i="5"/>
  <c r="T92" i="5"/>
  <c r="Z71" i="5"/>
  <c r="AA74" i="5"/>
  <c r="H60" i="5"/>
  <c r="T74" i="5"/>
  <c r="T70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Z80" i="5"/>
  <c r="Z87" i="5"/>
  <c r="AA119" i="5"/>
  <c r="T22" i="5"/>
  <c r="O32" i="5"/>
  <c r="AA33" i="5"/>
  <c r="Z47" i="5"/>
  <c r="T53" i="5"/>
  <c r="H120" i="5"/>
  <c r="H21" i="5"/>
  <c r="Z29" i="5"/>
  <c r="I45" i="5"/>
  <c r="T71" i="5"/>
  <c r="AA82" i="5"/>
  <c r="T28" i="5"/>
  <c r="AA32" i="5"/>
  <c r="O34" i="5"/>
  <c r="Z46" i="5"/>
  <c r="U122" i="5"/>
  <c r="O48" i="4"/>
  <c r="O17" i="4"/>
  <c r="T50" i="4"/>
  <c r="U33" i="4"/>
  <c r="U28" i="4"/>
  <c r="U11" i="4"/>
  <c r="AA66" i="4"/>
  <c r="Z56" i="4"/>
  <c r="AA31" i="4"/>
  <c r="Z20" i="4"/>
  <c r="N67" i="4"/>
  <c r="N41" i="4"/>
  <c r="O35" i="4"/>
  <c r="U60" i="4"/>
  <c r="U55" i="4"/>
  <c r="U38" i="4"/>
  <c r="T6" i="4"/>
  <c r="AA54" i="4"/>
  <c r="Z42" i="4"/>
  <c r="AA18" i="4"/>
  <c r="Z7" i="4"/>
  <c r="N23" i="4"/>
  <c r="O65" i="4"/>
  <c r="N59" i="4"/>
  <c r="O52" i="4"/>
  <c r="N47" i="4"/>
  <c r="O21" i="4"/>
  <c r="U64" i="4"/>
  <c r="T32" i="4"/>
  <c r="U16" i="4"/>
  <c r="U10" i="4"/>
  <c r="Z64" i="4"/>
  <c r="AA40" i="4"/>
  <c r="Z29" i="4"/>
  <c r="AA5" i="4"/>
  <c r="Z33" i="4"/>
  <c r="N15" i="4"/>
  <c r="O8" i="4"/>
  <c r="T59" i="4"/>
  <c r="U42" i="4"/>
  <c r="U37" i="4"/>
  <c r="U20" i="4"/>
  <c r="AA62" i="4"/>
  <c r="Z51" i="4"/>
  <c r="AA27" i="4"/>
  <c r="Z16" i="4"/>
  <c r="O39" i="4"/>
  <c r="N32" i="4"/>
  <c r="O26" i="4"/>
  <c r="N20" i="4"/>
  <c r="U68" i="4"/>
  <c r="U63" i="4"/>
  <c r="U47" i="4"/>
  <c r="T15" i="4"/>
  <c r="AA49" i="4"/>
  <c r="Z38" i="4"/>
  <c r="AA13" i="4"/>
  <c r="I3" i="4"/>
  <c r="N68" i="4"/>
  <c r="O57" i="4"/>
  <c r="N50" i="4"/>
  <c r="T41" i="4"/>
  <c r="U25" i="4"/>
  <c r="U19" i="4"/>
  <c r="Z60" i="4"/>
  <c r="AA36" i="4"/>
  <c r="Z25" i="4"/>
  <c r="AA3" i="4"/>
  <c r="O43" i="4"/>
  <c r="O12" i="4"/>
  <c r="N6" i="4"/>
  <c r="T67" i="4"/>
  <c r="U51" i="4"/>
  <c r="U29" i="4"/>
  <c r="Z47" i="4"/>
  <c r="Z11" i="4"/>
  <c r="T13" i="4"/>
  <c r="U13" i="4"/>
  <c r="T54" i="4"/>
  <c r="U54" i="4"/>
  <c r="N38" i="4"/>
  <c r="N16" i="4"/>
  <c r="T5" i="4"/>
  <c r="U5" i="4"/>
  <c r="Z69" i="4"/>
  <c r="AA69" i="4"/>
  <c r="N64" i="4"/>
  <c r="N42" i="4"/>
  <c r="T31" i="4"/>
  <c r="U31" i="4"/>
  <c r="T9" i="4"/>
  <c r="U9" i="4"/>
  <c r="Z35" i="4"/>
  <c r="AA35" i="4"/>
  <c r="N25" i="4"/>
  <c r="N51" i="4"/>
  <c r="T40" i="4"/>
  <c r="U40" i="4"/>
  <c r="T18" i="4"/>
  <c r="U18" i="4"/>
  <c r="Z43" i="4"/>
  <c r="AA43" i="4"/>
  <c r="T58" i="4"/>
  <c r="U58" i="4"/>
  <c r="T36" i="4"/>
  <c r="U36" i="4"/>
  <c r="T62" i="4"/>
  <c r="U62" i="4"/>
  <c r="T66" i="4"/>
  <c r="U66" i="4"/>
  <c r="T45" i="4"/>
  <c r="U45" i="4"/>
  <c r="N29" i="4"/>
  <c r="N7" i="4"/>
  <c r="Z61" i="4"/>
  <c r="AA61" i="4"/>
  <c r="N56" i="4"/>
  <c r="N33" i="4"/>
  <c r="T22" i="4"/>
  <c r="U22" i="4"/>
  <c r="N60" i="4"/>
  <c r="T49" i="4"/>
  <c r="U49" i="4"/>
  <c r="T27" i="4"/>
  <c r="U27" i="4"/>
  <c r="N11" i="4"/>
  <c r="Z52" i="4"/>
  <c r="AA52" i="4"/>
  <c r="O66" i="4"/>
  <c r="O58" i="4"/>
  <c r="O49" i="4"/>
  <c r="O40" i="4"/>
  <c r="O31" i="4"/>
  <c r="O22" i="4"/>
  <c r="O13" i="4"/>
  <c r="O5" i="4"/>
  <c r="U65" i="4"/>
  <c r="U57" i="4"/>
  <c r="U48" i="4"/>
  <c r="U39" i="4"/>
  <c r="U30" i="4"/>
  <c r="U21" i="4"/>
  <c r="U12" i="4"/>
  <c r="AA65" i="4"/>
  <c r="AA57" i="4"/>
  <c r="AA48" i="4"/>
  <c r="AA39" i="4"/>
  <c r="AA30" i="4"/>
  <c r="AA26" i="4"/>
  <c r="AA21" i="4"/>
  <c r="AA17" i="4"/>
  <c r="AA12" i="4"/>
  <c r="AA8" i="4"/>
  <c r="O63" i="4"/>
  <c r="O55" i="4"/>
  <c r="O46" i="4"/>
  <c r="O37" i="4"/>
  <c r="O28" i="4"/>
  <c r="O19" i="4"/>
  <c r="O10" i="4"/>
  <c r="O62" i="4"/>
  <c r="O54" i="4"/>
  <c r="O45" i="4"/>
  <c r="O36" i="4"/>
  <c r="O27" i="4"/>
  <c r="O18" i="4"/>
  <c r="O9" i="4"/>
  <c r="U61" i="4"/>
  <c r="U52" i="4"/>
  <c r="U43" i="4"/>
  <c r="U35" i="4"/>
  <c r="U26" i="4"/>
  <c r="U17" i="4"/>
  <c r="U8" i="4"/>
  <c r="AA67" i="4"/>
  <c r="AA63" i="4"/>
  <c r="AA59" i="4"/>
  <c r="AA55" i="4"/>
  <c r="AA50" i="4"/>
  <c r="AA46" i="4"/>
  <c r="AA41" i="4"/>
  <c r="AA37" i="4"/>
  <c r="AA32" i="4"/>
  <c r="AA28" i="4"/>
  <c r="AA23" i="4"/>
  <c r="AA19" i="4"/>
  <c r="AA15" i="4"/>
  <c r="AA10" i="4"/>
  <c r="AA6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Z70" i="5"/>
  <c r="T72" i="5"/>
  <c r="Z92" i="5"/>
  <c r="Z93" i="5"/>
  <c r="T96" i="5"/>
  <c r="Z105" i="5"/>
  <c r="AA106" i="5"/>
  <c r="Z110" i="5"/>
  <c r="O117" i="5"/>
  <c r="AA121" i="5"/>
  <c r="Z107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Z98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T79" i="5"/>
  <c r="T81" i="5"/>
  <c r="T83" i="5"/>
  <c r="T86" i="5"/>
  <c r="O93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15" i="5"/>
  <c r="H117" i="5"/>
  <c r="H119" i="5"/>
  <c r="H121" i="5"/>
  <c r="H39" i="4"/>
  <c r="I48" i="4"/>
  <c r="I41" i="4"/>
  <c r="I6" i="4"/>
  <c r="H38" i="4"/>
  <c r="I47" i="4"/>
  <c r="H21" i="4"/>
  <c r="I30" i="4"/>
  <c r="H28" i="4"/>
  <c r="H49" i="4"/>
  <c r="H10" i="4"/>
  <c r="I29" i="4"/>
  <c r="I23" i="4"/>
  <c r="I12" i="4"/>
  <c r="H40" i="4"/>
  <c r="I11" i="4"/>
  <c r="O69" i="4"/>
  <c r="N69" i="4"/>
  <c r="I26" i="4"/>
  <c r="H26" i="4"/>
  <c r="H9" i="4"/>
  <c r="I7" i="4"/>
  <c r="H7" i="4"/>
  <c r="H46" i="4"/>
  <c r="H37" i="4"/>
  <c r="H20" i="4"/>
  <c r="I22" i="4"/>
  <c r="I5" i="4"/>
  <c r="I35" i="4"/>
  <c r="H35" i="4"/>
  <c r="H27" i="4"/>
  <c r="H45" i="4"/>
  <c r="H36" i="4"/>
  <c r="H19" i="4"/>
  <c r="I8" i="4"/>
  <c r="H8" i="4"/>
  <c r="I25" i="4"/>
  <c r="H25" i="4"/>
  <c r="H52" i="4"/>
  <c r="H43" i="4"/>
  <c r="H33" i="4"/>
  <c r="H18" i="4"/>
  <c r="I16" i="4"/>
  <c r="H16" i="4"/>
  <c r="H51" i="4"/>
  <c r="H42" i="4"/>
  <c r="I50" i="4"/>
  <c r="I32" i="4"/>
  <c r="I15" i="4"/>
  <c r="I17" i="4"/>
  <c r="H17" i="4"/>
  <c r="I31" i="4"/>
  <c r="I13" i="4"/>
</calcChain>
</file>

<file path=xl/sharedStrings.xml><?xml version="1.0" encoding="utf-8"?>
<sst xmlns="http://schemas.openxmlformats.org/spreadsheetml/2006/main" count="429" uniqueCount="93">
  <si>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</si>
  <si>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</si>
  <si>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</si>
  <si>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</si>
  <si>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</si>
  <si>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</si>
  <si>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</si>
  <si>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</si>
  <si>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</si>
  <si>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</si>
  <si>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</si>
  <si>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</si>
  <si>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</si>
  <si>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</si>
  <si>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</si>
  <si>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</si>
  <si>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</si>
  <si>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</si>
  <si>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</si>
  <si>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</si>
  <si>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</si>
  <si>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</si>
  <si>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</si>
  <si>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</si>
  <si>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</si>
  <si>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</si>
  <si>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</si>
  <si>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</si>
  <si>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</si>
  <si>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</si>
  <si>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</si>
  <si>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</si>
  <si>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</si>
  <si>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</si>
  <si>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</si>
  <si>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</si>
  <si>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</si>
  <si>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</si>
  <si>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</si>
  <si>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</si>
  <si>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</si>
  <si>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</si>
  <si>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</si>
  <si>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</si>
  <si>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</si>
  <si>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</si>
  <si>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</si>
  <si>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</si>
  <si>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</si>
  <si>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</si>
  <si>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</si>
  <si>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</si>
  <si>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</si>
  <si>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</si>
  <si>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</si>
  <si>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</si>
  <si>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</si>
  <si>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</si>
  <si>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</si>
  <si>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</si>
  <si>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</si>
  <si>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</si>
  <si>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</si>
  <si>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</si>
  <si>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</si>
  <si>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</si>
  <si>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</si>
  <si>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</si>
  <si>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</si>
  <si>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</si>
  <si>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</si>
  <si>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</si>
  <si>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</si>
  <si>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</si>
  <si>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</si>
  <si>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</si>
  <si>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</si>
  <si>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</si>
  <si>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</si>
  <si>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</si>
  <si>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</si>
  <si>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</si>
  <si>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</si>
  <si>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</si>
  <si>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</si>
  <si>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</si>
  <si>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MAPEH</t>
  </si>
  <si>
    <t>PE</t>
  </si>
  <si>
    <t>Health</t>
  </si>
  <si>
    <t>Music</t>
  </si>
  <si>
    <t>Arts</t>
  </si>
  <si>
    <t xml:space="preserve">  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</si>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</sst>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34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b/>
      <sz val="11"/>
      <color rgb="FFFFFFFF"/>
      <name val="Bookman Old Style"/>
      <charset val="134"/>
    </font>
    <font>
      <b/>
      <sz val="11"/>
      <color theme="1"/>
      <name val="Aptos Narrow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275317"/>
        <bgColor indexed="64"/>
      </patternFill>
    </fill>
    <fill>
      <patternFill patternType="solid">
        <fgColor rgb="FF145F8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 style="thin">
        <color rgb="FF43AEE2"/>
      </right>
      <top style="thin">
        <color rgb="FF43AEE2"/>
      </top>
      <bottom style="thin">
        <color rgb="FF43AEE2"/>
      </bottom>
      <diagonal/>
    </border>
    <border>
      <left style="thin">
        <color rgb="FF000000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/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wrapText="1"/>
    </xf>
    <xf numFmtId="0" fontId="18" fillId="16" borderId="13" xfId="0" applyFont="1" applyFill="1" applyBorder="1" applyAlignment="1">
      <alignment wrapText="1"/>
    </xf>
    <xf numFmtId="0" fontId="18" fillId="17" borderId="12" xfId="0" applyFont="1" applyFill="1" applyBorder="1" applyAlignment="1">
      <alignment wrapText="1"/>
    </xf>
    <xf numFmtId="0" fontId="18" fillId="17" borderId="14" xfId="0" applyFont="1" applyFill="1" applyBorder="1" applyAlignment="1">
      <alignment wrapText="1"/>
    </xf>
    <xf numFmtId="0" fontId="15" fillId="13" borderId="1" xfId="0" applyFont="1" applyFill="1" applyBorder="1" applyAlignment="1">
      <alignment horizontal="center" wrapText="1"/>
    </xf>
    <xf numFmtId="0" fontId="15" fillId="13" borderId="3" xfId="0" applyFont="1" applyFill="1" applyBorder="1" applyAlignment="1">
      <alignment horizontal="center" wrapText="1"/>
    </xf>
    <xf numFmtId="0" fontId="15" fillId="14" borderId="1" xfId="0" applyFont="1" applyFill="1" applyBorder="1" applyAlignment="1">
      <alignment horizontal="center" wrapText="1"/>
    </xf>
    <xf numFmtId="0" fontId="15" fillId="14" borderId="2" xfId="0" applyFont="1" applyFill="1" applyBorder="1" applyAlignment="1">
      <alignment horizontal="center" wrapText="1"/>
    </xf>
    <xf numFmtId="0" fontId="16" fillId="14" borderId="10" xfId="0" applyFont="1" applyFill="1" applyBorder="1" applyAlignment="1">
      <alignment horizontal="center"/>
    </xf>
    <xf numFmtId="0" fontId="17" fillId="14" borderId="10" xfId="0" applyFont="1" applyFill="1" applyBorder="1" applyAlignment="1">
      <alignment horizontal="center"/>
    </xf>
    <xf numFmtId="0" fontId="17" fillId="14" borderId="1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 wrapText="1"/>
    </xf>
    <xf numFmtId="0" fontId="15" fillId="15" borderId="3" xfId="0" applyFont="1" applyFill="1" applyBorder="1" applyAlignment="1">
      <alignment horizontal="center" wrapText="1"/>
    </xf>
    <xf numFmtId="0" fontId="0" fillId="8" borderId="0" xfId="0" applyFill="1" applyAlignment="1">
      <alignment horizontal="center"/>
    </xf>
    <xf numFmtId="0" fontId="18" fillId="2" borderId="15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9" fillId="0" borderId="18" xfId="0" applyFont="1" applyBorder="1"/>
    <xf numFmtId="0" fontId="0" fillId="0" borderId="18" xfId="0" applyBorder="1"/>
    <xf numFmtId="0" fontId="19" fillId="8" borderId="18" xfId="0" applyFont="1" applyFill="1" applyBorder="1"/>
    <xf numFmtId="0" fontId="0" fillId="8" borderId="18" xfId="0" applyFill="1" applyBorder="1"/>
    <xf numFmtId="0" fontId="0" fillId="8" borderId="19" xfId="0" applyFill="1" applyBorder="1"/>
    <xf numFmtId="0" fontId="11" fillId="19" borderId="1" xfId="0" applyFont="1" applyFill="1" applyBorder="1" applyAlignment="1">
      <alignment horizontal="center" vertical="center" wrapText="1"/>
    </xf>
    <xf numFmtId="0" fontId="11" fillId="19" borderId="3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9" totalsRowShown="0" dataDxfId="59" headerRowBorderDxfId="57" tableBorderDxfId="58">
  <autoFilter ref="A2:AA69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zoomScale="85" zoomScaleNormal="85" workbookViewId="0">
      <pane xSplit="2" topLeftCell="C1" activePane="topRight" state="frozen"/>
      <selection pane="topRight" activeCell="T91" sqref="T91:T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1" max="16" width="15.42578125" customWidth="1"/>
    <col min="18" max="18" width="16.85546875" customWidth="1"/>
  </cols>
  <sheetData>
    <row r="1" spans="1:23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  <c r="K1" s="42" t="s">
        <v>2</v>
      </c>
      <c r="L1" s="42" t="s">
        <v>3</v>
      </c>
      <c r="M1" s="42" t="s">
        <v>4</v>
      </c>
      <c r="N1" s="43" t="s">
        <v>5</v>
      </c>
      <c r="O1" s="44" t="s">
        <v>6</v>
      </c>
      <c r="P1" s="45" t="s">
        <v>7</v>
      </c>
      <c r="Q1" s="6"/>
      <c r="R1" s="56" t="s">
        <v>2</v>
      </c>
      <c r="S1" s="56" t="s">
        <v>3</v>
      </c>
      <c r="T1" s="56" t="s">
        <v>4</v>
      </c>
      <c r="U1" s="57" t="s">
        <v>5</v>
      </c>
      <c r="V1" s="58" t="s">
        <v>6</v>
      </c>
      <c r="W1" s="59" t="s">
        <v>7</v>
      </c>
    </row>
    <row r="2" spans="1:23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  <c r="R2" s="60"/>
      <c r="S2" s="60"/>
      <c r="T2" s="60"/>
      <c r="U2" s="61"/>
      <c r="V2" s="62">
        <f>IF((R2-S2)&lt;0,0,R2-S2)</f>
        <v>0</v>
      </c>
      <c r="W2" s="63">
        <f>IF((S2-R2)&lt;0,0,S2-R2)</f>
        <v>0</v>
      </c>
    </row>
    <row r="3" spans="1:23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  <c r="R3" s="60"/>
      <c r="S3" s="60"/>
      <c r="T3" s="60"/>
      <c r="U3" s="61"/>
      <c r="V3" s="62">
        <f>IF((R3-S3)&lt;0,0,R3-S3)</f>
        <v>0</v>
      </c>
      <c r="W3" s="63">
        <f>IF((S3-R3)&lt;0,0,S3-R3)</f>
        <v>0</v>
      </c>
    </row>
    <row r="4" spans="1:23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  <c r="R4" s="60"/>
      <c r="S4" s="60"/>
      <c r="T4" s="60"/>
      <c r="U4" s="61"/>
      <c r="V4" s="62">
        <f>IF((R4-S4)&lt;0,0,R4-S4)</f>
        <v>0</v>
      </c>
      <c r="W4" s="63">
        <f>IF((S4-R4)&lt;0,0,S4-R4)</f>
        <v>0</v>
      </c>
    </row>
    <row r="5" spans="1:23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  <c r="R5" s="60"/>
      <c r="S5" s="60"/>
      <c r="T5" s="60"/>
      <c r="U5" s="61"/>
      <c r="V5" s="62">
        <f t="shared" ref="V5:V6" si="2">IF((R5-S5)&lt;0,0,R5-S5)</f>
        <v>0</v>
      </c>
      <c r="W5" s="63">
        <f t="shared" ref="W5:W6" si="3">IF((S5-R5)&lt;0,0,S5-R5)</f>
        <v>0</v>
      </c>
    </row>
    <row r="6" spans="1:23" ht="19.5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  <c r="R6" s="60"/>
      <c r="S6" s="60"/>
      <c r="T6" s="60"/>
      <c r="U6" s="61"/>
      <c r="V6" s="62">
        <f t="shared" si="2"/>
        <v>0</v>
      </c>
      <c r="W6" s="63">
        <f t="shared" si="3"/>
        <v>0</v>
      </c>
    </row>
    <row r="7" spans="1:23" ht="15" hidden="1">
      <c r="C7" s="6"/>
      <c r="D7" s="6"/>
      <c r="E7" s="6"/>
      <c r="R7" s="64"/>
      <c r="S7" s="64"/>
      <c r="T7" s="64"/>
      <c r="U7" s="65"/>
      <c r="V7" s="65"/>
      <c r="W7" s="65"/>
    </row>
    <row r="8" spans="1:23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  <c r="R8" s="60"/>
      <c r="S8" s="60"/>
      <c r="T8" s="60"/>
      <c r="U8" s="61"/>
      <c r="V8" s="62">
        <f>IF((R8-S8)&lt;0,0,R8-S8)</f>
        <v>0</v>
      </c>
      <c r="W8" s="63">
        <f>IF((S8-R8)&lt;0,0,S8-R8)</f>
        <v>0</v>
      </c>
    </row>
    <row r="9" spans="1:23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  <c r="R9" s="60"/>
      <c r="S9" s="60"/>
      <c r="T9" s="60"/>
      <c r="U9" s="61"/>
      <c r="V9" s="62">
        <f>IF((R9-S9)&lt;0,0,R9-S9)</f>
        <v>0</v>
      </c>
      <c r="W9" s="63">
        <f>IF((S9-R9)&lt;0,0,S9-R9)</f>
        <v>0</v>
      </c>
    </row>
    <row r="10" spans="1:23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  <c r="R10" s="60"/>
      <c r="S10" s="60"/>
      <c r="T10" s="60"/>
      <c r="U10" s="61"/>
      <c r="V10" s="62">
        <f>IF((R10-S10)&lt;0,0,R10-S10)</f>
        <v>0</v>
      </c>
      <c r="W10" s="63">
        <f>IF((S10-R10)&lt;0,0,S10-R10)</f>
        <v>0</v>
      </c>
    </row>
    <row r="11" spans="1:23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  <c r="R11" s="60"/>
      <c r="S11" s="60"/>
      <c r="T11" s="60"/>
      <c r="U11" s="61"/>
      <c r="V11" s="62">
        <f>IF((R11-S11)&lt;0,0,R11-S11)</f>
        <v>0</v>
      </c>
      <c r="W11" s="63">
        <f>IF((S11-R11)&lt;0,0,S11-R11)</f>
        <v>0</v>
      </c>
    </row>
    <row r="12" spans="1:23" ht="19.5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  <c r="R12" s="60"/>
      <c r="S12" s="60"/>
      <c r="T12" s="60"/>
      <c r="U12" s="61"/>
      <c r="V12" s="62">
        <f>IF((R12-S12)&lt;0,0,R12-S12)</f>
        <v>0</v>
      </c>
      <c r="W12" s="63">
        <f>IF((S12-R12)&lt;0,0,S12-R12)</f>
        <v>0</v>
      </c>
    </row>
    <row r="13" spans="1:23" ht="15" hidden="1">
      <c r="C13" s="6"/>
      <c r="D13" s="6"/>
      <c r="E13" s="6"/>
      <c r="R13" s="64"/>
      <c r="S13" s="64"/>
      <c r="T13" s="64"/>
      <c r="U13" s="65"/>
      <c r="V13" s="65"/>
      <c r="W13" s="65"/>
    </row>
    <row r="14" spans="1:23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4">IF((C14-D14)&lt;0,0,C14-D14)</f>
        <v>0</v>
      </c>
      <c r="H14" s="4">
        <f t="shared" ref="H14:H19" si="5">IF((D14-C14)&lt;0,0,D14-C14)</f>
        <v>0</v>
      </c>
      <c r="R14" s="60"/>
      <c r="S14" s="60"/>
      <c r="T14" s="60"/>
      <c r="U14" s="61"/>
      <c r="V14" s="62">
        <f t="shared" ref="V14:V19" si="6">IF((R14-S14)&lt;0,0,R14-S14)</f>
        <v>0</v>
      </c>
      <c r="W14" s="63">
        <f t="shared" ref="W14:W19" si="7">IF((S14-R14)&lt;0,0,S14-R14)</f>
        <v>0</v>
      </c>
    </row>
    <row r="15" spans="1:23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4"/>
        <v>0</v>
      </c>
      <c r="H15" s="4">
        <f t="shared" si="5"/>
        <v>0</v>
      </c>
      <c r="R15" s="60"/>
      <c r="S15" s="60"/>
      <c r="T15" s="60"/>
      <c r="U15" s="61"/>
      <c r="V15" s="62">
        <f t="shared" si="6"/>
        <v>0</v>
      </c>
      <c r="W15" s="63">
        <f t="shared" si="7"/>
        <v>0</v>
      </c>
    </row>
    <row r="16" spans="1:23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4"/>
        <v>0</v>
      </c>
      <c r="H16" s="4">
        <f t="shared" si="5"/>
        <v>0</v>
      </c>
      <c r="R16" s="60"/>
      <c r="S16" s="60"/>
      <c r="T16" s="60"/>
      <c r="U16" s="61"/>
      <c r="V16" s="62">
        <f t="shared" si="6"/>
        <v>0</v>
      </c>
      <c r="W16" s="63">
        <f t="shared" si="7"/>
        <v>0</v>
      </c>
    </row>
    <row r="17" spans="1:23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4"/>
        <v>0</v>
      </c>
      <c r="H17" s="4">
        <f t="shared" si="5"/>
        <v>0</v>
      </c>
      <c r="R17" s="60"/>
      <c r="S17" s="60"/>
      <c r="T17" s="60"/>
      <c r="U17" s="61"/>
      <c r="V17" s="62">
        <f t="shared" si="6"/>
        <v>0</v>
      </c>
      <c r="W17" s="63">
        <f t="shared" si="7"/>
        <v>0</v>
      </c>
    </row>
    <row r="18" spans="1:23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4"/>
        <v>0</v>
      </c>
      <c r="H18" s="4">
        <f t="shared" si="5"/>
        <v>0</v>
      </c>
      <c r="R18" s="60"/>
      <c r="S18" s="60"/>
      <c r="T18" s="60"/>
      <c r="U18" s="61"/>
      <c r="V18" s="62">
        <f t="shared" si="6"/>
        <v>0</v>
      </c>
      <c r="W18" s="63">
        <f t="shared" si="7"/>
        <v>0</v>
      </c>
    </row>
    <row r="19" spans="1:23" ht="19.5" hidden="1">
      <c r="A19" s="1">
        <v>3</v>
      </c>
      <c r="B19" s="2" t="s">
        <v>12</v>
      </c>
      <c r="C19" s="1"/>
      <c r="D19" s="1"/>
      <c r="E19" s="1"/>
      <c r="F19" s="5"/>
      <c r="G19" s="3">
        <f t="shared" si="4"/>
        <v>0</v>
      </c>
      <c r="H19" s="4">
        <f t="shared" si="5"/>
        <v>0</v>
      </c>
      <c r="R19" s="60"/>
      <c r="S19" s="60"/>
      <c r="T19" s="60"/>
      <c r="U19" s="61"/>
      <c r="V19" s="62">
        <f t="shared" si="6"/>
        <v>0</v>
      </c>
      <c r="W19" s="63">
        <f t="shared" si="7"/>
        <v>0</v>
      </c>
    </row>
    <row r="20" spans="1:23" ht="15" hidden="1">
      <c r="A20" s="7"/>
      <c r="B20" s="7"/>
      <c r="C20" s="8"/>
      <c r="D20" s="8"/>
      <c r="E20" s="8"/>
      <c r="F20" s="7"/>
      <c r="G20" s="7"/>
      <c r="H20" s="7"/>
      <c r="R20" s="66"/>
      <c r="S20" s="66"/>
      <c r="T20" s="66"/>
      <c r="U20" s="67"/>
      <c r="V20" s="67"/>
      <c r="W20" s="67"/>
    </row>
    <row r="21" spans="1:23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8">IF((C21-D21)&lt;0,0,C21-D21)</f>
        <v>0</v>
      </c>
      <c r="H21" s="4">
        <f t="shared" ref="H21:H29" si="9">IF((D21-C21)&lt;0,0,D21-C21)</f>
        <v>0</v>
      </c>
      <c r="R21" s="60"/>
      <c r="S21" s="60"/>
      <c r="T21" s="60"/>
      <c r="U21" s="61"/>
      <c r="V21" s="62">
        <f t="shared" ref="V21:V29" si="10">IF((R21-S21)&lt;0,0,R21-S21)</f>
        <v>0</v>
      </c>
      <c r="W21" s="63">
        <f t="shared" ref="W21:W29" si="11">IF((S21-R21)&lt;0,0,S21-R21)</f>
        <v>0</v>
      </c>
    </row>
    <row r="22" spans="1:23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8"/>
        <v>0</v>
      </c>
      <c r="H22" s="4">
        <f t="shared" si="9"/>
        <v>0</v>
      </c>
      <c r="R22" s="60"/>
      <c r="S22" s="60"/>
      <c r="T22" s="60"/>
      <c r="U22" s="61"/>
      <c r="V22" s="62">
        <f t="shared" si="10"/>
        <v>0</v>
      </c>
      <c r="W22" s="63">
        <f t="shared" si="11"/>
        <v>0</v>
      </c>
    </row>
    <row r="23" spans="1:23" ht="19.5" hidden="1">
      <c r="A23" s="1">
        <v>4</v>
      </c>
      <c r="B23" s="9" t="s">
        <v>12</v>
      </c>
      <c r="C23" s="1"/>
      <c r="D23" s="1"/>
      <c r="E23" s="1"/>
      <c r="F23" s="5"/>
      <c r="G23" s="3">
        <f t="shared" si="8"/>
        <v>0</v>
      </c>
      <c r="H23" s="4">
        <f t="shared" si="9"/>
        <v>0</v>
      </c>
      <c r="R23" s="60"/>
      <c r="S23" s="60"/>
      <c r="T23" s="60"/>
      <c r="U23" s="61"/>
      <c r="V23" s="62">
        <f t="shared" si="10"/>
        <v>0</v>
      </c>
      <c r="W23" s="63">
        <f t="shared" si="11"/>
        <v>0</v>
      </c>
    </row>
    <row r="24" spans="1:23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8"/>
        <v>0</v>
      </c>
      <c r="H24" s="4">
        <f t="shared" si="9"/>
        <v>0</v>
      </c>
      <c r="R24" s="60"/>
      <c r="S24" s="60"/>
      <c r="T24" s="60"/>
      <c r="U24" s="61"/>
      <c r="V24" s="62">
        <f t="shared" si="10"/>
        <v>0</v>
      </c>
      <c r="W24" s="63">
        <f t="shared" si="11"/>
        <v>0</v>
      </c>
    </row>
    <row r="25" spans="1:23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8"/>
        <v>0</v>
      </c>
      <c r="H25" s="4">
        <f t="shared" si="9"/>
        <v>0</v>
      </c>
      <c r="R25" s="60"/>
      <c r="S25" s="60"/>
      <c r="T25" s="60"/>
      <c r="U25" s="61"/>
      <c r="V25" s="62">
        <f t="shared" si="10"/>
        <v>0</v>
      </c>
      <c r="W25" s="63">
        <f t="shared" si="11"/>
        <v>0</v>
      </c>
    </row>
    <row r="26" spans="1:23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8"/>
        <v>0</v>
      </c>
      <c r="H26" s="4">
        <f t="shared" si="9"/>
        <v>0</v>
      </c>
      <c r="R26" s="60"/>
      <c r="S26" s="60"/>
      <c r="T26" s="60"/>
      <c r="U26" s="61"/>
      <c r="V26" s="62">
        <f t="shared" si="10"/>
        <v>0</v>
      </c>
      <c r="W26" s="63">
        <f t="shared" si="11"/>
        <v>0</v>
      </c>
    </row>
    <row r="27" spans="1:23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8"/>
        <v>0</v>
      </c>
      <c r="H27" s="4">
        <f t="shared" si="9"/>
        <v>0</v>
      </c>
      <c r="R27" s="60"/>
      <c r="S27" s="60"/>
      <c r="T27" s="60"/>
      <c r="U27" s="61"/>
      <c r="V27" s="62">
        <f t="shared" si="10"/>
        <v>0</v>
      </c>
      <c r="W27" s="63">
        <f t="shared" si="11"/>
        <v>0</v>
      </c>
    </row>
    <row r="28" spans="1:23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8"/>
        <v>0</v>
      </c>
      <c r="H28" s="4">
        <f t="shared" si="9"/>
        <v>0</v>
      </c>
      <c r="R28" s="60"/>
      <c r="S28" s="60"/>
      <c r="T28" s="60"/>
      <c r="U28" s="61"/>
      <c r="V28" s="62">
        <f t="shared" si="10"/>
        <v>0</v>
      </c>
      <c r="W28" s="63">
        <f t="shared" si="11"/>
        <v>0</v>
      </c>
    </row>
    <row r="29" spans="1:23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8"/>
        <v>0</v>
      </c>
      <c r="H29" s="4">
        <f t="shared" si="9"/>
        <v>0</v>
      </c>
      <c r="R29" s="60"/>
      <c r="S29" s="60"/>
      <c r="T29" s="60"/>
      <c r="U29" s="61"/>
      <c r="V29" s="62">
        <f t="shared" si="10"/>
        <v>0</v>
      </c>
      <c r="W29" s="63">
        <f t="shared" si="11"/>
        <v>0</v>
      </c>
    </row>
    <row r="30" spans="1:23" ht="27.75" hidden="1" customHeight="1">
      <c r="A30" s="7"/>
      <c r="B30" s="7"/>
      <c r="C30" s="8"/>
      <c r="D30" s="8"/>
      <c r="E30" s="8"/>
      <c r="F30" s="7"/>
      <c r="G30" s="7"/>
      <c r="H30" s="7"/>
      <c r="R30" s="66"/>
      <c r="S30" s="66"/>
      <c r="T30" s="66"/>
      <c r="U30" s="67"/>
      <c r="V30" s="67"/>
      <c r="W30" s="67"/>
    </row>
    <row r="31" spans="1:23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12">IF((C31-D31)&lt;0,0,C31-D31)</f>
        <v>0</v>
      </c>
      <c r="H31" s="4">
        <f t="shared" ref="H31:H39" si="13">IF((D31-C31)&lt;0,0,D31-C31)</f>
        <v>0</v>
      </c>
      <c r="R31" s="60"/>
      <c r="S31" s="60"/>
      <c r="T31" s="60"/>
      <c r="U31" s="61"/>
      <c r="V31" s="62">
        <f t="shared" ref="V31:V39" si="14">IF((R31-S31)&lt;0,0,R31-S31)</f>
        <v>0</v>
      </c>
      <c r="W31" s="63">
        <f t="shared" ref="W31:W39" si="15">IF((S31-R31)&lt;0,0,S31-R31)</f>
        <v>0</v>
      </c>
    </row>
    <row r="32" spans="1:23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12"/>
        <v>0</v>
      </c>
      <c r="H32" s="4">
        <f t="shared" si="13"/>
        <v>0</v>
      </c>
      <c r="R32" s="60"/>
      <c r="S32" s="60"/>
      <c r="T32" s="60"/>
      <c r="U32" s="61"/>
      <c r="V32" s="62">
        <f t="shared" si="14"/>
        <v>0</v>
      </c>
      <c r="W32" s="63">
        <f t="shared" si="15"/>
        <v>0</v>
      </c>
    </row>
    <row r="33" spans="1:23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12"/>
        <v>0</v>
      </c>
      <c r="H33" s="4">
        <f t="shared" si="13"/>
        <v>0</v>
      </c>
      <c r="R33" s="60"/>
      <c r="S33" s="60"/>
      <c r="T33" s="60"/>
      <c r="U33" s="61"/>
      <c r="V33" s="62">
        <f t="shared" si="14"/>
        <v>0</v>
      </c>
      <c r="W33" s="63">
        <f t="shared" si="15"/>
        <v>0</v>
      </c>
    </row>
    <row r="34" spans="1:23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12"/>
        <v>0</v>
      </c>
      <c r="H34" s="4">
        <f t="shared" si="13"/>
        <v>0</v>
      </c>
      <c r="R34" s="60"/>
      <c r="S34" s="60"/>
      <c r="T34" s="60"/>
      <c r="U34" s="61"/>
      <c r="V34" s="62">
        <f t="shared" si="14"/>
        <v>0</v>
      </c>
      <c r="W34" s="63">
        <f t="shared" si="15"/>
        <v>0</v>
      </c>
    </row>
    <row r="35" spans="1:23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12"/>
        <v>0</v>
      </c>
      <c r="H35" s="4">
        <f t="shared" si="13"/>
        <v>0</v>
      </c>
      <c r="R35" s="60"/>
      <c r="S35" s="60"/>
      <c r="T35" s="60"/>
      <c r="U35" s="61"/>
      <c r="V35" s="62">
        <f t="shared" si="14"/>
        <v>0</v>
      </c>
      <c r="W35" s="63">
        <f t="shared" si="15"/>
        <v>0</v>
      </c>
    </row>
    <row r="36" spans="1:23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12"/>
        <v>0</v>
      </c>
      <c r="H36" s="4">
        <f t="shared" si="13"/>
        <v>0</v>
      </c>
      <c r="R36" s="60"/>
      <c r="S36" s="60"/>
      <c r="T36" s="60"/>
      <c r="U36" s="61"/>
      <c r="V36" s="62">
        <f t="shared" si="14"/>
        <v>0</v>
      </c>
      <c r="W36" s="63">
        <f t="shared" si="15"/>
        <v>0</v>
      </c>
    </row>
    <row r="37" spans="1:23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12"/>
        <v>0</v>
      </c>
      <c r="H37" s="4">
        <f t="shared" si="13"/>
        <v>0</v>
      </c>
      <c r="R37" s="60"/>
      <c r="S37" s="60"/>
      <c r="T37" s="60"/>
      <c r="U37" s="61"/>
      <c r="V37" s="62">
        <f t="shared" si="14"/>
        <v>0</v>
      </c>
      <c r="W37" s="63">
        <f t="shared" si="15"/>
        <v>0</v>
      </c>
    </row>
    <row r="38" spans="1:23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12"/>
        <v>0</v>
      </c>
      <c r="H38" s="4">
        <f t="shared" si="13"/>
        <v>0</v>
      </c>
      <c r="R38" s="60"/>
      <c r="S38" s="60"/>
      <c r="T38" s="60"/>
      <c r="U38" s="61"/>
      <c r="V38" s="62">
        <f t="shared" si="14"/>
        <v>0</v>
      </c>
      <c r="W38" s="63">
        <f t="shared" si="15"/>
        <v>0</v>
      </c>
    </row>
    <row r="39" spans="1:23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12"/>
        <v>0</v>
      </c>
      <c r="H39" s="4">
        <f t="shared" si="13"/>
        <v>0</v>
      </c>
      <c r="R39" s="60"/>
      <c r="S39" s="60"/>
      <c r="T39" s="60"/>
      <c r="U39" s="61"/>
      <c r="V39" s="62">
        <f t="shared" si="14"/>
        <v>0</v>
      </c>
      <c r="W39" s="63">
        <f t="shared" si="15"/>
        <v>0</v>
      </c>
    </row>
    <row r="40" spans="1:23" ht="27.75" hidden="1" customHeight="1">
      <c r="A40" s="7"/>
      <c r="B40" s="7"/>
      <c r="C40" s="8"/>
      <c r="D40" s="8"/>
      <c r="E40" s="8"/>
      <c r="F40" s="7"/>
      <c r="G40" s="7"/>
      <c r="H40" s="7"/>
      <c r="R40" s="66"/>
      <c r="S40" s="66"/>
      <c r="T40" s="66"/>
      <c r="U40" s="67"/>
      <c r="V40" s="67"/>
      <c r="W40" s="67"/>
    </row>
    <row r="41" spans="1:23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16">IF((C41-D41)&lt;0,0,C41-D41)</f>
        <v>0</v>
      </c>
      <c r="H41" s="4">
        <f t="shared" ref="H41:H49" si="17">IF((D41-C41)&lt;0,0,D41-C41)</f>
        <v>0</v>
      </c>
      <c r="R41" s="60"/>
      <c r="S41" s="60"/>
      <c r="T41" s="60"/>
      <c r="U41" s="61"/>
      <c r="V41" s="62">
        <f t="shared" ref="V41:V49" si="18">IF((R41-S41)&lt;0,0,R41-S41)</f>
        <v>0</v>
      </c>
      <c r="W41" s="63">
        <f t="shared" ref="W41:W49" si="19">IF((S41-R41)&lt;0,0,S41-R41)</f>
        <v>0</v>
      </c>
    </row>
    <row r="42" spans="1:23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16"/>
        <v>0</v>
      </c>
      <c r="H42" s="4">
        <f t="shared" si="17"/>
        <v>0</v>
      </c>
      <c r="R42" s="60"/>
      <c r="S42" s="60"/>
      <c r="T42" s="60"/>
      <c r="U42" s="61"/>
      <c r="V42" s="62">
        <f t="shared" si="18"/>
        <v>0</v>
      </c>
      <c r="W42" s="63">
        <f t="shared" si="19"/>
        <v>0</v>
      </c>
    </row>
    <row r="43" spans="1:23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16"/>
        <v>0</v>
      </c>
      <c r="H43" s="4">
        <f t="shared" si="17"/>
        <v>0</v>
      </c>
      <c r="R43" s="60"/>
      <c r="S43" s="60"/>
      <c r="T43" s="60"/>
      <c r="U43" s="61"/>
      <c r="V43" s="62">
        <f t="shared" si="18"/>
        <v>0</v>
      </c>
      <c r="W43" s="63">
        <f t="shared" si="19"/>
        <v>0</v>
      </c>
    </row>
    <row r="44" spans="1:23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16"/>
        <v>0</v>
      </c>
      <c r="H44" s="4">
        <f t="shared" si="17"/>
        <v>0</v>
      </c>
      <c r="R44" s="60"/>
      <c r="S44" s="60"/>
      <c r="T44" s="60"/>
      <c r="U44" s="61"/>
      <c r="V44" s="62">
        <f t="shared" si="18"/>
        <v>0</v>
      </c>
      <c r="W44" s="63">
        <f t="shared" si="19"/>
        <v>0</v>
      </c>
    </row>
    <row r="45" spans="1:23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16"/>
        <v>0</v>
      </c>
      <c r="H45" s="4">
        <f t="shared" si="17"/>
        <v>0</v>
      </c>
      <c r="R45" s="60"/>
      <c r="S45" s="60"/>
      <c r="T45" s="60"/>
      <c r="U45" s="61"/>
      <c r="V45" s="62">
        <f t="shared" si="18"/>
        <v>0</v>
      </c>
      <c r="W45" s="63">
        <f t="shared" si="19"/>
        <v>0</v>
      </c>
    </row>
    <row r="46" spans="1:23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16"/>
        <v>0</v>
      </c>
      <c r="H46" s="4">
        <f t="shared" si="17"/>
        <v>0</v>
      </c>
      <c r="R46" s="60"/>
      <c r="S46" s="60"/>
      <c r="T46" s="60"/>
      <c r="U46" s="61"/>
      <c r="V46" s="62">
        <f t="shared" si="18"/>
        <v>0</v>
      </c>
      <c r="W46" s="63">
        <f t="shared" si="19"/>
        <v>0</v>
      </c>
    </row>
    <row r="47" spans="1:23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16"/>
        <v>0</v>
      </c>
      <c r="H47" s="4">
        <f t="shared" si="17"/>
        <v>0</v>
      </c>
      <c r="R47" s="60"/>
      <c r="S47" s="60"/>
      <c r="T47" s="60"/>
      <c r="U47" s="61"/>
      <c r="V47" s="62">
        <f t="shared" si="18"/>
        <v>0</v>
      </c>
      <c r="W47" s="63">
        <f t="shared" si="19"/>
        <v>0</v>
      </c>
    </row>
    <row r="48" spans="1:23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16"/>
        <v>0</v>
      </c>
      <c r="H48" s="4">
        <f t="shared" si="17"/>
        <v>0</v>
      </c>
      <c r="R48" s="60"/>
      <c r="S48" s="60"/>
      <c r="T48" s="60"/>
      <c r="U48" s="61"/>
      <c r="V48" s="62">
        <f t="shared" si="18"/>
        <v>0</v>
      </c>
      <c r="W48" s="63">
        <f t="shared" si="19"/>
        <v>0</v>
      </c>
    </row>
    <row r="49" spans="1:23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16"/>
        <v>0</v>
      </c>
      <c r="H49" s="4">
        <f t="shared" si="17"/>
        <v>0</v>
      </c>
      <c r="R49" s="60"/>
      <c r="S49" s="60"/>
      <c r="T49" s="60"/>
      <c r="U49" s="61"/>
      <c r="V49" s="62">
        <f t="shared" si="18"/>
        <v>0</v>
      </c>
      <c r="W49" s="63">
        <f t="shared" si="19"/>
        <v>0</v>
      </c>
    </row>
    <row r="50" spans="1:23" ht="27.75" hidden="1" customHeight="1">
      <c r="A50" s="7"/>
      <c r="B50" s="7"/>
      <c r="C50" s="8"/>
      <c r="D50" s="8"/>
      <c r="E50" s="8"/>
      <c r="F50" s="7"/>
      <c r="G50" s="7"/>
      <c r="H50" s="7"/>
      <c r="R50" s="66"/>
      <c r="S50" s="66"/>
      <c r="T50" s="66"/>
      <c r="U50" s="67"/>
      <c r="V50" s="67"/>
      <c r="W50" s="68"/>
    </row>
    <row r="51" spans="1:23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20">IF((C51-D51)&lt;0,0,C51-D51)</f>
        <v>0</v>
      </c>
      <c r="H51" s="4">
        <f t="shared" ref="H51:H59" si="21">IF((D51-C51)&lt;0,0,D51-C51)</f>
        <v>0</v>
      </c>
      <c r="K51" s="46">
        <v>914</v>
      </c>
      <c r="L51" s="46">
        <v>1102</v>
      </c>
      <c r="M51" s="46">
        <v>2025</v>
      </c>
      <c r="N51" s="47" t="s">
        <v>20</v>
      </c>
      <c r="O51" s="48">
        <v>0</v>
      </c>
      <c r="P51" s="49">
        <v>188</v>
      </c>
      <c r="R51" s="69">
        <v>914</v>
      </c>
      <c r="S51" s="69">
        <v>1102</v>
      </c>
      <c r="T51" s="69">
        <v>2025</v>
      </c>
      <c r="U51" s="70" t="s">
        <v>20</v>
      </c>
      <c r="V51" s="62">
        <f t="shared" ref="V51:V59" si="22">IF((R51-S51)&lt;0,0,R51-S51)</f>
        <v>0</v>
      </c>
      <c r="W51" s="63">
        <f t="shared" ref="W51:W59" si="23">IF((S51-R51)&lt;0,0,S51-R51)</f>
        <v>188</v>
      </c>
    </row>
    <row r="52" spans="1:23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20"/>
        <v>0</v>
      </c>
      <c r="H52" s="4">
        <f t="shared" si="21"/>
        <v>0</v>
      </c>
      <c r="K52" s="46"/>
      <c r="L52" s="46"/>
      <c r="M52" s="46"/>
      <c r="N52" s="47"/>
      <c r="O52" s="48">
        <v>0</v>
      </c>
      <c r="P52" s="49">
        <v>0</v>
      </c>
      <c r="R52" s="69"/>
      <c r="S52" s="69"/>
      <c r="T52" s="69"/>
      <c r="U52" s="70"/>
      <c r="V52" s="62">
        <f t="shared" si="22"/>
        <v>0</v>
      </c>
      <c r="W52" s="63">
        <f t="shared" si="23"/>
        <v>0</v>
      </c>
    </row>
    <row r="53" spans="1:23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20"/>
        <v>0</v>
      </c>
      <c r="H53" s="4">
        <f t="shared" si="21"/>
        <v>0</v>
      </c>
      <c r="K53" s="46">
        <v>914</v>
      </c>
      <c r="L53" s="46">
        <v>742</v>
      </c>
      <c r="M53" s="46">
        <v>2024</v>
      </c>
      <c r="N53" s="47" t="s">
        <v>20</v>
      </c>
      <c r="O53" s="48">
        <v>172</v>
      </c>
      <c r="P53" s="49">
        <v>0</v>
      </c>
      <c r="R53" s="69">
        <v>914</v>
      </c>
      <c r="S53" s="69">
        <v>742</v>
      </c>
      <c r="T53" s="69">
        <v>2024</v>
      </c>
      <c r="U53" s="70" t="s">
        <v>20</v>
      </c>
      <c r="V53" s="62">
        <f t="shared" si="22"/>
        <v>172</v>
      </c>
      <c r="W53" s="63">
        <f t="shared" si="23"/>
        <v>0</v>
      </c>
    </row>
    <row r="54" spans="1:23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20"/>
        <v>0</v>
      </c>
      <c r="H54" s="4">
        <f t="shared" si="21"/>
        <v>0</v>
      </c>
      <c r="K54" s="46">
        <v>914</v>
      </c>
      <c r="L54" s="46">
        <v>7</v>
      </c>
      <c r="M54" s="46">
        <v>2024</v>
      </c>
      <c r="N54" s="47" t="s">
        <v>20</v>
      </c>
      <c r="O54" s="48">
        <v>907</v>
      </c>
      <c r="P54" s="49">
        <v>0</v>
      </c>
      <c r="R54" s="69">
        <v>914</v>
      </c>
      <c r="S54" s="69">
        <v>7</v>
      </c>
      <c r="T54" s="69">
        <v>2024</v>
      </c>
      <c r="U54" s="70" t="s">
        <v>20</v>
      </c>
      <c r="V54" s="62">
        <f t="shared" si="22"/>
        <v>907</v>
      </c>
      <c r="W54" s="63">
        <f t="shared" si="23"/>
        <v>0</v>
      </c>
    </row>
    <row r="55" spans="1:23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20"/>
        <v>0</v>
      </c>
      <c r="H55" s="4">
        <f t="shared" si="21"/>
        <v>0</v>
      </c>
      <c r="K55" s="46">
        <v>914</v>
      </c>
      <c r="L55" s="46">
        <v>1102</v>
      </c>
      <c r="M55" s="46">
        <v>2025</v>
      </c>
      <c r="N55" s="47" t="s">
        <v>20</v>
      </c>
      <c r="O55" s="48">
        <v>0</v>
      </c>
      <c r="P55" s="49">
        <v>188</v>
      </c>
      <c r="R55" s="69">
        <v>914</v>
      </c>
      <c r="S55" s="69">
        <v>1102</v>
      </c>
      <c r="T55" s="69">
        <v>2025</v>
      </c>
      <c r="U55" s="70" t="s">
        <v>20</v>
      </c>
      <c r="V55" s="62">
        <f t="shared" si="22"/>
        <v>0</v>
      </c>
      <c r="W55" s="63">
        <f t="shared" si="23"/>
        <v>188</v>
      </c>
    </row>
    <row r="56" spans="1:23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20"/>
        <v>0</v>
      </c>
      <c r="H56" s="4">
        <f t="shared" si="21"/>
        <v>0</v>
      </c>
      <c r="K56" s="46">
        <v>914</v>
      </c>
      <c r="L56" s="46">
        <v>749</v>
      </c>
      <c r="M56" s="46">
        <v>2024</v>
      </c>
      <c r="N56" s="47" t="s">
        <v>20</v>
      </c>
      <c r="O56" s="48">
        <v>165</v>
      </c>
      <c r="P56" s="49">
        <v>0</v>
      </c>
      <c r="R56" s="69">
        <v>914</v>
      </c>
      <c r="S56" s="69">
        <v>749</v>
      </c>
      <c r="T56" s="69">
        <v>2024</v>
      </c>
      <c r="U56" s="70" t="s">
        <v>20</v>
      </c>
      <c r="V56" s="62">
        <f t="shared" si="22"/>
        <v>165</v>
      </c>
      <c r="W56" s="63">
        <f t="shared" si="23"/>
        <v>0</v>
      </c>
    </row>
    <row r="57" spans="1:23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20"/>
        <v>0</v>
      </c>
      <c r="H57" s="4">
        <f t="shared" si="21"/>
        <v>0</v>
      </c>
      <c r="K57" s="46">
        <v>914</v>
      </c>
      <c r="L57" s="46">
        <v>1102</v>
      </c>
      <c r="M57" s="46">
        <v>2025</v>
      </c>
      <c r="N57" s="47" t="s">
        <v>20</v>
      </c>
      <c r="O57" s="48">
        <v>0</v>
      </c>
      <c r="P57" s="49">
        <v>188</v>
      </c>
      <c r="R57" s="69">
        <v>914</v>
      </c>
      <c r="S57" s="69">
        <v>1102</v>
      </c>
      <c r="T57" s="69">
        <v>2025</v>
      </c>
      <c r="U57" s="70" t="s">
        <v>20</v>
      </c>
      <c r="V57" s="62">
        <f t="shared" si="22"/>
        <v>0</v>
      </c>
      <c r="W57" s="63">
        <f t="shared" si="23"/>
        <v>188</v>
      </c>
    </row>
    <row r="58" spans="1:23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20"/>
        <v>0</v>
      </c>
      <c r="H58" s="4">
        <f t="shared" si="21"/>
        <v>0</v>
      </c>
      <c r="K58" s="46"/>
      <c r="L58" s="46"/>
      <c r="M58" s="46"/>
      <c r="N58" s="47"/>
      <c r="O58" s="48">
        <v>0</v>
      </c>
      <c r="P58" s="49">
        <v>0</v>
      </c>
      <c r="R58" s="69"/>
      <c r="S58" s="69"/>
      <c r="T58" s="69"/>
      <c r="U58" s="70"/>
      <c r="V58" s="62">
        <f t="shared" si="22"/>
        <v>0</v>
      </c>
      <c r="W58" s="63">
        <f t="shared" si="23"/>
        <v>0</v>
      </c>
    </row>
    <row r="59" spans="1:23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20"/>
        <v>0</v>
      </c>
      <c r="H59" s="4">
        <f t="shared" si="21"/>
        <v>0</v>
      </c>
      <c r="K59" s="46">
        <v>914</v>
      </c>
      <c r="L59" s="46">
        <v>1102</v>
      </c>
      <c r="M59" s="46">
        <v>2025</v>
      </c>
      <c r="N59" s="47" t="s">
        <v>20</v>
      </c>
      <c r="O59" s="48">
        <v>0</v>
      </c>
      <c r="P59" s="49">
        <v>188</v>
      </c>
      <c r="R59" s="69">
        <v>914</v>
      </c>
      <c r="S59" s="69">
        <v>1102</v>
      </c>
      <c r="T59" s="69">
        <v>2025</v>
      </c>
      <c r="U59" s="70" t="s">
        <v>20</v>
      </c>
      <c r="V59" s="62">
        <f t="shared" si="22"/>
        <v>0</v>
      </c>
      <c r="W59" s="63">
        <f t="shared" si="23"/>
        <v>188</v>
      </c>
    </row>
    <row r="60" spans="1:23" ht="27.75" customHeight="1">
      <c r="A60" s="7"/>
      <c r="B60" s="7"/>
      <c r="C60" s="8"/>
      <c r="D60" s="8"/>
      <c r="E60" s="8"/>
      <c r="F60" s="7"/>
      <c r="G60" s="7"/>
      <c r="H60" s="7"/>
      <c r="K60" s="50"/>
      <c r="L60" s="50"/>
      <c r="M60" s="50"/>
      <c r="N60" s="51"/>
      <c r="O60" s="51"/>
      <c r="P60" s="52"/>
      <c r="R60" s="66"/>
      <c r="S60" s="66"/>
      <c r="T60" s="66"/>
      <c r="U60" s="67"/>
      <c r="V60" s="67"/>
      <c r="W60" s="68"/>
    </row>
    <row r="61" spans="1:23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24">IF((C61-D61)&lt;0,0,C61-D61)</f>
        <v>0</v>
      </c>
      <c r="H61" s="4">
        <f t="shared" ref="H61:H69" si="25">IF((D61-C61)&lt;0,0,D61-C61)</f>
        <v>0</v>
      </c>
      <c r="K61" s="46">
        <v>868</v>
      </c>
      <c r="L61" s="46">
        <v>702</v>
      </c>
      <c r="M61" s="46">
        <v>2025</v>
      </c>
      <c r="N61" s="47" t="s">
        <v>20</v>
      </c>
      <c r="O61" s="48">
        <v>166</v>
      </c>
      <c r="P61" s="49">
        <v>0</v>
      </c>
      <c r="R61" s="69">
        <v>868</v>
      </c>
      <c r="S61" s="69">
        <v>702</v>
      </c>
      <c r="T61" s="69">
        <v>2025</v>
      </c>
      <c r="U61" s="70" t="s">
        <v>20</v>
      </c>
      <c r="V61" s="62">
        <f t="shared" ref="V61:V69" si="26">IF((R61-S61)&lt;0,0,R61-S61)</f>
        <v>166</v>
      </c>
      <c r="W61" s="63">
        <f t="shared" ref="W61:W69" si="27">IF((S61-R61)&lt;0,0,S61-R61)</f>
        <v>0</v>
      </c>
    </row>
    <row r="62" spans="1:23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24"/>
        <v>0</v>
      </c>
      <c r="H62" s="4">
        <f t="shared" si="25"/>
        <v>0</v>
      </c>
      <c r="K62" s="46">
        <v>868</v>
      </c>
      <c r="L62" s="46">
        <v>784</v>
      </c>
      <c r="M62" s="46">
        <v>2024</v>
      </c>
      <c r="N62" s="47" t="s">
        <v>20</v>
      </c>
      <c r="O62" s="48">
        <v>84</v>
      </c>
      <c r="P62" s="49">
        <v>0</v>
      </c>
      <c r="R62" s="69">
        <v>868</v>
      </c>
      <c r="S62" s="69">
        <v>784</v>
      </c>
      <c r="T62" s="69">
        <v>2024</v>
      </c>
      <c r="U62" s="70" t="s">
        <v>20</v>
      </c>
      <c r="V62" s="62">
        <f t="shared" si="26"/>
        <v>84</v>
      </c>
      <c r="W62" s="63">
        <f t="shared" si="27"/>
        <v>0</v>
      </c>
    </row>
    <row r="63" spans="1:23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24"/>
        <v>0</v>
      </c>
      <c r="H63" s="4">
        <f t="shared" si="25"/>
        <v>0</v>
      </c>
      <c r="K63" s="46">
        <v>868</v>
      </c>
      <c r="L63" s="46">
        <v>740</v>
      </c>
      <c r="M63" s="46">
        <v>2024</v>
      </c>
      <c r="N63" s="47" t="s">
        <v>20</v>
      </c>
      <c r="O63" s="48">
        <v>128</v>
      </c>
      <c r="P63" s="49">
        <v>0</v>
      </c>
      <c r="R63" s="69">
        <v>868</v>
      </c>
      <c r="S63" s="69">
        <v>740</v>
      </c>
      <c r="T63" s="69">
        <v>2024</v>
      </c>
      <c r="U63" s="70" t="s">
        <v>20</v>
      </c>
      <c r="V63" s="62">
        <f t="shared" si="26"/>
        <v>128</v>
      </c>
      <c r="W63" s="63">
        <f t="shared" si="27"/>
        <v>0</v>
      </c>
    </row>
    <row r="64" spans="1:23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24"/>
        <v>0</v>
      </c>
      <c r="H64" s="4">
        <f t="shared" si="25"/>
        <v>0</v>
      </c>
      <c r="K64" s="46">
        <v>868</v>
      </c>
      <c r="L64" s="46">
        <v>1029</v>
      </c>
      <c r="M64" s="46">
        <v>2025</v>
      </c>
      <c r="N64" s="47" t="s">
        <v>20</v>
      </c>
      <c r="O64" s="48">
        <v>0</v>
      </c>
      <c r="P64" s="49">
        <v>161</v>
      </c>
      <c r="R64" s="69">
        <v>868</v>
      </c>
      <c r="S64" s="69">
        <v>1029</v>
      </c>
      <c r="T64" s="69">
        <v>2025</v>
      </c>
      <c r="U64" s="70" t="s">
        <v>20</v>
      </c>
      <c r="V64" s="62">
        <f t="shared" si="26"/>
        <v>0</v>
      </c>
      <c r="W64" s="63">
        <f t="shared" si="27"/>
        <v>161</v>
      </c>
    </row>
    <row r="65" spans="1:23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24"/>
        <v>0</v>
      </c>
      <c r="H65" s="4">
        <f t="shared" si="25"/>
        <v>0</v>
      </c>
      <c r="K65" s="46">
        <v>868</v>
      </c>
      <c r="L65" s="46">
        <v>8</v>
      </c>
      <c r="M65" s="46">
        <v>2024</v>
      </c>
      <c r="N65" s="47" t="s">
        <v>20</v>
      </c>
      <c r="O65" s="48">
        <v>860</v>
      </c>
      <c r="P65" s="49">
        <v>0</v>
      </c>
      <c r="R65" s="69">
        <v>868</v>
      </c>
      <c r="S65" s="69">
        <v>8</v>
      </c>
      <c r="T65" s="69">
        <v>2024</v>
      </c>
      <c r="U65" s="70" t="s">
        <v>20</v>
      </c>
      <c r="V65" s="62">
        <f t="shared" si="26"/>
        <v>860</v>
      </c>
      <c r="W65" s="63">
        <f t="shared" si="27"/>
        <v>0</v>
      </c>
    </row>
    <row r="66" spans="1:23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24"/>
        <v>0</v>
      </c>
      <c r="H66" s="4">
        <f t="shared" si="25"/>
        <v>0</v>
      </c>
      <c r="K66" s="46">
        <v>868</v>
      </c>
      <c r="L66" s="46">
        <v>541</v>
      </c>
      <c r="M66" s="46">
        <v>2024</v>
      </c>
      <c r="N66" s="47" t="s">
        <v>20</v>
      </c>
      <c r="O66" s="48">
        <v>327</v>
      </c>
      <c r="P66" s="49">
        <v>0</v>
      </c>
      <c r="R66" s="69">
        <v>868</v>
      </c>
      <c r="S66" s="69">
        <v>541</v>
      </c>
      <c r="T66" s="69">
        <v>2024</v>
      </c>
      <c r="U66" s="70" t="s">
        <v>20</v>
      </c>
      <c r="V66" s="62">
        <f t="shared" si="26"/>
        <v>327</v>
      </c>
      <c r="W66" s="63">
        <f t="shared" si="27"/>
        <v>0</v>
      </c>
    </row>
    <row r="67" spans="1:23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24"/>
        <v>0</v>
      </c>
      <c r="H67" s="4">
        <f t="shared" si="25"/>
        <v>0</v>
      </c>
      <c r="K67" s="46">
        <v>868</v>
      </c>
      <c r="L67" s="46">
        <v>670</v>
      </c>
      <c r="M67" s="46">
        <v>2024</v>
      </c>
      <c r="N67" s="47" t="s">
        <v>20</v>
      </c>
      <c r="O67" s="48">
        <v>198</v>
      </c>
      <c r="P67" s="49">
        <v>0</v>
      </c>
      <c r="R67" s="69">
        <v>868</v>
      </c>
      <c r="S67" s="69">
        <v>670</v>
      </c>
      <c r="T67" s="69">
        <v>2024</v>
      </c>
      <c r="U67" s="70" t="s">
        <v>20</v>
      </c>
      <c r="V67" s="62">
        <f t="shared" si="26"/>
        <v>198</v>
      </c>
      <c r="W67" s="63">
        <f t="shared" si="27"/>
        <v>0</v>
      </c>
    </row>
    <row r="68" spans="1:23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24"/>
        <v>0</v>
      </c>
      <c r="H68" s="4">
        <f t="shared" si="25"/>
        <v>0</v>
      </c>
      <c r="K68" s="46"/>
      <c r="L68" s="46"/>
      <c r="M68" s="46"/>
      <c r="N68" s="47"/>
      <c r="O68" s="48">
        <v>0</v>
      </c>
      <c r="P68" s="49">
        <v>0</v>
      </c>
      <c r="R68" s="69"/>
      <c r="S68" s="69"/>
      <c r="T68" s="69"/>
      <c r="U68" s="70"/>
      <c r="V68" s="62">
        <f t="shared" si="26"/>
        <v>0</v>
      </c>
      <c r="W68" s="63">
        <f t="shared" si="27"/>
        <v>0</v>
      </c>
    </row>
    <row r="69" spans="1:23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24"/>
        <v>0</v>
      </c>
      <c r="H69" s="4">
        <f t="shared" si="25"/>
        <v>0</v>
      </c>
      <c r="K69" s="46">
        <v>868</v>
      </c>
      <c r="L69" s="46">
        <v>555</v>
      </c>
      <c r="M69" s="46">
        <v>2024</v>
      </c>
      <c r="N69" s="47" t="s">
        <v>20</v>
      </c>
      <c r="O69" s="48">
        <v>313</v>
      </c>
      <c r="P69" s="49">
        <v>0</v>
      </c>
      <c r="R69" s="69">
        <v>868</v>
      </c>
      <c r="S69" s="69">
        <v>555</v>
      </c>
      <c r="T69" s="69">
        <v>2024</v>
      </c>
      <c r="U69" s="70" t="s">
        <v>20</v>
      </c>
      <c r="V69" s="62">
        <f t="shared" si="26"/>
        <v>313</v>
      </c>
      <c r="W69" s="63">
        <f t="shared" si="27"/>
        <v>0</v>
      </c>
    </row>
    <row r="70" spans="1:23" ht="27.75" customHeight="1">
      <c r="A70" s="7"/>
      <c r="B70" s="7"/>
      <c r="C70" s="8"/>
      <c r="D70" s="8"/>
      <c r="E70" s="8"/>
      <c r="F70" s="7"/>
      <c r="G70" s="7"/>
      <c r="H70" s="7"/>
      <c r="K70" s="50"/>
      <c r="L70" s="50"/>
      <c r="M70" s="50"/>
      <c r="N70" s="51"/>
      <c r="O70" s="51"/>
      <c r="P70" s="52"/>
      <c r="R70" s="66"/>
      <c r="S70" s="66"/>
      <c r="T70" s="66"/>
      <c r="U70" s="67"/>
      <c r="V70" s="67"/>
      <c r="W70" s="68"/>
    </row>
    <row r="71" spans="1:23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28">IF((C71-D71)&lt;0,0,C71-D71)</f>
        <v>0</v>
      </c>
      <c r="H71" s="4">
        <f t="shared" ref="H71:H79" si="29">IF((D71-C71)&lt;0,0,D71-C71)</f>
        <v>0</v>
      </c>
      <c r="K71" s="46">
        <v>723</v>
      </c>
      <c r="L71" s="46">
        <v>658</v>
      </c>
      <c r="M71" s="46">
        <v>2024</v>
      </c>
      <c r="N71" s="47" t="s">
        <v>20</v>
      </c>
      <c r="O71" s="48">
        <v>65</v>
      </c>
      <c r="P71" s="49">
        <v>0</v>
      </c>
      <c r="R71" s="69">
        <v>723</v>
      </c>
      <c r="S71" s="69">
        <v>658</v>
      </c>
      <c r="T71" s="69">
        <v>2024</v>
      </c>
      <c r="U71" s="70" t="s">
        <v>20</v>
      </c>
      <c r="V71" s="62">
        <f t="shared" ref="V71:V79" si="30">IF((R71-S71)&lt;0,0,R71-S71)</f>
        <v>65</v>
      </c>
      <c r="W71" s="63">
        <f t="shared" ref="W71:W79" si="31">IF((S71-R71)&lt;0,0,S71-R71)</f>
        <v>0</v>
      </c>
    </row>
    <row r="72" spans="1:23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28"/>
        <v>0</v>
      </c>
      <c r="H72" s="4">
        <f t="shared" si="29"/>
        <v>0</v>
      </c>
      <c r="K72" s="46">
        <v>723</v>
      </c>
      <c r="L72" s="46">
        <v>1466</v>
      </c>
      <c r="M72" s="46">
        <v>2024</v>
      </c>
      <c r="N72" s="47" t="s">
        <v>20</v>
      </c>
      <c r="O72" s="48">
        <v>0</v>
      </c>
      <c r="P72" s="49">
        <v>743</v>
      </c>
      <c r="R72" s="69">
        <v>723</v>
      </c>
      <c r="S72" s="69">
        <v>1466</v>
      </c>
      <c r="T72" s="69">
        <v>2024</v>
      </c>
      <c r="U72" s="70" t="s">
        <v>20</v>
      </c>
      <c r="V72" s="62">
        <f t="shared" si="30"/>
        <v>0</v>
      </c>
      <c r="W72" s="63">
        <f t="shared" si="31"/>
        <v>743</v>
      </c>
    </row>
    <row r="73" spans="1:23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28"/>
        <v>0</v>
      </c>
      <c r="H73" s="4">
        <f t="shared" si="29"/>
        <v>0</v>
      </c>
      <c r="K73" s="46">
        <v>723</v>
      </c>
      <c r="L73" s="46">
        <v>588</v>
      </c>
      <c r="M73" s="46">
        <v>2024</v>
      </c>
      <c r="N73" s="47" t="s">
        <v>20</v>
      </c>
      <c r="O73" s="48">
        <v>135</v>
      </c>
      <c r="P73" s="49">
        <v>0</v>
      </c>
      <c r="R73" s="69">
        <v>723</v>
      </c>
      <c r="S73" s="69">
        <v>588</v>
      </c>
      <c r="T73" s="69">
        <v>2024</v>
      </c>
      <c r="U73" s="70" t="s">
        <v>20</v>
      </c>
      <c r="V73" s="62">
        <f t="shared" si="30"/>
        <v>135</v>
      </c>
      <c r="W73" s="63">
        <f t="shared" si="31"/>
        <v>0</v>
      </c>
    </row>
    <row r="74" spans="1:23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28"/>
        <v>0</v>
      </c>
      <c r="H74" s="4">
        <f t="shared" si="29"/>
        <v>0</v>
      </c>
      <c r="K74" s="46">
        <v>723</v>
      </c>
      <c r="L74" s="46">
        <v>926</v>
      </c>
      <c r="M74" s="46">
        <v>2024</v>
      </c>
      <c r="N74" s="47" t="s">
        <v>20</v>
      </c>
      <c r="O74" s="48">
        <v>0</v>
      </c>
      <c r="P74" s="49">
        <v>203</v>
      </c>
      <c r="R74" s="69">
        <v>723</v>
      </c>
      <c r="S74" s="69">
        <v>926</v>
      </c>
      <c r="T74" s="69">
        <v>2024</v>
      </c>
      <c r="U74" s="70" t="s">
        <v>20</v>
      </c>
      <c r="V74" s="62">
        <f t="shared" si="30"/>
        <v>0</v>
      </c>
      <c r="W74" s="63">
        <f t="shared" si="31"/>
        <v>203</v>
      </c>
    </row>
    <row r="75" spans="1:23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28"/>
        <v>0</v>
      </c>
      <c r="H75" s="4">
        <f t="shared" si="29"/>
        <v>0</v>
      </c>
      <c r="K75" s="46">
        <v>723</v>
      </c>
      <c r="L75" s="46">
        <v>1399</v>
      </c>
      <c r="M75" s="46">
        <v>2024</v>
      </c>
      <c r="N75" s="47" t="s">
        <v>20</v>
      </c>
      <c r="O75" s="48">
        <v>0</v>
      </c>
      <c r="P75" s="49">
        <v>676</v>
      </c>
      <c r="R75" s="69">
        <v>723</v>
      </c>
      <c r="S75" s="69">
        <v>1399</v>
      </c>
      <c r="T75" s="69">
        <v>2024</v>
      </c>
      <c r="U75" s="70" t="s">
        <v>20</v>
      </c>
      <c r="V75" s="62">
        <f t="shared" si="30"/>
        <v>0</v>
      </c>
      <c r="W75" s="63">
        <f t="shared" si="31"/>
        <v>676</v>
      </c>
    </row>
    <row r="76" spans="1:23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28"/>
        <v>0</v>
      </c>
      <c r="H76" s="4">
        <f t="shared" si="29"/>
        <v>0</v>
      </c>
      <c r="K76" s="46">
        <v>723</v>
      </c>
      <c r="L76" s="46">
        <v>579</v>
      </c>
      <c r="M76" s="46">
        <v>2024</v>
      </c>
      <c r="N76" s="47" t="s">
        <v>20</v>
      </c>
      <c r="O76" s="48">
        <v>144</v>
      </c>
      <c r="P76" s="49">
        <v>0</v>
      </c>
      <c r="R76" s="69">
        <v>723</v>
      </c>
      <c r="S76" s="69">
        <v>579</v>
      </c>
      <c r="T76" s="69">
        <v>2024</v>
      </c>
      <c r="U76" s="70" t="s">
        <v>20</v>
      </c>
      <c r="V76" s="62">
        <f t="shared" si="30"/>
        <v>144</v>
      </c>
      <c r="W76" s="63">
        <f t="shared" si="31"/>
        <v>0</v>
      </c>
    </row>
    <row r="77" spans="1:23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28"/>
        <v>0</v>
      </c>
      <c r="H77" s="4">
        <f t="shared" si="29"/>
        <v>0</v>
      </c>
      <c r="K77" s="46">
        <v>723</v>
      </c>
      <c r="L77" s="46">
        <v>687</v>
      </c>
      <c r="M77" s="46">
        <v>2024</v>
      </c>
      <c r="N77" s="47" t="s">
        <v>20</v>
      </c>
      <c r="O77" s="48">
        <v>36</v>
      </c>
      <c r="P77" s="49">
        <v>0</v>
      </c>
      <c r="R77" s="69">
        <v>723</v>
      </c>
      <c r="S77" s="69">
        <v>687</v>
      </c>
      <c r="T77" s="69">
        <v>2024</v>
      </c>
      <c r="U77" s="70" t="s">
        <v>20</v>
      </c>
      <c r="V77" s="62">
        <f t="shared" si="30"/>
        <v>36</v>
      </c>
      <c r="W77" s="63">
        <f t="shared" si="31"/>
        <v>0</v>
      </c>
    </row>
    <row r="78" spans="1:23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28"/>
        <v>0</v>
      </c>
      <c r="H78" s="4">
        <f t="shared" si="29"/>
        <v>0</v>
      </c>
      <c r="K78" s="46"/>
      <c r="L78" s="46"/>
      <c r="M78" s="46"/>
      <c r="N78" s="47"/>
      <c r="O78" s="48">
        <v>0</v>
      </c>
      <c r="P78" s="49">
        <v>0</v>
      </c>
      <c r="R78" s="69"/>
      <c r="S78" s="69"/>
      <c r="T78" s="69"/>
      <c r="U78" s="70"/>
      <c r="V78" s="62">
        <f t="shared" si="30"/>
        <v>0</v>
      </c>
      <c r="W78" s="63">
        <f t="shared" si="31"/>
        <v>0</v>
      </c>
    </row>
    <row r="79" spans="1:23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28"/>
        <v>0</v>
      </c>
      <c r="H79" s="4">
        <f t="shared" si="29"/>
        <v>0</v>
      </c>
      <c r="K79" s="46">
        <v>723</v>
      </c>
      <c r="L79" s="46">
        <v>520</v>
      </c>
      <c r="M79" s="46">
        <v>2024</v>
      </c>
      <c r="N79" s="47" t="s">
        <v>20</v>
      </c>
      <c r="O79" s="48">
        <v>203</v>
      </c>
      <c r="P79" s="49">
        <v>0</v>
      </c>
      <c r="R79" s="69">
        <v>723</v>
      </c>
      <c r="S79" s="69">
        <v>520</v>
      </c>
      <c r="T79" s="69">
        <v>2024</v>
      </c>
      <c r="U79" s="70" t="s">
        <v>20</v>
      </c>
      <c r="V79" s="62">
        <f t="shared" si="30"/>
        <v>203</v>
      </c>
      <c r="W79" s="63">
        <f t="shared" si="31"/>
        <v>0</v>
      </c>
    </row>
    <row r="80" spans="1:23" ht="27.75" customHeight="1">
      <c r="A80" s="7"/>
      <c r="B80" s="8"/>
      <c r="C80" s="8"/>
      <c r="D80" s="8"/>
      <c r="E80" s="8"/>
      <c r="F80" s="7"/>
      <c r="G80" s="7"/>
      <c r="H80" s="7"/>
      <c r="K80" s="50"/>
      <c r="L80" s="50"/>
      <c r="M80" s="50"/>
      <c r="N80" s="51"/>
      <c r="O80" s="51"/>
      <c r="P80" s="52"/>
      <c r="R80" s="66"/>
      <c r="S80" s="66"/>
      <c r="T80" s="66"/>
      <c r="U80" s="67"/>
      <c r="V80" s="67"/>
      <c r="W80" s="68"/>
    </row>
    <row r="81" spans="1:23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32">IF((C81-D81)&lt;0,0,C81-D81)</f>
        <v>0</v>
      </c>
      <c r="H81" s="4">
        <f t="shared" ref="H81:H89" si="33">IF((D81-C81)&lt;0,0,D81-C81)</f>
        <v>0</v>
      </c>
      <c r="K81" s="46">
        <v>944</v>
      </c>
      <c r="L81" s="46">
        <v>283</v>
      </c>
      <c r="M81" s="46">
        <v>2024</v>
      </c>
      <c r="N81" s="47" t="s">
        <v>20</v>
      </c>
      <c r="O81" s="48">
        <v>661</v>
      </c>
      <c r="P81" s="49">
        <v>0</v>
      </c>
      <c r="R81" s="69">
        <v>944</v>
      </c>
      <c r="S81" s="69">
        <v>283</v>
      </c>
      <c r="T81" s="69">
        <v>2024</v>
      </c>
      <c r="U81" s="70" t="s">
        <v>20</v>
      </c>
      <c r="V81" s="62">
        <f t="shared" ref="V81:V89" si="34">IF((R81-S81)&lt;0,0,R81-S81)</f>
        <v>661</v>
      </c>
      <c r="W81" s="63">
        <f t="shared" ref="W81:W89" si="35">IF((S81-R81)&lt;0,0,S81-R81)</f>
        <v>0</v>
      </c>
    </row>
    <row r="82" spans="1:23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32"/>
        <v>0</v>
      </c>
      <c r="H82" s="4">
        <f t="shared" si="33"/>
        <v>0</v>
      </c>
      <c r="K82" s="46">
        <v>944</v>
      </c>
      <c r="L82" s="46">
        <v>796</v>
      </c>
      <c r="M82" s="46">
        <v>2024</v>
      </c>
      <c r="N82" s="47" t="s">
        <v>20</v>
      </c>
      <c r="O82" s="48">
        <v>148</v>
      </c>
      <c r="P82" s="49">
        <v>0</v>
      </c>
      <c r="R82" s="69">
        <v>944</v>
      </c>
      <c r="S82" s="69">
        <v>796</v>
      </c>
      <c r="T82" s="69">
        <v>2024</v>
      </c>
      <c r="U82" s="70" t="s">
        <v>20</v>
      </c>
      <c r="V82" s="62">
        <f t="shared" si="34"/>
        <v>148</v>
      </c>
      <c r="W82" s="63">
        <f t="shared" si="35"/>
        <v>0</v>
      </c>
    </row>
    <row r="83" spans="1:23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32"/>
        <v>0</v>
      </c>
      <c r="H83" s="4">
        <f t="shared" si="33"/>
        <v>0</v>
      </c>
      <c r="K83" s="46">
        <v>944</v>
      </c>
      <c r="L83" s="46">
        <v>390</v>
      </c>
      <c r="M83" s="46">
        <v>2024</v>
      </c>
      <c r="N83" s="47" t="s">
        <v>20</v>
      </c>
      <c r="O83" s="48">
        <v>554</v>
      </c>
      <c r="P83" s="49">
        <v>0</v>
      </c>
      <c r="R83" s="69">
        <v>944</v>
      </c>
      <c r="S83" s="69">
        <v>390</v>
      </c>
      <c r="T83" s="69">
        <v>2024</v>
      </c>
      <c r="U83" s="70" t="s">
        <v>20</v>
      </c>
      <c r="V83" s="62">
        <f t="shared" si="34"/>
        <v>554</v>
      </c>
      <c r="W83" s="63">
        <f t="shared" si="35"/>
        <v>0</v>
      </c>
    </row>
    <row r="84" spans="1:23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32"/>
        <v>0</v>
      </c>
      <c r="H84" s="4">
        <f t="shared" si="33"/>
        <v>0</v>
      </c>
      <c r="K84" s="46">
        <v>944</v>
      </c>
      <c r="L84" s="46">
        <v>408</v>
      </c>
      <c r="M84" s="46">
        <v>2024</v>
      </c>
      <c r="N84" s="47" t="s">
        <v>20</v>
      </c>
      <c r="O84" s="48">
        <v>536</v>
      </c>
      <c r="P84" s="49">
        <v>0</v>
      </c>
      <c r="R84" s="69">
        <v>944</v>
      </c>
      <c r="S84" s="69">
        <v>408</v>
      </c>
      <c r="T84" s="69">
        <v>2024</v>
      </c>
      <c r="U84" s="70" t="s">
        <v>20</v>
      </c>
      <c r="V84" s="62">
        <f t="shared" si="34"/>
        <v>536</v>
      </c>
      <c r="W84" s="63">
        <f t="shared" si="35"/>
        <v>0</v>
      </c>
    </row>
    <row r="85" spans="1:23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32"/>
        <v>0</v>
      </c>
      <c r="H85" s="4">
        <f t="shared" si="33"/>
        <v>0</v>
      </c>
      <c r="K85" s="46">
        <v>944</v>
      </c>
      <c r="L85" s="46">
        <v>899</v>
      </c>
      <c r="M85" s="46">
        <v>2024</v>
      </c>
      <c r="N85" s="47" t="s">
        <v>20</v>
      </c>
      <c r="O85" s="48">
        <v>45</v>
      </c>
      <c r="P85" s="49">
        <v>0</v>
      </c>
      <c r="R85" s="69">
        <v>944</v>
      </c>
      <c r="S85" s="69">
        <v>899</v>
      </c>
      <c r="T85" s="69">
        <v>2024</v>
      </c>
      <c r="U85" s="70" t="s">
        <v>20</v>
      </c>
      <c r="V85" s="62">
        <f t="shared" si="34"/>
        <v>45</v>
      </c>
      <c r="W85" s="63">
        <f t="shared" si="35"/>
        <v>0</v>
      </c>
    </row>
    <row r="86" spans="1:23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32"/>
        <v>0</v>
      </c>
      <c r="H86" s="4">
        <f t="shared" si="33"/>
        <v>0</v>
      </c>
      <c r="K86" s="46">
        <v>944</v>
      </c>
      <c r="L86" s="46">
        <v>600</v>
      </c>
      <c r="M86" s="46">
        <v>2024</v>
      </c>
      <c r="N86" s="47" t="s">
        <v>20</v>
      </c>
      <c r="O86" s="48">
        <v>344</v>
      </c>
      <c r="P86" s="49">
        <v>0</v>
      </c>
      <c r="R86" s="69">
        <v>944</v>
      </c>
      <c r="S86" s="69">
        <v>600</v>
      </c>
      <c r="T86" s="69">
        <v>2024</v>
      </c>
      <c r="U86" s="70" t="s">
        <v>20</v>
      </c>
      <c r="V86" s="62">
        <f t="shared" si="34"/>
        <v>344</v>
      </c>
      <c r="W86" s="63">
        <f t="shared" si="35"/>
        <v>0</v>
      </c>
    </row>
    <row r="87" spans="1:23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32"/>
        <v>0</v>
      </c>
      <c r="H87" s="4">
        <f t="shared" si="33"/>
        <v>0</v>
      </c>
      <c r="K87" s="46">
        <v>944</v>
      </c>
      <c r="L87" s="46">
        <v>816</v>
      </c>
      <c r="M87" s="46">
        <v>2024</v>
      </c>
      <c r="N87" s="47" t="s">
        <v>20</v>
      </c>
      <c r="O87" s="48">
        <v>128</v>
      </c>
      <c r="P87" s="49">
        <v>0</v>
      </c>
      <c r="R87" s="69">
        <v>944</v>
      </c>
      <c r="S87" s="69">
        <v>816</v>
      </c>
      <c r="T87" s="69">
        <v>2024</v>
      </c>
      <c r="U87" s="70" t="s">
        <v>20</v>
      </c>
      <c r="V87" s="62">
        <f t="shared" si="34"/>
        <v>128</v>
      </c>
      <c r="W87" s="63">
        <f t="shared" si="35"/>
        <v>0</v>
      </c>
    </row>
    <row r="88" spans="1:23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32"/>
        <v>0</v>
      </c>
      <c r="H88" s="4">
        <f t="shared" si="33"/>
        <v>0</v>
      </c>
      <c r="K88" s="46"/>
      <c r="L88" s="46"/>
      <c r="M88" s="46"/>
      <c r="N88" s="47"/>
      <c r="O88" s="48">
        <v>0</v>
      </c>
      <c r="P88" s="49">
        <v>0</v>
      </c>
      <c r="R88" s="69"/>
      <c r="S88" s="69"/>
      <c r="T88" s="69"/>
      <c r="U88" s="70"/>
      <c r="V88" s="62">
        <f t="shared" si="34"/>
        <v>0</v>
      </c>
      <c r="W88" s="63">
        <f t="shared" si="35"/>
        <v>0</v>
      </c>
    </row>
    <row r="89" spans="1:23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32"/>
        <v>0</v>
      </c>
      <c r="H89" s="4">
        <f t="shared" si="33"/>
        <v>0</v>
      </c>
      <c r="K89" s="46">
        <v>944</v>
      </c>
      <c r="L89" s="46">
        <v>1025</v>
      </c>
      <c r="M89" s="46">
        <v>2024</v>
      </c>
      <c r="N89" s="47" t="s">
        <v>20</v>
      </c>
      <c r="O89" s="48">
        <v>0</v>
      </c>
      <c r="P89" s="49">
        <v>81</v>
      </c>
      <c r="R89" s="69">
        <v>944</v>
      </c>
      <c r="S89" s="69">
        <v>1025</v>
      </c>
      <c r="T89" s="69">
        <v>2024</v>
      </c>
      <c r="U89" s="70" t="s">
        <v>20</v>
      </c>
      <c r="V89" s="62">
        <f t="shared" si="34"/>
        <v>0</v>
      </c>
      <c r="W89" s="63">
        <f t="shared" si="35"/>
        <v>81</v>
      </c>
    </row>
    <row r="90" spans="1:23" ht="27.75" customHeight="1">
      <c r="A90" s="7"/>
      <c r="B90" s="7"/>
      <c r="C90" s="8"/>
      <c r="D90" s="8"/>
      <c r="E90" s="8"/>
      <c r="F90" s="7"/>
      <c r="G90" s="7"/>
      <c r="H90" s="7"/>
      <c r="K90" s="50"/>
      <c r="L90" s="50"/>
      <c r="M90" s="50"/>
      <c r="N90" s="51"/>
      <c r="O90" s="51"/>
      <c r="P90" s="52"/>
      <c r="R90" s="66"/>
      <c r="S90" s="66"/>
      <c r="T90" s="66"/>
      <c r="U90" s="67"/>
      <c r="V90" s="67"/>
      <c r="W90" s="68"/>
    </row>
    <row r="91" spans="1:23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36">IF((C91-D91)&lt;0,0,C91-D91)</f>
        <v>0</v>
      </c>
      <c r="H91" s="4">
        <f t="shared" ref="H91:H98" si="37">IF((D91-C91)&lt;0,0,D91-C91)</f>
        <v>0</v>
      </c>
      <c r="K91" s="53">
        <v>743</v>
      </c>
      <c r="L91" s="53">
        <v>160</v>
      </c>
      <c r="M91" s="53">
        <v>2024</v>
      </c>
      <c r="N91" s="47" t="s">
        <v>20</v>
      </c>
      <c r="O91" s="48">
        <v>583</v>
      </c>
      <c r="P91" s="49">
        <v>0</v>
      </c>
      <c r="R91" s="60">
        <v>743</v>
      </c>
      <c r="S91" s="60">
        <v>160</v>
      </c>
      <c r="T91" s="60">
        <v>2024</v>
      </c>
      <c r="U91" s="70" t="s">
        <v>20</v>
      </c>
      <c r="V91" s="62">
        <f t="shared" ref="V91:V98" si="38">IF((R91-S91)&lt;0,0,R91-S91)</f>
        <v>583</v>
      </c>
      <c r="W91" s="63">
        <f t="shared" ref="W91:W98" si="39">IF((S91-R91)&lt;0,0,S91-R91)</f>
        <v>0</v>
      </c>
    </row>
    <row r="92" spans="1:23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36"/>
        <v>0</v>
      </c>
      <c r="H92" s="4">
        <f t="shared" si="37"/>
        <v>0</v>
      </c>
      <c r="K92" s="53"/>
      <c r="L92" s="53"/>
      <c r="M92" s="53"/>
      <c r="N92" s="54"/>
      <c r="O92" s="48">
        <v>0</v>
      </c>
      <c r="P92" s="49">
        <v>0</v>
      </c>
      <c r="R92" s="60"/>
      <c r="S92" s="60"/>
      <c r="T92" s="60"/>
      <c r="U92" s="61"/>
      <c r="V92" s="62">
        <f t="shared" si="38"/>
        <v>0</v>
      </c>
      <c r="W92" s="63">
        <f t="shared" si="39"/>
        <v>0</v>
      </c>
    </row>
    <row r="93" spans="1:23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36"/>
        <v>0</v>
      </c>
      <c r="H93" s="4">
        <f t="shared" si="37"/>
        <v>0</v>
      </c>
      <c r="K93" s="53"/>
      <c r="L93" s="53"/>
      <c r="M93" s="53"/>
      <c r="N93" s="54"/>
      <c r="O93" s="48">
        <v>0</v>
      </c>
      <c r="P93" s="49">
        <v>0</v>
      </c>
      <c r="R93" s="60"/>
      <c r="S93" s="60"/>
      <c r="T93" s="60"/>
      <c r="U93" s="61"/>
      <c r="V93" s="62">
        <f t="shared" si="38"/>
        <v>0</v>
      </c>
      <c r="W93" s="63">
        <f t="shared" si="39"/>
        <v>0</v>
      </c>
    </row>
    <row r="94" spans="1:23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36"/>
        <v>0</v>
      </c>
      <c r="H94" s="4">
        <f t="shared" si="37"/>
        <v>0</v>
      </c>
      <c r="K94" s="53">
        <v>743</v>
      </c>
      <c r="L94" s="53">
        <v>453</v>
      </c>
      <c r="M94" s="53">
        <v>2025</v>
      </c>
      <c r="N94" s="47" t="s">
        <v>20</v>
      </c>
      <c r="O94" s="48">
        <v>290</v>
      </c>
      <c r="P94" s="49">
        <v>0</v>
      </c>
      <c r="R94" s="60">
        <v>743</v>
      </c>
      <c r="S94" s="60">
        <v>453</v>
      </c>
      <c r="T94" s="60">
        <v>2025</v>
      </c>
      <c r="U94" s="70" t="s">
        <v>20</v>
      </c>
      <c r="V94" s="62">
        <f t="shared" si="38"/>
        <v>290</v>
      </c>
      <c r="W94" s="63">
        <f t="shared" si="39"/>
        <v>0</v>
      </c>
    </row>
    <row r="95" spans="1:23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36"/>
        <v>0</v>
      </c>
      <c r="H95" s="4">
        <f t="shared" si="37"/>
        <v>0</v>
      </c>
      <c r="K95" s="53">
        <v>743</v>
      </c>
      <c r="L95" s="53">
        <v>453</v>
      </c>
      <c r="M95" s="53">
        <v>2025</v>
      </c>
      <c r="N95" s="47" t="s">
        <v>20</v>
      </c>
      <c r="O95" s="48">
        <v>290</v>
      </c>
      <c r="P95" s="49">
        <v>0</v>
      </c>
      <c r="R95" s="60">
        <v>743</v>
      </c>
      <c r="S95" s="60">
        <v>453</v>
      </c>
      <c r="T95" s="60">
        <v>2025</v>
      </c>
      <c r="U95" s="70" t="s">
        <v>20</v>
      </c>
      <c r="V95" s="62">
        <f t="shared" si="38"/>
        <v>290</v>
      </c>
      <c r="W95" s="63">
        <f t="shared" si="39"/>
        <v>0</v>
      </c>
    </row>
    <row r="96" spans="1:23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36"/>
        <v>0</v>
      </c>
      <c r="H96" s="4">
        <f t="shared" si="37"/>
        <v>0</v>
      </c>
      <c r="K96" s="53">
        <v>743</v>
      </c>
      <c r="L96" s="53">
        <v>453</v>
      </c>
      <c r="M96" s="53">
        <v>2025</v>
      </c>
      <c r="N96" s="47" t="s">
        <v>20</v>
      </c>
      <c r="O96" s="48">
        <v>290</v>
      </c>
      <c r="P96" s="49">
        <v>0</v>
      </c>
      <c r="R96" s="60">
        <v>743</v>
      </c>
      <c r="S96" s="60">
        <v>453</v>
      </c>
      <c r="T96" s="60">
        <v>2025</v>
      </c>
      <c r="U96" s="70" t="s">
        <v>20</v>
      </c>
      <c r="V96" s="62">
        <f t="shared" si="38"/>
        <v>290</v>
      </c>
      <c r="W96" s="63">
        <f t="shared" si="39"/>
        <v>0</v>
      </c>
    </row>
    <row r="97" spans="1:23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36"/>
        <v>0</v>
      </c>
      <c r="H97" s="4">
        <f t="shared" si="37"/>
        <v>0</v>
      </c>
      <c r="K97" s="53">
        <v>743</v>
      </c>
      <c r="L97" s="53">
        <v>453</v>
      </c>
      <c r="M97" s="53">
        <v>2025</v>
      </c>
      <c r="N97" s="47" t="s">
        <v>20</v>
      </c>
      <c r="O97" s="48">
        <v>290</v>
      </c>
      <c r="P97" s="49">
        <v>0</v>
      </c>
      <c r="R97" s="60">
        <v>743</v>
      </c>
      <c r="S97" s="60">
        <v>453</v>
      </c>
      <c r="T97" s="60">
        <v>2025</v>
      </c>
      <c r="U97" s="70" t="s">
        <v>20</v>
      </c>
      <c r="V97" s="62">
        <f t="shared" si="38"/>
        <v>290</v>
      </c>
      <c r="W97" s="63">
        <f t="shared" si="39"/>
        <v>0</v>
      </c>
    </row>
    <row r="98" spans="1:23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36"/>
        <v>0</v>
      </c>
      <c r="H98" s="4">
        <f t="shared" si="37"/>
        <v>0</v>
      </c>
      <c r="K98" s="53">
        <v>743</v>
      </c>
      <c r="L98" s="53">
        <v>453</v>
      </c>
      <c r="M98" s="53">
        <v>2025</v>
      </c>
      <c r="N98" s="47" t="s">
        <v>20</v>
      </c>
      <c r="O98" s="48">
        <v>290</v>
      </c>
      <c r="P98" s="49">
        <v>0</v>
      </c>
      <c r="R98" s="60">
        <v>743</v>
      </c>
      <c r="S98" s="60">
        <v>453</v>
      </c>
      <c r="T98" s="60">
        <v>2025</v>
      </c>
      <c r="U98" s="70" t="s">
        <v>20</v>
      </c>
      <c r="V98" s="62">
        <f t="shared" si="38"/>
        <v>290</v>
      </c>
      <c r="W98" s="63">
        <f t="shared" si="39"/>
        <v>0</v>
      </c>
    </row>
  </sheetData>
  <protectedRanges>
    <protectedRange sqref="C1:E98" name="Textbooks"/>
    <protectedRange sqref="F1:F98" name="SOURCE"/>
    <protectedRange sqref="R1:T98" name="Textbooks_1"/>
    <protectedRange sqref="U1:U98" name="SOURCE_1"/>
  </protectedRanges>
  <phoneticPr fontId="8" type="noConversion"/>
  <dataValidations count="3">
    <dataValidation type="list" allowBlank="1" showInputMessage="1" showErrorMessage="1" sqref="E14:E19 E21:E29 E31:E39 T8:T12 T14:T19 E41:E49 E2:E6 T21:T29 T31:T39 E8:E12 T41:T49 T2:T6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 U2:U6 U8:U12 U14:U19 U21:U29 U31:U39 U41:U49 U51:U59 U61:U69 U71:U79 U81:U89 U91:U98" xr:uid="{2F7388E0-D1A1-4571-8C10-96CB9A727EB3}">
      <formula1>"CO,RO,SDO"</formula1>
    </dataValidation>
    <dataValidation type="list" allowBlank="1" showInputMessage="1" showErrorMessage="1" sqref="E51:E59 E61:E69 E71:E79 E81:E89 E91:E98 M51:M59 M61:M69 M71:M79 M81:M89 M91:M98 T51:T59 T61:T69 T71:T79 T81:T89 T91:T98" xr:uid="{138BD5E1-E937-42AE-A8F7-3F75963695C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Q1" zoomScale="70" zoomScaleNormal="70" workbookViewId="0">
      <selection activeCell="A5" sqref="A5:AA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71" t="s">
        <v>33</v>
      </c>
      <c r="E1" s="71"/>
      <c r="F1" s="71"/>
      <c r="G1" s="71"/>
      <c r="H1" s="71"/>
      <c r="I1" s="71"/>
      <c r="J1" s="72" t="s">
        <v>34</v>
      </c>
      <c r="K1" s="72"/>
      <c r="L1" s="72"/>
      <c r="M1" s="72"/>
      <c r="N1" s="72"/>
      <c r="O1" s="72"/>
      <c r="P1" s="73" t="s">
        <v>35</v>
      </c>
      <c r="Q1" s="73"/>
      <c r="R1" s="73"/>
      <c r="S1" s="73"/>
      <c r="T1" s="73"/>
      <c r="U1" s="73"/>
      <c r="V1" s="74" t="s">
        <v>36</v>
      </c>
      <c r="W1" s="74"/>
      <c r="X1" s="74"/>
      <c r="Y1" s="74"/>
      <c r="Z1" s="74"/>
      <c r="AA1" s="74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42" customHeight="1">
      <c r="A5" s="10">
        <v>7</v>
      </c>
      <c r="B5" s="11" t="s">
        <v>14</v>
      </c>
      <c r="C5" s="10"/>
      <c r="D5" s="12">
        <f>Table1[[#This Row],[Enrolment S.Y. 2025-2026 ]]*8</f>
        <v>0</v>
      </c>
      <c r="E5" s="12"/>
      <c r="F5" s="10"/>
      <c r="G5" s="12"/>
      <c r="H5" s="12">
        <f t="shared" ref="H5:H19" si="2">IF((D5-E5)&lt;0,0,(D5-E5))</f>
        <v>0</v>
      </c>
      <c r="I5" s="12">
        <f t="shared" ref="I5:I19" si="3">IF((E5-D5)&lt;0,0,(E5-D5))</f>
        <v>0</v>
      </c>
      <c r="J5" s="12">
        <f>Table1[[#This Row],[Enrolment S.Y. 2025-2026 ]]*8</f>
        <v>0</v>
      </c>
      <c r="K5" s="12"/>
      <c r="L5" s="10"/>
      <c r="M5" s="12"/>
      <c r="N5" s="12">
        <f t="shared" ref="N5:N11" si="4">IF((J5-K5)&lt;0,0,(J5-K5))</f>
        <v>0</v>
      </c>
      <c r="O5" s="12">
        <f t="shared" ref="O5:O11" si="5">IF((K5-J5)&lt;0,0,(K5-J5))</f>
        <v>0</v>
      </c>
      <c r="P5" s="12">
        <f>Table1[[#This Row],[Enrolment S.Y. 2025-2026 ]]*8</f>
        <v>0</v>
      </c>
      <c r="Q5" s="12"/>
      <c r="R5" s="10"/>
      <c r="S5" s="12"/>
      <c r="T5" s="12">
        <f t="shared" ref="T5:T11" si="6">IF((P5-Q5)&lt;0,0,(P5-Q5))</f>
        <v>0</v>
      </c>
      <c r="U5" s="12">
        <f t="shared" ref="U5:U11" si="7">IF((Q5-P5)&lt;0,0,(Q5-P5))</f>
        <v>0</v>
      </c>
      <c r="V5" s="12">
        <f>Table1[[#This Row],[Enrolment S.Y. 2025-2026 ]]*8</f>
        <v>0</v>
      </c>
      <c r="W5" s="12"/>
      <c r="X5" s="10"/>
      <c r="Y5" s="12"/>
      <c r="Z5" s="12">
        <f t="shared" ref="Z5:Z11" si="8">IF((V5-W5)&lt;0,0,(V5-W5))</f>
        <v>0</v>
      </c>
      <c r="AA5" s="12">
        <f t="shared" ref="AA5:AA11" si="9">IF((W5-V5)&lt;0,0,(W5-V5))</f>
        <v>0</v>
      </c>
    </row>
    <row r="6" spans="1:27" ht="19.5">
      <c r="A6" s="10">
        <v>7</v>
      </c>
      <c r="B6" s="11" t="s">
        <v>15</v>
      </c>
      <c r="C6" s="10"/>
      <c r="D6" s="12">
        <f>Table1[[#This Row],[Enrolment S.Y. 2025-2026 ]]*8</f>
        <v>0</v>
      </c>
      <c r="E6" s="12"/>
      <c r="F6" s="10"/>
      <c r="G6" s="12"/>
      <c r="H6" s="12">
        <f t="shared" si="2"/>
        <v>0</v>
      </c>
      <c r="I6" s="12">
        <f t="shared" si="3"/>
        <v>0</v>
      </c>
      <c r="J6" s="12">
        <f>Table1[[#This Row],[Enrolment S.Y. 2025-2026 ]]*8</f>
        <v>0</v>
      </c>
      <c r="K6" s="12"/>
      <c r="L6" s="10"/>
      <c r="M6" s="12"/>
      <c r="N6" s="12">
        <f t="shared" si="4"/>
        <v>0</v>
      </c>
      <c r="O6" s="12">
        <f t="shared" si="5"/>
        <v>0</v>
      </c>
      <c r="P6" s="12">
        <f>Table1[[#This Row],[Enrolment S.Y. 2025-2026 ]]*8</f>
        <v>0</v>
      </c>
      <c r="Q6" s="12"/>
      <c r="R6" s="10"/>
      <c r="S6" s="12"/>
      <c r="T6" s="12">
        <f t="shared" si="6"/>
        <v>0</v>
      </c>
      <c r="U6" s="12">
        <f t="shared" si="7"/>
        <v>0</v>
      </c>
      <c r="V6" s="12">
        <f>Table1[[#This Row],[Enrolment S.Y. 2025-2026 ]]*8</f>
        <v>0</v>
      </c>
      <c r="W6" s="12"/>
      <c r="X6" s="10"/>
      <c r="Y6" s="12"/>
      <c r="Z6" s="12">
        <f t="shared" si="8"/>
        <v>0</v>
      </c>
      <c r="AA6" s="12">
        <f t="shared" si="9"/>
        <v>0</v>
      </c>
    </row>
    <row r="7" spans="1:27" ht="19.5">
      <c r="A7" s="10">
        <v>7</v>
      </c>
      <c r="B7" s="11" t="s">
        <v>12</v>
      </c>
      <c r="C7" s="10"/>
      <c r="D7" s="12">
        <f>Table1[[#This Row],[Enrolment S.Y. 2025-2026 ]]*8</f>
        <v>0</v>
      </c>
      <c r="E7" s="12"/>
      <c r="F7" s="10"/>
      <c r="G7" s="12"/>
      <c r="H7" s="12">
        <f t="shared" si="2"/>
        <v>0</v>
      </c>
      <c r="I7" s="12">
        <f t="shared" si="3"/>
        <v>0</v>
      </c>
      <c r="J7" s="12">
        <f>Table1[[#This Row],[Enrolment S.Y. 2025-2026 ]]*8</f>
        <v>0</v>
      </c>
      <c r="K7" s="12"/>
      <c r="L7" s="10"/>
      <c r="M7" s="12"/>
      <c r="N7" s="12">
        <f t="shared" si="4"/>
        <v>0</v>
      </c>
      <c r="O7" s="12">
        <f t="shared" si="5"/>
        <v>0</v>
      </c>
      <c r="P7" s="12">
        <f>Table1[[#This Row],[Enrolment S.Y. 2025-2026 ]]*8</f>
        <v>0</v>
      </c>
      <c r="Q7" s="12"/>
      <c r="R7" s="10"/>
      <c r="S7" s="12"/>
      <c r="T7" s="12">
        <f t="shared" si="6"/>
        <v>0</v>
      </c>
      <c r="U7" s="12">
        <f t="shared" si="7"/>
        <v>0</v>
      </c>
      <c r="V7" s="12">
        <f>Table1[[#This Row],[Enrolment S.Y. 2025-2026 ]]*8</f>
        <v>0</v>
      </c>
      <c r="W7" s="12"/>
      <c r="X7" s="10"/>
      <c r="Y7" s="12"/>
      <c r="Z7" s="12">
        <f t="shared" si="8"/>
        <v>0</v>
      </c>
      <c r="AA7" s="12">
        <f t="shared" si="9"/>
        <v>0</v>
      </c>
    </row>
    <row r="8" spans="1:27" ht="19.5">
      <c r="A8" s="10">
        <v>7</v>
      </c>
      <c r="B8" s="11" t="s">
        <v>21</v>
      </c>
      <c r="C8" s="10"/>
      <c r="D8" s="12">
        <f>Table1[[#This Row],[Enrolment S.Y. 2025-2026 ]]*8</f>
        <v>0</v>
      </c>
      <c r="E8" s="12"/>
      <c r="F8" s="10"/>
      <c r="G8" s="12"/>
      <c r="H8" s="12">
        <f t="shared" si="2"/>
        <v>0</v>
      </c>
      <c r="I8" s="12">
        <f t="shared" si="3"/>
        <v>0</v>
      </c>
      <c r="J8" s="12">
        <f>Table1[[#This Row],[Enrolment S.Y. 2025-2026 ]]*8</f>
        <v>0</v>
      </c>
      <c r="K8" s="12"/>
      <c r="L8" s="10"/>
      <c r="M8" s="12"/>
      <c r="N8" s="12">
        <f t="shared" si="4"/>
        <v>0</v>
      </c>
      <c r="O8" s="12">
        <f t="shared" si="5"/>
        <v>0</v>
      </c>
      <c r="P8" s="12">
        <f>Table1[[#This Row],[Enrolment S.Y. 2025-2026 ]]*8</f>
        <v>0</v>
      </c>
      <c r="Q8" s="12"/>
      <c r="R8" s="10"/>
      <c r="S8" s="12"/>
      <c r="T8" s="12">
        <f t="shared" si="6"/>
        <v>0</v>
      </c>
      <c r="U8" s="12">
        <f t="shared" si="7"/>
        <v>0</v>
      </c>
      <c r="V8" s="12">
        <f>Table1[[#This Row],[Enrolment S.Y. 2025-2026 ]]*8</f>
        <v>0</v>
      </c>
      <c r="W8" s="12"/>
      <c r="X8" s="10"/>
      <c r="Y8" s="12"/>
      <c r="Z8" s="12">
        <f t="shared" si="8"/>
        <v>0</v>
      </c>
      <c r="AA8" s="12">
        <f t="shared" si="9"/>
        <v>0</v>
      </c>
    </row>
    <row r="9" spans="1:27" ht="38.25">
      <c r="A9" s="10">
        <v>7</v>
      </c>
      <c r="B9" s="11" t="s">
        <v>16</v>
      </c>
      <c r="C9" s="10"/>
      <c r="D9" s="12">
        <f>Table1[[#This Row],[Enrolment S.Y. 2025-2026 ]]*8</f>
        <v>0</v>
      </c>
      <c r="E9" s="12"/>
      <c r="F9" s="10"/>
      <c r="G9" s="12"/>
      <c r="H9" s="12">
        <f t="shared" si="2"/>
        <v>0</v>
      </c>
      <c r="I9" s="12">
        <f t="shared" si="3"/>
        <v>0</v>
      </c>
      <c r="J9" s="12">
        <f>Table1[[#This Row],[Enrolment S.Y. 2025-2026 ]]*8</f>
        <v>0</v>
      </c>
      <c r="K9" s="12"/>
      <c r="L9" s="10"/>
      <c r="M9" s="12"/>
      <c r="N9" s="12">
        <f t="shared" si="4"/>
        <v>0</v>
      </c>
      <c r="O9" s="12">
        <f t="shared" si="5"/>
        <v>0</v>
      </c>
      <c r="P9" s="12">
        <f>Table1[[#This Row],[Enrolment S.Y. 2025-2026 ]]*8</f>
        <v>0</v>
      </c>
      <c r="Q9" s="12"/>
      <c r="R9" s="10"/>
      <c r="S9" s="12"/>
      <c r="T9" s="12">
        <f t="shared" si="6"/>
        <v>0</v>
      </c>
      <c r="U9" s="12">
        <f t="shared" si="7"/>
        <v>0</v>
      </c>
      <c r="V9" s="12">
        <f>Table1[[#This Row],[Enrolment S.Y. 2025-2026 ]]*8</f>
        <v>0</v>
      </c>
      <c r="W9" s="12"/>
      <c r="X9" s="10"/>
      <c r="Y9" s="12"/>
      <c r="Z9" s="12">
        <f t="shared" si="8"/>
        <v>0</v>
      </c>
      <c r="AA9" s="12">
        <f t="shared" si="9"/>
        <v>0</v>
      </c>
    </row>
    <row r="10" spans="1:27" ht="19.5">
      <c r="A10" s="10">
        <v>7</v>
      </c>
      <c r="B10" s="11" t="s">
        <v>13</v>
      </c>
      <c r="C10" s="10"/>
      <c r="D10" s="12">
        <f>Table1[[#This Row],[Enrolment S.Y. 2025-2026 ]]*8</f>
        <v>0</v>
      </c>
      <c r="E10" s="12"/>
      <c r="F10" s="10"/>
      <c r="G10" s="12"/>
      <c r="H10" s="12">
        <f t="shared" si="2"/>
        <v>0</v>
      </c>
      <c r="I10" s="12">
        <f t="shared" si="3"/>
        <v>0</v>
      </c>
      <c r="J10" s="12">
        <f>Table1[[#This Row],[Enrolment S.Y. 2025-2026 ]]*8</f>
        <v>0</v>
      </c>
      <c r="K10" s="12"/>
      <c r="L10" s="10"/>
      <c r="M10" s="12"/>
      <c r="N10" s="12">
        <f t="shared" si="4"/>
        <v>0</v>
      </c>
      <c r="O10" s="12">
        <f t="shared" si="5"/>
        <v>0</v>
      </c>
      <c r="P10" s="12">
        <f>Table1[[#This Row],[Enrolment S.Y. 2025-2026 ]]*8</f>
        <v>0</v>
      </c>
      <c r="Q10" s="12"/>
      <c r="R10" s="10"/>
      <c r="S10" s="12"/>
      <c r="T10" s="12">
        <f t="shared" si="6"/>
        <v>0</v>
      </c>
      <c r="U10" s="12">
        <f t="shared" si="7"/>
        <v>0</v>
      </c>
      <c r="V10" s="12">
        <f>Table1[[#This Row],[Enrolment S.Y. 2025-2026 ]]*8</f>
        <v>0</v>
      </c>
      <c r="W10" s="12"/>
      <c r="X10" s="10"/>
      <c r="Y10" s="12"/>
      <c r="Z10" s="12">
        <f t="shared" si="8"/>
        <v>0</v>
      </c>
      <c r="AA10" s="12">
        <f t="shared" si="9"/>
        <v>0</v>
      </c>
    </row>
    <row r="11" spans="1:27" ht="19.5">
      <c r="A11" s="10">
        <v>7</v>
      </c>
      <c r="B11" s="11" t="s">
        <v>17</v>
      </c>
      <c r="C11" s="10"/>
      <c r="D11" s="12">
        <f>Table1[[#This Row],[Enrolment S.Y. 2025-2026 ]]*8</f>
        <v>0</v>
      </c>
      <c r="E11" s="12"/>
      <c r="F11" s="10"/>
      <c r="G11" s="12"/>
      <c r="H11" s="12">
        <f t="shared" si="2"/>
        <v>0</v>
      </c>
      <c r="I11" s="12">
        <f t="shared" si="3"/>
        <v>0</v>
      </c>
      <c r="J11" s="12">
        <f>Table1[[#This Row],[Enrolment S.Y. 2025-2026 ]]*8</f>
        <v>0</v>
      </c>
      <c r="K11" s="12"/>
      <c r="L11" s="10"/>
      <c r="M11" s="12"/>
      <c r="N11" s="12">
        <f t="shared" si="4"/>
        <v>0</v>
      </c>
      <c r="O11" s="12">
        <f t="shared" si="5"/>
        <v>0</v>
      </c>
      <c r="P11" s="12">
        <f>Table1[[#This Row],[Enrolment S.Y. 2025-2026 ]]*8</f>
        <v>0</v>
      </c>
      <c r="Q11" s="12"/>
      <c r="R11" s="10"/>
      <c r="S11" s="12"/>
      <c r="T11" s="12">
        <f t="shared" si="6"/>
        <v>0</v>
      </c>
      <c r="U11" s="12">
        <f t="shared" si="7"/>
        <v>0</v>
      </c>
      <c r="V11" s="12">
        <f>Table1[[#This Row],[Enrolment S.Y. 2025-2026 ]]*8</f>
        <v>0</v>
      </c>
      <c r="W11" s="12"/>
      <c r="X11" s="10"/>
      <c r="Y11" s="12"/>
      <c r="Z11" s="12">
        <f t="shared" si="8"/>
        <v>0</v>
      </c>
      <c r="AA11" s="12">
        <f t="shared" si="9"/>
        <v>0</v>
      </c>
    </row>
    <row r="12" spans="1:27" ht="19.5">
      <c r="A12" s="10">
        <v>7</v>
      </c>
      <c r="B12" s="11" t="s">
        <v>22</v>
      </c>
      <c r="C12" s="10"/>
      <c r="D12" s="12">
        <f>Table1[[#This Row],[Enrolment S.Y. 2025-2026 ]]*8</f>
        <v>0</v>
      </c>
      <c r="E12" s="12"/>
      <c r="F12" s="10"/>
      <c r="G12" s="12"/>
      <c r="H12" s="12">
        <f t="shared" si="2"/>
        <v>0</v>
      </c>
      <c r="I12" s="12">
        <f t="shared" si="3"/>
        <v>0</v>
      </c>
      <c r="J12" s="12">
        <f>Table1[[#This Row],[Enrolment S.Y. 2025-2026 ]]*8</f>
        <v>0</v>
      </c>
      <c r="K12" s="12"/>
      <c r="L12" s="10"/>
      <c r="M12" s="12"/>
      <c r="N12" s="12">
        <f t="shared" ref="N12:N68" si="10">IF((J12-K12)&lt;0,0,(J12-K12))</f>
        <v>0</v>
      </c>
      <c r="O12" s="12">
        <f t="shared" ref="O12:O68" si="11">IF((K12-J12)&lt;0,0,(K12-J12))</f>
        <v>0</v>
      </c>
      <c r="P12" s="12">
        <f>Table1[[#This Row],[Enrolment S.Y. 2025-2026 ]]*8</f>
        <v>0</v>
      </c>
      <c r="Q12" s="12"/>
      <c r="R12" s="10"/>
      <c r="S12" s="12"/>
      <c r="T12" s="12">
        <f t="shared" ref="T12:T69" si="12">IF((P12-Q12)&lt;0,0,(P12-Q12))</f>
        <v>0</v>
      </c>
      <c r="U12" s="12">
        <f t="shared" ref="U12:U69" si="13">IF((Q12-P12)&lt;0,0,(Q12-P12))</f>
        <v>0</v>
      </c>
      <c r="V12" s="12">
        <f>Table1[[#This Row],[Enrolment S.Y. 2025-2026 ]]*8</f>
        <v>0</v>
      </c>
      <c r="W12" s="12"/>
      <c r="X12" s="10"/>
      <c r="Y12" s="12"/>
      <c r="Z12" s="12">
        <f t="shared" ref="Z12:Z69" si="14">IF((V12-W12)&lt;0,0,(V12-W12))</f>
        <v>0</v>
      </c>
      <c r="AA12" s="12">
        <f t="shared" ref="AA12:AA69" si="15">IF((W12-V12)&lt;0,0,(W12-V12))</f>
        <v>0</v>
      </c>
    </row>
    <row r="13" spans="1:27" s="7" customFormat="1" ht="19.5">
      <c r="A13" s="10">
        <v>7</v>
      </c>
      <c r="B13" s="11" t="s">
        <v>19</v>
      </c>
      <c r="C13" s="10"/>
      <c r="D13" s="12">
        <f>Table1[[#This Row],[Enrolment S.Y. 2025-2026 ]]*8</f>
        <v>0</v>
      </c>
      <c r="E13" s="12"/>
      <c r="F13" s="10"/>
      <c r="G13" s="12"/>
      <c r="H13" s="12">
        <f t="shared" si="2"/>
        <v>0</v>
      </c>
      <c r="I13" s="12">
        <f t="shared" si="3"/>
        <v>0</v>
      </c>
      <c r="J13" s="12">
        <f>Table1[[#This Row],[Enrolment S.Y. 2025-2026 ]]*8</f>
        <v>0</v>
      </c>
      <c r="K13" s="12"/>
      <c r="L13" s="10"/>
      <c r="M13" s="12"/>
      <c r="N13" s="12">
        <f t="shared" si="10"/>
        <v>0</v>
      </c>
      <c r="O13" s="12">
        <f t="shared" si="11"/>
        <v>0</v>
      </c>
      <c r="P13" s="12">
        <f>Table1[[#This Row],[Enrolment S.Y. 2025-2026 ]]*8</f>
        <v>0</v>
      </c>
      <c r="Q13" s="12"/>
      <c r="R13" s="10"/>
      <c r="S13" s="12"/>
      <c r="T13" s="12">
        <f t="shared" si="12"/>
        <v>0</v>
      </c>
      <c r="U13" s="12">
        <f t="shared" si="13"/>
        <v>0</v>
      </c>
      <c r="V13" s="12">
        <f>Table1[[#This Row],[Enrolment S.Y. 2025-2026 ]]*8</f>
        <v>0</v>
      </c>
      <c r="W13" s="12"/>
      <c r="X13" s="10"/>
      <c r="Y13" s="12"/>
      <c r="Z13" s="12">
        <f t="shared" si="14"/>
        <v>0</v>
      </c>
      <c r="AA13" s="12">
        <f t="shared" si="15"/>
        <v>0</v>
      </c>
    </row>
    <row r="14" spans="1:27" ht="19.5">
      <c r="A14" s="7"/>
      <c r="B14" s="7"/>
      <c r="C14" s="7"/>
      <c r="D14" s="7"/>
      <c r="E14" s="7"/>
      <c r="F14" s="7"/>
      <c r="G14" s="7"/>
      <c r="H14" s="7"/>
      <c r="I14" s="7"/>
      <c r="J14" s="13"/>
      <c r="K14" s="7"/>
      <c r="L14" s="7"/>
      <c r="M14" s="5"/>
      <c r="N14" s="13"/>
      <c r="O14" s="13"/>
      <c r="P14" s="13"/>
      <c r="Q14" s="7"/>
      <c r="R14" s="7"/>
      <c r="S14" s="5"/>
      <c r="T14" s="13"/>
      <c r="U14" s="13"/>
      <c r="V14" s="13"/>
      <c r="W14" s="7"/>
      <c r="X14" s="7"/>
      <c r="Y14" s="5"/>
      <c r="Z14" s="13"/>
      <c r="AA14" s="13"/>
    </row>
    <row r="15" spans="1:27" ht="19.5">
      <c r="A15" s="10">
        <v>8</v>
      </c>
      <c r="B15" s="11" t="s">
        <v>14</v>
      </c>
      <c r="C15" s="10"/>
      <c r="D15" s="12">
        <f>Table1[[#This Row],[Enrolment S.Y. 2025-2026 ]]*8</f>
        <v>0</v>
      </c>
      <c r="E15" s="12"/>
      <c r="F15" s="10"/>
      <c r="G15" s="12"/>
      <c r="H15" s="12">
        <f t="shared" si="2"/>
        <v>0</v>
      </c>
      <c r="I15" s="12">
        <f t="shared" si="3"/>
        <v>0</v>
      </c>
      <c r="J15" s="12">
        <f>Table1[[#This Row],[Enrolment S.Y. 2025-2026 ]]*8</f>
        <v>0</v>
      </c>
      <c r="K15" s="12"/>
      <c r="L15" s="10"/>
      <c r="M15" s="12"/>
      <c r="N15" s="12">
        <f t="shared" si="10"/>
        <v>0</v>
      </c>
      <c r="O15" s="12">
        <f t="shared" si="11"/>
        <v>0</v>
      </c>
      <c r="P15" s="12">
        <f>Table1[[#This Row],[Enrolment S.Y. 2025-2026 ]]*8</f>
        <v>0</v>
      </c>
      <c r="Q15" s="12"/>
      <c r="R15" s="10"/>
      <c r="S15" s="12"/>
      <c r="T15" s="12">
        <f t="shared" si="12"/>
        <v>0</v>
      </c>
      <c r="U15" s="12">
        <f t="shared" si="13"/>
        <v>0</v>
      </c>
      <c r="V15" s="12">
        <f>Table1[[#This Row],[Enrolment S.Y. 2025-2026 ]]*8</f>
        <v>0</v>
      </c>
      <c r="W15" s="12"/>
      <c r="X15" s="10"/>
      <c r="Y15" s="12"/>
      <c r="Z15" s="12">
        <f t="shared" si="14"/>
        <v>0</v>
      </c>
      <c r="AA15" s="12">
        <f t="shared" si="15"/>
        <v>0</v>
      </c>
    </row>
    <row r="16" spans="1:27" ht="19.5">
      <c r="A16" s="10">
        <v>8</v>
      </c>
      <c r="B16" s="11" t="s">
        <v>15</v>
      </c>
      <c r="C16" s="10"/>
      <c r="D16" s="12">
        <f>Table1[[#This Row],[Enrolment S.Y. 2025-2026 ]]*8</f>
        <v>0</v>
      </c>
      <c r="E16" s="12"/>
      <c r="F16" s="10"/>
      <c r="G16" s="12"/>
      <c r="H16" s="12">
        <f t="shared" si="2"/>
        <v>0</v>
      </c>
      <c r="I16" s="12">
        <f t="shared" si="3"/>
        <v>0</v>
      </c>
      <c r="J16" s="12">
        <f>Table1[[#This Row],[Enrolment S.Y. 2025-2026 ]]*8</f>
        <v>0</v>
      </c>
      <c r="K16" s="12"/>
      <c r="L16" s="10"/>
      <c r="M16" s="12"/>
      <c r="N16" s="12">
        <f t="shared" si="10"/>
        <v>0</v>
      </c>
      <c r="O16" s="12">
        <f t="shared" si="11"/>
        <v>0</v>
      </c>
      <c r="P16" s="12">
        <f>Table1[[#This Row],[Enrolment S.Y. 2025-2026 ]]*8</f>
        <v>0</v>
      </c>
      <c r="Q16" s="12"/>
      <c r="R16" s="10"/>
      <c r="S16" s="12"/>
      <c r="T16" s="12">
        <f t="shared" si="12"/>
        <v>0</v>
      </c>
      <c r="U16" s="12">
        <f t="shared" si="13"/>
        <v>0</v>
      </c>
      <c r="V16" s="12">
        <f>Table1[[#This Row],[Enrolment S.Y. 2025-2026 ]]*8</f>
        <v>0</v>
      </c>
      <c r="W16" s="12"/>
      <c r="X16" s="10"/>
      <c r="Y16" s="12"/>
      <c r="Z16" s="12">
        <f t="shared" si="14"/>
        <v>0</v>
      </c>
      <c r="AA16" s="12">
        <f t="shared" si="15"/>
        <v>0</v>
      </c>
    </row>
    <row r="17" spans="1:27" ht="19.5">
      <c r="A17" s="10">
        <v>8</v>
      </c>
      <c r="B17" s="11" t="s">
        <v>12</v>
      </c>
      <c r="C17" s="10"/>
      <c r="D17" s="12">
        <f>Table1[[#This Row],[Enrolment S.Y. 2025-2026 ]]*8</f>
        <v>0</v>
      </c>
      <c r="E17" s="12"/>
      <c r="F17" s="10"/>
      <c r="G17" s="12"/>
      <c r="H17" s="12">
        <f t="shared" si="2"/>
        <v>0</v>
      </c>
      <c r="I17" s="12">
        <f t="shared" si="3"/>
        <v>0</v>
      </c>
      <c r="J17" s="12">
        <f>Table1[[#This Row],[Enrolment S.Y. 2025-2026 ]]*8</f>
        <v>0</v>
      </c>
      <c r="K17" s="12"/>
      <c r="L17" s="10"/>
      <c r="M17" s="12"/>
      <c r="N17" s="12">
        <f t="shared" si="10"/>
        <v>0</v>
      </c>
      <c r="O17" s="12">
        <f t="shared" si="11"/>
        <v>0</v>
      </c>
      <c r="P17" s="12">
        <f>Table1[[#This Row],[Enrolment S.Y. 2025-2026 ]]*8</f>
        <v>0</v>
      </c>
      <c r="Q17" s="12"/>
      <c r="R17" s="10"/>
      <c r="S17" s="12"/>
      <c r="T17" s="12">
        <f t="shared" si="12"/>
        <v>0</v>
      </c>
      <c r="U17" s="12">
        <f t="shared" si="13"/>
        <v>0</v>
      </c>
      <c r="V17" s="12">
        <f>Table1[[#This Row],[Enrolment S.Y. 2025-2026 ]]*8</f>
        <v>0</v>
      </c>
      <c r="W17" s="12"/>
      <c r="X17" s="10"/>
      <c r="Y17" s="12"/>
      <c r="Z17" s="12">
        <f t="shared" si="14"/>
        <v>0</v>
      </c>
      <c r="AA17" s="12">
        <f t="shared" si="15"/>
        <v>0</v>
      </c>
    </row>
    <row r="18" spans="1:27" ht="19.5">
      <c r="A18" s="10">
        <v>8</v>
      </c>
      <c r="B18" s="11" t="s">
        <v>21</v>
      </c>
      <c r="C18" s="10"/>
      <c r="D18" s="12">
        <f>Table1[[#This Row],[Enrolment S.Y. 2025-2026 ]]*8</f>
        <v>0</v>
      </c>
      <c r="E18" s="12"/>
      <c r="F18" s="10"/>
      <c r="G18" s="12"/>
      <c r="H18" s="12">
        <f t="shared" si="2"/>
        <v>0</v>
      </c>
      <c r="I18" s="12">
        <f t="shared" si="3"/>
        <v>0</v>
      </c>
      <c r="J18" s="12">
        <f>Table1[[#This Row],[Enrolment S.Y. 2025-2026 ]]*8</f>
        <v>0</v>
      </c>
      <c r="K18" s="12"/>
      <c r="L18" s="10"/>
      <c r="M18" s="12"/>
      <c r="N18" s="12">
        <f t="shared" si="10"/>
        <v>0</v>
      </c>
      <c r="O18" s="12">
        <f t="shared" si="11"/>
        <v>0</v>
      </c>
      <c r="P18" s="12">
        <f>Table1[[#This Row],[Enrolment S.Y. 2025-2026 ]]*8</f>
        <v>0</v>
      </c>
      <c r="Q18" s="12"/>
      <c r="R18" s="10"/>
      <c r="S18" s="12"/>
      <c r="T18" s="12">
        <f t="shared" si="12"/>
        <v>0</v>
      </c>
      <c r="U18" s="12">
        <f t="shared" si="13"/>
        <v>0</v>
      </c>
      <c r="V18" s="12">
        <f>Table1[[#This Row],[Enrolment S.Y. 2025-2026 ]]*8</f>
        <v>0</v>
      </c>
      <c r="W18" s="12"/>
      <c r="X18" s="10"/>
      <c r="Y18" s="12"/>
      <c r="Z18" s="12">
        <f t="shared" si="14"/>
        <v>0</v>
      </c>
      <c r="AA18" s="12">
        <f t="shared" si="15"/>
        <v>0</v>
      </c>
    </row>
    <row r="19" spans="1:27" ht="19.5">
      <c r="A19" s="10">
        <v>8</v>
      </c>
      <c r="B19" s="11" t="s">
        <v>23</v>
      </c>
      <c r="C19" s="10"/>
      <c r="D19" s="12">
        <f>Table1[[#This Row],[Enrolment S.Y. 2025-2026 ]]*8</f>
        <v>0</v>
      </c>
      <c r="E19" s="12"/>
      <c r="F19" s="10"/>
      <c r="G19" s="12"/>
      <c r="H19" s="12">
        <f t="shared" si="2"/>
        <v>0</v>
      </c>
      <c r="I19" s="12">
        <f t="shared" si="3"/>
        <v>0</v>
      </c>
      <c r="J19" s="12">
        <f>Table1[[#This Row],[Enrolment S.Y. 2025-2026 ]]*8</f>
        <v>0</v>
      </c>
      <c r="K19" s="12"/>
      <c r="L19" s="10"/>
      <c r="M19" s="12"/>
      <c r="N19" s="12">
        <f t="shared" si="10"/>
        <v>0</v>
      </c>
      <c r="O19" s="12">
        <f t="shared" si="11"/>
        <v>0</v>
      </c>
      <c r="P19" s="12">
        <f>Table1[[#This Row],[Enrolment S.Y. 2025-2026 ]]*8</f>
        <v>0</v>
      </c>
      <c r="Q19" s="12"/>
      <c r="R19" s="10"/>
      <c r="S19" s="12"/>
      <c r="T19" s="12">
        <f t="shared" si="12"/>
        <v>0</v>
      </c>
      <c r="U19" s="12">
        <f t="shared" si="13"/>
        <v>0</v>
      </c>
      <c r="V19" s="12">
        <f>Table1[[#This Row],[Enrolment S.Y. 2025-2026 ]]*8</f>
        <v>0</v>
      </c>
      <c r="W19" s="12"/>
      <c r="X19" s="10"/>
      <c r="Y19" s="12"/>
      <c r="Z19" s="12">
        <f t="shared" si="14"/>
        <v>0</v>
      </c>
      <c r="AA19" s="12">
        <f t="shared" si="15"/>
        <v>0</v>
      </c>
    </row>
    <row r="20" spans="1:27" ht="19.5">
      <c r="A20" s="10">
        <v>8</v>
      </c>
      <c r="B20" s="11" t="s">
        <v>13</v>
      </c>
      <c r="C20" s="10"/>
      <c r="D20" s="12">
        <f>Table1[[#This Row],[Enrolment S.Y. 2025-2026 ]]*8</f>
        <v>0</v>
      </c>
      <c r="E20" s="12"/>
      <c r="F20" s="10"/>
      <c r="G20" s="12"/>
      <c r="H20" s="12">
        <f t="shared" ref="H20:H69" si="16">IF((D20-E20)&lt;0,0,(D20-E20))</f>
        <v>0</v>
      </c>
      <c r="I20" s="12">
        <f t="shared" ref="I20:I69" si="17">IF((E20-D20)&lt;0,0,(E20-D20))</f>
        <v>0</v>
      </c>
      <c r="J20" s="12">
        <f>Table1[[#This Row],[Enrolment S.Y. 2025-2026 ]]*8</f>
        <v>0</v>
      </c>
      <c r="K20" s="12"/>
      <c r="L20" s="10"/>
      <c r="M20" s="12"/>
      <c r="N20" s="12">
        <f t="shared" si="10"/>
        <v>0</v>
      </c>
      <c r="O20" s="12">
        <f t="shared" si="11"/>
        <v>0</v>
      </c>
      <c r="P20" s="12">
        <f>Table1[[#This Row],[Enrolment S.Y. 2025-2026 ]]*8</f>
        <v>0</v>
      </c>
      <c r="Q20" s="12"/>
      <c r="R20" s="10"/>
      <c r="S20" s="12"/>
      <c r="T20" s="12">
        <f t="shared" si="12"/>
        <v>0</v>
      </c>
      <c r="U20" s="12">
        <f t="shared" si="13"/>
        <v>0</v>
      </c>
      <c r="V20" s="12">
        <f>Table1[[#This Row],[Enrolment S.Y. 2025-2026 ]]*8</f>
        <v>0</v>
      </c>
      <c r="W20" s="12"/>
      <c r="X20" s="10"/>
      <c r="Y20" s="12"/>
      <c r="Z20" s="12">
        <f t="shared" si="14"/>
        <v>0</v>
      </c>
      <c r="AA20" s="12">
        <f t="shared" si="15"/>
        <v>0</v>
      </c>
    </row>
    <row r="21" spans="1:27" ht="19.5">
      <c r="A21" s="10">
        <v>8</v>
      </c>
      <c r="B21" s="11" t="s">
        <v>17</v>
      </c>
      <c r="C21" s="10"/>
      <c r="D21" s="12">
        <f>Table1[[#This Row],[Enrolment S.Y. 2025-2026 ]]*8</f>
        <v>0</v>
      </c>
      <c r="E21" s="12"/>
      <c r="F21" s="10"/>
      <c r="G21" s="12"/>
      <c r="H21" s="12">
        <f t="shared" si="16"/>
        <v>0</v>
      </c>
      <c r="I21" s="12">
        <f t="shared" si="17"/>
        <v>0</v>
      </c>
      <c r="J21" s="12">
        <f>Table1[[#This Row],[Enrolment S.Y. 2025-2026 ]]*8</f>
        <v>0</v>
      </c>
      <c r="K21" s="12"/>
      <c r="L21" s="10"/>
      <c r="M21" s="12"/>
      <c r="N21" s="12">
        <f t="shared" si="10"/>
        <v>0</v>
      </c>
      <c r="O21" s="12">
        <f t="shared" si="11"/>
        <v>0</v>
      </c>
      <c r="P21" s="12">
        <f>Table1[[#This Row],[Enrolment S.Y. 2025-2026 ]]*8</f>
        <v>0</v>
      </c>
      <c r="Q21" s="12"/>
      <c r="R21" s="10"/>
      <c r="S21" s="12"/>
      <c r="T21" s="12">
        <f t="shared" si="12"/>
        <v>0</v>
      </c>
      <c r="U21" s="12">
        <f t="shared" si="13"/>
        <v>0</v>
      </c>
      <c r="V21" s="12">
        <f>Table1[[#This Row],[Enrolment S.Y. 2025-2026 ]]*8</f>
        <v>0</v>
      </c>
      <c r="W21" s="12"/>
      <c r="X21" s="10"/>
      <c r="Y21" s="12"/>
      <c r="Z21" s="12">
        <f t="shared" si="14"/>
        <v>0</v>
      </c>
      <c r="AA21" s="12">
        <f t="shared" si="15"/>
        <v>0</v>
      </c>
    </row>
    <row r="22" spans="1:27" s="7" customFormat="1" ht="19.5">
      <c r="A22" s="10">
        <v>8</v>
      </c>
      <c r="B22" s="11" t="s">
        <v>22</v>
      </c>
      <c r="C22" s="10"/>
      <c r="D22" s="12">
        <f>Table1[[#This Row],[Enrolment S.Y. 2025-2026 ]]*8</f>
        <v>0</v>
      </c>
      <c r="E22" s="12"/>
      <c r="F22" s="10"/>
      <c r="G22" s="12"/>
      <c r="H22" s="12">
        <f t="shared" si="16"/>
        <v>0</v>
      </c>
      <c r="I22" s="12">
        <f t="shared" si="17"/>
        <v>0</v>
      </c>
      <c r="J22" s="12">
        <f>Table1[[#This Row],[Enrolment S.Y. 2025-2026 ]]*8</f>
        <v>0</v>
      </c>
      <c r="K22" s="12"/>
      <c r="L22" s="10"/>
      <c r="M22" s="12"/>
      <c r="N22" s="12">
        <f t="shared" si="10"/>
        <v>0</v>
      </c>
      <c r="O22" s="12">
        <f t="shared" si="11"/>
        <v>0</v>
      </c>
      <c r="P22" s="12">
        <f>Table1[[#This Row],[Enrolment S.Y. 2025-2026 ]]*8</f>
        <v>0</v>
      </c>
      <c r="Q22" s="12"/>
      <c r="R22" s="10"/>
      <c r="S22" s="12"/>
      <c r="T22" s="12">
        <f t="shared" si="12"/>
        <v>0</v>
      </c>
      <c r="U22" s="12">
        <f t="shared" si="13"/>
        <v>0</v>
      </c>
      <c r="V22" s="12">
        <f>Table1[[#This Row],[Enrolment S.Y. 2025-2026 ]]*8</f>
        <v>0</v>
      </c>
      <c r="W22" s="12"/>
      <c r="X22" s="10"/>
      <c r="Y22" s="12"/>
      <c r="Z22" s="12">
        <f t="shared" si="14"/>
        <v>0</v>
      </c>
      <c r="AA22" s="12">
        <f t="shared" si="15"/>
        <v>0</v>
      </c>
    </row>
    <row r="23" spans="1:27" ht="19.5">
      <c r="A23" s="10">
        <v>8</v>
      </c>
      <c r="B23" s="11" t="s">
        <v>19</v>
      </c>
      <c r="C23" s="10"/>
      <c r="D23" s="12">
        <f>Table1[[#This Row],[Enrolment S.Y. 2025-2026 ]]*8</f>
        <v>0</v>
      </c>
      <c r="E23" s="12"/>
      <c r="F23" s="10"/>
      <c r="G23" s="12"/>
      <c r="H23" s="12">
        <f t="shared" si="16"/>
        <v>0</v>
      </c>
      <c r="I23" s="12">
        <f t="shared" si="17"/>
        <v>0</v>
      </c>
      <c r="J23" s="12">
        <f>Table1[[#This Row],[Enrolment S.Y. 2025-2026 ]]*8</f>
        <v>0</v>
      </c>
      <c r="K23" s="12"/>
      <c r="L23" s="10"/>
      <c r="M23" s="12"/>
      <c r="N23" s="12">
        <f t="shared" si="10"/>
        <v>0</v>
      </c>
      <c r="O23" s="12">
        <f t="shared" si="11"/>
        <v>0</v>
      </c>
      <c r="P23" s="12">
        <f>Table1[[#This Row],[Enrolment S.Y. 2025-2026 ]]*8</f>
        <v>0</v>
      </c>
      <c r="Q23" s="12"/>
      <c r="R23" s="10"/>
      <c r="S23" s="12"/>
      <c r="T23" s="12">
        <f t="shared" si="12"/>
        <v>0</v>
      </c>
      <c r="U23" s="12">
        <f t="shared" si="13"/>
        <v>0</v>
      </c>
      <c r="V23" s="12">
        <f>Table1[[#This Row],[Enrolment S.Y. 2025-2026 ]]*8</f>
        <v>0</v>
      </c>
      <c r="W23" s="12"/>
      <c r="X23" s="10"/>
      <c r="Y23" s="12"/>
      <c r="Z23" s="12">
        <f t="shared" si="14"/>
        <v>0</v>
      </c>
      <c r="AA23" s="12">
        <f t="shared" si="15"/>
        <v>0</v>
      </c>
    </row>
    <row r="24" spans="1:27" ht="19.5">
      <c r="A24" s="7"/>
      <c r="B24" s="7"/>
      <c r="C24" s="7"/>
      <c r="D24" s="7"/>
      <c r="E24" s="7"/>
      <c r="F24" s="7"/>
      <c r="G24" s="7"/>
      <c r="H24" s="7"/>
      <c r="I24" s="7"/>
      <c r="J24" s="13"/>
      <c r="K24" s="7"/>
      <c r="L24" s="7"/>
      <c r="M24" s="5"/>
      <c r="N24" s="13"/>
      <c r="O24" s="13"/>
      <c r="P24" s="13"/>
      <c r="Q24" s="7"/>
      <c r="R24" s="7"/>
      <c r="S24" s="5"/>
      <c r="T24" s="13"/>
      <c r="U24" s="13"/>
      <c r="V24" s="13"/>
      <c r="W24" s="7"/>
      <c r="X24" s="7"/>
      <c r="Y24" s="5"/>
      <c r="Z24" s="13"/>
      <c r="AA24" s="13"/>
    </row>
    <row r="25" spans="1:27" ht="19.5">
      <c r="A25" s="10">
        <v>9</v>
      </c>
      <c r="B25" s="11" t="s">
        <v>14</v>
      </c>
      <c r="C25" s="10"/>
      <c r="D25" s="12">
        <f>Table1[[#This Row],[Enrolment S.Y. 2025-2026 ]]*8</f>
        <v>0</v>
      </c>
      <c r="E25" s="12"/>
      <c r="F25" s="10"/>
      <c r="G25" s="12"/>
      <c r="H25" s="12">
        <f t="shared" si="16"/>
        <v>0</v>
      </c>
      <c r="I25" s="12">
        <f t="shared" si="17"/>
        <v>0</v>
      </c>
      <c r="J25" s="12">
        <f>Table1[[#This Row],[Enrolment S.Y. 2025-2026 ]]*8</f>
        <v>0</v>
      </c>
      <c r="K25" s="12"/>
      <c r="L25" s="10"/>
      <c r="M25" s="12"/>
      <c r="N25" s="12">
        <f t="shared" si="10"/>
        <v>0</v>
      </c>
      <c r="O25" s="12">
        <f t="shared" si="11"/>
        <v>0</v>
      </c>
      <c r="P25" s="12">
        <f>Table1[[#This Row],[Enrolment S.Y. 2025-2026 ]]*8</f>
        <v>0</v>
      </c>
      <c r="Q25" s="12"/>
      <c r="R25" s="10"/>
      <c r="S25" s="12"/>
      <c r="T25" s="12">
        <f t="shared" si="12"/>
        <v>0</v>
      </c>
      <c r="U25" s="12">
        <f t="shared" si="13"/>
        <v>0</v>
      </c>
      <c r="V25" s="12">
        <f>Table1[[#This Row],[Enrolment S.Y. 2025-2026 ]]*8</f>
        <v>0</v>
      </c>
      <c r="W25" s="12"/>
      <c r="X25" s="10"/>
      <c r="Y25" s="12"/>
      <c r="Z25" s="12">
        <f t="shared" si="14"/>
        <v>0</v>
      </c>
      <c r="AA25" s="12">
        <f t="shared" si="15"/>
        <v>0</v>
      </c>
    </row>
    <row r="26" spans="1:27" ht="19.5">
      <c r="A26" s="10">
        <v>9</v>
      </c>
      <c r="B26" s="11" t="s">
        <v>15</v>
      </c>
      <c r="C26" s="10"/>
      <c r="D26" s="12">
        <f>Table1[[#This Row],[Enrolment S.Y. 2025-2026 ]]*8</f>
        <v>0</v>
      </c>
      <c r="E26" s="12"/>
      <c r="F26" s="10"/>
      <c r="G26" s="12"/>
      <c r="H26" s="12">
        <f t="shared" si="16"/>
        <v>0</v>
      </c>
      <c r="I26" s="12">
        <f t="shared" si="17"/>
        <v>0</v>
      </c>
      <c r="J26" s="12">
        <f>Table1[[#This Row],[Enrolment S.Y. 2025-2026 ]]*8</f>
        <v>0</v>
      </c>
      <c r="K26" s="12"/>
      <c r="L26" s="10"/>
      <c r="M26" s="12"/>
      <c r="N26" s="12">
        <f t="shared" si="10"/>
        <v>0</v>
      </c>
      <c r="O26" s="12">
        <f t="shared" si="11"/>
        <v>0</v>
      </c>
      <c r="P26" s="12">
        <f>Table1[[#This Row],[Enrolment S.Y. 2025-2026 ]]*8</f>
        <v>0</v>
      </c>
      <c r="Q26" s="12"/>
      <c r="R26" s="10"/>
      <c r="S26" s="12"/>
      <c r="T26" s="12">
        <f t="shared" si="12"/>
        <v>0</v>
      </c>
      <c r="U26" s="12">
        <f t="shared" si="13"/>
        <v>0</v>
      </c>
      <c r="V26" s="12">
        <f>Table1[[#This Row],[Enrolment S.Y. 2025-2026 ]]*8</f>
        <v>0</v>
      </c>
      <c r="W26" s="12"/>
      <c r="X26" s="10"/>
      <c r="Y26" s="12"/>
      <c r="Z26" s="12">
        <f t="shared" si="14"/>
        <v>0</v>
      </c>
      <c r="AA26" s="12">
        <f t="shared" si="15"/>
        <v>0</v>
      </c>
    </row>
    <row r="27" spans="1:27" ht="19.5">
      <c r="A27" s="10">
        <v>9</v>
      </c>
      <c r="B27" s="11" t="s">
        <v>12</v>
      </c>
      <c r="C27" s="10"/>
      <c r="D27" s="12">
        <f>Table1[[#This Row],[Enrolment S.Y. 2025-2026 ]]*8</f>
        <v>0</v>
      </c>
      <c r="E27" s="12"/>
      <c r="F27" s="10"/>
      <c r="G27" s="12"/>
      <c r="H27" s="12">
        <f t="shared" si="16"/>
        <v>0</v>
      </c>
      <c r="I27" s="12">
        <f t="shared" si="17"/>
        <v>0</v>
      </c>
      <c r="J27" s="12">
        <f>Table1[[#This Row],[Enrolment S.Y. 2025-2026 ]]*8</f>
        <v>0</v>
      </c>
      <c r="K27" s="12"/>
      <c r="L27" s="10"/>
      <c r="M27" s="12"/>
      <c r="N27" s="12">
        <f t="shared" si="10"/>
        <v>0</v>
      </c>
      <c r="O27" s="12">
        <f t="shared" si="11"/>
        <v>0</v>
      </c>
      <c r="P27" s="12">
        <f>Table1[[#This Row],[Enrolment S.Y. 2025-2026 ]]*8</f>
        <v>0</v>
      </c>
      <c r="Q27" s="12"/>
      <c r="R27" s="10"/>
      <c r="S27" s="12"/>
      <c r="T27" s="12">
        <f t="shared" si="12"/>
        <v>0</v>
      </c>
      <c r="U27" s="12">
        <f t="shared" si="13"/>
        <v>0</v>
      </c>
      <c r="V27" s="12">
        <f>Table1[[#This Row],[Enrolment S.Y. 2025-2026 ]]*8</f>
        <v>0</v>
      </c>
      <c r="W27" s="12"/>
      <c r="X27" s="10"/>
      <c r="Y27" s="12"/>
      <c r="Z27" s="12">
        <f t="shared" si="14"/>
        <v>0</v>
      </c>
      <c r="AA27" s="12">
        <f t="shared" si="15"/>
        <v>0</v>
      </c>
    </row>
    <row r="28" spans="1:27" ht="19.5">
      <c r="A28" s="10">
        <v>9</v>
      </c>
      <c r="B28" s="11" t="s">
        <v>21</v>
      </c>
      <c r="C28" s="10"/>
      <c r="D28" s="12">
        <f>Table1[[#This Row],[Enrolment S.Y. 2025-2026 ]]*8</f>
        <v>0</v>
      </c>
      <c r="E28" s="12"/>
      <c r="F28" s="10"/>
      <c r="G28" s="12"/>
      <c r="H28" s="12">
        <f t="shared" si="16"/>
        <v>0</v>
      </c>
      <c r="I28" s="12">
        <f t="shared" si="17"/>
        <v>0</v>
      </c>
      <c r="J28" s="12">
        <f>Table1[[#This Row],[Enrolment S.Y. 2025-2026 ]]*8</f>
        <v>0</v>
      </c>
      <c r="K28" s="12"/>
      <c r="L28" s="10"/>
      <c r="M28" s="12"/>
      <c r="N28" s="12">
        <f t="shared" si="10"/>
        <v>0</v>
      </c>
      <c r="O28" s="12">
        <f t="shared" si="11"/>
        <v>0</v>
      </c>
      <c r="P28" s="12">
        <f>Table1[[#This Row],[Enrolment S.Y. 2025-2026 ]]*8</f>
        <v>0</v>
      </c>
      <c r="Q28" s="12"/>
      <c r="R28" s="10"/>
      <c r="S28" s="12"/>
      <c r="T28" s="12">
        <f t="shared" si="12"/>
        <v>0</v>
      </c>
      <c r="U28" s="12">
        <f t="shared" si="13"/>
        <v>0</v>
      </c>
      <c r="V28" s="12">
        <f>Table1[[#This Row],[Enrolment S.Y. 2025-2026 ]]*8</f>
        <v>0</v>
      </c>
      <c r="W28" s="12"/>
      <c r="X28" s="10"/>
      <c r="Y28" s="12"/>
      <c r="Z28" s="12">
        <f t="shared" si="14"/>
        <v>0</v>
      </c>
      <c r="AA28" s="12">
        <f t="shared" si="15"/>
        <v>0</v>
      </c>
    </row>
    <row r="29" spans="1:27" ht="19.5">
      <c r="A29" s="10">
        <v>9</v>
      </c>
      <c r="B29" s="11" t="s">
        <v>23</v>
      </c>
      <c r="C29" s="10"/>
      <c r="D29" s="12">
        <f>Table1[[#This Row],[Enrolment S.Y. 2025-2026 ]]*8</f>
        <v>0</v>
      </c>
      <c r="E29" s="12"/>
      <c r="F29" s="10"/>
      <c r="G29" s="12"/>
      <c r="H29" s="12">
        <f t="shared" si="16"/>
        <v>0</v>
      </c>
      <c r="I29" s="12">
        <f t="shared" si="17"/>
        <v>0</v>
      </c>
      <c r="J29" s="12">
        <f>Table1[[#This Row],[Enrolment S.Y. 2025-2026 ]]*8</f>
        <v>0</v>
      </c>
      <c r="K29" s="12"/>
      <c r="L29" s="10"/>
      <c r="M29" s="12"/>
      <c r="N29" s="12">
        <f t="shared" si="10"/>
        <v>0</v>
      </c>
      <c r="O29" s="12">
        <f t="shared" si="11"/>
        <v>0</v>
      </c>
      <c r="P29" s="12">
        <f>Table1[[#This Row],[Enrolment S.Y. 2025-2026 ]]*8</f>
        <v>0</v>
      </c>
      <c r="Q29" s="12"/>
      <c r="R29" s="10"/>
      <c r="S29" s="12"/>
      <c r="T29" s="12">
        <f t="shared" si="12"/>
        <v>0</v>
      </c>
      <c r="U29" s="12">
        <f t="shared" si="13"/>
        <v>0</v>
      </c>
      <c r="V29" s="12">
        <f>Table1[[#This Row],[Enrolment S.Y. 2025-2026 ]]*8</f>
        <v>0</v>
      </c>
      <c r="W29" s="12"/>
      <c r="X29" s="10"/>
      <c r="Y29" s="12"/>
      <c r="Z29" s="12">
        <f t="shared" si="14"/>
        <v>0</v>
      </c>
      <c r="AA29" s="12">
        <f t="shared" si="15"/>
        <v>0</v>
      </c>
    </row>
    <row r="30" spans="1:27" ht="19.5">
      <c r="A30" s="10">
        <v>9</v>
      </c>
      <c r="B30" s="11" t="s">
        <v>13</v>
      </c>
      <c r="C30" s="10"/>
      <c r="D30" s="12">
        <f>Table1[[#This Row],[Enrolment S.Y. 2025-2026 ]]*8</f>
        <v>0</v>
      </c>
      <c r="E30" s="12"/>
      <c r="F30" s="10"/>
      <c r="G30" s="12"/>
      <c r="H30" s="12">
        <f t="shared" si="16"/>
        <v>0</v>
      </c>
      <c r="I30" s="12">
        <f t="shared" si="17"/>
        <v>0</v>
      </c>
      <c r="J30" s="12">
        <f>Table1[[#This Row],[Enrolment S.Y. 2025-2026 ]]*8</f>
        <v>0</v>
      </c>
      <c r="K30" s="12"/>
      <c r="L30" s="10"/>
      <c r="M30" s="12"/>
      <c r="N30" s="12">
        <f t="shared" si="10"/>
        <v>0</v>
      </c>
      <c r="O30" s="12">
        <f t="shared" si="11"/>
        <v>0</v>
      </c>
      <c r="P30" s="12">
        <f>Table1[[#This Row],[Enrolment S.Y. 2025-2026 ]]*8</f>
        <v>0</v>
      </c>
      <c r="Q30" s="12"/>
      <c r="R30" s="10"/>
      <c r="S30" s="12"/>
      <c r="T30" s="12">
        <f t="shared" si="12"/>
        <v>0</v>
      </c>
      <c r="U30" s="12">
        <f t="shared" si="13"/>
        <v>0</v>
      </c>
      <c r="V30" s="12">
        <f>Table1[[#This Row],[Enrolment S.Y. 2025-2026 ]]*8</f>
        <v>0</v>
      </c>
      <c r="W30" s="12"/>
      <c r="X30" s="10"/>
      <c r="Y30" s="12"/>
      <c r="Z30" s="12">
        <f t="shared" si="14"/>
        <v>0</v>
      </c>
      <c r="AA30" s="12">
        <f t="shared" si="15"/>
        <v>0</v>
      </c>
    </row>
    <row r="31" spans="1:27" ht="19.5">
      <c r="A31" s="10">
        <v>9</v>
      </c>
      <c r="B31" s="11" t="s">
        <v>17</v>
      </c>
      <c r="C31" s="10"/>
      <c r="D31" s="12">
        <f>Table1[[#This Row],[Enrolment S.Y. 2025-2026 ]]*8</f>
        <v>0</v>
      </c>
      <c r="E31" s="12"/>
      <c r="F31" s="10"/>
      <c r="G31" s="12"/>
      <c r="H31" s="12">
        <f t="shared" si="16"/>
        <v>0</v>
      </c>
      <c r="I31" s="12">
        <f t="shared" si="17"/>
        <v>0</v>
      </c>
      <c r="J31" s="12">
        <f>Table1[[#This Row],[Enrolment S.Y. 2025-2026 ]]*8</f>
        <v>0</v>
      </c>
      <c r="K31" s="12"/>
      <c r="L31" s="10"/>
      <c r="M31" s="12"/>
      <c r="N31" s="12">
        <f t="shared" si="10"/>
        <v>0</v>
      </c>
      <c r="O31" s="12">
        <f t="shared" si="11"/>
        <v>0</v>
      </c>
      <c r="P31" s="12">
        <f>Table1[[#This Row],[Enrolment S.Y. 2025-2026 ]]*8</f>
        <v>0</v>
      </c>
      <c r="Q31" s="12"/>
      <c r="R31" s="10"/>
      <c r="S31" s="12"/>
      <c r="T31" s="12">
        <f t="shared" si="12"/>
        <v>0</v>
      </c>
      <c r="U31" s="12">
        <f t="shared" si="13"/>
        <v>0</v>
      </c>
      <c r="V31" s="12">
        <f>Table1[[#This Row],[Enrolment S.Y. 2025-2026 ]]*8</f>
        <v>0</v>
      </c>
      <c r="W31" s="12"/>
      <c r="X31" s="10"/>
      <c r="Y31" s="12"/>
      <c r="Z31" s="12">
        <f t="shared" si="14"/>
        <v>0</v>
      </c>
      <c r="AA31" s="12">
        <f t="shared" si="15"/>
        <v>0</v>
      </c>
    </row>
    <row r="32" spans="1:27" s="7" customFormat="1" ht="19.5">
      <c r="A32" s="10">
        <v>9</v>
      </c>
      <c r="B32" s="11" t="s">
        <v>22</v>
      </c>
      <c r="C32" s="10"/>
      <c r="D32" s="12">
        <f>Table1[[#This Row],[Enrolment S.Y. 2025-2026 ]]*8</f>
        <v>0</v>
      </c>
      <c r="E32" s="12"/>
      <c r="F32" s="10"/>
      <c r="G32" s="12"/>
      <c r="H32" s="12">
        <f t="shared" si="16"/>
        <v>0</v>
      </c>
      <c r="I32" s="12">
        <f t="shared" si="17"/>
        <v>0</v>
      </c>
      <c r="J32" s="12">
        <f>Table1[[#This Row],[Enrolment S.Y. 2025-2026 ]]*8</f>
        <v>0</v>
      </c>
      <c r="K32" s="12"/>
      <c r="L32" s="10"/>
      <c r="M32" s="12"/>
      <c r="N32" s="12">
        <f t="shared" si="10"/>
        <v>0</v>
      </c>
      <c r="O32" s="12">
        <f t="shared" si="11"/>
        <v>0</v>
      </c>
      <c r="P32" s="12">
        <f>Table1[[#This Row],[Enrolment S.Y. 2025-2026 ]]*8</f>
        <v>0</v>
      </c>
      <c r="Q32" s="12"/>
      <c r="R32" s="10"/>
      <c r="S32" s="12"/>
      <c r="T32" s="12">
        <f t="shared" si="12"/>
        <v>0</v>
      </c>
      <c r="U32" s="12">
        <f t="shared" si="13"/>
        <v>0</v>
      </c>
      <c r="V32" s="12">
        <f>Table1[[#This Row],[Enrolment S.Y. 2025-2026 ]]*8</f>
        <v>0</v>
      </c>
      <c r="W32" s="12"/>
      <c r="X32" s="10"/>
      <c r="Y32" s="12"/>
      <c r="Z32" s="12">
        <f t="shared" si="14"/>
        <v>0</v>
      </c>
      <c r="AA32" s="12">
        <f t="shared" si="15"/>
        <v>0</v>
      </c>
    </row>
    <row r="33" spans="1:27" ht="19.5">
      <c r="A33" s="10">
        <v>9</v>
      </c>
      <c r="B33" s="11" t="s">
        <v>19</v>
      </c>
      <c r="C33" s="10"/>
      <c r="D33" s="12">
        <f>Table1[[#This Row],[Enrolment S.Y. 2025-2026 ]]*8</f>
        <v>0</v>
      </c>
      <c r="E33" s="12"/>
      <c r="F33" s="10"/>
      <c r="G33" s="12"/>
      <c r="H33" s="12">
        <f t="shared" si="16"/>
        <v>0</v>
      </c>
      <c r="I33" s="12">
        <f t="shared" si="17"/>
        <v>0</v>
      </c>
      <c r="J33" s="12">
        <f>Table1[[#This Row],[Enrolment S.Y. 2025-2026 ]]*8</f>
        <v>0</v>
      </c>
      <c r="K33" s="12"/>
      <c r="L33" s="10"/>
      <c r="M33" s="12"/>
      <c r="N33" s="12">
        <f t="shared" si="10"/>
        <v>0</v>
      </c>
      <c r="O33" s="12">
        <f t="shared" si="11"/>
        <v>0</v>
      </c>
      <c r="P33" s="12">
        <f>Table1[[#This Row],[Enrolment S.Y. 2025-2026 ]]*8</f>
        <v>0</v>
      </c>
      <c r="Q33" s="12"/>
      <c r="R33" s="10"/>
      <c r="S33" s="12"/>
      <c r="T33" s="12">
        <f t="shared" si="12"/>
        <v>0</v>
      </c>
      <c r="U33" s="12">
        <f t="shared" si="13"/>
        <v>0</v>
      </c>
      <c r="V33" s="12">
        <f>Table1[[#This Row],[Enrolment S.Y. 2025-2026 ]]*8</f>
        <v>0</v>
      </c>
      <c r="W33" s="12"/>
      <c r="X33" s="10"/>
      <c r="Y33" s="12"/>
      <c r="Z33" s="12">
        <f t="shared" si="14"/>
        <v>0</v>
      </c>
      <c r="AA33" s="12">
        <f t="shared" si="15"/>
        <v>0</v>
      </c>
    </row>
    <row r="34" spans="1:27" ht="19.5">
      <c r="A34" s="7"/>
      <c r="B34" s="7"/>
      <c r="C34" s="7"/>
      <c r="D34" s="7"/>
      <c r="E34" s="7"/>
      <c r="F34" s="7"/>
      <c r="G34" s="7"/>
      <c r="H34" s="7"/>
      <c r="I34" s="7"/>
      <c r="J34" s="13"/>
      <c r="K34" s="7"/>
      <c r="L34" s="7"/>
      <c r="M34" s="5"/>
      <c r="N34" s="13"/>
      <c r="O34" s="13"/>
      <c r="P34" s="13"/>
      <c r="Q34" s="7"/>
      <c r="R34" s="7"/>
      <c r="S34" s="5"/>
      <c r="T34" s="13"/>
      <c r="U34" s="13"/>
      <c r="V34" s="13"/>
      <c r="W34" s="7"/>
      <c r="X34" s="7"/>
      <c r="Y34" s="5"/>
      <c r="Z34" s="13"/>
      <c r="AA34" s="13"/>
    </row>
    <row r="35" spans="1:27" ht="19.5">
      <c r="A35" s="10">
        <v>10</v>
      </c>
      <c r="B35" s="11" t="s">
        <v>14</v>
      </c>
      <c r="C35" s="10"/>
      <c r="D35" s="12">
        <f>Table1[[#This Row],[Enrolment S.Y. 2025-2026 ]]*8</f>
        <v>0</v>
      </c>
      <c r="E35" s="12"/>
      <c r="F35" s="10"/>
      <c r="G35" s="12"/>
      <c r="H35" s="12">
        <f>IF((D35-E35)&lt;0,0,(D35-E35))</f>
        <v>0</v>
      </c>
      <c r="I35" s="12">
        <f>IF((E35-D35)&lt;0,0,(E35-D35))</f>
        <v>0</v>
      </c>
      <c r="J35" s="12">
        <f>Table1[[#This Row],[Enrolment S.Y. 2025-2026 ]]*8</f>
        <v>0</v>
      </c>
      <c r="K35" s="12"/>
      <c r="L35" s="10"/>
      <c r="M35" s="12"/>
      <c r="N35" s="12">
        <f>IF((J35-K35)&lt;0,0,(J35-K35))</f>
        <v>0</v>
      </c>
      <c r="O35" s="12">
        <f>IF((K35-J35)&lt;0,0,(K35-J35))</f>
        <v>0</v>
      </c>
      <c r="P35" s="12">
        <f>Table1[[#This Row],[Enrolment S.Y. 2025-2026 ]]*8</f>
        <v>0</v>
      </c>
      <c r="Q35" s="12"/>
      <c r="R35" s="10"/>
      <c r="S35" s="12"/>
      <c r="T35" s="12">
        <f>IF((P35-Q35)&lt;0,0,(P35-Q35))</f>
        <v>0</v>
      </c>
      <c r="U35" s="12">
        <f>IF((Q35-P35)&lt;0,0,(Q35-P35))</f>
        <v>0</v>
      </c>
      <c r="V35" s="12">
        <f>Table1[[#This Row],[Enrolment S.Y. 2025-2026 ]]*8</f>
        <v>0</v>
      </c>
      <c r="W35" s="12"/>
      <c r="X35" s="10"/>
      <c r="Y35" s="12"/>
      <c r="Z35" s="12">
        <f>IF((V35-W35)&lt;0,0,(V35-W35))</f>
        <v>0</v>
      </c>
      <c r="AA35" s="12">
        <f>IF((W35-V35)&lt;0,0,(W35-V35))</f>
        <v>0</v>
      </c>
    </row>
    <row r="36" spans="1:27" ht="19.5">
      <c r="A36" s="10">
        <v>10</v>
      </c>
      <c r="B36" s="11" t="s">
        <v>15</v>
      </c>
      <c r="C36" s="10"/>
      <c r="D36" s="12">
        <f>Table1[[#This Row],[Enrolment S.Y. 2025-2026 ]]*8</f>
        <v>0</v>
      </c>
      <c r="E36" s="12"/>
      <c r="F36" s="10"/>
      <c r="G36" s="12"/>
      <c r="H36" s="12">
        <f>IF((D36-E36)&lt;0,0,(D36-E36))</f>
        <v>0</v>
      </c>
      <c r="I36" s="12">
        <f>IF((E36-D36)&lt;0,0,(E36-D36))</f>
        <v>0</v>
      </c>
      <c r="J36" s="12">
        <f>Table1[[#This Row],[Enrolment S.Y. 2025-2026 ]]*8</f>
        <v>0</v>
      </c>
      <c r="K36" s="12"/>
      <c r="L36" s="10"/>
      <c r="M36" s="12"/>
      <c r="N36" s="12">
        <f>IF((J36-K36)&lt;0,0,(J36-K36))</f>
        <v>0</v>
      </c>
      <c r="O36" s="12">
        <f>IF((K36-J36)&lt;0,0,(K36-J36))</f>
        <v>0</v>
      </c>
      <c r="P36" s="12">
        <f>Table1[[#This Row],[Enrolment S.Y. 2025-2026 ]]*8</f>
        <v>0</v>
      </c>
      <c r="Q36" s="12"/>
      <c r="R36" s="10"/>
      <c r="S36" s="12"/>
      <c r="T36" s="12">
        <f>IF((P36-Q36)&lt;0,0,(P36-Q36))</f>
        <v>0</v>
      </c>
      <c r="U36" s="12">
        <f>IF((Q36-P36)&lt;0,0,(Q36-P36))</f>
        <v>0</v>
      </c>
      <c r="V36" s="12">
        <f>Table1[[#This Row],[Enrolment S.Y. 2025-2026 ]]*8</f>
        <v>0</v>
      </c>
      <c r="W36" s="12"/>
      <c r="X36" s="10"/>
      <c r="Y36" s="12"/>
      <c r="Z36" s="12">
        <f>IF((V36-W36)&lt;0,0,(V36-W36))</f>
        <v>0</v>
      </c>
      <c r="AA36" s="12">
        <f>IF((W36-V36)&lt;0,0,(W36-V36))</f>
        <v>0</v>
      </c>
    </row>
    <row r="37" spans="1:27" ht="19.5">
      <c r="A37" s="10">
        <v>10</v>
      </c>
      <c r="B37" s="11" t="s">
        <v>12</v>
      </c>
      <c r="C37" s="10"/>
      <c r="D37" s="12">
        <f>Table1[[#This Row],[Enrolment S.Y. 2025-2026 ]]*8</f>
        <v>0</v>
      </c>
      <c r="E37" s="12"/>
      <c r="F37" s="10"/>
      <c r="G37" s="12"/>
      <c r="H37" s="12">
        <f>IF((D37-E37)&lt;0,0,(D37-E37))</f>
        <v>0</v>
      </c>
      <c r="I37" s="12">
        <f>IF((E37-D37)&lt;0,0,(E37-D37))</f>
        <v>0</v>
      </c>
      <c r="J37" s="12">
        <f>Table1[[#This Row],[Enrolment S.Y. 2025-2026 ]]*8</f>
        <v>0</v>
      </c>
      <c r="K37" s="12"/>
      <c r="L37" s="10"/>
      <c r="M37" s="12"/>
      <c r="N37" s="12">
        <f>IF((J37-K37)&lt;0,0,(J37-K37))</f>
        <v>0</v>
      </c>
      <c r="O37" s="12">
        <f>IF((K37-J37)&lt;0,0,(K37-J37))</f>
        <v>0</v>
      </c>
      <c r="P37" s="12">
        <f>Table1[[#This Row],[Enrolment S.Y. 2025-2026 ]]*8</f>
        <v>0</v>
      </c>
      <c r="Q37" s="12"/>
      <c r="R37" s="10"/>
      <c r="S37" s="12"/>
      <c r="T37" s="12">
        <f>IF((P37-Q37)&lt;0,0,(P37-Q37))</f>
        <v>0</v>
      </c>
      <c r="U37" s="12">
        <f>IF((Q37-P37)&lt;0,0,(Q37-P37))</f>
        <v>0</v>
      </c>
      <c r="V37" s="12">
        <f>Table1[[#This Row],[Enrolment S.Y. 2025-2026 ]]*8</f>
        <v>0</v>
      </c>
      <c r="W37" s="12"/>
      <c r="X37" s="10"/>
      <c r="Y37" s="12"/>
      <c r="Z37" s="12">
        <f>IF((V37-W37)&lt;0,0,(V37-W37))</f>
        <v>0</v>
      </c>
      <c r="AA37" s="12">
        <f>IF((W37-V37)&lt;0,0,(W37-V37))</f>
        <v>0</v>
      </c>
    </row>
    <row r="38" spans="1:27" ht="19.5">
      <c r="A38" s="10">
        <v>10</v>
      </c>
      <c r="B38" s="11" t="s">
        <v>21</v>
      </c>
      <c r="C38" s="10"/>
      <c r="D38" s="12">
        <f>Table1[[#This Row],[Enrolment S.Y. 2025-2026 ]]*8</f>
        <v>0</v>
      </c>
      <c r="E38" s="12"/>
      <c r="F38" s="10"/>
      <c r="G38" s="12"/>
      <c r="H38" s="12">
        <f>IF((D38-E38)&lt;0,0,(D38-E38))</f>
        <v>0</v>
      </c>
      <c r="I38" s="12">
        <f>IF((E38-D38)&lt;0,0,(E38-D38))</f>
        <v>0</v>
      </c>
      <c r="J38" s="12">
        <f>Table1[[#This Row],[Enrolment S.Y. 2025-2026 ]]*8</f>
        <v>0</v>
      </c>
      <c r="K38" s="12"/>
      <c r="L38" s="10"/>
      <c r="M38" s="12"/>
      <c r="N38" s="12">
        <f>IF((J38-K38)&lt;0,0,(J38-K38))</f>
        <v>0</v>
      </c>
      <c r="O38" s="12">
        <f>IF((K38-J38)&lt;0,0,(K38-J38))</f>
        <v>0</v>
      </c>
      <c r="P38" s="12">
        <f>Table1[[#This Row],[Enrolment S.Y. 2025-2026 ]]*8</f>
        <v>0</v>
      </c>
      <c r="Q38" s="12"/>
      <c r="R38" s="10"/>
      <c r="S38" s="12"/>
      <c r="T38" s="12">
        <f>IF((P38-Q38)&lt;0,0,(P38-Q38))</f>
        <v>0</v>
      </c>
      <c r="U38" s="12">
        <f>IF((Q38-P38)&lt;0,0,(Q38-P38))</f>
        <v>0</v>
      </c>
      <c r="V38" s="12">
        <f>Table1[[#This Row],[Enrolment S.Y. 2025-2026 ]]*8</f>
        <v>0</v>
      </c>
      <c r="W38" s="12"/>
      <c r="X38" s="10"/>
      <c r="Y38" s="12"/>
      <c r="Z38" s="12">
        <f>IF((V38-W38)&lt;0,0,(V38-W38))</f>
        <v>0</v>
      </c>
      <c r="AA38" s="12">
        <f>IF((W38-V38)&lt;0,0,(W38-V38))</f>
        <v>0</v>
      </c>
    </row>
    <row r="39" spans="1:27" ht="19.5">
      <c r="A39" s="10">
        <v>10</v>
      </c>
      <c r="B39" s="11" t="s">
        <v>23</v>
      </c>
      <c r="C39" s="10"/>
      <c r="D39" s="12">
        <f>Table1[[#This Row],[Enrolment S.Y. 2025-2026 ]]*8</f>
        <v>0</v>
      </c>
      <c r="E39" s="12"/>
      <c r="F39" s="10"/>
      <c r="G39" s="12"/>
      <c r="H39" s="12">
        <f>IF((D39-E39)&lt;0,0,(D39-E39))</f>
        <v>0</v>
      </c>
      <c r="I39" s="12">
        <f>IF((E39-D39)&lt;0,0,(E39-D39))</f>
        <v>0</v>
      </c>
      <c r="J39" s="12">
        <f>Table1[[#This Row],[Enrolment S.Y. 2025-2026 ]]*8</f>
        <v>0</v>
      </c>
      <c r="K39" s="12"/>
      <c r="L39" s="10"/>
      <c r="M39" s="12"/>
      <c r="N39" s="12">
        <f>IF((J39-K39)&lt;0,0,(J39-K39))</f>
        <v>0</v>
      </c>
      <c r="O39" s="12">
        <f>IF((K39-J39)&lt;0,0,(K39-J39))</f>
        <v>0</v>
      </c>
      <c r="P39" s="12">
        <f>Table1[[#This Row],[Enrolment S.Y. 2025-2026 ]]*8</f>
        <v>0</v>
      </c>
      <c r="Q39" s="12"/>
      <c r="R39" s="10"/>
      <c r="S39" s="12"/>
      <c r="T39" s="12">
        <f>IF((P39-Q39)&lt;0,0,(P39-Q39))</f>
        <v>0</v>
      </c>
      <c r="U39" s="12">
        <f>IF((Q39-P39)&lt;0,0,(Q39-P39))</f>
        <v>0</v>
      </c>
      <c r="V39" s="12">
        <f>Table1[[#This Row],[Enrolment S.Y. 2025-2026 ]]*8</f>
        <v>0</v>
      </c>
      <c r="W39" s="12"/>
      <c r="X39" s="10"/>
      <c r="Y39" s="12"/>
      <c r="Z39" s="12">
        <f>IF((V39-W39)&lt;0,0,(V39-W39))</f>
        <v>0</v>
      </c>
      <c r="AA39" s="12">
        <f>IF((W39-V39)&lt;0,0,(W39-V39))</f>
        <v>0</v>
      </c>
    </row>
    <row r="40" spans="1:27" ht="19.5">
      <c r="A40" s="10">
        <v>10</v>
      </c>
      <c r="B40" s="11" t="s">
        <v>13</v>
      </c>
      <c r="C40" s="10"/>
      <c r="D40" s="12">
        <f>Table1[[#This Row],[Enrolment S.Y. 2025-2026 ]]*8</f>
        <v>0</v>
      </c>
      <c r="E40" s="12"/>
      <c r="F40" s="10"/>
      <c r="G40" s="12"/>
      <c r="H40" s="12">
        <f>IF((D40-E40)&lt;0,0,(D40-E40))</f>
        <v>0</v>
      </c>
      <c r="I40" s="12">
        <f>IF((E40-D40)&lt;0,0,(E40-D40))</f>
        <v>0</v>
      </c>
      <c r="J40" s="12">
        <f>Table1[[#This Row],[Enrolment S.Y. 2025-2026 ]]*8</f>
        <v>0</v>
      </c>
      <c r="K40" s="12"/>
      <c r="L40" s="10"/>
      <c r="M40" s="12"/>
      <c r="N40" s="12">
        <f>IF((J40-K40)&lt;0,0,(J40-K40))</f>
        <v>0</v>
      </c>
      <c r="O40" s="12">
        <f>IF((K40-J40)&lt;0,0,(K40-J40))</f>
        <v>0</v>
      </c>
      <c r="P40" s="12">
        <f>Table1[[#This Row],[Enrolment S.Y. 2025-2026 ]]*8</f>
        <v>0</v>
      </c>
      <c r="Q40" s="12"/>
      <c r="R40" s="10"/>
      <c r="S40" s="12"/>
      <c r="T40" s="12">
        <f>IF((P40-Q40)&lt;0,0,(P40-Q40))</f>
        <v>0</v>
      </c>
      <c r="U40" s="12">
        <f>IF((Q40-P40)&lt;0,0,(Q40-P40))</f>
        <v>0</v>
      </c>
      <c r="V40" s="12">
        <f>Table1[[#This Row],[Enrolment S.Y. 2025-2026 ]]*8</f>
        <v>0</v>
      </c>
      <c r="W40" s="12"/>
      <c r="X40" s="10"/>
      <c r="Y40" s="12"/>
      <c r="Z40" s="12">
        <f>IF((V40-W40)&lt;0,0,(V40-W40))</f>
        <v>0</v>
      </c>
      <c r="AA40" s="12">
        <f>IF((W40-V40)&lt;0,0,(W40-V40))</f>
        <v>0</v>
      </c>
    </row>
    <row r="41" spans="1:27" ht="19.5">
      <c r="A41" s="10">
        <v>10</v>
      </c>
      <c r="B41" s="11" t="s">
        <v>17</v>
      </c>
      <c r="C41" s="10"/>
      <c r="D41" s="12">
        <f>Table1[[#This Row],[Enrolment S.Y. 2025-2026 ]]*8</f>
        <v>0</v>
      </c>
      <c r="E41" s="12"/>
      <c r="F41" s="10"/>
      <c r="G41" s="12"/>
      <c r="H41" s="12">
        <f>IF((D41-E41)&lt;0,0,(D41-E41))</f>
        <v>0</v>
      </c>
      <c r="I41" s="12">
        <f>IF((E41-D41)&lt;0,0,(E41-D41))</f>
        <v>0</v>
      </c>
      <c r="J41" s="12">
        <f>Table1[[#This Row],[Enrolment S.Y. 2025-2026 ]]*8</f>
        <v>0</v>
      </c>
      <c r="K41" s="12"/>
      <c r="L41" s="10"/>
      <c r="M41" s="12"/>
      <c r="N41" s="12">
        <f>IF((J41-K41)&lt;0,0,(J41-K41))</f>
        <v>0</v>
      </c>
      <c r="O41" s="12">
        <f>IF((K41-J41)&lt;0,0,(K41-J41))</f>
        <v>0</v>
      </c>
      <c r="P41" s="12">
        <f>Table1[[#This Row],[Enrolment S.Y. 2025-2026 ]]*8</f>
        <v>0</v>
      </c>
      <c r="Q41" s="12"/>
      <c r="R41" s="10"/>
      <c r="S41" s="12"/>
      <c r="T41" s="12">
        <f>IF((P41-Q41)&lt;0,0,(P41-Q41))</f>
        <v>0</v>
      </c>
      <c r="U41" s="12">
        <f>IF((Q41-P41)&lt;0,0,(Q41-P41))</f>
        <v>0</v>
      </c>
      <c r="V41" s="12">
        <f>Table1[[#This Row],[Enrolment S.Y. 2025-2026 ]]*8</f>
        <v>0</v>
      </c>
      <c r="W41" s="12"/>
      <c r="X41" s="10"/>
      <c r="Y41" s="12"/>
      <c r="Z41" s="12">
        <f>IF((V41-W41)&lt;0,0,(V41-W41))</f>
        <v>0</v>
      </c>
      <c r="AA41" s="12">
        <f>IF((W41-V41)&lt;0,0,(W41-V41))</f>
        <v>0</v>
      </c>
    </row>
    <row r="42" spans="1:27" s="7" customFormat="1" ht="19.5">
      <c r="A42" s="10">
        <v>10</v>
      </c>
      <c r="B42" s="11" t="s">
        <v>22</v>
      </c>
      <c r="C42" s="10"/>
      <c r="D42" s="12">
        <f>Table1[[#This Row],[Enrolment S.Y. 2025-2026 ]]*8</f>
        <v>0</v>
      </c>
      <c r="E42" s="12"/>
      <c r="F42" s="10"/>
      <c r="G42" s="12"/>
      <c r="H42" s="12">
        <f>IF((D42-E42)&lt;0,0,(D42-E42))</f>
        <v>0</v>
      </c>
      <c r="I42" s="12">
        <f>IF((E42-D42)&lt;0,0,(E42-D42))</f>
        <v>0</v>
      </c>
      <c r="J42" s="12">
        <f>Table1[[#This Row],[Enrolment S.Y. 2025-2026 ]]*8</f>
        <v>0</v>
      </c>
      <c r="K42" s="12"/>
      <c r="L42" s="10"/>
      <c r="M42" s="12"/>
      <c r="N42" s="12">
        <f>IF((J42-K42)&lt;0,0,(J42-K42))</f>
        <v>0</v>
      </c>
      <c r="O42" s="12">
        <f>IF((K42-J42)&lt;0,0,(K42-J42))</f>
        <v>0</v>
      </c>
      <c r="P42" s="12">
        <f>Table1[[#This Row],[Enrolment S.Y. 2025-2026 ]]*8</f>
        <v>0</v>
      </c>
      <c r="Q42" s="12"/>
      <c r="R42" s="10"/>
      <c r="S42" s="12"/>
      <c r="T42" s="12">
        <f>IF((P42-Q42)&lt;0,0,(P42-Q42))</f>
        <v>0</v>
      </c>
      <c r="U42" s="12">
        <f>IF((Q42-P42)&lt;0,0,(Q42-P42))</f>
        <v>0</v>
      </c>
      <c r="V42" s="12">
        <f>Table1[[#This Row],[Enrolment S.Y. 2025-2026 ]]*8</f>
        <v>0</v>
      </c>
      <c r="W42" s="12"/>
      <c r="X42" s="10"/>
      <c r="Y42" s="12"/>
      <c r="Z42" s="12">
        <f>IF((V42-W42)&lt;0,0,(V42-W42))</f>
        <v>0</v>
      </c>
      <c r="AA42" s="12">
        <f>IF((W42-V42)&lt;0,0,(W42-V42))</f>
        <v>0</v>
      </c>
    </row>
    <row r="43" spans="1:27" ht="19.5">
      <c r="A43" s="10">
        <v>10</v>
      </c>
      <c r="B43" s="11" t="s">
        <v>19</v>
      </c>
      <c r="C43" s="10"/>
      <c r="D43" s="12">
        <f>Table1[[#This Row],[Enrolment S.Y. 2025-2026 ]]*8</f>
        <v>0</v>
      </c>
      <c r="E43" s="12"/>
      <c r="F43" s="10"/>
      <c r="G43" s="12"/>
      <c r="H43" s="12">
        <f>IF((D43-E43)&lt;0,0,(D43-E43))</f>
        <v>0</v>
      </c>
      <c r="I43" s="12">
        <f>IF((E43-D43)&lt;0,0,(E43-D43))</f>
        <v>0</v>
      </c>
      <c r="J43" s="12">
        <f>Table1[[#This Row],[Enrolment S.Y. 2025-2026 ]]*8</f>
        <v>0</v>
      </c>
      <c r="K43" s="12"/>
      <c r="L43" s="10"/>
      <c r="M43" s="12"/>
      <c r="N43" s="12">
        <f>IF((J43-K43)&lt;0,0,(J43-K43))</f>
        <v>0</v>
      </c>
      <c r="O43" s="12">
        <f>IF((K43-J43)&lt;0,0,(K43-J43))</f>
        <v>0</v>
      </c>
      <c r="P43" s="12">
        <f>Table1[[#This Row],[Enrolment S.Y. 2025-2026 ]]*8</f>
        <v>0</v>
      </c>
      <c r="Q43" s="12"/>
      <c r="R43" s="10"/>
      <c r="S43" s="12"/>
      <c r="T43" s="12">
        <f>IF((P43-Q43)&lt;0,0,(P43-Q43))</f>
        <v>0</v>
      </c>
      <c r="U43" s="12">
        <f>IF((Q43-P43)&lt;0,0,(Q43-P43))</f>
        <v>0</v>
      </c>
      <c r="V43" s="12">
        <f>Table1[[#This Row],[Enrolment S.Y. 2025-2026 ]]*8</f>
        <v>0</v>
      </c>
      <c r="W43" s="12"/>
      <c r="X43" s="10"/>
      <c r="Y43" s="12"/>
      <c r="Z43" s="12">
        <f>IF((V43-W43)&lt;0,0,(V43-W43))</f>
        <v>0</v>
      </c>
      <c r="AA43" s="12">
        <f>IF((W43-V43)&lt;0,0,(W43-V43))</f>
        <v>0</v>
      </c>
    </row>
    <row r="44" spans="1:27" ht="19.5">
      <c r="A44" s="7"/>
      <c r="B44" s="7"/>
      <c r="C44" s="7"/>
      <c r="D44" s="7"/>
      <c r="E44" s="7"/>
      <c r="F44" s="7"/>
      <c r="G44" s="7"/>
      <c r="H44" s="7"/>
      <c r="I44" s="7"/>
      <c r="J44" s="13"/>
      <c r="K44" s="7"/>
      <c r="L44" s="7"/>
      <c r="M44" s="5"/>
      <c r="N44" s="13"/>
      <c r="O44" s="13"/>
      <c r="P44" s="13"/>
      <c r="Q44" s="7"/>
      <c r="R44" s="7"/>
      <c r="S44" s="5"/>
      <c r="T44" s="13"/>
      <c r="U44" s="13"/>
      <c r="V44" s="13"/>
      <c r="W44" s="7"/>
      <c r="X44" s="7"/>
      <c r="Y44" s="5"/>
      <c r="Z44" s="13"/>
      <c r="AA44" s="13"/>
    </row>
    <row r="45" spans="1:27" ht="38.25">
      <c r="A45" s="1" t="s">
        <v>24</v>
      </c>
      <c r="B45" s="9" t="s">
        <v>25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16"/>
        <v>0</v>
      </c>
      <c r="I45" s="5">
        <f t="shared" si="17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 t="s">
        <v>24</v>
      </c>
      <c r="B46" s="9" t="s">
        <v>26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16"/>
        <v>0</v>
      </c>
      <c r="I46" s="5">
        <f t="shared" si="17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5">
      <c r="A47" s="1" t="s">
        <v>24</v>
      </c>
      <c r="B47" s="9" t="s">
        <v>27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16"/>
        <v>0</v>
      </c>
      <c r="I47" s="5">
        <f t="shared" si="17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 t="s">
        <v>24</v>
      </c>
      <c r="B48" s="9" t="s">
        <v>28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16"/>
        <v>0</v>
      </c>
      <c r="I48" s="5">
        <f t="shared" si="17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38.25">
      <c r="A49" s="1" t="s">
        <v>24</v>
      </c>
      <c r="B49" s="9" t="s">
        <v>29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16"/>
        <v>0</v>
      </c>
      <c r="I49" s="5">
        <f t="shared" si="17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38.25">
      <c r="A50" s="1" t="s">
        <v>24</v>
      </c>
      <c r="B50" s="9" t="s">
        <v>30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16"/>
        <v>0</v>
      </c>
      <c r="I50" s="5">
        <f t="shared" si="17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57.75">
      <c r="A51" s="1" t="s">
        <v>24</v>
      </c>
      <c r="B51" s="9" t="s">
        <v>31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16"/>
        <v>0</v>
      </c>
      <c r="I51" s="5">
        <f t="shared" si="17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38.25">
      <c r="A52" s="1" t="s">
        <v>24</v>
      </c>
      <c r="B52" s="9" t="s">
        <v>32</v>
      </c>
      <c r="C52" s="1"/>
      <c r="D52" s="5">
        <f>Table1[[#This Row],[Enrolment S.Y. 2025-2026 ]]*8</f>
        <v>0</v>
      </c>
      <c r="E52" s="5"/>
      <c r="F52" s="1"/>
      <c r="G52" s="5"/>
      <c r="H52" s="5">
        <f t="shared" si="16"/>
        <v>0</v>
      </c>
      <c r="I52" s="5">
        <f t="shared" si="17"/>
        <v>0</v>
      </c>
      <c r="J52" s="5">
        <f>Table1[[#This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Table1[[#This Row],[Enrolment S.Y. 2025-2026 ]]*8</f>
        <v>0</v>
      </c>
      <c r="Q52" s="5"/>
      <c r="R52" s="1"/>
      <c r="S52" s="5"/>
      <c r="T52" s="5">
        <f t="shared" si="12"/>
        <v>0</v>
      </c>
      <c r="U52" s="5">
        <f t="shared" si="13"/>
        <v>0</v>
      </c>
      <c r="V52" s="5">
        <f>Table1[[#This Row],[Enrolment S.Y. 2025-2026 ]]*8</f>
        <v>0</v>
      </c>
      <c r="W52" s="5"/>
      <c r="X52" s="1"/>
      <c r="Y52" s="5"/>
      <c r="Z52" s="5">
        <f t="shared" si="14"/>
        <v>0</v>
      </c>
      <c r="AA52" s="5">
        <f t="shared" si="15"/>
        <v>0</v>
      </c>
    </row>
    <row r="53" spans="1:27" ht="19.5">
      <c r="A53" s="7"/>
      <c r="B53" s="7"/>
      <c r="C53" s="7"/>
      <c r="D53" s="7"/>
      <c r="E53" s="7"/>
      <c r="F53" s="7"/>
      <c r="G53" s="7"/>
      <c r="H53" s="7"/>
      <c r="I53" s="7"/>
      <c r="J53" s="13"/>
      <c r="K53" s="7"/>
      <c r="L53" s="7"/>
      <c r="M53" s="7"/>
      <c r="N53" s="13"/>
      <c r="O53" s="13"/>
      <c r="P53" s="13"/>
      <c r="Q53" s="7"/>
      <c r="R53" s="7"/>
      <c r="S53" s="7"/>
      <c r="T53" s="13"/>
      <c r="U53" s="13"/>
      <c r="V53" s="13"/>
      <c r="W53" s="7"/>
      <c r="X53" s="7"/>
      <c r="Y53" s="7"/>
      <c r="Z53" s="13"/>
      <c r="AA53" s="13"/>
    </row>
    <row r="54" spans="1:27" ht="19.5">
      <c r="A54" s="1"/>
      <c r="B54" s="9"/>
      <c r="C54" s="1"/>
      <c r="D54" s="5"/>
      <c r="E54" s="5"/>
      <c r="F54" s="1"/>
      <c r="G54" s="5"/>
      <c r="H54" s="5">
        <f t="shared" si="16"/>
        <v>0</v>
      </c>
      <c r="I54" s="5">
        <f t="shared" si="17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/>
      <c r="B55" s="9"/>
      <c r="C55" s="1"/>
      <c r="D55" s="5"/>
      <c r="E55" s="5"/>
      <c r="F55" s="1"/>
      <c r="G55" s="5"/>
      <c r="H55" s="5">
        <f t="shared" si="16"/>
        <v>0</v>
      </c>
      <c r="I55" s="5">
        <f t="shared" si="17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/>
      <c r="B56" s="9"/>
      <c r="C56" s="1"/>
      <c r="D56" s="5"/>
      <c r="E56" s="5"/>
      <c r="F56" s="1"/>
      <c r="G56" s="5"/>
      <c r="H56" s="5">
        <f t="shared" si="16"/>
        <v>0</v>
      </c>
      <c r="I56" s="5">
        <f t="shared" si="17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5">
      <c r="A57" s="1"/>
      <c r="B57" s="9"/>
      <c r="C57" s="1"/>
      <c r="D57" s="5"/>
      <c r="E57" s="5"/>
      <c r="F57" s="1"/>
      <c r="G57" s="5"/>
      <c r="H57" s="5">
        <f t="shared" si="16"/>
        <v>0</v>
      </c>
      <c r="I57" s="5">
        <f t="shared" si="17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/>
      <c r="B58" s="9"/>
      <c r="C58" s="1"/>
      <c r="D58" s="5"/>
      <c r="E58" s="5"/>
      <c r="F58" s="1"/>
      <c r="G58" s="5"/>
      <c r="H58" s="5">
        <f t="shared" si="16"/>
        <v>0</v>
      </c>
      <c r="I58" s="5">
        <f t="shared" si="17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/>
      <c r="B59" s="9"/>
      <c r="C59" s="1"/>
      <c r="D59" s="5"/>
      <c r="E59" s="5"/>
      <c r="F59" s="1"/>
      <c r="G59" s="5"/>
      <c r="H59" s="5">
        <f t="shared" si="16"/>
        <v>0</v>
      </c>
      <c r="I59" s="5">
        <f t="shared" si="17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/>
      <c r="B60" s="9"/>
      <c r="C60" s="1"/>
      <c r="D60" s="5"/>
      <c r="E60" s="5"/>
      <c r="F60" s="1"/>
      <c r="G60" s="5"/>
      <c r="H60" s="5">
        <f t="shared" si="16"/>
        <v>0</v>
      </c>
      <c r="I60" s="5">
        <f t="shared" si="17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/>
      <c r="B61" s="9"/>
      <c r="C61" s="1"/>
      <c r="D61" s="5"/>
      <c r="E61" s="5"/>
      <c r="F61" s="1"/>
      <c r="G61" s="5"/>
      <c r="H61" s="5">
        <f t="shared" si="16"/>
        <v>0</v>
      </c>
      <c r="I61" s="5">
        <f t="shared" si="17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A62" s="1"/>
      <c r="B62" s="9"/>
      <c r="C62" s="1"/>
      <c r="D62" s="5"/>
      <c r="E62" s="5"/>
      <c r="F62" s="1"/>
      <c r="G62" s="5"/>
      <c r="H62" s="5">
        <f t="shared" si="16"/>
        <v>0</v>
      </c>
      <c r="I62" s="5">
        <f t="shared" si="17"/>
        <v>0</v>
      </c>
      <c r="J62" s="5">
        <f>Table1[[#This Row],[Enrolment S.Y. 2025-2026 ]]*8</f>
        <v>0</v>
      </c>
      <c r="K62" s="5"/>
      <c r="L62" s="1"/>
      <c r="M62" s="5"/>
      <c r="N62" s="5">
        <f t="shared" si="10"/>
        <v>0</v>
      </c>
      <c r="O62" s="5">
        <f t="shared" si="11"/>
        <v>0</v>
      </c>
      <c r="P62" s="5">
        <f>Table1[[#This Row],[Enrolment S.Y. 2025-2026 ]]*8</f>
        <v>0</v>
      </c>
      <c r="Q62" s="5"/>
      <c r="R62" s="1"/>
      <c r="S62" s="5"/>
      <c r="T62" s="5">
        <f t="shared" si="12"/>
        <v>0</v>
      </c>
      <c r="U62" s="5">
        <f t="shared" si="13"/>
        <v>0</v>
      </c>
      <c r="V62" s="5">
        <f>Table1[[#This Row],[Enrolment S.Y. 2025-2026 ]]*8</f>
        <v>0</v>
      </c>
      <c r="W62" s="5"/>
      <c r="X62" s="1"/>
      <c r="Y62" s="5"/>
      <c r="Z62" s="5">
        <f t="shared" si="14"/>
        <v>0</v>
      </c>
      <c r="AA62" s="5">
        <f t="shared" si="15"/>
        <v>0</v>
      </c>
    </row>
    <row r="63" spans="1:27" ht="19.5">
      <c r="A63" s="1"/>
      <c r="B63" s="9"/>
      <c r="C63" s="1"/>
      <c r="D63" s="5"/>
      <c r="E63" s="5"/>
      <c r="F63" s="1"/>
      <c r="G63" s="5"/>
      <c r="H63" s="5">
        <f t="shared" si="16"/>
        <v>0</v>
      </c>
      <c r="I63" s="5">
        <f t="shared" si="17"/>
        <v>0</v>
      </c>
      <c r="J63" s="5">
        <f>Table1[[#This Row],[Enrolment S.Y. 2025-2026 ]]*8</f>
        <v>0</v>
      </c>
      <c r="K63" s="5"/>
      <c r="L63" s="1"/>
      <c r="M63" s="5"/>
      <c r="N63" s="5">
        <f t="shared" si="10"/>
        <v>0</v>
      </c>
      <c r="O63" s="5">
        <f t="shared" si="11"/>
        <v>0</v>
      </c>
      <c r="P63" s="5">
        <f>Table1[[#This Row],[Enrolment S.Y. 2025-2026 ]]*8</f>
        <v>0</v>
      </c>
      <c r="Q63" s="5"/>
      <c r="R63" s="1"/>
      <c r="S63" s="5"/>
      <c r="T63" s="5">
        <f t="shared" si="12"/>
        <v>0</v>
      </c>
      <c r="U63" s="5">
        <f t="shared" si="13"/>
        <v>0</v>
      </c>
      <c r="V63" s="5">
        <f>Table1[[#This Row],[Enrolment S.Y. 2025-2026 ]]*8</f>
        <v>0</v>
      </c>
      <c r="W63" s="5"/>
      <c r="X63" s="1"/>
      <c r="Y63" s="5"/>
      <c r="Z63" s="5">
        <f t="shared" si="14"/>
        <v>0</v>
      </c>
      <c r="AA63" s="5">
        <f t="shared" si="15"/>
        <v>0</v>
      </c>
    </row>
    <row r="64" spans="1:27" ht="19.5">
      <c r="A64" s="1"/>
      <c r="B64" s="9"/>
      <c r="C64" s="1"/>
      <c r="D64" s="5"/>
      <c r="E64" s="5"/>
      <c r="F64" s="1"/>
      <c r="G64" s="5"/>
      <c r="H64" s="5">
        <f t="shared" si="16"/>
        <v>0</v>
      </c>
      <c r="I64" s="5">
        <f t="shared" si="17"/>
        <v>0</v>
      </c>
      <c r="J64" s="5">
        <f>Table1[[#This Row],[Enrolment S.Y. 2025-2026 ]]*8</f>
        <v>0</v>
      </c>
      <c r="K64" s="5"/>
      <c r="L64" s="1"/>
      <c r="M64" s="5"/>
      <c r="N64" s="5">
        <f t="shared" si="10"/>
        <v>0</v>
      </c>
      <c r="O64" s="5">
        <f t="shared" si="11"/>
        <v>0</v>
      </c>
      <c r="P64" s="5">
        <f>Table1[[#This Row],[Enrolment S.Y. 2025-2026 ]]*8</f>
        <v>0</v>
      </c>
      <c r="Q64" s="5"/>
      <c r="R64" s="1"/>
      <c r="S64" s="5"/>
      <c r="T64" s="5">
        <f t="shared" si="12"/>
        <v>0</v>
      </c>
      <c r="U64" s="5">
        <f t="shared" si="13"/>
        <v>0</v>
      </c>
      <c r="V64" s="5">
        <f>Table1[[#This Row],[Enrolment S.Y. 2025-2026 ]]*8</f>
        <v>0</v>
      </c>
      <c r="W64" s="5"/>
      <c r="X64" s="1"/>
      <c r="Y64" s="5"/>
      <c r="Z64" s="5">
        <f t="shared" si="14"/>
        <v>0</v>
      </c>
      <c r="AA64" s="5">
        <f t="shared" si="15"/>
        <v>0</v>
      </c>
    </row>
    <row r="65" spans="1:27" ht="19.5">
      <c r="A65" s="1"/>
      <c r="B65" s="9"/>
      <c r="C65" s="1"/>
      <c r="D65" s="5"/>
      <c r="E65" s="5"/>
      <c r="F65" s="1"/>
      <c r="G65" s="5"/>
      <c r="H65" s="5">
        <f t="shared" si="16"/>
        <v>0</v>
      </c>
      <c r="I65" s="5">
        <f t="shared" si="17"/>
        <v>0</v>
      </c>
      <c r="J65" s="5">
        <f>Table1[[#This Row],[Enrolment S.Y. 2025-2026 ]]*8</f>
        <v>0</v>
      </c>
      <c r="K65" s="5"/>
      <c r="L65" s="1"/>
      <c r="M65" s="5"/>
      <c r="N65" s="5">
        <f t="shared" si="10"/>
        <v>0</v>
      </c>
      <c r="O65" s="5">
        <f t="shared" si="11"/>
        <v>0</v>
      </c>
      <c r="P65" s="5">
        <f>Table1[[#This Row],[Enrolment S.Y. 2025-2026 ]]*8</f>
        <v>0</v>
      </c>
      <c r="Q65" s="5"/>
      <c r="R65" s="1"/>
      <c r="S65" s="5"/>
      <c r="T65" s="5">
        <f t="shared" si="12"/>
        <v>0</v>
      </c>
      <c r="U65" s="5">
        <f t="shared" si="13"/>
        <v>0</v>
      </c>
      <c r="V65" s="5">
        <f>Table1[[#This Row],[Enrolment S.Y. 2025-2026 ]]*8</f>
        <v>0</v>
      </c>
      <c r="W65" s="5"/>
      <c r="X65" s="1"/>
      <c r="Y65" s="5"/>
      <c r="Z65" s="5">
        <f t="shared" si="14"/>
        <v>0</v>
      </c>
      <c r="AA65" s="5">
        <f t="shared" si="15"/>
        <v>0</v>
      </c>
    </row>
    <row r="66" spans="1:27" ht="19.5">
      <c r="A66" s="1"/>
      <c r="B66" s="9"/>
      <c r="C66" s="1"/>
      <c r="D66" s="5"/>
      <c r="E66" s="5"/>
      <c r="F66" s="1"/>
      <c r="G66" s="5"/>
      <c r="H66" s="5">
        <f t="shared" si="16"/>
        <v>0</v>
      </c>
      <c r="I66" s="5">
        <f t="shared" si="17"/>
        <v>0</v>
      </c>
      <c r="J66" s="5">
        <f>Table1[[#This Row],[Enrolment S.Y. 2025-2026 ]]*8</f>
        <v>0</v>
      </c>
      <c r="K66" s="5"/>
      <c r="L66" s="1"/>
      <c r="M66" s="5"/>
      <c r="N66" s="5">
        <f t="shared" si="10"/>
        <v>0</v>
      </c>
      <c r="O66" s="5">
        <f t="shared" si="11"/>
        <v>0</v>
      </c>
      <c r="P66" s="5">
        <f>Table1[[#This Row],[Enrolment S.Y. 2025-2026 ]]*8</f>
        <v>0</v>
      </c>
      <c r="Q66" s="5"/>
      <c r="R66" s="1"/>
      <c r="S66" s="5"/>
      <c r="T66" s="5">
        <f t="shared" si="12"/>
        <v>0</v>
      </c>
      <c r="U66" s="5">
        <f t="shared" si="13"/>
        <v>0</v>
      </c>
      <c r="V66" s="5">
        <f>Table1[[#This Row],[Enrolment S.Y. 2025-2026 ]]*8</f>
        <v>0</v>
      </c>
      <c r="W66" s="5"/>
      <c r="X66" s="1"/>
      <c r="Y66" s="5"/>
      <c r="Z66" s="5">
        <f t="shared" si="14"/>
        <v>0</v>
      </c>
      <c r="AA66" s="5">
        <f t="shared" si="15"/>
        <v>0</v>
      </c>
    </row>
    <row r="67" spans="1:27" ht="19.5">
      <c r="A67" s="1"/>
      <c r="B67" s="9"/>
      <c r="C67" s="1"/>
      <c r="D67" s="5"/>
      <c r="E67" s="5"/>
      <c r="F67" s="1"/>
      <c r="G67" s="5"/>
      <c r="H67" s="5">
        <f t="shared" si="16"/>
        <v>0</v>
      </c>
      <c r="I67" s="5">
        <f t="shared" si="17"/>
        <v>0</v>
      </c>
      <c r="J67" s="5">
        <f>Table1[[#This Row],[Enrolment S.Y. 2025-2026 ]]*8</f>
        <v>0</v>
      </c>
      <c r="K67" s="5"/>
      <c r="L67" s="1"/>
      <c r="M67" s="5"/>
      <c r="N67" s="5">
        <f t="shared" si="10"/>
        <v>0</v>
      </c>
      <c r="O67" s="5">
        <f t="shared" si="11"/>
        <v>0</v>
      </c>
      <c r="P67" s="5">
        <f>Table1[[#This Row],[Enrolment S.Y. 2025-2026 ]]*8</f>
        <v>0</v>
      </c>
      <c r="Q67" s="5"/>
      <c r="R67" s="1"/>
      <c r="S67" s="5"/>
      <c r="T67" s="5">
        <f t="shared" si="12"/>
        <v>0</v>
      </c>
      <c r="U67" s="5">
        <f t="shared" si="13"/>
        <v>0</v>
      </c>
      <c r="V67" s="5">
        <f>Table1[[#This Row],[Enrolment S.Y. 2025-2026 ]]*8</f>
        <v>0</v>
      </c>
      <c r="W67" s="5"/>
      <c r="X67" s="1"/>
      <c r="Y67" s="5"/>
      <c r="Z67" s="5">
        <f t="shared" si="14"/>
        <v>0</v>
      </c>
      <c r="AA67" s="5">
        <f t="shared" si="15"/>
        <v>0</v>
      </c>
    </row>
    <row r="68" spans="1:27" ht="19.5">
      <c r="A68" s="1"/>
      <c r="B68" s="9"/>
      <c r="C68" s="1"/>
      <c r="D68" s="5"/>
      <c r="E68" s="5"/>
      <c r="F68" s="1"/>
      <c r="G68" s="5"/>
      <c r="H68" s="5">
        <f t="shared" si="16"/>
        <v>0</v>
      </c>
      <c r="I68" s="5">
        <f t="shared" si="17"/>
        <v>0</v>
      </c>
      <c r="J68" s="5">
        <f>Table1[[#This Row],[Enrolment S.Y. 2025-2026 ]]*8</f>
        <v>0</v>
      </c>
      <c r="K68" s="5"/>
      <c r="L68" s="1"/>
      <c r="M68" s="5"/>
      <c r="N68" s="5">
        <f t="shared" si="10"/>
        <v>0</v>
      </c>
      <c r="O68" s="5">
        <f t="shared" si="11"/>
        <v>0</v>
      </c>
      <c r="P68" s="5">
        <f>Table1[[#This Row],[Enrolment S.Y. 2025-2026 ]]*8</f>
        <v>0</v>
      </c>
      <c r="Q68" s="5"/>
      <c r="R68" s="1"/>
      <c r="S68" s="5"/>
      <c r="T68" s="5">
        <f t="shared" si="12"/>
        <v>0</v>
      </c>
      <c r="U68" s="5">
        <f t="shared" si="13"/>
        <v>0</v>
      </c>
      <c r="V68" s="5">
        <f>Table1[[#This Row],[Enrolment S.Y. 2025-2026 ]]*8</f>
        <v>0</v>
      </c>
      <c r="W68" s="5"/>
      <c r="X68" s="1"/>
      <c r="Y68" s="5"/>
      <c r="Z68" s="5">
        <f t="shared" si="14"/>
        <v>0</v>
      </c>
      <c r="AA68" s="5">
        <f t="shared" si="15"/>
        <v>0</v>
      </c>
    </row>
    <row r="69" spans="1:27" ht="19.5">
      <c r="A69" s="29"/>
      <c r="B69" s="30"/>
      <c r="C69" s="29"/>
      <c r="D69" s="5"/>
      <c r="E69" s="31"/>
      <c r="F69" s="29"/>
      <c r="G69" s="31"/>
      <c r="H69" s="5">
        <f t="shared" si="16"/>
        <v>0</v>
      </c>
      <c r="I69" s="5">
        <f t="shared" si="17"/>
        <v>0</v>
      </c>
      <c r="J69" s="5">
        <f>Table1[[#This Row],[Enrolment S.Y. 2025-2026 ]]*8</f>
        <v>0</v>
      </c>
      <c r="K69" s="31"/>
      <c r="L69" s="29"/>
      <c r="M69" s="31"/>
      <c r="N69" s="5">
        <f t="shared" ref="N69" si="18">IF((J69-K69)&lt;0,0,(J69-K69))</f>
        <v>0</v>
      </c>
      <c r="O69" s="5">
        <f t="shared" ref="O69" si="19">IF((K69-J69)&lt;0,0,(K69-J69))</f>
        <v>0</v>
      </c>
      <c r="P69" s="5"/>
      <c r="Q69" s="31"/>
      <c r="R69" s="29"/>
      <c r="S69" s="31"/>
      <c r="T69" s="5">
        <f t="shared" si="12"/>
        <v>0</v>
      </c>
      <c r="U69" s="5">
        <f t="shared" si="13"/>
        <v>0</v>
      </c>
      <c r="V69" s="5">
        <f>Table1[[#This Row],[Enrolment S.Y. 2025-2026 ]]*8</f>
        <v>0</v>
      </c>
      <c r="W69" s="31"/>
      <c r="X69" s="29"/>
      <c r="Y69" s="31"/>
      <c r="Z69" s="5">
        <f t="shared" si="14"/>
        <v>0</v>
      </c>
      <c r="AA69" s="5">
        <f t="shared" si="15"/>
        <v>0</v>
      </c>
    </row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5:C23 C25:C33 C35:C43 C45:C52 C54:C69 C5:C13" name="Textbooks"/>
    <protectedRange sqref="J2:L3 D2:F3 N3:R3 D35:F43 K5:L13 K15:L23 K25:L33 K35:L43 K45:L52 K54:L69 J5:J69 Z5:AA69 Q54:R68 P2:R2 V2:X3 N5:P68 D5:F13 H5:I13 Q5:R13 W5:X13 D15:F23 H15:I23 Q15:R23 W15:X23 D25:F33 H25:I33 Q25:R33 W25:X33 H35:I43 Q35:R43 W35:X43 D45:F52 H45:I52 Q45:R52 W45:X52 D54:F69 H54:I69 N69:R69 W54:X69 T5:V69 T4:V4 N4:P4 Z4:AA4 J4" name="LAS"/>
    <protectedRange sqref="G2:I3 M2:O2 S2:U3 Y2:AA3 G54:G69 M54:M69 S54:S69 Y54:Y69 G35:G43 G45:G52 G5:G13 M5:M52 M3 Y5:Y52 G15:G23 G25:G33 S4:S5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4:S69 M54:M69 Y54:Y69 G54:G69" xr:uid="{8289B4A9-982E-4C7E-A8E2-4BF3404561DB}">
      <formula1>"CO,RO,SDO"</formula1>
    </dataValidation>
    <dataValidation type="list" allowBlank="1" showInputMessage="1" showErrorMessage="1" sqref="X54:X69 F5:F13 F15:F23 F25:F33 F35:F43 F45:F52 F54:F69 L5:L13 L15:L23 L25:L33 L35:L43 L45:L52 L54:L69 R5:R13 R15:R23 R25:R33 R35:R43 R45:R52 R54:R69 X5:X13 X15:X23 X25:X33 X35:X43 X45:X52" xr:uid="{4ECCD083-8EC4-42EE-B46C-B614411F330D}">
      <formula1>"2024,2025,2026"</formula1>
    </dataValidation>
    <dataValidation type="list" allowBlank="1" showInputMessage="1" showErrorMessage="1" sqref="G5:G13 G15:G23 G25:G33 G35:G43 G45:G52 M5:M52 Y5:Y52 S4:S52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I101" zoomScale="55" zoomScaleNormal="55" workbookViewId="0">
      <selection activeCell="X115" sqref="X1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71" t="s">
        <v>33</v>
      </c>
      <c r="E1" s="71"/>
      <c r="F1" s="71"/>
      <c r="G1" s="71"/>
      <c r="H1" s="71"/>
      <c r="I1" s="71"/>
      <c r="J1" s="72" t="s">
        <v>34</v>
      </c>
      <c r="K1" s="72"/>
      <c r="L1" s="72"/>
      <c r="M1" s="72"/>
      <c r="N1" s="72"/>
      <c r="O1" s="72"/>
      <c r="P1" s="73" t="s">
        <v>35</v>
      </c>
      <c r="Q1" s="73"/>
      <c r="R1" s="73"/>
      <c r="S1" s="73"/>
      <c r="T1" s="73"/>
      <c r="U1" s="73"/>
      <c r="V1" s="74" t="s">
        <v>36</v>
      </c>
      <c r="W1" s="74"/>
      <c r="X1" s="74"/>
      <c r="Y1" s="74"/>
      <c r="Z1" s="74"/>
      <c r="AA1" s="74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6.75" hidden="1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86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86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86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21">
      <c r="A67" s="10">
        <v>7</v>
      </c>
      <c r="B67" s="11" t="s">
        <v>14</v>
      </c>
      <c r="C67" s="10"/>
      <c r="D67" s="47">
        <v>0</v>
      </c>
      <c r="E67" s="47" t="s">
        <v>91</v>
      </c>
      <c r="F67" s="46"/>
      <c r="G67" s="47"/>
      <c r="H67" s="47">
        <v>0</v>
      </c>
      <c r="I67" s="47">
        <v>0</v>
      </c>
      <c r="J67" s="47"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1">
      <c r="A68" s="10">
        <v>7</v>
      </c>
      <c r="B68" s="11" t="s">
        <v>15</v>
      </c>
      <c r="C68" s="10"/>
      <c r="D68" s="47">
        <v>0</v>
      </c>
      <c r="E68" s="47">
        <v>60</v>
      </c>
      <c r="F68" s="46">
        <v>2025</v>
      </c>
      <c r="G68" s="47" t="s">
        <v>92</v>
      </c>
      <c r="H68" s="47">
        <v>0</v>
      </c>
      <c r="I68" s="47">
        <v>60</v>
      </c>
      <c r="J68" s="47"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47">
        <v>0</v>
      </c>
      <c r="E69" s="47"/>
      <c r="F69" s="46"/>
      <c r="G69" s="47"/>
      <c r="H69" s="47">
        <v>0</v>
      </c>
      <c r="I69" s="47">
        <v>0</v>
      </c>
      <c r="J69" s="47"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47">
        <v>0</v>
      </c>
      <c r="E70" s="47"/>
      <c r="F70" s="46"/>
      <c r="G70" s="47"/>
      <c r="H70" s="47">
        <v>0</v>
      </c>
      <c r="I70" s="47">
        <v>0</v>
      </c>
      <c r="J70" s="47"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1.5" customHeight="1">
      <c r="A71" s="10">
        <v>7</v>
      </c>
      <c r="B71" s="11" t="s">
        <v>16</v>
      </c>
      <c r="C71" s="10"/>
      <c r="D71" s="47">
        <v>0</v>
      </c>
      <c r="E71" s="47"/>
      <c r="F71" s="46"/>
      <c r="G71" s="47"/>
      <c r="H71" s="47">
        <v>0</v>
      </c>
      <c r="I71" s="47">
        <v>0</v>
      </c>
      <c r="J71" s="47"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47">
        <v>0</v>
      </c>
      <c r="E72" s="47"/>
      <c r="F72" s="46"/>
      <c r="G72" s="47"/>
      <c r="H72" s="47">
        <v>0</v>
      </c>
      <c r="I72" s="47">
        <v>0</v>
      </c>
      <c r="J72" s="47"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47">
        <v>0</v>
      </c>
      <c r="E73" s="47"/>
      <c r="F73" s="46"/>
      <c r="G73" s="47"/>
      <c r="H73" s="47">
        <v>0</v>
      </c>
      <c r="I73" s="47">
        <v>0</v>
      </c>
      <c r="J73" s="47"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47">
        <v>0</v>
      </c>
      <c r="E74" s="47"/>
      <c r="F74" s="46"/>
      <c r="G74" s="47"/>
      <c r="H74" s="47">
        <v>0</v>
      </c>
      <c r="I74" s="47">
        <v>0</v>
      </c>
      <c r="J74" s="47"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47">
        <v>0</v>
      </c>
      <c r="E75" s="47"/>
      <c r="F75" s="46"/>
      <c r="G75" s="47"/>
      <c r="H75" s="47">
        <v>0</v>
      </c>
      <c r="I75" s="47">
        <v>0</v>
      </c>
      <c r="J75" s="47"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47">
        <v>0</v>
      </c>
      <c r="E76" s="47"/>
      <c r="F76" s="46"/>
      <c r="G76" s="47"/>
      <c r="H76" s="47">
        <v>0</v>
      </c>
      <c r="I76" s="47">
        <v>0</v>
      </c>
      <c r="J76" s="47"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47">
        <v>0</v>
      </c>
      <c r="E77" s="47"/>
      <c r="F77" s="46"/>
      <c r="G77" s="47"/>
      <c r="H77" s="47">
        <v>0</v>
      </c>
      <c r="I77" s="47">
        <v>0</v>
      </c>
      <c r="J77" s="47"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>
      <c r="D78" s="51"/>
      <c r="E78" s="51"/>
      <c r="F78" s="51"/>
      <c r="G78" s="51"/>
      <c r="H78" s="51"/>
      <c r="I78" s="51"/>
      <c r="J78" s="51"/>
      <c r="K78" s="55"/>
      <c r="L78" s="55"/>
    </row>
    <row r="79" spans="1:27" ht="19.5">
      <c r="A79" s="10">
        <v>8</v>
      </c>
      <c r="B79" s="11" t="s">
        <v>14</v>
      </c>
      <c r="C79" s="10"/>
      <c r="D79" s="47">
        <v>0</v>
      </c>
      <c r="E79" s="47"/>
      <c r="F79" s="46"/>
      <c r="G79" s="47"/>
      <c r="H79" s="47">
        <v>0</v>
      </c>
      <c r="I79" s="47">
        <v>0</v>
      </c>
      <c r="J79" s="47"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47">
        <v>0</v>
      </c>
      <c r="E80" s="47"/>
      <c r="F80" s="46"/>
      <c r="G80" s="47"/>
      <c r="H80" s="47">
        <v>0</v>
      </c>
      <c r="I80" s="47">
        <v>0</v>
      </c>
      <c r="J80" s="47"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47">
        <v>0</v>
      </c>
      <c r="E81" s="47"/>
      <c r="F81" s="46"/>
      <c r="G81" s="47"/>
      <c r="H81" s="47">
        <v>0</v>
      </c>
      <c r="I81" s="47">
        <v>0</v>
      </c>
      <c r="J81" s="47"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47">
        <v>0</v>
      </c>
      <c r="E82" s="47"/>
      <c r="F82" s="46"/>
      <c r="G82" s="47"/>
      <c r="H82" s="47">
        <v>0</v>
      </c>
      <c r="I82" s="47">
        <v>0</v>
      </c>
      <c r="J82" s="47"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47">
        <v>0</v>
      </c>
      <c r="E83" s="47"/>
      <c r="F83" s="46"/>
      <c r="G83" s="47"/>
      <c r="H83" s="47">
        <v>0</v>
      </c>
      <c r="I83" s="47">
        <v>0</v>
      </c>
      <c r="J83" s="47"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47">
        <v>0</v>
      </c>
      <c r="E84" s="47"/>
      <c r="F84" s="46"/>
      <c r="G84" s="47"/>
      <c r="H84" s="47">
        <v>0</v>
      </c>
      <c r="I84" s="47">
        <v>0</v>
      </c>
      <c r="J84" s="47">
        <v>0</v>
      </c>
      <c r="K84" s="12"/>
      <c r="L84" s="10"/>
      <c r="M84" s="12"/>
      <c r="N84" s="12">
        <f t="shared" ref="N84:N89" si="22">IF((J84-K84)&lt;0,0,(J84-K84))</f>
        <v>0</v>
      </c>
      <c r="O84" s="12">
        <f t="shared" ref="O84:O89" si="23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47">
        <v>0</v>
      </c>
      <c r="E85" s="47"/>
      <c r="F85" s="46"/>
      <c r="G85" s="47"/>
      <c r="H85" s="47">
        <v>0</v>
      </c>
      <c r="I85" s="47">
        <v>0</v>
      </c>
      <c r="J85" s="47">
        <v>0</v>
      </c>
      <c r="K85" s="12"/>
      <c r="L85" s="10"/>
      <c r="M85" s="12"/>
      <c r="N85" s="12">
        <f t="shared" si="22"/>
        <v>0</v>
      </c>
      <c r="O85" s="12">
        <f t="shared" si="23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47">
        <v>0</v>
      </c>
      <c r="E86" s="47"/>
      <c r="F86" s="46"/>
      <c r="G86" s="47"/>
      <c r="H86" s="47">
        <v>0</v>
      </c>
      <c r="I86" s="47">
        <v>0</v>
      </c>
      <c r="J86" s="47">
        <v>0</v>
      </c>
      <c r="K86" s="12"/>
      <c r="L86" s="10"/>
      <c r="M86" s="12"/>
      <c r="N86" s="12">
        <f t="shared" si="22"/>
        <v>0</v>
      </c>
      <c r="O86" s="12">
        <f t="shared" si="23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47">
        <v>0</v>
      </c>
      <c r="E87" s="47"/>
      <c r="F87" s="46"/>
      <c r="G87" s="47"/>
      <c r="H87" s="47">
        <v>0</v>
      </c>
      <c r="I87" s="47">
        <v>0</v>
      </c>
      <c r="J87" s="47">
        <v>0</v>
      </c>
      <c r="K87" s="12"/>
      <c r="L87" s="10"/>
      <c r="M87" s="12"/>
      <c r="N87" s="12">
        <f t="shared" si="22"/>
        <v>0</v>
      </c>
      <c r="O87" s="12">
        <f t="shared" si="23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47">
        <v>0</v>
      </c>
      <c r="E88" s="47"/>
      <c r="F88" s="46"/>
      <c r="G88" s="47"/>
      <c r="H88" s="47">
        <v>0</v>
      </c>
      <c r="I88" s="47">
        <v>0</v>
      </c>
      <c r="J88" s="47">
        <v>0</v>
      </c>
      <c r="K88" s="12"/>
      <c r="L88" s="10"/>
      <c r="M88" s="12"/>
      <c r="N88" s="12">
        <f t="shared" si="22"/>
        <v>0</v>
      </c>
      <c r="O88" s="12">
        <f t="shared" si="23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47">
        <v>0</v>
      </c>
      <c r="E89" s="47"/>
      <c r="F89" s="46"/>
      <c r="G89" s="47"/>
      <c r="H89" s="47">
        <v>0</v>
      </c>
      <c r="I89" s="47">
        <v>0</v>
      </c>
      <c r="J89" s="47">
        <v>0</v>
      </c>
      <c r="K89" s="12"/>
      <c r="L89" s="10"/>
      <c r="M89" s="12"/>
      <c r="N89" s="12">
        <f t="shared" si="22"/>
        <v>0</v>
      </c>
      <c r="O89" s="12">
        <f t="shared" si="23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>
      <c r="D90" s="51"/>
      <c r="E90" s="51"/>
      <c r="F90" s="51"/>
      <c r="G90" s="51"/>
      <c r="H90" s="51"/>
      <c r="I90" s="51"/>
      <c r="J90" s="51"/>
      <c r="K90" s="55"/>
      <c r="L90" s="55"/>
    </row>
    <row r="91" spans="1:27" ht="19.5">
      <c r="A91" s="10">
        <v>9</v>
      </c>
      <c r="B91" s="11" t="s">
        <v>14</v>
      </c>
      <c r="C91" s="10"/>
      <c r="D91" s="47">
        <v>0</v>
      </c>
      <c r="E91" s="47"/>
      <c r="F91" s="46"/>
      <c r="G91" s="47"/>
      <c r="H91" s="47">
        <v>0</v>
      </c>
      <c r="I91" s="47">
        <v>0</v>
      </c>
      <c r="J91" s="47"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1">
      <c r="A92" s="10">
        <v>9</v>
      </c>
      <c r="B92" s="11" t="s">
        <v>15</v>
      </c>
      <c r="C92" s="10"/>
      <c r="D92" s="47">
        <v>723</v>
      </c>
      <c r="E92" s="47">
        <v>195</v>
      </c>
      <c r="F92" s="46">
        <v>2025</v>
      </c>
      <c r="G92" s="47" t="s">
        <v>92</v>
      </c>
      <c r="H92" s="47">
        <v>528</v>
      </c>
      <c r="I92" s="47">
        <v>0</v>
      </c>
      <c r="J92" s="47"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1">
      <c r="A93" s="10">
        <v>9</v>
      </c>
      <c r="B93" s="11" t="s">
        <v>12</v>
      </c>
      <c r="C93" s="10"/>
      <c r="D93" s="47">
        <v>723</v>
      </c>
      <c r="E93" s="47">
        <v>195</v>
      </c>
      <c r="F93" s="46">
        <v>2025</v>
      </c>
      <c r="G93" s="47" t="s">
        <v>92</v>
      </c>
      <c r="H93" s="47">
        <v>528</v>
      </c>
      <c r="I93" s="47">
        <v>0</v>
      </c>
      <c r="J93" s="47"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47">
        <v>0</v>
      </c>
      <c r="E94" s="47"/>
      <c r="F94" s="46"/>
      <c r="G94" s="47"/>
      <c r="H94" s="47">
        <v>0</v>
      </c>
      <c r="I94" s="47">
        <v>0</v>
      </c>
      <c r="J94" s="47"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47">
        <v>0</v>
      </c>
      <c r="E95" s="47"/>
      <c r="F95" s="46"/>
      <c r="G95" s="47"/>
      <c r="H95" s="47">
        <v>0</v>
      </c>
      <c r="I95" s="47">
        <v>0</v>
      </c>
      <c r="J95" s="47"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47">
        <v>0</v>
      </c>
      <c r="E96" s="47"/>
      <c r="F96" s="46"/>
      <c r="G96" s="47"/>
      <c r="H96" s="47">
        <v>0</v>
      </c>
      <c r="I96" s="47">
        <v>0</v>
      </c>
      <c r="J96" s="47"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47">
        <v>0</v>
      </c>
      <c r="E97" s="47"/>
      <c r="F97" s="46"/>
      <c r="G97" s="47"/>
      <c r="H97" s="47">
        <v>0</v>
      </c>
      <c r="I97" s="47">
        <v>0</v>
      </c>
      <c r="J97" s="47">
        <v>0</v>
      </c>
      <c r="K97" s="12"/>
      <c r="L97" s="10"/>
      <c r="M97" s="12"/>
      <c r="N97" s="12">
        <f t="shared" ref="N97:N101" si="24">IF((J97-K97)&lt;0,0,(J97-K97))</f>
        <v>0</v>
      </c>
      <c r="O97" s="12">
        <f t="shared" ref="O97:O101" si="25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47">
        <v>0</v>
      </c>
      <c r="E98" s="47"/>
      <c r="F98" s="46"/>
      <c r="G98" s="47"/>
      <c r="H98" s="47">
        <v>0</v>
      </c>
      <c r="I98" s="47">
        <v>0</v>
      </c>
      <c r="J98" s="47">
        <v>0</v>
      </c>
      <c r="K98" s="12"/>
      <c r="L98" s="10"/>
      <c r="M98" s="12"/>
      <c r="N98" s="12">
        <f t="shared" si="24"/>
        <v>0</v>
      </c>
      <c r="O98" s="12">
        <f t="shared" si="25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47">
        <v>0</v>
      </c>
      <c r="E99" s="47"/>
      <c r="F99" s="46"/>
      <c r="G99" s="47"/>
      <c r="H99" s="47">
        <v>0</v>
      </c>
      <c r="I99" s="47">
        <v>0</v>
      </c>
      <c r="J99" s="47">
        <v>0</v>
      </c>
      <c r="K99" s="12"/>
      <c r="L99" s="10"/>
      <c r="M99" s="12"/>
      <c r="N99" s="12">
        <f t="shared" si="24"/>
        <v>0</v>
      </c>
      <c r="O99" s="12">
        <f t="shared" si="25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47">
        <v>0</v>
      </c>
      <c r="E100" s="47"/>
      <c r="F100" s="46"/>
      <c r="G100" s="47"/>
      <c r="H100" s="47">
        <v>0</v>
      </c>
      <c r="I100" s="47">
        <v>0</v>
      </c>
      <c r="J100" s="47">
        <v>0</v>
      </c>
      <c r="K100" s="12"/>
      <c r="L100" s="10"/>
      <c r="M100" s="12"/>
      <c r="N100" s="12">
        <f t="shared" si="24"/>
        <v>0</v>
      </c>
      <c r="O100" s="12">
        <f t="shared" si="25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47">
        <v>0</v>
      </c>
      <c r="E101" s="47"/>
      <c r="F101" s="46"/>
      <c r="G101" s="47"/>
      <c r="H101" s="47">
        <v>0</v>
      </c>
      <c r="I101" s="47">
        <v>0</v>
      </c>
      <c r="J101" s="47">
        <v>0</v>
      </c>
      <c r="K101" s="12"/>
      <c r="L101" s="10"/>
      <c r="M101" s="12"/>
      <c r="N101" s="12">
        <f t="shared" si="24"/>
        <v>0</v>
      </c>
      <c r="O101" s="12">
        <f t="shared" si="25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>
      <c r="D102" s="51"/>
      <c r="E102" s="51"/>
      <c r="F102" s="51"/>
      <c r="G102" s="51"/>
      <c r="H102" s="51"/>
      <c r="I102" s="51"/>
      <c r="J102" s="51"/>
      <c r="K102" s="55"/>
      <c r="L102" s="55"/>
    </row>
    <row r="103" spans="1:27" ht="21">
      <c r="A103" s="10">
        <v>10</v>
      </c>
      <c r="B103" s="11" t="s">
        <v>14</v>
      </c>
      <c r="C103" s="10"/>
      <c r="D103" s="47">
        <v>944</v>
      </c>
      <c r="E103" s="47">
        <v>260</v>
      </c>
      <c r="F103" s="46">
        <v>2025</v>
      </c>
      <c r="G103" s="47" t="s">
        <v>92</v>
      </c>
      <c r="H103" s="47">
        <v>684</v>
      </c>
      <c r="I103" s="47">
        <v>0</v>
      </c>
      <c r="J103" s="47"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1">
      <c r="A104" s="10">
        <v>10</v>
      </c>
      <c r="B104" s="11" t="s">
        <v>15</v>
      </c>
      <c r="C104" s="10"/>
      <c r="D104" s="47">
        <v>944</v>
      </c>
      <c r="E104" s="47">
        <v>260</v>
      </c>
      <c r="F104" s="46">
        <v>2025</v>
      </c>
      <c r="G104" s="47" t="s">
        <v>92</v>
      </c>
      <c r="H104" s="47">
        <v>684</v>
      </c>
      <c r="I104" s="47">
        <v>0</v>
      </c>
      <c r="J104" s="47"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1">
      <c r="A105" s="10">
        <v>10</v>
      </c>
      <c r="B105" s="11" t="s">
        <v>12</v>
      </c>
      <c r="C105" s="10"/>
      <c r="D105" s="47">
        <v>944</v>
      </c>
      <c r="E105" s="47">
        <v>260</v>
      </c>
      <c r="F105" s="46">
        <v>2025</v>
      </c>
      <c r="G105" s="47" t="s">
        <v>92</v>
      </c>
      <c r="H105" s="47">
        <v>684</v>
      </c>
      <c r="I105" s="47">
        <v>0</v>
      </c>
      <c r="J105" s="47"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47">
        <v>944</v>
      </c>
      <c r="E106" s="47"/>
      <c r="F106" s="46"/>
      <c r="G106" s="47"/>
      <c r="H106" s="47">
        <v>944</v>
      </c>
      <c r="I106" s="47">
        <v>0</v>
      </c>
      <c r="J106" s="47"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47">
        <v>944</v>
      </c>
      <c r="E107" s="47"/>
      <c r="F107" s="46"/>
      <c r="G107" s="47"/>
      <c r="H107" s="47">
        <v>944</v>
      </c>
      <c r="I107" s="47">
        <v>0</v>
      </c>
      <c r="J107" s="47"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47">
        <v>944</v>
      </c>
      <c r="E108" s="47"/>
      <c r="F108" s="46"/>
      <c r="G108" s="47"/>
      <c r="H108" s="47">
        <v>944</v>
      </c>
      <c r="I108" s="47">
        <v>0</v>
      </c>
      <c r="J108" s="47"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47">
        <v>944</v>
      </c>
      <c r="E109" s="47"/>
      <c r="F109" s="46"/>
      <c r="G109" s="47"/>
      <c r="H109" s="47">
        <v>944</v>
      </c>
      <c r="I109" s="47">
        <v>0</v>
      </c>
      <c r="J109" s="47">
        <v>0</v>
      </c>
      <c r="K109" s="12"/>
      <c r="L109" s="10"/>
      <c r="M109" s="12"/>
      <c r="N109" s="12">
        <f t="shared" ref="N109:N113" si="26">IF((J109-K109)&lt;0,0,(J109-K109))</f>
        <v>0</v>
      </c>
      <c r="O109" s="12">
        <f t="shared" ref="O109:O113" si="27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47">
        <v>944</v>
      </c>
      <c r="E110" s="47"/>
      <c r="F110" s="46"/>
      <c r="G110" s="47"/>
      <c r="H110" s="47">
        <v>944</v>
      </c>
      <c r="I110" s="47">
        <v>0</v>
      </c>
      <c r="J110" s="47">
        <v>0</v>
      </c>
      <c r="K110" s="12"/>
      <c r="L110" s="10"/>
      <c r="M110" s="12"/>
      <c r="N110" s="12">
        <f t="shared" si="26"/>
        <v>0</v>
      </c>
      <c r="O110" s="12">
        <f t="shared" si="27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47">
        <v>944</v>
      </c>
      <c r="E111" s="47"/>
      <c r="F111" s="46"/>
      <c r="G111" s="47"/>
      <c r="H111" s="47">
        <v>944</v>
      </c>
      <c r="I111" s="47">
        <v>0</v>
      </c>
      <c r="J111" s="47">
        <v>0</v>
      </c>
      <c r="K111" s="12"/>
      <c r="L111" s="10"/>
      <c r="M111" s="12"/>
      <c r="N111" s="12">
        <f t="shared" si="26"/>
        <v>0</v>
      </c>
      <c r="O111" s="12">
        <f t="shared" si="27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47">
        <v>944</v>
      </c>
      <c r="E112" s="47"/>
      <c r="F112" s="46"/>
      <c r="G112" s="47"/>
      <c r="H112" s="47">
        <v>944</v>
      </c>
      <c r="I112" s="47">
        <v>0</v>
      </c>
      <c r="J112" s="47">
        <v>0</v>
      </c>
      <c r="K112" s="12"/>
      <c r="L112" s="10"/>
      <c r="M112" s="12"/>
      <c r="N112" s="12">
        <f t="shared" si="26"/>
        <v>0</v>
      </c>
      <c r="O112" s="12">
        <f t="shared" si="27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47">
        <v>944</v>
      </c>
      <c r="E113" s="47"/>
      <c r="F113" s="46"/>
      <c r="G113" s="47"/>
      <c r="H113" s="47">
        <v>944</v>
      </c>
      <c r="I113" s="47">
        <v>0</v>
      </c>
      <c r="J113" s="47">
        <v>0</v>
      </c>
      <c r="K113" s="12"/>
      <c r="L113" s="10"/>
      <c r="M113" s="12"/>
      <c r="N113" s="12">
        <f t="shared" si="26"/>
        <v>0</v>
      </c>
      <c r="O113" s="12">
        <f t="shared" si="27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>
      <c r="D114" s="55"/>
      <c r="E114" s="55"/>
      <c r="F114" s="55"/>
      <c r="G114" s="55"/>
      <c r="H114" s="55"/>
      <c r="I114" s="55"/>
      <c r="J114" s="55"/>
      <c r="K114" s="55"/>
      <c r="L114" s="55"/>
    </row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ref="H84:H122" si="28">IF((D115-E115)&lt;0,0,(D115-E115))</f>
        <v>0</v>
      </c>
      <c r="I115" s="5">
        <f t="shared" ref="I84:I122" si="29">IF((E115-D115)&lt;0,0,(E115-D115))</f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8"/>
        <v>0</v>
      </c>
      <c r="I116" s="5">
        <f t="shared" si="29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8"/>
        <v>0</v>
      </c>
      <c r="I117" s="5">
        <f t="shared" si="29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8"/>
        <v>0</v>
      </c>
      <c r="I118" s="5">
        <f t="shared" si="29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8"/>
        <v>0</v>
      </c>
      <c r="I119" s="5">
        <f t="shared" si="29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8"/>
        <v>0</v>
      </c>
      <c r="I120" s="5">
        <f t="shared" si="29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8"/>
        <v>0</v>
      </c>
      <c r="I121" s="5">
        <f t="shared" si="29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8"/>
        <v>0</v>
      </c>
      <c r="I122" s="5">
        <f t="shared" si="29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Z67:AA77 H67:L77 T79:X89 Z79:AA89 H79:L89 T91:X101 Z91:AA101 H91:L101 T103:X113 Z103:AA113 H103:L113 N115:R122 T115:X122 Z115:AA122 H115:L122 D103:F113 N31:R41 N43:R53 N55:R65 N67:R77 N79:R89 N91:R101 N103:R113 T67:X77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Y103:Y113 Y67:Y77 S67:S77 S79:S89 M79:M89 S103:S113 Y79:Y89 Y91:Y101 S91:S101 M91:M101 M103:M113 M115:M122" xr:uid="{CBD486C7-A5DB-48F1-B496-5027CC51E830}">
      <formula1>"CO,RO,SDO,LGU,SCHOOL"</formula1>
    </dataValidation>
    <dataValidation type="list" allowBlank="1" showInputMessage="1" showErrorMessage="1" sqref="X21:X29 X31:X41 X43:X53 R12:R19 F21:F29 X55:X65 F31:F41 R55:R65 X12:X19 X3:X10 L21:L29 L31:L41 L43:L53 F43:F53 R3:R10 L55:L65 F3:F10 F55:F65 L12:L19 L3:L10 R21:R29 R31:R41 R43:R53 F12:F19" xr:uid="{77F72D89-8371-4D0C-A323-BD25723C617C}">
      <formula1>"2024,2025"</formula1>
    </dataValidation>
    <dataValidation type="list" allowBlank="1" showInputMessage="1" showErrorMessage="1" sqref="F67:F77 F79:F89 F91:F101 F103:F113 F115:F122 L67:L77 L79:L89 L91:L101 L103:L113 L115:L122 R67:R77 R79:R89 R91:R101 R103:R113 R115:R122 X67:X77 X79:X89 X91:X101 X103:X113 X115:X122" xr:uid="{53AB3E55-AC9C-4959-A6A5-C014EEC9470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2026-04-14T00:08:13Z</dcterms:modified>
  <cp:category/>
  <cp:contentStatus/>
</cp:coreProperties>
</file>