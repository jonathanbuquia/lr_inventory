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2" documentId="13_ncr:1_{BFB59F67-F0DC-4675-A682-EB0734A8026A}" xr6:coauthVersionLast="47" xr6:coauthVersionMax="47" xr10:uidLastSave="{E496ECA8-54E9-442D-8C9D-C230BBEA155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ES" sheetId="7" r:id="rId2"/>
    <sheet name="LAS" sheetId="4" r:id="rId3"/>
    <sheet name="ADM-SL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7" l="1"/>
  <c r="H42" i="7"/>
  <c r="I42" i="7"/>
  <c r="J42" i="7"/>
  <c r="P42" i="7"/>
  <c r="T42" i="7"/>
  <c r="U42" i="7"/>
  <c r="V42" i="7"/>
  <c r="Z42" i="7"/>
  <c r="AA42" i="7"/>
  <c r="D42" i="4"/>
  <c r="H42" i="4"/>
  <c r="I42" i="4"/>
  <c r="J42" i="4"/>
  <c r="P42" i="4"/>
  <c r="T42" i="4"/>
  <c r="U42" i="4"/>
  <c r="V42" i="4"/>
  <c r="Z42" i="4"/>
  <c r="AA42" i="4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V128" i="7"/>
  <c r="U128" i="7"/>
  <c r="T128" i="7"/>
  <c r="J128" i="7"/>
  <c r="I128" i="7"/>
  <c r="H128" i="7"/>
  <c r="V127" i="7"/>
  <c r="P127" i="7"/>
  <c r="J127" i="7"/>
  <c r="I127" i="7"/>
  <c r="H127" i="7"/>
  <c r="V126" i="7"/>
  <c r="P126" i="7"/>
  <c r="J126" i="7"/>
  <c r="I126" i="7"/>
  <c r="H126" i="7"/>
  <c r="V125" i="7"/>
  <c r="P125" i="7"/>
  <c r="J125" i="7"/>
  <c r="I125" i="7"/>
  <c r="H125" i="7"/>
  <c r="V124" i="7"/>
  <c r="P124" i="7"/>
  <c r="J124" i="7"/>
  <c r="I124" i="7"/>
  <c r="H124" i="7"/>
  <c r="V123" i="7"/>
  <c r="P123" i="7"/>
  <c r="J123" i="7"/>
  <c r="I123" i="7"/>
  <c r="H123" i="7"/>
  <c r="V122" i="7"/>
  <c r="P122" i="7"/>
  <c r="J122" i="7"/>
  <c r="I122" i="7"/>
  <c r="H122" i="7"/>
  <c r="V121" i="7"/>
  <c r="P121" i="7"/>
  <c r="J121" i="7"/>
  <c r="I121" i="7"/>
  <c r="H121" i="7"/>
  <c r="V120" i="7"/>
  <c r="P120" i="7"/>
  <c r="J120" i="7"/>
  <c r="I120" i="7"/>
  <c r="H120" i="7"/>
  <c r="V119" i="7"/>
  <c r="P119" i="7"/>
  <c r="J119" i="7"/>
  <c r="I119" i="7"/>
  <c r="H119" i="7"/>
  <c r="V118" i="7"/>
  <c r="P118" i="7"/>
  <c r="J118" i="7"/>
  <c r="I118" i="7"/>
  <c r="H118" i="7"/>
  <c r="V117" i="7"/>
  <c r="P117" i="7"/>
  <c r="J117" i="7"/>
  <c r="I117" i="7"/>
  <c r="H117" i="7"/>
  <c r="V116" i="7"/>
  <c r="P116" i="7"/>
  <c r="J116" i="7"/>
  <c r="I116" i="7"/>
  <c r="H116" i="7"/>
  <c r="V115" i="7"/>
  <c r="P115" i="7"/>
  <c r="J115" i="7"/>
  <c r="I115" i="7"/>
  <c r="H115" i="7"/>
  <c r="V114" i="7"/>
  <c r="P114" i="7"/>
  <c r="J114" i="7"/>
  <c r="I114" i="7"/>
  <c r="H114" i="7"/>
  <c r="V113" i="7"/>
  <c r="P113" i="7"/>
  <c r="J113" i="7"/>
  <c r="I113" i="7"/>
  <c r="H113" i="7"/>
  <c r="V111" i="7"/>
  <c r="P111" i="7"/>
  <c r="J111" i="7"/>
  <c r="D111" i="7"/>
  <c r="V110" i="7"/>
  <c r="P110" i="7"/>
  <c r="J110" i="7"/>
  <c r="D110" i="7"/>
  <c r="V109" i="7"/>
  <c r="P109" i="7"/>
  <c r="J109" i="7"/>
  <c r="D109" i="7"/>
  <c r="V108" i="7"/>
  <c r="P108" i="7"/>
  <c r="J108" i="7"/>
  <c r="D108" i="7"/>
  <c r="V107" i="7"/>
  <c r="P107" i="7"/>
  <c r="J107" i="7"/>
  <c r="D107" i="7"/>
  <c r="V106" i="7"/>
  <c r="P106" i="7"/>
  <c r="J106" i="7"/>
  <c r="D106" i="7"/>
  <c r="V105" i="7"/>
  <c r="P105" i="7"/>
  <c r="J105" i="7"/>
  <c r="D105" i="7"/>
  <c r="V104" i="7"/>
  <c r="P104" i="7"/>
  <c r="J104" i="7"/>
  <c r="D104" i="7"/>
  <c r="V102" i="7"/>
  <c r="P102" i="7"/>
  <c r="J102" i="7"/>
  <c r="D102" i="7"/>
  <c r="V101" i="7"/>
  <c r="P101" i="7"/>
  <c r="J101" i="7"/>
  <c r="D101" i="7"/>
  <c r="V100" i="7"/>
  <c r="P100" i="7"/>
  <c r="J100" i="7"/>
  <c r="D100" i="7"/>
  <c r="V99" i="7"/>
  <c r="P99" i="7"/>
  <c r="J99" i="7"/>
  <c r="D99" i="7"/>
  <c r="V98" i="7"/>
  <c r="P98" i="7"/>
  <c r="J98" i="7"/>
  <c r="D98" i="7"/>
  <c r="V97" i="7"/>
  <c r="P97" i="7"/>
  <c r="J97" i="7"/>
  <c r="D97" i="7"/>
  <c r="V96" i="7"/>
  <c r="P96" i="7"/>
  <c r="J96" i="7"/>
  <c r="D96" i="7"/>
  <c r="V95" i="7"/>
  <c r="P95" i="7"/>
  <c r="J95" i="7"/>
  <c r="D95" i="7"/>
  <c r="V94" i="7"/>
  <c r="P94" i="7"/>
  <c r="J94" i="7"/>
  <c r="D94" i="7"/>
  <c r="V92" i="7"/>
  <c r="P92" i="7"/>
  <c r="J92" i="7"/>
  <c r="D92" i="7"/>
  <c r="V91" i="7"/>
  <c r="P91" i="7"/>
  <c r="J91" i="7"/>
  <c r="D91" i="7"/>
  <c r="V90" i="7"/>
  <c r="P90" i="7"/>
  <c r="J90" i="7"/>
  <c r="D90" i="7"/>
  <c r="V89" i="7"/>
  <c r="P89" i="7"/>
  <c r="J89" i="7"/>
  <c r="D89" i="7"/>
  <c r="V88" i="7"/>
  <c r="P88" i="7"/>
  <c r="J88" i="7"/>
  <c r="D88" i="7"/>
  <c r="V87" i="7"/>
  <c r="P87" i="7"/>
  <c r="J87" i="7"/>
  <c r="D87" i="7"/>
  <c r="V86" i="7"/>
  <c r="P86" i="7"/>
  <c r="J86" i="7"/>
  <c r="D86" i="7"/>
  <c r="V85" i="7"/>
  <c r="P85" i="7"/>
  <c r="J85" i="7"/>
  <c r="D85" i="7"/>
  <c r="V84" i="7"/>
  <c r="P84" i="7"/>
  <c r="J84" i="7"/>
  <c r="D84" i="7"/>
  <c r="V82" i="7"/>
  <c r="P82" i="7"/>
  <c r="J82" i="7"/>
  <c r="D82" i="7"/>
  <c r="V81" i="7"/>
  <c r="P81" i="7"/>
  <c r="J81" i="7"/>
  <c r="D81" i="7"/>
  <c r="V80" i="7"/>
  <c r="P80" i="7"/>
  <c r="J80" i="7"/>
  <c r="D80" i="7"/>
  <c r="V79" i="7"/>
  <c r="P79" i="7"/>
  <c r="J79" i="7"/>
  <c r="D79" i="7"/>
  <c r="V78" i="7"/>
  <c r="P78" i="7"/>
  <c r="J78" i="7"/>
  <c r="D78" i="7"/>
  <c r="V77" i="7"/>
  <c r="P77" i="7"/>
  <c r="J77" i="7"/>
  <c r="D77" i="7"/>
  <c r="V76" i="7"/>
  <c r="P76" i="7"/>
  <c r="J76" i="7"/>
  <c r="D76" i="7"/>
  <c r="V75" i="7"/>
  <c r="P75" i="7"/>
  <c r="J75" i="7"/>
  <c r="D75" i="7"/>
  <c r="V74" i="7"/>
  <c r="P74" i="7"/>
  <c r="J74" i="7"/>
  <c r="D74" i="7"/>
  <c r="V72" i="7"/>
  <c r="P72" i="7"/>
  <c r="J72" i="7"/>
  <c r="D72" i="7"/>
  <c r="V71" i="7"/>
  <c r="P71" i="7"/>
  <c r="J71" i="7"/>
  <c r="D71" i="7"/>
  <c r="V70" i="7"/>
  <c r="P70" i="7"/>
  <c r="J70" i="7"/>
  <c r="D70" i="7"/>
  <c r="V69" i="7"/>
  <c r="P69" i="7"/>
  <c r="J69" i="7"/>
  <c r="D69" i="7"/>
  <c r="V68" i="7"/>
  <c r="P68" i="7"/>
  <c r="J68" i="7"/>
  <c r="D68" i="7"/>
  <c r="V67" i="7"/>
  <c r="P67" i="7"/>
  <c r="J67" i="7"/>
  <c r="D67" i="7"/>
  <c r="V66" i="7"/>
  <c r="P66" i="7"/>
  <c r="J66" i="7"/>
  <c r="D66" i="7"/>
  <c r="V65" i="7"/>
  <c r="P65" i="7"/>
  <c r="J65" i="7"/>
  <c r="D65" i="7"/>
  <c r="V64" i="7"/>
  <c r="P64" i="7"/>
  <c r="J64" i="7"/>
  <c r="D64" i="7"/>
  <c r="V62" i="7"/>
  <c r="P62" i="7"/>
  <c r="J62" i="7"/>
  <c r="D62" i="7"/>
  <c r="V61" i="7"/>
  <c r="P61" i="7"/>
  <c r="J61" i="7"/>
  <c r="D61" i="7"/>
  <c r="V60" i="7"/>
  <c r="P60" i="7"/>
  <c r="J60" i="7"/>
  <c r="D60" i="7"/>
  <c r="V59" i="7"/>
  <c r="P59" i="7"/>
  <c r="J59" i="7"/>
  <c r="D59" i="7"/>
  <c r="V58" i="7"/>
  <c r="P58" i="7"/>
  <c r="J58" i="7"/>
  <c r="D58" i="7"/>
  <c r="V57" i="7"/>
  <c r="P57" i="7"/>
  <c r="J57" i="7"/>
  <c r="D57" i="7"/>
  <c r="V56" i="7"/>
  <c r="P56" i="7"/>
  <c r="J56" i="7"/>
  <c r="D56" i="7"/>
  <c r="V55" i="7"/>
  <c r="P55" i="7"/>
  <c r="J55" i="7"/>
  <c r="D55" i="7"/>
  <c r="V54" i="7"/>
  <c r="P54" i="7"/>
  <c r="J54" i="7"/>
  <c r="D54" i="7"/>
  <c r="V52" i="7"/>
  <c r="P52" i="7"/>
  <c r="J52" i="7"/>
  <c r="D52" i="7"/>
  <c r="V51" i="7"/>
  <c r="P51" i="7"/>
  <c r="J51" i="7"/>
  <c r="D51" i="7"/>
  <c r="V50" i="7"/>
  <c r="P50" i="7"/>
  <c r="J50" i="7"/>
  <c r="D50" i="7"/>
  <c r="V49" i="7"/>
  <c r="P49" i="7"/>
  <c r="J49" i="7"/>
  <c r="D49" i="7"/>
  <c r="V48" i="7"/>
  <c r="P48" i="7"/>
  <c r="J48" i="7"/>
  <c r="D48" i="7"/>
  <c r="V47" i="7"/>
  <c r="P47" i="7"/>
  <c r="J47" i="7"/>
  <c r="D47" i="7"/>
  <c r="V46" i="7"/>
  <c r="P46" i="7"/>
  <c r="J46" i="7"/>
  <c r="D46" i="7"/>
  <c r="V45" i="7"/>
  <c r="P45" i="7"/>
  <c r="J45" i="7"/>
  <c r="D45" i="7"/>
  <c r="V44" i="7"/>
  <c r="P44" i="7"/>
  <c r="J44" i="7"/>
  <c r="D44" i="7"/>
  <c r="V41" i="7"/>
  <c r="P41" i="7"/>
  <c r="J41" i="7"/>
  <c r="D41" i="7"/>
  <c r="V40" i="7"/>
  <c r="P40" i="7"/>
  <c r="J40" i="7"/>
  <c r="D40" i="7"/>
  <c r="V39" i="7"/>
  <c r="P39" i="7"/>
  <c r="J39" i="7"/>
  <c r="D39" i="7"/>
  <c r="V38" i="7"/>
  <c r="P38" i="7"/>
  <c r="J38" i="7"/>
  <c r="D38" i="7"/>
  <c r="V37" i="7"/>
  <c r="P37" i="7"/>
  <c r="J37" i="7"/>
  <c r="D37" i="7"/>
  <c r="V36" i="7"/>
  <c r="P36" i="7"/>
  <c r="J36" i="7"/>
  <c r="D36" i="7"/>
  <c r="V35" i="7"/>
  <c r="P35" i="7"/>
  <c r="J35" i="7"/>
  <c r="D35" i="7"/>
  <c r="V34" i="7"/>
  <c r="P34" i="7"/>
  <c r="J34" i="7"/>
  <c r="D34" i="7"/>
  <c r="V33" i="7"/>
  <c r="P33" i="7"/>
  <c r="J33" i="7"/>
  <c r="D33" i="7"/>
  <c r="V31" i="7"/>
  <c r="P31" i="7"/>
  <c r="J31" i="7"/>
  <c r="D31" i="7"/>
  <c r="V30" i="7"/>
  <c r="P30" i="7"/>
  <c r="J30" i="7"/>
  <c r="D30" i="7"/>
  <c r="V29" i="7"/>
  <c r="P29" i="7"/>
  <c r="J29" i="7"/>
  <c r="D29" i="7"/>
  <c r="V28" i="7"/>
  <c r="P28" i="7"/>
  <c r="J28" i="7"/>
  <c r="D28" i="7"/>
  <c r="V27" i="7"/>
  <c r="P27" i="7"/>
  <c r="J27" i="7"/>
  <c r="D27" i="7"/>
  <c r="V26" i="7"/>
  <c r="P26" i="7"/>
  <c r="J26" i="7"/>
  <c r="D26" i="7"/>
  <c r="V25" i="7"/>
  <c r="P25" i="7"/>
  <c r="J25" i="7"/>
  <c r="D25" i="7"/>
  <c r="V24" i="7"/>
  <c r="P24" i="7"/>
  <c r="J24" i="7"/>
  <c r="D24" i="7"/>
  <c r="V23" i="7"/>
  <c r="P23" i="7"/>
  <c r="J23" i="7"/>
  <c r="D23" i="7"/>
  <c r="V21" i="7"/>
  <c r="P21" i="7"/>
  <c r="J21" i="7"/>
  <c r="D21" i="7"/>
  <c r="V20" i="7"/>
  <c r="P20" i="7"/>
  <c r="J20" i="7"/>
  <c r="D20" i="7"/>
  <c r="V19" i="7"/>
  <c r="P19" i="7"/>
  <c r="J19" i="7"/>
  <c r="D19" i="7"/>
  <c r="V18" i="7"/>
  <c r="P18" i="7"/>
  <c r="J18" i="7"/>
  <c r="D18" i="7"/>
  <c r="V17" i="7"/>
  <c r="P17" i="7"/>
  <c r="J17" i="7"/>
  <c r="D17" i="7"/>
  <c r="V16" i="7"/>
  <c r="P16" i="7"/>
  <c r="J16" i="7"/>
  <c r="D16" i="7"/>
  <c r="V15" i="7"/>
  <c r="P15" i="7"/>
  <c r="J15" i="7"/>
  <c r="D15" i="7"/>
  <c r="V14" i="7"/>
  <c r="P14" i="7"/>
  <c r="J14" i="7"/>
  <c r="D14" i="7"/>
  <c r="V12" i="7"/>
  <c r="P12" i="7"/>
  <c r="J12" i="7"/>
  <c r="D12" i="7"/>
  <c r="V11" i="7"/>
  <c r="P11" i="7"/>
  <c r="J11" i="7"/>
  <c r="D11" i="7"/>
  <c r="V10" i="7"/>
  <c r="P10" i="7"/>
  <c r="J10" i="7"/>
  <c r="D10" i="7"/>
  <c r="V9" i="7"/>
  <c r="P9" i="7"/>
  <c r="J9" i="7"/>
  <c r="D9" i="7"/>
  <c r="V8" i="7"/>
  <c r="P8" i="7"/>
  <c r="J8" i="7"/>
  <c r="D8" i="7"/>
  <c r="V7" i="7"/>
  <c r="P7" i="7"/>
  <c r="J7" i="7"/>
  <c r="D7" i="7"/>
  <c r="V6" i="7"/>
  <c r="P6" i="7"/>
  <c r="J6" i="7"/>
  <c r="D6" i="7"/>
  <c r="V5" i="7"/>
  <c r="P5" i="7"/>
  <c r="J5" i="7"/>
  <c r="D5" i="7"/>
  <c r="V3" i="7"/>
  <c r="P3" i="7"/>
  <c r="J3" i="7"/>
  <c r="D3" i="7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4" i="4"/>
  <c r="AA44" i="4" s="1"/>
  <c r="V45" i="4"/>
  <c r="Z45" i="4" s="1"/>
  <c r="V46" i="4"/>
  <c r="AA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4" i="4"/>
  <c r="Z54" i="4" s="1"/>
  <c r="V55" i="4"/>
  <c r="Z55" i="4" s="1"/>
  <c r="V56" i="4"/>
  <c r="Z56" i="4" s="1"/>
  <c r="V57" i="4"/>
  <c r="AA57" i="4" s="1"/>
  <c r="V58" i="4"/>
  <c r="Z58" i="4" s="1"/>
  <c r="V59" i="4"/>
  <c r="Z59" i="4" s="1"/>
  <c r="V60" i="4"/>
  <c r="Z60" i="4" s="1"/>
  <c r="V61" i="4"/>
  <c r="AA61" i="4" s="1"/>
  <c r="V62" i="4"/>
  <c r="Z62" i="4" s="1"/>
  <c r="V64" i="4"/>
  <c r="Z64" i="4" s="1"/>
  <c r="V65" i="4"/>
  <c r="Z65" i="4" s="1"/>
  <c r="V66" i="4"/>
  <c r="AA66" i="4" s="1"/>
  <c r="V67" i="4"/>
  <c r="Z67" i="4" s="1"/>
  <c r="V68" i="4"/>
  <c r="Z68" i="4" s="1"/>
  <c r="V69" i="4"/>
  <c r="Z69" i="4" s="1"/>
  <c r="V70" i="4"/>
  <c r="AA70" i="4" s="1"/>
  <c r="V71" i="4"/>
  <c r="Z71" i="4" s="1"/>
  <c r="V72" i="4"/>
  <c r="Z72" i="4" s="1"/>
  <c r="V74" i="4"/>
  <c r="Z74" i="4" s="1"/>
  <c r="V75" i="4"/>
  <c r="AA75" i="4" s="1"/>
  <c r="V76" i="4"/>
  <c r="Z76" i="4" s="1"/>
  <c r="V77" i="4"/>
  <c r="Z77" i="4" s="1"/>
  <c r="V78" i="4"/>
  <c r="Z78" i="4" s="1"/>
  <c r="V79" i="4"/>
  <c r="AA79" i="4" s="1"/>
  <c r="V80" i="4"/>
  <c r="Z80" i="4" s="1"/>
  <c r="V81" i="4"/>
  <c r="AA81" i="4" s="1"/>
  <c r="V82" i="4"/>
  <c r="Z82" i="4" s="1"/>
  <c r="V84" i="4"/>
  <c r="AA84" i="4" s="1"/>
  <c r="V85" i="4"/>
  <c r="Z85" i="4" s="1"/>
  <c r="V86" i="4"/>
  <c r="Z86" i="4" s="1"/>
  <c r="V87" i="4"/>
  <c r="Z87" i="4" s="1"/>
  <c r="V88" i="4"/>
  <c r="AA88" i="4" s="1"/>
  <c r="V89" i="4"/>
  <c r="Z89" i="4" s="1"/>
  <c r="V90" i="4"/>
  <c r="Z90" i="4" s="1"/>
  <c r="V91" i="4"/>
  <c r="Z91" i="4" s="1"/>
  <c r="V92" i="4"/>
  <c r="AA92" i="4" s="1"/>
  <c r="V94" i="4"/>
  <c r="V95" i="4"/>
  <c r="Z95" i="4" s="1"/>
  <c r="V96" i="4"/>
  <c r="Z96" i="4" s="1"/>
  <c r="V97" i="4"/>
  <c r="AA97" i="4" s="1"/>
  <c r="V98" i="4"/>
  <c r="Z98" i="4" s="1"/>
  <c r="V99" i="4"/>
  <c r="Z99" i="4" s="1"/>
  <c r="V100" i="4"/>
  <c r="Z100" i="4" s="1"/>
  <c r="V101" i="4"/>
  <c r="AA101" i="4" s="1"/>
  <c r="V102" i="4"/>
  <c r="V104" i="4"/>
  <c r="Z104" i="4" s="1"/>
  <c r="V105" i="4"/>
  <c r="Z105" i="4" s="1"/>
  <c r="V106" i="4"/>
  <c r="AA106" i="4" s="1"/>
  <c r="V107" i="4"/>
  <c r="Z107" i="4" s="1"/>
  <c r="V108" i="4"/>
  <c r="Z108" i="4" s="1"/>
  <c r="V109" i="4"/>
  <c r="Z109" i="4" s="1"/>
  <c r="V110" i="4"/>
  <c r="AA110" i="4" s="1"/>
  <c r="V111" i="4"/>
  <c r="V113" i="4"/>
  <c r="Z113" i="4" s="1"/>
  <c r="V114" i="4"/>
  <c r="Z114" i="4" s="1"/>
  <c r="V115" i="4"/>
  <c r="AA115" i="4" s="1"/>
  <c r="V116" i="4"/>
  <c r="Z116" i="4" s="1"/>
  <c r="V117" i="4"/>
  <c r="AA117" i="4" s="1"/>
  <c r="V118" i="4"/>
  <c r="Z118" i="4" s="1"/>
  <c r="V119" i="4"/>
  <c r="AA119" i="4" s="1"/>
  <c r="V120" i="4"/>
  <c r="V121" i="4"/>
  <c r="Z121" i="4" s="1"/>
  <c r="V122" i="4"/>
  <c r="Z122" i="4" s="1"/>
  <c r="V123" i="4"/>
  <c r="AA123" i="4" s="1"/>
  <c r="V124" i="4"/>
  <c r="Z124" i="4" s="1"/>
  <c r="V125" i="4"/>
  <c r="Z125" i="4" s="1"/>
  <c r="V126" i="4"/>
  <c r="Z126" i="4" s="1"/>
  <c r="V127" i="4"/>
  <c r="AA127" i="4" s="1"/>
  <c r="T128" i="4"/>
  <c r="U128" i="4"/>
  <c r="V128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4" i="4"/>
  <c r="T44" i="4" s="1"/>
  <c r="P45" i="4"/>
  <c r="T45" i="4" s="1"/>
  <c r="P46" i="4"/>
  <c r="P47" i="4"/>
  <c r="U47" i="4" s="1"/>
  <c r="P48" i="4"/>
  <c r="T48" i="4" s="1"/>
  <c r="P49" i="4"/>
  <c r="T49" i="4" s="1"/>
  <c r="P50" i="4"/>
  <c r="P51" i="4"/>
  <c r="T51" i="4" s="1"/>
  <c r="P52" i="4"/>
  <c r="T52" i="4" s="1"/>
  <c r="P54" i="4"/>
  <c r="T54" i="4" s="1"/>
  <c r="P55" i="4"/>
  <c r="P56" i="4"/>
  <c r="U56" i="4" s="1"/>
  <c r="P57" i="4"/>
  <c r="T57" i="4" s="1"/>
  <c r="P58" i="4"/>
  <c r="T58" i="4" s="1"/>
  <c r="P59" i="4"/>
  <c r="P60" i="4"/>
  <c r="T60" i="4" s="1"/>
  <c r="P61" i="4"/>
  <c r="T61" i="4" s="1"/>
  <c r="P62" i="4"/>
  <c r="T62" i="4" s="1"/>
  <c r="P64" i="4"/>
  <c r="P65" i="4"/>
  <c r="U65" i="4" s="1"/>
  <c r="P66" i="4"/>
  <c r="T66" i="4" s="1"/>
  <c r="P67" i="4"/>
  <c r="T67" i="4" s="1"/>
  <c r="P68" i="4"/>
  <c r="P69" i="4"/>
  <c r="T69" i="4" s="1"/>
  <c r="P70" i="4"/>
  <c r="T70" i="4" s="1"/>
  <c r="P71" i="4"/>
  <c r="T71" i="4" s="1"/>
  <c r="P72" i="4"/>
  <c r="P74" i="4"/>
  <c r="U74" i="4" s="1"/>
  <c r="P75" i="4"/>
  <c r="T75" i="4" s="1"/>
  <c r="P76" i="4"/>
  <c r="T76" i="4" s="1"/>
  <c r="P77" i="4"/>
  <c r="P78" i="4"/>
  <c r="T78" i="4" s="1"/>
  <c r="P79" i="4"/>
  <c r="T79" i="4" s="1"/>
  <c r="P80" i="4"/>
  <c r="T80" i="4" s="1"/>
  <c r="P81" i="4"/>
  <c r="P82" i="4"/>
  <c r="U82" i="4" s="1"/>
  <c r="P84" i="4"/>
  <c r="T84" i="4" s="1"/>
  <c r="P85" i="4"/>
  <c r="T85" i="4" s="1"/>
  <c r="P86" i="4"/>
  <c r="P87" i="4"/>
  <c r="T87" i="4" s="1"/>
  <c r="P88" i="4"/>
  <c r="T88" i="4" s="1"/>
  <c r="P89" i="4"/>
  <c r="T89" i="4" s="1"/>
  <c r="P90" i="4"/>
  <c r="P91" i="4"/>
  <c r="U91" i="4" s="1"/>
  <c r="P92" i="4"/>
  <c r="T92" i="4" s="1"/>
  <c r="P94" i="4"/>
  <c r="T94" i="4" s="1"/>
  <c r="P95" i="4"/>
  <c r="P96" i="4"/>
  <c r="T96" i="4" s="1"/>
  <c r="P97" i="4"/>
  <c r="T97" i="4" s="1"/>
  <c r="P98" i="4"/>
  <c r="T98" i="4" s="1"/>
  <c r="P99" i="4"/>
  <c r="P100" i="4"/>
  <c r="U100" i="4" s="1"/>
  <c r="P101" i="4"/>
  <c r="T101" i="4" s="1"/>
  <c r="P102" i="4"/>
  <c r="T102" i="4" s="1"/>
  <c r="P104" i="4"/>
  <c r="P105" i="4"/>
  <c r="U105" i="4" s="1"/>
  <c r="P106" i="4"/>
  <c r="T106" i="4" s="1"/>
  <c r="P107" i="4"/>
  <c r="T107" i="4" s="1"/>
  <c r="P108" i="4"/>
  <c r="P109" i="4"/>
  <c r="U109" i="4" s="1"/>
  <c r="P110" i="4"/>
  <c r="T110" i="4" s="1"/>
  <c r="P111" i="4"/>
  <c r="T111" i="4" s="1"/>
  <c r="P113" i="4"/>
  <c r="P114" i="4"/>
  <c r="T114" i="4" s="1"/>
  <c r="P115" i="4"/>
  <c r="T115" i="4" s="1"/>
  <c r="P116" i="4"/>
  <c r="T116" i="4" s="1"/>
  <c r="P117" i="4"/>
  <c r="P118" i="4"/>
  <c r="U118" i="4" s="1"/>
  <c r="P119" i="4"/>
  <c r="T119" i="4" s="1"/>
  <c r="P120" i="4"/>
  <c r="T120" i="4" s="1"/>
  <c r="P121" i="4"/>
  <c r="P122" i="4"/>
  <c r="T122" i="4" s="1"/>
  <c r="P123" i="4"/>
  <c r="T123" i="4" s="1"/>
  <c r="P124" i="4"/>
  <c r="T124" i="4" s="1"/>
  <c r="P125" i="4"/>
  <c r="P126" i="4"/>
  <c r="U126" i="4" s="1"/>
  <c r="P127" i="4"/>
  <c r="T127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4" i="4"/>
  <c r="O44" i="4" s="1"/>
  <c r="J45" i="4"/>
  <c r="N45" i="4" s="1"/>
  <c r="J46" i="4"/>
  <c r="N46" i="4" s="1"/>
  <c r="J47" i="4"/>
  <c r="O47" i="4" s="1"/>
  <c r="J48" i="4"/>
  <c r="O48" i="4" s="1"/>
  <c r="J49" i="4"/>
  <c r="N49" i="4" s="1"/>
  <c r="J50" i="4"/>
  <c r="N50" i="4" s="1"/>
  <c r="J51" i="4"/>
  <c r="N51" i="4" s="1"/>
  <c r="J52" i="4"/>
  <c r="O52" i="4" s="1"/>
  <c r="J54" i="4"/>
  <c r="N54" i="4" s="1"/>
  <c r="J55" i="4"/>
  <c r="N55" i="4" s="1"/>
  <c r="J56" i="4"/>
  <c r="O56" i="4" s="1"/>
  <c r="J57" i="4"/>
  <c r="O57" i="4" s="1"/>
  <c r="J58" i="4"/>
  <c r="N58" i="4" s="1"/>
  <c r="J59" i="4"/>
  <c r="N59" i="4" s="1"/>
  <c r="J60" i="4"/>
  <c r="N60" i="4" s="1"/>
  <c r="J61" i="4"/>
  <c r="O61" i="4" s="1"/>
  <c r="J62" i="4"/>
  <c r="N62" i="4" s="1"/>
  <c r="J64" i="4"/>
  <c r="N64" i="4" s="1"/>
  <c r="J65" i="4"/>
  <c r="O65" i="4" s="1"/>
  <c r="J66" i="4"/>
  <c r="O66" i="4" s="1"/>
  <c r="J67" i="4"/>
  <c r="N67" i="4" s="1"/>
  <c r="J68" i="4"/>
  <c r="N68" i="4" s="1"/>
  <c r="J69" i="4"/>
  <c r="N69" i="4" s="1"/>
  <c r="J70" i="4"/>
  <c r="O70" i="4" s="1"/>
  <c r="J71" i="4"/>
  <c r="N71" i="4" s="1"/>
  <c r="J72" i="4"/>
  <c r="N72" i="4" s="1"/>
  <c r="J74" i="4"/>
  <c r="O74" i="4" s="1"/>
  <c r="J75" i="4"/>
  <c r="O75" i="4" s="1"/>
  <c r="J76" i="4"/>
  <c r="N76" i="4" s="1"/>
  <c r="J77" i="4"/>
  <c r="N77" i="4" s="1"/>
  <c r="J78" i="4"/>
  <c r="N78" i="4" s="1"/>
  <c r="J79" i="4"/>
  <c r="O79" i="4" s="1"/>
  <c r="J80" i="4"/>
  <c r="N80" i="4" s="1"/>
  <c r="J81" i="4"/>
  <c r="N81" i="4" s="1"/>
  <c r="J82" i="4"/>
  <c r="O82" i="4" s="1"/>
  <c r="J84" i="4"/>
  <c r="O84" i="4" s="1"/>
  <c r="J85" i="4"/>
  <c r="N85" i="4" s="1"/>
  <c r="J86" i="4"/>
  <c r="N86" i="4" s="1"/>
  <c r="J87" i="4"/>
  <c r="N87" i="4" s="1"/>
  <c r="J88" i="4"/>
  <c r="O88" i="4" s="1"/>
  <c r="J89" i="4"/>
  <c r="N89" i="4" s="1"/>
  <c r="J90" i="4"/>
  <c r="N90" i="4" s="1"/>
  <c r="J91" i="4"/>
  <c r="O91" i="4" s="1"/>
  <c r="J92" i="4"/>
  <c r="O92" i="4" s="1"/>
  <c r="J94" i="4"/>
  <c r="N94" i="4" s="1"/>
  <c r="J95" i="4"/>
  <c r="N95" i="4" s="1"/>
  <c r="J96" i="4"/>
  <c r="N96" i="4" s="1"/>
  <c r="J97" i="4"/>
  <c r="O97" i="4" s="1"/>
  <c r="J98" i="4"/>
  <c r="N98" i="4" s="1"/>
  <c r="J99" i="4"/>
  <c r="N99" i="4" s="1"/>
  <c r="J100" i="4"/>
  <c r="O100" i="4" s="1"/>
  <c r="J101" i="4"/>
  <c r="O101" i="4" s="1"/>
  <c r="J102" i="4"/>
  <c r="N102" i="4" s="1"/>
  <c r="J104" i="4"/>
  <c r="N104" i="4" s="1"/>
  <c r="J105" i="4"/>
  <c r="N105" i="4" s="1"/>
  <c r="J106" i="4"/>
  <c r="O106" i="4" s="1"/>
  <c r="J107" i="4"/>
  <c r="N107" i="4" s="1"/>
  <c r="J108" i="4"/>
  <c r="N108" i="4" s="1"/>
  <c r="J109" i="4"/>
  <c r="O109" i="4" s="1"/>
  <c r="J110" i="4"/>
  <c r="O110" i="4" s="1"/>
  <c r="J111" i="4"/>
  <c r="N111" i="4" s="1"/>
  <c r="J113" i="4"/>
  <c r="N113" i="4" s="1"/>
  <c r="J114" i="4"/>
  <c r="N114" i="4" s="1"/>
  <c r="J115" i="4"/>
  <c r="O115" i="4" s="1"/>
  <c r="J116" i="4"/>
  <c r="N116" i="4" s="1"/>
  <c r="J117" i="4"/>
  <c r="N117" i="4" s="1"/>
  <c r="J118" i="4"/>
  <c r="O118" i="4" s="1"/>
  <c r="J119" i="4"/>
  <c r="O119" i="4" s="1"/>
  <c r="J120" i="4"/>
  <c r="N120" i="4" s="1"/>
  <c r="J121" i="4"/>
  <c r="N121" i="4" s="1"/>
  <c r="J122" i="4"/>
  <c r="N122" i="4" s="1"/>
  <c r="J123" i="4"/>
  <c r="O123" i="4" s="1"/>
  <c r="J124" i="4"/>
  <c r="N124" i="4" s="1"/>
  <c r="J125" i="4"/>
  <c r="N125" i="4" s="1"/>
  <c r="J126" i="4"/>
  <c r="O126" i="4" s="1"/>
  <c r="J127" i="4"/>
  <c r="O127" i="4" s="1"/>
  <c r="J128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4" i="4"/>
  <c r="I44" i="4" s="1"/>
  <c r="D45" i="4"/>
  <c r="H45" i="4" s="1"/>
  <c r="D46" i="4"/>
  <c r="H46" i="4" s="1"/>
  <c r="D47" i="4"/>
  <c r="D48" i="4"/>
  <c r="D49" i="4"/>
  <c r="I49" i="4" s="1"/>
  <c r="D50" i="4"/>
  <c r="I50" i="4" s="1"/>
  <c r="D51" i="4"/>
  <c r="H51" i="4" s="1"/>
  <c r="D52" i="4"/>
  <c r="H52" i="4" s="1"/>
  <c r="D54" i="4"/>
  <c r="H54" i="4" s="1"/>
  <c r="D55" i="4"/>
  <c r="H55" i="4" s="1"/>
  <c r="D56" i="4"/>
  <c r="H56" i="4" s="1"/>
  <c r="D57" i="4"/>
  <c r="D58" i="4"/>
  <c r="D59" i="4"/>
  <c r="I59" i="4" s="1"/>
  <c r="D60" i="4"/>
  <c r="I60" i="4" s="1"/>
  <c r="D61" i="4"/>
  <c r="I61" i="4" s="1"/>
  <c r="D62" i="4"/>
  <c r="I62" i="4" s="1"/>
  <c r="D64" i="4"/>
  <c r="H64" i="4" s="1"/>
  <c r="D65" i="4"/>
  <c r="H65" i="4" s="1"/>
  <c r="D66" i="4"/>
  <c r="D67" i="4"/>
  <c r="D68" i="4"/>
  <c r="I68" i="4" s="1"/>
  <c r="D69" i="4"/>
  <c r="I69" i="4" s="1"/>
  <c r="D70" i="4"/>
  <c r="H70" i="4" s="1"/>
  <c r="D71" i="4"/>
  <c r="H71" i="4" s="1"/>
  <c r="D72" i="4"/>
  <c r="H72" i="4" s="1"/>
  <c r="D74" i="4"/>
  <c r="H74" i="4" s="1"/>
  <c r="D75" i="4"/>
  <c r="D76" i="4"/>
  <c r="D77" i="4"/>
  <c r="I77" i="4" s="1"/>
  <c r="D78" i="4"/>
  <c r="I78" i="4" s="1"/>
  <c r="D79" i="4"/>
  <c r="I79" i="4" s="1"/>
  <c r="D80" i="4"/>
  <c r="I80" i="4" s="1"/>
  <c r="D81" i="4"/>
  <c r="H81" i="4" s="1"/>
  <c r="D82" i="4"/>
  <c r="H82" i="4" s="1"/>
  <c r="D84" i="4"/>
  <c r="D85" i="4"/>
  <c r="D86" i="4"/>
  <c r="I86" i="4" s="1"/>
  <c r="D87" i="4"/>
  <c r="I87" i="4" s="1"/>
  <c r="D88" i="4"/>
  <c r="H88" i="4" s="1"/>
  <c r="D89" i="4"/>
  <c r="H89" i="4" s="1"/>
  <c r="D90" i="4"/>
  <c r="H90" i="4" s="1"/>
  <c r="D91" i="4"/>
  <c r="H91" i="4" s="1"/>
  <c r="D92" i="4"/>
  <c r="I92" i="4" s="1"/>
  <c r="D94" i="4"/>
  <c r="D95" i="4"/>
  <c r="I95" i="4" s="1"/>
  <c r="D96" i="4"/>
  <c r="I96" i="4" s="1"/>
  <c r="D97" i="4"/>
  <c r="I97" i="4" s="1"/>
  <c r="D98" i="4"/>
  <c r="I98" i="4" s="1"/>
  <c r="D99" i="4"/>
  <c r="I99" i="4" s="1"/>
  <c r="D100" i="4"/>
  <c r="H100" i="4" s="1"/>
  <c r="D101" i="4"/>
  <c r="I101" i="4" s="1"/>
  <c r="D102" i="4"/>
  <c r="I102" i="4" s="1"/>
  <c r="D104" i="4"/>
  <c r="I104" i="4" s="1"/>
  <c r="D105" i="4"/>
  <c r="I105" i="4" s="1"/>
  <c r="D106" i="4"/>
  <c r="H106" i="4" s="1"/>
  <c r="D107" i="4"/>
  <c r="H107" i="4" s="1"/>
  <c r="D108" i="4"/>
  <c r="I108" i="4" s="1"/>
  <c r="D109" i="4"/>
  <c r="H109" i="4" s="1"/>
  <c r="D110" i="4"/>
  <c r="I110" i="4" s="1"/>
  <c r="D111" i="4"/>
  <c r="I111" i="4" s="1"/>
  <c r="D5" i="4"/>
  <c r="I5" i="4" s="1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3" i="7" l="1"/>
  <c r="H3" i="7"/>
  <c r="O3" i="7"/>
  <c r="N3" i="7"/>
  <c r="U3" i="7"/>
  <c r="T3" i="7"/>
  <c r="AA3" i="7"/>
  <c r="Z3" i="7"/>
  <c r="I5" i="7"/>
  <c r="H5" i="7"/>
  <c r="O5" i="7"/>
  <c r="N5" i="7"/>
  <c r="U5" i="7"/>
  <c r="T5" i="7"/>
  <c r="AA5" i="7"/>
  <c r="Z5" i="7"/>
  <c r="I6" i="7"/>
  <c r="H6" i="7"/>
  <c r="O6" i="7"/>
  <c r="N6" i="7"/>
  <c r="U6" i="7"/>
  <c r="T6" i="7"/>
  <c r="AA6" i="7"/>
  <c r="Z6" i="7"/>
  <c r="I7" i="7"/>
  <c r="H7" i="7"/>
  <c r="O7" i="7"/>
  <c r="N7" i="7"/>
  <c r="U7" i="7"/>
  <c r="T7" i="7"/>
  <c r="AA7" i="7"/>
  <c r="Z7" i="7"/>
  <c r="I8" i="7"/>
  <c r="H8" i="7"/>
  <c r="O8" i="7"/>
  <c r="N8" i="7"/>
  <c r="U8" i="7"/>
  <c r="T8" i="7"/>
  <c r="AA8" i="7"/>
  <c r="Z8" i="7"/>
  <c r="I9" i="7"/>
  <c r="H9" i="7"/>
  <c r="O9" i="7"/>
  <c r="N9" i="7"/>
  <c r="U9" i="7"/>
  <c r="T9" i="7"/>
  <c r="AA9" i="7"/>
  <c r="Z9" i="7"/>
  <c r="I10" i="7"/>
  <c r="H10" i="7"/>
  <c r="O10" i="7"/>
  <c r="N10" i="7"/>
  <c r="U10" i="7"/>
  <c r="T10" i="7"/>
  <c r="AA10" i="7"/>
  <c r="Z10" i="7"/>
  <c r="I11" i="7"/>
  <c r="H11" i="7"/>
  <c r="O11" i="7"/>
  <c r="N11" i="7"/>
  <c r="U11" i="7"/>
  <c r="T11" i="7"/>
  <c r="AA11" i="7"/>
  <c r="Z11" i="7"/>
  <c r="I12" i="7"/>
  <c r="H12" i="7"/>
  <c r="O12" i="7"/>
  <c r="N12" i="7"/>
  <c r="U12" i="7"/>
  <c r="T12" i="7"/>
  <c r="AA12" i="7"/>
  <c r="Z12" i="7"/>
  <c r="I14" i="7"/>
  <c r="H14" i="7"/>
  <c r="O14" i="7"/>
  <c r="N14" i="7"/>
  <c r="U14" i="7"/>
  <c r="T14" i="7"/>
  <c r="AA14" i="7"/>
  <c r="Z14" i="7"/>
  <c r="I15" i="7"/>
  <c r="H15" i="7"/>
  <c r="O15" i="7"/>
  <c r="N15" i="7"/>
  <c r="U15" i="7"/>
  <c r="T15" i="7"/>
  <c r="AA15" i="7"/>
  <c r="Z15" i="7"/>
  <c r="I16" i="7"/>
  <c r="H16" i="7"/>
  <c r="O16" i="7"/>
  <c r="N16" i="7"/>
  <c r="U16" i="7"/>
  <c r="T16" i="7"/>
  <c r="AA16" i="7"/>
  <c r="Z16" i="7"/>
  <c r="I17" i="7"/>
  <c r="H17" i="7"/>
  <c r="O17" i="7"/>
  <c r="N17" i="7"/>
  <c r="U17" i="7"/>
  <c r="T17" i="7"/>
  <c r="AA17" i="7"/>
  <c r="Z17" i="7"/>
  <c r="I18" i="7"/>
  <c r="H18" i="7"/>
  <c r="O18" i="7"/>
  <c r="N18" i="7"/>
  <c r="U18" i="7"/>
  <c r="T18" i="7"/>
  <c r="AA18" i="7"/>
  <c r="Z18" i="7"/>
  <c r="I19" i="7"/>
  <c r="H19" i="7"/>
  <c r="O19" i="7"/>
  <c r="N19" i="7"/>
  <c r="U19" i="7"/>
  <c r="T19" i="7"/>
  <c r="AA19" i="7"/>
  <c r="Z19" i="7"/>
  <c r="I20" i="7"/>
  <c r="H20" i="7"/>
  <c r="O20" i="7"/>
  <c r="N20" i="7"/>
  <c r="U20" i="7"/>
  <c r="T20" i="7"/>
  <c r="AA20" i="7"/>
  <c r="Z20" i="7"/>
  <c r="I21" i="7"/>
  <c r="H21" i="7"/>
  <c r="O21" i="7"/>
  <c r="N21" i="7"/>
  <c r="U21" i="7"/>
  <c r="T21" i="7"/>
  <c r="AA21" i="7"/>
  <c r="Z21" i="7"/>
  <c r="I23" i="7"/>
  <c r="H23" i="7"/>
  <c r="O23" i="7"/>
  <c r="N23" i="7"/>
  <c r="U23" i="7"/>
  <c r="T23" i="7"/>
  <c r="AA23" i="7"/>
  <c r="Z23" i="7"/>
  <c r="I24" i="7"/>
  <c r="H24" i="7"/>
  <c r="O24" i="7"/>
  <c r="N24" i="7"/>
  <c r="U24" i="7"/>
  <c r="T24" i="7"/>
  <c r="AA24" i="7"/>
  <c r="Z24" i="7"/>
  <c r="I25" i="7"/>
  <c r="H25" i="7"/>
  <c r="O25" i="7"/>
  <c r="N25" i="7"/>
  <c r="U25" i="7"/>
  <c r="T25" i="7"/>
  <c r="AA25" i="7"/>
  <c r="Z25" i="7"/>
  <c r="I26" i="7"/>
  <c r="H26" i="7"/>
  <c r="O26" i="7"/>
  <c r="N26" i="7"/>
  <c r="U26" i="7"/>
  <c r="T26" i="7"/>
  <c r="AA26" i="7"/>
  <c r="Z26" i="7"/>
  <c r="I27" i="7"/>
  <c r="H27" i="7"/>
  <c r="O27" i="7"/>
  <c r="N27" i="7"/>
  <c r="U27" i="7"/>
  <c r="T27" i="7"/>
  <c r="AA27" i="7"/>
  <c r="Z27" i="7"/>
  <c r="I28" i="7"/>
  <c r="H28" i="7"/>
  <c r="O28" i="7"/>
  <c r="N28" i="7"/>
  <c r="U28" i="7"/>
  <c r="T28" i="7"/>
  <c r="AA28" i="7"/>
  <c r="Z28" i="7"/>
  <c r="I29" i="7"/>
  <c r="H29" i="7"/>
  <c r="O29" i="7"/>
  <c r="N29" i="7"/>
  <c r="U29" i="7"/>
  <c r="T29" i="7"/>
  <c r="AA29" i="7"/>
  <c r="Z29" i="7"/>
  <c r="I30" i="7"/>
  <c r="H30" i="7"/>
  <c r="O30" i="7"/>
  <c r="N30" i="7"/>
  <c r="U30" i="7"/>
  <c r="T30" i="7"/>
  <c r="AA30" i="7"/>
  <c r="Z30" i="7"/>
  <c r="I31" i="7"/>
  <c r="H31" i="7"/>
  <c r="O31" i="7"/>
  <c r="N31" i="7"/>
  <c r="U31" i="7"/>
  <c r="T31" i="7"/>
  <c r="AA31" i="7"/>
  <c r="Z31" i="7"/>
  <c r="I33" i="7"/>
  <c r="H33" i="7"/>
  <c r="O33" i="7"/>
  <c r="N33" i="7"/>
  <c r="U33" i="7"/>
  <c r="T33" i="7"/>
  <c r="AA33" i="7"/>
  <c r="Z33" i="7"/>
  <c r="I34" i="7"/>
  <c r="H34" i="7"/>
  <c r="O34" i="7"/>
  <c r="N34" i="7"/>
  <c r="U34" i="7"/>
  <c r="T34" i="7"/>
  <c r="AA34" i="7"/>
  <c r="Z34" i="7"/>
  <c r="I35" i="7"/>
  <c r="H35" i="7"/>
  <c r="O35" i="7"/>
  <c r="N35" i="7"/>
  <c r="U35" i="7"/>
  <c r="T35" i="7"/>
  <c r="AA35" i="7"/>
  <c r="Z35" i="7"/>
  <c r="I36" i="7"/>
  <c r="H36" i="7"/>
  <c r="O36" i="7"/>
  <c r="N36" i="7"/>
  <c r="U36" i="7"/>
  <c r="T36" i="7"/>
  <c r="AA36" i="7"/>
  <c r="Z36" i="7"/>
  <c r="I37" i="7"/>
  <c r="H37" i="7"/>
  <c r="O37" i="7"/>
  <c r="N37" i="7"/>
  <c r="U37" i="7"/>
  <c r="T37" i="7"/>
  <c r="AA37" i="7"/>
  <c r="Z37" i="7"/>
  <c r="I38" i="7"/>
  <c r="H38" i="7"/>
  <c r="O38" i="7"/>
  <c r="N38" i="7"/>
  <c r="U38" i="7"/>
  <c r="T38" i="7"/>
  <c r="AA38" i="7"/>
  <c r="Z38" i="7"/>
  <c r="I39" i="7"/>
  <c r="H39" i="7"/>
  <c r="O39" i="7"/>
  <c r="N39" i="7"/>
  <c r="U39" i="7"/>
  <c r="T39" i="7"/>
  <c r="AA39" i="7"/>
  <c r="Z39" i="7"/>
  <c r="I40" i="7"/>
  <c r="H40" i="7"/>
  <c r="O40" i="7"/>
  <c r="N40" i="7"/>
  <c r="U40" i="7"/>
  <c r="T40" i="7"/>
  <c r="AA40" i="7"/>
  <c r="Z40" i="7"/>
  <c r="I41" i="7"/>
  <c r="H41" i="7"/>
  <c r="O41" i="7"/>
  <c r="N41" i="7"/>
  <c r="U41" i="7"/>
  <c r="T41" i="7"/>
  <c r="AA41" i="7"/>
  <c r="Z41" i="7"/>
  <c r="I44" i="7"/>
  <c r="H44" i="7"/>
  <c r="O44" i="7"/>
  <c r="N44" i="7"/>
  <c r="U44" i="7"/>
  <c r="T44" i="7"/>
  <c r="AA44" i="7"/>
  <c r="Z44" i="7"/>
  <c r="I45" i="7"/>
  <c r="H45" i="7"/>
  <c r="O45" i="7"/>
  <c r="N45" i="7"/>
  <c r="U45" i="7"/>
  <c r="T45" i="7"/>
  <c r="AA45" i="7"/>
  <c r="Z45" i="7"/>
  <c r="I46" i="7"/>
  <c r="H46" i="7"/>
  <c r="O46" i="7"/>
  <c r="N46" i="7"/>
  <c r="U46" i="7"/>
  <c r="T46" i="7"/>
  <c r="AA46" i="7"/>
  <c r="Z46" i="7"/>
  <c r="I47" i="7"/>
  <c r="H47" i="7"/>
  <c r="O47" i="7"/>
  <c r="N47" i="7"/>
  <c r="U47" i="7"/>
  <c r="T47" i="7"/>
  <c r="AA47" i="7"/>
  <c r="Z47" i="7"/>
  <c r="I48" i="7"/>
  <c r="H48" i="7"/>
  <c r="O48" i="7"/>
  <c r="N48" i="7"/>
  <c r="U48" i="7"/>
  <c r="T48" i="7"/>
  <c r="AA48" i="7"/>
  <c r="Z48" i="7"/>
  <c r="I49" i="7"/>
  <c r="H49" i="7"/>
  <c r="O49" i="7"/>
  <c r="N49" i="7"/>
  <c r="U49" i="7"/>
  <c r="T49" i="7"/>
  <c r="AA49" i="7"/>
  <c r="Z49" i="7"/>
  <c r="I50" i="7"/>
  <c r="H50" i="7"/>
  <c r="O50" i="7"/>
  <c r="N50" i="7"/>
  <c r="U50" i="7"/>
  <c r="T50" i="7"/>
  <c r="AA50" i="7"/>
  <c r="Z50" i="7"/>
  <c r="I51" i="7"/>
  <c r="H51" i="7"/>
  <c r="O51" i="7"/>
  <c r="N51" i="7"/>
  <c r="U51" i="7"/>
  <c r="T51" i="7"/>
  <c r="AA51" i="7"/>
  <c r="Z51" i="7"/>
  <c r="I52" i="7"/>
  <c r="H52" i="7"/>
  <c r="O52" i="7"/>
  <c r="N52" i="7"/>
  <c r="U52" i="7"/>
  <c r="T52" i="7"/>
  <c r="AA52" i="7"/>
  <c r="Z52" i="7"/>
  <c r="I54" i="7"/>
  <c r="H54" i="7"/>
  <c r="O54" i="7"/>
  <c r="N54" i="7"/>
  <c r="U54" i="7"/>
  <c r="T54" i="7"/>
  <c r="AA54" i="7"/>
  <c r="Z54" i="7"/>
  <c r="I55" i="7"/>
  <c r="H55" i="7"/>
  <c r="O55" i="7"/>
  <c r="N55" i="7"/>
  <c r="U55" i="7"/>
  <c r="T55" i="7"/>
  <c r="AA55" i="7"/>
  <c r="Z55" i="7"/>
  <c r="I56" i="7"/>
  <c r="H56" i="7"/>
  <c r="O56" i="7"/>
  <c r="N56" i="7"/>
  <c r="U56" i="7"/>
  <c r="T56" i="7"/>
  <c r="AA56" i="7"/>
  <c r="Z56" i="7"/>
  <c r="I57" i="7"/>
  <c r="H57" i="7"/>
  <c r="O57" i="7"/>
  <c r="N57" i="7"/>
  <c r="U57" i="7"/>
  <c r="T57" i="7"/>
  <c r="AA57" i="7"/>
  <c r="Z57" i="7"/>
  <c r="I58" i="7"/>
  <c r="H58" i="7"/>
  <c r="O58" i="7"/>
  <c r="N58" i="7"/>
  <c r="U58" i="7"/>
  <c r="T58" i="7"/>
  <c r="AA58" i="7"/>
  <c r="Z58" i="7"/>
  <c r="I59" i="7"/>
  <c r="H59" i="7"/>
  <c r="O59" i="7"/>
  <c r="N59" i="7"/>
  <c r="U59" i="7"/>
  <c r="T59" i="7"/>
  <c r="AA59" i="7"/>
  <c r="Z59" i="7"/>
  <c r="I60" i="7"/>
  <c r="H60" i="7"/>
  <c r="O60" i="7"/>
  <c r="N60" i="7"/>
  <c r="U60" i="7"/>
  <c r="T60" i="7"/>
  <c r="AA60" i="7"/>
  <c r="Z60" i="7"/>
  <c r="I61" i="7"/>
  <c r="H61" i="7"/>
  <c r="O61" i="7"/>
  <c r="N61" i="7"/>
  <c r="U61" i="7"/>
  <c r="T61" i="7"/>
  <c r="AA61" i="7"/>
  <c r="Z61" i="7"/>
  <c r="I62" i="7"/>
  <c r="H62" i="7"/>
  <c r="O62" i="7"/>
  <c r="N62" i="7"/>
  <c r="U62" i="7"/>
  <c r="T62" i="7"/>
  <c r="AA62" i="7"/>
  <c r="Z62" i="7"/>
  <c r="I64" i="7"/>
  <c r="H64" i="7"/>
  <c r="O64" i="7"/>
  <c r="N64" i="7"/>
  <c r="U64" i="7"/>
  <c r="T64" i="7"/>
  <c r="AA64" i="7"/>
  <c r="Z64" i="7"/>
  <c r="I65" i="7"/>
  <c r="H65" i="7"/>
  <c r="O65" i="7"/>
  <c r="N65" i="7"/>
  <c r="U65" i="7"/>
  <c r="T65" i="7"/>
  <c r="AA65" i="7"/>
  <c r="Z65" i="7"/>
  <c r="I66" i="7"/>
  <c r="H66" i="7"/>
  <c r="O66" i="7"/>
  <c r="N66" i="7"/>
  <c r="U66" i="7"/>
  <c r="T66" i="7"/>
  <c r="AA66" i="7"/>
  <c r="Z66" i="7"/>
  <c r="I67" i="7"/>
  <c r="H67" i="7"/>
  <c r="O67" i="7"/>
  <c r="N67" i="7"/>
  <c r="U67" i="7"/>
  <c r="T67" i="7"/>
  <c r="AA67" i="7"/>
  <c r="Z67" i="7"/>
  <c r="I68" i="7"/>
  <c r="H68" i="7"/>
  <c r="O68" i="7"/>
  <c r="N68" i="7"/>
  <c r="U68" i="7"/>
  <c r="T68" i="7"/>
  <c r="AA68" i="7"/>
  <c r="Z68" i="7"/>
  <c r="I69" i="7"/>
  <c r="H69" i="7"/>
  <c r="O69" i="7"/>
  <c r="N69" i="7"/>
  <c r="U69" i="7"/>
  <c r="T69" i="7"/>
  <c r="AA69" i="7"/>
  <c r="Z69" i="7"/>
  <c r="I70" i="7"/>
  <c r="H70" i="7"/>
  <c r="O70" i="7"/>
  <c r="N70" i="7"/>
  <c r="U70" i="7"/>
  <c r="T70" i="7"/>
  <c r="AA70" i="7"/>
  <c r="Z70" i="7"/>
  <c r="I71" i="7"/>
  <c r="H71" i="7"/>
  <c r="O71" i="7"/>
  <c r="N71" i="7"/>
  <c r="U71" i="7"/>
  <c r="T71" i="7"/>
  <c r="AA71" i="7"/>
  <c r="Z71" i="7"/>
  <c r="I72" i="7"/>
  <c r="H72" i="7"/>
  <c r="O72" i="7"/>
  <c r="N72" i="7"/>
  <c r="U72" i="7"/>
  <c r="T72" i="7"/>
  <c r="AA72" i="7"/>
  <c r="Z72" i="7"/>
  <c r="I74" i="7"/>
  <c r="H74" i="7"/>
  <c r="O74" i="7"/>
  <c r="N74" i="7"/>
  <c r="U74" i="7"/>
  <c r="T74" i="7"/>
  <c r="AA74" i="7"/>
  <c r="Z74" i="7"/>
  <c r="I75" i="7"/>
  <c r="H75" i="7"/>
  <c r="O75" i="7"/>
  <c r="N75" i="7"/>
  <c r="U75" i="7"/>
  <c r="T75" i="7"/>
  <c r="AA75" i="7"/>
  <c r="Z75" i="7"/>
  <c r="I76" i="7"/>
  <c r="H76" i="7"/>
  <c r="O76" i="7"/>
  <c r="N76" i="7"/>
  <c r="U76" i="7"/>
  <c r="T76" i="7"/>
  <c r="AA76" i="7"/>
  <c r="Z76" i="7"/>
  <c r="I77" i="7"/>
  <c r="H77" i="7"/>
  <c r="O77" i="7"/>
  <c r="N77" i="7"/>
  <c r="U77" i="7"/>
  <c r="T77" i="7"/>
  <c r="AA77" i="7"/>
  <c r="Z77" i="7"/>
  <c r="I78" i="7"/>
  <c r="H78" i="7"/>
  <c r="O78" i="7"/>
  <c r="N78" i="7"/>
  <c r="U78" i="7"/>
  <c r="T78" i="7"/>
  <c r="AA78" i="7"/>
  <c r="Z78" i="7"/>
  <c r="I79" i="7"/>
  <c r="H79" i="7"/>
  <c r="O79" i="7"/>
  <c r="N79" i="7"/>
  <c r="U79" i="7"/>
  <c r="T79" i="7"/>
  <c r="AA79" i="7"/>
  <c r="Z79" i="7"/>
  <c r="I80" i="7"/>
  <c r="H80" i="7"/>
  <c r="O80" i="7"/>
  <c r="N80" i="7"/>
  <c r="U80" i="7"/>
  <c r="T80" i="7"/>
  <c r="AA80" i="7"/>
  <c r="Z80" i="7"/>
  <c r="I81" i="7"/>
  <c r="H81" i="7"/>
  <c r="O81" i="7"/>
  <c r="N81" i="7"/>
  <c r="U81" i="7"/>
  <c r="T81" i="7"/>
  <c r="AA81" i="7"/>
  <c r="Z81" i="7"/>
  <c r="I82" i="7"/>
  <c r="H82" i="7"/>
  <c r="O82" i="7"/>
  <c r="N82" i="7"/>
  <c r="U82" i="7"/>
  <c r="T82" i="7"/>
  <c r="AA82" i="7"/>
  <c r="Z82" i="7"/>
  <c r="I84" i="7"/>
  <c r="H84" i="7"/>
  <c r="O84" i="7"/>
  <c r="N84" i="7"/>
  <c r="U84" i="7"/>
  <c r="T84" i="7"/>
  <c r="AA84" i="7"/>
  <c r="Z84" i="7"/>
  <c r="I85" i="7"/>
  <c r="H85" i="7"/>
  <c r="O85" i="7"/>
  <c r="N85" i="7"/>
  <c r="U85" i="7"/>
  <c r="T85" i="7"/>
  <c r="AA85" i="7"/>
  <c r="Z85" i="7"/>
  <c r="I86" i="7"/>
  <c r="H86" i="7"/>
  <c r="O86" i="7"/>
  <c r="N86" i="7"/>
  <c r="U86" i="7"/>
  <c r="T86" i="7"/>
  <c r="AA86" i="7"/>
  <c r="Z86" i="7"/>
  <c r="I87" i="7"/>
  <c r="H87" i="7"/>
  <c r="O87" i="7"/>
  <c r="N87" i="7"/>
  <c r="U87" i="7"/>
  <c r="T87" i="7"/>
  <c r="AA87" i="7"/>
  <c r="Z87" i="7"/>
  <c r="I88" i="7"/>
  <c r="H88" i="7"/>
  <c r="O88" i="7"/>
  <c r="N88" i="7"/>
  <c r="U88" i="7"/>
  <c r="T88" i="7"/>
  <c r="AA88" i="7"/>
  <c r="Z88" i="7"/>
  <c r="I89" i="7"/>
  <c r="H89" i="7"/>
  <c r="O89" i="7"/>
  <c r="N89" i="7"/>
  <c r="U89" i="7"/>
  <c r="T89" i="7"/>
  <c r="AA89" i="7"/>
  <c r="Z89" i="7"/>
  <c r="I90" i="7"/>
  <c r="H90" i="7"/>
  <c r="O90" i="7"/>
  <c r="N90" i="7"/>
  <c r="U90" i="7"/>
  <c r="T90" i="7"/>
  <c r="AA90" i="7"/>
  <c r="Z90" i="7"/>
  <c r="I91" i="7"/>
  <c r="H91" i="7"/>
  <c r="O91" i="7"/>
  <c r="N91" i="7"/>
  <c r="U91" i="7"/>
  <c r="T91" i="7"/>
  <c r="AA91" i="7"/>
  <c r="Z91" i="7"/>
  <c r="I92" i="7"/>
  <c r="H92" i="7"/>
  <c r="O92" i="7"/>
  <c r="N92" i="7"/>
  <c r="U92" i="7"/>
  <c r="T92" i="7"/>
  <c r="AA92" i="7"/>
  <c r="Z92" i="7"/>
  <c r="I94" i="7"/>
  <c r="H94" i="7"/>
  <c r="O94" i="7"/>
  <c r="N94" i="7"/>
  <c r="U94" i="7"/>
  <c r="T94" i="7"/>
  <c r="AA94" i="7"/>
  <c r="Z94" i="7"/>
  <c r="I95" i="7"/>
  <c r="H95" i="7"/>
  <c r="O95" i="7"/>
  <c r="N95" i="7"/>
  <c r="U95" i="7"/>
  <c r="T95" i="7"/>
  <c r="AA95" i="7"/>
  <c r="Z95" i="7"/>
  <c r="I96" i="7"/>
  <c r="H96" i="7"/>
  <c r="O96" i="7"/>
  <c r="N96" i="7"/>
  <c r="U96" i="7"/>
  <c r="T96" i="7"/>
  <c r="AA96" i="7"/>
  <c r="Z96" i="7"/>
  <c r="I97" i="7"/>
  <c r="H97" i="7"/>
  <c r="O97" i="7"/>
  <c r="N97" i="7"/>
  <c r="U97" i="7"/>
  <c r="T97" i="7"/>
  <c r="AA97" i="7"/>
  <c r="Z97" i="7"/>
  <c r="I98" i="7"/>
  <c r="H98" i="7"/>
  <c r="O98" i="7"/>
  <c r="N98" i="7"/>
  <c r="U98" i="7"/>
  <c r="T98" i="7"/>
  <c r="AA98" i="7"/>
  <c r="Z98" i="7"/>
  <c r="I99" i="7"/>
  <c r="H99" i="7"/>
  <c r="O99" i="7"/>
  <c r="N99" i="7"/>
  <c r="U99" i="7"/>
  <c r="T99" i="7"/>
  <c r="AA99" i="7"/>
  <c r="Z99" i="7"/>
  <c r="I100" i="7"/>
  <c r="H100" i="7"/>
  <c r="O100" i="7"/>
  <c r="N100" i="7"/>
  <c r="U100" i="7"/>
  <c r="T100" i="7"/>
  <c r="AA100" i="7"/>
  <c r="Z100" i="7"/>
  <c r="I101" i="7"/>
  <c r="H101" i="7"/>
  <c r="O101" i="7"/>
  <c r="N101" i="7"/>
  <c r="U101" i="7"/>
  <c r="T101" i="7"/>
  <c r="AA101" i="7"/>
  <c r="Z101" i="7"/>
  <c r="I102" i="7"/>
  <c r="H102" i="7"/>
  <c r="O102" i="7"/>
  <c r="N102" i="7"/>
  <c r="U102" i="7"/>
  <c r="T102" i="7"/>
  <c r="AA102" i="7"/>
  <c r="Z102" i="7"/>
  <c r="I104" i="7"/>
  <c r="H104" i="7"/>
  <c r="O104" i="7"/>
  <c r="N104" i="7"/>
  <c r="U104" i="7"/>
  <c r="T104" i="7"/>
  <c r="AA104" i="7"/>
  <c r="Z104" i="7"/>
  <c r="I105" i="7"/>
  <c r="H105" i="7"/>
  <c r="O105" i="7"/>
  <c r="N105" i="7"/>
  <c r="U105" i="7"/>
  <c r="T105" i="7"/>
  <c r="AA105" i="7"/>
  <c r="Z105" i="7"/>
  <c r="I106" i="7"/>
  <c r="H106" i="7"/>
  <c r="O106" i="7"/>
  <c r="N106" i="7"/>
  <c r="U106" i="7"/>
  <c r="T106" i="7"/>
  <c r="AA106" i="7"/>
  <c r="Z106" i="7"/>
  <c r="I107" i="7"/>
  <c r="H107" i="7"/>
  <c r="O107" i="7"/>
  <c r="N107" i="7"/>
  <c r="U107" i="7"/>
  <c r="T107" i="7"/>
  <c r="AA107" i="7"/>
  <c r="Z107" i="7"/>
  <c r="I108" i="7"/>
  <c r="H108" i="7"/>
  <c r="O108" i="7"/>
  <c r="N108" i="7"/>
  <c r="U108" i="7"/>
  <c r="T108" i="7"/>
  <c r="AA108" i="7"/>
  <c r="Z108" i="7"/>
  <c r="I109" i="7"/>
  <c r="H109" i="7"/>
  <c r="O109" i="7"/>
  <c r="N109" i="7"/>
  <c r="U109" i="7"/>
  <c r="T109" i="7"/>
  <c r="AA109" i="7"/>
  <c r="Z109" i="7"/>
  <c r="I110" i="7"/>
  <c r="H110" i="7"/>
  <c r="O110" i="7"/>
  <c r="N110" i="7"/>
  <c r="U110" i="7"/>
  <c r="T110" i="7"/>
  <c r="AA110" i="7"/>
  <c r="Z110" i="7"/>
  <c r="I111" i="7"/>
  <c r="H111" i="7"/>
  <c r="O111" i="7"/>
  <c r="N111" i="7"/>
  <c r="U111" i="7"/>
  <c r="T111" i="7"/>
  <c r="AA111" i="7"/>
  <c r="Z111" i="7"/>
  <c r="O113" i="7"/>
  <c r="N113" i="7"/>
  <c r="U113" i="7"/>
  <c r="T113" i="7"/>
  <c r="AA113" i="7"/>
  <c r="Z113" i="7"/>
  <c r="O114" i="7"/>
  <c r="N114" i="7"/>
  <c r="U114" i="7"/>
  <c r="T114" i="7"/>
  <c r="AA114" i="7"/>
  <c r="Z114" i="7"/>
  <c r="O115" i="7"/>
  <c r="N115" i="7"/>
  <c r="U115" i="7"/>
  <c r="T115" i="7"/>
  <c r="AA115" i="7"/>
  <c r="Z115" i="7"/>
  <c r="O116" i="7"/>
  <c r="N116" i="7"/>
  <c r="U116" i="7"/>
  <c r="T116" i="7"/>
  <c r="AA116" i="7"/>
  <c r="Z116" i="7"/>
  <c r="O117" i="7"/>
  <c r="N117" i="7"/>
  <c r="U117" i="7"/>
  <c r="T117" i="7"/>
  <c r="AA117" i="7"/>
  <c r="Z117" i="7"/>
  <c r="O118" i="7"/>
  <c r="N118" i="7"/>
  <c r="U118" i="7"/>
  <c r="T118" i="7"/>
  <c r="AA118" i="7"/>
  <c r="Z118" i="7"/>
  <c r="O119" i="7"/>
  <c r="N119" i="7"/>
  <c r="U119" i="7"/>
  <c r="T119" i="7"/>
  <c r="AA119" i="7"/>
  <c r="Z119" i="7"/>
  <c r="O120" i="7"/>
  <c r="N120" i="7"/>
  <c r="U120" i="7"/>
  <c r="T120" i="7"/>
  <c r="AA120" i="7"/>
  <c r="Z120" i="7"/>
  <c r="O121" i="7"/>
  <c r="N121" i="7"/>
  <c r="U121" i="7"/>
  <c r="T121" i="7"/>
  <c r="AA121" i="7"/>
  <c r="Z121" i="7"/>
  <c r="O122" i="7"/>
  <c r="N122" i="7"/>
  <c r="U122" i="7"/>
  <c r="T122" i="7"/>
  <c r="AA122" i="7"/>
  <c r="Z122" i="7"/>
  <c r="O123" i="7"/>
  <c r="N123" i="7"/>
  <c r="U123" i="7"/>
  <c r="T123" i="7"/>
  <c r="AA123" i="7"/>
  <c r="Z123" i="7"/>
  <c r="O124" i="7"/>
  <c r="N124" i="7"/>
  <c r="U124" i="7"/>
  <c r="T124" i="7"/>
  <c r="AA124" i="7"/>
  <c r="Z124" i="7"/>
  <c r="O125" i="7"/>
  <c r="N125" i="7"/>
  <c r="U125" i="7"/>
  <c r="T125" i="7"/>
  <c r="AA125" i="7"/>
  <c r="Z125" i="7"/>
  <c r="O126" i="7"/>
  <c r="N126" i="7"/>
  <c r="U126" i="7"/>
  <c r="T126" i="7"/>
  <c r="AA126" i="7"/>
  <c r="Z126" i="7"/>
  <c r="O127" i="7"/>
  <c r="N127" i="7"/>
  <c r="U127" i="7"/>
  <c r="T127" i="7"/>
  <c r="AA127" i="7"/>
  <c r="Z127" i="7"/>
  <c r="O128" i="7"/>
  <c r="N128" i="7"/>
  <c r="AA128" i="7"/>
  <c r="Z128" i="7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5" i="4"/>
  <c r="Z127" i="4"/>
  <c r="Z117" i="4"/>
  <c r="Z9" i="4"/>
  <c r="T82" i="4"/>
  <c r="U66" i="4"/>
  <c r="T33" i="4"/>
  <c r="Z46" i="4"/>
  <c r="U115" i="4"/>
  <c r="AA31" i="4"/>
  <c r="O89" i="4"/>
  <c r="AA104" i="4"/>
  <c r="U3" i="4"/>
  <c r="O26" i="4"/>
  <c r="T10" i="4"/>
  <c r="Z81" i="4"/>
  <c r="U60" i="4"/>
  <c r="U44" i="4"/>
  <c r="AA68" i="4"/>
  <c r="O120" i="4"/>
  <c r="Z57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7" i="4"/>
  <c r="O76" i="4"/>
  <c r="N57" i="4"/>
  <c r="O45" i="4"/>
  <c r="N37" i="4"/>
  <c r="T109" i="4"/>
  <c r="U92" i="4"/>
  <c r="U87" i="4"/>
  <c r="U70" i="4"/>
  <c r="T37" i="4"/>
  <c r="U20" i="4"/>
  <c r="U15" i="4"/>
  <c r="AA125" i="4"/>
  <c r="Z115" i="4"/>
  <c r="AA90" i="4"/>
  <c r="Z79" i="4"/>
  <c r="AA55" i="4"/>
  <c r="Z44" i="4"/>
  <c r="AA18" i="4"/>
  <c r="Z7" i="4"/>
  <c r="N126" i="4"/>
  <c r="N100" i="4"/>
  <c r="O94" i="4"/>
  <c r="O62" i="4"/>
  <c r="O30" i="4"/>
  <c r="U119" i="4"/>
  <c r="U114" i="4"/>
  <c r="U97" i="4"/>
  <c r="T65" i="4"/>
  <c r="U48" i="4"/>
  <c r="U41" i="4"/>
  <c r="U25" i="4"/>
  <c r="AA113" i="4"/>
  <c r="Z101" i="4"/>
  <c r="AA77" i="4"/>
  <c r="Z66" i="4"/>
  <c r="AA40" i="4"/>
  <c r="Z29" i="4"/>
  <c r="N82" i="4"/>
  <c r="O124" i="4"/>
  <c r="N118" i="4"/>
  <c r="O111" i="4"/>
  <c r="N106" i="4"/>
  <c r="O80" i="4"/>
  <c r="N56" i="4"/>
  <c r="O49" i="4"/>
  <c r="O17" i="4"/>
  <c r="N10" i="4"/>
  <c r="U123" i="4"/>
  <c r="T91" i="4"/>
  <c r="U75" i="4"/>
  <c r="U69" i="4"/>
  <c r="U52" i="4"/>
  <c r="T19" i="4"/>
  <c r="Z123" i="4"/>
  <c r="AA99" i="4"/>
  <c r="Z88" i="4"/>
  <c r="AA64" i="4"/>
  <c r="Z52" i="4"/>
  <c r="AA27" i="4"/>
  <c r="Z16" i="4"/>
  <c r="N19" i="4"/>
  <c r="Z92" i="4"/>
  <c r="I31" i="4"/>
  <c r="N74" i="4"/>
  <c r="O67" i="4"/>
  <c r="O35" i="4"/>
  <c r="T118" i="4"/>
  <c r="U101" i="4"/>
  <c r="U96" i="4"/>
  <c r="U79" i="4"/>
  <c r="T47" i="4"/>
  <c r="U29" i="4"/>
  <c r="U24" i="4"/>
  <c r="U7" i="4"/>
  <c r="AA121" i="4"/>
  <c r="Z110" i="4"/>
  <c r="AA86" i="4"/>
  <c r="Z75" i="4"/>
  <c r="AA50" i="4"/>
  <c r="Z38" i="4"/>
  <c r="AA14" i="4"/>
  <c r="O98" i="4"/>
  <c r="N91" i="4"/>
  <c r="O85" i="4"/>
  <c r="N79" i="4"/>
  <c r="N28" i="4"/>
  <c r="O21" i="4"/>
  <c r="U127" i="4"/>
  <c r="U122" i="4"/>
  <c r="U106" i="4"/>
  <c r="T74" i="4"/>
  <c r="U57" i="4"/>
  <c r="U51" i="4"/>
  <c r="U34" i="4"/>
  <c r="AA108" i="4"/>
  <c r="Z97" i="4"/>
  <c r="AA72" i="4"/>
  <c r="Z61" i="4"/>
  <c r="AA36" i="4"/>
  <c r="Z25" i="4"/>
  <c r="I3" i="4"/>
  <c r="N127" i="4"/>
  <c r="O116" i="4"/>
  <c r="N109" i="4"/>
  <c r="O54" i="4"/>
  <c r="N47" i="4"/>
  <c r="O39" i="4"/>
  <c r="N34" i="4"/>
  <c r="O8" i="4"/>
  <c r="T100" i="4"/>
  <c r="U84" i="4"/>
  <c r="U78" i="4"/>
  <c r="U61" i="4"/>
  <c r="T28" i="4"/>
  <c r="U11" i="4"/>
  <c r="U6" i="4"/>
  <c r="Z119" i="4"/>
  <c r="AA95" i="4"/>
  <c r="Z84" i="4"/>
  <c r="AA59" i="4"/>
  <c r="Z48" i="4"/>
  <c r="AA23" i="4"/>
  <c r="Z11" i="4"/>
  <c r="AA3" i="4"/>
  <c r="O102" i="4"/>
  <c r="O71" i="4"/>
  <c r="N65" i="4"/>
  <c r="O58" i="4"/>
  <c r="T126" i="4"/>
  <c r="U110" i="4"/>
  <c r="U88" i="4"/>
  <c r="T56" i="4"/>
  <c r="U38" i="4"/>
  <c r="U16" i="4"/>
  <c r="Z106" i="4"/>
  <c r="Z70" i="4"/>
  <c r="Z34" i="4"/>
  <c r="T72" i="4"/>
  <c r="U72" i="4"/>
  <c r="T113" i="4"/>
  <c r="U113" i="4"/>
  <c r="N97" i="4"/>
  <c r="N75" i="4"/>
  <c r="T64" i="4"/>
  <c r="U64" i="4"/>
  <c r="T40" i="4"/>
  <c r="U40" i="4"/>
  <c r="N25" i="4"/>
  <c r="Z128" i="4"/>
  <c r="AA128" i="4"/>
  <c r="N123" i="4"/>
  <c r="N101" i="4"/>
  <c r="T90" i="4"/>
  <c r="U90" i="4"/>
  <c r="T68" i="4"/>
  <c r="U68" i="4"/>
  <c r="N52" i="4"/>
  <c r="N29" i="4"/>
  <c r="T18" i="4"/>
  <c r="U18" i="4"/>
  <c r="Z94" i="4"/>
  <c r="AA94" i="4"/>
  <c r="N84" i="4"/>
  <c r="N110" i="4"/>
  <c r="T99" i="4"/>
  <c r="U99" i="4"/>
  <c r="T77" i="4"/>
  <c r="U77" i="4"/>
  <c r="N61" i="4"/>
  <c r="N38" i="4"/>
  <c r="T27" i="4"/>
  <c r="U27" i="4"/>
  <c r="Z102" i="4"/>
  <c r="AA102" i="4"/>
  <c r="T117" i="4"/>
  <c r="U117" i="4"/>
  <c r="T95" i="4"/>
  <c r="U95" i="4"/>
  <c r="T23" i="4"/>
  <c r="U23" i="4"/>
  <c r="T121" i="4"/>
  <c r="U121" i="4"/>
  <c r="T50" i="4"/>
  <c r="U50" i="4"/>
  <c r="N11" i="4"/>
  <c r="T125" i="4"/>
  <c r="U125" i="4"/>
  <c r="T104" i="4"/>
  <c r="U104" i="4"/>
  <c r="N88" i="4"/>
  <c r="N66" i="4"/>
  <c r="T55" i="4"/>
  <c r="U55" i="4"/>
  <c r="T31" i="4"/>
  <c r="U31" i="4"/>
  <c r="N16" i="4"/>
  <c r="Z120" i="4"/>
  <c r="AA120" i="4"/>
  <c r="N115" i="4"/>
  <c r="N92" i="4"/>
  <c r="T81" i="4"/>
  <c r="U81" i="4"/>
  <c r="T59" i="4"/>
  <c r="U59" i="4"/>
  <c r="N44" i="4"/>
  <c r="N20" i="4"/>
  <c r="T46" i="4"/>
  <c r="U46" i="4"/>
  <c r="O7" i="4"/>
  <c r="N7" i="4"/>
  <c r="N119" i="4"/>
  <c r="T108" i="4"/>
  <c r="U108" i="4"/>
  <c r="T86" i="4"/>
  <c r="U86" i="4"/>
  <c r="N70" i="4"/>
  <c r="N48" i="4"/>
  <c r="T36" i="4"/>
  <c r="U36" i="4"/>
  <c r="T14" i="4"/>
  <c r="U14" i="4"/>
  <c r="Z111" i="4"/>
  <c r="AA111" i="4"/>
  <c r="O125" i="4"/>
  <c r="O117" i="4"/>
  <c r="O108" i="4"/>
  <c r="O99" i="4"/>
  <c r="O90" i="4"/>
  <c r="O81" i="4"/>
  <c r="O72" i="4"/>
  <c r="O64" i="4"/>
  <c r="O55" i="4"/>
  <c r="O46" i="4"/>
  <c r="O36" i="4"/>
  <c r="O27" i="4"/>
  <c r="O18" i="4"/>
  <c r="O9" i="4"/>
  <c r="U124" i="4"/>
  <c r="U116" i="4"/>
  <c r="U107" i="4"/>
  <c r="U98" i="4"/>
  <c r="U89" i="4"/>
  <c r="U80" i="4"/>
  <c r="U71" i="4"/>
  <c r="U62" i="4"/>
  <c r="U54" i="4"/>
  <c r="U45" i="4"/>
  <c r="U35" i="4"/>
  <c r="U26" i="4"/>
  <c r="U17" i="4"/>
  <c r="U8" i="4"/>
  <c r="AA124" i="4"/>
  <c r="AA116" i="4"/>
  <c r="AA107" i="4"/>
  <c r="AA98" i="4"/>
  <c r="AA89" i="4"/>
  <c r="AA85" i="4"/>
  <c r="AA80" i="4"/>
  <c r="AA76" i="4"/>
  <c r="AA71" i="4"/>
  <c r="AA67" i="4"/>
  <c r="AA62" i="4"/>
  <c r="AA58" i="4"/>
  <c r="AA54" i="4"/>
  <c r="AA49" i="4"/>
  <c r="AA45" i="4"/>
  <c r="AA39" i="4"/>
  <c r="AA35" i="4"/>
  <c r="AA30" i="4"/>
  <c r="AA26" i="4"/>
  <c r="AA21" i="4"/>
  <c r="AA17" i="4"/>
  <c r="AA12" i="4"/>
  <c r="AA8" i="4"/>
  <c r="O122" i="4"/>
  <c r="O114" i="4"/>
  <c r="O105" i="4"/>
  <c r="O96" i="4"/>
  <c r="O87" i="4"/>
  <c r="O78" i="4"/>
  <c r="O69" i="4"/>
  <c r="O60" i="4"/>
  <c r="O51" i="4"/>
  <c r="O41" i="4"/>
  <c r="O33" i="4"/>
  <c r="O24" i="4"/>
  <c r="O15" i="4"/>
  <c r="O6" i="4"/>
  <c r="O121" i="4"/>
  <c r="O113" i="4"/>
  <c r="O104" i="4"/>
  <c r="O95" i="4"/>
  <c r="O86" i="4"/>
  <c r="O77" i="4"/>
  <c r="O68" i="4"/>
  <c r="O59" i="4"/>
  <c r="O50" i="4"/>
  <c r="O40" i="4"/>
  <c r="O31" i="4"/>
  <c r="O23" i="4"/>
  <c r="O14" i="4"/>
  <c r="U120" i="4"/>
  <c r="U111" i="4"/>
  <c r="U102" i="4"/>
  <c r="U94" i="4"/>
  <c r="U85" i="4"/>
  <c r="U76" i="4"/>
  <c r="U67" i="4"/>
  <c r="U58" i="4"/>
  <c r="U49" i="4"/>
  <c r="U39" i="4"/>
  <c r="U30" i="4"/>
  <c r="U21" i="4"/>
  <c r="U12" i="4"/>
  <c r="AA126" i="4"/>
  <c r="AA122" i="4"/>
  <c r="AA118" i="4"/>
  <c r="AA114" i="4"/>
  <c r="AA109" i="4"/>
  <c r="AA105" i="4"/>
  <c r="AA100" i="4"/>
  <c r="AA96" i="4"/>
  <c r="AA91" i="4"/>
  <c r="AA87" i="4"/>
  <c r="AA82" i="4"/>
  <c r="AA78" i="4"/>
  <c r="AA74" i="4"/>
  <c r="AA69" i="4"/>
  <c r="AA65" i="4"/>
  <c r="AA60" i="4"/>
  <c r="AA56" i="4"/>
  <c r="AA51" i="4"/>
  <c r="AA47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8" i="4"/>
  <c r="I107" i="4"/>
  <c r="I100" i="4"/>
  <c r="I65" i="4"/>
  <c r="H97" i="4"/>
  <c r="I106" i="4"/>
  <c r="I52" i="4"/>
  <c r="I51" i="4"/>
  <c r="H80" i="4"/>
  <c r="I89" i="4"/>
  <c r="I46" i="4"/>
  <c r="Z5" i="4"/>
  <c r="H87" i="4"/>
  <c r="H108" i="4"/>
  <c r="H69" i="4"/>
  <c r="I88" i="4"/>
  <c r="I34" i="4"/>
  <c r="H62" i="4"/>
  <c r="I82" i="4"/>
  <c r="I33" i="4"/>
  <c r="U5" i="4"/>
  <c r="H44" i="4"/>
  <c r="I71" i="4"/>
  <c r="I24" i="4"/>
  <c r="H99" i="4"/>
  <c r="H18" i="4"/>
  <c r="I70" i="4"/>
  <c r="H50" i="4"/>
  <c r="O5" i="4"/>
  <c r="N5" i="4"/>
  <c r="O128" i="4"/>
  <c r="N128" i="4"/>
  <c r="I85" i="4"/>
  <c r="H85" i="4"/>
  <c r="H68" i="4"/>
  <c r="I66" i="4"/>
  <c r="H66" i="4"/>
  <c r="I14" i="4"/>
  <c r="H14" i="4"/>
  <c r="I47" i="4"/>
  <c r="H47" i="4"/>
  <c r="I37" i="4"/>
  <c r="H37" i="4"/>
  <c r="I25" i="4"/>
  <c r="H25" i="4"/>
  <c r="H6" i="4"/>
  <c r="H105" i="4"/>
  <c r="H96" i="4"/>
  <c r="H79" i="4"/>
  <c r="H61" i="4"/>
  <c r="H41" i="4"/>
  <c r="H17" i="4"/>
  <c r="I81" i="4"/>
  <c r="I64" i="4"/>
  <c r="I45" i="4"/>
  <c r="I23" i="4"/>
  <c r="H28" i="4"/>
  <c r="I94" i="4"/>
  <c r="H94" i="4"/>
  <c r="H86" i="4"/>
  <c r="I38" i="4"/>
  <c r="H38" i="4"/>
  <c r="H5" i="4"/>
  <c r="H104" i="4"/>
  <c r="H95" i="4"/>
  <c r="H78" i="4"/>
  <c r="H60" i="4"/>
  <c r="H40" i="4"/>
  <c r="H16" i="4"/>
  <c r="I67" i="4"/>
  <c r="H67" i="4"/>
  <c r="H49" i="4"/>
  <c r="I84" i="4"/>
  <c r="H84" i="4"/>
  <c r="I48" i="4"/>
  <c r="H48" i="4"/>
  <c r="H111" i="4"/>
  <c r="H102" i="4"/>
  <c r="H92" i="4"/>
  <c r="H77" i="4"/>
  <c r="H59" i="4"/>
  <c r="H39" i="4"/>
  <c r="H15" i="4"/>
  <c r="H27" i="4"/>
  <c r="I75" i="4"/>
  <c r="H75" i="4"/>
  <c r="I26" i="4"/>
  <c r="H26" i="4"/>
  <c r="H110" i="4"/>
  <c r="H101" i="4"/>
  <c r="I109" i="4"/>
  <c r="I91" i="4"/>
  <c r="I74" i="4"/>
  <c r="I56" i="4"/>
  <c r="I36" i="4"/>
  <c r="I76" i="4"/>
  <c r="H76" i="4"/>
  <c r="I58" i="4"/>
  <c r="H58" i="4"/>
  <c r="I57" i="4"/>
  <c r="H57" i="4"/>
  <c r="I90" i="4"/>
  <c r="I72" i="4"/>
  <c r="I54" i="4"/>
  <c r="I35" i="4"/>
  <c r="I55" i="4"/>
</calcChain>
</file>

<file path=xl/sharedStrings.xml><?xml version="1.0" encoding="utf-8"?>
<sst xmlns="http://schemas.openxmlformats.org/spreadsheetml/2006/main" count="590" uniqueCount="117">
  <si>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</si>
  <si>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</si>
  <si>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</si>
  <si>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</si>
  <si>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</si>
  <si>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</si>
  <si>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</si>
  <si>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</si>
  <si>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</si>
  <si>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</si>
  <si>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</si>
  <si>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</si>
  <si>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</si>
  <si>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</si>
  <si>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</si>
  <si>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</si>
  <si>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</si>
  <si>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</si>
  <si>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</si>
  <si>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</si>
  <si>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</si>
  <si>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</si>
  <si>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</si>
  <si>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</si>
  <si>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</si>
  <si>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</si>
  <si>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</si>
  <si>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</si>
  <si>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</si>
  <si>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</si>
  <si>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</si>
  <si>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</si>
  <si>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</si>
  <si>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</si>
  <si>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</si>
  <si>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</si>
  <si>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</si>
  <si>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LES - Q1 </t>
  </si>
  <si>
    <t>Quantity of Lesson Exemplar Sheets Received (Quantity received x No. of LES) - Q1</t>
  </si>
  <si>
    <t>Year of Delivery-LES - Q1</t>
  </si>
  <si>
    <t>SOURCE - LES (CO,RO, SDO) - Q1</t>
  </si>
  <si>
    <t>GAP - LES - Q1</t>
  </si>
  <si>
    <t>SURPLUS - LES - Q1</t>
  </si>
  <si>
    <t>Quantity based on Target LES - Q2</t>
  </si>
  <si>
    <t>Quantity of Lesson Exemplar Sheets Received (Quantity received x No. of LES) Q2</t>
  </si>
  <si>
    <t>Year of Delivery-LES Q2</t>
  </si>
  <si>
    <t>SOURCE-LES (CO,RO, SDO) Q2</t>
  </si>
  <si>
    <t>GAP - LES -Q2</t>
  </si>
  <si>
    <t>SURPLUS - LES -Q2</t>
  </si>
  <si>
    <t>Quantity based on Target LES - Q3</t>
  </si>
  <si>
    <t>Quantity of Lesson Exemplar Sheets Received (Quantity received x No. of LES) - Q3</t>
  </si>
  <si>
    <t>Year of Delivery-LES - Q3</t>
  </si>
  <si>
    <t>SOURCE-LES (CO,RO, SDO) - Q3</t>
  </si>
  <si>
    <t>GAP - LES - Q3</t>
  </si>
  <si>
    <t>SURPLUS - LES - Q3</t>
  </si>
  <si>
    <t>Quantity based on Target LES - Q4</t>
  </si>
  <si>
    <t>Quantity of Lesson Exemplar Sheets Received (Quantity received x No. of LES)- Q4</t>
  </si>
  <si>
    <t>Year of Delivery - LES - Q4</t>
  </si>
  <si>
    <t>SOURCE - LES (CO,RO, SDO) - Q4</t>
  </si>
  <si>
    <t>GAP - LAS - Q4</t>
  </si>
  <si>
    <t>SURPLUS - LES - Q4</t>
  </si>
  <si>
    <t>KINDER</t>
  </si>
  <si>
    <t>MAPEH</t>
  </si>
  <si>
    <t>E.S.P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</si>
  <si>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</si>
  <si>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</si>
  <si>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</si>
  <si>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</si>
  <si>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</si>
  <si>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</si>
  <si>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</si>
  <si>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</si>
  <si>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</si>
  <si>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</si>
  <si>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</si>
  <si>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</si>
  <si>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</si>
  <si>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</si>
  <si>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</si>
  <si>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</si>
  <si>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</si>
  <si>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</si>
  <si>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</si>
  <si>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</si>
  <si>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</si>
  <si>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</si>
  <si>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SURPLUS - LAS - Q4</t>
  </si>
  <si>
    <t>ESP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</si>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</sst>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B71B776-6A7C-4A99-B4F8-4C87D07E4803}" name="Table16" displayName="Table16" ref="A2:AA128" totalsRowShown="0" dataDxfId="89" headerRowBorderDxfId="87" tableBorderDxfId="88">
  <autoFilter ref="A2:AA128" xr:uid="{D7C37D80-F2E1-4395-8B6C-0FD477B4D8F8}"/>
  <tableColumns count="27">
    <tableColumn id="1" xr3:uid="{B0DD13BA-6D7A-4916-A454-AFA9CFFF6DF9}" name="Grade Level" dataDxfId="86"/>
    <tableColumn id="2" xr3:uid="{04BC8343-EDE7-45B8-8445-398FC2D2A28F}" name="SUBJECTS" dataDxfId="85"/>
    <tableColumn id="3" xr3:uid="{25190AA2-499C-44D5-BD79-D6E7762469F0}" name="Enrolment S.Y. 2025-2026 " dataDxfId="84"/>
    <tableColumn id="4" xr3:uid="{A5096B4A-62DD-4C58-A2D7-F7EAA53D8EA8}" name="Quantity based on Target LES - Q1 " dataDxfId="83">
      <calculatedColumnFormula>Table16[[#This Row],[Enrolment S.Y. 2025-2026 ]]*8</calculatedColumnFormula>
    </tableColumn>
    <tableColumn id="5" xr3:uid="{3DBD5880-24E7-4362-855F-3B4B62378B76}" name="Quantity of Lesson Exemplar Sheets Received (Quantity received x No. of LES) - Q1" dataDxfId="82"/>
    <tableColumn id="6" xr3:uid="{902ABC58-7B62-4F40-94FF-29B289A70A0F}" name="Year of Delivery-LES - Q1" dataDxfId="81"/>
    <tableColumn id="7" xr3:uid="{624DB406-3838-4466-BBA9-1C5B1DF46EA2}" name="SOURCE - LES (CO,RO, SDO) - Q1" dataDxfId="80"/>
    <tableColumn id="8" xr3:uid="{F1F03002-70A6-401E-BAA9-14506E3B1032}" name="GAP - LES - Q1" dataDxfId="79">
      <calculatedColumnFormula>IF((D3-E3)&lt;0,0,(D3-E3))</calculatedColumnFormula>
    </tableColumn>
    <tableColumn id="9" xr3:uid="{677A30A1-9385-40E5-AECB-0AE50305C305}" name="SURPLUS - LES - Q1" dataDxfId="78">
      <calculatedColumnFormula>IF((E3-D3)&lt;0,0,(E3-D3))</calculatedColumnFormula>
    </tableColumn>
    <tableColumn id="10" xr3:uid="{289261DE-BA1E-41CC-A35A-DFAFA328252A}" name="Quantity based on Target LES - Q2" dataDxfId="77">
      <calculatedColumnFormula>Table16[[#This Row],[Enrolment S.Y. 2025-2026 ]]*8</calculatedColumnFormula>
    </tableColumn>
    <tableColumn id="11" xr3:uid="{D5F60721-2127-4951-92CA-8915C191D8F6}" name="Quantity of Lesson Exemplar Sheets Received (Quantity received x No. of LES) Q2" dataDxfId="76"/>
    <tableColumn id="12" xr3:uid="{BC6E4B13-FF42-4E42-8AF4-5A5EAC7CE744}" name="Year of Delivery-LES Q2" dataDxfId="75"/>
    <tableColumn id="13" xr3:uid="{67B41E28-2782-4E98-B3F9-7D675442DC0F}" name="SOURCE-LES (CO,RO, SDO) Q2" dataDxfId="74"/>
    <tableColumn id="14" xr3:uid="{233AC453-5EB1-4613-AF3F-14A4A1C2EA4A}" name="GAP - LES -Q2" dataDxfId="73"/>
    <tableColumn id="15" xr3:uid="{05CA942B-D774-4770-A046-3BFDD26E2A6D}" name="SURPLUS - LES -Q2" dataDxfId="72"/>
    <tableColumn id="16" xr3:uid="{BD28F73C-1AE3-434D-A712-E0405E9C7E05}" name="Quantity based on Target LES - Q3" dataDxfId="71">
      <calculatedColumnFormula>#REF!*8</calculatedColumnFormula>
    </tableColumn>
    <tableColumn id="17" xr3:uid="{B7174A85-4B6E-4E6C-A895-4CFA45D66768}" name="Quantity of Lesson Exemplar Sheets Received (Quantity received x No. of LES) - Q3" dataDxfId="70"/>
    <tableColumn id="18" xr3:uid="{1BC0D3A9-1708-4FE3-94A7-ADD6F3B493E7}" name="Year of Delivery-LES - Q3" dataDxfId="69"/>
    <tableColumn id="19" xr3:uid="{B398E30A-0A44-47D6-A159-C7E55BF63FF6}" name="SOURCE-LES (CO,RO, SDO) - Q3" dataDxfId="68"/>
    <tableColumn id="20" xr3:uid="{BA1392EB-1953-4DB9-979C-3B7BA53D5B6A}" name="GAP - LES - Q3" dataDxfId="67">
      <calculatedColumnFormula>IF((P3-Q3)&lt;0,0,(P3-Q3))</calculatedColumnFormula>
    </tableColumn>
    <tableColumn id="21" xr3:uid="{36B47F45-9AE8-4E33-B791-5CF9DD69ACFC}" name="SURPLUS - LES - Q3" dataDxfId="66">
      <calculatedColumnFormula>IF((Q3-P3)&lt;0,0,(Q3-P3))</calculatedColumnFormula>
    </tableColumn>
    <tableColumn id="22" xr3:uid="{CD08CDC9-AF8A-49CD-9B00-ABE137316DE5}" name="Quantity based on Target LES - Q4" dataDxfId="65">
      <calculatedColumnFormula>Table16[[#This Row],[Enrolment S.Y. 2025-2026 ]]*8</calculatedColumnFormula>
    </tableColumn>
    <tableColumn id="23" xr3:uid="{2C8DDB11-334C-420D-A9A8-09388B226868}" name="Quantity of Lesson Exemplar Sheets Received (Quantity received x No. of LES)- Q4" dataDxfId="64"/>
    <tableColumn id="24" xr3:uid="{151AA59E-7E2F-4D20-BE54-8AC00BFF9BA5}" name="Year of Delivery - LES - Q4" dataDxfId="63"/>
    <tableColumn id="25" xr3:uid="{0DC79F41-A595-42A0-8CC8-E75875C6762F}" name="SOURCE - LES (CO,RO, SDO) - Q4" dataDxfId="62"/>
    <tableColumn id="26" xr3:uid="{2BBF0529-887F-45A0-9B54-7FC4E5E21D8B}" name="GAP - LAS - Q4" dataDxfId="61">
      <calculatedColumnFormula>IF((V3-W3)&lt;0,0,(V3-W3))</calculatedColumnFormula>
    </tableColumn>
    <tableColumn id="27" xr3:uid="{C5677B7D-B495-44CB-B760-8291F4770E0E}" name="SURPLUS - LE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8" totalsRowShown="0" dataDxfId="59" headerRowBorderDxfId="57" tableBorderDxfId="58">
  <autoFilter ref="A2:AA12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J36" activePane="topRight" state="frozen"/>
      <selection pane="topRight" activeCell="J36" sqref="J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172</v>
      </c>
      <c r="D2" s="1">
        <v>600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428</v>
      </c>
    </row>
    <row r="3" spans="1:8" ht="29.25" customHeight="1">
      <c r="A3" s="1">
        <v>1</v>
      </c>
      <c r="B3" s="2" t="s">
        <v>10</v>
      </c>
      <c r="C3" s="1">
        <v>172</v>
      </c>
      <c r="D3" s="1">
        <v>600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428</v>
      </c>
    </row>
    <row r="4" spans="1:8" ht="21" customHeight="1">
      <c r="A4" s="1">
        <v>1</v>
      </c>
      <c r="B4" s="2" t="s">
        <v>11</v>
      </c>
      <c r="C4" s="1">
        <v>172</v>
      </c>
      <c r="D4" s="1">
        <v>600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428</v>
      </c>
    </row>
    <row r="5" spans="1:8" ht="25.5" customHeight="1">
      <c r="A5" s="1">
        <v>1</v>
      </c>
      <c r="B5" s="2" t="s">
        <v>12</v>
      </c>
      <c r="C5" s="1">
        <v>172</v>
      </c>
      <c r="D5" s="1">
        <v>600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428</v>
      </c>
    </row>
    <row r="6" spans="1:8" ht="19.5">
      <c r="A6" s="1">
        <v>1</v>
      </c>
      <c r="B6" s="2" t="s">
        <v>13</v>
      </c>
      <c r="C6" s="1">
        <v>172</v>
      </c>
      <c r="D6" s="1"/>
      <c r="E6" s="1"/>
      <c r="F6" s="5"/>
      <c r="G6" s="3">
        <f t="shared" si="0"/>
        <v>172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207</v>
      </c>
      <c r="D8" s="1"/>
      <c r="E8" s="1"/>
      <c r="F8" s="5"/>
      <c r="G8" s="3">
        <f>IF((C8-D8)&lt;0,0,C8-D8)</f>
        <v>207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207</v>
      </c>
      <c r="D9" s="1"/>
      <c r="E9" s="1"/>
      <c r="F9" s="5"/>
      <c r="G9" s="3">
        <f>IF((C9-D9)&lt;0,0,C9-D9)</f>
        <v>207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207</v>
      </c>
      <c r="D10" s="1"/>
      <c r="E10" s="1"/>
      <c r="F10" s="5"/>
      <c r="G10" s="3">
        <f>IF((C10-D10)&lt;0,0,C10-D10)</f>
        <v>207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207</v>
      </c>
      <c r="D11" s="1"/>
      <c r="E11" s="1"/>
      <c r="F11" s="5"/>
      <c r="G11" s="3">
        <f>IF((C11-D11)&lt;0,0,C11-D11)</f>
        <v>207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207</v>
      </c>
      <c r="D12" s="1"/>
      <c r="E12" s="1"/>
      <c r="F12" s="5"/>
      <c r="G12" s="3">
        <f>IF((C12-D12)&lt;0,0,C12-D12)</f>
        <v>207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237</v>
      </c>
      <c r="D14" s="1"/>
      <c r="E14" s="1"/>
      <c r="F14" s="5"/>
      <c r="G14" s="3">
        <f t="shared" ref="G14:G19" si="2">IF((C14-D14)&lt;0,0,C14-D14)</f>
        <v>237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237</v>
      </c>
      <c r="D15" s="1"/>
      <c r="E15" s="1"/>
      <c r="F15" s="5"/>
      <c r="G15" s="3">
        <f t="shared" si="2"/>
        <v>237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237</v>
      </c>
      <c r="D16" s="1"/>
      <c r="E16" s="1"/>
      <c r="F16" s="5"/>
      <c r="G16" s="3">
        <f t="shared" si="2"/>
        <v>237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237</v>
      </c>
      <c r="D17" s="1"/>
      <c r="E17" s="1"/>
      <c r="F17" s="5"/>
      <c r="G17" s="3">
        <f t="shared" si="2"/>
        <v>237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237</v>
      </c>
      <c r="D18" s="1"/>
      <c r="E18" s="1"/>
      <c r="F18" s="5"/>
      <c r="G18" s="3">
        <f t="shared" si="2"/>
        <v>237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237</v>
      </c>
      <c r="D19" s="1"/>
      <c r="E19" s="1"/>
      <c r="F19" s="5"/>
      <c r="G19" s="3">
        <f t="shared" si="2"/>
        <v>237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269</v>
      </c>
      <c r="D21" s="1"/>
      <c r="E21" s="1">
        <v>2024</v>
      </c>
      <c r="F21" s="5"/>
      <c r="G21" s="3">
        <f t="shared" ref="G21:G29" si="4">IF((C21-D21)&lt;0,0,C21-D21)</f>
        <v>269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269</v>
      </c>
      <c r="D22" s="1">
        <v>300</v>
      </c>
      <c r="E22" s="1">
        <v>2025</v>
      </c>
      <c r="F22" s="5" t="s">
        <v>9</v>
      </c>
      <c r="G22" s="3">
        <f t="shared" si="4"/>
        <v>0</v>
      </c>
      <c r="H22" s="4">
        <f t="shared" si="5"/>
        <v>31</v>
      </c>
    </row>
    <row r="23" spans="1:8" ht="19.5">
      <c r="A23" s="1">
        <v>4</v>
      </c>
      <c r="B23" s="9" t="s">
        <v>13</v>
      </c>
      <c r="C23" s="1">
        <v>269</v>
      </c>
      <c r="D23" s="1">
        <v>298</v>
      </c>
      <c r="E23" s="1">
        <v>2024</v>
      </c>
      <c r="F23" s="5" t="s">
        <v>9</v>
      </c>
      <c r="G23" s="3">
        <f t="shared" si="4"/>
        <v>0</v>
      </c>
      <c r="H23" s="4">
        <f t="shared" si="5"/>
        <v>29</v>
      </c>
    </row>
    <row r="24" spans="1:8" ht="27" customHeight="1">
      <c r="A24" s="1">
        <v>4</v>
      </c>
      <c r="B24" s="9" t="s">
        <v>11</v>
      </c>
      <c r="C24" s="1">
        <v>269</v>
      </c>
      <c r="D24" s="1">
        <v>352</v>
      </c>
      <c r="E24" s="1">
        <v>2024</v>
      </c>
      <c r="F24" s="5" t="s">
        <v>9</v>
      </c>
      <c r="G24" s="3">
        <f t="shared" si="4"/>
        <v>0</v>
      </c>
      <c r="H24" s="4">
        <f t="shared" si="5"/>
        <v>83</v>
      </c>
    </row>
    <row r="25" spans="1:8" ht="33.75" customHeight="1">
      <c r="A25" s="1">
        <v>4</v>
      </c>
      <c r="B25" s="9" t="s">
        <v>17</v>
      </c>
      <c r="C25" s="1">
        <v>269</v>
      </c>
      <c r="D25" s="1">
        <v>298</v>
      </c>
      <c r="E25" s="1">
        <v>2024</v>
      </c>
      <c r="F25" s="5" t="s">
        <v>9</v>
      </c>
      <c r="G25" s="3">
        <f t="shared" si="4"/>
        <v>0</v>
      </c>
      <c r="H25" s="4">
        <f t="shared" si="5"/>
        <v>29</v>
      </c>
    </row>
    <row r="26" spans="1:8" ht="33.75" customHeight="1">
      <c r="A26" s="1">
        <v>4</v>
      </c>
      <c r="B26" s="9" t="s">
        <v>14</v>
      </c>
      <c r="C26" s="1">
        <v>269</v>
      </c>
      <c r="D26" s="1">
        <v>298</v>
      </c>
      <c r="E26" s="1">
        <v>2024</v>
      </c>
      <c r="F26" s="5" t="s">
        <v>9</v>
      </c>
      <c r="G26" s="3">
        <f t="shared" si="4"/>
        <v>0</v>
      </c>
      <c r="H26" s="4">
        <f t="shared" si="5"/>
        <v>29</v>
      </c>
    </row>
    <row r="27" spans="1:8" ht="33.75" customHeight="1">
      <c r="A27" s="1">
        <v>4</v>
      </c>
      <c r="B27" s="9" t="s">
        <v>18</v>
      </c>
      <c r="C27" s="1">
        <v>269</v>
      </c>
      <c r="D27" s="1">
        <v>233</v>
      </c>
      <c r="E27" s="1">
        <v>2024</v>
      </c>
      <c r="F27" s="5" t="s">
        <v>9</v>
      </c>
      <c r="G27" s="3">
        <f t="shared" si="4"/>
        <v>36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269</v>
      </c>
      <c r="D28" s="1"/>
      <c r="E28" s="1"/>
      <c r="F28" s="5"/>
      <c r="G28" s="3">
        <f t="shared" si="4"/>
        <v>269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269</v>
      </c>
      <c r="D29" s="1"/>
      <c r="E29" s="1"/>
      <c r="F29" s="5"/>
      <c r="G29" s="3">
        <f t="shared" si="4"/>
        <v>269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241</v>
      </c>
      <c r="D31" s="1">
        <v>300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59</v>
      </c>
    </row>
    <row r="32" spans="1:8" ht="27.75" customHeight="1">
      <c r="A32" s="1">
        <v>5</v>
      </c>
      <c r="B32" s="9" t="s">
        <v>16</v>
      </c>
      <c r="C32" s="1">
        <v>241</v>
      </c>
      <c r="D32" s="1"/>
      <c r="E32" s="1"/>
      <c r="F32" s="5"/>
      <c r="G32" s="3">
        <f t="shared" si="6"/>
        <v>241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241</v>
      </c>
      <c r="D33" s="1"/>
      <c r="E33" s="1"/>
      <c r="F33" s="5"/>
      <c r="G33" s="3">
        <f t="shared" si="6"/>
        <v>241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241</v>
      </c>
      <c r="D34" s="1"/>
      <c r="E34" s="1"/>
      <c r="F34" s="5"/>
      <c r="G34" s="3">
        <f t="shared" si="6"/>
        <v>241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241</v>
      </c>
      <c r="D35" s="1">
        <v>279</v>
      </c>
      <c r="E35" s="1">
        <v>2025</v>
      </c>
      <c r="F35" s="5" t="s">
        <v>9</v>
      </c>
      <c r="G35" s="3">
        <f t="shared" si="6"/>
        <v>0</v>
      </c>
      <c r="H35" s="4">
        <f t="shared" si="7"/>
        <v>38</v>
      </c>
    </row>
    <row r="36" spans="1:8" ht="27.75" customHeight="1">
      <c r="A36" s="1">
        <v>5</v>
      </c>
      <c r="B36" s="9" t="s">
        <v>14</v>
      </c>
      <c r="C36" s="1">
        <v>241</v>
      </c>
      <c r="D36" s="1">
        <v>300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59</v>
      </c>
    </row>
    <row r="37" spans="1:8" ht="27.75" customHeight="1">
      <c r="A37" s="1">
        <v>5</v>
      </c>
      <c r="B37" s="9" t="s">
        <v>18</v>
      </c>
      <c r="C37" s="1">
        <v>241</v>
      </c>
      <c r="D37" s="1">
        <v>300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59</v>
      </c>
    </row>
    <row r="38" spans="1:8" ht="27.75" customHeight="1">
      <c r="A38" s="1">
        <v>5</v>
      </c>
      <c r="B38" s="9" t="s">
        <v>19</v>
      </c>
      <c r="C38" s="1">
        <v>241</v>
      </c>
      <c r="D38" s="1"/>
      <c r="E38" s="1"/>
      <c r="F38" s="5"/>
      <c r="G38" s="3">
        <f t="shared" si="6"/>
        <v>241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241</v>
      </c>
      <c r="D39" s="1"/>
      <c r="E39" s="1"/>
      <c r="F39" s="5"/>
      <c r="G39" s="3">
        <f t="shared" si="6"/>
        <v>241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245</v>
      </c>
      <c r="D41" s="1"/>
      <c r="E41" s="1"/>
      <c r="F41" s="5"/>
      <c r="G41" s="3">
        <f t="shared" ref="G41:G49" si="8">IF((C41-D41)&lt;0,0,C41-D41)</f>
        <v>245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245</v>
      </c>
      <c r="D42" s="1"/>
      <c r="E42" s="1"/>
      <c r="F42" s="5"/>
      <c r="G42" s="3">
        <f t="shared" si="8"/>
        <v>245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245</v>
      </c>
      <c r="D43" s="1"/>
      <c r="E43" s="1"/>
      <c r="F43" s="5"/>
      <c r="G43" s="3">
        <f t="shared" si="8"/>
        <v>245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245</v>
      </c>
      <c r="D44" s="1"/>
      <c r="E44" s="1"/>
      <c r="F44" s="5"/>
      <c r="G44" s="3">
        <f t="shared" si="8"/>
        <v>245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245</v>
      </c>
      <c r="D45" s="1"/>
      <c r="E45" s="1"/>
      <c r="F45" s="5"/>
      <c r="G45" s="3">
        <f t="shared" si="8"/>
        <v>245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245</v>
      </c>
      <c r="D46" s="1"/>
      <c r="E46" s="1"/>
      <c r="F46" s="5"/>
      <c r="G46" s="3">
        <f t="shared" si="8"/>
        <v>245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245</v>
      </c>
      <c r="D47" s="1"/>
      <c r="E47" s="1"/>
      <c r="F47" s="5"/>
      <c r="G47" s="3">
        <f t="shared" si="8"/>
        <v>245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245</v>
      </c>
      <c r="D48" s="1"/>
      <c r="E48" s="1"/>
      <c r="F48" s="5"/>
      <c r="G48" s="3">
        <f t="shared" si="8"/>
        <v>245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245</v>
      </c>
      <c r="D49" s="1"/>
      <c r="E49" s="1"/>
      <c r="F49" s="5"/>
      <c r="G49" s="3">
        <f t="shared" si="8"/>
        <v>245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1FBC4-04CB-4AA5-8193-3EE74C43F43D}">
  <dimension ref="A1:AA158"/>
  <sheetViews>
    <sheetView zoomScale="70" zoomScaleNormal="70" workbookViewId="0">
      <pane xSplit="2" ySplit="4" topLeftCell="D39" activePane="bottomRight" state="frozen"/>
      <selection pane="bottomRight" activeCell="F41" sqref="F41"/>
      <selection pane="bottomLeft"/>
      <selection pane="topRight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217</v>
      </c>
      <c r="D3" s="34">
        <f>Table16[[#This Row],[Enrolment S.Y. 2025-2026 ]]*8</f>
        <v>1736</v>
      </c>
      <c r="E3" s="34">
        <v>12</v>
      </c>
      <c r="F3" s="32"/>
      <c r="G3" s="34"/>
      <c r="H3" s="34">
        <f>IF((D3-E3)&lt;0,0,(D3-E3))</f>
        <v>1724</v>
      </c>
      <c r="I3" s="34">
        <f>IF((E3-D3)&lt;0,0,(E3-D3))</f>
        <v>0</v>
      </c>
      <c r="J3" s="34">
        <f>Table16[[#This Row],[Enrolment S.Y. 2025-2026 ]]*8</f>
        <v>1736</v>
      </c>
      <c r="K3" s="34"/>
      <c r="L3" s="32"/>
      <c r="M3" s="34"/>
      <c r="N3" s="5">
        <f t="shared" ref="N3" si="0">IF((J3-K3)&lt;0,0,(J3-K3))</f>
        <v>1736</v>
      </c>
      <c r="O3" s="5">
        <f t="shared" ref="O3" si="1">IF((K3-J3)&lt;0,0,(K3-J3))</f>
        <v>0</v>
      </c>
      <c r="P3" s="5">
        <f>Table16[[#This Row],[Enrolment S.Y. 2025-2026 ]]*8</f>
        <v>1736</v>
      </c>
      <c r="Q3" s="34"/>
      <c r="R3" s="32"/>
      <c r="S3" s="34"/>
      <c r="T3" s="34">
        <f>IF((P3-Q3)&lt;0,0,(P3-Q3))</f>
        <v>1736</v>
      </c>
      <c r="U3" s="34">
        <f>IF((Q3-P3)&lt;0,0,(Q3-P3))</f>
        <v>0</v>
      </c>
      <c r="V3" s="34">
        <f>Table16[[#This Row],[Enrolment S.Y. 2025-2026 ]]*8</f>
        <v>1736</v>
      </c>
      <c r="W3" s="34"/>
      <c r="X3" s="32"/>
      <c r="Y3" s="34"/>
      <c r="Z3" s="34">
        <f>IF((V3-W3)&lt;0,0,(V3-W3))</f>
        <v>1736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 customHeight="1">
      <c r="A5" s="1">
        <v>1</v>
      </c>
      <c r="B5" s="2" t="s">
        <v>8</v>
      </c>
      <c r="C5" s="1">
        <v>172</v>
      </c>
      <c r="D5" s="5">
        <f>Table16[[#This Row],[Enrolment S.Y. 2025-2026 ]]*8</f>
        <v>1376</v>
      </c>
      <c r="E5" s="5">
        <v>41</v>
      </c>
      <c r="F5" s="1">
        <v>2024</v>
      </c>
      <c r="G5" s="5"/>
      <c r="H5" s="5">
        <f t="shared" ref="H5:H78" si="2">IF((D5-E5)&lt;0,0,(D5-E5))</f>
        <v>1335</v>
      </c>
      <c r="I5" s="5">
        <f t="shared" ref="I5:I78" si="3">IF((E5-D5)&lt;0,0,(E5-D5))</f>
        <v>0</v>
      </c>
      <c r="J5" s="5">
        <f>Table16[[#This Row],[Enrolment S.Y. 2025-2026 ]]*8</f>
        <v>1376</v>
      </c>
      <c r="K5" s="5"/>
      <c r="L5" s="1"/>
      <c r="M5" s="5"/>
      <c r="N5" s="5">
        <f t="shared" ref="N5:N69" si="4">IF((J5-K5)&lt;0,0,(J5-K5))</f>
        <v>1376</v>
      </c>
      <c r="O5" s="5">
        <f t="shared" ref="O5:O69" si="5">IF((K5-J5)&lt;0,0,(K5-J5))</f>
        <v>0</v>
      </c>
      <c r="P5" s="5">
        <f>Table16[[#This Row],[Enrolment S.Y. 2025-2026 ]]*8</f>
        <v>1376</v>
      </c>
      <c r="Q5" s="5"/>
      <c r="R5" s="1"/>
      <c r="S5" s="5"/>
      <c r="T5" s="5">
        <f t="shared" ref="T5:T69" si="6">IF((P5-Q5)&lt;0,0,(P5-Q5))</f>
        <v>1376</v>
      </c>
      <c r="U5" s="5">
        <f t="shared" ref="U5:U69" si="7">IF((Q5-P5)&lt;0,0,(Q5-P5))</f>
        <v>0</v>
      </c>
      <c r="V5" s="5">
        <f>Table16[[#This Row],[Enrolment S.Y. 2025-2026 ]]*8</f>
        <v>1376</v>
      </c>
      <c r="W5" s="5"/>
      <c r="X5" s="1"/>
      <c r="Y5" s="5"/>
      <c r="Z5" s="5">
        <f t="shared" ref="Z5:Z69" si="8">IF((V5-W5)&lt;0,0,(V5-W5))</f>
        <v>1376</v>
      </c>
      <c r="AA5" s="5">
        <f t="shared" ref="AA5:AA69" si="9">IF((W5-V5)&lt;0,0,(W5-V5))</f>
        <v>0</v>
      </c>
    </row>
    <row r="6" spans="1:27" ht="19.5">
      <c r="A6" s="1">
        <v>1</v>
      </c>
      <c r="B6" s="2" t="s">
        <v>10</v>
      </c>
      <c r="C6" s="1">
        <v>172</v>
      </c>
      <c r="D6" s="5">
        <f>Table16[[#This Row],[Enrolment S.Y. 2025-2026 ]]*8</f>
        <v>1376</v>
      </c>
      <c r="E6" s="5"/>
      <c r="F6" s="1"/>
      <c r="G6" s="5"/>
      <c r="H6" s="5">
        <f t="shared" si="2"/>
        <v>1376</v>
      </c>
      <c r="I6" s="5">
        <f t="shared" si="3"/>
        <v>0</v>
      </c>
      <c r="J6" s="5">
        <f>Table16[[#This Row],[Enrolment S.Y. 2025-2026 ]]*8</f>
        <v>1376</v>
      </c>
      <c r="K6" s="5"/>
      <c r="L6" s="1"/>
      <c r="M6" s="5"/>
      <c r="N6" s="5">
        <f t="shared" si="4"/>
        <v>1376</v>
      </c>
      <c r="O6" s="5">
        <f t="shared" si="5"/>
        <v>0</v>
      </c>
      <c r="P6" s="5">
        <f>Table16[[#This Row],[Enrolment S.Y. 2025-2026 ]]*8</f>
        <v>1376</v>
      </c>
      <c r="Q6" s="5"/>
      <c r="R6" s="1"/>
      <c r="S6" s="5"/>
      <c r="T6" s="5">
        <f t="shared" si="6"/>
        <v>1376</v>
      </c>
      <c r="U6" s="5">
        <f t="shared" si="7"/>
        <v>0</v>
      </c>
      <c r="V6" s="5">
        <f>Table16[[#This Row],[Enrolment S.Y. 2025-2026 ]]*8</f>
        <v>1376</v>
      </c>
      <c r="W6" s="5"/>
      <c r="X6" s="1"/>
      <c r="Y6" s="5"/>
      <c r="Z6" s="5">
        <f t="shared" si="8"/>
        <v>1376</v>
      </c>
      <c r="AA6" s="5">
        <f t="shared" si="9"/>
        <v>0</v>
      </c>
    </row>
    <row r="7" spans="1:27" ht="19.5">
      <c r="A7" s="1">
        <v>1</v>
      </c>
      <c r="B7" s="2" t="s">
        <v>11</v>
      </c>
      <c r="C7" s="1">
        <v>172</v>
      </c>
      <c r="D7" s="5">
        <f>Table16[[#This Row],[Enrolment S.Y. 2025-2026 ]]*8</f>
        <v>1376</v>
      </c>
      <c r="E7" s="5">
        <v>41</v>
      </c>
      <c r="F7" s="1">
        <v>2024</v>
      </c>
      <c r="G7" s="5"/>
      <c r="H7" s="5">
        <f t="shared" si="2"/>
        <v>1335</v>
      </c>
      <c r="I7" s="5">
        <f t="shared" si="3"/>
        <v>0</v>
      </c>
      <c r="J7" s="5">
        <f>Table16[[#This Row],[Enrolment S.Y. 2025-2026 ]]*8</f>
        <v>1376</v>
      </c>
      <c r="K7" s="5"/>
      <c r="L7" s="1"/>
      <c r="M7" s="5"/>
      <c r="N7" s="5">
        <f t="shared" si="4"/>
        <v>1376</v>
      </c>
      <c r="O7" s="5">
        <f t="shared" si="5"/>
        <v>0</v>
      </c>
      <c r="P7" s="5">
        <f>Table16[[#This Row],[Enrolment S.Y. 2025-2026 ]]*8</f>
        <v>1376</v>
      </c>
      <c r="Q7" s="5"/>
      <c r="R7" s="1"/>
      <c r="S7" s="5"/>
      <c r="T7" s="5">
        <f t="shared" si="6"/>
        <v>1376</v>
      </c>
      <c r="U7" s="5">
        <f t="shared" si="7"/>
        <v>0</v>
      </c>
      <c r="V7" s="5">
        <f>Table16[[#This Row],[Enrolment S.Y. 2025-2026 ]]*8</f>
        <v>1376</v>
      </c>
      <c r="W7" s="5"/>
      <c r="X7" s="1"/>
      <c r="Y7" s="5"/>
      <c r="Z7" s="5">
        <f t="shared" si="8"/>
        <v>1376</v>
      </c>
      <c r="AA7" s="5">
        <f t="shared" si="9"/>
        <v>0</v>
      </c>
    </row>
    <row r="8" spans="1:27" ht="19.5">
      <c r="A8" s="1">
        <v>1</v>
      </c>
      <c r="B8" s="2" t="s">
        <v>12</v>
      </c>
      <c r="C8" s="1">
        <v>172</v>
      </c>
      <c r="D8" s="5">
        <f>Table16[[#This Row],[Enrolment S.Y. 2025-2026 ]]*8</f>
        <v>1376</v>
      </c>
      <c r="E8" s="5">
        <v>41</v>
      </c>
      <c r="F8" s="1">
        <v>2024</v>
      </c>
      <c r="G8" s="5"/>
      <c r="H8" s="5">
        <f t="shared" si="2"/>
        <v>1335</v>
      </c>
      <c r="I8" s="5">
        <f t="shared" si="3"/>
        <v>0</v>
      </c>
      <c r="J8" s="5">
        <f>Table16[[#This Row],[Enrolment S.Y. 2025-2026 ]]*8</f>
        <v>1376</v>
      </c>
      <c r="K8" s="5"/>
      <c r="L8" s="1"/>
      <c r="M8" s="5"/>
      <c r="N8" s="5">
        <f t="shared" si="4"/>
        <v>1376</v>
      </c>
      <c r="O8" s="5">
        <f t="shared" si="5"/>
        <v>0</v>
      </c>
      <c r="P8" s="5">
        <f>Table16[[#This Row],[Enrolment S.Y. 2025-2026 ]]*8</f>
        <v>1376</v>
      </c>
      <c r="Q8" s="5"/>
      <c r="R8" s="1"/>
      <c r="S8" s="5"/>
      <c r="T8" s="5">
        <f t="shared" si="6"/>
        <v>1376</v>
      </c>
      <c r="U8" s="5">
        <f t="shared" si="7"/>
        <v>0</v>
      </c>
      <c r="V8" s="5">
        <f>Table16[[#This Row],[Enrolment S.Y. 2025-2026 ]]*8</f>
        <v>1376</v>
      </c>
      <c r="W8" s="5"/>
      <c r="X8" s="1"/>
      <c r="Y8" s="5"/>
      <c r="Z8" s="5">
        <f t="shared" si="8"/>
        <v>1376</v>
      </c>
      <c r="AA8" s="5">
        <f t="shared" si="9"/>
        <v>0</v>
      </c>
    </row>
    <row r="9" spans="1:27" ht="19.5">
      <c r="A9" s="1">
        <v>1</v>
      </c>
      <c r="B9" s="2" t="s">
        <v>13</v>
      </c>
      <c r="C9" s="1">
        <v>172</v>
      </c>
      <c r="D9" s="5">
        <f>Table16[[#This Row],[Enrolment S.Y. 2025-2026 ]]*8</f>
        <v>1376</v>
      </c>
      <c r="E9" s="5">
        <v>41</v>
      </c>
      <c r="F9" s="1">
        <v>2024</v>
      </c>
      <c r="G9" s="5"/>
      <c r="H9" s="5">
        <f t="shared" si="2"/>
        <v>1335</v>
      </c>
      <c r="I9" s="5">
        <f t="shared" si="3"/>
        <v>0</v>
      </c>
      <c r="J9" s="5">
        <f>Table16[[#This Row],[Enrolment S.Y. 2025-2026 ]]*8</f>
        <v>1376</v>
      </c>
      <c r="K9" s="5"/>
      <c r="L9" s="1"/>
      <c r="M9" s="5"/>
      <c r="N9" s="5">
        <f t="shared" si="4"/>
        <v>1376</v>
      </c>
      <c r="O9" s="5">
        <f t="shared" si="5"/>
        <v>0</v>
      </c>
      <c r="P9" s="5">
        <f>Table16[[#This Row],[Enrolment S.Y. 2025-2026 ]]*8</f>
        <v>1376</v>
      </c>
      <c r="Q9" s="5"/>
      <c r="R9" s="1"/>
      <c r="S9" s="5"/>
      <c r="T9" s="5">
        <f t="shared" si="6"/>
        <v>1376</v>
      </c>
      <c r="U9" s="5">
        <f t="shared" si="7"/>
        <v>0</v>
      </c>
      <c r="V9" s="5">
        <f>Table16[[#This Row],[Enrolment S.Y. 2025-2026 ]]*8</f>
        <v>1376</v>
      </c>
      <c r="W9" s="5"/>
      <c r="X9" s="1"/>
      <c r="Y9" s="5"/>
      <c r="Z9" s="5">
        <f t="shared" si="8"/>
        <v>1376</v>
      </c>
      <c r="AA9" s="5">
        <f t="shared" si="9"/>
        <v>0</v>
      </c>
    </row>
    <row r="10" spans="1:27" ht="19.5">
      <c r="A10" s="1">
        <v>1</v>
      </c>
      <c r="B10" s="9" t="s">
        <v>15</v>
      </c>
      <c r="C10" s="1">
        <v>172</v>
      </c>
      <c r="D10" s="5">
        <f>Table16[[#This Row],[Enrolment S.Y. 2025-2026 ]]*8</f>
        <v>1376</v>
      </c>
      <c r="E10" s="5"/>
      <c r="F10" s="1"/>
      <c r="G10" s="5"/>
      <c r="H10" s="5">
        <f>IF((D10-E10)&lt;0,0,(D10-E10))</f>
        <v>1376</v>
      </c>
      <c r="I10" s="5">
        <f>IF((E10-D10)&lt;0,0,(E10-D10))</f>
        <v>0</v>
      </c>
      <c r="J10" s="5">
        <f>Table16[[#This Row],[Enrolment S.Y. 2025-2026 ]]*8</f>
        <v>1376</v>
      </c>
      <c r="K10" s="5"/>
      <c r="L10" s="1"/>
      <c r="M10" s="5"/>
      <c r="N10" s="5">
        <f t="shared" si="4"/>
        <v>1376</v>
      </c>
      <c r="O10" s="5">
        <f t="shared" si="5"/>
        <v>0</v>
      </c>
      <c r="P10" s="5">
        <f>Table16[[#This Row],[Enrolment S.Y. 2025-2026 ]]*8</f>
        <v>1376</v>
      </c>
      <c r="Q10" s="5"/>
      <c r="R10" s="1"/>
      <c r="S10" s="5"/>
      <c r="T10" s="5">
        <f t="shared" si="6"/>
        <v>1376</v>
      </c>
      <c r="U10" s="5">
        <f t="shared" si="7"/>
        <v>0</v>
      </c>
      <c r="V10" s="5">
        <f>Table16[[#This Row],[Enrolment S.Y. 2025-2026 ]]*8</f>
        <v>1376</v>
      </c>
      <c r="W10" s="5"/>
      <c r="X10" s="1"/>
      <c r="Y10" s="5"/>
      <c r="Z10" s="5">
        <f t="shared" si="8"/>
        <v>1376</v>
      </c>
      <c r="AA10" s="5">
        <f t="shared" si="9"/>
        <v>0</v>
      </c>
    </row>
    <row r="11" spans="1:27" ht="19.5">
      <c r="A11" s="1">
        <v>1</v>
      </c>
      <c r="B11" s="9" t="s">
        <v>16</v>
      </c>
      <c r="C11" s="1">
        <v>172</v>
      </c>
      <c r="D11" s="5">
        <f>Table16[[#This Row],[Enrolment S.Y. 2025-2026 ]]*8</f>
        <v>1376</v>
      </c>
      <c r="E11" s="5"/>
      <c r="F11" s="1"/>
      <c r="G11" s="5"/>
      <c r="H11" s="5">
        <f>IF((D11-E11)&lt;0,0,(D11-E11))</f>
        <v>1376</v>
      </c>
      <c r="I11" s="5">
        <f>IF((E11-D11)&lt;0,0,(E11-D11))</f>
        <v>0</v>
      </c>
      <c r="J11" s="5">
        <f>Table16[[#This Row],[Enrolment S.Y. 2025-2026 ]]*8</f>
        <v>1376</v>
      </c>
      <c r="K11" s="5"/>
      <c r="L11" s="1"/>
      <c r="M11" s="5"/>
      <c r="N11" s="5">
        <f t="shared" si="4"/>
        <v>1376</v>
      </c>
      <c r="O11" s="5">
        <f t="shared" si="5"/>
        <v>0</v>
      </c>
      <c r="P11" s="5">
        <f>Table16[[#This Row],[Enrolment S.Y. 2025-2026 ]]*8</f>
        <v>1376</v>
      </c>
      <c r="Q11" s="5"/>
      <c r="R11" s="1"/>
      <c r="S11" s="5"/>
      <c r="T11" s="5">
        <f t="shared" si="6"/>
        <v>1376</v>
      </c>
      <c r="U11" s="5">
        <f t="shared" si="7"/>
        <v>0</v>
      </c>
      <c r="V11" s="5">
        <f>Table16[[#This Row],[Enrolment S.Y. 2025-2026 ]]*8</f>
        <v>1376</v>
      </c>
      <c r="W11" s="5"/>
      <c r="X11" s="1"/>
      <c r="Y11" s="5"/>
      <c r="Z11" s="5">
        <f t="shared" si="8"/>
        <v>1376</v>
      </c>
      <c r="AA11" s="5">
        <f t="shared" si="9"/>
        <v>0</v>
      </c>
    </row>
    <row r="12" spans="1:27" ht="19.5">
      <c r="A12" s="1">
        <v>1</v>
      </c>
      <c r="B12" s="9" t="s">
        <v>62</v>
      </c>
      <c r="C12" s="1">
        <v>172</v>
      </c>
      <c r="D12" s="5">
        <f>Table16[[#This Row],[Enrolment S.Y. 2025-2026 ]]*8</f>
        <v>1376</v>
      </c>
      <c r="E12" s="5"/>
      <c r="F12" s="1"/>
      <c r="G12" s="5"/>
      <c r="H12" s="5">
        <f>IF((D12-E12)&lt;0,0,(D12-E12))</f>
        <v>1376</v>
      </c>
      <c r="I12" s="5">
        <f>IF((E12-D12)&lt;0,0,(E12-D12))</f>
        <v>0</v>
      </c>
      <c r="J12" s="5">
        <f>Table16[[#This Row],[Enrolment S.Y. 2025-2026 ]]*8</f>
        <v>1376</v>
      </c>
      <c r="K12" s="5"/>
      <c r="L12" s="1"/>
      <c r="M12" s="5"/>
      <c r="N12" s="5">
        <f t="shared" si="4"/>
        <v>1376</v>
      </c>
      <c r="O12" s="5">
        <f t="shared" si="5"/>
        <v>0</v>
      </c>
      <c r="P12" s="5">
        <f>Table16[[#This Row],[Enrolment S.Y. 2025-2026 ]]*8</f>
        <v>1376</v>
      </c>
      <c r="Q12" s="5"/>
      <c r="R12" s="1"/>
      <c r="S12" s="5"/>
      <c r="T12" s="5">
        <f t="shared" si="6"/>
        <v>1376</v>
      </c>
      <c r="U12" s="5">
        <f t="shared" si="7"/>
        <v>0</v>
      </c>
      <c r="V12" s="5">
        <f>Table16[[#This Row],[Enrolment S.Y. 2025-2026 ]]*8</f>
        <v>1376</v>
      </c>
      <c r="W12" s="5"/>
      <c r="X12" s="1"/>
      <c r="Y12" s="5"/>
      <c r="Z12" s="5">
        <f t="shared" si="8"/>
        <v>1376</v>
      </c>
      <c r="AA12" s="5">
        <f t="shared" si="9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207</v>
      </c>
      <c r="D14" s="5">
        <f>Table16[[#This Row],[Enrolment S.Y. 2025-2026 ]]*8</f>
        <v>1656</v>
      </c>
      <c r="E14" s="5"/>
      <c r="F14" s="1"/>
      <c r="G14" s="5"/>
      <c r="H14" s="5">
        <f t="shared" si="2"/>
        <v>1656</v>
      </c>
      <c r="I14" s="5">
        <f t="shared" si="3"/>
        <v>0</v>
      </c>
      <c r="J14" s="5">
        <f>Table16[[#This Row],[Enrolment S.Y. 2025-2026 ]]*8</f>
        <v>1656</v>
      </c>
      <c r="K14" s="5"/>
      <c r="L14" s="1"/>
      <c r="M14" s="5"/>
      <c r="N14" s="5">
        <f t="shared" si="4"/>
        <v>1656</v>
      </c>
      <c r="O14" s="5">
        <f t="shared" si="5"/>
        <v>0</v>
      </c>
      <c r="P14" s="5">
        <f>Table16[[#This Row],[Enrolment S.Y. 2025-2026 ]]*8</f>
        <v>1656</v>
      </c>
      <c r="Q14" s="5"/>
      <c r="R14" s="1"/>
      <c r="S14" s="5"/>
      <c r="T14" s="5">
        <f t="shared" si="6"/>
        <v>1656</v>
      </c>
      <c r="U14" s="5">
        <f t="shared" si="7"/>
        <v>0</v>
      </c>
      <c r="V14" s="5">
        <f>Table16[[#This Row],[Enrolment S.Y. 2025-2026 ]]*8</f>
        <v>1656</v>
      </c>
      <c r="W14" s="5"/>
      <c r="X14" s="1"/>
      <c r="Y14" s="5"/>
      <c r="Z14" s="5">
        <f t="shared" si="8"/>
        <v>1656</v>
      </c>
      <c r="AA14" s="5">
        <f t="shared" si="9"/>
        <v>0</v>
      </c>
    </row>
    <row r="15" spans="1:27" ht="19.5">
      <c r="A15" s="1">
        <v>2</v>
      </c>
      <c r="B15" s="2" t="s">
        <v>10</v>
      </c>
      <c r="C15" s="1">
        <v>207</v>
      </c>
      <c r="D15" s="5">
        <f>Table16[[#This Row],[Enrolment S.Y. 2025-2026 ]]*8</f>
        <v>1656</v>
      </c>
      <c r="E15" s="5"/>
      <c r="F15" s="1"/>
      <c r="G15" s="5"/>
      <c r="H15" s="5">
        <f t="shared" si="2"/>
        <v>1656</v>
      </c>
      <c r="I15" s="5">
        <f t="shared" si="3"/>
        <v>0</v>
      </c>
      <c r="J15" s="5">
        <f>Table16[[#This Row],[Enrolment S.Y. 2025-2026 ]]*8</f>
        <v>1656</v>
      </c>
      <c r="K15" s="5"/>
      <c r="L15" s="1"/>
      <c r="M15" s="5"/>
      <c r="N15" s="5">
        <f t="shared" si="4"/>
        <v>1656</v>
      </c>
      <c r="O15" s="5">
        <f t="shared" si="5"/>
        <v>0</v>
      </c>
      <c r="P15" s="5">
        <f>Table16[[#This Row],[Enrolment S.Y. 2025-2026 ]]*8</f>
        <v>1656</v>
      </c>
      <c r="Q15" s="5"/>
      <c r="R15" s="1"/>
      <c r="S15" s="5"/>
      <c r="T15" s="5">
        <f t="shared" si="6"/>
        <v>1656</v>
      </c>
      <c r="U15" s="5">
        <f t="shared" si="7"/>
        <v>0</v>
      </c>
      <c r="V15" s="5">
        <f>Table16[[#This Row],[Enrolment S.Y. 2025-2026 ]]*8</f>
        <v>1656</v>
      </c>
      <c r="W15" s="5"/>
      <c r="X15" s="1"/>
      <c r="Y15" s="5"/>
      <c r="Z15" s="5">
        <f t="shared" si="8"/>
        <v>1656</v>
      </c>
      <c r="AA15" s="5">
        <f t="shared" si="9"/>
        <v>0</v>
      </c>
    </row>
    <row r="16" spans="1:27" ht="19.5">
      <c r="A16" s="1">
        <v>2</v>
      </c>
      <c r="B16" s="2" t="s">
        <v>11</v>
      </c>
      <c r="C16" s="1">
        <v>207</v>
      </c>
      <c r="D16" s="5">
        <f>Table16[[#This Row],[Enrolment S.Y. 2025-2026 ]]*8</f>
        <v>1656</v>
      </c>
      <c r="E16" s="5"/>
      <c r="F16" s="1"/>
      <c r="G16" s="5"/>
      <c r="H16" s="5">
        <f t="shared" si="2"/>
        <v>1656</v>
      </c>
      <c r="I16" s="5">
        <f t="shared" si="3"/>
        <v>0</v>
      </c>
      <c r="J16" s="5">
        <f>Table16[[#This Row],[Enrolment S.Y. 2025-2026 ]]*8</f>
        <v>1656</v>
      </c>
      <c r="K16" s="5"/>
      <c r="L16" s="1"/>
      <c r="M16" s="5"/>
      <c r="N16" s="5">
        <f t="shared" si="4"/>
        <v>1656</v>
      </c>
      <c r="O16" s="5">
        <f t="shared" si="5"/>
        <v>0</v>
      </c>
      <c r="P16" s="5">
        <f>Table16[[#This Row],[Enrolment S.Y. 2025-2026 ]]*8</f>
        <v>1656</v>
      </c>
      <c r="Q16" s="5"/>
      <c r="R16" s="1"/>
      <c r="S16" s="5"/>
      <c r="T16" s="5">
        <f t="shared" si="6"/>
        <v>1656</v>
      </c>
      <c r="U16" s="5">
        <f t="shared" si="7"/>
        <v>0</v>
      </c>
      <c r="V16" s="5">
        <f>Table16[[#This Row],[Enrolment S.Y. 2025-2026 ]]*8</f>
        <v>1656</v>
      </c>
      <c r="W16" s="5"/>
      <c r="X16" s="1"/>
      <c r="Y16" s="5"/>
      <c r="Z16" s="5">
        <f t="shared" si="8"/>
        <v>1656</v>
      </c>
      <c r="AA16" s="5">
        <f t="shared" si="9"/>
        <v>0</v>
      </c>
    </row>
    <row r="17" spans="1:27" ht="19.5">
      <c r="A17" s="1">
        <v>2</v>
      </c>
      <c r="B17" s="2" t="s">
        <v>12</v>
      </c>
      <c r="C17" s="1">
        <v>207</v>
      </c>
      <c r="D17" s="5">
        <f>Table16[[#This Row],[Enrolment S.Y. 2025-2026 ]]*8</f>
        <v>1656</v>
      </c>
      <c r="E17" s="5"/>
      <c r="F17" s="1"/>
      <c r="G17" s="5"/>
      <c r="H17" s="5">
        <f t="shared" si="2"/>
        <v>1656</v>
      </c>
      <c r="I17" s="5">
        <f t="shared" si="3"/>
        <v>0</v>
      </c>
      <c r="J17" s="5">
        <f>Table16[[#This Row],[Enrolment S.Y. 2025-2026 ]]*8</f>
        <v>1656</v>
      </c>
      <c r="K17" s="5"/>
      <c r="L17" s="1"/>
      <c r="M17" s="5"/>
      <c r="N17" s="5">
        <f t="shared" si="4"/>
        <v>1656</v>
      </c>
      <c r="O17" s="5">
        <f t="shared" si="5"/>
        <v>0</v>
      </c>
      <c r="P17" s="5">
        <f>Table16[[#This Row],[Enrolment S.Y. 2025-2026 ]]*8</f>
        <v>1656</v>
      </c>
      <c r="Q17" s="5"/>
      <c r="R17" s="1"/>
      <c r="S17" s="5"/>
      <c r="T17" s="5">
        <f t="shared" si="6"/>
        <v>1656</v>
      </c>
      <c r="U17" s="5">
        <f t="shared" si="7"/>
        <v>0</v>
      </c>
      <c r="V17" s="5">
        <f>Table16[[#This Row],[Enrolment S.Y. 2025-2026 ]]*8</f>
        <v>1656</v>
      </c>
      <c r="W17" s="5"/>
      <c r="X17" s="1"/>
      <c r="Y17" s="5"/>
      <c r="Z17" s="5">
        <f t="shared" si="8"/>
        <v>1656</v>
      </c>
      <c r="AA17" s="5">
        <f t="shared" si="9"/>
        <v>0</v>
      </c>
    </row>
    <row r="18" spans="1:27" ht="19.5">
      <c r="A18" s="1">
        <v>2</v>
      </c>
      <c r="B18" s="2" t="s">
        <v>13</v>
      </c>
      <c r="C18" s="1">
        <v>207</v>
      </c>
      <c r="D18" s="5">
        <f>Table16[[#This Row],[Enrolment S.Y. 2025-2026 ]]*8</f>
        <v>1656</v>
      </c>
      <c r="E18" s="5"/>
      <c r="F18" s="1"/>
      <c r="G18" s="5"/>
      <c r="H18" s="5">
        <f t="shared" si="2"/>
        <v>1656</v>
      </c>
      <c r="I18" s="5">
        <f t="shared" si="3"/>
        <v>0</v>
      </c>
      <c r="J18" s="5">
        <f>Table16[[#This Row],[Enrolment S.Y. 2025-2026 ]]*8</f>
        <v>1656</v>
      </c>
      <c r="K18" s="5"/>
      <c r="L18" s="1"/>
      <c r="M18" s="5"/>
      <c r="N18" s="5">
        <f t="shared" si="4"/>
        <v>1656</v>
      </c>
      <c r="O18" s="5">
        <f t="shared" si="5"/>
        <v>0</v>
      </c>
      <c r="P18" s="5">
        <f>Table16[[#This Row],[Enrolment S.Y. 2025-2026 ]]*8</f>
        <v>1656</v>
      </c>
      <c r="Q18" s="5"/>
      <c r="R18" s="1"/>
      <c r="S18" s="5"/>
      <c r="T18" s="5">
        <f t="shared" si="6"/>
        <v>1656</v>
      </c>
      <c r="U18" s="5">
        <f t="shared" si="7"/>
        <v>0</v>
      </c>
      <c r="V18" s="5">
        <f>Table16[[#This Row],[Enrolment S.Y. 2025-2026 ]]*8</f>
        <v>1656</v>
      </c>
      <c r="W18" s="5"/>
      <c r="X18" s="1"/>
      <c r="Y18" s="5"/>
      <c r="Z18" s="5">
        <f t="shared" si="8"/>
        <v>1656</v>
      </c>
      <c r="AA18" s="5">
        <f t="shared" si="9"/>
        <v>0</v>
      </c>
    </row>
    <row r="19" spans="1:27" ht="19.5">
      <c r="A19" s="1">
        <v>2</v>
      </c>
      <c r="B19" s="9" t="s">
        <v>16</v>
      </c>
      <c r="C19" s="1">
        <v>207</v>
      </c>
      <c r="D19" s="5">
        <f>Table16[[#This Row],[Enrolment S.Y. 2025-2026 ]]*8</f>
        <v>1656</v>
      </c>
      <c r="E19" s="5"/>
      <c r="F19" s="1"/>
      <c r="G19" s="5"/>
      <c r="H19" s="5">
        <f>IF((D19-E19)&lt;0,0,(D19-E19))</f>
        <v>1656</v>
      </c>
      <c r="I19" s="5">
        <f>IF((E19-D19)&lt;0,0,(E19-D19))</f>
        <v>0</v>
      </c>
      <c r="J19" s="5">
        <f>Table16[[#This Row],[Enrolment S.Y. 2025-2026 ]]*8</f>
        <v>1656</v>
      </c>
      <c r="K19" s="5"/>
      <c r="L19" s="1"/>
      <c r="M19" s="5"/>
      <c r="N19" s="5">
        <f t="shared" si="4"/>
        <v>1656</v>
      </c>
      <c r="O19" s="5">
        <f t="shared" si="5"/>
        <v>0</v>
      </c>
      <c r="P19" s="5">
        <f>Table16[[#This Row],[Enrolment S.Y. 2025-2026 ]]*8</f>
        <v>1656</v>
      </c>
      <c r="Q19" s="5"/>
      <c r="R19" s="1"/>
      <c r="S19" s="5"/>
      <c r="T19" s="5">
        <f t="shared" si="6"/>
        <v>1656</v>
      </c>
      <c r="U19" s="5">
        <f t="shared" si="7"/>
        <v>0</v>
      </c>
      <c r="V19" s="5">
        <f>Table16[[#This Row],[Enrolment S.Y. 2025-2026 ]]*8</f>
        <v>1656</v>
      </c>
      <c r="W19" s="5"/>
      <c r="X19" s="1"/>
      <c r="Y19" s="5"/>
      <c r="Z19" s="5">
        <f t="shared" si="8"/>
        <v>1656</v>
      </c>
      <c r="AA19" s="5">
        <f t="shared" si="9"/>
        <v>0</v>
      </c>
    </row>
    <row r="20" spans="1:27" ht="19.5">
      <c r="A20" s="1">
        <v>2</v>
      </c>
      <c r="B20" s="9" t="s">
        <v>15</v>
      </c>
      <c r="C20" s="1">
        <v>207</v>
      </c>
      <c r="D20" s="5">
        <f>Table16[[#This Row],[Enrolment S.Y. 2025-2026 ]]*8</f>
        <v>1656</v>
      </c>
      <c r="E20" s="5"/>
      <c r="F20" s="1"/>
      <c r="G20" s="5"/>
      <c r="H20" s="5">
        <f>IF((D20-E20)&lt;0,0,(D20-E20))</f>
        <v>1656</v>
      </c>
      <c r="I20" s="5">
        <f>IF((E20-D20)&lt;0,0,(E20-D20))</f>
        <v>0</v>
      </c>
      <c r="J20" s="5">
        <f>Table16[[#This Row],[Enrolment S.Y. 2025-2026 ]]*8</f>
        <v>1656</v>
      </c>
      <c r="K20" s="5"/>
      <c r="L20" s="1"/>
      <c r="M20" s="5"/>
      <c r="N20" s="5">
        <f t="shared" si="4"/>
        <v>1656</v>
      </c>
      <c r="O20" s="5">
        <f t="shared" si="5"/>
        <v>0</v>
      </c>
      <c r="P20" s="5">
        <f>Table16[[#This Row],[Enrolment S.Y. 2025-2026 ]]*8</f>
        <v>1656</v>
      </c>
      <c r="Q20" s="5"/>
      <c r="R20" s="1"/>
      <c r="S20" s="5"/>
      <c r="T20" s="5">
        <f t="shared" si="6"/>
        <v>1656</v>
      </c>
      <c r="U20" s="5">
        <f t="shared" si="7"/>
        <v>0</v>
      </c>
      <c r="V20" s="5">
        <f>Table16[[#This Row],[Enrolment S.Y. 2025-2026 ]]*8</f>
        <v>1656</v>
      </c>
      <c r="W20" s="5"/>
      <c r="X20" s="1"/>
      <c r="Y20" s="5"/>
      <c r="Z20" s="5">
        <f t="shared" si="8"/>
        <v>1656</v>
      </c>
      <c r="AA20" s="5">
        <f t="shared" si="9"/>
        <v>0</v>
      </c>
    </row>
    <row r="21" spans="1:27" ht="19.5">
      <c r="A21" s="1">
        <v>2</v>
      </c>
      <c r="B21" s="9" t="s">
        <v>62</v>
      </c>
      <c r="C21" s="1">
        <v>207</v>
      </c>
      <c r="D21" s="5">
        <f>Table16[[#This Row],[Enrolment S.Y. 2025-2026 ]]*8</f>
        <v>1656</v>
      </c>
      <c r="E21" s="5"/>
      <c r="F21" s="1"/>
      <c r="G21" s="5"/>
      <c r="H21" s="5">
        <f>IF((D21-E21)&lt;0,0,(D21-E21))</f>
        <v>1656</v>
      </c>
      <c r="I21" s="5">
        <f>IF((E21-D21)&lt;0,0,(E21-D21))</f>
        <v>0</v>
      </c>
      <c r="J21" s="5">
        <f>Table16[[#This Row],[Enrolment S.Y. 2025-2026 ]]*8</f>
        <v>1656</v>
      </c>
      <c r="K21" s="5"/>
      <c r="L21" s="1"/>
      <c r="M21" s="5"/>
      <c r="N21" s="5">
        <f t="shared" si="4"/>
        <v>1656</v>
      </c>
      <c r="O21" s="5">
        <f t="shared" si="5"/>
        <v>0</v>
      </c>
      <c r="P21" s="5">
        <f>Table16[[#This Row],[Enrolment S.Y. 2025-2026 ]]*8</f>
        <v>1656</v>
      </c>
      <c r="Q21" s="5"/>
      <c r="R21" s="1"/>
      <c r="S21" s="5"/>
      <c r="T21" s="5">
        <f t="shared" si="6"/>
        <v>1656</v>
      </c>
      <c r="U21" s="5">
        <f t="shared" si="7"/>
        <v>0</v>
      </c>
      <c r="V21" s="5">
        <f>Table16[[#This Row],[Enrolment S.Y. 2025-2026 ]]*8</f>
        <v>1656</v>
      </c>
      <c r="W21" s="5"/>
      <c r="X21" s="1"/>
      <c r="Y21" s="5"/>
      <c r="Z21" s="5">
        <f t="shared" si="8"/>
        <v>1656</v>
      </c>
      <c r="AA21" s="5">
        <f t="shared" si="9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237</v>
      </c>
      <c r="D23" s="5">
        <f>Table16[[#This Row],[Enrolment S.Y. 2025-2026 ]]*8</f>
        <v>1896</v>
      </c>
      <c r="E23" s="5"/>
      <c r="F23" s="1"/>
      <c r="G23" s="5"/>
      <c r="H23" s="5">
        <f t="shared" si="2"/>
        <v>1896</v>
      </c>
      <c r="I23" s="5">
        <f t="shared" si="3"/>
        <v>0</v>
      </c>
      <c r="J23" s="5">
        <f>Table16[[#This Row],[Enrolment S.Y. 2025-2026 ]]*8</f>
        <v>1896</v>
      </c>
      <c r="K23" s="5"/>
      <c r="L23" s="1"/>
      <c r="M23" s="5"/>
      <c r="N23" s="5">
        <f t="shared" si="4"/>
        <v>1896</v>
      </c>
      <c r="O23" s="5">
        <f t="shared" si="5"/>
        <v>0</v>
      </c>
      <c r="P23" s="5">
        <f>Table16[[#This Row],[Enrolment S.Y. 2025-2026 ]]*8</f>
        <v>1896</v>
      </c>
      <c r="Q23" s="5"/>
      <c r="R23" s="1"/>
      <c r="S23" s="5"/>
      <c r="T23" s="5">
        <f t="shared" si="6"/>
        <v>1896</v>
      </c>
      <c r="U23" s="5">
        <f t="shared" si="7"/>
        <v>0</v>
      </c>
      <c r="V23" s="5">
        <f>Table16[[#This Row],[Enrolment S.Y. 2025-2026 ]]*8</f>
        <v>1896</v>
      </c>
      <c r="W23" s="5"/>
      <c r="X23" s="1"/>
      <c r="Y23" s="5"/>
      <c r="Z23" s="5">
        <f t="shared" si="8"/>
        <v>1896</v>
      </c>
      <c r="AA23" s="5">
        <f t="shared" si="9"/>
        <v>0</v>
      </c>
    </row>
    <row r="24" spans="1:27" ht="19.5">
      <c r="A24" s="1">
        <v>3</v>
      </c>
      <c r="B24" s="2" t="s">
        <v>10</v>
      </c>
      <c r="C24" s="1">
        <v>237</v>
      </c>
      <c r="D24" s="5">
        <f>Table16[[#This Row],[Enrolment S.Y. 2025-2026 ]]*8</f>
        <v>1896</v>
      </c>
      <c r="E24" s="5"/>
      <c r="F24" s="1"/>
      <c r="G24" s="5"/>
      <c r="H24" s="5">
        <f t="shared" si="2"/>
        <v>1896</v>
      </c>
      <c r="I24" s="5">
        <f t="shared" si="3"/>
        <v>0</v>
      </c>
      <c r="J24" s="5">
        <f>Table16[[#This Row],[Enrolment S.Y. 2025-2026 ]]*8</f>
        <v>1896</v>
      </c>
      <c r="K24" s="5"/>
      <c r="L24" s="1"/>
      <c r="M24" s="5"/>
      <c r="N24" s="5">
        <f t="shared" si="4"/>
        <v>1896</v>
      </c>
      <c r="O24" s="5">
        <f t="shared" si="5"/>
        <v>0</v>
      </c>
      <c r="P24" s="5">
        <f>Table16[[#This Row],[Enrolment S.Y. 2025-2026 ]]*8</f>
        <v>1896</v>
      </c>
      <c r="Q24" s="5"/>
      <c r="R24" s="1"/>
      <c r="S24" s="5"/>
      <c r="T24" s="5">
        <f t="shared" si="6"/>
        <v>1896</v>
      </c>
      <c r="U24" s="5">
        <f t="shared" si="7"/>
        <v>0</v>
      </c>
      <c r="V24" s="5">
        <f>Table16[[#This Row],[Enrolment S.Y. 2025-2026 ]]*8</f>
        <v>1896</v>
      </c>
      <c r="W24" s="5"/>
      <c r="X24" s="1"/>
      <c r="Y24" s="5"/>
      <c r="Z24" s="5">
        <f t="shared" si="8"/>
        <v>1896</v>
      </c>
      <c r="AA24" s="5">
        <f t="shared" si="9"/>
        <v>0</v>
      </c>
    </row>
    <row r="25" spans="1:27" ht="19.5">
      <c r="A25" s="1">
        <v>3</v>
      </c>
      <c r="B25" s="2" t="s">
        <v>11</v>
      </c>
      <c r="C25" s="1">
        <v>237</v>
      </c>
      <c r="D25" s="5">
        <f>Table16[[#This Row],[Enrolment S.Y. 2025-2026 ]]*8</f>
        <v>1896</v>
      </c>
      <c r="E25" s="5"/>
      <c r="F25" s="1"/>
      <c r="G25" s="5"/>
      <c r="H25" s="5">
        <f t="shared" si="2"/>
        <v>1896</v>
      </c>
      <c r="I25" s="5">
        <f t="shared" si="3"/>
        <v>0</v>
      </c>
      <c r="J25" s="5">
        <f>Table16[[#This Row],[Enrolment S.Y. 2025-2026 ]]*8</f>
        <v>1896</v>
      </c>
      <c r="K25" s="5"/>
      <c r="L25" s="1"/>
      <c r="M25" s="5"/>
      <c r="N25" s="5">
        <f t="shared" si="4"/>
        <v>1896</v>
      </c>
      <c r="O25" s="5">
        <f t="shared" si="5"/>
        <v>0</v>
      </c>
      <c r="P25" s="5">
        <f>Table16[[#This Row],[Enrolment S.Y. 2025-2026 ]]*8</f>
        <v>1896</v>
      </c>
      <c r="Q25" s="5"/>
      <c r="R25" s="1"/>
      <c r="S25" s="5"/>
      <c r="T25" s="5">
        <f t="shared" si="6"/>
        <v>1896</v>
      </c>
      <c r="U25" s="5">
        <f t="shared" si="7"/>
        <v>0</v>
      </c>
      <c r="V25" s="5">
        <f>Table16[[#This Row],[Enrolment S.Y. 2025-2026 ]]*8</f>
        <v>1896</v>
      </c>
      <c r="W25" s="5"/>
      <c r="X25" s="1"/>
      <c r="Y25" s="5"/>
      <c r="Z25" s="5">
        <f t="shared" si="8"/>
        <v>1896</v>
      </c>
      <c r="AA25" s="5">
        <f t="shared" si="9"/>
        <v>0</v>
      </c>
    </row>
    <row r="26" spans="1:27" ht="19.5">
      <c r="A26" s="1">
        <v>3</v>
      </c>
      <c r="B26" s="2" t="s">
        <v>14</v>
      </c>
      <c r="C26" s="1">
        <v>237</v>
      </c>
      <c r="D26" s="5">
        <f>Table16[[#This Row],[Enrolment S.Y. 2025-2026 ]]*8</f>
        <v>1896</v>
      </c>
      <c r="E26" s="5"/>
      <c r="F26" s="1"/>
      <c r="G26" s="5"/>
      <c r="H26" s="5">
        <f t="shared" si="2"/>
        <v>1896</v>
      </c>
      <c r="I26" s="5">
        <f t="shared" si="3"/>
        <v>0</v>
      </c>
      <c r="J26" s="5">
        <f>Table16[[#This Row],[Enrolment S.Y. 2025-2026 ]]*8</f>
        <v>1896</v>
      </c>
      <c r="K26" s="5"/>
      <c r="L26" s="1"/>
      <c r="M26" s="5"/>
      <c r="N26" s="5">
        <f t="shared" si="4"/>
        <v>1896</v>
      </c>
      <c r="O26" s="5">
        <f t="shared" si="5"/>
        <v>0</v>
      </c>
      <c r="P26" s="5">
        <f>Table16[[#This Row],[Enrolment S.Y. 2025-2026 ]]*8</f>
        <v>1896</v>
      </c>
      <c r="Q26" s="5"/>
      <c r="R26" s="1"/>
      <c r="S26" s="5"/>
      <c r="T26" s="5">
        <f t="shared" si="6"/>
        <v>1896</v>
      </c>
      <c r="U26" s="5">
        <f t="shared" si="7"/>
        <v>0</v>
      </c>
      <c r="V26" s="5">
        <f>Table16[[#This Row],[Enrolment S.Y. 2025-2026 ]]*8</f>
        <v>1896</v>
      </c>
      <c r="W26" s="5"/>
      <c r="X26" s="1"/>
      <c r="Y26" s="5"/>
      <c r="Z26" s="5">
        <f t="shared" si="8"/>
        <v>1896</v>
      </c>
      <c r="AA26" s="5">
        <f t="shared" si="9"/>
        <v>0</v>
      </c>
    </row>
    <row r="27" spans="1:27" ht="19.5">
      <c r="A27" s="1">
        <v>3</v>
      </c>
      <c r="B27" s="2" t="s">
        <v>12</v>
      </c>
      <c r="C27" s="1">
        <v>237</v>
      </c>
      <c r="D27" s="5">
        <f>Table16[[#This Row],[Enrolment S.Y. 2025-2026 ]]*8</f>
        <v>1896</v>
      </c>
      <c r="E27" s="5"/>
      <c r="F27" s="1"/>
      <c r="G27" s="5"/>
      <c r="H27" s="5">
        <f t="shared" si="2"/>
        <v>1896</v>
      </c>
      <c r="I27" s="5">
        <f t="shared" si="3"/>
        <v>0</v>
      </c>
      <c r="J27" s="5">
        <f>Table16[[#This Row],[Enrolment S.Y. 2025-2026 ]]*8</f>
        <v>1896</v>
      </c>
      <c r="K27" s="5"/>
      <c r="L27" s="1"/>
      <c r="M27" s="5"/>
      <c r="N27" s="5">
        <f t="shared" si="4"/>
        <v>1896</v>
      </c>
      <c r="O27" s="5">
        <f t="shared" si="5"/>
        <v>0</v>
      </c>
      <c r="P27" s="5">
        <f>Table16[[#This Row],[Enrolment S.Y. 2025-2026 ]]*8</f>
        <v>1896</v>
      </c>
      <c r="Q27" s="5"/>
      <c r="R27" s="1"/>
      <c r="S27" s="5"/>
      <c r="T27" s="5">
        <f t="shared" si="6"/>
        <v>1896</v>
      </c>
      <c r="U27" s="5">
        <f t="shared" si="7"/>
        <v>0</v>
      </c>
      <c r="V27" s="5">
        <f>Table16[[#This Row],[Enrolment S.Y. 2025-2026 ]]*8</f>
        <v>1896</v>
      </c>
      <c r="W27" s="5"/>
      <c r="X27" s="1"/>
      <c r="Y27" s="5"/>
      <c r="Z27" s="5">
        <f t="shared" si="8"/>
        <v>1896</v>
      </c>
      <c r="AA27" s="5">
        <f t="shared" si="9"/>
        <v>0</v>
      </c>
    </row>
    <row r="28" spans="1:27" ht="19.5">
      <c r="A28" s="1">
        <v>3</v>
      </c>
      <c r="B28" s="2" t="s">
        <v>13</v>
      </c>
      <c r="C28" s="1">
        <v>237</v>
      </c>
      <c r="D28" s="5">
        <f>Table16[[#This Row],[Enrolment S.Y. 2025-2026 ]]*8</f>
        <v>1896</v>
      </c>
      <c r="E28" s="5"/>
      <c r="F28" s="1"/>
      <c r="G28" s="5"/>
      <c r="H28" s="5">
        <f t="shared" si="2"/>
        <v>1896</v>
      </c>
      <c r="I28" s="5">
        <f t="shared" si="3"/>
        <v>0</v>
      </c>
      <c r="J28" s="5">
        <f>Table16[[#This Row],[Enrolment S.Y. 2025-2026 ]]*8</f>
        <v>1896</v>
      </c>
      <c r="K28" s="5"/>
      <c r="L28" s="1"/>
      <c r="M28" s="5"/>
      <c r="N28" s="5">
        <f t="shared" si="4"/>
        <v>1896</v>
      </c>
      <c r="O28" s="5">
        <f t="shared" si="5"/>
        <v>0</v>
      </c>
      <c r="P28" s="5">
        <f>Table16[[#This Row],[Enrolment S.Y. 2025-2026 ]]*8</f>
        <v>1896</v>
      </c>
      <c r="Q28" s="5"/>
      <c r="R28" s="1"/>
      <c r="S28" s="5"/>
      <c r="T28" s="5">
        <f t="shared" si="6"/>
        <v>1896</v>
      </c>
      <c r="U28" s="5">
        <f t="shared" si="7"/>
        <v>0</v>
      </c>
      <c r="V28" s="5">
        <f>Table16[[#This Row],[Enrolment S.Y. 2025-2026 ]]*8</f>
        <v>1896</v>
      </c>
      <c r="W28" s="5"/>
      <c r="X28" s="1"/>
      <c r="Y28" s="5"/>
      <c r="Z28" s="5">
        <f t="shared" si="8"/>
        <v>1896</v>
      </c>
      <c r="AA28" s="5">
        <f t="shared" si="9"/>
        <v>0</v>
      </c>
    </row>
    <row r="29" spans="1:27" ht="19.5">
      <c r="A29" s="1">
        <v>3</v>
      </c>
      <c r="B29" s="9" t="s">
        <v>15</v>
      </c>
      <c r="C29" s="1">
        <v>237</v>
      </c>
      <c r="D29" s="5">
        <f>Table16[[#This Row],[Enrolment S.Y. 2025-2026 ]]*8</f>
        <v>1896</v>
      </c>
      <c r="E29" s="5"/>
      <c r="F29" s="1"/>
      <c r="G29" s="5"/>
      <c r="H29" s="5">
        <f>IF((D29-E29)&lt;0,0,(D29-E29))</f>
        <v>1896</v>
      </c>
      <c r="I29" s="5">
        <f>IF((E29-D29)&lt;0,0,(E29-D29))</f>
        <v>0</v>
      </c>
      <c r="J29" s="5">
        <f>Table16[[#This Row],[Enrolment S.Y. 2025-2026 ]]*8</f>
        <v>1896</v>
      </c>
      <c r="K29" s="5"/>
      <c r="L29" s="1"/>
      <c r="M29" s="5"/>
      <c r="N29" s="5">
        <f t="shared" si="4"/>
        <v>1896</v>
      </c>
      <c r="O29" s="5">
        <f t="shared" si="5"/>
        <v>0</v>
      </c>
      <c r="P29" s="5">
        <f>Table16[[#This Row],[Enrolment S.Y. 2025-2026 ]]*8</f>
        <v>1896</v>
      </c>
      <c r="Q29" s="5"/>
      <c r="R29" s="1"/>
      <c r="S29" s="5"/>
      <c r="T29" s="5">
        <f t="shared" si="6"/>
        <v>1896</v>
      </c>
      <c r="U29" s="5">
        <f t="shared" si="7"/>
        <v>0</v>
      </c>
      <c r="V29" s="5">
        <f>Table16[[#This Row],[Enrolment S.Y. 2025-2026 ]]*8</f>
        <v>1896</v>
      </c>
      <c r="W29" s="5"/>
      <c r="X29" s="1"/>
      <c r="Y29" s="5"/>
      <c r="Z29" s="5">
        <f t="shared" si="8"/>
        <v>1896</v>
      </c>
      <c r="AA29" s="5">
        <f t="shared" si="9"/>
        <v>0</v>
      </c>
    </row>
    <row r="30" spans="1:27" ht="19.5">
      <c r="A30" s="1">
        <v>3</v>
      </c>
      <c r="B30" s="9" t="s">
        <v>16</v>
      </c>
      <c r="C30" s="1">
        <v>237</v>
      </c>
      <c r="D30" s="5">
        <f>Table16[[#This Row],[Enrolment S.Y. 2025-2026 ]]*8</f>
        <v>1896</v>
      </c>
      <c r="E30" s="5"/>
      <c r="F30" s="1"/>
      <c r="G30" s="5"/>
      <c r="H30" s="5">
        <f>IF((D30-E30)&lt;0,0,(D30-E30))</f>
        <v>1896</v>
      </c>
      <c r="I30" s="5">
        <f>IF((E30-D30)&lt;0,0,(E30-D30))</f>
        <v>0</v>
      </c>
      <c r="J30" s="5">
        <f>Table16[[#This Row],[Enrolment S.Y. 2025-2026 ]]*8</f>
        <v>1896</v>
      </c>
      <c r="K30" s="5"/>
      <c r="L30" s="1"/>
      <c r="M30" s="5"/>
      <c r="N30" s="5">
        <f t="shared" si="4"/>
        <v>1896</v>
      </c>
      <c r="O30" s="5">
        <f t="shared" si="5"/>
        <v>0</v>
      </c>
      <c r="P30" s="5">
        <f>Table16[[#This Row],[Enrolment S.Y. 2025-2026 ]]*8</f>
        <v>1896</v>
      </c>
      <c r="Q30" s="5"/>
      <c r="R30" s="1"/>
      <c r="S30" s="5"/>
      <c r="T30" s="5">
        <f t="shared" si="6"/>
        <v>1896</v>
      </c>
      <c r="U30" s="5">
        <f t="shared" si="7"/>
        <v>0</v>
      </c>
      <c r="V30" s="5">
        <f>Table16[[#This Row],[Enrolment S.Y. 2025-2026 ]]*8</f>
        <v>1896</v>
      </c>
      <c r="W30" s="5"/>
      <c r="X30" s="1"/>
      <c r="Y30" s="5"/>
      <c r="Z30" s="5">
        <f t="shared" si="8"/>
        <v>1896</v>
      </c>
      <c r="AA30" s="5">
        <f t="shared" si="9"/>
        <v>0</v>
      </c>
    </row>
    <row r="31" spans="1:27" ht="19.5">
      <c r="A31" s="1">
        <v>3</v>
      </c>
      <c r="B31" s="9" t="s">
        <v>62</v>
      </c>
      <c r="C31" s="1">
        <v>237</v>
      </c>
      <c r="D31" s="5">
        <f>Table16[[#This Row],[Enrolment S.Y. 2025-2026 ]]*8</f>
        <v>1896</v>
      </c>
      <c r="E31" s="5"/>
      <c r="F31" s="1"/>
      <c r="G31" s="5"/>
      <c r="H31" s="5">
        <f>IF((D31-E31)&lt;0,0,(D31-E31))</f>
        <v>1896</v>
      </c>
      <c r="I31" s="5">
        <f>IF((E31-D31)&lt;0,0,(E31-D31))</f>
        <v>0</v>
      </c>
      <c r="J31" s="5">
        <f>Table16[[#This Row],[Enrolment S.Y. 2025-2026 ]]*8</f>
        <v>1896</v>
      </c>
      <c r="K31" s="5"/>
      <c r="L31" s="1"/>
      <c r="M31" s="5"/>
      <c r="N31" s="5">
        <f t="shared" si="4"/>
        <v>1896</v>
      </c>
      <c r="O31" s="5">
        <f t="shared" si="5"/>
        <v>0</v>
      </c>
      <c r="P31" s="5">
        <f>Table16[[#This Row],[Enrolment S.Y. 2025-2026 ]]*8</f>
        <v>1896</v>
      </c>
      <c r="Q31" s="5"/>
      <c r="R31" s="1"/>
      <c r="S31" s="5"/>
      <c r="T31" s="5">
        <f t="shared" si="6"/>
        <v>1896</v>
      </c>
      <c r="U31" s="5">
        <f t="shared" si="7"/>
        <v>0</v>
      </c>
      <c r="V31" s="5">
        <f>Table16[[#This Row],[Enrolment S.Y. 2025-2026 ]]*8</f>
        <v>1896</v>
      </c>
      <c r="W31" s="5"/>
      <c r="X31" s="1"/>
      <c r="Y31" s="5"/>
      <c r="Z31" s="5">
        <f t="shared" si="8"/>
        <v>1896</v>
      </c>
      <c r="AA31" s="5">
        <f t="shared" si="9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269</v>
      </c>
      <c r="D33" s="5">
        <f>Table16[[#This Row],[Enrolment S.Y. 2025-2026 ]]*8</f>
        <v>2152</v>
      </c>
      <c r="E33" s="5">
        <v>38</v>
      </c>
      <c r="F33" s="1">
        <v>2024</v>
      </c>
      <c r="G33" s="5"/>
      <c r="H33" s="5">
        <f t="shared" si="2"/>
        <v>2114</v>
      </c>
      <c r="I33" s="5">
        <f t="shared" si="3"/>
        <v>0</v>
      </c>
      <c r="J33" s="5">
        <f>Table16[[#This Row],[Enrolment S.Y. 2025-2026 ]]*8</f>
        <v>2152</v>
      </c>
      <c r="K33" s="5"/>
      <c r="L33" s="1"/>
      <c r="M33" s="5"/>
      <c r="N33" s="5">
        <f t="shared" si="4"/>
        <v>2152</v>
      </c>
      <c r="O33" s="5">
        <f t="shared" si="5"/>
        <v>0</v>
      </c>
      <c r="P33" s="5">
        <f>Table16[[#This Row],[Enrolment S.Y. 2025-2026 ]]*8</f>
        <v>2152</v>
      </c>
      <c r="Q33" s="5"/>
      <c r="R33" s="1"/>
      <c r="S33" s="5"/>
      <c r="T33" s="5">
        <f t="shared" si="6"/>
        <v>2152</v>
      </c>
      <c r="U33" s="5">
        <f t="shared" si="7"/>
        <v>0</v>
      </c>
      <c r="V33" s="5">
        <f>Table16[[#This Row],[Enrolment S.Y. 2025-2026 ]]*8</f>
        <v>2152</v>
      </c>
      <c r="W33" s="5"/>
      <c r="X33" s="1"/>
      <c r="Y33" s="5"/>
      <c r="Z33" s="5">
        <f t="shared" si="8"/>
        <v>2152</v>
      </c>
      <c r="AA33" s="5">
        <f t="shared" si="9"/>
        <v>0</v>
      </c>
    </row>
    <row r="34" spans="1:27" ht="19.5">
      <c r="A34" s="1">
        <v>4</v>
      </c>
      <c r="B34" s="9" t="s">
        <v>16</v>
      </c>
      <c r="C34" s="1">
        <v>269</v>
      </c>
      <c r="D34" s="5">
        <f>Table16[[#This Row],[Enrolment S.Y. 2025-2026 ]]*8</f>
        <v>2152</v>
      </c>
      <c r="E34" s="5"/>
      <c r="F34" s="1"/>
      <c r="G34" s="5"/>
      <c r="H34" s="5">
        <f t="shared" si="2"/>
        <v>2152</v>
      </c>
      <c r="I34" s="5">
        <f t="shared" si="3"/>
        <v>0</v>
      </c>
      <c r="J34" s="5">
        <f>Table16[[#This Row],[Enrolment S.Y. 2025-2026 ]]*8</f>
        <v>2152</v>
      </c>
      <c r="K34" s="5"/>
      <c r="L34" s="1"/>
      <c r="M34" s="5"/>
      <c r="N34" s="5">
        <f t="shared" si="4"/>
        <v>2152</v>
      </c>
      <c r="O34" s="5">
        <f t="shared" si="5"/>
        <v>0</v>
      </c>
      <c r="P34" s="5">
        <f>Table16[[#This Row],[Enrolment S.Y. 2025-2026 ]]*8</f>
        <v>2152</v>
      </c>
      <c r="Q34" s="5"/>
      <c r="R34" s="1"/>
      <c r="S34" s="5"/>
      <c r="T34" s="5">
        <f t="shared" si="6"/>
        <v>2152</v>
      </c>
      <c r="U34" s="5">
        <f t="shared" si="7"/>
        <v>0</v>
      </c>
      <c r="V34" s="5">
        <f>Table16[[#This Row],[Enrolment S.Y. 2025-2026 ]]*8</f>
        <v>2152</v>
      </c>
      <c r="W34" s="5"/>
      <c r="X34" s="1"/>
      <c r="Y34" s="5"/>
      <c r="Z34" s="5">
        <f t="shared" si="8"/>
        <v>2152</v>
      </c>
      <c r="AA34" s="5">
        <f t="shared" si="9"/>
        <v>0</v>
      </c>
    </row>
    <row r="35" spans="1:27" ht="19.5">
      <c r="A35" s="1">
        <v>4</v>
      </c>
      <c r="B35" s="9" t="s">
        <v>13</v>
      </c>
      <c r="C35" s="1">
        <v>269</v>
      </c>
      <c r="D35" s="5">
        <f>Table16[[#This Row],[Enrolment S.Y. 2025-2026 ]]*8</f>
        <v>2152</v>
      </c>
      <c r="E35" s="5">
        <v>38</v>
      </c>
      <c r="F35" s="1">
        <v>2024</v>
      </c>
      <c r="G35" s="5"/>
      <c r="H35" s="5">
        <f t="shared" si="2"/>
        <v>2114</v>
      </c>
      <c r="I35" s="5">
        <f t="shared" si="3"/>
        <v>0</v>
      </c>
      <c r="J35" s="5">
        <f>Table16[[#This Row],[Enrolment S.Y. 2025-2026 ]]*8</f>
        <v>2152</v>
      </c>
      <c r="K35" s="5"/>
      <c r="L35" s="1"/>
      <c r="M35" s="5"/>
      <c r="N35" s="5">
        <f t="shared" si="4"/>
        <v>2152</v>
      </c>
      <c r="O35" s="5">
        <f t="shared" si="5"/>
        <v>0</v>
      </c>
      <c r="P35" s="5">
        <f>Table16[[#This Row],[Enrolment S.Y. 2025-2026 ]]*8</f>
        <v>2152</v>
      </c>
      <c r="Q35" s="5"/>
      <c r="R35" s="1"/>
      <c r="S35" s="5"/>
      <c r="T35" s="5">
        <f t="shared" si="6"/>
        <v>2152</v>
      </c>
      <c r="U35" s="5">
        <f t="shared" si="7"/>
        <v>0</v>
      </c>
      <c r="V35" s="5">
        <f>Table16[[#This Row],[Enrolment S.Y. 2025-2026 ]]*8</f>
        <v>2152</v>
      </c>
      <c r="W35" s="5"/>
      <c r="X35" s="1"/>
      <c r="Y35" s="5"/>
      <c r="Z35" s="5">
        <f t="shared" si="8"/>
        <v>2152</v>
      </c>
      <c r="AA35" s="5">
        <f t="shared" si="9"/>
        <v>0</v>
      </c>
    </row>
    <row r="36" spans="1:27" ht="19.5">
      <c r="A36" s="1">
        <v>4</v>
      </c>
      <c r="B36" s="9" t="s">
        <v>11</v>
      </c>
      <c r="C36" s="1">
        <v>269</v>
      </c>
      <c r="D36" s="5">
        <f>Table16[[#This Row],[Enrolment S.Y. 2025-2026 ]]*8</f>
        <v>2152</v>
      </c>
      <c r="E36" s="5"/>
      <c r="F36" s="1"/>
      <c r="G36" s="5"/>
      <c r="H36" s="5">
        <f t="shared" si="2"/>
        <v>2152</v>
      </c>
      <c r="I36" s="5">
        <f t="shared" si="3"/>
        <v>0</v>
      </c>
      <c r="J36" s="5">
        <f>Table16[[#This Row],[Enrolment S.Y. 2025-2026 ]]*8</f>
        <v>2152</v>
      </c>
      <c r="K36" s="5"/>
      <c r="L36" s="1"/>
      <c r="M36" s="5"/>
      <c r="N36" s="5">
        <f t="shared" si="4"/>
        <v>2152</v>
      </c>
      <c r="O36" s="5">
        <f t="shared" si="5"/>
        <v>0</v>
      </c>
      <c r="P36" s="5">
        <f>Table16[[#This Row],[Enrolment S.Y. 2025-2026 ]]*8</f>
        <v>2152</v>
      </c>
      <c r="Q36" s="5"/>
      <c r="R36" s="1"/>
      <c r="S36" s="5"/>
      <c r="T36" s="5">
        <f t="shared" si="6"/>
        <v>2152</v>
      </c>
      <c r="U36" s="5">
        <f t="shared" si="7"/>
        <v>0</v>
      </c>
      <c r="V36" s="5">
        <f>Table16[[#This Row],[Enrolment S.Y. 2025-2026 ]]*8</f>
        <v>2152</v>
      </c>
      <c r="W36" s="5"/>
      <c r="X36" s="1"/>
      <c r="Y36" s="5"/>
      <c r="Z36" s="5">
        <f t="shared" si="8"/>
        <v>2152</v>
      </c>
      <c r="AA36" s="5">
        <f t="shared" si="9"/>
        <v>0</v>
      </c>
    </row>
    <row r="37" spans="1:27" ht="38.25">
      <c r="A37" s="1">
        <v>4</v>
      </c>
      <c r="B37" s="9" t="s">
        <v>17</v>
      </c>
      <c r="C37" s="1">
        <v>269</v>
      </c>
      <c r="D37" s="5">
        <f>Table16[[#This Row],[Enrolment S.Y. 2025-2026 ]]*8</f>
        <v>2152</v>
      </c>
      <c r="E37" s="5"/>
      <c r="F37" s="1"/>
      <c r="G37" s="5"/>
      <c r="H37" s="5">
        <f t="shared" si="2"/>
        <v>2152</v>
      </c>
      <c r="I37" s="5">
        <f t="shared" si="3"/>
        <v>0</v>
      </c>
      <c r="J37" s="5">
        <f>Table16[[#This Row],[Enrolment S.Y. 2025-2026 ]]*8</f>
        <v>2152</v>
      </c>
      <c r="K37" s="5"/>
      <c r="L37" s="1"/>
      <c r="M37" s="5"/>
      <c r="N37" s="5">
        <f t="shared" si="4"/>
        <v>2152</v>
      </c>
      <c r="O37" s="5">
        <f t="shared" si="5"/>
        <v>0</v>
      </c>
      <c r="P37" s="5">
        <f>Table16[[#This Row],[Enrolment S.Y. 2025-2026 ]]*8</f>
        <v>2152</v>
      </c>
      <c r="Q37" s="5"/>
      <c r="R37" s="1"/>
      <c r="S37" s="5"/>
      <c r="T37" s="5">
        <f t="shared" si="6"/>
        <v>2152</v>
      </c>
      <c r="U37" s="5">
        <f t="shared" si="7"/>
        <v>0</v>
      </c>
      <c r="V37" s="5">
        <f>Table16[[#This Row],[Enrolment S.Y. 2025-2026 ]]*8</f>
        <v>2152</v>
      </c>
      <c r="W37" s="5"/>
      <c r="X37" s="1"/>
      <c r="Y37" s="5"/>
      <c r="Z37" s="5">
        <f t="shared" si="8"/>
        <v>2152</v>
      </c>
      <c r="AA37" s="5">
        <f t="shared" si="9"/>
        <v>0</v>
      </c>
    </row>
    <row r="38" spans="1:27" ht="19.5">
      <c r="A38" s="1">
        <v>4</v>
      </c>
      <c r="B38" s="9" t="s">
        <v>14</v>
      </c>
      <c r="C38" s="1">
        <v>269</v>
      </c>
      <c r="D38" s="5">
        <f>Table16[[#This Row],[Enrolment S.Y. 2025-2026 ]]*8</f>
        <v>2152</v>
      </c>
      <c r="E38" s="5">
        <v>38</v>
      </c>
      <c r="F38" s="1">
        <v>2024</v>
      </c>
      <c r="G38" s="5"/>
      <c r="H38" s="5">
        <f t="shared" si="2"/>
        <v>2114</v>
      </c>
      <c r="I38" s="5">
        <f t="shared" si="3"/>
        <v>0</v>
      </c>
      <c r="J38" s="5">
        <f>Table16[[#This Row],[Enrolment S.Y. 2025-2026 ]]*8</f>
        <v>2152</v>
      </c>
      <c r="K38" s="5"/>
      <c r="L38" s="1"/>
      <c r="M38" s="5"/>
      <c r="N38" s="5">
        <f t="shared" si="4"/>
        <v>2152</v>
      </c>
      <c r="O38" s="5">
        <f t="shared" si="5"/>
        <v>0</v>
      </c>
      <c r="P38" s="5">
        <f>Table16[[#This Row],[Enrolment S.Y. 2025-2026 ]]*8</f>
        <v>2152</v>
      </c>
      <c r="Q38" s="5"/>
      <c r="R38" s="1"/>
      <c r="S38" s="5"/>
      <c r="T38" s="5">
        <f t="shared" si="6"/>
        <v>2152</v>
      </c>
      <c r="U38" s="5">
        <f t="shared" si="7"/>
        <v>0</v>
      </c>
      <c r="V38" s="5">
        <f>Table16[[#This Row],[Enrolment S.Y. 2025-2026 ]]*8</f>
        <v>2152</v>
      </c>
      <c r="W38" s="5"/>
      <c r="X38" s="1"/>
      <c r="Y38" s="5"/>
      <c r="Z38" s="5">
        <f t="shared" si="8"/>
        <v>2152</v>
      </c>
      <c r="AA38" s="5">
        <f t="shared" si="9"/>
        <v>0</v>
      </c>
    </row>
    <row r="39" spans="1:27" ht="19.5">
      <c r="A39" s="1">
        <v>4</v>
      </c>
      <c r="B39" s="9" t="s">
        <v>18</v>
      </c>
      <c r="C39" s="1">
        <v>269</v>
      </c>
      <c r="D39" s="5">
        <f>Table16[[#This Row],[Enrolment S.Y. 2025-2026 ]]*8</f>
        <v>2152</v>
      </c>
      <c r="E39" s="5"/>
      <c r="F39" s="1"/>
      <c r="G39" s="5"/>
      <c r="H39" s="5">
        <f t="shared" si="2"/>
        <v>2152</v>
      </c>
      <c r="I39" s="5">
        <f t="shared" si="3"/>
        <v>0</v>
      </c>
      <c r="J39" s="5">
        <f>Table16[[#This Row],[Enrolment S.Y. 2025-2026 ]]*8</f>
        <v>2152</v>
      </c>
      <c r="K39" s="5"/>
      <c r="L39" s="1"/>
      <c r="M39" s="5"/>
      <c r="N39" s="5">
        <f t="shared" si="4"/>
        <v>2152</v>
      </c>
      <c r="O39" s="5">
        <f t="shared" si="5"/>
        <v>0</v>
      </c>
      <c r="P39" s="5">
        <f>Table16[[#This Row],[Enrolment S.Y. 2025-2026 ]]*8</f>
        <v>2152</v>
      </c>
      <c r="Q39" s="5"/>
      <c r="R39" s="1"/>
      <c r="S39" s="5"/>
      <c r="T39" s="5">
        <f t="shared" si="6"/>
        <v>2152</v>
      </c>
      <c r="U39" s="5">
        <f t="shared" si="7"/>
        <v>0</v>
      </c>
      <c r="V39" s="5">
        <f>Table16[[#This Row],[Enrolment S.Y. 2025-2026 ]]*8</f>
        <v>2152</v>
      </c>
      <c r="W39" s="5"/>
      <c r="X39" s="1"/>
      <c r="Y39" s="5"/>
      <c r="Z39" s="5">
        <f t="shared" si="8"/>
        <v>2152</v>
      </c>
      <c r="AA39" s="5">
        <f t="shared" si="9"/>
        <v>0</v>
      </c>
    </row>
    <row r="40" spans="1:27" ht="19.5">
      <c r="A40" s="1">
        <v>4</v>
      </c>
      <c r="B40" s="9" t="s">
        <v>19</v>
      </c>
      <c r="C40" s="1">
        <v>269</v>
      </c>
      <c r="D40" s="5">
        <f>Table16[[#This Row],[Enrolment S.Y. 2025-2026 ]]*8</f>
        <v>2152</v>
      </c>
      <c r="E40" s="5">
        <v>38</v>
      </c>
      <c r="F40" s="1">
        <v>2024</v>
      </c>
      <c r="G40" s="5"/>
      <c r="H40" s="5">
        <f t="shared" si="2"/>
        <v>2114</v>
      </c>
      <c r="I40" s="5">
        <f t="shared" si="3"/>
        <v>0</v>
      </c>
      <c r="J40" s="5">
        <f>Table16[[#This Row],[Enrolment S.Y. 2025-2026 ]]*8</f>
        <v>2152</v>
      </c>
      <c r="K40" s="5"/>
      <c r="L40" s="1"/>
      <c r="M40" s="5"/>
      <c r="N40" s="5">
        <f t="shared" si="4"/>
        <v>2152</v>
      </c>
      <c r="O40" s="5">
        <f t="shared" si="5"/>
        <v>0</v>
      </c>
      <c r="P40" s="5">
        <f>Table16[[#This Row],[Enrolment S.Y. 2025-2026 ]]*8</f>
        <v>2152</v>
      </c>
      <c r="Q40" s="5"/>
      <c r="R40" s="1"/>
      <c r="S40" s="5"/>
      <c r="T40" s="5">
        <f t="shared" si="6"/>
        <v>2152</v>
      </c>
      <c r="U40" s="5">
        <f t="shared" si="7"/>
        <v>0</v>
      </c>
      <c r="V40" s="5">
        <f>Table16[[#This Row],[Enrolment S.Y. 2025-2026 ]]*8</f>
        <v>2152</v>
      </c>
      <c r="W40" s="5"/>
      <c r="X40" s="1"/>
      <c r="Y40" s="5"/>
      <c r="Z40" s="5">
        <f t="shared" si="8"/>
        <v>2152</v>
      </c>
      <c r="AA40" s="5">
        <f t="shared" si="9"/>
        <v>0</v>
      </c>
    </row>
    <row r="41" spans="1:27" ht="19.5">
      <c r="A41" s="1">
        <v>4</v>
      </c>
      <c r="B41" s="9" t="s">
        <v>20</v>
      </c>
      <c r="C41" s="1">
        <v>269</v>
      </c>
      <c r="D41" s="5">
        <f>Table16[[#This Row],[Enrolment S.Y. 2025-2026 ]]*8</f>
        <v>2152</v>
      </c>
      <c r="E41" s="5">
        <v>38</v>
      </c>
      <c r="F41" s="1">
        <v>2024</v>
      </c>
      <c r="G41" s="5"/>
      <c r="H41" s="5">
        <f t="shared" si="2"/>
        <v>2114</v>
      </c>
      <c r="I41" s="5">
        <f t="shared" si="3"/>
        <v>0</v>
      </c>
      <c r="J41" s="5">
        <f>Table16[[#This Row],[Enrolment S.Y. 2025-2026 ]]*8</f>
        <v>2152</v>
      </c>
      <c r="K41" s="5"/>
      <c r="L41" s="1"/>
      <c r="M41" s="5"/>
      <c r="N41" s="5">
        <f t="shared" si="4"/>
        <v>2152</v>
      </c>
      <c r="O41" s="5">
        <f t="shared" si="5"/>
        <v>0</v>
      </c>
      <c r="P41" s="5">
        <f>Table16[[#This Row],[Enrolment S.Y. 2025-2026 ]]*8</f>
        <v>2152</v>
      </c>
      <c r="Q41" s="5"/>
      <c r="R41" s="1"/>
      <c r="S41" s="5"/>
      <c r="T41" s="5">
        <f t="shared" si="6"/>
        <v>2152</v>
      </c>
      <c r="U41" s="5">
        <f t="shared" si="7"/>
        <v>0</v>
      </c>
      <c r="V41" s="5">
        <f>Table16[[#This Row],[Enrolment S.Y. 2025-2026 ]]*8</f>
        <v>2152</v>
      </c>
      <c r="W41" s="5"/>
      <c r="X41" s="1"/>
      <c r="Y41" s="5"/>
      <c r="Z41" s="5">
        <f t="shared" si="8"/>
        <v>2152</v>
      </c>
      <c r="AA41" s="5">
        <f t="shared" si="9"/>
        <v>0</v>
      </c>
    </row>
    <row r="42" spans="1:27" ht="21">
      <c r="A42" s="32">
        <v>4</v>
      </c>
      <c r="B42" s="33" t="s">
        <v>63</v>
      </c>
      <c r="C42" s="32">
        <v>269</v>
      </c>
      <c r="D42" s="34">
        <f>Table16[[#This Row],[Enrolment S.Y. 2025-2026 ]]*8</f>
        <v>2152</v>
      </c>
      <c r="E42" s="34">
        <v>38</v>
      </c>
      <c r="F42" s="32">
        <v>2024</v>
      </c>
      <c r="G42" s="34"/>
      <c r="H42" s="34">
        <f>IF((D42-E42)&lt;0,0,(D42-E42))</f>
        <v>2114</v>
      </c>
      <c r="I42" s="34">
        <f>IF((E42-D42)&lt;0,0,(E42-D42))</f>
        <v>0</v>
      </c>
      <c r="J42" s="34">
        <f>Table16[[#This Row],[Enrolment S.Y. 2025-2026 ]]*8</f>
        <v>2152</v>
      </c>
      <c r="K42" s="34"/>
      <c r="L42" s="32"/>
      <c r="M42" s="34"/>
      <c r="N42" s="34"/>
      <c r="O42" s="34"/>
      <c r="P42" s="34" t="e">
        <f>#REF!*8</f>
        <v>#REF!</v>
      </c>
      <c r="Q42" s="34"/>
      <c r="R42" s="32"/>
      <c r="S42" s="34"/>
      <c r="T42" s="34" t="e">
        <f>IF((P42-Q42)&lt;0,0,(P42-Q42))</f>
        <v>#REF!</v>
      </c>
      <c r="U42" s="34" t="e">
        <f>IF((Q42-P42)&lt;0,0,(Q42-P42))</f>
        <v>#REF!</v>
      </c>
      <c r="V42" s="34">
        <f>Table16[[#This Row],[Enrolment S.Y. 2025-2026 ]]*8</f>
        <v>2152</v>
      </c>
      <c r="W42" s="34"/>
      <c r="X42" s="32"/>
      <c r="Y42" s="34"/>
      <c r="Z42" s="34">
        <f>IF((V42-W42)&lt;0,0,(V42-W42))</f>
        <v>2152</v>
      </c>
      <c r="AA42" s="34">
        <f>IF((W42-V42)&lt;0,0,(W42-V42))</f>
        <v>0</v>
      </c>
    </row>
    <row r="43" spans="1:27" s="7" customFormat="1" ht="19.5">
      <c r="J43" s="13"/>
      <c r="M43" s="5"/>
      <c r="N43" s="13"/>
      <c r="O43" s="13"/>
      <c r="P43" s="13"/>
      <c r="S43" s="5"/>
      <c r="T43" s="13"/>
      <c r="U43" s="13"/>
      <c r="V43" s="13"/>
      <c r="Y43" s="5"/>
      <c r="Z43" s="13"/>
      <c r="AA43" s="13"/>
    </row>
    <row r="44" spans="1:27" ht="19.5">
      <c r="A44" s="1">
        <v>5</v>
      </c>
      <c r="B44" s="9" t="s">
        <v>15</v>
      </c>
      <c r="C44" s="1">
        <v>241</v>
      </c>
      <c r="D44" s="5">
        <f>Table16[[#This Row],[Enrolment S.Y. 2025-2026 ]]*8</f>
        <v>1928</v>
      </c>
      <c r="E44" s="5"/>
      <c r="F44" s="1"/>
      <c r="G44" s="5"/>
      <c r="H44" s="5">
        <f t="shared" si="2"/>
        <v>1928</v>
      </c>
      <c r="I44" s="5">
        <f t="shared" si="3"/>
        <v>0</v>
      </c>
      <c r="J44" s="5">
        <f>Table16[[#This Row],[Enrolment S.Y. 2025-2026 ]]*8</f>
        <v>1928</v>
      </c>
      <c r="K44" s="5"/>
      <c r="L44" s="1"/>
      <c r="M44" s="5"/>
      <c r="N44" s="5">
        <f t="shared" si="4"/>
        <v>1928</v>
      </c>
      <c r="O44" s="5">
        <f t="shared" si="5"/>
        <v>0</v>
      </c>
      <c r="P44" s="5">
        <f>Table16[[#This Row],[Enrolment S.Y. 2025-2026 ]]*8</f>
        <v>1928</v>
      </c>
      <c r="Q44" s="5"/>
      <c r="R44" s="1"/>
      <c r="S44" s="5"/>
      <c r="T44" s="5">
        <f t="shared" si="6"/>
        <v>1928</v>
      </c>
      <c r="U44" s="5">
        <f t="shared" si="7"/>
        <v>0</v>
      </c>
      <c r="V44" s="5">
        <f>Table16[[#This Row],[Enrolment S.Y. 2025-2026 ]]*8</f>
        <v>1928</v>
      </c>
      <c r="W44" s="5"/>
      <c r="X44" s="1"/>
      <c r="Y44" s="5"/>
      <c r="Z44" s="5">
        <f t="shared" si="8"/>
        <v>1928</v>
      </c>
      <c r="AA44" s="5">
        <f t="shared" si="9"/>
        <v>0</v>
      </c>
    </row>
    <row r="45" spans="1:27" ht="19.5">
      <c r="A45" s="1">
        <v>5</v>
      </c>
      <c r="B45" s="9" t="s">
        <v>16</v>
      </c>
      <c r="C45" s="1">
        <v>241</v>
      </c>
      <c r="D45" s="5">
        <f>Table16[[#This Row],[Enrolment S.Y. 2025-2026 ]]*8</f>
        <v>1928</v>
      </c>
      <c r="E45" s="5"/>
      <c r="F45" s="1"/>
      <c r="G45" s="5"/>
      <c r="H45" s="5">
        <f t="shared" si="2"/>
        <v>1928</v>
      </c>
      <c r="I45" s="5">
        <f t="shared" si="3"/>
        <v>0</v>
      </c>
      <c r="J45" s="5">
        <f>Table16[[#This Row],[Enrolment S.Y. 2025-2026 ]]*8</f>
        <v>1928</v>
      </c>
      <c r="K45" s="5"/>
      <c r="L45" s="1"/>
      <c r="M45" s="5"/>
      <c r="N45" s="5">
        <f t="shared" si="4"/>
        <v>1928</v>
      </c>
      <c r="O45" s="5">
        <f t="shared" si="5"/>
        <v>0</v>
      </c>
      <c r="P45" s="5">
        <f>Table16[[#This Row],[Enrolment S.Y. 2025-2026 ]]*8</f>
        <v>1928</v>
      </c>
      <c r="Q45" s="5"/>
      <c r="R45" s="1"/>
      <c r="S45" s="5"/>
      <c r="T45" s="5">
        <f t="shared" si="6"/>
        <v>1928</v>
      </c>
      <c r="U45" s="5">
        <f t="shared" si="7"/>
        <v>0</v>
      </c>
      <c r="V45" s="5">
        <f>Table16[[#This Row],[Enrolment S.Y. 2025-2026 ]]*8</f>
        <v>1928</v>
      </c>
      <c r="W45" s="5"/>
      <c r="X45" s="1"/>
      <c r="Y45" s="5"/>
      <c r="Z45" s="5">
        <f t="shared" si="8"/>
        <v>1928</v>
      </c>
      <c r="AA45" s="5">
        <f t="shared" si="9"/>
        <v>0</v>
      </c>
    </row>
    <row r="46" spans="1:27" ht="19.5">
      <c r="A46" s="1">
        <v>5</v>
      </c>
      <c r="B46" s="9" t="s">
        <v>13</v>
      </c>
      <c r="C46" s="1">
        <v>241</v>
      </c>
      <c r="D46" s="5">
        <f>Table16[[#This Row],[Enrolment S.Y. 2025-2026 ]]*8</f>
        <v>1928</v>
      </c>
      <c r="E46" s="5"/>
      <c r="F46" s="1"/>
      <c r="G46" s="5"/>
      <c r="H46" s="5">
        <f t="shared" si="2"/>
        <v>1928</v>
      </c>
      <c r="I46" s="5">
        <f t="shared" si="3"/>
        <v>0</v>
      </c>
      <c r="J46" s="5">
        <f>Table16[[#This Row],[Enrolment S.Y. 2025-2026 ]]*8</f>
        <v>1928</v>
      </c>
      <c r="K46" s="5"/>
      <c r="L46" s="1"/>
      <c r="M46" s="5"/>
      <c r="N46" s="5">
        <f t="shared" si="4"/>
        <v>1928</v>
      </c>
      <c r="O46" s="5">
        <f t="shared" si="5"/>
        <v>0</v>
      </c>
      <c r="P46" s="5">
        <f>Table16[[#This Row],[Enrolment S.Y. 2025-2026 ]]*8</f>
        <v>1928</v>
      </c>
      <c r="Q46" s="5"/>
      <c r="R46" s="1"/>
      <c r="S46" s="5"/>
      <c r="T46" s="5">
        <f t="shared" si="6"/>
        <v>1928</v>
      </c>
      <c r="U46" s="5">
        <f t="shared" si="7"/>
        <v>0</v>
      </c>
      <c r="V46" s="5">
        <f>Table16[[#This Row],[Enrolment S.Y. 2025-2026 ]]*8</f>
        <v>1928</v>
      </c>
      <c r="W46" s="5"/>
      <c r="X46" s="1"/>
      <c r="Y46" s="5"/>
      <c r="Z46" s="5">
        <f t="shared" si="8"/>
        <v>1928</v>
      </c>
      <c r="AA46" s="5">
        <f t="shared" si="9"/>
        <v>0</v>
      </c>
    </row>
    <row r="47" spans="1:27" ht="19.5">
      <c r="A47" s="1">
        <v>5</v>
      </c>
      <c r="B47" s="9" t="s">
        <v>11</v>
      </c>
      <c r="C47" s="1">
        <v>241</v>
      </c>
      <c r="D47" s="5">
        <f>Table16[[#This Row],[Enrolment S.Y. 2025-2026 ]]*8</f>
        <v>1928</v>
      </c>
      <c r="E47" s="5"/>
      <c r="F47" s="1"/>
      <c r="G47" s="5"/>
      <c r="H47" s="5">
        <f t="shared" si="2"/>
        <v>1928</v>
      </c>
      <c r="I47" s="5">
        <f t="shared" si="3"/>
        <v>0</v>
      </c>
      <c r="J47" s="5">
        <f>Table16[[#This Row],[Enrolment S.Y. 2025-2026 ]]*8</f>
        <v>1928</v>
      </c>
      <c r="K47" s="5"/>
      <c r="L47" s="1"/>
      <c r="M47" s="5"/>
      <c r="N47" s="5">
        <f t="shared" si="4"/>
        <v>1928</v>
      </c>
      <c r="O47" s="5">
        <f t="shared" si="5"/>
        <v>0</v>
      </c>
      <c r="P47" s="5">
        <f>Table16[[#This Row],[Enrolment S.Y. 2025-2026 ]]*8</f>
        <v>1928</v>
      </c>
      <c r="Q47" s="5"/>
      <c r="R47" s="1"/>
      <c r="S47" s="5"/>
      <c r="T47" s="5">
        <f t="shared" si="6"/>
        <v>1928</v>
      </c>
      <c r="U47" s="5">
        <f t="shared" si="7"/>
        <v>0</v>
      </c>
      <c r="V47" s="5">
        <f>Table16[[#This Row],[Enrolment S.Y. 2025-2026 ]]*8</f>
        <v>1928</v>
      </c>
      <c r="W47" s="5"/>
      <c r="X47" s="1"/>
      <c r="Y47" s="5"/>
      <c r="Z47" s="5">
        <f t="shared" si="8"/>
        <v>1928</v>
      </c>
      <c r="AA47" s="5">
        <f t="shared" si="9"/>
        <v>0</v>
      </c>
    </row>
    <row r="48" spans="1:27" ht="38.25">
      <c r="A48" s="1">
        <v>5</v>
      </c>
      <c r="B48" s="9" t="s">
        <v>17</v>
      </c>
      <c r="C48" s="1">
        <v>241</v>
      </c>
      <c r="D48" s="5">
        <f>Table16[[#This Row],[Enrolment S.Y. 2025-2026 ]]*8</f>
        <v>1928</v>
      </c>
      <c r="E48" s="5"/>
      <c r="F48" s="1"/>
      <c r="G48" s="5"/>
      <c r="H48" s="5">
        <f t="shared" si="2"/>
        <v>1928</v>
      </c>
      <c r="I48" s="5">
        <f t="shared" si="3"/>
        <v>0</v>
      </c>
      <c r="J48" s="5">
        <f>Table16[[#This Row],[Enrolment S.Y. 2025-2026 ]]*8</f>
        <v>1928</v>
      </c>
      <c r="K48" s="5"/>
      <c r="L48" s="1"/>
      <c r="M48" s="5"/>
      <c r="N48" s="5">
        <f t="shared" si="4"/>
        <v>1928</v>
      </c>
      <c r="O48" s="5">
        <f t="shared" si="5"/>
        <v>0</v>
      </c>
      <c r="P48" s="5">
        <f>Table16[[#This Row],[Enrolment S.Y. 2025-2026 ]]*8</f>
        <v>1928</v>
      </c>
      <c r="Q48" s="5"/>
      <c r="R48" s="1"/>
      <c r="S48" s="5"/>
      <c r="T48" s="5">
        <f t="shared" si="6"/>
        <v>1928</v>
      </c>
      <c r="U48" s="5">
        <f t="shared" si="7"/>
        <v>0</v>
      </c>
      <c r="V48" s="5">
        <f>Table16[[#This Row],[Enrolment S.Y. 2025-2026 ]]*8</f>
        <v>1928</v>
      </c>
      <c r="W48" s="5"/>
      <c r="X48" s="1"/>
      <c r="Y48" s="5"/>
      <c r="Z48" s="5">
        <f t="shared" si="8"/>
        <v>1928</v>
      </c>
      <c r="AA48" s="5">
        <f t="shared" si="9"/>
        <v>0</v>
      </c>
    </row>
    <row r="49" spans="1:27" ht="19.5">
      <c r="A49" s="1">
        <v>5</v>
      </c>
      <c r="B49" s="9" t="s">
        <v>14</v>
      </c>
      <c r="C49" s="1">
        <v>241</v>
      </c>
      <c r="D49" s="5">
        <f>Table16[[#This Row],[Enrolment S.Y. 2025-2026 ]]*8</f>
        <v>1928</v>
      </c>
      <c r="E49" s="5"/>
      <c r="F49" s="1"/>
      <c r="G49" s="5"/>
      <c r="H49" s="5">
        <f t="shared" si="2"/>
        <v>1928</v>
      </c>
      <c r="I49" s="5">
        <f t="shared" si="3"/>
        <v>0</v>
      </c>
      <c r="J49" s="5">
        <f>Table16[[#This Row],[Enrolment S.Y. 2025-2026 ]]*8</f>
        <v>1928</v>
      </c>
      <c r="K49" s="5"/>
      <c r="L49" s="1"/>
      <c r="M49" s="5"/>
      <c r="N49" s="5">
        <f t="shared" si="4"/>
        <v>1928</v>
      </c>
      <c r="O49" s="5">
        <f t="shared" si="5"/>
        <v>0</v>
      </c>
      <c r="P49" s="5">
        <f>Table16[[#This Row],[Enrolment S.Y. 2025-2026 ]]*8</f>
        <v>1928</v>
      </c>
      <c r="Q49" s="5"/>
      <c r="R49" s="1"/>
      <c r="S49" s="5"/>
      <c r="T49" s="5">
        <f t="shared" si="6"/>
        <v>1928</v>
      </c>
      <c r="U49" s="5">
        <f t="shared" si="7"/>
        <v>0</v>
      </c>
      <c r="V49" s="5">
        <f>Table16[[#This Row],[Enrolment S.Y. 2025-2026 ]]*8</f>
        <v>1928</v>
      </c>
      <c r="W49" s="5"/>
      <c r="X49" s="1"/>
      <c r="Y49" s="5"/>
      <c r="Z49" s="5">
        <f t="shared" si="8"/>
        <v>1928</v>
      </c>
      <c r="AA49" s="5">
        <f t="shared" si="9"/>
        <v>0</v>
      </c>
    </row>
    <row r="50" spans="1:27" ht="19.5">
      <c r="A50" s="1">
        <v>5</v>
      </c>
      <c r="B50" s="9" t="s">
        <v>18</v>
      </c>
      <c r="C50" s="1">
        <v>241</v>
      </c>
      <c r="D50" s="5">
        <f>Table16[[#This Row],[Enrolment S.Y. 2025-2026 ]]*8</f>
        <v>1928</v>
      </c>
      <c r="E50" s="5"/>
      <c r="F50" s="1"/>
      <c r="G50" s="5"/>
      <c r="H50" s="5">
        <f t="shared" si="2"/>
        <v>1928</v>
      </c>
      <c r="I50" s="5">
        <f t="shared" si="3"/>
        <v>0</v>
      </c>
      <c r="J50" s="5">
        <f>Table16[[#This Row],[Enrolment S.Y. 2025-2026 ]]*8</f>
        <v>1928</v>
      </c>
      <c r="K50" s="5"/>
      <c r="L50" s="1"/>
      <c r="M50" s="5"/>
      <c r="N50" s="5">
        <f t="shared" si="4"/>
        <v>1928</v>
      </c>
      <c r="O50" s="5">
        <f t="shared" si="5"/>
        <v>0</v>
      </c>
      <c r="P50" s="5">
        <f>Table16[[#This Row],[Enrolment S.Y. 2025-2026 ]]*8</f>
        <v>1928</v>
      </c>
      <c r="Q50" s="5"/>
      <c r="R50" s="1"/>
      <c r="S50" s="5"/>
      <c r="T50" s="5">
        <f t="shared" si="6"/>
        <v>1928</v>
      </c>
      <c r="U50" s="5">
        <f t="shared" si="7"/>
        <v>0</v>
      </c>
      <c r="V50" s="5">
        <f>Table16[[#This Row],[Enrolment S.Y. 2025-2026 ]]*8</f>
        <v>1928</v>
      </c>
      <c r="W50" s="5"/>
      <c r="X50" s="1"/>
      <c r="Y50" s="5"/>
      <c r="Z50" s="5">
        <f t="shared" si="8"/>
        <v>1928</v>
      </c>
      <c r="AA50" s="5">
        <f t="shared" si="9"/>
        <v>0</v>
      </c>
    </row>
    <row r="51" spans="1:27" ht="19.5">
      <c r="A51" s="1">
        <v>5</v>
      </c>
      <c r="B51" s="9" t="s">
        <v>19</v>
      </c>
      <c r="C51" s="1">
        <v>241</v>
      </c>
      <c r="D51" s="5">
        <f>Table16[[#This Row],[Enrolment S.Y. 2025-2026 ]]*8</f>
        <v>1928</v>
      </c>
      <c r="E51" s="5"/>
      <c r="F51" s="1"/>
      <c r="G51" s="5"/>
      <c r="H51" s="5">
        <f t="shared" si="2"/>
        <v>1928</v>
      </c>
      <c r="I51" s="5">
        <f t="shared" si="3"/>
        <v>0</v>
      </c>
      <c r="J51" s="5">
        <f>Table16[[#This Row],[Enrolment S.Y. 2025-2026 ]]*8</f>
        <v>1928</v>
      </c>
      <c r="K51" s="5"/>
      <c r="L51" s="1"/>
      <c r="M51" s="5"/>
      <c r="N51" s="5">
        <f t="shared" si="4"/>
        <v>1928</v>
      </c>
      <c r="O51" s="5">
        <f t="shared" si="5"/>
        <v>0</v>
      </c>
      <c r="P51" s="5">
        <f>Table16[[#This Row],[Enrolment S.Y. 2025-2026 ]]*8</f>
        <v>1928</v>
      </c>
      <c r="Q51" s="5"/>
      <c r="R51" s="1"/>
      <c r="S51" s="5"/>
      <c r="T51" s="5">
        <f t="shared" si="6"/>
        <v>1928</v>
      </c>
      <c r="U51" s="5">
        <f t="shared" si="7"/>
        <v>0</v>
      </c>
      <c r="V51" s="5">
        <f>Table16[[#This Row],[Enrolment S.Y. 2025-2026 ]]*8</f>
        <v>1928</v>
      </c>
      <c r="W51" s="5"/>
      <c r="X51" s="1"/>
      <c r="Y51" s="5"/>
      <c r="Z51" s="5">
        <f t="shared" si="8"/>
        <v>1928</v>
      </c>
      <c r="AA51" s="5">
        <f t="shared" si="9"/>
        <v>0</v>
      </c>
    </row>
    <row r="52" spans="1:27" ht="19.5">
      <c r="A52" s="1">
        <v>5</v>
      </c>
      <c r="B52" s="9" t="s">
        <v>20</v>
      </c>
      <c r="C52" s="1">
        <v>241</v>
      </c>
      <c r="D52" s="5">
        <f>Table16[[#This Row],[Enrolment S.Y. 2025-2026 ]]*8</f>
        <v>1928</v>
      </c>
      <c r="E52" s="5"/>
      <c r="F52" s="1"/>
      <c r="G52" s="5"/>
      <c r="H52" s="5">
        <f t="shared" si="2"/>
        <v>1928</v>
      </c>
      <c r="I52" s="5">
        <f t="shared" si="3"/>
        <v>0</v>
      </c>
      <c r="J52" s="5">
        <f>Table16[[#This Row],[Enrolment S.Y. 2025-2026 ]]*8</f>
        <v>1928</v>
      </c>
      <c r="K52" s="5"/>
      <c r="L52" s="1"/>
      <c r="M52" s="5"/>
      <c r="N52" s="5">
        <f t="shared" si="4"/>
        <v>1928</v>
      </c>
      <c r="O52" s="5">
        <f t="shared" si="5"/>
        <v>0</v>
      </c>
      <c r="P52" s="5">
        <f>Table16[[#This Row],[Enrolment S.Y. 2025-2026 ]]*8</f>
        <v>1928</v>
      </c>
      <c r="Q52" s="5"/>
      <c r="R52" s="1"/>
      <c r="S52" s="5"/>
      <c r="T52" s="5">
        <f t="shared" si="6"/>
        <v>1928</v>
      </c>
      <c r="U52" s="5">
        <f t="shared" si="7"/>
        <v>0</v>
      </c>
      <c r="V52" s="5">
        <f>Table16[[#This Row],[Enrolment S.Y. 2025-2026 ]]*8</f>
        <v>1928</v>
      </c>
      <c r="W52" s="5"/>
      <c r="X52" s="1"/>
      <c r="Y52" s="5"/>
      <c r="Z52" s="5">
        <f t="shared" si="8"/>
        <v>1928</v>
      </c>
      <c r="AA52" s="5">
        <f t="shared" si="9"/>
        <v>0</v>
      </c>
    </row>
    <row r="53" spans="1:27" s="7" customFormat="1" ht="19.5">
      <c r="J53" s="13"/>
      <c r="M53" s="5"/>
      <c r="N53" s="13"/>
      <c r="O53" s="13"/>
      <c r="P53" s="13"/>
      <c r="S53" s="5"/>
      <c r="T53" s="13"/>
      <c r="U53" s="13"/>
      <c r="V53" s="13"/>
      <c r="Y53" s="5"/>
      <c r="Z53" s="13"/>
      <c r="AA53" s="13"/>
    </row>
    <row r="54" spans="1:27" ht="19.5">
      <c r="A54" s="1">
        <v>6</v>
      </c>
      <c r="B54" s="9" t="s">
        <v>15</v>
      </c>
      <c r="C54" s="1">
        <v>245</v>
      </c>
      <c r="D54" s="5">
        <f>Table16[[#This Row],[Enrolment S.Y. 2025-2026 ]]*8</f>
        <v>1960</v>
      </c>
      <c r="E54" s="5"/>
      <c r="F54" s="1"/>
      <c r="G54" s="5"/>
      <c r="H54" s="5">
        <f t="shared" si="2"/>
        <v>1960</v>
      </c>
      <c r="I54" s="5">
        <f t="shared" si="3"/>
        <v>0</v>
      </c>
      <c r="J54" s="5">
        <f>Table16[[#This Row],[Enrolment S.Y. 2025-2026 ]]*8</f>
        <v>1960</v>
      </c>
      <c r="K54" s="5"/>
      <c r="L54" s="1"/>
      <c r="M54" s="5"/>
      <c r="N54" s="5">
        <f t="shared" si="4"/>
        <v>1960</v>
      </c>
      <c r="O54" s="5">
        <f t="shared" si="5"/>
        <v>0</v>
      </c>
      <c r="P54" s="5">
        <f>Table16[[#This Row],[Enrolment S.Y. 2025-2026 ]]*8</f>
        <v>1960</v>
      </c>
      <c r="Q54" s="5"/>
      <c r="R54" s="1"/>
      <c r="S54" s="5"/>
      <c r="T54" s="5">
        <f t="shared" si="6"/>
        <v>1960</v>
      </c>
      <c r="U54" s="5">
        <f t="shared" si="7"/>
        <v>0</v>
      </c>
      <c r="V54" s="5">
        <f>Table16[[#This Row],[Enrolment S.Y. 2025-2026 ]]*8</f>
        <v>1960</v>
      </c>
      <c r="W54" s="5"/>
      <c r="X54" s="1"/>
      <c r="Y54" s="5"/>
      <c r="Z54" s="5">
        <f t="shared" si="8"/>
        <v>1960</v>
      </c>
      <c r="AA54" s="5">
        <f t="shared" si="9"/>
        <v>0</v>
      </c>
    </row>
    <row r="55" spans="1:27" ht="19.5">
      <c r="A55" s="1">
        <v>6</v>
      </c>
      <c r="B55" s="9" t="s">
        <v>16</v>
      </c>
      <c r="C55" s="1">
        <v>245</v>
      </c>
      <c r="D55" s="5">
        <f>Table16[[#This Row],[Enrolment S.Y. 2025-2026 ]]*8</f>
        <v>1960</v>
      </c>
      <c r="E55" s="5"/>
      <c r="F55" s="1"/>
      <c r="G55" s="5"/>
      <c r="H55" s="5">
        <f t="shared" si="2"/>
        <v>1960</v>
      </c>
      <c r="I55" s="5">
        <f t="shared" si="3"/>
        <v>0</v>
      </c>
      <c r="J55" s="5">
        <f>Table16[[#This Row],[Enrolment S.Y. 2025-2026 ]]*8</f>
        <v>1960</v>
      </c>
      <c r="K55" s="5"/>
      <c r="L55" s="1"/>
      <c r="M55" s="5"/>
      <c r="N55" s="5">
        <f t="shared" si="4"/>
        <v>1960</v>
      </c>
      <c r="O55" s="5">
        <f t="shared" si="5"/>
        <v>0</v>
      </c>
      <c r="P55" s="5">
        <f>Table16[[#This Row],[Enrolment S.Y. 2025-2026 ]]*8</f>
        <v>1960</v>
      </c>
      <c r="Q55" s="5"/>
      <c r="R55" s="1"/>
      <c r="S55" s="5"/>
      <c r="T55" s="5">
        <f t="shared" si="6"/>
        <v>1960</v>
      </c>
      <c r="U55" s="5">
        <f t="shared" si="7"/>
        <v>0</v>
      </c>
      <c r="V55" s="5">
        <f>Table16[[#This Row],[Enrolment S.Y. 2025-2026 ]]*8</f>
        <v>1960</v>
      </c>
      <c r="W55" s="5"/>
      <c r="X55" s="1"/>
      <c r="Y55" s="5"/>
      <c r="Z55" s="5">
        <f t="shared" si="8"/>
        <v>1960</v>
      </c>
      <c r="AA55" s="5">
        <f t="shared" si="9"/>
        <v>0</v>
      </c>
    </row>
    <row r="56" spans="1:27" ht="19.5">
      <c r="A56" s="1">
        <v>6</v>
      </c>
      <c r="B56" s="9" t="s">
        <v>13</v>
      </c>
      <c r="C56" s="1">
        <v>245</v>
      </c>
      <c r="D56" s="5">
        <f>Table16[[#This Row],[Enrolment S.Y. 2025-2026 ]]*8</f>
        <v>1960</v>
      </c>
      <c r="E56" s="5"/>
      <c r="F56" s="1"/>
      <c r="G56" s="5"/>
      <c r="H56" s="5">
        <f t="shared" si="2"/>
        <v>1960</v>
      </c>
      <c r="I56" s="5">
        <f t="shared" si="3"/>
        <v>0</v>
      </c>
      <c r="J56" s="5">
        <f>Table16[[#This Row],[Enrolment S.Y. 2025-2026 ]]*8</f>
        <v>1960</v>
      </c>
      <c r="K56" s="5"/>
      <c r="L56" s="1"/>
      <c r="M56" s="5"/>
      <c r="N56" s="5">
        <f t="shared" si="4"/>
        <v>1960</v>
      </c>
      <c r="O56" s="5">
        <f t="shared" si="5"/>
        <v>0</v>
      </c>
      <c r="P56" s="5">
        <f>Table16[[#This Row],[Enrolment S.Y. 2025-2026 ]]*8</f>
        <v>1960</v>
      </c>
      <c r="Q56" s="5"/>
      <c r="R56" s="1"/>
      <c r="S56" s="5"/>
      <c r="T56" s="5">
        <f t="shared" si="6"/>
        <v>1960</v>
      </c>
      <c r="U56" s="5">
        <f t="shared" si="7"/>
        <v>0</v>
      </c>
      <c r="V56" s="5">
        <f>Table16[[#This Row],[Enrolment S.Y. 2025-2026 ]]*8</f>
        <v>1960</v>
      </c>
      <c r="W56" s="5"/>
      <c r="X56" s="1"/>
      <c r="Y56" s="5"/>
      <c r="Z56" s="5">
        <f t="shared" si="8"/>
        <v>1960</v>
      </c>
      <c r="AA56" s="5">
        <f t="shared" si="9"/>
        <v>0</v>
      </c>
    </row>
    <row r="57" spans="1:27" ht="19.5">
      <c r="A57" s="1">
        <v>6</v>
      </c>
      <c r="B57" s="9" t="s">
        <v>11</v>
      </c>
      <c r="C57" s="1">
        <v>245</v>
      </c>
      <c r="D57" s="5">
        <f>Table16[[#This Row],[Enrolment S.Y. 2025-2026 ]]*8</f>
        <v>1960</v>
      </c>
      <c r="E57" s="5"/>
      <c r="F57" s="1"/>
      <c r="G57" s="5"/>
      <c r="H57" s="5">
        <f t="shared" si="2"/>
        <v>1960</v>
      </c>
      <c r="I57" s="5">
        <f t="shared" si="3"/>
        <v>0</v>
      </c>
      <c r="J57" s="5">
        <f>Table16[[#This Row],[Enrolment S.Y. 2025-2026 ]]*8</f>
        <v>1960</v>
      </c>
      <c r="K57" s="5"/>
      <c r="L57" s="1"/>
      <c r="M57" s="5"/>
      <c r="N57" s="5">
        <f t="shared" si="4"/>
        <v>1960</v>
      </c>
      <c r="O57" s="5">
        <f t="shared" si="5"/>
        <v>0</v>
      </c>
      <c r="P57" s="5">
        <f>Table16[[#This Row],[Enrolment S.Y. 2025-2026 ]]*8</f>
        <v>1960</v>
      </c>
      <c r="Q57" s="5"/>
      <c r="R57" s="1"/>
      <c r="S57" s="5"/>
      <c r="T57" s="5">
        <f t="shared" si="6"/>
        <v>1960</v>
      </c>
      <c r="U57" s="5">
        <f t="shared" si="7"/>
        <v>0</v>
      </c>
      <c r="V57" s="5">
        <f>Table16[[#This Row],[Enrolment S.Y. 2025-2026 ]]*8</f>
        <v>1960</v>
      </c>
      <c r="W57" s="5"/>
      <c r="X57" s="1"/>
      <c r="Y57" s="5"/>
      <c r="Z57" s="5">
        <f t="shared" si="8"/>
        <v>1960</v>
      </c>
      <c r="AA57" s="5">
        <f t="shared" si="9"/>
        <v>0</v>
      </c>
    </row>
    <row r="58" spans="1:27" ht="38.25">
      <c r="A58" s="1">
        <v>6</v>
      </c>
      <c r="B58" s="9" t="s">
        <v>17</v>
      </c>
      <c r="C58" s="1">
        <v>245</v>
      </c>
      <c r="D58" s="5">
        <f>Table16[[#This Row],[Enrolment S.Y. 2025-2026 ]]*8</f>
        <v>1960</v>
      </c>
      <c r="E58" s="5"/>
      <c r="F58" s="1"/>
      <c r="G58" s="5"/>
      <c r="H58" s="5">
        <f t="shared" si="2"/>
        <v>1960</v>
      </c>
      <c r="I58" s="5">
        <f t="shared" si="3"/>
        <v>0</v>
      </c>
      <c r="J58" s="5">
        <f>Table16[[#This Row],[Enrolment S.Y. 2025-2026 ]]*8</f>
        <v>1960</v>
      </c>
      <c r="K58" s="5"/>
      <c r="L58" s="1"/>
      <c r="M58" s="5"/>
      <c r="N58" s="5">
        <f t="shared" si="4"/>
        <v>1960</v>
      </c>
      <c r="O58" s="5">
        <f t="shared" si="5"/>
        <v>0</v>
      </c>
      <c r="P58" s="5">
        <f>Table16[[#This Row],[Enrolment S.Y. 2025-2026 ]]*8</f>
        <v>1960</v>
      </c>
      <c r="Q58" s="5"/>
      <c r="R58" s="1"/>
      <c r="S58" s="5"/>
      <c r="T58" s="5">
        <f t="shared" si="6"/>
        <v>1960</v>
      </c>
      <c r="U58" s="5">
        <f t="shared" si="7"/>
        <v>0</v>
      </c>
      <c r="V58" s="5">
        <f>Table16[[#This Row],[Enrolment S.Y. 2025-2026 ]]*8</f>
        <v>1960</v>
      </c>
      <c r="W58" s="5"/>
      <c r="X58" s="1"/>
      <c r="Y58" s="5"/>
      <c r="Z58" s="5">
        <f t="shared" si="8"/>
        <v>1960</v>
      </c>
      <c r="AA58" s="5">
        <f t="shared" si="9"/>
        <v>0</v>
      </c>
    </row>
    <row r="59" spans="1:27" ht="19.5">
      <c r="A59" s="1">
        <v>6</v>
      </c>
      <c r="B59" s="9" t="s">
        <v>14</v>
      </c>
      <c r="C59" s="1">
        <v>245</v>
      </c>
      <c r="D59" s="5">
        <f>Table16[[#This Row],[Enrolment S.Y. 2025-2026 ]]*8</f>
        <v>1960</v>
      </c>
      <c r="E59" s="5"/>
      <c r="F59" s="1"/>
      <c r="G59" s="5"/>
      <c r="H59" s="5">
        <f t="shared" si="2"/>
        <v>1960</v>
      </c>
      <c r="I59" s="5">
        <f t="shared" si="3"/>
        <v>0</v>
      </c>
      <c r="J59" s="5">
        <f>Table16[[#This Row],[Enrolment S.Y. 2025-2026 ]]*8</f>
        <v>1960</v>
      </c>
      <c r="K59" s="5"/>
      <c r="L59" s="1"/>
      <c r="M59" s="5"/>
      <c r="N59" s="5">
        <f t="shared" si="4"/>
        <v>1960</v>
      </c>
      <c r="O59" s="5">
        <f t="shared" si="5"/>
        <v>0</v>
      </c>
      <c r="P59" s="5">
        <f>Table16[[#This Row],[Enrolment S.Y. 2025-2026 ]]*8</f>
        <v>1960</v>
      </c>
      <c r="Q59" s="5"/>
      <c r="R59" s="1"/>
      <c r="S59" s="5"/>
      <c r="T59" s="5">
        <f t="shared" si="6"/>
        <v>1960</v>
      </c>
      <c r="U59" s="5">
        <f t="shared" si="7"/>
        <v>0</v>
      </c>
      <c r="V59" s="5">
        <f>Table16[[#This Row],[Enrolment S.Y. 2025-2026 ]]*8</f>
        <v>1960</v>
      </c>
      <c r="W59" s="5"/>
      <c r="X59" s="1"/>
      <c r="Y59" s="5"/>
      <c r="Z59" s="5">
        <f t="shared" si="8"/>
        <v>1960</v>
      </c>
      <c r="AA59" s="5">
        <f t="shared" si="9"/>
        <v>0</v>
      </c>
    </row>
    <row r="60" spans="1:27" ht="19.5">
      <c r="A60" s="1">
        <v>6</v>
      </c>
      <c r="B60" s="9" t="s">
        <v>18</v>
      </c>
      <c r="C60" s="1">
        <v>245</v>
      </c>
      <c r="D60" s="5">
        <f>Table16[[#This Row],[Enrolment S.Y. 2025-2026 ]]*8</f>
        <v>1960</v>
      </c>
      <c r="E60" s="5"/>
      <c r="F60" s="1"/>
      <c r="G60" s="5"/>
      <c r="H60" s="5">
        <f t="shared" si="2"/>
        <v>1960</v>
      </c>
      <c r="I60" s="5">
        <f t="shared" si="3"/>
        <v>0</v>
      </c>
      <c r="J60" s="5">
        <f>Table16[[#This Row],[Enrolment S.Y. 2025-2026 ]]*8</f>
        <v>1960</v>
      </c>
      <c r="K60" s="5"/>
      <c r="L60" s="1"/>
      <c r="M60" s="5"/>
      <c r="N60" s="5">
        <f t="shared" si="4"/>
        <v>1960</v>
      </c>
      <c r="O60" s="5">
        <f t="shared" si="5"/>
        <v>0</v>
      </c>
      <c r="P60" s="5">
        <f>Table16[[#This Row],[Enrolment S.Y. 2025-2026 ]]*8</f>
        <v>1960</v>
      </c>
      <c r="Q60" s="5"/>
      <c r="R60" s="1"/>
      <c r="S60" s="5"/>
      <c r="T60" s="5">
        <f t="shared" si="6"/>
        <v>1960</v>
      </c>
      <c r="U60" s="5">
        <f t="shared" si="7"/>
        <v>0</v>
      </c>
      <c r="V60" s="5">
        <f>Table16[[#This Row],[Enrolment S.Y. 2025-2026 ]]*8</f>
        <v>1960</v>
      </c>
      <c r="W60" s="5"/>
      <c r="X60" s="1"/>
      <c r="Y60" s="5"/>
      <c r="Z60" s="5">
        <f t="shared" si="8"/>
        <v>1960</v>
      </c>
      <c r="AA60" s="5">
        <f t="shared" si="9"/>
        <v>0</v>
      </c>
    </row>
    <row r="61" spans="1:27" ht="19.5">
      <c r="A61" s="1">
        <v>6</v>
      </c>
      <c r="B61" s="9" t="s">
        <v>19</v>
      </c>
      <c r="C61" s="1">
        <v>245</v>
      </c>
      <c r="D61" s="5">
        <f>Table16[[#This Row],[Enrolment S.Y. 2025-2026 ]]*8</f>
        <v>1960</v>
      </c>
      <c r="E61" s="5"/>
      <c r="F61" s="1"/>
      <c r="G61" s="5"/>
      <c r="H61" s="5">
        <f t="shared" si="2"/>
        <v>1960</v>
      </c>
      <c r="I61" s="5">
        <f t="shared" si="3"/>
        <v>0</v>
      </c>
      <c r="J61" s="5">
        <f>Table16[[#This Row],[Enrolment S.Y. 2025-2026 ]]*8</f>
        <v>1960</v>
      </c>
      <c r="K61" s="5"/>
      <c r="L61" s="1"/>
      <c r="M61" s="5"/>
      <c r="N61" s="5">
        <f t="shared" si="4"/>
        <v>1960</v>
      </c>
      <c r="O61" s="5">
        <f t="shared" si="5"/>
        <v>0</v>
      </c>
      <c r="P61" s="5">
        <f>Table16[[#This Row],[Enrolment S.Y. 2025-2026 ]]*8</f>
        <v>1960</v>
      </c>
      <c r="Q61" s="5"/>
      <c r="R61" s="1"/>
      <c r="S61" s="5"/>
      <c r="T61" s="5">
        <f t="shared" si="6"/>
        <v>1960</v>
      </c>
      <c r="U61" s="5">
        <f t="shared" si="7"/>
        <v>0</v>
      </c>
      <c r="V61" s="5">
        <f>Table16[[#This Row],[Enrolment S.Y. 2025-2026 ]]*8</f>
        <v>1960</v>
      </c>
      <c r="W61" s="5"/>
      <c r="X61" s="1"/>
      <c r="Y61" s="5"/>
      <c r="Z61" s="5">
        <f t="shared" si="8"/>
        <v>1960</v>
      </c>
      <c r="AA61" s="5">
        <f t="shared" si="9"/>
        <v>0</v>
      </c>
    </row>
    <row r="62" spans="1:27" ht="19.5">
      <c r="A62" s="1">
        <v>6</v>
      </c>
      <c r="B62" s="9" t="s">
        <v>20</v>
      </c>
      <c r="C62" s="1">
        <v>245</v>
      </c>
      <c r="D62" s="5">
        <f>Table16[[#This Row],[Enrolment S.Y. 2025-2026 ]]*8</f>
        <v>1960</v>
      </c>
      <c r="E62" s="5"/>
      <c r="F62" s="1"/>
      <c r="G62" s="5"/>
      <c r="H62" s="5">
        <f t="shared" si="2"/>
        <v>1960</v>
      </c>
      <c r="I62" s="5">
        <f t="shared" si="3"/>
        <v>0</v>
      </c>
      <c r="J62" s="5">
        <f>Table16[[#This Row],[Enrolment S.Y. 2025-2026 ]]*8</f>
        <v>1960</v>
      </c>
      <c r="K62" s="5"/>
      <c r="L62" s="1"/>
      <c r="M62" s="5"/>
      <c r="N62" s="5">
        <f t="shared" si="4"/>
        <v>1960</v>
      </c>
      <c r="O62" s="5">
        <f t="shared" si="5"/>
        <v>0</v>
      </c>
      <c r="P62" s="5">
        <f>Table16[[#This Row],[Enrolment S.Y. 2025-2026 ]]*8</f>
        <v>1960</v>
      </c>
      <c r="Q62" s="5"/>
      <c r="R62" s="1"/>
      <c r="S62" s="5"/>
      <c r="T62" s="5">
        <f t="shared" si="6"/>
        <v>1960</v>
      </c>
      <c r="U62" s="5">
        <f t="shared" si="7"/>
        <v>0</v>
      </c>
      <c r="V62" s="5">
        <f>Table16[[#This Row],[Enrolment S.Y. 2025-2026 ]]*8</f>
        <v>1960</v>
      </c>
      <c r="W62" s="5"/>
      <c r="X62" s="1"/>
      <c r="Y62" s="5"/>
      <c r="Z62" s="5">
        <f t="shared" si="8"/>
        <v>1960</v>
      </c>
      <c r="AA62" s="5">
        <f t="shared" si="9"/>
        <v>0</v>
      </c>
    </row>
    <row r="63" spans="1:27" s="7" customFormat="1" ht="19.5">
      <c r="J63" s="13"/>
      <c r="M63" s="5"/>
      <c r="N63" s="13"/>
      <c r="O63" s="13"/>
      <c r="P63" s="13"/>
      <c r="S63" s="5"/>
      <c r="T63" s="13"/>
      <c r="U63" s="13"/>
      <c r="V63" s="13"/>
      <c r="Y63" s="5"/>
      <c r="Z63" s="13"/>
      <c r="AA63" s="13"/>
    </row>
    <row r="64" spans="1:27" ht="19.5">
      <c r="A64" s="10">
        <v>7</v>
      </c>
      <c r="B64" s="11" t="s">
        <v>15</v>
      </c>
      <c r="C64" s="10"/>
      <c r="D64" s="12">
        <f>Table16[[#This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Table16[[#This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Table16[[#This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Table16[[#This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5">
      <c r="A65" s="10">
        <v>7</v>
      </c>
      <c r="B65" s="11" t="s">
        <v>16</v>
      </c>
      <c r="C65" s="10"/>
      <c r="D65" s="12">
        <f>Table16[[#This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Table16[[#This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Table16[[#This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Table16[[#This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5">
      <c r="A66" s="10">
        <v>7</v>
      </c>
      <c r="B66" s="11" t="s">
        <v>13</v>
      </c>
      <c r="C66" s="10"/>
      <c r="D66" s="12">
        <f>Table16[[#This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Table16[[#This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Table16[[#This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Table16[[#This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19.5">
      <c r="A67" s="10">
        <v>7</v>
      </c>
      <c r="B67" s="11" t="s">
        <v>21</v>
      </c>
      <c r="C67" s="10"/>
      <c r="D67" s="12">
        <f>Table16[[#This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Table16[[#This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Table16[[#This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Table16[[#This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38.25">
      <c r="A68" s="10">
        <v>7</v>
      </c>
      <c r="B68" s="11" t="s">
        <v>17</v>
      </c>
      <c r="C68" s="10"/>
      <c r="D68" s="12">
        <f>Table16[[#This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Table16[[#This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Table16[[#This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Table16[[#This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5">
      <c r="A69" s="10">
        <v>7</v>
      </c>
      <c r="B69" s="11" t="s">
        <v>14</v>
      </c>
      <c r="C69" s="10"/>
      <c r="D69" s="12">
        <f>Table16[[#This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Table16[[#This Row],[Enrolment S.Y. 2025-2026 ]]*8</f>
        <v>0</v>
      </c>
      <c r="K69" s="12"/>
      <c r="L69" s="10"/>
      <c r="M69" s="12"/>
      <c r="N69" s="12">
        <f t="shared" si="4"/>
        <v>0</v>
      </c>
      <c r="O69" s="12">
        <f t="shared" si="5"/>
        <v>0</v>
      </c>
      <c r="P69" s="12">
        <f>Table16[[#This Row],[Enrolment S.Y. 2025-2026 ]]*8</f>
        <v>0</v>
      </c>
      <c r="Q69" s="12"/>
      <c r="R69" s="10"/>
      <c r="S69" s="12"/>
      <c r="T69" s="12">
        <f t="shared" si="6"/>
        <v>0</v>
      </c>
      <c r="U69" s="12">
        <f t="shared" si="7"/>
        <v>0</v>
      </c>
      <c r="V69" s="12">
        <f>Table16[[#This Row],[Enrolment S.Y. 2025-2026 ]]*8</f>
        <v>0</v>
      </c>
      <c r="W69" s="12"/>
      <c r="X69" s="10"/>
      <c r="Y69" s="12"/>
      <c r="Z69" s="12">
        <f t="shared" si="8"/>
        <v>0</v>
      </c>
      <c r="AA69" s="12">
        <f t="shared" si="9"/>
        <v>0</v>
      </c>
    </row>
    <row r="70" spans="1:27" ht="19.5">
      <c r="A70" s="10">
        <v>7</v>
      </c>
      <c r="B70" s="11" t="s">
        <v>18</v>
      </c>
      <c r="C70" s="10"/>
      <c r="D70" s="12">
        <f>Table16[[#This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Table16[[#This Row],[Enrolment S.Y. 2025-2026 ]]*8</f>
        <v>0</v>
      </c>
      <c r="K70" s="12"/>
      <c r="L70" s="10"/>
      <c r="M70" s="12"/>
      <c r="N70" s="12">
        <f t="shared" ref="N70:N133" si="10">IF((J70-K70)&lt;0,0,(J70-K70))</f>
        <v>0</v>
      </c>
      <c r="O70" s="12">
        <f t="shared" ref="O70:O133" si="11">IF((K70-J70)&lt;0,0,(K70-J70))</f>
        <v>0</v>
      </c>
      <c r="P70" s="12">
        <f>Table16[[#This Row],[Enrolment S.Y. 2025-2026 ]]*8</f>
        <v>0</v>
      </c>
      <c r="Q70" s="12"/>
      <c r="R70" s="10"/>
      <c r="S70" s="12"/>
      <c r="T70" s="12">
        <f t="shared" ref="T70:T133" si="12">IF((P70-Q70)&lt;0,0,(P70-Q70))</f>
        <v>0</v>
      </c>
      <c r="U70" s="12">
        <f t="shared" ref="U70:U133" si="13">IF((Q70-P70)&lt;0,0,(Q70-P70))</f>
        <v>0</v>
      </c>
      <c r="V70" s="12">
        <f>Table16[[#This Row],[Enrolment S.Y. 2025-2026 ]]*8</f>
        <v>0</v>
      </c>
      <c r="W70" s="12"/>
      <c r="X70" s="10"/>
      <c r="Y70" s="12"/>
      <c r="Z70" s="12">
        <f t="shared" ref="Z70:Z133" si="14">IF((V70-W70)&lt;0,0,(V70-W70))</f>
        <v>0</v>
      </c>
      <c r="AA70" s="12">
        <f t="shared" ref="AA70:AA133" si="15">IF((W70-V70)&lt;0,0,(W70-V70))</f>
        <v>0</v>
      </c>
    </row>
    <row r="71" spans="1:27" ht="19.5">
      <c r="A71" s="10">
        <v>7</v>
      </c>
      <c r="B71" s="11" t="s">
        <v>22</v>
      </c>
      <c r="C71" s="10"/>
      <c r="D71" s="12">
        <f>Table16[[#This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Table16[[#This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Table16[[#This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Table16[[#This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ht="19.5">
      <c r="A72" s="10">
        <v>7</v>
      </c>
      <c r="B72" s="11" t="s">
        <v>20</v>
      </c>
      <c r="C72" s="10"/>
      <c r="D72" s="12">
        <f>Table16[[#This Row],[Enrolment S.Y. 2025-2026 ]]*8</f>
        <v>0</v>
      </c>
      <c r="E72" s="12"/>
      <c r="F72" s="10"/>
      <c r="G72" s="12"/>
      <c r="H72" s="12">
        <f t="shared" si="2"/>
        <v>0</v>
      </c>
      <c r="I72" s="12">
        <f t="shared" si="3"/>
        <v>0</v>
      </c>
      <c r="J72" s="12">
        <f>Table16[[#This Row],[Enrolment S.Y. 2025-2026 ]]*8</f>
        <v>0</v>
      </c>
      <c r="K72" s="12"/>
      <c r="L72" s="10"/>
      <c r="M72" s="12"/>
      <c r="N72" s="12">
        <f t="shared" si="10"/>
        <v>0</v>
      </c>
      <c r="O72" s="12">
        <f t="shared" si="11"/>
        <v>0</v>
      </c>
      <c r="P72" s="12">
        <f>Table16[[#This Row],[Enrolment S.Y. 2025-2026 ]]*8</f>
        <v>0</v>
      </c>
      <c r="Q72" s="12"/>
      <c r="R72" s="10"/>
      <c r="S72" s="12"/>
      <c r="T72" s="12">
        <f t="shared" si="12"/>
        <v>0</v>
      </c>
      <c r="U72" s="12">
        <f t="shared" si="13"/>
        <v>0</v>
      </c>
      <c r="V72" s="12">
        <f>Table16[[#This Row],[Enrolment S.Y. 2025-2026 ]]*8</f>
        <v>0</v>
      </c>
      <c r="W72" s="12"/>
      <c r="X72" s="10"/>
      <c r="Y72" s="12"/>
      <c r="Z72" s="12">
        <f t="shared" si="14"/>
        <v>0</v>
      </c>
      <c r="AA72" s="12">
        <f t="shared" si="15"/>
        <v>0</v>
      </c>
    </row>
    <row r="73" spans="1:27" s="7" customFormat="1" ht="19.5">
      <c r="J73" s="13"/>
      <c r="M73" s="5"/>
      <c r="N73" s="13"/>
      <c r="O73" s="13"/>
      <c r="P73" s="13"/>
      <c r="S73" s="5"/>
      <c r="T73" s="13"/>
      <c r="U73" s="13"/>
      <c r="V73" s="13"/>
      <c r="Y73" s="5"/>
      <c r="Z73" s="13"/>
      <c r="AA73" s="13"/>
    </row>
    <row r="74" spans="1:27" ht="19.5">
      <c r="A74" s="10">
        <v>8</v>
      </c>
      <c r="B74" s="11" t="s">
        <v>15</v>
      </c>
      <c r="C74" s="10"/>
      <c r="D74" s="12">
        <f>Table16[[#This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Table16[[#This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Table16[[#This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Table16[[#This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5">
      <c r="A75" s="10">
        <v>8</v>
      </c>
      <c r="B75" s="11" t="s">
        <v>16</v>
      </c>
      <c r="C75" s="10"/>
      <c r="D75" s="12">
        <f>Table16[[#This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Table16[[#This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Table16[[#This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Table16[[#This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5">
      <c r="A76" s="10">
        <v>8</v>
      </c>
      <c r="B76" s="11" t="s">
        <v>13</v>
      </c>
      <c r="C76" s="10"/>
      <c r="D76" s="12">
        <f>Table16[[#This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Table16[[#This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Table16[[#This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Table16[[#This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5">
      <c r="A77" s="10">
        <v>8</v>
      </c>
      <c r="B77" s="11" t="s">
        <v>21</v>
      </c>
      <c r="C77" s="10"/>
      <c r="D77" s="12">
        <f>Table16[[#This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Table16[[#This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Table16[[#This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Table16[[#This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5">
      <c r="A78" s="10">
        <v>8</v>
      </c>
      <c r="B78" s="11" t="s">
        <v>23</v>
      </c>
      <c r="C78" s="10"/>
      <c r="D78" s="12">
        <f>Table16[[#This Row],[Enrolment S.Y. 2025-2026 ]]*8</f>
        <v>0</v>
      </c>
      <c r="E78" s="12"/>
      <c r="F78" s="10"/>
      <c r="G78" s="12"/>
      <c r="H78" s="12">
        <f t="shared" si="2"/>
        <v>0</v>
      </c>
      <c r="I78" s="12">
        <f t="shared" si="3"/>
        <v>0</v>
      </c>
      <c r="J78" s="12">
        <f>Table16[[#This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Table16[[#This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Table16[[#This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5">
      <c r="A79" s="10">
        <v>8</v>
      </c>
      <c r="B79" s="11" t="s">
        <v>14</v>
      </c>
      <c r="C79" s="10"/>
      <c r="D79" s="12">
        <f>Table16[[#This Row],[Enrolment S.Y. 2025-2026 ]]*8</f>
        <v>0</v>
      </c>
      <c r="E79" s="12"/>
      <c r="F79" s="10"/>
      <c r="G79" s="12"/>
      <c r="H79" s="12">
        <f t="shared" ref="H79:H128" si="16">IF((D79-E79)&lt;0,0,(D79-E79))</f>
        <v>0</v>
      </c>
      <c r="I79" s="12">
        <f t="shared" ref="I79:I128" si="17">IF((E79-D79)&lt;0,0,(E79-D79))</f>
        <v>0</v>
      </c>
      <c r="J79" s="12">
        <f>Table16[[#This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Table16[[#This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Table16[[#This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149999999999999">
      <c r="A80" s="10">
        <v>8</v>
      </c>
      <c r="B80" s="11" t="s">
        <v>18</v>
      </c>
      <c r="C80" s="10"/>
      <c r="D80" s="12">
        <f>Table16[[#This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Table16[[#This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Table16[[#This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Table16[[#This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149999999999999">
      <c r="A81" s="10">
        <v>8</v>
      </c>
      <c r="B81" s="11" t="s">
        <v>22</v>
      </c>
      <c r="C81" s="10"/>
      <c r="D81" s="12">
        <f>Table16[[#This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Table16[[#This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Table16[[#This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Table16[[#This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ht="19.149999999999999">
      <c r="A82" s="10">
        <v>8</v>
      </c>
      <c r="B82" s="11" t="s">
        <v>20</v>
      </c>
      <c r="C82" s="10"/>
      <c r="D82" s="12">
        <f>Table16[[#This Row],[Enrolment S.Y. 2025-2026 ]]*8</f>
        <v>0</v>
      </c>
      <c r="E82" s="12"/>
      <c r="F82" s="10"/>
      <c r="G82" s="12"/>
      <c r="H82" s="12">
        <f t="shared" si="16"/>
        <v>0</v>
      </c>
      <c r="I82" s="12">
        <f t="shared" si="17"/>
        <v>0</v>
      </c>
      <c r="J82" s="12">
        <f>Table16[[#This Row],[Enrolment S.Y. 2025-2026 ]]*8</f>
        <v>0</v>
      </c>
      <c r="K82" s="12"/>
      <c r="L82" s="10"/>
      <c r="M82" s="12"/>
      <c r="N82" s="12">
        <f t="shared" si="10"/>
        <v>0</v>
      </c>
      <c r="O82" s="12">
        <f t="shared" si="11"/>
        <v>0</v>
      </c>
      <c r="P82" s="12">
        <f>Table16[[#This Row],[Enrolment S.Y. 2025-2026 ]]*8</f>
        <v>0</v>
      </c>
      <c r="Q82" s="12"/>
      <c r="R82" s="10"/>
      <c r="S82" s="12"/>
      <c r="T82" s="12">
        <f t="shared" si="12"/>
        <v>0</v>
      </c>
      <c r="U82" s="12">
        <f t="shared" si="13"/>
        <v>0</v>
      </c>
      <c r="V82" s="12">
        <f>Table16[[#This Row],[Enrolment S.Y. 2025-2026 ]]*8</f>
        <v>0</v>
      </c>
      <c r="W82" s="12"/>
      <c r="X82" s="10"/>
      <c r="Y82" s="12"/>
      <c r="Z82" s="12">
        <f t="shared" si="14"/>
        <v>0</v>
      </c>
      <c r="AA82" s="12">
        <f t="shared" si="15"/>
        <v>0</v>
      </c>
    </row>
    <row r="83" spans="1:27" s="7" customFormat="1" ht="19.149999999999999">
      <c r="J83" s="13"/>
      <c r="M83" s="5"/>
      <c r="N83" s="13"/>
      <c r="O83" s="13"/>
      <c r="P83" s="13"/>
      <c r="S83" s="5"/>
      <c r="T83" s="13"/>
      <c r="U83" s="13"/>
      <c r="V83" s="13"/>
      <c r="Y83" s="5"/>
      <c r="Z83" s="13"/>
      <c r="AA83" s="13"/>
    </row>
    <row r="84" spans="1:27" ht="19.149999999999999">
      <c r="A84" s="10">
        <v>9</v>
      </c>
      <c r="B84" s="11" t="s">
        <v>15</v>
      </c>
      <c r="C84" s="10"/>
      <c r="D84" s="12">
        <f>Table16[[#This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Table16[[#This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Table16[[#This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Table16[[#This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149999999999999">
      <c r="A85" s="10">
        <v>9</v>
      </c>
      <c r="B85" s="11" t="s">
        <v>16</v>
      </c>
      <c r="C85" s="10"/>
      <c r="D85" s="12">
        <f>Table16[[#This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Table16[[#This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Table16[[#This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Table16[[#This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149999999999999">
      <c r="A86" s="10">
        <v>9</v>
      </c>
      <c r="B86" s="11" t="s">
        <v>13</v>
      </c>
      <c r="C86" s="10"/>
      <c r="D86" s="12">
        <f>Table16[[#This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Table16[[#This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Table16[[#This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Table16[[#This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149999999999999">
      <c r="A87" s="10">
        <v>9</v>
      </c>
      <c r="B87" s="11" t="s">
        <v>21</v>
      </c>
      <c r="C87" s="10"/>
      <c r="D87" s="12">
        <f>Table16[[#This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Table16[[#This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Table16[[#This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Table16[[#This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149999999999999">
      <c r="A88" s="10">
        <v>9</v>
      </c>
      <c r="B88" s="11" t="s">
        <v>23</v>
      </c>
      <c r="C88" s="10"/>
      <c r="D88" s="12">
        <f>Table16[[#This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Table16[[#This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Table16[[#This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Table16[[#This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149999999999999">
      <c r="A89" s="10">
        <v>9</v>
      </c>
      <c r="B89" s="11" t="s">
        <v>14</v>
      </c>
      <c r="C89" s="10"/>
      <c r="D89" s="12">
        <f>Table16[[#This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Table16[[#This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Table16[[#This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Table16[[#This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149999999999999">
      <c r="A90" s="10">
        <v>9</v>
      </c>
      <c r="B90" s="11" t="s">
        <v>18</v>
      </c>
      <c r="C90" s="10"/>
      <c r="D90" s="12">
        <f>Table16[[#This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Table16[[#This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Table16[[#This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Table16[[#This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149999999999999">
      <c r="A91" s="10">
        <v>9</v>
      </c>
      <c r="B91" s="11" t="s">
        <v>22</v>
      </c>
      <c r="C91" s="10"/>
      <c r="D91" s="12">
        <f>Table16[[#This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Table16[[#This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Table16[[#This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Table16[[#This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ht="19.149999999999999">
      <c r="A92" s="10">
        <v>9</v>
      </c>
      <c r="B92" s="11" t="s">
        <v>20</v>
      </c>
      <c r="C92" s="10"/>
      <c r="D92" s="12">
        <f>Table16[[#This Row],[Enrolment S.Y. 2025-2026 ]]*8</f>
        <v>0</v>
      </c>
      <c r="E92" s="12"/>
      <c r="F92" s="10"/>
      <c r="G92" s="12"/>
      <c r="H92" s="12">
        <f t="shared" si="16"/>
        <v>0</v>
      </c>
      <c r="I92" s="12">
        <f t="shared" si="17"/>
        <v>0</v>
      </c>
      <c r="J92" s="12">
        <f>Table16[[#This Row],[Enrolment S.Y. 2025-2026 ]]*8</f>
        <v>0</v>
      </c>
      <c r="K92" s="12"/>
      <c r="L92" s="10"/>
      <c r="M92" s="12"/>
      <c r="N92" s="12">
        <f t="shared" si="10"/>
        <v>0</v>
      </c>
      <c r="O92" s="12">
        <f t="shared" si="11"/>
        <v>0</v>
      </c>
      <c r="P92" s="12">
        <f>Table16[[#This Row],[Enrolment S.Y. 2025-2026 ]]*8</f>
        <v>0</v>
      </c>
      <c r="Q92" s="12"/>
      <c r="R92" s="10"/>
      <c r="S92" s="12"/>
      <c r="T92" s="12">
        <f t="shared" si="12"/>
        <v>0</v>
      </c>
      <c r="U92" s="12">
        <f t="shared" si="13"/>
        <v>0</v>
      </c>
      <c r="V92" s="12">
        <f>Table16[[#This Row],[Enrolment S.Y. 2025-2026 ]]*8</f>
        <v>0</v>
      </c>
      <c r="W92" s="12"/>
      <c r="X92" s="10"/>
      <c r="Y92" s="12"/>
      <c r="Z92" s="12">
        <f t="shared" si="14"/>
        <v>0</v>
      </c>
      <c r="AA92" s="12">
        <f t="shared" si="15"/>
        <v>0</v>
      </c>
    </row>
    <row r="93" spans="1:27" s="7" customFormat="1" ht="19.149999999999999">
      <c r="J93" s="13"/>
      <c r="M93" s="5"/>
      <c r="N93" s="13"/>
      <c r="O93" s="13"/>
      <c r="P93" s="13"/>
      <c r="S93" s="5"/>
      <c r="T93" s="13"/>
      <c r="U93" s="13"/>
      <c r="V93" s="13"/>
      <c r="Y93" s="5"/>
      <c r="Z93" s="13"/>
      <c r="AA93" s="13"/>
    </row>
    <row r="94" spans="1:27" ht="19.149999999999999">
      <c r="A94" s="10">
        <v>10</v>
      </c>
      <c r="B94" s="11" t="s">
        <v>15</v>
      </c>
      <c r="C94" s="10"/>
      <c r="D94" s="12">
        <f>Table16[[#This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Table16[[#This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Table16[[#This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Table16[[#This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16</v>
      </c>
      <c r="C95" s="10"/>
      <c r="D95" s="12">
        <f>Table16[[#This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Table16[[#This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Table16[[#This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Table16[[#This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13</v>
      </c>
      <c r="C96" s="10"/>
      <c r="D96" s="12">
        <f>Table16[[#This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Table16[[#This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Table16[[#This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Table16[[#This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21</v>
      </c>
      <c r="C97" s="10"/>
      <c r="D97" s="12">
        <f>Table16[[#This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Table16[[#This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Table16[[#This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Table16[[#This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23</v>
      </c>
      <c r="C98" s="10"/>
      <c r="D98" s="12">
        <f>Table16[[#This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Table16[[#This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Table16[[#This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Table16[[#This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14</v>
      </c>
      <c r="C99" s="10"/>
      <c r="D99" s="12">
        <f>Table16[[#This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Table16[[#This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Table16[[#This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Table16[[#This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18</v>
      </c>
      <c r="C100" s="10"/>
      <c r="D100" s="12">
        <f>Table16[[#This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Table16[[#This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Table16[[#This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Table16[[#This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Table16[[#This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Table16[[#This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Table16[[#This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Table16[[#This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10</v>
      </c>
      <c r="B102" s="11" t="s">
        <v>20</v>
      </c>
      <c r="C102" s="10"/>
      <c r="D102" s="12">
        <f>Table16[[#This Row],[Enrolment S.Y. 2025-2026 ]]*8</f>
        <v>0</v>
      </c>
      <c r="E102" s="12"/>
      <c r="F102" s="10"/>
      <c r="G102" s="12"/>
      <c r="H102" s="12">
        <f>IF((D102-E102)&lt;0,0,(D102-E102))</f>
        <v>0</v>
      </c>
      <c r="I102" s="12">
        <f>IF((E102-D102)&lt;0,0,(E102-D102))</f>
        <v>0</v>
      </c>
      <c r="J102" s="12">
        <f>Table16[[#This Row],[Enrolment S.Y. 2025-2026 ]]*8</f>
        <v>0</v>
      </c>
      <c r="K102" s="12"/>
      <c r="L102" s="10"/>
      <c r="M102" s="12"/>
      <c r="N102" s="12">
        <f>IF((J102-K102)&lt;0,0,(J102-K102))</f>
        <v>0</v>
      </c>
      <c r="O102" s="12">
        <f>IF((K102-J102)&lt;0,0,(K102-J102))</f>
        <v>0</v>
      </c>
      <c r="P102" s="12">
        <f>Table16[[#This Row],[Enrolment S.Y. 2025-2026 ]]*8</f>
        <v>0</v>
      </c>
      <c r="Q102" s="12"/>
      <c r="R102" s="10"/>
      <c r="S102" s="12"/>
      <c r="T102" s="12">
        <f>IF((P102-Q102)&lt;0,0,(P102-Q102))</f>
        <v>0</v>
      </c>
      <c r="U102" s="12">
        <f>IF((Q102-P102)&lt;0,0,(Q102-P102))</f>
        <v>0</v>
      </c>
      <c r="V102" s="12">
        <f>Table16[[#This Row],[Enrolment S.Y. 2025-2026 ]]*8</f>
        <v>0</v>
      </c>
      <c r="W102" s="12"/>
      <c r="X102" s="10"/>
      <c r="Y102" s="12"/>
      <c r="Z102" s="12">
        <f>IF((V102-W102)&lt;0,0,(V102-W102))</f>
        <v>0</v>
      </c>
      <c r="AA102" s="12">
        <f>IF((W102-V102)&lt;0,0,(W102-V102))</f>
        <v>0</v>
      </c>
    </row>
    <row r="103" spans="1:27" s="7" customFormat="1" ht="19.149999999999999">
      <c r="J103" s="13"/>
      <c r="M103" s="5"/>
      <c r="N103" s="13"/>
      <c r="O103" s="13"/>
      <c r="P103" s="13"/>
      <c r="S103" s="5"/>
      <c r="T103" s="13"/>
      <c r="U103" s="13"/>
      <c r="V103" s="13"/>
      <c r="Y103" s="5"/>
      <c r="Z103" s="13"/>
      <c r="AA103" s="13"/>
    </row>
    <row r="104" spans="1:27" ht="38.450000000000003">
      <c r="A104" s="1" t="s">
        <v>24</v>
      </c>
      <c r="B104" s="9" t="s">
        <v>25</v>
      </c>
      <c r="C104" s="1"/>
      <c r="D104" s="5">
        <f>Table16[[#This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Table16[[#This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Table16[[#This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Table16[[#This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149999999999999">
      <c r="A105" s="1" t="s">
        <v>24</v>
      </c>
      <c r="B105" s="9" t="s">
        <v>26</v>
      </c>
      <c r="C105" s="1"/>
      <c r="D105" s="5">
        <f>Table16[[#This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Table16[[#This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Table16[[#This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Table16[[#This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149999999999999">
      <c r="A106" s="1" t="s">
        <v>24</v>
      </c>
      <c r="B106" s="9" t="s">
        <v>27</v>
      </c>
      <c r="C106" s="1"/>
      <c r="D106" s="5">
        <f>Table16[[#This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Table16[[#This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Table16[[#This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Table16[[#This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19.149999999999999">
      <c r="A107" s="1" t="s">
        <v>24</v>
      </c>
      <c r="B107" s="9" t="s">
        <v>28</v>
      </c>
      <c r="C107" s="1"/>
      <c r="D107" s="5">
        <f>Table16[[#This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Table16[[#This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Table16[[#This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Table16[[#This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38.450000000000003">
      <c r="A108" s="1" t="s">
        <v>24</v>
      </c>
      <c r="B108" s="9" t="s">
        <v>29</v>
      </c>
      <c r="C108" s="1"/>
      <c r="D108" s="5">
        <f>Table16[[#This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Table16[[#This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Table16[[#This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Table16[[#This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19.149999999999999">
      <c r="A109" s="1" t="s">
        <v>24</v>
      </c>
      <c r="B109" s="9" t="s">
        <v>30</v>
      </c>
      <c r="C109" s="1"/>
      <c r="D109" s="5">
        <f>Table16[[#This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Table16[[#This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Table16[[#This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Table16[[#This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450000000000003">
      <c r="A110" s="1" t="s">
        <v>24</v>
      </c>
      <c r="B110" s="9" t="s">
        <v>31</v>
      </c>
      <c r="C110" s="1"/>
      <c r="D110" s="5">
        <f>Table16[[#This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Table16[[#This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Table16[[#This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Table16[[#This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ht="38.450000000000003">
      <c r="A111" s="1" t="s">
        <v>24</v>
      </c>
      <c r="B111" s="9" t="s">
        <v>32</v>
      </c>
      <c r="C111" s="1"/>
      <c r="D111" s="5">
        <f>Table16[[#This Row],[Enrolment S.Y. 2025-2026 ]]*8</f>
        <v>0</v>
      </c>
      <c r="E111" s="5"/>
      <c r="F111" s="1"/>
      <c r="G111" s="5"/>
      <c r="H111" s="5">
        <f t="shared" si="16"/>
        <v>0</v>
      </c>
      <c r="I111" s="5">
        <f t="shared" si="17"/>
        <v>0</v>
      </c>
      <c r="J111" s="5">
        <f>Table16[[#This Row],[Enrolment S.Y. 2025-2026 ]]*8</f>
        <v>0</v>
      </c>
      <c r="K111" s="5"/>
      <c r="L111" s="1"/>
      <c r="M111" s="5"/>
      <c r="N111" s="5">
        <f t="shared" si="10"/>
        <v>0</v>
      </c>
      <c r="O111" s="5">
        <f t="shared" si="11"/>
        <v>0</v>
      </c>
      <c r="P111" s="5">
        <f>Table16[[#This Row],[Enrolment S.Y. 2025-2026 ]]*8</f>
        <v>0</v>
      </c>
      <c r="Q111" s="5"/>
      <c r="R111" s="1"/>
      <c r="S111" s="5"/>
      <c r="T111" s="5">
        <f t="shared" si="12"/>
        <v>0</v>
      </c>
      <c r="U111" s="5">
        <f t="shared" si="13"/>
        <v>0</v>
      </c>
      <c r="V111" s="5">
        <f>Table16[[#This Row],[Enrolment S.Y. 2025-2026 ]]*8</f>
        <v>0</v>
      </c>
      <c r="W111" s="5"/>
      <c r="X111" s="1"/>
      <c r="Y111" s="5"/>
      <c r="Z111" s="5">
        <f t="shared" si="14"/>
        <v>0</v>
      </c>
      <c r="AA111" s="5">
        <f t="shared" si="15"/>
        <v>0</v>
      </c>
    </row>
    <row r="112" spans="1:27" s="7" customFormat="1" ht="19.149999999999999">
      <c r="J112" s="13"/>
      <c r="N112" s="13"/>
      <c r="O112" s="13"/>
      <c r="P112" s="13"/>
      <c r="T112" s="13"/>
      <c r="U112" s="13"/>
      <c r="V112" s="13"/>
      <c r="Z112" s="13"/>
      <c r="AA112" s="13"/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Table16[[#This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Table16[[#This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Table16[[#This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Table16[[#This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Table16[[#This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Table16[[#This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Table16[[#This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Table16[[#This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Table16[[#This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Table16[[#This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Table16[[#This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Table16[[#This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Table16[[#This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Table16[[#This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Table16[[#This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Table16[[#This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Table16[[#This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Table16[[#This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Table16[[#This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Table16[[#This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Table16[[#This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Table16[[#This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Table16[[#This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Table16[[#This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Table16[[#This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Table16[[#This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Table16[[#This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Table16[[#This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Table16[[#This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Table16[[#This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Table16[[#This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Table16[[#This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Table16[[#This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Table16[[#This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Table16[[#This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Table16[[#This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Table16[[#This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Table16[[#This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Table16[[#This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Table16[[#This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Table16[[#This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Table16[[#This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149999999999999">
      <c r="A127" s="1"/>
      <c r="B127" s="9"/>
      <c r="C127" s="1"/>
      <c r="D127" s="5"/>
      <c r="E127" s="5"/>
      <c r="F127" s="1"/>
      <c r="G127" s="5"/>
      <c r="H127" s="5">
        <f t="shared" si="16"/>
        <v>0</v>
      </c>
      <c r="I127" s="5">
        <f t="shared" si="17"/>
        <v>0</v>
      </c>
      <c r="J127" s="5">
        <f>Table16[[#This Row],[Enrolment S.Y. 2025-2026 ]]*8</f>
        <v>0</v>
      </c>
      <c r="K127" s="5"/>
      <c r="L127" s="1"/>
      <c r="M127" s="5"/>
      <c r="N127" s="5">
        <f t="shared" si="10"/>
        <v>0</v>
      </c>
      <c r="O127" s="5">
        <f t="shared" si="11"/>
        <v>0</v>
      </c>
      <c r="P127" s="5">
        <f>Table16[[#This Row],[Enrolment S.Y. 2025-2026 ]]*8</f>
        <v>0</v>
      </c>
      <c r="Q127" s="5"/>
      <c r="R127" s="1"/>
      <c r="S127" s="5"/>
      <c r="T127" s="5">
        <f t="shared" si="12"/>
        <v>0</v>
      </c>
      <c r="U127" s="5">
        <f t="shared" si="13"/>
        <v>0</v>
      </c>
      <c r="V127" s="5">
        <f>Table16[[#This Row],[Enrolment S.Y. 2025-2026 ]]*8</f>
        <v>0</v>
      </c>
      <c r="W127" s="5"/>
      <c r="X127" s="1"/>
      <c r="Y127" s="5"/>
      <c r="Z127" s="5">
        <f t="shared" si="14"/>
        <v>0</v>
      </c>
      <c r="AA127" s="5">
        <f t="shared" si="15"/>
        <v>0</v>
      </c>
    </row>
    <row r="128" spans="1:27" ht="19.149999999999999">
      <c r="A128" s="29"/>
      <c r="B128" s="30"/>
      <c r="C128" s="29"/>
      <c r="D128" s="5"/>
      <c r="E128" s="31"/>
      <c r="F128" s="29"/>
      <c r="G128" s="31"/>
      <c r="H128" s="5">
        <f t="shared" si="16"/>
        <v>0</v>
      </c>
      <c r="I128" s="5">
        <f t="shared" si="17"/>
        <v>0</v>
      </c>
      <c r="J128" s="5">
        <f>Table16[[#This Row],[Enrolment S.Y. 2025-2026 ]]*8</f>
        <v>0</v>
      </c>
      <c r="K128" s="31"/>
      <c r="L128" s="29"/>
      <c r="M128" s="31"/>
      <c r="N128" s="5">
        <f t="shared" si="10"/>
        <v>0</v>
      </c>
      <c r="O128" s="5">
        <f t="shared" si="11"/>
        <v>0</v>
      </c>
      <c r="P128" s="5"/>
      <c r="Q128" s="31"/>
      <c r="R128" s="29"/>
      <c r="S128" s="31"/>
      <c r="T128" s="5">
        <f t="shared" si="12"/>
        <v>0</v>
      </c>
      <c r="U128" s="5">
        <f t="shared" si="13"/>
        <v>0</v>
      </c>
      <c r="V128" s="5">
        <f>Table16[[#This Row],[Enrolment S.Y. 2025-2026 ]]*8</f>
        <v>0</v>
      </c>
      <c r="W128" s="31"/>
      <c r="X128" s="29"/>
      <c r="Y128" s="31"/>
      <c r="Z128" s="5">
        <f t="shared" si="14"/>
        <v>0</v>
      </c>
      <c r="AA128" s="5">
        <f t="shared" si="15"/>
        <v>0</v>
      </c>
    </row>
    <row r="129" spans="10:10" ht="13.9">
      <c r="J129" t="e">
        <f>#REF!*8</f>
        <v>#REF!</v>
      </c>
    </row>
    <row r="130" spans="10:10" ht="13.9">
      <c r="J130" t="e">
        <f>#REF!*8</f>
        <v>#REF!</v>
      </c>
    </row>
    <row r="131" spans="10:10" ht="13.9">
      <c r="J131" t="e">
        <f>#REF!*8</f>
        <v>#REF!</v>
      </c>
    </row>
    <row r="132" spans="10:10" ht="13.9">
      <c r="J132" t="e">
        <f>#REF!*8</f>
        <v>#REF!</v>
      </c>
    </row>
    <row r="133" spans="10:10" ht="13.9">
      <c r="J133" t="e">
        <f>#REF!*8</f>
        <v>#REF!</v>
      </c>
    </row>
    <row r="134" spans="10:10" ht="13.9">
      <c r="J134" t="e">
        <f>#REF!*8</f>
        <v>#REF!</v>
      </c>
    </row>
    <row r="135" spans="10:10" ht="13.9">
      <c r="J135" t="e">
        <f>#REF!*8</f>
        <v>#REF!</v>
      </c>
    </row>
    <row r="136" spans="10:10" ht="13.9">
      <c r="J136" t="e">
        <f>#REF!*8</f>
        <v>#REF!</v>
      </c>
    </row>
    <row r="137" spans="10:10" ht="13.9">
      <c r="J137" t="e">
        <f>#REF!*8</f>
        <v>#REF!</v>
      </c>
    </row>
    <row r="138" spans="10:10" ht="13.9">
      <c r="J138" t="e">
        <f>#REF!*8</f>
        <v>#REF!</v>
      </c>
    </row>
    <row r="139" spans="10:10" ht="13.9">
      <c r="J139" t="e">
        <f>#REF!*8</f>
        <v>#REF!</v>
      </c>
    </row>
    <row r="140" spans="10:10" ht="13.9">
      <c r="J140" t="e">
        <f>#REF!*8</f>
        <v>#REF!</v>
      </c>
    </row>
    <row r="141" spans="10:10" ht="13.9">
      <c r="J141" t="e">
        <f>#REF!*8</f>
        <v>#REF!</v>
      </c>
    </row>
    <row r="142" spans="10:10" ht="13.9">
      <c r="J142" t="e">
        <f>#REF!*8</f>
        <v>#REF!</v>
      </c>
    </row>
    <row r="143" spans="10:10" ht="13.9">
      <c r="J143" t="e">
        <f>#REF!*8</f>
        <v>#REF!</v>
      </c>
    </row>
    <row r="144" spans="10:10" ht="13.9">
      <c r="J144" t="e">
        <f>#REF!*8</f>
        <v>#REF!</v>
      </c>
    </row>
    <row r="145" spans="10:10" ht="13.9">
      <c r="J145" t="e">
        <f>#REF!*8</f>
        <v>#REF!</v>
      </c>
    </row>
    <row r="146" spans="10:10" ht="13.9">
      <c r="J146" t="e">
        <f>#REF!*8</f>
        <v>#REF!</v>
      </c>
    </row>
    <row r="147" spans="10:10" ht="13.9">
      <c r="J147" t="e">
        <f>#REF!*8</f>
        <v>#REF!</v>
      </c>
    </row>
    <row r="148" spans="10:10" ht="13.9">
      <c r="J148" t="e">
        <f>#REF!*8</f>
        <v>#REF!</v>
      </c>
    </row>
    <row r="149" spans="10:10" ht="13.9">
      <c r="J149" t="e">
        <f>#REF!*8</f>
        <v>#REF!</v>
      </c>
    </row>
    <row r="150" spans="10:10" ht="13.9">
      <c r="J150" t="e">
        <f>#REF!*8</f>
        <v>#REF!</v>
      </c>
    </row>
    <row r="151" spans="10:10" ht="13.9">
      <c r="J151" t="e">
        <f>#REF!*8</f>
        <v>#REF!</v>
      </c>
    </row>
    <row r="152" spans="10:10" ht="13.9">
      <c r="J152" t="e">
        <f>#REF!*8</f>
        <v>#REF!</v>
      </c>
    </row>
    <row r="153" spans="10:10" ht="13.9">
      <c r="J153" t="e">
        <f>#REF!*8</f>
        <v>#REF!</v>
      </c>
    </row>
    <row r="154" spans="10:10" ht="13.9">
      <c r="J154" t="e">
        <f>#REF!*8</f>
        <v>#REF!</v>
      </c>
    </row>
    <row r="155" spans="10:10" ht="13.9">
      <c r="J155" t="e">
        <f>#REF!*8</f>
        <v>#REF!</v>
      </c>
    </row>
    <row r="156" spans="10:10" ht="13.9">
      <c r="J156" t="e">
        <f>#REF!*8</f>
        <v>#REF!</v>
      </c>
    </row>
    <row r="157" spans="10:10" ht="13.9">
      <c r="J157" t="e">
        <f>#REF!*8</f>
        <v>#REF!</v>
      </c>
    </row>
    <row r="158" spans="10:10" ht="13.9">
      <c r="J158" t="e">
        <f>#REF!*8</f>
        <v>#REF!</v>
      </c>
    </row>
  </sheetData>
  <protectedRanges>
    <protectedRange sqref="C2:C3 C14:C21 C23:C31 C33:C42 C44:C52 C64:C72 C74:C82 C84:C92 C94:C102 C104:C111 C113:C128 C5:C12 C54:C62" name="Textbooks"/>
    <protectedRange sqref="J2:L3 D2:F3 H5:L5 D14:F21 Q14:R21 W14:X21 D23:F31 Q23:R31 W23:X31 D33:F42 H33:I42 Q33:R42 W33:X42 D44:F52 H44:I52 Q44:R52 W44:X52 D54:F62 H54:I62 Q54:R62 W54:X62 D64:F72 H64:I72 Q64:R72 W64:X72 D74:F82 H74:I82 Q74:R82 W74:X82 D84:F92 H84:I92 Q84:R92 W84:X92 D94:F102 H94:I102 Q94:R102 W94:X102 D104:F111 H104:I111 Q104:R111 W104:X111 D113:F128 H113:I128 N128:R128 W113:X128 H14:I21 H23:I31 H6:I12 K6:L12 K33:L42 K44:L52 K54:L62 K64:L72 K74:L82 K84:L92 K94:L102 K104:L111 K113:L128 K14:L21 K23:L31 Q113:R127 P2:R2 V2:X3 N13:P127 T13:V128 J6:J128 D5:F12 N5:R12 T5:X12 N4:P4 T4:V4 J4 Z4:AA128 N3:R3 Y13" name="LAS"/>
    <protectedRange sqref="G2:I3 M2:O2 S2:U3 Y2:AA3 G113:G128 M113:M128 S113:S128 Y113:Y128 G5:G12 M5:M12 S4:S111 Y5:Y12 G14:G21 M14:M111 M3 Y14:Y111 G23:G31 G33:G42 G44:G52 G54:G62 G64:G72 G74:G82 G84:G92 G94:G102 G104:G111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111 Y14:Y111 S4:S111 G5:G12 M5:M12 Y5:Y12 G14:G21 G23:G31 G33:G42 G44:G52 G54:G62 G64:G72 G74:G82 G84:G92 G94:G102 G104:G111" xr:uid="{B808EB83-08ED-49EB-B0E8-CF337079CAAB}">
      <formula1>"CO,RO,SDO,LGU,SCHOOL"</formula1>
    </dataValidation>
    <dataValidation type="list" allowBlank="1" showInputMessage="1" showErrorMessage="1" sqref="X23:X31 X33:X42 X44:X52 X64:X72 X74:X82 X54:X62 L113:L128 X84:X92 X94:X102 X14:X21 X5:X12 L23:L31 L33:L42 L44:L52 L64:L72 L74:L82 L54:L62 R113:R128 L84:L92 L94:L102 L14:L21 L5:L12 R23:R31 R33:R42 R44:R52 R64:R72 R74:R82 R54:R62 F113:F128 R84:R92 R94:R102 R14:R21 R5:R12 F23:F31 F33:F42 F44:F52 F64:F72 F74:F82 F54:F62 F5:F12 F84:F92 F94:F102 F14:F21 F104:F111 R104:R111 L104:L111 X104:X111 X113:X128" xr:uid="{6947795E-5F86-4396-A106-683B48189F6B}">
      <formula1>"2024,2025"</formula1>
    </dataValidation>
    <dataValidation type="list" allowBlank="1" showInputMessage="1" showErrorMessage="1" sqref="S113:S128 M113:M128 Y113:Y128 G113:G128" xr:uid="{697F67CE-67DA-4D20-828B-D2C1B47D3EC7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8"/>
  <sheetViews>
    <sheetView tabSelected="1" zoomScale="70" zoomScaleNormal="70" workbookViewId="0">
      <pane xSplit="2" ySplit="4" topLeftCell="K11" activePane="bottomRight" state="frozen"/>
      <selection pane="bottomRight" activeCell="G19" sqref="G19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59</v>
      </c>
      <c r="AA2" s="26" t="s">
        <v>86</v>
      </c>
    </row>
    <row r="3" spans="1:27" ht="30.6" customHeight="1">
      <c r="A3" s="39" t="s">
        <v>61</v>
      </c>
      <c r="B3" s="33"/>
      <c r="C3" s="32">
        <v>217</v>
      </c>
      <c r="D3" s="34">
        <f>Table1[[#This Row],[Enrolment S.Y. 2025-2026 ]]*8</f>
        <v>1736</v>
      </c>
      <c r="E3" s="34">
        <v>12</v>
      </c>
      <c r="F3" s="32"/>
      <c r="G3" s="34"/>
      <c r="H3" s="34">
        <f>IF((D3-E3)&lt;0,0,(D3-E3))</f>
        <v>1724</v>
      </c>
      <c r="I3" s="34">
        <f>IF((E3-D3)&lt;0,0,(E3-D3))</f>
        <v>0</v>
      </c>
      <c r="J3" s="34">
        <f>Table1[[#This Row],[Enrolment S.Y. 2025-2026 ]]*8</f>
        <v>1736</v>
      </c>
      <c r="K3" s="34"/>
      <c r="L3" s="32"/>
      <c r="M3" s="34"/>
      <c r="N3" s="5">
        <f t="shared" ref="N3" si="0">IF((J3-K3)&lt;0,0,(J3-K3))</f>
        <v>1736</v>
      </c>
      <c r="O3" s="5">
        <f t="shared" ref="O3" si="1">IF((K3-J3)&lt;0,0,(K3-J3))</f>
        <v>0</v>
      </c>
      <c r="P3" s="5">
        <f>Table1[[#This Row],[Enrolment S.Y. 2025-2026 ]]*8</f>
        <v>1736</v>
      </c>
      <c r="Q3" s="34"/>
      <c r="R3" s="32"/>
      <c r="S3" s="34"/>
      <c r="T3" s="34">
        <f>IF((P3-Q3)&lt;0,0,(P3-Q3))</f>
        <v>1736</v>
      </c>
      <c r="U3" s="34">
        <f>IF((Q3-P3)&lt;0,0,(Q3-P3))</f>
        <v>0</v>
      </c>
      <c r="V3" s="34">
        <f>Table1[[#This Row],[Enrolment S.Y. 2025-2026 ]]*8</f>
        <v>1736</v>
      </c>
      <c r="W3" s="34"/>
      <c r="X3" s="32"/>
      <c r="Y3" s="34"/>
      <c r="Z3" s="34">
        <f>IF((V3-W3)&lt;0,0,(V3-W3))</f>
        <v>1736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 customHeight="1">
      <c r="A5" s="1">
        <v>1</v>
      </c>
      <c r="B5" s="2" t="s">
        <v>8</v>
      </c>
      <c r="C5" s="1">
        <v>172</v>
      </c>
      <c r="D5" s="5">
        <f>Table1[[#This Row],[Enrolment S.Y. 2025-2026 ]]*8</f>
        <v>1376</v>
      </c>
      <c r="E5" s="5"/>
      <c r="F5" s="1"/>
      <c r="G5" s="5"/>
      <c r="H5" s="5">
        <f t="shared" ref="H5:H78" si="2">IF((D5-E5)&lt;0,0,(D5-E5))</f>
        <v>1376</v>
      </c>
      <c r="I5" s="5">
        <f t="shared" ref="I5:I78" si="3">IF((E5-D5)&lt;0,0,(E5-D5))</f>
        <v>0</v>
      </c>
      <c r="J5" s="5">
        <f>Table1[[#This Row],[Enrolment S.Y. 2025-2026 ]]*8</f>
        <v>1376</v>
      </c>
      <c r="K5" s="5"/>
      <c r="L5" s="1"/>
      <c r="M5" s="5"/>
      <c r="N5" s="5">
        <f t="shared" ref="N5" si="4">IF((J5-K5)&lt;0,0,(J5-K5))</f>
        <v>1376</v>
      </c>
      <c r="O5" s="5">
        <f t="shared" ref="O5" si="5">IF((K5-J5)&lt;0,0,(K5-J5))</f>
        <v>0</v>
      </c>
      <c r="P5" s="5">
        <f>Table1[[#This Row],[Enrolment S.Y. 2025-2026 ]]*8</f>
        <v>1376</v>
      </c>
      <c r="Q5" s="5"/>
      <c r="R5" s="1"/>
      <c r="S5" s="5"/>
      <c r="T5" s="5">
        <f t="shared" ref="T5" si="6">IF((P5-Q5)&lt;0,0,(P5-Q5))</f>
        <v>1376</v>
      </c>
      <c r="U5" s="5">
        <f t="shared" ref="U5" si="7">IF((Q5-P5)&lt;0,0,(Q5-P5))</f>
        <v>0</v>
      </c>
      <c r="V5" s="5">
        <f>Table1[[#This Row],[Enrolment S.Y. 2025-2026 ]]*8</f>
        <v>1376</v>
      </c>
      <c r="W5" s="5"/>
      <c r="X5" s="1"/>
      <c r="Y5" s="5"/>
      <c r="Z5" s="5">
        <f t="shared" ref="Z5" si="8">IF((V5-W5)&lt;0,0,(V5-W5))</f>
        <v>1376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172</v>
      </c>
      <c r="D6" s="5">
        <f>Table1[[#This Row],[Enrolment S.Y. 2025-2026 ]]*8</f>
        <v>1376</v>
      </c>
      <c r="E6" s="5"/>
      <c r="F6" s="1"/>
      <c r="G6" s="5"/>
      <c r="H6" s="5">
        <f t="shared" si="2"/>
        <v>1376</v>
      </c>
      <c r="I6" s="5">
        <f t="shared" si="3"/>
        <v>0</v>
      </c>
      <c r="J6" s="5">
        <f>Table1[[#This Row],[Enrolment S.Y. 2025-2026 ]]*8</f>
        <v>1376</v>
      </c>
      <c r="K6" s="5"/>
      <c r="L6" s="1"/>
      <c r="M6" s="5"/>
      <c r="N6" s="5">
        <f t="shared" ref="N6:N70" si="10">IF((J6-K6)&lt;0,0,(J6-K6))</f>
        <v>1376</v>
      </c>
      <c r="O6" s="5">
        <f t="shared" ref="O6:O70" si="11">IF((K6-J6)&lt;0,0,(K6-J6))</f>
        <v>0</v>
      </c>
      <c r="P6" s="5">
        <f>Table1[[#This Row],[Enrolment S.Y. 2025-2026 ]]*8</f>
        <v>1376</v>
      </c>
      <c r="Q6" s="5"/>
      <c r="R6" s="1"/>
      <c r="S6" s="5"/>
      <c r="T6" s="5">
        <f t="shared" ref="T6:T70" si="12">IF((P6-Q6)&lt;0,0,(P6-Q6))</f>
        <v>1376</v>
      </c>
      <c r="U6" s="5">
        <f t="shared" ref="U6:U70" si="13">IF((Q6-P6)&lt;0,0,(Q6-P6))</f>
        <v>0</v>
      </c>
      <c r="V6" s="5">
        <f>Table1[[#This Row],[Enrolment S.Y. 2025-2026 ]]*8</f>
        <v>1376</v>
      </c>
      <c r="W6" s="5"/>
      <c r="X6" s="1"/>
      <c r="Y6" s="5"/>
      <c r="Z6" s="5">
        <f t="shared" ref="Z6:Z70" si="14">IF((V6-W6)&lt;0,0,(V6-W6))</f>
        <v>1376</v>
      </c>
      <c r="AA6" s="5">
        <f t="shared" ref="AA6:AA70" si="15">IF((W6-V6)&lt;0,0,(W6-V6))</f>
        <v>0</v>
      </c>
    </row>
    <row r="7" spans="1:27" ht="19.5">
      <c r="A7" s="1">
        <v>1</v>
      </c>
      <c r="B7" s="2" t="s">
        <v>11</v>
      </c>
      <c r="C7" s="1">
        <v>172</v>
      </c>
      <c r="D7" s="5">
        <f>Table1[[#This Row],[Enrolment S.Y. 2025-2026 ]]*8</f>
        <v>1376</v>
      </c>
      <c r="E7" s="5">
        <v>41</v>
      </c>
      <c r="F7" s="1">
        <v>2024</v>
      </c>
      <c r="G7" s="5"/>
      <c r="H7" s="5">
        <f t="shared" si="2"/>
        <v>1335</v>
      </c>
      <c r="I7" s="5">
        <f t="shared" si="3"/>
        <v>0</v>
      </c>
      <c r="J7" s="5">
        <f>Table1[[#This Row],[Enrolment S.Y. 2025-2026 ]]*8</f>
        <v>1376</v>
      </c>
      <c r="K7" s="5"/>
      <c r="L7" s="1"/>
      <c r="M7" s="5"/>
      <c r="N7" s="5">
        <f t="shared" si="10"/>
        <v>1376</v>
      </c>
      <c r="O7" s="5">
        <f t="shared" si="11"/>
        <v>0</v>
      </c>
      <c r="P7" s="5">
        <f>Table1[[#This Row],[Enrolment S.Y. 2025-2026 ]]*8</f>
        <v>1376</v>
      </c>
      <c r="Q7" s="5"/>
      <c r="R7" s="1"/>
      <c r="S7" s="5"/>
      <c r="T7" s="5">
        <f t="shared" si="12"/>
        <v>1376</v>
      </c>
      <c r="U7" s="5">
        <f t="shared" si="13"/>
        <v>0</v>
      </c>
      <c r="V7" s="5">
        <f>Table1[[#This Row],[Enrolment S.Y. 2025-2026 ]]*8</f>
        <v>1376</v>
      </c>
      <c r="W7" s="5"/>
      <c r="X7" s="1"/>
      <c r="Y7" s="5"/>
      <c r="Z7" s="5">
        <f t="shared" si="14"/>
        <v>1376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172</v>
      </c>
      <c r="D8" s="5">
        <f>Table1[[#This Row],[Enrolment S.Y. 2025-2026 ]]*8</f>
        <v>1376</v>
      </c>
      <c r="E8" s="5">
        <v>41</v>
      </c>
      <c r="F8" s="1">
        <v>2024</v>
      </c>
      <c r="G8" s="5"/>
      <c r="H8" s="5">
        <f t="shared" si="2"/>
        <v>1335</v>
      </c>
      <c r="I8" s="5">
        <f t="shared" si="3"/>
        <v>0</v>
      </c>
      <c r="J8" s="5">
        <f>Table1[[#This Row],[Enrolment S.Y. 2025-2026 ]]*8</f>
        <v>1376</v>
      </c>
      <c r="K8" s="5"/>
      <c r="L8" s="1"/>
      <c r="M8" s="5"/>
      <c r="N8" s="5">
        <f t="shared" si="10"/>
        <v>1376</v>
      </c>
      <c r="O8" s="5">
        <f t="shared" si="11"/>
        <v>0</v>
      </c>
      <c r="P8" s="5">
        <f>Table1[[#This Row],[Enrolment S.Y. 2025-2026 ]]*8</f>
        <v>1376</v>
      </c>
      <c r="Q8" s="5"/>
      <c r="R8" s="1"/>
      <c r="S8" s="5"/>
      <c r="T8" s="5">
        <f t="shared" si="12"/>
        <v>1376</v>
      </c>
      <c r="U8" s="5">
        <f t="shared" si="13"/>
        <v>0</v>
      </c>
      <c r="V8" s="5">
        <f>Table1[[#This Row],[Enrolment S.Y. 2025-2026 ]]*8</f>
        <v>1376</v>
      </c>
      <c r="W8" s="5"/>
      <c r="X8" s="1"/>
      <c r="Y8" s="5"/>
      <c r="Z8" s="5">
        <f t="shared" si="14"/>
        <v>1376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172</v>
      </c>
      <c r="D9" s="5">
        <f>Table1[[#This Row],[Enrolment S.Y. 2025-2026 ]]*8</f>
        <v>1376</v>
      </c>
      <c r="E9" s="5">
        <v>41</v>
      </c>
      <c r="F9" s="1">
        <v>2024</v>
      </c>
      <c r="G9" s="5"/>
      <c r="H9" s="5">
        <f t="shared" si="2"/>
        <v>1335</v>
      </c>
      <c r="I9" s="5">
        <f t="shared" si="3"/>
        <v>0</v>
      </c>
      <c r="J9" s="5">
        <f>Table1[[#This Row],[Enrolment S.Y. 2025-2026 ]]*8</f>
        <v>1376</v>
      </c>
      <c r="K9" s="5"/>
      <c r="L9" s="1"/>
      <c r="M9" s="5"/>
      <c r="N9" s="5">
        <f t="shared" si="10"/>
        <v>1376</v>
      </c>
      <c r="O9" s="5">
        <f t="shared" si="11"/>
        <v>0</v>
      </c>
      <c r="P9" s="5">
        <f>Table1[[#This Row],[Enrolment S.Y. 2025-2026 ]]*8</f>
        <v>1376</v>
      </c>
      <c r="Q9" s="5"/>
      <c r="R9" s="1"/>
      <c r="S9" s="5"/>
      <c r="T9" s="5">
        <f t="shared" si="12"/>
        <v>1376</v>
      </c>
      <c r="U9" s="5">
        <f t="shared" si="13"/>
        <v>0</v>
      </c>
      <c r="V9" s="5">
        <f>Table1[[#This Row],[Enrolment S.Y. 2025-2026 ]]*8</f>
        <v>1376</v>
      </c>
      <c r="W9" s="5"/>
      <c r="X9" s="1"/>
      <c r="Y9" s="5"/>
      <c r="Z9" s="5">
        <f t="shared" si="14"/>
        <v>1376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172</v>
      </c>
      <c r="D10" s="5">
        <f>Table1[[#This Row],[Enrolment S.Y. 2025-2026 ]]*8</f>
        <v>1376</v>
      </c>
      <c r="E10" s="5"/>
      <c r="F10" s="1"/>
      <c r="G10" s="5"/>
      <c r="H10" s="5">
        <f>IF((D10-E10)&lt;0,0,(D10-E10))</f>
        <v>1376</v>
      </c>
      <c r="I10" s="5">
        <f>IF((E10-D10)&lt;0,0,(E10-D10))</f>
        <v>0</v>
      </c>
      <c r="J10" s="5">
        <f>Table1[[#This Row],[Enrolment S.Y. 2025-2026 ]]*8</f>
        <v>1376</v>
      </c>
      <c r="K10" s="5"/>
      <c r="L10" s="1"/>
      <c r="M10" s="5"/>
      <c r="N10" s="5">
        <f t="shared" si="10"/>
        <v>1376</v>
      </c>
      <c r="O10" s="5">
        <f t="shared" si="11"/>
        <v>0</v>
      </c>
      <c r="P10" s="5">
        <f>Table1[[#This Row],[Enrolment S.Y. 2025-2026 ]]*8</f>
        <v>1376</v>
      </c>
      <c r="Q10" s="5"/>
      <c r="R10" s="1"/>
      <c r="S10" s="5"/>
      <c r="T10" s="5">
        <f t="shared" si="12"/>
        <v>1376</v>
      </c>
      <c r="U10" s="5">
        <f t="shared" si="13"/>
        <v>0</v>
      </c>
      <c r="V10" s="5">
        <f>Table1[[#This Row],[Enrolment S.Y. 2025-2026 ]]*8</f>
        <v>1376</v>
      </c>
      <c r="W10" s="5"/>
      <c r="X10" s="1"/>
      <c r="Y10" s="5"/>
      <c r="Z10" s="5">
        <f t="shared" si="14"/>
        <v>1376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172</v>
      </c>
      <c r="D11" s="5">
        <f>Table1[[#This Row],[Enrolment S.Y. 2025-2026 ]]*8</f>
        <v>1376</v>
      </c>
      <c r="E11" s="5"/>
      <c r="F11" s="1"/>
      <c r="G11" s="5"/>
      <c r="H11" s="5">
        <f>IF((D11-E11)&lt;0,0,(D11-E11))</f>
        <v>1376</v>
      </c>
      <c r="I11" s="5">
        <f>IF((E11-D11)&lt;0,0,(E11-D11))</f>
        <v>0</v>
      </c>
      <c r="J11" s="5">
        <f>Table1[[#This Row],[Enrolment S.Y. 2025-2026 ]]*8</f>
        <v>1376</v>
      </c>
      <c r="K11" s="5"/>
      <c r="L11" s="1"/>
      <c r="M11" s="5"/>
      <c r="N11" s="5">
        <f t="shared" si="10"/>
        <v>1376</v>
      </c>
      <c r="O11" s="5">
        <f t="shared" si="11"/>
        <v>0</v>
      </c>
      <c r="P11" s="5">
        <f>Table1[[#This Row],[Enrolment S.Y. 2025-2026 ]]*8</f>
        <v>1376</v>
      </c>
      <c r="Q11" s="5"/>
      <c r="R11" s="1"/>
      <c r="S11" s="5"/>
      <c r="T11" s="5">
        <f t="shared" si="12"/>
        <v>1376</v>
      </c>
      <c r="U11" s="5">
        <f t="shared" si="13"/>
        <v>0</v>
      </c>
      <c r="V11" s="5">
        <f>Table1[[#This Row],[Enrolment S.Y. 2025-2026 ]]*8</f>
        <v>1376</v>
      </c>
      <c r="W11" s="5"/>
      <c r="X11" s="1"/>
      <c r="Y11" s="5"/>
      <c r="Z11" s="5">
        <f t="shared" si="14"/>
        <v>1376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172</v>
      </c>
      <c r="D12" s="5">
        <f>Table1[[#This Row],[Enrolment S.Y. 2025-2026 ]]*8</f>
        <v>1376</v>
      </c>
      <c r="E12" s="5"/>
      <c r="F12" s="1"/>
      <c r="G12" s="5"/>
      <c r="H12" s="5">
        <f>IF((D12-E12)&lt;0,0,(D12-E12))</f>
        <v>1376</v>
      </c>
      <c r="I12" s="5">
        <f>IF((E12-D12)&lt;0,0,(E12-D12))</f>
        <v>0</v>
      </c>
      <c r="J12" s="5">
        <f>Table1[[#This Row],[Enrolment S.Y. 2025-2026 ]]*8</f>
        <v>1376</v>
      </c>
      <c r="K12" s="5"/>
      <c r="L12" s="1"/>
      <c r="M12" s="5"/>
      <c r="N12" s="5">
        <f t="shared" si="10"/>
        <v>1376</v>
      </c>
      <c r="O12" s="5">
        <f t="shared" si="11"/>
        <v>0</v>
      </c>
      <c r="P12" s="5">
        <f>Table1[[#This Row],[Enrolment S.Y. 2025-2026 ]]*8</f>
        <v>1376</v>
      </c>
      <c r="Q12" s="5"/>
      <c r="R12" s="1"/>
      <c r="S12" s="5"/>
      <c r="T12" s="5">
        <f t="shared" si="12"/>
        <v>1376</v>
      </c>
      <c r="U12" s="5">
        <f t="shared" si="13"/>
        <v>0</v>
      </c>
      <c r="V12" s="5">
        <f>Table1[[#This Row],[Enrolment S.Y. 2025-2026 ]]*8</f>
        <v>1376</v>
      </c>
      <c r="W12" s="5"/>
      <c r="X12" s="1"/>
      <c r="Y12" s="5"/>
      <c r="Z12" s="5">
        <f t="shared" si="14"/>
        <v>1376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207</v>
      </c>
      <c r="D14" s="5">
        <f>Table1[[#This Row],[Enrolment S.Y. 2025-2026 ]]*8</f>
        <v>1656</v>
      </c>
      <c r="E14" s="5"/>
      <c r="F14" s="1"/>
      <c r="G14" s="5"/>
      <c r="H14" s="5">
        <f t="shared" si="2"/>
        <v>1656</v>
      </c>
      <c r="I14" s="5">
        <f t="shared" si="3"/>
        <v>0</v>
      </c>
      <c r="J14" s="5">
        <f>Table1[[#This Row],[Enrolment S.Y. 2025-2026 ]]*8</f>
        <v>1656</v>
      </c>
      <c r="K14" s="5"/>
      <c r="L14" s="1"/>
      <c r="M14" s="5"/>
      <c r="N14" s="5">
        <f t="shared" si="10"/>
        <v>1656</v>
      </c>
      <c r="O14" s="5">
        <f t="shared" si="11"/>
        <v>0</v>
      </c>
      <c r="P14" s="5">
        <f>Table1[[#This Row],[Enrolment S.Y. 2025-2026 ]]*8</f>
        <v>1656</v>
      </c>
      <c r="Q14" s="5"/>
      <c r="R14" s="1"/>
      <c r="S14" s="5"/>
      <c r="T14" s="5">
        <f t="shared" si="12"/>
        <v>1656</v>
      </c>
      <c r="U14" s="5">
        <f t="shared" si="13"/>
        <v>0</v>
      </c>
      <c r="V14" s="5">
        <f>Table1[[#This Row],[Enrolment S.Y. 2025-2026 ]]*8</f>
        <v>1656</v>
      </c>
      <c r="W14" s="5"/>
      <c r="X14" s="1"/>
      <c r="Y14" s="5"/>
      <c r="Z14" s="5">
        <f t="shared" si="14"/>
        <v>1656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207</v>
      </c>
      <c r="D15" s="5">
        <f>Table1[[#This Row],[Enrolment S.Y. 2025-2026 ]]*8</f>
        <v>1656</v>
      </c>
      <c r="E15" s="5"/>
      <c r="F15" s="1"/>
      <c r="G15" s="5"/>
      <c r="H15" s="5">
        <f t="shared" si="2"/>
        <v>1656</v>
      </c>
      <c r="I15" s="5">
        <f t="shared" si="3"/>
        <v>0</v>
      </c>
      <c r="J15" s="5">
        <f>Table1[[#This Row],[Enrolment S.Y. 2025-2026 ]]*8</f>
        <v>1656</v>
      </c>
      <c r="K15" s="5"/>
      <c r="L15" s="1"/>
      <c r="M15" s="5"/>
      <c r="N15" s="5">
        <f t="shared" si="10"/>
        <v>1656</v>
      </c>
      <c r="O15" s="5">
        <f t="shared" si="11"/>
        <v>0</v>
      </c>
      <c r="P15" s="5">
        <f>Table1[[#This Row],[Enrolment S.Y. 2025-2026 ]]*8</f>
        <v>1656</v>
      </c>
      <c r="Q15" s="5"/>
      <c r="R15" s="1"/>
      <c r="S15" s="5"/>
      <c r="T15" s="5">
        <f t="shared" si="12"/>
        <v>1656</v>
      </c>
      <c r="U15" s="5">
        <f t="shared" si="13"/>
        <v>0</v>
      </c>
      <c r="V15" s="5">
        <f>Table1[[#This Row],[Enrolment S.Y. 2025-2026 ]]*8</f>
        <v>1656</v>
      </c>
      <c r="W15" s="5"/>
      <c r="X15" s="1"/>
      <c r="Y15" s="5"/>
      <c r="Z15" s="5">
        <f t="shared" si="14"/>
        <v>1656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207</v>
      </c>
      <c r="D16" s="5">
        <f>Table1[[#This Row],[Enrolment S.Y. 2025-2026 ]]*8</f>
        <v>1656</v>
      </c>
      <c r="E16" s="5">
        <v>233</v>
      </c>
      <c r="F16" s="1">
        <v>2025</v>
      </c>
      <c r="G16" s="5" t="s">
        <v>9</v>
      </c>
      <c r="H16" s="5">
        <f t="shared" si="2"/>
        <v>1423</v>
      </c>
      <c r="I16" s="5">
        <f t="shared" si="3"/>
        <v>0</v>
      </c>
      <c r="J16" s="5">
        <f>Table1[[#This Row],[Enrolment S.Y. 2025-2026 ]]*8</f>
        <v>1656</v>
      </c>
      <c r="K16" s="5"/>
      <c r="L16" s="1"/>
      <c r="M16" s="5"/>
      <c r="N16" s="5">
        <f t="shared" si="10"/>
        <v>1656</v>
      </c>
      <c r="O16" s="5">
        <f t="shared" si="11"/>
        <v>0</v>
      </c>
      <c r="P16" s="5">
        <f>Table1[[#This Row],[Enrolment S.Y. 2025-2026 ]]*8</f>
        <v>1656</v>
      </c>
      <c r="Q16" s="5"/>
      <c r="R16" s="1"/>
      <c r="S16" s="5"/>
      <c r="T16" s="5">
        <f t="shared" si="12"/>
        <v>1656</v>
      </c>
      <c r="U16" s="5">
        <f t="shared" si="13"/>
        <v>0</v>
      </c>
      <c r="V16" s="5">
        <f>Table1[[#This Row],[Enrolment S.Y. 2025-2026 ]]*8</f>
        <v>1656</v>
      </c>
      <c r="W16" s="5"/>
      <c r="X16" s="1"/>
      <c r="Y16" s="5"/>
      <c r="Z16" s="5">
        <f t="shared" si="14"/>
        <v>1656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207</v>
      </c>
      <c r="D17" s="5">
        <f>Table1[[#This Row],[Enrolment S.Y. 2025-2026 ]]*8</f>
        <v>1656</v>
      </c>
      <c r="E17" s="5">
        <v>233</v>
      </c>
      <c r="F17" s="1">
        <v>2025</v>
      </c>
      <c r="G17" s="5" t="s">
        <v>9</v>
      </c>
      <c r="H17" s="5">
        <f t="shared" si="2"/>
        <v>1423</v>
      </c>
      <c r="I17" s="5">
        <f t="shared" si="3"/>
        <v>0</v>
      </c>
      <c r="J17" s="5">
        <f>Table1[[#This Row],[Enrolment S.Y. 2025-2026 ]]*8</f>
        <v>1656</v>
      </c>
      <c r="K17" s="5">
        <v>211</v>
      </c>
      <c r="L17" s="1">
        <v>2025</v>
      </c>
      <c r="M17" s="5" t="s">
        <v>9</v>
      </c>
      <c r="N17" s="5">
        <f t="shared" si="10"/>
        <v>1445</v>
      </c>
      <c r="O17" s="5">
        <f t="shared" si="11"/>
        <v>0</v>
      </c>
      <c r="P17" s="5">
        <f>Table1[[#This Row],[Enrolment S.Y. 2025-2026 ]]*8</f>
        <v>1656</v>
      </c>
      <c r="Q17" s="5"/>
      <c r="R17" s="1"/>
      <c r="S17" s="5"/>
      <c r="T17" s="5">
        <f t="shared" si="12"/>
        <v>1656</v>
      </c>
      <c r="U17" s="5">
        <f t="shared" si="13"/>
        <v>0</v>
      </c>
      <c r="V17" s="5">
        <f>Table1[[#This Row],[Enrolment S.Y. 2025-2026 ]]*8</f>
        <v>1656</v>
      </c>
      <c r="W17" s="5"/>
      <c r="X17" s="1"/>
      <c r="Y17" s="5"/>
      <c r="Z17" s="5">
        <f t="shared" si="14"/>
        <v>1656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207</v>
      </c>
      <c r="D18" s="5">
        <f>Table1[[#This Row],[Enrolment S.Y. 2025-2026 ]]*8</f>
        <v>1656</v>
      </c>
      <c r="E18" s="5">
        <v>233</v>
      </c>
      <c r="F18" s="1">
        <v>2025</v>
      </c>
      <c r="G18" s="5" t="s">
        <v>9</v>
      </c>
      <c r="H18" s="5">
        <f t="shared" si="2"/>
        <v>1423</v>
      </c>
      <c r="I18" s="5">
        <f t="shared" si="3"/>
        <v>0</v>
      </c>
      <c r="J18" s="5">
        <f>Table1[[#This Row],[Enrolment S.Y. 2025-2026 ]]*8</f>
        <v>1656</v>
      </c>
      <c r="K18" s="5"/>
      <c r="L18" s="1"/>
      <c r="M18" s="5"/>
      <c r="N18" s="5">
        <f t="shared" si="10"/>
        <v>1656</v>
      </c>
      <c r="O18" s="5">
        <f t="shared" si="11"/>
        <v>0</v>
      </c>
      <c r="P18" s="5">
        <f>Table1[[#This Row],[Enrolment S.Y. 2025-2026 ]]*8</f>
        <v>1656</v>
      </c>
      <c r="Q18" s="5"/>
      <c r="R18" s="1"/>
      <c r="S18" s="5"/>
      <c r="T18" s="5">
        <f t="shared" si="12"/>
        <v>1656</v>
      </c>
      <c r="U18" s="5">
        <f t="shared" si="13"/>
        <v>0</v>
      </c>
      <c r="V18" s="5">
        <f>Table1[[#This Row],[Enrolment S.Y. 2025-2026 ]]*8</f>
        <v>1656</v>
      </c>
      <c r="W18" s="5"/>
      <c r="X18" s="1"/>
      <c r="Y18" s="5"/>
      <c r="Z18" s="5">
        <f t="shared" si="14"/>
        <v>1656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207</v>
      </c>
      <c r="D19" s="5">
        <f>Table1[[#This Row],[Enrolment S.Y. 2025-2026 ]]*8</f>
        <v>1656</v>
      </c>
      <c r="E19" s="5">
        <v>233</v>
      </c>
      <c r="F19" s="1">
        <v>2025</v>
      </c>
      <c r="G19" s="5" t="s">
        <v>9</v>
      </c>
      <c r="H19" s="5">
        <f>IF((D19-E19)&lt;0,0,(D19-E19))</f>
        <v>1423</v>
      </c>
      <c r="I19" s="5">
        <f>IF((E19-D19)&lt;0,0,(E19-D19))</f>
        <v>0</v>
      </c>
      <c r="J19" s="5">
        <f>Table1[[#This Row],[Enrolment S.Y. 2025-2026 ]]*8</f>
        <v>1656</v>
      </c>
      <c r="K19" s="5">
        <v>211</v>
      </c>
      <c r="L19" s="1">
        <v>2025</v>
      </c>
      <c r="M19" s="5" t="s">
        <v>9</v>
      </c>
      <c r="N19" s="5">
        <f t="shared" si="10"/>
        <v>1445</v>
      </c>
      <c r="O19" s="5">
        <f t="shared" si="11"/>
        <v>0</v>
      </c>
      <c r="P19" s="5">
        <f>Table1[[#This Row],[Enrolment S.Y. 2025-2026 ]]*8</f>
        <v>1656</v>
      </c>
      <c r="Q19" s="5"/>
      <c r="R19" s="1"/>
      <c r="S19" s="5"/>
      <c r="T19" s="5">
        <f t="shared" si="12"/>
        <v>1656</v>
      </c>
      <c r="U19" s="5">
        <f t="shared" si="13"/>
        <v>0</v>
      </c>
      <c r="V19" s="5">
        <f>Table1[[#This Row],[Enrolment S.Y. 2025-2026 ]]*8</f>
        <v>1656</v>
      </c>
      <c r="W19" s="5"/>
      <c r="X19" s="1"/>
      <c r="Y19" s="5"/>
      <c r="Z19" s="5">
        <f t="shared" si="14"/>
        <v>1656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207</v>
      </c>
      <c r="D20" s="5">
        <f>Table1[[#This Row],[Enrolment S.Y. 2025-2026 ]]*8</f>
        <v>1656</v>
      </c>
      <c r="E20" s="5">
        <v>233</v>
      </c>
      <c r="F20" s="1">
        <v>2025</v>
      </c>
      <c r="G20" s="5" t="s">
        <v>9</v>
      </c>
      <c r="H20" s="5">
        <f>IF((D20-E20)&lt;0,0,(D20-E20))</f>
        <v>1423</v>
      </c>
      <c r="I20" s="5">
        <f>IF((E20-D20)&lt;0,0,(E20-D20))</f>
        <v>0</v>
      </c>
      <c r="J20" s="5">
        <f>Table1[[#This Row],[Enrolment S.Y. 2025-2026 ]]*8</f>
        <v>1656</v>
      </c>
      <c r="K20" s="5"/>
      <c r="L20" s="1"/>
      <c r="M20" s="5"/>
      <c r="N20" s="5">
        <f t="shared" si="10"/>
        <v>1656</v>
      </c>
      <c r="O20" s="5">
        <f t="shared" si="11"/>
        <v>0</v>
      </c>
      <c r="P20" s="5">
        <f>Table1[[#This Row],[Enrolment S.Y. 2025-2026 ]]*8</f>
        <v>1656</v>
      </c>
      <c r="Q20" s="5"/>
      <c r="R20" s="1"/>
      <c r="S20" s="5"/>
      <c r="T20" s="5">
        <f t="shared" si="12"/>
        <v>1656</v>
      </c>
      <c r="U20" s="5">
        <f t="shared" si="13"/>
        <v>0</v>
      </c>
      <c r="V20" s="5">
        <f>Table1[[#This Row],[Enrolment S.Y. 2025-2026 ]]*8</f>
        <v>1656</v>
      </c>
      <c r="W20" s="5"/>
      <c r="X20" s="1"/>
      <c r="Y20" s="5"/>
      <c r="Z20" s="5">
        <f t="shared" si="14"/>
        <v>1656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207</v>
      </c>
      <c r="D21" s="5">
        <f>Table1[[#This Row],[Enrolment S.Y. 2025-2026 ]]*8</f>
        <v>1656</v>
      </c>
      <c r="E21" s="5"/>
      <c r="F21" s="1"/>
      <c r="G21" s="5"/>
      <c r="H21" s="5">
        <f>IF((D21-E21)&lt;0,0,(D21-E21))</f>
        <v>1656</v>
      </c>
      <c r="I21" s="5">
        <f>IF((E21-D21)&lt;0,0,(E21-D21))</f>
        <v>0</v>
      </c>
      <c r="J21" s="5">
        <f>Table1[[#This Row],[Enrolment S.Y. 2025-2026 ]]*8</f>
        <v>1656</v>
      </c>
      <c r="K21" s="5"/>
      <c r="L21" s="1"/>
      <c r="M21" s="5"/>
      <c r="N21" s="5">
        <f t="shared" si="10"/>
        <v>1656</v>
      </c>
      <c r="O21" s="5">
        <f t="shared" si="11"/>
        <v>0</v>
      </c>
      <c r="P21" s="5">
        <f>Table1[[#This Row],[Enrolment S.Y. 2025-2026 ]]*8</f>
        <v>1656</v>
      </c>
      <c r="Q21" s="5"/>
      <c r="R21" s="1"/>
      <c r="S21" s="5"/>
      <c r="T21" s="5">
        <f t="shared" si="12"/>
        <v>1656</v>
      </c>
      <c r="U21" s="5">
        <f t="shared" si="13"/>
        <v>0</v>
      </c>
      <c r="V21" s="5">
        <f>Table1[[#This Row],[Enrolment S.Y. 2025-2026 ]]*8</f>
        <v>1656</v>
      </c>
      <c r="W21" s="5"/>
      <c r="X21" s="1"/>
      <c r="Y21" s="5"/>
      <c r="Z21" s="5">
        <f t="shared" si="14"/>
        <v>1656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237</v>
      </c>
      <c r="D23" s="5">
        <f>Table1[[#This Row],[Enrolment S.Y. 2025-2026 ]]*8</f>
        <v>1896</v>
      </c>
      <c r="E23" s="5"/>
      <c r="F23" s="1"/>
      <c r="G23" s="5"/>
      <c r="H23" s="5">
        <f t="shared" si="2"/>
        <v>1896</v>
      </c>
      <c r="I23" s="5">
        <f t="shared" si="3"/>
        <v>0</v>
      </c>
      <c r="J23" s="5">
        <f>Table1[[#This Row],[Enrolment S.Y. 2025-2026 ]]*8</f>
        <v>1896</v>
      </c>
      <c r="K23" s="5"/>
      <c r="L23" s="1"/>
      <c r="M23" s="5"/>
      <c r="N23" s="5">
        <f t="shared" si="10"/>
        <v>1896</v>
      </c>
      <c r="O23" s="5">
        <f t="shared" si="11"/>
        <v>0</v>
      </c>
      <c r="P23" s="5">
        <f>Table1[[#This Row],[Enrolment S.Y. 2025-2026 ]]*8</f>
        <v>1896</v>
      </c>
      <c r="Q23" s="5"/>
      <c r="R23" s="1"/>
      <c r="S23" s="5"/>
      <c r="T23" s="5">
        <f t="shared" si="12"/>
        <v>1896</v>
      </c>
      <c r="U23" s="5">
        <f t="shared" si="13"/>
        <v>0</v>
      </c>
      <c r="V23" s="5">
        <f>Table1[[#This Row],[Enrolment S.Y. 2025-2026 ]]*8</f>
        <v>1896</v>
      </c>
      <c r="W23" s="5"/>
      <c r="X23" s="1"/>
      <c r="Y23" s="5"/>
      <c r="Z23" s="5">
        <f t="shared" si="14"/>
        <v>1896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237</v>
      </c>
      <c r="D24" s="5">
        <f>Table1[[#This Row],[Enrolment S.Y. 2025-2026 ]]*8</f>
        <v>1896</v>
      </c>
      <c r="E24" s="5"/>
      <c r="F24" s="1"/>
      <c r="G24" s="5"/>
      <c r="H24" s="5">
        <f t="shared" si="2"/>
        <v>1896</v>
      </c>
      <c r="I24" s="5">
        <f t="shared" si="3"/>
        <v>0</v>
      </c>
      <c r="J24" s="5">
        <f>Table1[[#This Row],[Enrolment S.Y. 2025-2026 ]]*8</f>
        <v>1896</v>
      </c>
      <c r="K24" s="5"/>
      <c r="L24" s="1"/>
      <c r="M24" s="5"/>
      <c r="N24" s="5">
        <f t="shared" si="10"/>
        <v>1896</v>
      </c>
      <c r="O24" s="5">
        <f t="shared" si="11"/>
        <v>0</v>
      </c>
      <c r="P24" s="5">
        <f>Table1[[#This Row],[Enrolment S.Y. 2025-2026 ]]*8</f>
        <v>1896</v>
      </c>
      <c r="Q24" s="5"/>
      <c r="R24" s="1"/>
      <c r="S24" s="5"/>
      <c r="T24" s="5">
        <f t="shared" si="12"/>
        <v>1896</v>
      </c>
      <c r="U24" s="5">
        <f t="shared" si="13"/>
        <v>0</v>
      </c>
      <c r="V24" s="5">
        <f>Table1[[#This Row],[Enrolment S.Y. 2025-2026 ]]*8</f>
        <v>1896</v>
      </c>
      <c r="W24" s="5"/>
      <c r="X24" s="1"/>
      <c r="Y24" s="5"/>
      <c r="Z24" s="5">
        <f t="shared" si="14"/>
        <v>1896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237</v>
      </c>
      <c r="D25" s="5">
        <f>Table1[[#This Row],[Enrolment S.Y. 2025-2026 ]]*8</f>
        <v>1896</v>
      </c>
      <c r="E25" s="5">
        <v>182</v>
      </c>
      <c r="F25" s="1">
        <v>2025</v>
      </c>
      <c r="G25" s="5" t="s">
        <v>9</v>
      </c>
      <c r="H25" s="5">
        <f t="shared" si="2"/>
        <v>1714</v>
      </c>
      <c r="I25" s="5">
        <f t="shared" si="3"/>
        <v>0</v>
      </c>
      <c r="J25" s="5">
        <f>Table1[[#This Row],[Enrolment S.Y. 2025-2026 ]]*8</f>
        <v>1896</v>
      </c>
      <c r="K25" s="5"/>
      <c r="L25" s="1"/>
      <c r="M25" s="5"/>
      <c r="N25" s="5">
        <f t="shared" si="10"/>
        <v>1896</v>
      </c>
      <c r="O25" s="5">
        <f t="shared" si="11"/>
        <v>0</v>
      </c>
      <c r="P25" s="5">
        <f>Table1[[#This Row],[Enrolment S.Y. 2025-2026 ]]*8</f>
        <v>1896</v>
      </c>
      <c r="Q25" s="5"/>
      <c r="R25" s="1"/>
      <c r="S25" s="5"/>
      <c r="T25" s="5">
        <f t="shared" si="12"/>
        <v>1896</v>
      </c>
      <c r="U25" s="5">
        <f t="shared" si="13"/>
        <v>0</v>
      </c>
      <c r="V25" s="5">
        <f>Table1[[#This Row],[Enrolment S.Y. 2025-2026 ]]*8</f>
        <v>1896</v>
      </c>
      <c r="W25" s="5"/>
      <c r="X25" s="1"/>
      <c r="Y25" s="5"/>
      <c r="Z25" s="5">
        <f t="shared" si="14"/>
        <v>1896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237</v>
      </c>
      <c r="D26" s="5">
        <f>Table1[[#This Row],[Enrolment S.Y. 2025-2026 ]]*8</f>
        <v>1896</v>
      </c>
      <c r="E26" s="5">
        <v>182</v>
      </c>
      <c r="F26" s="1">
        <v>2025</v>
      </c>
      <c r="G26" s="5" t="s">
        <v>9</v>
      </c>
      <c r="H26" s="5">
        <f t="shared" si="2"/>
        <v>1714</v>
      </c>
      <c r="I26" s="5">
        <f t="shared" si="3"/>
        <v>0</v>
      </c>
      <c r="J26" s="5">
        <f>Table1[[#This Row],[Enrolment S.Y. 2025-2026 ]]*8</f>
        <v>1896</v>
      </c>
      <c r="K26" s="5"/>
      <c r="L26" s="1"/>
      <c r="M26" s="5"/>
      <c r="N26" s="5">
        <f t="shared" si="10"/>
        <v>1896</v>
      </c>
      <c r="O26" s="5">
        <f t="shared" si="11"/>
        <v>0</v>
      </c>
      <c r="P26" s="5">
        <f>Table1[[#This Row],[Enrolment S.Y. 2025-2026 ]]*8</f>
        <v>1896</v>
      </c>
      <c r="Q26" s="5"/>
      <c r="R26" s="1"/>
      <c r="S26" s="5"/>
      <c r="T26" s="5">
        <f t="shared" si="12"/>
        <v>1896</v>
      </c>
      <c r="U26" s="5">
        <f t="shared" si="13"/>
        <v>0</v>
      </c>
      <c r="V26" s="5">
        <f>Table1[[#This Row],[Enrolment S.Y. 2025-2026 ]]*8</f>
        <v>1896</v>
      </c>
      <c r="W26" s="5"/>
      <c r="X26" s="1"/>
      <c r="Y26" s="5"/>
      <c r="Z26" s="5">
        <f t="shared" si="14"/>
        <v>1896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237</v>
      </c>
      <c r="D27" s="5">
        <f>Table1[[#This Row],[Enrolment S.Y. 2025-2026 ]]*8</f>
        <v>1896</v>
      </c>
      <c r="E27" s="5">
        <v>182</v>
      </c>
      <c r="F27" s="1">
        <v>2025</v>
      </c>
      <c r="G27" s="5" t="s">
        <v>9</v>
      </c>
      <c r="H27" s="5">
        <f t="shared" si="2"/>
        <v>1714</v>
      </c>
      <c r="I27" s="5">
        <f t="shared" si="3"/>
        <v>0</v>
      </c>
      <c r="J27" s="5">
        <f>Table1[[#This Row],[Enrolment S.Y. 2025-2026 ]]*8</f>
        <v>1896</v>
      </c>
      <c r="K27" s="5"/>
      <c r="L27" s="1"/>
      <c r="M27" s="5"/>
      <c r="N27" s="5">
        <f t="shared" si="10"/>
        <v>1896</v>
      </c>
      <c r="O27" s="5">
        <f t="shared" si="11"/>
        <v>0</v>
      </c>
      <c r="P27" s="5">
        <f>Table1[[#This Row],[Enrolment S.Y. 2025-2026 ]]*8</f>
        <v>1896</v>
      </c>
      <c r="Q27" s="5"/>
      <c r="R27" s="1"/>
      <c r="S27" s="5"/>
      <c r="T27" s="5">
        <f t="shared" si="12"/>
        <v>1896</v>
      </c>
      <c r="U27" s="5">
        <f t="shared" si="13"/>
        <v>0</v>
      </c>
      <c r="V27" s="5">
        <f>Table1[[#This Row],[Enrolment S.Y. 2025-2026 ]]*8</f>
        <v>1896</v>
      </c>
      <c r="W27" s="5"/>
      <c r="X27" s="1"/>
      <c r="Y27" s="5"/>
      <c r="Z27" s="5">
        <f t="shared" si="14"/>
        <v>1896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237</v>
      </c>
      <c r="D28" s="5">
        <f>Table1[[#This Row],[Enrolment S.Y. 2025-2026 ]]*8</f>
        <v>1896</v>
      </c>
      <c r="E28" s="5">
        <v>182</v>
      </c>
      <c r="F28" s="1">
        <v>2025</v>
      </c>
      <c r="G28" s="5" t="s">
        <v>9</v>
      </c>
      <c r="H28" s="5">
        <f t="shared" si="2"/>
        <v>1714</v>
      </c>
      <c r="I28" s="5">
        <f t="shared" si="3"/>
        <v>0</v>
      </c>
      <c r="J28" s="5">
        <f>Table1[[#This Row],[Enrolment S.Y. 2025-2026 ]]*8</f>
        <v>1896</v>
      </c>
      <c r="K28" s="5"/>
      <c r="L28" s="1"/>
      <c r="M28" s="5"/>
      <c r="N28" s="5">
        <f t="shared" si="10"/>
        <v>1896</v>
      </c>
      <c r="O28" s="5">
        <f t="shared" si="11"/>
        <v>0</v>
      </c>
      <c r="P28" s="5">
        <f>Table1[[#This Row],[Enrolment S.Y. 2025-2026 ]]*8</f>
        <v>1896</v>
      </c>
      <c r="Q28" s="5"/>
      <c r="R28" s="1"/>
      <c r="S28" s="5"/>
      <c r="T28" s="5">
        <f t="shared" si="12"/>
        <v>1896</v>
      </c>
      <c r="U28" s="5">
        <f t="shared" si="13"/>
        <v>0</v>
      </c>
      <c r="V28" s="5">
        <f>Table1[[#This Row],[Enrolment S.Y. 2025-2026 ]]*8</f>
        <v>1896</v>
      </c>
      <c r="W28" s="5"/>
      <c r="X28" s="1"/>
      <c r="Y28" s="5"/>
      <c r="Z28" s="5">
        <f t="shared" si="14"/>
        <v>1896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237</v>
      </c>
      <c r="D29" s="5">
        <f>Table1[[#This Row],[Enrolment S.Y. 2025-2026 ]]*8</f>
        <v>1896</v>
      </c>
      <c r="E29" s="5">
        <v>182</v>
      </c>
      <c r="F29" s="1">
        <v>2025</v>
      </c>
      <c r="G29" s="5" t="s">
        <v>9</v>
      </c>
      <c r="H29" s="5">
        <f>IF((D29-E29)&lt;0,0,(D29-E29))</f>
        <v>1714</v>
      </c>
      <c r="I29" s="5">
        <f>IF((E29-D29)&lt;0,0,(E29-D29))</f>
        <v>0</v>
      </c>
      <c r="J29" s="5">
        <f>Table1[[#This Row],[Enrolment S.Y. 2025-2026 ]]*8</f>
        <v>1896</v>
      </c>
      <c r="K29" s="5"/>
      <c r="L29" s="1"/>
      <c r="M29" s="5"/>
      <c r="N29" s="5">
        <f t="shared" si="10"/>
        <v>1896</v>
      </c>
      <c r="O29" s="5">
        <f t="shared" si="11"/>
        <v>0</v>
      </c>
      <c r="P29" s="5">
        <f>Table1[[#This Row],[Enrolment S.Y. 2025-2026 ]]*8</f>
        <v>1896</v>
      </c>
      <c r="Q29" s="5"/>
      <c r="R29" s="1"/>
      <c r="S29" s="5"/>
      <c r="T29" s="5">
        <f t="shared" si="12"/>
        <v>1896</v>
      </c>
      <c r="U29" s="5">
        <f t="shared" si="13"/>
        <v>0</v>
      </c>
      <c r="V29" s="5">
        <f>Table1[[#This Row],[Enrolment S.Y. 2025-2026 ]]*8</f>
        <v>1896</v>
      </c>
      <c r="W29" s="5"/>
      <c r="X29" s="1"/>
      <c r="Y29" s="5"/>
      <c r="Z29" s="5">
        <f t="shared" si="14"/>
        <v>1896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237</v>
      </c>
      <c r="D30" s="5">
        <f>Table1[[#This Row],[Enrolment S.Y. 2025-2026 ]]*8</f>
        <v>1896</v>
      </c>
      <c r="E30" s="5">
        <v>182</v>
      </c>
      <c r="F30" s="1">
        <v>2025</v>
      </c>
      <c r="G30" s="5" t="s">
        <v>9</v>
      </c>
      <c r="H30" s="5">
        <f>IF((D30-E30)&lt;0,0,(D30-E30))</f>
        <v>1714</v>
      </c>
      <c r="I30" s="5">
        <f>IF((E30-D30)&lt;0,0,(E30-D30))</f>
        <v>0</v>
      </c>
      <c r="J30" s="5">
        <f>Table1[[#This Row],[Enrolment S.Y. 2025-2026 ]]*8</f>
        <v>1896</v>
      </c>
      <c r="K30" s="5"/>
      <c r="L30" s="1"/>
      <c r="M30" s="5"/>
      <c r="N30" s="5">
        <f t="shared" si="10"/>
        <v>1896</v>
      </c>
      <c r="O30" s="5">
        <f t="shared" si="11"/>
        <v>0</v>
      </c>
      <c r="P30" s="5">
        <f>Table1[[#This Row],[Enrolment S.Y. 2025-2026 ]]*8</f>
        <v>1896</v>
      </c>
      <c r="Q30" s="5"/>
      <c r="R30" s="1"/>
      <c r="S30" s="5"/>
      <c r="T30" s="5">
        <f t="shared" si="12"/>
        <v>1896</v>
      </c>
      <c r="U30" s="5">
        <f t="shared" si="13"/>
        <v>0</v>
      </c>
      <c r="V30" s="5">
        <f>Table1[[#This Row],[Enrolment S.Y. 2025-2026 ]]*8</f>
        <v>1896</v>
      </c>
      <c r="W30" s="5"/>
      <c r="X30" s="1"/>
      <c r="Y30" s="5"/>
      <c r="Z30" s="5">
        <f t="shared" si="14"/>
        <v>1896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237</v>
      </c>
      <c r="D31" s="5">
        <f>Table1[[#This Row],[Enrolment S.Y. 2025-2026 ]]*8</f>
        <v>1896</v>
      </c>
      <c r="E31" s="5"/>
      <c r="F31" s="1"/>
      <c r="G31" s="5"/>
      <c r="H31" s="5">
        <f>IF((D31-E31)&lt;0,0,(D31-E31))</f>
        <v>1896</v>
      </c>
      <c r="I31" s="5">
        <f>IF((E31-D31)&lt;0,0,(E31-D31))</f>
        <v>0</v>
      </c>
      <c r="J31" s="5">
        <f>Table1[[#This Row],[Enrolment S.Y. 2025-2026 ]]*8</f>
        <v>1896</v>
      </c>
      <c r="K31" s="5"/>
      <c r="L31" s="1"/>
      <c r="M31" s="5"/>
      <c r="N31" s="5">
        <f t="shared" si="10"/>
        <v>1896</v>
      </c>
      <c r="O31" s="5">
        <f t="shared" si="11"/>
        <v>0</v>
      </c>
      <c r="P31" s="5">
        <f>Table1[[#This Row],[Enrolment S.Y. 2025-2026 ]]*8</f>
        <v>1896</v>
      </c>
      <c r="Q31" s="5"/>
      <c r="R31" s="1"/>
      <c r="S31" s="5"/>
      <c r="T31" s="5">
        <f t="shared" si="12"/>
        <v>1896</v>
      </c>
      <c r="U31" s="5">
        <f t="shared" si="13"/>
        <v>0</v>
      </c>
      <c r="V31" s="5">
        <f>Table1[[#This Row],[Enrolment S.Y. 2025-2026 ]]*8</f>
        <v>1896</v>
      </c>
      <c r="W31" s="5"/>
      <c r="X31" s="1"/>
      <c r="Y31" s="5"/>
      <c r="Z31" s="5">
        <f t="shared" si="14"/>
        <v>1896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269</v>
      </c>
      <c r="D33" s="5">
        <f>Table1[[#This Row],[Enrolment S.Y. 2025-2026 ]]*8</f>
        <v>2152</v>
      </c>
      <c r="E33" s="5">
        <v>38</v>
      </c>
      <c r="F33" s="1">
        <v>2024</v>
      </c>
      <c r="G33" s="5"/>
      <c r="H33" s="5">
        <f t="shared" si="2"/>
        <v>2114</v>
      </c>
      <c r="I33" s="5">
        <f t="shared" si="3"/>
        <v>0</v>
      </c>
      <c r="J33" s="5">
        <f>Table1[[#This Row],[Enrolment S.Y. 2025-2026 ]]*8</f>
        <v>2152</v>
      </c>
      <c r="K33" s="5"/>
      <c r="L33" s="1"/>
      <c r="M33" s="5"/>
      <c r="N33" s="5">
        <f t="shared" si="10"/>
        <v>2152</v>
      </c>
      <c r="O33" s="5">
        <f t="shared" si="11"/>
        <v>0</v>
      </c>
      <c r="P33" s="5">
        <f>Table1[[#This Row],[Enrolment S.Y. 2025-2026 ]]*8</f>
        <v>2152</v>
      </c>
      <c r="Q33" s="5"/>
      <c r="R33" s="1"/>
      <c r="S33" s="5"/>
      <c r="T33" s="5">
        <f t="shared" si="12"/>
        <v>2152</v>
      </c>
      <c r="U33" s="5">
        <f t="shared" si="13"/>
        <v>0</v>
      </c>
      <c r="V33" s="5">
        <f>Table1[[#This Row],[Enrolment S.Y. 2025-2026 ]]*8</f>
        <v>2152</v>
      </c>
      <c r="W33" s="5"/>
      <c r="X33" s="1"/>
      <c r="Y33" s="5"/>
      <c r="Z33" s="5">
        <f t="shared" si="14"/>
        <v>2152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269</v>
      </c>
      <c r="D34" s="5">
        <f>Table1[[#This Row],[Enrolment S.Y. 2025-2026 ]]*8</f>
        <v>2152</v>
      </c>
      <c r="E34" s="5"/>
      <c r="F34" s="1"/>
      <c r="G34" s="5"/>
      <c r="H34" s="5">
        <f t="shared" si="2"/>
        <v>2152</v>
      </c>
      <c r="I34" s="5">
        <f t="shared" si="3"/>
        <v>0</v>
      </c>
      <c r="J34" s="5">
        <f>Table1[[#This Row],[Enrolment S.Y. 2025-2026 ]]*8</f>
        <v>2152</v>
      </c>
      <c r="K34" s="5"/>
      <c r="L34" s="1"/>
      <c r="M34" s="5"/>
      <c r="N34" s="5">
        <f t="shared" si="10"/>
        <v>2152</v>
      </c>
      <c r="O34" s="5">
        <f t="shared" si="11"/>
        <v>0</v>
      </c>
      <c r="P34" s="5">
        <f>Table1[[#This Row],[Enrolment S.Y. 2025-2026 ]]*8</f>
        <v>2152</v>
      </c>
      <c r="Q34" s="5"/>
      <c r="R34" s="1"/>
      <c r="S34" s="5"/>
      <c r="T34" s="5">
        <f t="shared" si="12"/>
        <v>2152</v>
      </c>
      <c r="U34" s="5">
        <f t="shared" si="13"/>
        <v>0</v>
      </c>
      <c r="V34" s="5">
        <f>Table1[[#This Row],[Enrolment S.Y. 2025-2026 ]]*8</f>
        <v>2152</v>
      </c>
      <c r="W34" s="5"/>
      <c r="X34" s="1"/>
      <c r="Y34" s="5"/>
      <c r="Z34" s="5">
        <f t="shared" si="14"/>
        <v>2152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269</v>
      </c>
      <c r="D35" s="5">
        <f>Table1[[#This Row],[Enrolment S.Y. 2025-2026 ]]*8</f>
        <v>2152</v>
      </c>
      <c r="E35" s="5">
        <v>38</v>
      </c>
      <c r="F35" s="1">
        <v>2024</v>
      </c>
      <c r="G35" s="5"/>
      <c r="H35" s="5">
        <f t="shared" si="2"/>
        <v>2114</v>
      </c>
      <c r="I35" s="5">
        <f t="shared" si="3"/>
        <v>0</v>
      </c>
      <c r="J35" s="5">
        <f>Table1[[#This Row],[Enrolment S.Y. 2025-2026 ]]*8</f>
        <v>2152</v>
      </c>
      <c r="K35" s="5"/>
      <c r="L35" s="1"/>
      <c r="M35" s="5"/>
      <c r="N35" s="5">
        <f t="shared" si="10"/>
        <v>2152</v>
      </c>
      <c r="O35" s="5">
        <f t="shared" si="11"/>
        <v>0</v>
      </c>
      <c r="P35" s="5">
        <f>Table1[[#This Row],[Enrolment S.Y. 2025-2026 ]]*8</f>
        <v>2152</v>
      </c>
      <c r="Q35" s="5"/>
      <c r="R35" s="1"/>
      <c r="S35" s="5"/>
      <c r="T35" s="5">
        <f t="shared" si="12"/>
        <v>2152</v>
      </c>
      <c r="U35" s="5">
        <f t="shared" si="13"/>
        <v>0</v>
      </c>
      <c r="V35" s="5">
        <f>Table1[[#This Row],[Enrolment S.Y. 2025-2026 ]]*8</f>
        <v>2152</v>
      </c>
      <c r="W35" s="5"/>
      <c r="X35" s="1"/>
      <c r="Y35" s="5"/>
      <c r="Z35" s="5">
        <f t="shared" si="14"/>
        <v>2152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269</v>
      </c>
      <c r="D36" s="5">
        <f>Table1[[#This Row],[Enrolment S.Y. 2025-2026 ]]*8</f>
        <v>2152</v>
      </c>
      <c r="E36" s="5"/>
      <c r="F36" s="1"/>
      <c r="G36" s="5"/>
      <c r="H36" s="5">
        <f t="shared" si="2"/>
        <v>2152</v>
      </c>
      <c r="I36" s="5">
        <f t="shared" si="3"/>
        <v>0</v>
      </c>
      <c r="J36" s="5">
        <f>Table1[[#This Row],[Enrolment S.Y. 2025-2026 ]]*8</f>
        <v>2152</v>
      </c>
      <c r="K36" s="5"/>
      <c r="L36" s="1"/>
      <c r="M36" s="5"/>
      <c r="N36" s="5">
        <f t="shared" si="10"/>
        <v>2152</v>
      </c>
      <c r="O36" s="5">
        <f t="shared" si="11"/>
        <v>0</v>
      </c>
      <c r="P36" s="5">
        <f>Table1[[#This Row],[Enrolment S.Y. 2025-2026 ]]*8</f>
        <v>2152</v>
      </c>
      <c r="Q36" s="5"/>
      <c r="R36" s="1"/>
      <c r="S36" s="5"/>
      <c r="T36" s="5">
        <f t="shared" si="12"/>
        <v>2152</v>
      </c>
      <c r="U36" s="5">
        <f t="shared" si="13"/>
        <v>0</v>
      </c>
      <c r="V36" s="5">
        <f>Table1[[#This Row],[Enrolment S.Y. 2025-2026 ]]*8</f>
        <v>2152</v>
      </c>
      <c r="W36" s="5"/>
      <c r="X36" s="1"/>
      <c r="Y36" s="5"/>
      <c r="Z36" s="5">
        <f t="shared" si="14"/>
        <v>2152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269</v>
      </c>
      <c r="D37" s="5">
        <f>Table1[[#This Row],[Enrolment S.Y. 2025-2026 ]]*8</f>
        <v>2152</v>
      </c>
      <c r="E37" s="5">
        <v>38</v>
      </c>
      <c r="F37" s="1">
        <v>2024</v>
      </c>
      <c r="G37" s="5"/>
      <c r="H37" s="5">
        <f t="shared" si="2"/>
        <v>2114</v>
      </c>
      <c r="I37" s="5">
        <f t="shared" si="3"/>
        <v>0</v>
      </c>
      <c r="J37" s="5">
        <f>Table1[[#This Row],[Enrolment S.Y. 2025-2026 ]]*8</f>
        <v>2152</v>
      </c>
      <c r="K37" s="5"/>
      <c r="L37" s="1"/>
      <c r="M37" s="5"/>
      <c r="N37" s="5">
        <f t="shared" si="10"/>
        <v>2152</v>
      </c>
      <c r="O37" s="5">
        <f t="shared" si="11"/>
        <v>0</v>
      </c>
      <c r="P37" s="5">
        <f>Table1[[#This Row],[Enrolment S.Y. 2025-2026 ]]*8</f>
        <v>2152</v>
      </c>
      <c r="Q37" s="5"/>
      <c r="R37" s="1"/>
      <c r="S37" s="5"/>
      <c r="T37" s="5">
        <f t="shared" si="12"/>
        <v>2152</v>
      </c>
      <c r="U37" s="5">
        <f t="shared" si="13"/>
        <v>0</v>
      </c>
      <c r="V37" s="5">
        <f>Table1[[#This Row],[Enrolment S.Y. 2025-2026 ]]*8</f>
        <v>2152</v>
      </c>
      <c r="W37" s="5"/>
      <c r="X37" s="1"/>
      <c r="Y37" s="5"/>
      <c r="Z37" s="5">
        <f t="shared" si="14"/>
        <v>2152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269</v>
      </c>
      <c r="D38" s="5">
        <f>Table1[[#This Row],[Enrolment S.Y. 2025-2026 ]]*8</f>
        <v>2152</v>
      </c>
      <c r="E38" s="5">
        <v>38</v>
      </c>
      <c r="F38" s="1">
        <v>2024</v>
      </c>
      <c r="G38" s="5"/>
      <c r="H38" s="5">
        <f t="shared" si="2"/>
        <v>2114</v>
      </c>
      <c r="I38" s="5">
        <f t="shared" si="3"/>
        <v>0</v>
      </c>
      <c r="J38" s="5">
        <f>Table1[[#This Row],[Enrolment S.Y. 2025-2026 ]]*8</f>
        <v>2152</v>
      </c>
      <c r="K38" s="5"/>
      <c r="L38" s="1"/>
      <c r="M38" s="5"/>
      <c r="N38" s="5">
        <f t="shared" si="10"/>
        <v>2152</v>
      </c>
      <c r="O38" s="5">
        <f t="shared" si="11"/>
        <v>0</v>
      </c>
      <c r="P38" s="5">
        <f>Table1[[#This Row],[Enrolment S.Y. 2025-2026 ]]*8</f>
        <v>2152</v>
      </c>
      <c r="Q38" s="5"/>
      <c r="R38" s="1"/>
      <c r="S38" s="5"/>
      <c r="T38" s="5">
        <f t="shared" si="12"/>
        <v>2152</v>
      </c>
      <c r="U38" s="5">
        <f t="shared" si="13"/>
        <v>0</v>
      </c>
      <c r="V38" s="5">
        <f>Table1[[#This Row],[Enrolment S.Y. 2025-2026 ]]*8</f>
        <v>2152</v>
      </c>
      <c r="W38" s="5"/>
      <c r="X38" s="1"/>
      <c r="Y38" s="5"/>
      <c r="Z38" s="5">
        <f t="shared" si="14"/>
        <v>2152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269</v>
      </c>
      <c r="D39" s="5">
        <f>Table1[[#This Row],[Enrolment S.Y. 2025-2026 ]]*8</f>
        <v>2152</v>
      </c>
      <c r="E39" s="5"/>
      <c r="F39" s="1"/>
      <c r="G39" s="5"/>
      <c r="H39" s="5">
        <f t="shared" si="2"/>
        <v>2152</v>
      </c>
      <c r="I39" s="5">
        <f t="shared" si="3"/>
        <v>0</v>
      </c>
      <c r="J39" s="5">
        <f>Table1[[#This Row],[Enrolment S.Y. 2025-2026 ]]*8</f>
        <v>2152</v>
      </c>
      <c r="K39" s="5"/>
      <c r="L39" s="1"/>
      <c r="M39" s="5"/>
      <c r="N39" s="5">
        <f t="shared" si="10"/>
        <v>2152</v>
      </c>
      <c r="O39" s="5">
        <f t="shared" si="11"/>
        <v>0</v>
      </c>
      <c r="P39" s="5">
        <f>Table1[[#This Row],[Enrolment S.Y. 2025-2026 ]]*8</f>
        <v>2152</v>
      </c>
      <c r="Q39" s="5"/>
      <c r="R39" s="1"/>
      <c r="S39" s="5"/>
      <c r="T39" s="5">
        <f t="shared" si="12"/>
        <v>2152</v>
      </c>
      <c r="U39" s="5">
        <f t="shared" si="13"/>
        <v>0</v>
      </c>
      <c r="V39" s="5">
        <f>Table1[[#This Row],[Enrolment S.Y. 2025-2026 ]]*8</f>
        <v>2152</v>
      </c>
      <c r="W39" s="5"/>
      <c r="X39" s="1"/>
      <c r="Y39" s="5"/>
      <c r="Z39" s="5">
        <f t="shared" si="14"/>
        <v>2152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269</v>
      </c>
      <c r="D40" s="5">
        <f>Table1[[#This Row],[Enrolment S.Y. 2025-2026 ]]*8</f>
        <v>2152</v>
      </c>
      <c r="E40" s="5"/>
      <c r="F40" s="1"/>
      <c r="G40" s="5"/>
      <c r="H40" s="5">
        <f t="shared" si="2"/>
        <v>2152</v>
      </c>
      <c r="I40" s="5">
        <f t="shared" si="3"/>
        <v>0</v>
      </c>
      <c r="J40" s="5">
        <f>Table1[[#This Row],[Enrolment S.Y. 2025-2026 ]]*8</f>
        <v>2152</v>
      </c>
      <c r="K40" s="5"/>
      <c r="L40" s="1"/>
      <c r="M40" s="5"/>
      <c r="N40" s="5">
        <f t="shared" si="10"/>
        <v>2152</v>
      </c>
      <c r="O40" s="5">
        <f t="shared" si="11"/>
        <v>0</v>
      </c>
      <c r="P40" s="5">
        <f>Table1[[#This Row],[Enrolment S.Y. 2025-2026 ]]*8</f>
        <v>2152</v>
      </c>
      <c r="Q40" s="5"/>
      <c r="R40" s="1"/>
      <c r="S40" s="5"/>
      <c r="T40" s="5">
        <f t="shared" si="12"/>
        <v>2152</v>
      </c>
      <c r="U40" s="5">
        <f t="shared" si="13"/>
        <v>0</v>
      </c>
      <c r="V40" s="5">
        <f>Table1[[#This Row],[Enrolment S.Y. 2025-2026 ]]*8</f>
        <v>2152</v>
      </c>
      <c r="W40" s="5"/>
      <c r="X40" s="1"/>
      <c r="Y40" s="5"/>
      <c r="Z40" s="5">
        <f t="shared" si="14"/>
        <v>2152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269</v>
      </c>
      <c r="D41" s="5">
        <f>Table1[[#This Row],[Enrolment S.Y. 2025-2026 ]]*8</f>
        <v>2152</v>
      </c>
      <c r="E41" s="5">
        <v>38</v>
      </c>
      <c r="F41" s="1">
        <v>2024</v>
      </c>
      <c r="G41" s="5"/>
      <c r="H41" s="5">
        <f t="shared" si="2"/>
        <v>2114</v>
      </c>
      <c r="I41" s="5">
        <f t="shared" si="3"/>
        <v>0</v>
      </c>
      <c r="J41" s="5">
        <f>Table1[[#This Row],[Enrolment S.Y. 2025-2026 ]]*8</f>
        <v>2152</v>
      </c>
      <c r="K41" s="5"/>
      <c r="L41" s="1"/>
      <c r="M41" s="5"/>
      <c r="N41" s="5">
        <f t="shared" si="10"/>
        <v>2152</v>
      </c>
      <c r="O41" s="5">
        <f t="shared" si="11"/>
        <v>0</v>
      </c>
      <c r="P41" s="5">
        <f>Table1[[#This Row],[Enrolment S.Y. 2025-2026 ]]*8</f>
        <v>2152</v>
      </c>
      <c r="Q41" s="5"/>
      <c r="R41" s="1"/>
      <c r="S41" s="5"/>
      <c r="T41" s="5">
        <f t="shared" si="12"/>
        <v>2152</v>
      </c>
      <c r="U41" s="5">
        <f t="shared" si="13"/>
        <v>0</v>
      </c>
      <c r="V41" s="5">
        <f>Table1[[#This Row],[Enrolment S.Y. 2025-2026 ]]*8</f>
        <v>2152</v>
      </c>
      <c r="W41" s="5"/>
      <c r="X41" s="1"/>
      <c r="Y41" s="5"/>
      <c r="Z41" s="5">
        <f t="shared" si="14"/>
        <v>2152</v>
      </c>
      <c r="AA41" s="5">
        <f t="shared" si="15"/>
        <v>0</v>
      </c>
    </row>
    <row r="42" spans="1:27" ht="21">
      <c r="A42" s="32">
        <v>4</v>
      </c>
      <c r="B42" s="33" t="s">
        <v>87</v>
      </c>
      <c r="C42" s="32">
        <v>269</v>
      </c>
      <c r="D42" s="34">
        <f>Table1[[#This Row],[Enrolment S.Y. 2025-2026 ]]*8</f>
        <v>2152</v>
      </c>
      <c r="E42" s="34">
        <v>38</v>
      </c>
      <c r="F42" s="32">
        <v>2024</v>
      </c>
      <c r="G42" s="34"/>
      <c r="H42" s="34">
        <f>IF((D42-E42)&lt;0,0,(D42-E42))</f>
        <v>2114</v>
      </c>
      <c r="I42" s="34">
        <f>IF((E42-D42)&lt;0,0,(E42-D42))</f>
        <v>0</v>
      </c>
      <c r="J42" s="34">
        <f>Table1[[#This Row],[Enrolment S.Y. 2025-2026 ]]*8</f>
        <v>2152</v>
      </c>
      <c r="K42" s="34"/>
      <c r="L42" s="32"/>
      <c r="M42" s="34"/>
      <c r="N42" s="34"/>
      <c r="O42" s="34"/>
      <c r="P42" s="34" t="e">
        <f>#REF!*8</f>
        <v>#REF!</v>
      </c>
      <c r="Q42" s="34"/>
      <c r="R42" s="32"/>
      <c r="S42" s="34"/>
      <c r="T42" s="34" t="e">
        <f>IF((P42-Q42)&lt;0,0,(P42-Q42))</f>
        <v>#REF!</v>
      </c>
      <c r="U42" s="34" t="e">
        <f>IF((Q42-P42)&lt;0,0,(Q42-P42))</f>
        <v>#REF!</v>
      </c>
      <c r="V42" s="34">
        <f>Table1[[#This Row],[Enrolment S.Y. 2025-2026 ]]*8</f>
        <v>2152</v>
      </c>
      <c r="W42" s="34"/>
      <c r="X42" s="32"/>
      <c r="Y42" s="34"/>
      <c r="Z42" s="34">
        <f>IF((V42-W42)&lt;0,0,(V42-W42))</f>
        <v>2152</v>
      </c>
      <c r="AA42" s="34">
        <f>IF((W42-V42)&lt;0,0,(W42-V42))</f>
        <v>0</v>
      </c>
    </row>
    <row r="43" spans="1:27" s="7" customFormat="1" ht="19.149999999999999">
      <c r="J43" s="13"/>
      <c r="M43" s="5"/>
      <c r="N43" s="13"/>
      <c r="O43" s="13"/>
      <c r="P43" s="13"/>
      <c r="S43" s="5"/>
      <c r="T43" s="13"/>
      <c r="U43" s="13"/>
      <c r="V43" s="13"/>
      <c r="Y43" s="5"/>
      <c r="Z43" s="13"/>
      <c r="AA43" s="13"/>
    </row>
    <row r="44" spans="1:27" ht="19.5">
      <c r="A44" s="1">
        <v>5</v>
      </c>
      <c r="B44" s="9" t="s">
        <v>15</v>
      </c>
      <c r="C44" s="1">
        <v>241</v>
      </c>
      <c r="D44" s="5">
        <f>Table1[[#This Row],[Enrolment S.Y. 2025-2026 ]]*8</f>
        <v>1928</v>
      </c>
      <c r="E44" s="5">
        <v>148</v>
      </c>
      <c r="F44" s="1">
        <v>2025</v>
      </c>
      <c r="G44" s="5" t="s">
        <v>9</v>
      </c>
      <c r="H44" s="5">
        <f t="shared" si="2"/>
        <v>1780</v>
      </c>
      <c r="I44" s="5">
        <f t="shared" si="3"/>
        <v>0</v>
      </c>
      <c r="J44" s="5">
        <f>Table1[[#This Row],[Enrolment S.Y. 2025-2026 ]]*8</f>
        <v>1928</v>
      </c>
      <c r="K44" s="5">
        <v>238</v>
      </c>
      <c r="L44" s="1">
        <v>2025</v>
      </c>
      <c r="M44" s="5" t="s">
        <v>9</v>
      </c>
      <c r="N44" s="5">
        <f t="shared" si="10"/>
        <v>1690</v>
      </c>
      <c r="O44" s="5">
        <f t="shared" si="11"/>
        <v>0</v>
      </c>
      <c r="P44" s="5">
        <f>Table1[[#This Row],[Enrolment S.Y. 2025-2026 ]]*8</f>
        <v>1928</v>
      </c>
      <c r="Q44" s="5"/>
      <c r="R44" s="1"/>
      <c r="S44" s="5"/>
      <c r="T44" s="5">
        <f t="shared" si="12"/>
        <v>1928</v>
      </c>
      <c r="U44" s="5">
        <f t="shared" si="13"/>
        <v>0</v>
      </c>
      <c r="V44" s="5">
        <f>Table1[[#This Row],[Enrolment S.Y. 2025-2026 ]]*8</f>
        <v>1928</v>
      </c>
      <c r="W44" s="5"/>
      <c r="X44" s="1"/>
      <c r="Y44" s="5"/>
      <c r="Z44" s="5">
        <f t="shared" si="14"/>
        <v>1928</v>
      </c>
      <c r="AA44" s="5">
        <f t="shared" si="15"/>
        <v>0</v>
      </c>
    </row>
    <row r="45" spans="1:27" ht="19.5">
      <c r="A45" s="1">
        <v>5</v>
      </c>
      <c r="B45" s="9" t="s">
        <v>16</v>
      </c>
      <c r="C45" s="1">
        <v>241</v>
      </c>
      <c r="D45" s="5">
        <f>Table1[[#This Row],[Enrolment S.Y. 2025-2026 ]]*8</f>
        <v>1928</v>
      </c>
      <c r="E45" s="5">
        <v>148</v>
      </c>
      <c r="F45" s="1">
        <v>2025</v>
      </c>
      <c r="G45" s="5" t="s">
        <v>9</v>
      </c>
      <c r="H45" s="5">
        <f t="shared" si="2"/>
        <v>1780</v>
      </c>
      <c r="I45" s="5">
        <f t="shared" si="3"/>
        <v>0</v>
      </c>
      <c r="J45" s="5">
        <f>Table1[[#This Row],[Enrolment S.Y. 2025-2026 ]]*8</f>
        <v>1928</v>
      </c>
      <c r="K45" s="5"/>
      <c r="L45" s="1"/>
      <c r="M45" s="5"/>
      <c r="N45" s="5">
        <f t="shared" si="10"/>
        <v>1928</v>
      </c>
      <c r="O45" s="5">
        <f t="shared" si="11"/>
        <v>0</v>
      </c>
      <c r="P45" s="5">
        <f>Table1[[#This Row],[Enrolment S.Y. 2025-2026 ]]*8</f>
        <v>1928</v>
      </c>
      <c r="Q45" s="5"/>
      <c r="R45" s="1"/>
      <c r="S45" s="5"/>
      <c r="T45" s="5">
        <f t="shared" si="12"/>
        <v>1928</v>
      </c>
      <c r="U45" s="5">
        <f t="shared" si="13"/>
        <v>0</v>
      </c>
      <c r="V45" s="5">
        <f>Table1[[#This Row],[Enrolment S.Y. 2025-2026 ]]*8</f>
        <v>1928</v>
      </c>
      <c r="W45" s="5"/>
      <c r="X45" s="1"/>
      <c r="Y45" s="5"/>
      <c r="Z45" s="5">
        <f t="shared" si="14"/>
        <v>1928</v>
      </c>
      <c r="AA45" s="5">
        <f t="shared" si="15"/>
        <v>0</v>
      </c>
    </row>
    <row r="46" spans="1:27" ht="19.5">
      <c r="A46" s="1">
        <v>5</v>
      </c>
      <c r="B46" s="9" t="s">
        <v>13</v>
      </c>
      <c r="C46" s="1">
        <v>241</v>
      </c>
      <c r="D46" s="5">
        <f>Table1[[#This Row],[Enrolment S.Y. 2025-2026 ]]*8</f>
        <v>1928</v>
      </c>
      <c r="E46" s="5">
        <v>148</v>
      </c>
      <c r="F46" s="1">
        <v>2025</v>
      </c>
      <c r="G46" s="5" t="s">
        <v>9</v>
      </c>
      <c r="H46" s="5">
        <f t="shared" si="2"/>
        <v>1780</v>
      </c>
      <c r="I46" s="5">
        <f t="shared" si="3"/>
        <v>0</v>
      </c>
      <c r="J46" s="5">
        <f>Table1[[#This Row],[Enrolment S.Y. 2025-2026 ]]*8</f>
        <v>1928</v>
      </c>
      <c r="K46" s="5">
        <v>238</v>
      </c>
      <c r="L46" s="1">
        <v>2025</v>
      </c>
      <c r="M46" s="5" t="s">
        <v>9</v>
      </c>
      <c r="N46" s="5">
        <f t="shared" si="10"/>
        <v>1690</v>
      </c>
      <c r="O46" s="5">
        <f t="shared" si="11"/>
        <v>0</v>
      </c>
      <c r="P46" s="5">
        <f>Table1[[#This Row],[Enrolment S.Y. 2025-2026 ]]*8</f>
        <v>1928</v>
      </c>
      <c r="Q46" s="5"/>
      <c r="R46" s="1"/>
      <c r="S46" s="5"/>
      <c r="T46" s="5">
        <f t="shared" si="12"/>
        <v>1928</v>
      </c>
      <c r="U46" s="5">
        <f t="shared" si="13"/>
        <v>0</v>
      </c>
      <c r="V46" s="5">
        <f>Table1[[#This Row],[Enrolment S.Y. 2025-2026 ]]*8</f>
        <v>1928</v>
      </c>
      <c r="W46" s="5"/>
      <c r="X46" s="1"/>
      <c r="Y46" s="5"/>
      <c r="Z46" s="5">
        <f t="shared" si="14"/>
        <v>1928</v>
      </c>
      <c r="AA46" s="5">
        <f t="shared" si="15"/>
        <v>0</v>
      </c>
    </row>
    <row r="47" spans="1:27" ht="19.5">
      <c r="A47" s="1">
        <v>5</v>
      </c>
      <c r="B47" s="9" t="s">
        <v>11</v>
      </c>
      <c r="C47" s="1">
        <v>241</v>
      </c>
      <c r="D47" s="5">
        <f>Table1[[#This Row],[Enrolment S.Y. 2025-2026 ]]*8</f>
        <v>1928</v>
      </c>
      <c r="E47" s="5">
        <v>148</v>
      </c>
      <c r="F47" s="1">
        <v>2025</v>
      </c>
      <c r="G47" s="5" t="s">
        <v>9</v>
      </c>
      <c r="H47" s="5">
        <f t="shared" si="2"/>
        <v>1780</v>
      </c>
      <c r="I47" s="5">
        <f t="shared" si="3"/>
        <v>0</v>
      </c>
      <c r="J47" s="5">
        <f>Table1[[#This Row],[Enrolment S.Y. 2025-2026 ]]*8</f>
        <v>1928</v>
      </c>
      <c r="K47" s="5"/>
      <c r="L47" s="1"/>
      <c r="M47" s="5"/>
      <c r="N47" s="5">
        <f t="shared" si="10"/>
        <v>1928</v>
      </c>
      <c r="O47" s="5">
        <f t="shared" si="11"/>
        <v>0</v>
      </c>
      <c r="P47" s="5">
        <f>Table1[[#This Row],[Enrolment S.Y. 2025-2026 ]]*8</f>
        <v>1928</v>
      </c>
      <c r="Q47" s="5"/>
      <c r="R47" s="1"/>
      <c r="S47" s="5"/>
      <c r="T47" s="5">
        <f t="shared" si="12"/>
        <v>1928</v>
      </c>
      <c r="U47" s="5">
        <f t="shared" si="13"/>
        <v>0</v>
      </c>
      <c r="V47" s="5">
        <f>Table1[[#This Row],[Enrolment S.Y. 2025-2026 ]]*8</f>
        <v>1928</v>
      </c>
      <c r="W47" s="5"/>
      <c r="X47" s="1"/>
      <c r="Y47" s="5"/>
      <c r="Z47" s="5">
        <f t="shared" si="14"/>
        <v>1928</v>
      </c>
      <c r="AA47" s="5">
        <f t="shared" si="15"/>
        <v>0</v>
      </c>
    </row>
    <row r="48" spans="1:27" ht="38.25">
      <c r="A48" s="1">
        <v>5</v>
      </c>
      <c r="B48" s="9" t="s">
        <v>17</v>
      </c>
      <c r="C48" s="1">
        <v>241</v>
      </c>
      <c r="D48" s="5">
        <f>Table1[[#This Row],[Enrolment S.Y. 2025-2026 ]]*8</f>
        <v>1928</v>
      </c>
      <c r="E48" s="5">
        <v>296</v>
      </c>
      <c r="F48" s="1">
        <v>2025</v>
      </c>
      <c r="G48" s="5" t="s">
        <v>9</v>
      </c>
      <c r="H48" s="5">
        <f t="shared" si="2"/>
        <v>1632</v>
      </c>
      <c r="I48" s="5">
        <f t="shared" si="3"/>
        <v>0</v>
      </c>
      <c r="J48" s="5">
        <f>Table1[[#This Row],[Enrolment S.Y. 2025-2026 ]]*8</f>
        <v>1928</v>
      </c>
      <c r="K48" s="5"/>
      <c r="L48" s="1"/>
      <c r="M48" s="5"/>
      <c r="N48" s="5">
        <f t="shared" si="10"/>
        <v>1928</v>
      </c>
      <c r="O48" s="5">
        <f t="shared" si="11"/>
        <v>0</v>
      </c>
      <c r="P48" s="5">
        <f>Table1[[#This Row],[Enrolment S.Y. 2025-2026 ]]*8</f>
        <v>1928</v>
      </c>
      <c r="Q48" s="5"/>
      <c r="R48" s="1"/>
      <c r="S48" s="5"/>
      <c r="T48" s="5">
        <f t="shared" si="12"/>
        <v>1928</v>
      </c>
      <c r="U48" s="5">
        <f t="shared" si="13"/>
        <v>0</v>
      </c>
      <c r="V48" s="5">
        <f>Table1[[#This Row],[Enrolment S.Y. 2025-2026 ]]*8</f>
        <v>1928</v>
      </c>
      <c r="W48" s="5"/>
      <c r="X48" s="1"/>
      <c r="Y48" s="5"/>
      <c r="Z48" s="5">
        <f t="shared" si="14"/>
        <v>1928</v>
      </c>
      <c r="AA48" s="5">
        <f t="shared" si="15"/>
        <v>0</v>
      </c>
    </row>
    <row r="49" spans="1:27" ht="19.5">
      <c r="A49" s="1">
        <v>5</v>
      </c>
      <c r="B49" s="9" t="s">
        <v>14</v>
      </c>
      <c r="C49" s="1">
        <v>241</v>
      </c>
      <c r="D49" s="5">
        <f>Table1[[#This Row],[Enrolment S.Y. 2025-2026 ]]*8</f>
        <v>1928</v>
      </c>
      <c r="E49" s="5">
        <v>148</v>
      </c>
      <c r="F49" s="1">
        <v>2025</v>
      </c>
      <c r="G49" s="5" t="s">
        <v>9</v>
      </c>
      <c r="H49" s="5">
        <f t="shared" si="2"/>
        <v>1780</v>
      </c>
      <c r="I49" s="5">
        <f t="shared" si="3"/>
        <v>0</v>
      </c>
      <c r="J49" s="5">
        <f>Table1[[#This Row],[Enrolment S.Y. 2025-2026 ]]*8</f>
        <v>1928</v>
      </c>
      <c r="K49" s="5"/>
      <c r="L49" s="1"/>
      <c r="M49" s="5"/>
      <c r="N49" s="5">
        <f t="shared" si="10"/>
        <v>1928</v>
      </c>
      <c r="O49" s="5">
        <f t="shared" si="11"/>
        <v>0</v>
      </c>
      <c r="P49" s="5">
        <f>Table1[[#This Row],[Enrolment S.Y. 2025-2026 ]]*8</f>
        <v>1928</v>
      </c>
      <c r="Q49" s="5"/>
      <c r="R49" s="1"/>
      <c r="S49" s="5"/>
      <c r="T49" s="5">
        <f t="shared" si="12"/>
        <v>1928</v>
      </c>
      <c r="U49" s="5">
        <f t="shared" si="13"/>
        <v>0</v>
      </c>
      <c r="V49" s="5">
        <f>Table1[[#This Row],[Enrolment S.Y. 2025-2026 ]]*8</f>
        <v>1928</v>
      </c>
      <c r="W49" s="5"/>
      <c r="X49" s="1"/>
      <c r="Y49" s="5"/>
      <c r="Z49" s="5">
        <f t="shared" si="14"/>
        <v>1928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241</v>
      </c>
      <c r="D50" s="5">
        <f>Table1[[#This Row],[Enrolment S.Y. 2025-2026 ]]*8</f>
        <v>1928</v>
      </c>
      <c r="E50" s="5">
        <v>148</v>
      </c>
      <c r="F50" s="1">
        <v>2025</v>
      </c>
      <c r="G50" s="5" t="s">
        <v>9</v>
      </c>
      <c r="H50" s="5">
        <f t="shared" si="2"/>
        <v>1780</v>
      </c>
      <c r="I50" s="5">
        <f t="shared" si="3"/>
        <v>0</v>
      </c>
      <c r="J50" s="5">
        <f>Table1[[#This Row],[Enrolment S.Y. 2025-2026 ]]*8</f>
        <v>1928</v>
      </c>
      <c r="K50" s="5"/>
      <c r="L50" s="1"/>
      <c r="M50" s="5"/>
      <c r="N50" s="5">
        <f t="shared" si="10"/>
        <v>1928</v>
      </c>
      <c r="O50" s="5">
        <f t="shared" si="11"/>
        <v>0</v>
      </c>
      <c r="P50" s="5">
        <f>Table1[[#This Row],[Enrolment S.Y. 2025-2026 ]]*8</f>
        <v>1928</v>
      </c>
      <c r="Q50" s="5"/>
      <c r="R50" s="1"/>
      <c r="S50" s="5"/>
      <c r="T50" s="5">
        <f t="shared" si="12"/>
        <v>1928</v>
      </c>
      <c r="U50" s="5">
        <f t="shared" si="13"/>
        <v>0</v>
      </c>
      <c r="V50" s="5">
        <f>Table1[[#This Row],[Enrolment S.Y. 2025-2026 ]]*8</f>
        <v>1928</v>
      </c>
      <c r="W50" s="5"/>
      <c r="X50" s="1"/>
      <c r="Y50" s="5"/>
      <c r="Z50" s="5">
        <f t="shared" si="14"/>
        <v>1928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241</v>
      </c>
      <c r="D51" s="5">
        <f>Table1[[#This Row],[Enrolment S.Y. 2025-2026 ]]*8</f>
        <v>1928</v>
      </c>
      <c r="E51" s="5">
        <v>148</v>
      </c>
      <c r="F51" s="1">
        <v>2025</v>
      </c>
      <c r="G51" s="5" t="s">
        <v>9</v>
      </c>
      <c r="H51" s="5">
        <f t="shared" si="2"/>
        <v>1780</v>
      </c>
      <c r="I51" s="5">
        <f t="shared" si="3"/>
        <v>0</v>
      </c>
      <c r="J51" s="5">
        <f>Table1[[#This Row],[Enrolment S.Y. 2025-2026 ]]*8</f>
        <v>1928</v>
      </c>
      <c r="K51" s="5"/>
      <c r="L51" s="1"/>
      <c r="M51" s="5"/>
      <c r="N51" s="5">
        <f t="shared" si="10"/>
        <v>1928</v>
      </c>
      <c r="O51" s="5">
        <f t="shared" si="11"/>
        <v>0</v>
      </c>
      <c r="P51" s="5">
        <f>Table1[[#This Row],[Enrolment S.Y. 2025-2026 ]]*8</f>
        <v>1928</v>
      </c>
      <c r="Q51" s="5"/>
      <c r="R51" s="1"/>
      <c r="S51" s="5"/>
      <c r="T51" s="5">
        <f t="shared" si="12"/>
        <v>1928</v>
      </c>
      <c r="U51" s="5">
        <f t="shared" si="13"/>
        <v>0</v>
      </c>
      <c r="V51" s="5">
        <f>Table1[[#This Row],[Enrolment S.Y. 2025-2026 ]]*8</f>
        <v>1928</v>
      </c>
      <c r="W51" s="5"/>
      <c r="X51" s="1"/>
      <c r="Y51" s="5"/>
      <c r="Z51" s="5">
        <f t="shared" si="14"/>
        <v>1928</v>
      </c>
      <c r="AA51" s="5">
        <f t="shared" si="15"/>
        <v>0</v>
      </c>
    </row>
    <row r="52" spans="1:27" ht="19.5">
      <c r="A52" s="1">
        <v>5</v>
      </c>
      <c r="B52" s="9" t="s">
        <v>20</v>
      </c>
      <c r="C52" s="1">
        <v>241</v>
      </c>
      <c r="D52" s="5">
        <f>Table1[[#This Row],[Enrolment S.Y. 2025-2026 ]]*8</f>
        <v>1928</v>
      </c>
      <c r="E52" s="5">
        <v>148</v>
      </c>
      <c r="F52" s="1">
        <v>2025</v>
      </c>
      <c r="G52" s="5" t="s">
        <v>9</v>
      </c>
      <c r="H52" s="5">
        <f t="shared" si="2"/>
        <v>1780</v>
      </c>
      <c r="I52" s="5">
        <f t="shared" si="3"/>
        <v>0</v>
      </c>
      <c r="J52" s="5">
        <f>Table1[[#This Row],[Enrolment S.Y. 2025-2026 ]]*8</f>
        <v>1928</v>
      </c>
      <c r="K52" s="5"/>
      <c r="L52" s="1"/>
      <c r="M52" s="5"/>
      <c r="N52" s="5">
        <f t="shared" si="10"/>
        <v>1928</v>
      </c>
      <c r="O52" s="5">
        <f t="shared" si="11"/>
        <v>0</v>
      </c>
      <c r="P52" s="5">
        <f>Table1[[#This Row],[Enrolment S.Y. 2025-2026 ]]*8</f>
        <v>1928</v>
      </c>
      <c r="Q52" s="5"/>
      <c r="R52" s="1"/>
      <c r="S52" s="5"/>
      <c r="T52" s="5">
        <f t="shared" si="12"/>
        <v>1928</v>
      </c>
      <c r="U52" s="5">
        <f t="shared" si="13"/>
        <v>0</v>
      </c>
      <c r="V52" s="5">
        <f>Table1[[#This Row],[Enrolment S.Y. 2025-2026 ]]*8</f>
        <v>1928</v>
      </c>
      <c r="W52" s="5"/>
      <c r="X52" s="1"/>
      <c r="Y52" s="5"/>
      <c r="Z52" s="5">
        <f t="shared" si="14"/>
        <v>1928</v>
      </c>
      <c r="AA52" s="5">
        <f t="shared" si="15"/>
        <v>0</v>
      </c>
    </row>
    <row r="53" spans="1:27" s="7" customFormat="1" ht="19.149999999999999">
      <c r="J53" s="13"/>
      <c r="M53" s="5"/>
      <c r="N53" s="13"/>
      <c r="O53" s="13"/>
      <c r="P53" s="13"/>
      <c r="S53" s="5"/>
      <c r="T53" s="13"/>
      <c r="U53" s="13"/>
      <c r="V53" s="13"/>
      <c r="Y53" s="5"/>
      <c r="Z53" s="13"/>
      <c r="AA53" s="13"/>
    </row>
    <row r="54" spans="1:27" ht="19.5">
      <c r="A54" s="1">
        <v>6</v>
      </c>
      <c r="B54" s="9" t="s">
        <v>15</v>
      </c>
      <c r="C54" s="1">
        <v>245</v>
      </c>
      <c r="D54" s="5">
        <f>Table1[[#This Row],[Enrolment S.Y. 2025-2026 ]]*8</f>
        <v>1960</v>
      </c>
      <c r="E54" s="5"/>
      <c r="F54" s="1"/>
      <c r="G54" s="5"/>
      <c r="H54" s="5">
        <f t="shared" si="2"/>
        <v>1960</v>
      </c>
      <c r="I54" s="5">
        <f t="shared" si="3"/>
        <v>0</v>
      </c>
      <c r="J54" s="5">
        <f>Table1[[#This Row],[Enrolment S.Y. 2025-2026 ]]*8</f>
        <v>1960</v>
      </c>
      <c r="K54" s="5"/>
      <c r="L54" s="1"/>
      <c r="M54" s="5"/>
      <c r="N54" s="5">
        <f t="shared" si="10"/>
        <v>1960</v>
      </c>
      <c r="O54" s="5">
        <f t="shared" si="11"/>
        <v>0</v>
      </c>
      <c r="P54" s="5">
        <f>Table1[[#This Row],[Enrolment S.Y. 2025-2026 ]]*8</f>
        <v>1960</v>
      </c>
      <c r="Q54" s="5"/>
      <c r="R54" s="1"/>
      <c r="S54" s="5"/>
      <c r="T54" s="5">
        <f t="shared" si="12"/>
        <v>1960</v>
      </c>
      <c r="U54" s="5">
        <f t="shared" si="13"/>
        <v>0</v>
      </c>
      <c r="V54" s="5">
        <f>Table1[[#This Row],[Enrolment S.Y. 2025-2026 ]]*8</f>
        <v>1960</v>
      </c>
      <c r="W54" s="5"/>
      <c r="X54" s="1"/>
      <c r="Y54" s="5"/>
      <c r="Z54" s="5">
        <f t="shared" si="14"/>
        <v>1960</v>
      </c>
      <c r="AA54" s="5">
        <f t="shared" si="15"/>
        <v>0</v>
      </c>
    </row>
    <row r="55" spans="1:27" ht="19.5">
      <c r="A55" s="1">
        <v>6</v>
      </c>
      <c r="B55" s="9" t="s">
        <v>16</v>
      </c>
      <c r="C55" s="1">
        <v>245</v>
      </c>
      <c r="D55" s="5">
        <f>Table1[[#This Row],[Enrolment S.Y. 2025-2026 ]]*8</f>
        <v>1960</v>
      </c>
      <c r="E55" s="5"/>
      <c r="F55" s="1"/>
      <c r="G55" s="5"/>
      <c r="H55" s="5">
        <f t="shared" si="2"/>
        <v>1960</v>
      </c>
      <c r="I55" s="5">
        <f t="shared" si="3"/>
        <v>0</v>
      </c>
      <c r="J55" s="5">
        <f>Table1[[#This Row],[Enrolment S.Y. 2025-2026 ]]*8</f>
        <v>1960</v>
      </c>
      <c r="K55" s="5"/>
      <c r="L55" s="1"/>
      <c r="M55" s="5"/>
      <c r="N55" s="5">
        <f t="shared" si="10"/>
        <v>1960</v>
      </c>
      <c r="O55" s="5">
        <f t="shared" si="11"/>
        <v>0</v>
      </c>
      <c r="P55" s="5">
        <f>Table1[[#This Row],[Enrolment S.Y. 2025-2026 ]]*8</f>
        <v>1960</v>
      </c>
      <c r="Q55" s="5"/>
      <c r="R55" s="1"/>
      <c r="S55" s="5"/>
      <c r="T55" s="5">
        <f t="shared" si="12"/>
        <v>1960</v>
      </c>
      <c r="U55" s="5">
        <f t="shared" si="13"/>
        <v>0</v>
      </c>
      <c r="V55" s="5">
        <f>Table1[[#This Row],[Enrolment S.Y. 2025-2026 ]]*8</f>
        <v>1960</v>
      </c>
      <c r="W55" s="5"/>
      <c r="X55" s="1"/>
      <c r="Y55" s="5"/>
      <c r="Z55" s="5">
        <f t="shared" si="14"/>
        <v>1960</v>
      </c>
      <c r="AA55" s="5">
        <f t="shared" si="15"/>
        <v>0</v>
      </c>
    </row>
    <row r="56" spans="1:27" ht="19.5">
      <c r="A56" s="1">
        <v>6</v>
      </c>
      <c r="B56" s="9" t="s">
        <v>13</v>
      </c>
      <c r="C56" s="1">
        <v>245</v>
      </c>
      <c r="D56" s="5">
        <f>Table1[[#This Row],[Enrolment S.Y. 2025-2026 ]]*8</f>
        <v>1960</v>
      </c>
      <c r="E56" s="5"/>
      <c r="F56" s="1"/>
      <c r="G56" s="5"/>
      <c r="H56" s="5">
        <f t="shared" si="2"/>
        <v>1960</v>
      </c>
      <c r="I56" s="5">
        <f t="shared" si="3"/>
        <v>0</v>
      </c>
      <c r="J56" s="5">
        <f>Table1[[#This Row],[Enrolment S.Y. 2025-2026 ]]*8</f>
        <v>1960</v>
      </c>
      <c r="K56" s="5"/>
      <c r="L56" s="1"/>
      <c r="M56" s="5"/>
      <c r="N56" s="5">
        <f t="shared" si="10"/>
        <v>1960</v>
      </c>
      <c r="O56" s="5">
        <f t="shared" si="11"/>
        <v>0</v>
      </c>
      <c r="P56" s="5">
        <f>Table1[[#This Row],[Enrolment S.Y. 2025-2026 ]]*8</f>
        <v>1960</v>
      </c>
      <c r="Q56" s="5"/>
      <c r="R56" s="1"/>
      <c r="S56" s="5"/>
      <c r="T56" s="5">
        <f t="shared" si="12"/>
        <v>1960</v>
      </c>
      <c r="U56" s="5">
        <f t="shared" si="13"/>
        <v>0</v>
      </c>
      <c r="V56" s="5">
        <f>Table1[[#This Row],[Enrolment S.Y. 2025-2026 ]]*8</f>
        <v>1960</v>
      </c>
      <c r="W56" s="5"/>
      <c r="X56" s="1"/>
      <c r="Y56" s="5"/>
      <c r="Z56" s="5">
        <f t="shared" si="14"/>
        <v>1960</v>
      </c>
      <c r="AA56" s="5">
        <f t="shared" si="15"/>
        <v>0</v>
      </c>
    </row>
    <row r="57" spans="1:27" ht="19.5">
      <c r="A57" s="1">
        <v>6</v>
      </c>
      <c r="B57" s="9" t="s">
        <v>11</v>
      </c>
      <c r="C57" s="1">
        <v>245</v>
      </c>
      <c r="D57" s="5">
        <f>Table1[[#This Row],[Enrolment S.Y. 2025-2026 ]]*8</f>
        <v>1960</v>
      </c>
      <c r="E57" s="5"/>
      <c r="F57" s="1"/>
      <c r="G57" s="5"/>
      <c r="H57" s="5">
        <f t="shared" si="2"/>
        <v>1960</v>
      </c>
      <c r="I57" s="5">
        <f t="shared" si="3"/>
        <v>0</v>
      </c>
      <c r="J57" s="5">
        <f>Table1[[#This Row],[Enrolment S.Y. 2025-2026 ]]*8</f>
        <v>1960</v>
      </c>
      <c r="K57" s="5"/>
      <c r="L57" s="1"/>
      <c r="M57" s="5"/>
      <c r="N57" s="5">
        <f t="shared" si="10"/>
        <v>1960</v>
      </c>
      <c r="O57" s="5">
        <f t="shared" si="11"/>
        <v>0</v>
      </c>
      <c r="P57" s="5">
        <f>Table1[[#This Row],[Enrolment S.Y. 2025-2026 ]]*8</f>
        <v>1960</v>
      </c>
      <c r="Q57" s="5"/>
      <c r="R57" s="1"/>
      <c r="S57" s="5"/>
      <c r="T57" s="5">
        <f t="shared" si="12"/>
        <v>1960</v>
      </c>
      <c r="U57" s="5">
        <f t="shared" si="13"/>
        <v>0</v>
      </c>
      <c r="V57" s="5">
        <f>Table1[[#This Row],[Enrolment S.Y. 2025-2026 ]]*8</f>
        <v>1960</v>
      </c>
      <c r="W57" s="5"/>
      <c r="X57" s="1"/>
      <c r="Y57" s="5"/>
      <c r="Z57" s="5">
        <f t="shared" si="14"/>
        <v>1960</v>
      </c>
      <c r="AA57" s="5">
        <f t="shared" si="15"/>
        <v>0</v>
      </c>
    </row>
    <row r="58" spans="1:27" ht="38.25">
      <c r="A58" s="1">
        <v>6</v>
      </c>
      <c r="B58" s="9" t="s">
        <v>17</v>
      </c>
      <c r="C58" s="1">
        <v>245</v>
      </c>
      <c r="D58" s="5">
        <f>Table1[[#This Row],[Enrolment S.Y. 2025-2026 ]]*8</f>
        <v>1960</v>
      </c>
      <c r="E58" s="5"/>
      <c r="F58" s="1"/>
      <c r="G58" s="5"/>
      <c r="H58" s="5">
        <f t="shared" si="2"/>
        <v>1960</v>
      </c>
      <c r="I58" s="5">
        <f t="shared" si="3"/>
        <v>0</v>
      </c>
      <c r="J58" s="5">
        <f>Table1[[#This Row],[Enrolment S.Y. 2025-2026 ]]*8</f>
        <v>1960</v>
      </c>
      <c r="K58" s="5"/>
      <c r="L58" s="1"/>
      <c r="M58" s="5"/>
      <c r="N58" s="5">
        <f t="shared" si="10"/>
        <v>1960</v>
      </c>
      <c r="O58" s="5">
        <f t="shared" si="11"/>
        <v>0</v>
      </c>
      <c r="P58" s="5">
        <f>Table1[[#This Row],[Enrolment S.Y. 2025-2026 ]]*8</f>
        <v>1960</v>
      </c>
      <c r="Q58" s="5"/>
      <c r="R58" s="1"/>
      <c r="S58" s="5"/>
      <c r="T58" s="5">
        <f t="shared" si="12"/>
        <v>1960</v>
      </c>
      <c r="U58" s="5">
        <f t="shared" si="13"/>
        <v>0</v>
      </c>
      <c r="V58" s="5">
        <f>Table1[[#This Row],[Enrolment S.Y. 2025-2026 ]]*8</f>
        <v>1960</v>
      </c>
      <c r="W58" s="5"/>
      <c r="X58" s="1"/>
      <c r="Y58" s="5"/>
      <c r="Z58" s="5">
        <f t="shared" si="14"/>
        <v>1960</v>
      </c>
      <c r="AA58" s="5">
        <f t="shared" si="15"/>
        <v>0</v>
      </c>
    </row>
    <row r="59" spans="1:27" ht="19.5">
      <c r="A59" s="1">
        <v>6</v>
      </c>
      <c r="B59" s="9" t="s">
        <v>14</v>
      </c>
      <c r="C59" s="1">
        <v>245</v>
      </c>
      <c r="D59" s="5">
        <f>Table1[[#This Row],[Enrolment S.Y. 2025-2026 ]]*8</f>
        <v>1960</v>
      </c>
      <c r="E59" s="5"/>
      <c r="F59" s="1"/>
      <c r="G59" s="5"/>
      <c r="H59" s="5">
        <f t="shared" si="2"/>
        <v>1960</v>
      </c>
      <c r="I59" s="5">
        <f t="shared" si="3"/>
        <v>0</v>
      </c>
      <c r="J59" s="5">
        <f>Table1[[#This Row],[Enrolment S.Y. 2025-2026 ]]*8</f>
        <v>1960</v>
      </c>
      <c r="K59" s="5"/>
      <c r="L59" s="1"/>
      <c r="M59" s="5"/>
      <c r="N59" s="5">
        <f t="shared" si="10"/>
        <v>1960</v>
      </c>
      <c r="O59" s="5">
        <f t="shared" si="11"/>
        <v>0</v>
      </c>
      <c r="P59" s="5">
        <f>Table1[[#This Row],[Enrolment S.Y. 2025-2026 ]]*8</f>
        <v>1960</v>
      </c>
      <c r="Q59" s="5"/>
      <c r="R59" s="1"/>
      <c r="S59" s="5"/>
      <c r="T59" s="5">
        <f t="shared" si="12"/>
        <v>1960</v>
      </c>
      <c r="U59" s="5">
        <f t="shared" si="13"/>
        <v>0</v>
      </c>
      <c r="V59" s="5">
        <f>Table1[[#This Row],[Enrolment S.Y. 2025-2026 ]]*8</f>
        <v>1960</v>
      </c>
      <c r="W59" s="5"/>
      <c r="X59" s="1"/>
      <c r="Y59" s="5"/>
      <c r="Z59" s="5">
        <f t="shared" si="14"/>
        <v>1960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245</v>
      </c>
      <c r="D60" s="5">
        <f>Table1[[#This Row],[Enrolment S.Y. 2025-2026 ]]*8</f>
        <v>1960</v>
      </c>
      <c r="E60" s="5"/>
      <c r="F60" s="1"/>
      <c r="G60" s="5"/>
      <c r="H60" s="5">
        <f t="shared" si="2"/>
        <v>1960</v>
      </c>
      <c r="I60" s="5">
        <f t="shared" si="3"/>
        <v>0</v>
      </c>
      <c r="J60" s="5">
        <f>Table1[[#This Row],[Enrolment S.Y. 2025-2026 ]]*8</f>
        <v>1960</v>
      </c>
      <c r="K60" s="5"/>
      <c r="L60" s="1"/>
      <c r="M60" s="5"/>
      <c r="N60" s="5">
        <f t="shared" si="10"/>
        <v>1960</v>
      </c>
      <c r="O60" s="5">
        <f t="shared" si="11"/>
        <v>0</v>
      </c>
      <c r="P60" s="5">
        <f>Table1[[#This Row],[Enrolment S.Y. 2025-2026 ]]*8</f>
        <v>1960</v>
      </c>
      <c r="Q60" s="5"/>
      <c r="R60" s="1"/>
      <c r="S60" s="5"/>
      <c r="T60" s="5">
        <f t="shared" si="12"/>
        <v>1960</v>
      </c>
      <c r="U60" s="5">
        <f t="shared" si="13"/>
        <v>0</v>
      </c>
      <c r="V60" s="5">
        <f>Table1[[#This Row],[Enrolment S.Y. 2025-2026 ]]*8</f>
        <v>1960</v>
      </c>
      <c r="W60" s="5"/>
      <c r="X60" s="1"/>
      <c r="Y60" s="5"/>
      <c r="Z60" s="5">
        <f t="shared" si="14"/>
        <v>1960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245</v>
      </c>
      <c r="D61" s="5">
        <f>Table1[[#This Row],[Enrolment S.Y. 2025-2026 ]]*8</f>
        <v>1960</v>
      </c>
      <c r="E61" s="5"/>
      <c r="F61" s="1"/>
      <c r="G61" s="5"/>
      <c r="H61" s="5">
        <f t="shared" si="2"/>
        <v>1960</v>
      </c>
      <c r="I61" s="5">
        <f t="shared" si="3"/>
        <v>0</v>
      </c>
      <c r="J61" s="5">
        <f>Table1[[#This Row],[Enrolment S.Y. 2025-2026 ]]*8</f>
        <v>1960</v>
      </c>
      <c r="K61" s="5"/>
      <c r="L61" s="1"/>
      <c r="M61" s="5"/>
      <c r="N61" s="5">
        <f t="shared" si="10"/>
        <v>1960</v>
      </c>
      <c r="O61" s="5">
        <f t="shared" si="11"/>
        <v>0</v>
      </c>
      <c r="P61" s="5">
        <f>Table1[[#This Row],[Enrolment S.Y. 2025-2026 ]]*8</f>
        <v>1960</v>
      </c>
      <c r="Q61" s="5"/>
      <c r="R61" s="1"/>
      <c r="S61" s="5"/>
      <c r="T61" s="5">
        <f t="shared" si="12"/>
        <v>1960</v>
      </c>
      <c r="U61" s="5">
        <f t="shared" si="13"/>
        <v>0</v>
      </c>
      <c r="V61" s="5">
        <f>Table1[[#This Row],[Enrolment S.Y. 2025-2026 ]]*8</f>
        <v>1960</v>
      </c>
      <c r="W61" s="5"/>
      <c r="X61" s="1"/>
      <c r="Y61" s="5"/>
      <c r="Z61" s="5">
        <f t="shared" si="14"/>
        <v>1960</v>
      </c>
      <c r="AA61" s="5">
        <f t="shared" si="15"/>
        <v>0</v>
      </c>
    </row>
    <row r="62" spans="1:27" ht="19.5">
      <c r="A62" s="1">
        <v>6</v>
      </c>
      <c r="B62" s="9" t="s">
        <v>20</v>
      </c>
      <c r="C62" s="1">
        <v>245</v>
      </c>
      <c r="D62" s="5">
        <f>Table1[[#This Row],[Enrolment S.Y. 2025-2026 ]]*8</f>
        <v>1960</v>
      </c>
      <c r="E62" s="5"/>
      <c r="F62" s="1"/>
      <c r="G62" s="5"/>
      <c r="H62" s="5">
        <f t="shared" si="2"/>
        <v>1960</v>
      </c>
      <c r="I62" s="5">
        <f t="shared" si="3"/>
        <v>0</v>
      </c>
      <c r="J62" s="5">
        <f>Table1[[#This Row],[Enrolment S.Y. 2025-2026 ]]*8</f>
        <v>1960</v>
      </c>
      <c r="K62" s="5"/>
      <c r="L62" s="1"/>
      <c r="M62" s="5"/>
      <c r="N62" s="5">
        <f t="shared" si="10"/>
        <v>1960</v>
      </c>
      <c r="O62" s="5">
        <f t="shared" si="11"/>
        <v>0</v>
      </c>
      <c r="P62" s="5">
        <f>Table1[[#This Row],[Enrolment S.Y. 2025-2026 ]]*8</f>
        <v>1960</v>
      </c>
      <c r="Q62" s="5"/>
      <c r="R62" s="1"/>
      <c r="S62" s="5"/>
      <c r="T62" s="5">
        <f t="shared" si="12"/>
        <v>1960</v>
      </c>
      <c r="U62" s="5">
        <f t="shared" si="13"/>
        <v>0</v>
      </c>
      <c r="V62" s="5">
        <f>Table1[[#This Row],[Enrolment S.Y. 2025-2026 ]]*8</f>
        <v>1960</v>
      </c>
      <c r="W62" s="5"/>
      <c r="X62" s="1"/>
      <c r="Y62" s="5"/>
      <c r="Z62" s="5">
        <f t="shared" si="14"/>
        <v>1960</v>
      </c>
      <c r="AA62" s="5">
        <f t="shared" si="15"/>
        <v>0</v>
      </c>
    </row>
    <row r="63" spans="1:27" s="7" customFormat="1" ht="19.149999999999999">
      <c r="J63" s="13"/>
      <c r="M63" s="5"/>
      <c r="N63" s="13"/>
      <c r="O63" s="13"/>
      <c r="P63" s="13"/>
      <c r="S63" s="5"/>
      <c r="T63" s="13"/>
      <c r="U63" s="13"/>
      <c r="V63" s="13"/>
      <c r="Y63" s="5"/>
      <c r="Z63" s="13"/>
      <c r="AA63" s="13"/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16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13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21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17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14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18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ref="N71:N127" si="16">IF((J71-K71)&lt;0,0,(J71-K71))</f>
        <v>0</v>
      </c>
      <c r="O71" s="12">
        <f t="shared" ref="O71:O127" si="17">IF((K71-J71)&lt;0,0,(K71-J71))</f>
        <v>0</v>
      </c>
      <c r="P71" s="12">
        <f>Table1[[#This Row],[Enrolment S.Y. 2025-2026 ]]*8</f>
        <v>0</v>
      </c>
      <c r="Q71" s="12"/>
      <c r="R71" s="10"/>
      <c r="S71" s="12"/>
      <c r="T71" s="12">
        <f t="shared" ref="T71:T128" si="18">IF((P71-Q71)&lt;0,0,(P71-Q71))</f>
        <v>0</v>
      </c>
      <c r="U71" s="12">
        <f t="shared" ref="U71:U128" si="19">IF((Q71-P71)&lt;0,0,(Q71-P71))</f>
        <v>0</v>
      </c>
      <c r="V71" s="12">
        <f>Table1[[#This Row],[Enrolment S.Y. 2025-2026 ]]*8</f>
        <v>0</v>
      </c>
      <c r="W71" s="12"/>
      <c r="X71" s="10"/>
      <c r="Y71" s="12"/>
      <c r="Z71" s="12">
        <f t="shared" ref="Z71:Z128" si="20">IF((V71-W71)&lt;0,0,(V71-W71))</f>
        <v>0</v>
      </c>
      <c r="AA71" s="12">
        <f t="shared" ref="AA71:AA128" si="21">IF((W71-V71)&lt;0,0,(W71-V71))</f>
        <v>0</v>
      </c>
    </row>
    <row r="72" spans="1:27" ht="19.149999999999999">
      <c r="A72" s="10">
        <v>7</v>
      </c>
      <c r="B72" s="11" t="s">
        <v>20</v>
      </c>
      <c r="C72" s="10"/>
      <c r="D72" s="12">
        <f>Table1[[#This Row],[Enrolment S.Y. 2025-2026 ]]*8</f>
        <v>0</v>
      </c>
      <c r="E72" s="12"/>
      <c r="F72" s="10"/>
      <c r="G72" s="12"/>
      <c r="H72" s="12">
        <f t="shared" si="2"/>
        <v>0</v>
      </c>
      <c r="I72" s="12">
        <f t="shared" si="3"/>
        <v>0</v>
      </c>
      <c r="J72" s="12">
        <f>Table1[[#This Row],[Enrolment S.Y. 2025-2026 ]]*8</f>
        <v>0</v>
      </c>
      <c r="K72" s="12"/>
      <c r="L72" s="10"/>
      <c r="M72" s="12"/>
      <c r="N72" s="12">
        <f t="shared" si="16"/>
        <v>0</v>
      </c>
      <c r="O72" s="12">
        <f t="shared" si="17"/>
        <v>0</v>
      </c>
      <c r="P72" s="12">
        <f>Table1[[#This Row],[Enrolment S.Y. 2025-2026 ]]*8</f>
        <v>0</v>
      </c>
      <c r="Q72" s="12"/>
      <c r="R72" s="10"/>
      <c r="S72" s="12"/>
      <c r="T72" s="12">
        <f t="shared" si="18"/>
        <v>0</v>
      </c>
      <c r="U72" s="12">
        <f t="shared" si="19"/>
        <v>0</v>
      </c>
      <c r="V72" s="12">
        <f>Table1[[#This Row],[Enrolment S.Y. 2025-2026 ]]*8</f>
        <v>0</v>
      </c>
      <c r="W72" s="12"/>
      <c r="X72" s="10"/>
      <c r="Y72" s="12"/>
      <c r="Z72" s="12">
        <f t="shared" si="20"/>
        <v>0</v>
      </c>
      <c r="AA72" s="12">
        <f t="shared" si="21"/>
        <v>0</v>
      </c>
    </row>
    <row r="73" spans="1:27" s="7" customFormat="1" ht="19.149999999999999">
      <c r="J73" s="13"/>
      <c r="M73" s="5"/>
      <c r="N73" s="13"/>
      <c r="O73" s="13"/>
      <c r="P73" s="13"/>
      <c r="S73" s="5"/>
      <c r="T73" s="13"/>
      <c r="U73" s="13"/>
      <c r="V73" s="13"/>
      <c r="Y73" s="5"/>
      <c r="Z73" s="13"/>
      <c r="AA73" s="13"/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16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13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21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23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si="2"/>
        <v>0</v>
      </c>
      <c r="I78" s="12">
        <f t="shared" si="3"/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14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ref="H79:H128" si="22">IF((D79-E79)&lt;0,0,(D79-E79))</f>
        <v>0</v>
      </c>
      <c r="I79" s="12">
        <f t="shared" ref="I79:I128" si="23">IF((E79-D79)&lt;0,0,(E79-D79))</f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18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ht="19.149999999999999">
      <c r="A82" s="10">
        <v>8</v>
      </c>
      <c r="B82" s="11" t="s">
        <v>20</v>
      </c>
      <c r="C82" s="10"/>
      <c r="D82" s="12">
        <f>Table1[[#This Row],[Enrolment S.Y. 2025-2026 ]]*8</f>
        <v>0</v>
      </c>
      <c r="E82" s="12"/>
      <c r="F82" s="10"/>
      <c r="G82" s="12"/>
      <c r="H82" s="12">
        <f t="shared" si="22"/>
        <v>0</v>
      </c>
      <c r="I82" s="12">
        <f t="shared" si="23"/>
        <v>0</v>
      </c>
      <c r="J82" s="12">
        <f>Table1[[#This Row],[Enrolment S.Y. 2025-2026 ]]*8</f>
        <v>0</v>
      </c>
      <c r="K82" s="12"/>
      <c r="L82" s="10"/>
      <c r="M82" s="12"/>
      <c r="N82" s="12">
        <f t="shared" si="16"/>
        <v>0</v>
      </c>
      <c r="O82" s="12">
        <f t="shared" si="17"/>
        <v>0</v>
      </c>
      <c r="P82" s="12">
        <f>Table1[[#This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s="7" customFormat="1" ht="19.149999999999999">
      <c r="J83" s="13"/>
      <c r="M83" s="5"/>
      <c r="N83" s="13"/>
      <c r="O83" s="13"/>
      <c r="P83" s="13"/>
      <c r="S83" s="5"/>
      <c r="T83" s="13"/>
      <c r="U83" s="13"/>
      <c r="V83" s="13"/>
      <c r="Y83" s="5"/>
      <c r="Z83" s="13"/>
      <c r="AA83" s="13"/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16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13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21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23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14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18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ht="19.149999999999999">
      <c r="A92" s="10">
        <v>9</v>
      </c>
      <c r="B92" s="11" t="s">
        <v>20</v>
      </c>
      <c r="C92" s="10"/>
      <c r="D92" s="12">
        <f>Table1[[#This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Table1[[#This Row],[Enrolment S.Y. 2025-2026 ]]*8</f>
        <v>0</v>
      </c>
      <c r="K92" s="12"/>
      <c r="L92" s="10"/>
      <c r="M92" s="12"/>
      <c r="N92" s="12">
        <f t="shared" si="16"/>
        <v>0</v>
      </c>
      <c r="O92" s="12">
        <f t="shared" si="17"/>
        <v>0</v>
      </c>
      <c r="P92" s="12">
        <f>Table1[[#This Row],[Enrolment S.Y. 2025-2026 ]]*8</f>
        <v>0</v>
      </c>
      <c r="Q92" s="12"/>
      <c r="R92" s="10"/>
      <c r="S92" s="12"/>
      <c r="T92" s="12">
        <f t="shared" si="18"/>
        <v>0</v>
      </c>
      <c r="U92" s="12">
        <f t="shared" si="19"/>
        <v>0</v>
      </c>
      <c r="V92" s="12">
        <f>Table1[[#This Row],[Enrolment S.Y. 2025-2026 ]]*8</f>
        <v>0</v>
      </c>
      <c r="W92" s="12"/>
      <c r="X92" s="10"/>
      <c r="Y92" s="12"/>
      <c r="Z92" s="12">
        <f t="shared" si="20"/>
        <v>0</v>
      </c>
      <c r="AA92" s="12">
        <f t="shared" si="21"/>
        <v>0</v>
      </c>
    </row>
    <row r="93" spans="1:27" s="7" customFormat="1" ht="19.149999999999999">
      <c r="J93" s="13"/>
      <c r="M93" s="5"/>
      <c r="N93" s="13"/>
      <c r="O93" s="13"/>
      <c r="P93" s="13"/>
      <c r="S93" s="5"/>
      <c r="T93" s="13"/>
      <c r="U93" s="13"/>
      <c r="V93" s="13"/>
      <c r="Y93" s="5"/>
      <c r="Z93" s="13"/>
      <c r="AA93" s="13"/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16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13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21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23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14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18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10</v>
      </c>
      <c r="B102" s="11" t="s">
        <v>20</v>
      </c>
      <c r="C102" s="10"/>
      <c r="D102" s="12">
        <f>Table1[[#This Row],[Enrolment S.Y. 2025-2026 ]]*8</f>
        <v>0</v>
      </c>
      <c r="E102" s="12"/>
      <c r="F102" s="10"/>
      <c r="G102" s="12"/>
      <c r="H102" s="12">
        <f>IF((D102-E102)&lt;0,0,(D102-E102))</f>
        <v>0</v>
      </c>
      <c r="I102" s="12">
        <f>IF((E102-D102)&lt;0,0,(E102-D102))</f>
        <v>0</v>
      </c>
      <c r="J102" s="12">
        <f>Table1[[#This Row],[Enrolment S.Y. 2025-2026 ]]*8</f>
        <v>0</v>
      </c>
      <c r="K102" s="12"/>
      <c r="L102" s="10"/>
      <c r="M102" s="12"/>
      <c r="N102" s="12">
        <f>IF((J102-K102)&lt;0,0,(J102-K102))</f>
        <v>0</v>
      </c>
      <c r="O102" s="12">
        <f>IF((K102-J102)&lt;0,0,(K102-J102))</f>
        <v>0</v>
      </c>
      <c r="P102" s="12">
        <f>Table1[[#This Row],[Enrolment S.Y. 2025-2026 ]]*8</f>
        <v>0</v>
      </c>
      <c r="Q102" s="12"/>
      <c r="R102" s="10"/>
      <c r="S102" s="12"/>
      <c r="T102" s="12">
        <f>IF((P102-Q102)&lt;0,0,(P102-Q102))</f>
        <v>0</v>
      </c>
      <c r="U102" s="12">
        <f>IF((Q102-P102)&lt;0,0,(Q102-P102))</f>
        <v>0</v>
      </c>
      <c r="V102" s="12">
        <f>Table1[[#This Row],[Enrolment S.Y. 2025-2026 ]]*8</f>
        <v>0</v>
      </c>
      <c r="W102" s="12"/>
      <c r="X102" s="10"/>
      <c r="Y102" s="12"/>
      <c r="Z102" s="12">
        <f>IF((V102-W102)&lt;0,0,(V102-W102))</f>
        <v>0</v>
      </c>
      <c r="AA102" s="12">
        <f>IF((W102-V102)&lt;0,0,(W102-V102))</f>
        <v>0</v>
      </c>
    </row>
    <row r="103" spans="1:27" s="7" customFormat="1" ht="19.149999999999999">
      <c r="J103" s="13"/>
      <c r="M103" s="5"/>
      <c r="N103" s="13"/>
      <c r="O103" s="13"/>
      <c r="P103" s="13"/>
      <c r="S103" s="5"/>
      <c r="T103" s="13"/>
      <c r="U103" s="13"/>
      <c r="V103" s="13"/>
      <c r="Y103" s="5"/>
      <c r="Z103" s="13"/>
      <c r="AA103" s="13"/>
    </row>
    <row r="104" spans="1:27" ht="38.450000000000003">
      <c r="A104" s="1" t="s">
        <v>24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19.149999999999999">
      <c r="A107" s="1" t="s">
        <v>24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450000000000003">
      <c r="A108" s="1" t="s">
        <v>24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19.149999999999999">
      <c r="A109" s="1" t="s">
        <v>24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ht="38.450000000000003">
      <c r="A111" s="1" t="s">
        <v>24</v>
      </c>
      <c r="B111" s="9" t="s">
        <v>32</v>
      </c>
      <c r="C111" s="1"/>
      <c r="D111" s="5">
        <f>Table1[[#This Row],[Enrolment S.Y. 2025-2026 ]]*8</f>
        <v>0</v>
      </c>
      <c r="E111" s="5"/>
      <c r="F111" s="1"/>
      <c r="G111" s="5"/>
      <c r="H111" s="5">
        <f t="shared" si="22"/>
        <v>0</v>
      </c>
      <c r="I111" s="5">
        <f t="shared" si="23"/>
        <v>0</v>
      </c>
      <c r="J111" s="5">
        <f>Table1[[#This Row],[Enrolment S.Y. 2025-2026 ]]*8</f>
        <v>0</v>
      </c>
      <c r="K111" s="5"/>
      <c r="L111" s="1"/>
      <c r="M111" s="5"/>
      <c r="N111" s="5">
        <f t="shared" si="16"/>
        <v>0</v>
      </c>
      <c r="O111" s="5">
        <f t="shared" si="17"/>
        <v>0</v>
      </c>
      <c r="P111" s="5">
        <f>Table1[[#This Row],[Enrolment S.Y. 2025-2026 ]]*8</f>
        <v>0</v>
      </c>
      <c r="Q111" s="5"/>
      <c r="R111" s="1"/>
      <c r="S111" s="5"/>
      <c r="T111" s="5">
        <f t="shared" si="18"/>
        <v>0</v>
      </c>
      <c r="U111" s="5">
        <f t="shared" si="19"/>
        <v>0</v>
      </c>
      <c r="V111" s="5">
        <f>Table1[[#This Row],[Enrolment S.Y. 2025-2026 ]]*8</f>
        <v>0</v>
      </c>
      <c r="W111" s="5"/>
      <c r="X111" s="1"/>
      <c r="Y111" s="5"/>
      <c r="Z111" s="5">
        <f t="shared" si="20"/>
        <v>0</v>
      </c>
      <c r="AA111" s="5">
        <f t="shared" si="21"/>
        <v>0</v>
      </c>
    </row>
    <row r="112" spans="1:27" s="7" customFormat="1" ht="19.149999999999999">
      <c r="J112" s="13"/>
      <c r="N112" s="13"/>
      <c r="O112" s="13"/>
      <c r="P112" s="13"/>
      <c r="T112" s="13"/>
      <c r="U112" s="13"/>
      <c r="V112" s="13"/>
      <c r="Z112" s="13"/>
      <c r="AA112" s="13"/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1"/>
      <c r="B127" s="9"/>
      <c r="C127" s="1"/>
      <c r="D127" s="5"/>
      <c r="E127" s="5"/>
      <c r="F127" s="1"/>
      <c r="G127" s="5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5"/>
      <c r="L127" s="1"/>
      <c r="M127" s="5"/>
      <c r="N127" s="5">
        <f t="shared" si="16"/>
        <v>0</v>
      </c>
      <c r="O127" s="5">
        <f t="shared" si="17"/>
        <v>0</v>
      </c>
      <c r="P127" s="5">
        <f>Table1[[#This Row],[Enrolment S.Y. 2025-2026 ]]*8</f>
        <v>0</v>
      </c>
      <c r="Q127" s="5"/>
      <c r="R127" s="1"/>
      <c r="S127" s="5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5"/>
      <c r="X127" s="1"/>
      <c r="Y127" s="5"/>
      <c r="Z127" s="5">
        <f t="shared" si="20"/>
        <v>0</v>
      </c>
      <c r="AA127" s="5">
        <f t="shared" si="21"/>
        <v>0</v>
      </c>
    </row>
    <row r="128" spans="1:27" ht="19.149999999999999">
      <c r="A128" s="29"/>
      <c r="B128" s="30"/>
      <c r="C128" s="29"/>
      <c r="D128" s="5"/>
      <c r="E128" s="31"/>
      <c r="F128" s="29"/>
      <c r="G128" s="31"/>
      <c r="H128" s="5">
        <f t="shared" si="22"/>
        <v>0</v>
      </c>
      <c r="I128" s="5">
        <f t="shared" si="23"/>
        <v>0</v>
      </c>
      <c r="J128" s="5">
        <f>Table1[[#This Row],[Enrolment S.Y. 2025-2026 ]]*8</f>
        <v>0</v>
      </c>
      <c r="K128" s="31"/>
      <c r="L128" s="29"/>
      <c r="M128" s="31"/>
      <c r="N128" s="5">
        <f t="shared" ref="N128" si="24">IF((J128-K128)&lt;0,0,(J128-K128))</f>
        <v>0</v>
      </c>
      <c r="O128" s="5">
        <f t="shared" ref="O128" si="25">IF((K128-J128)&lt;0,0,(K128-J128))</f>
        <v>0</v>
      </c>
      <c r="P128" s="5"/>
      <c r="Q128" s="31"/>
      <c r="R128" s="29"/>
      <c r="S128" s="31"/>
      <c r="T128" s="5">
        <f t="shared" si="18"/>
        <v>0</v>
      </c>
      <c r="U128" s="5">
        <f t="shared" si="19"/>
        <v>0</v>
      </c>
      <c r="V128" s="5">
        <f>Table1[[#This Row],[Enrolment S.Y. 2025-2026 ]]*8</f>
        <v>0</v>
      </c>
      <c r="W128" s="31"/>
      <c r="X128" s="29"/>
      <c r="Y128" s="31"/>
      <c r="Z128" s="5">
        <f t="shared" si="20"/>
        <v>0</v>
      </c>
      <c r="AA128" s="5">
        <f t="shared" si="21"/>
        <v>0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</sheetData>
  <protectedRanges>
    <protectedRange sqref="C2:C3 C14:C21 C23:C31 C33:C42 C44:C52 C64:C72 C74:C82 C84:C92 C94:C102 C104:C111 C113:C128 C5:C12 C54:C62" name="Textbooks"/>
    <protectedRange sqref="J2:L3 D2:F3 H5:L5 D14:F21 Q14:R21 W14:X21 D23:F31 Q23:R31 W23:X31 D33:F42 H33:I42 Q33:R42 W33:X42 D44:F52 H44:I52 Q44:R52 W44:X52 D54:F62 H54:I62 Q54:R62 W54:X62 D64:F72 H64:I72 Q64:R72 W64:X72 D74:F82 H74:I82 Q74:R82 W74:X82 D84:F92 H84:I92 Q84:R92 W84:X92 D94:F102 H94:I102 Q94:R102 W94:X102 D104:F111 H104:I111 Q104:R111 W104:X111 D113:F128 H113:I128 N128:R128 W113:X128 H14:I21 H23:I31 H6:I12 K6:L12 K33:L42 K44:L52 K54:L62 K64:L72 K74:L82 K84:L92 K94:L102 K104:L111 K113:L128 K14:L21 K23:L31 Q113:R127 P2:R2 V2:X3 N13:P127 T13:V128 J6:J128 D5:F12 N5:R12 T5:X12 N4:P4 T4:V4 J4 Z4:AA128 N3:R3 Y13" name="LAS"/>
    <protectedRange sqref="G2:I3 M2:O2 S2:U3 Y2:AA3 G113:G128 M113:M128 S113:S128 Y113:Y128 G5:G12 M5:M12 S4:S111 Y5:Y12 G14:G21 M14:M111 M3 Y14:Y111 G23:G31 G33:G42 G44:G52 G54:G62 G64:G72 G74:G82 G84:G92 G94:G102 G104:G11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3:S128 M113:M128 Y113:Y128 G113:G128" xr:uid="{8289B4A9-982E-4C7E-A8E2-4BF3404561DB}">
      <formula1>"CO,RO,SDO"</formula1>
    </dataValidation>
    <dataValidation type="list" allowBlank="1" showInputMessage="1" showErrorMessage="1" sqref="X23:X31 X33:X42 X44:X52 X64:X72 X74:X82 X54:X62 L113:L128 X84:X92 X94:X102 X14:X21 X5:X12 L23:L31 L33:L42 L44:L52 L64:L72 L74:L82 L54:L62 R113:R128 L84:L92 L94:L102 L14:L21 L5:L12 R23:R31 R33:R42 R44:R52 R64:R72 R74:R82 R54:R62 F113:F128 R84:R92 R94:R102 R14:R21 R5:R12 F23:F31 F33:F42 F44:F52 F64:F72 F74:F82 F54:F62 F5:F12 F84:F92 F94:F102 F14:F21 F104:F111 R104:R111 L104:L111 X104:X111 X113:X128" xr:uid="{4ECCD083-8EC4-42EE-B46C-B614411F330D}">
      <formula1>"2024,2025"</formula1>
    </dataValidation>
    <dataValidation type="list" allowBlank="1" showInputMessage="1" showErrorMessage="1" sqref="M14:M111 Y14:Y111 S4:S111 G5:G12 M5:M12 Y5:Y12 G14:G21 G23:G31 G33:G42 G44:G52 G54:G62 G64:G72 G74:G82 G84:G92 G94:G102 G104:G11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E3" activePane="bottomRight" state="frozen"/>
      <selection pane="bottomRight" activeCell="E26" sqref="E2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88</v>
      </c>
      <c r="E2" s="20" t="s">
        <v>89</v>
      </c>
      <c r="F2" s="21" t="s">
        <v>90</v>
      </c>
      <c r="G2" s="24" t="s">
        <v>91</v>
      </c>
      <c r="H2" s="17" t="s">
        <v>92</v>
      </c>
      <c r="I2" s="24" t="s">
        <v>93</v>
      </c>
      <c r="J2" s="22" t="s">
        <v>94</v>
      </c>
      <c r="K2" s="22" t="s">
        <v>95</v>
      </c>
      <c r="L2" s="23" t="s">
        <v>96</v>
      </c>
      <c r="M2" s="40" t="s">
        <v>97</v>
      </c>
      <c r="N2" s="40" t="s">
        <v>98</v>
      </c>
      <c r="O2" s="22" t="s">
        <v>99</v>
      </c>
      <c r="P2" s="24" t="s">
        <v>100</v>
      </c>
      <c r="Q2" s="24" t="s">
        <v>101</v>
      </c>
      <c r="R2" s="25" t="s">
        <v>102</v>
      </c>
      <c r="S2" s="17" t="s">
        <v>103</v>
      </c>
      <c r="T2" s="17" t="s">
        <v>104</v>
      </c>
      <c r="U2" s="24" t="s">
        <v>105</v>
      </c>
      <c r="V2" s="26" t="s">
        <v>106</v>
      </c>
      <c r="W2" s="26" t="s">
        <v>107</v>
      </c>
      <c r="X2" s="27" t="s">
        <v>108</v>
      </c>
      <c r="Y2" s="41" t="s">
        <v>109</v>
      </c>
      <c r="Z2" s="41" t="s">
        <v>110</v>
      </c>
      <c r="AA2" s="26" t="s">
        <v>111</v>
      </c>
    </row>
    <row r="3" spans="1:27" ht="38.25">
      <c r="A3" s="1">
        <v>1</v>
      </c>
      <c r="B3" s="2" t="s">
        <v>8</v>
      </c>
      <c r="C3" s="1">
        <v>172</v>
      </c>
      <c r="D3" s="5">
        <f>Table14[[#This Row],[Enrolment S.Y. 2025-2026 ]]*8</f>
        <v>1376</v>
      </c>
      <c r="E3" s="5"/>
      <c r="F3" s="1"/>
      <c r="G3" s="5"/>
      <c r="H3" s="5">
        <f t="shared" ref="H3:H83" si="0">IF((D3-E3)&lt;0,0,(D3-E3))</f>
        <v>1376</v>
      </c>
      <c r="I3" s="5">
        <f t="shared" ref="I3:I83" si="1">IF((E3-D3)&lt;0,0,(E3-D3))</f>
        <v>0</v>
      </c>
      <c r="J3" s="5">
        <f>Table14[[#This Row],[Enrolment S.Y. 2025-2026 ]]*8</f>
        <v>1376</v>
      </c>
      <c r="K3" s="5"/>
      <c r="L3" s="1"/>
      <c r="M3" s="5"/>
      <c r="N3" s="5">
        <f t="shared" ref="N3:N72" si="2">IF((J3-K3)&lt;0,0,(J3-K3))</f>
        <v>1376</v>
      </c>
      <c r="O3" s="5">
        <f t="shared" ref="O3:O72" si="3">IF((K3-J3)&lt;0,0,(K3-J3))</f>
        <v>0</v>
      </c>
      <c r="P3" s="5">
        <f>Table14[[#This Row],[Enrolment S.Y. 2025-2026 ]]*8</f>
        <v>1376</v>
      </c>
      <c r="Q3" s="5"/>
      <c r="R3" s="1"/>
      <c r="S3" s="5"/>
      <c r="T3" s="5">
        <f t="shared" ref="T3:T72" si="4">IF((P3-Q3)&lt;0,0,(P3-Q3))</f>
        <v>1376</v>
      </c>
      <c r="U3" s="5">
        <f t="shared" ref="U3:U72" si="5">IF((Q3-P3)&lt;0,0,(Q3-P3))</f>
        <v>0</v>
      </c>
      <c r="V3" s="5">
        <f>Table14[[#This Row],[Enrolment S.Y. 2025-2026 ]]*8</f>
        <v>1376</v>
      </c>
      <c r="W3" s="5"/>
      <c r="X3" s="1"/>
      <c r="Y3" s="5"/>
      <c r="Z3" s="5">
        <f t="shared" ref="Z3:Z72" si="6">IF((V3-W3)&lt;0,0,(V3-W3))</f>
        <v>1376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172</v>
      </c>
      <c r="D4" s="5">
        <f>Table14[[#This Row],[Enrolment S.Y. 2025-2026 ]]*8</f>
        <v>1376</v>
      </c>
      <c r="E4" s="5"/>
      <c r="F4" s="1"/>
      <c r="G4" s="5"/>
      <c r="H4" s="5">
        <f t="shared" si="0"/>
        <v>1376</v>
      </c>
      <c r="I4" s="5">
        <f t="shared" si="1"/>
        <v>0</v>
      </c>
      <c r="J4" s="5">
        <f>Table14[[#This Row],[Enrolment S.Y. 2025-2026 ]]*8</f>
        <v>1376</v>
      </c>
      <c r="K4" s="5"/>
      <c r="L4" s="1"/>
      <c r="M4" s="5"/>
      <c r="N4" s="5">
        <f t="shared" si="2"/>
        <v>1376</v>
      </c>
      <c r="O4" s="5">
        <f t="shared" si="3"/>
        <v>0</v>
      </c>
      <c r="P4" s="5">
        <f>Table14[[#This Row],[Enrolment S.Y. 2025-2026 ]]*8</f>
        <v>1376</v>
      </c>
      <c r="Q4" s="5"/>
      <c r="R4" s="1"/>
      <c r="S4" s="5"/>
      <c r="T4" s="5">
        <f t="shared" si="4"/>
        <v>1376</v>
      </c>
      <c r="U4" s="5">
        <f t="shared" si="5"/>
        <v>0</v>
      </c>
      <c r="V4" s="5">
        <f>Table14[[#This Row],[Enrolment S.Y. 2025-2026 ]]*8</f>
        <v>1376</v>
      </c>
      <c r="W4" s="5"/>
      <c r="X4" s="1"/>
      <c r="Y4" s="5"/>
      <c r="Z4" s="5">
        <f t="shared" si="6"/>
        <v>1376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172</v>
      </c>
      <c r="D5" s="5">
        <f>Table14[[#This Row],[Enrolment S.Y. 2025-2026 ]]*8</f>
        <v>1376</v>
      </c>
      <c r="E5" s="5"/>
      <c r="F5" s="1"/>
      <c r="G5" s="5"/>
      <c r="H5" s="5">
        <f t="shared" si="0"/>
        <v>1376</v>
      </c>
      <c r="I5" s="5">
        <f t="shared" si="1"/>
        <v>0</v>
      </c>
      <c r="J5" s="5">
        <f>Table14[[#This Row],[Enrolment S.Y. 2025-2026 ]]*8</f>
        <v>1376</v>
      </c>
      <c r="K5" s="5"/>
      <c r="L5" s="1"/>
      <c r="M5" s="5"/>
      <c r="N5" s="5">
        <f t="shared" si="2"/>
        <v>1376</v>
      </c>
      <c r="O5" s="5">
        <f t="shared" si="3"/>
        <v>0</v>
      </c>
      <c r="P5" s="5">
        <f>Table14[[#This Row],[Enrolment S.Y. 2025-2026 ]]*8</f>
        <v>1376</v>
      </c>
      <c r="Q5" s="5"/>
      <c r="R5" s="1"/>
      <c r="S5" s="5"/>
      <c r="T5" s="5">
        <f t="shared" si="4"/>
        <v>1376</v>
      </c>
      <c r="U5" s="5">
        <f t="shared" si="5"/>
        <v>0</v>
      </c>
      <c r="V5" s="5">
        <f>Table14[[#This Row],[Enrolment S.Y. 2025-2026 ]]*8</f>
        <v>1376</v>
      </c>
      <c r="W5" s="5"/>
      <c r="X5" s="1"/>
      <c r="Y5" s="5"/>
      <c r="Z5" s="5">
        <f t="shared" si="6"/>
        <v>1376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172</v>
      </c>
      <c r="D6" s="5">
        <f>Table14[[#This Row],[Enrolment S.Y. 2025-2026 ]]*8</f>
        <v>1376</v>
      </c>
      <c r="E6" s="5"/>
      <c r="F6" s="1"/>
      <c r="G6" s="5"/>
      <c r="H6" s="5">
        <f t="shared" si="0"/>
        <v>1376</v>
      </c>
      <c r="I6" s="5">
        <f t="shared" si="1"/>
        <v>0</v>
      </c>
      <c r="J6" s="5">
        <f>Table14[[#This Row],[Enrolment S.Y. 2025-2026 ]]*8</f>
        <v>1376</v>
      </c>
      <c r="K6" s="5"/>
      <c r="L6" s="1"/>
      <c r="M6" s="5"/>
      <c r="N6" s="5">
        <f t="shared" si="2"/>
        <v>1376</v>
      </c>
      <c r="O6" s="5">
        <f t="shared" si="3"/>
        <v>0</v>
      </c>
      <c r="P6" s="5">
        <f>Table14[[#This Row],[Enrolment S.Y. 2025-2026 ]]*8</f>
        <v>1376</v>
      </c>
      <c r="Q6" s="5"/>
      <c r="R6" s="1"/>
      <c r="S6" s="5"/>
      <c r="T6" s="5">
        <f t="shared" si="4"/>
        <v>1376</v>
      </c>
      <c r="U6" s="5">
        <f t="shared" si="5"/>
        <v>0</v>
      </c>
      <c r="V6" s="5">
        <f>Table14[[#This Row],[Enrolment S.Y. 2025-2026 ]]*8</f>
        <v>1376</v>
      </c>
      <c r="W6" s="5"/>
      <c r="X6" s="1"/>
      <c r="Y6" s="5"/>
      <c r="Z6" s="5">
        <f t="shared" si="6"/>
        <v>1376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172</v>
      </c>
      <c r="D7" s="5">
        <f>Table14[[#This Row],[Enrolment S.Y. 2025-2026 ]]*8</f>
        <v>1376</v>
      </c>
      <c r="E7" s="5"/>
      <c r="F7" s="1"/>
      <c r="G7" s="5"/>
      <c r="H7" s="5">
        <f t="shared" si="0"/>
        <v>1376</v>
      </c>
      <c r="I7" s="5">
        <f t="shared" si="1"/>
        <v>0</v>
      </c>
      <c r="J7" s="5">
        <f>Table14[[#This Row],[Enrolment S.Y. 2025-2026 ]]*8</f>
        <v>1376</v>
      </c>
      <c r="K7" s="5"/>
      <c r="L7" s="1"/>
      <c r="M7" s="5"/>
      <c r="N7" s="5">
        <f t="shared" si="2"/>
        <v>1376</v>
      </c>
      <c r="O7" s="5">
        <f t="shared" si="3"/>
        <v>0</v>
      </c>
      <c r="P7" s="5">
        <f>Table14[[#This Row],[Enrolment S.Y. 2025-2026 ]]*8</f>
        <v>1376</v>
      </c>
      <c r="Q7" s="5"/>
      <c r="R7" s="1"/>
      <c r="S7" s="5"/>
      <c r="T7" s="5">
        <f t="shared" si="4"/>
        <v>1376</v>
      </c>
      <c r="U7" s="5">
        <f t="shared" si="5"/>
        <v>0</v>
      </c>
      <c r="V7" s="5">
        <f>Table14[[#This Row],[Enrolment S.Y. 2025-2026 ]]*8</f>
        <v>1376</v>
      </c>
      <c r="W7" s="5"/>
      <c r="X7" s="1"/>
      <c r="Y7" s="5"/>
      <c r="Z7" s="5">
        <f t="shared" si="6"/>
        <v>1376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172</v>
      </c>
      <c r="D8" s="5">
        <f>Table14[[#This Row],[Enrolment S.Y. 2025-2026 ]]*8</f>
        <v>1376</v>
      </c>
      <c r="E8" s="5"/>
      <c r="F8" s="1"/>
      <c r="G8" s="5"/>
      <c r="H8" s="5">
        <f>IF((D8-E8)&lt;0,0,(D8-E8))</f>
        <v>1376</v>
      </c>
      <c r="I8" s="5">
        <f>IF((E8-D8)&lt;0,0,(E8-D8))</f>
        <v>0</v>
      </c>
      <c r="J8" s="5">
        <f>Table14[[#This Row],[Enrolment S.Y. 2025-2026 ]]*8</f>
        <v>1376</v>
      </c>
      <c r="K8" s="5"/>
      <c r="L8" s="1"/>
      <c r="M8" s="5"/>
      <c r="N8" s="5">
        <f t="shared" si="2"/>
        <v>1376</v>
      </c>
      <c r="O8" s="5">
        <f t="shared" si="3"/>
        <v>0</v>
      </c>
      <c r="P8" s="5">
        <f>Table14[[#This Row],[Enrolment S.Y. 2025-2026 ]]*8</f>
        <v>1376</v>
      </c>
      <c r="Q8" s="5"/>
      <c r="R8" s="1"/>
      <c r="S8" s="5"/>
      <c r="T8" s="5">
        <f t="shared" si="4"/>
        <v>1376</v>
      </c>
      <c r="U8" s="5">
        <f t="shared" si="5"/>
        <v>0</v>
      </c>
      <c r="V8" s="5">
        <f>Table14[[#This Row],[Enrolment S.Y. 2025-2026 ]]*8</f>
        <v>1376</v>
      </c>
      <c r="W8" s="5"/>
      <c r="X8" s="1"/>
      <c r="Y8" s="5"/>
      <c r="Z8" s="5">
        <f t="shared" si="6"/>
        <v>1376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172</v>
      </c>
      <c r="D9" s="5">
        <f>Table14[[#This Row],[Enrolment S.Y. 2025-2026 ]]*8</f>
        <v>1376</v>
      </c>
      <c r="E9" s="5"/>
      <c r="F9" s="1"/>
      <c r="G9" s="5"/>
      <c r="H9" s="5">
        <f>IF((D9-E9)&lt;0,0,(D9-E9))</f>
        <v>1376</v>
      </c>
      <c r="I9" s="5">
        <f>IF((E9-D9)&lt;0,0,(E9-D9))</f>
        <v>0</v>
      </c>
      <c r="J9" s="5">
        <f>Table14[[#This Row],[Enrolment S.Y. 2025-2026 ]]*8</f>
        <v>1376</v>
      </c>
      <c r="K9" s="5"/>
      <c r="L9" s="1"/>
      <c r="M9" s="5"/>
      <c r="N9" s="5">
        <f t="shared" si="2"/>
        <v>1376</v>
      </c>
      <c r="O9" s="5">
        <f t="shared" si="3"/>
        <v>0</v>
      </c>
      <c r="P9" s="5">
        <f>Table14[[#This Row],[Enrolment S.Y. 2025-2026 ]]*8</f>
        <v>1376</v>
      </c>
      <c r="Q9" s="5"/>
      <c r="R9" s="1"/>
      <c r="S9" s="5"/>
      <c r="T9" s="5">
        <f t="shared" si="4"/>
        <v>1376</v>
      </c>
      <c r="U9" s="5">
        <f t="shared" si="5"/>
        <v>0</v>
      </c>
      <c r="V9" s="5">
        <f>Table14[[#This Row],[Enrolment S.Y. 2025-2026 ]]*8</f>
        <v>1376</v>
      </c>
      <c r="W9" s="5"/>
      <c r="X9" s="1"/>
      <c r="Y9" s="5"/>
      <c r="Z9" s="5">
        <f t="shared" si="6"/>
        <v>1376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172</v>
      </c>
      <c r="D10" s="5">
        <f>Table14[[#This Row],[Enrolment S.Y. 2025-2026 ]]*8</f>
        <v>1376</v>
      </c>
      <c r="E10" s="5"/>
      <c r="F10" s="1"/>
      <c r="G10" s="5"/>
      <c r="H10" s="5">
        <f>IF((D10-E10)&lt;0,0,(D10-E10))</f>
        <v>1376</v>
      </c>
      <c r="I10" s="5">
        <f>IF((E10-D10)&lt;0,0,(E10-D10))</f>
        <v>0</v>
      </c>
      <c r="J10" s="5">
        <f>Table14[[#This Row],[Enrolment S.Y. 2025-2026 ]]*8</f>
        <v>1376</v>
      </c>
      <c r="K10" s="5"/>
      <c r="L10" s="1"/>
      <c r="M10" s="5"/>
      <c r="N10" s="5">
        <f t="shared" si="2"/>
        <v>1376</v>
      </c>
      <c r="O10" s="5">
        <f t="shared" si="3"/>
        <v>0</v>
      </c>
      <c r="P10" s="5">
        <f>Table14[[#This Row],[Enrolment S.Y. 2025-2026 ]]*8</f>
        <v>1376</v>
      </c>
      <c r="Q10" s="5"/>
      <c r="R10" s="1"/>
      <c r="S10" s="5"/>
      <c r="T10" s="5">
        <f t="shared" si="4"/>
        <v>1376</v>
      </c>
      <c r="U10" s="5">
        <f t="shared" si="5"/>
        <v>0</v>
      </c>
      <c r="V10" s="5">
        <f>Table14[[#This Row],[Enrolment S.Y. 2025-2026 ]]*8</f>
        <v>1376</v>
      </c>
      <c r="W10" s="5"/>
      <c r="X10" s="1"/>
      <c r="Y10" s="5"/>
      <c r="Z10" s="5">
        <f t="shared" si="6"/>
        <v>1376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207</v>
      </c>
      <c r="D12" s="5">
        <f>Table14[[#This Row],[Enrolment S.Y. 2025-2026 ]]*8</f>
        <v>1656</v>
      </c>
      <c r="E12" s="5"/>
      <c r="F12" s="1"/>
      <c r="G12" s="5"/>
      <c r="H12" s="5">
        <f t="shared" si="0"/>
        <v>1656</v>
      </c>
      <c r="I12" s="5">
        <f t="shared" si="1"/>
        <v>0</v>
      </c>
      <c r="J12" s="5">
        <f>Table14[[#This Row],[Enrolment S.Y. 2025-2026 ]]*8</f>
        <v>1656</v>
      </c>
      <c r="K12" s="5"/>
      <c r="L12" s="1"/>
      <c r="M12" s="5"/>
      <c r="N12" s="5">
        <f t="shared" si="2"/>
        <v>1656</v>
      </c>
      <c r="O12" s="5">
        <f t="shared" si="3"/>
        <v>0</v>
      </c>
      <c r="P12" s="5">
        <f>Table14[[#This Row],[Enrolment S.Y. 2025-2026 ]]*8</f>
        <v>1656</v>
      </c>
      <c r="Q12" s="5"/>
      <c r="R12" s="1"/>
      <c r="S12" s="5"/>
      <c r="T12" s="5">
        <f t="shared" si="4"/>
        <v>1656</v>
      </c>
      <c r="U12" s="5">
        <f t="shared" si="5"/>
        <v>0</v>
      </c>
      <c r="V12" s="5">
        <f>Table14[[#This Row],[Enrolment S.Y. 2025-2026 ]]*8</f>
        <v>1656</v>
      </c>
      <c r="W12" s="5"/>
      <c r="X12" s="1"/>
      <c r="Y12" s="5"/>
      <c r="Z12" s="5">
        <f t="shared" si="6"/>
        <v>1656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207</v>
      </c>
      <c r="D13" s="5">
        <f>Table14[[#This Row],[Enrolment S.Y. 2025-2026 ]]*8</f>
        <v>1656</v>
      </c>
      <c r="E13" s="5"/>
      <c r="F13" s="1"/>
      <c r="G13" s="5"/>
      <c r="H13" s="5">
        <f t="shared" si="0"/>
        <v>1656</v>
      </c>
      <c r="I13" s="5">
        <f t="shared" si="1"/>
        <v>0</v>
      </c>
      <c r="J13" s="5">
        <f>Table14[[#This Row],[Enrolment S.Y. 2025-2026 ]]*8</f>
        <v>1656</v>
      </c>
      <c r="K13" s="5"/>
      <c r="L13" s="1"/>
      <c r="M13" s="5"/>
      <c r="N13" s="5">
        <f t="shared" si="2"/>
        <v>1656</v>
      </c>
      <c r="O13" s="5">
        <f t="shared" si="3"/>
        <v>0</v>
      </c>
      <c r="P13" s="5">
        <f>Table14[[#This Row],[Enrolment S.Y. 2025-2026 ]]*8</f>
        <v>1656</v>
      </c>
      <c r="Q13" s="5"/>
      <c r="R13" s="1"/>
      <c r="S13" s="5"/>
      <c r="T13" s="5">
        <f t="shared" si="4"/>
        <v>1656</v>
      </c>
      <c r="U13" s="5">
        <f t="shared" si="5"/>
        <v>0</v>
      </c>
      <c r="V13" s="5">
        <f>Table14[[#This Row],[Enrolment S.Y. 2025-2026 ]]*8</f>
        <v>1656</v>
      </c>
      <c r="W13" s="5"/>
      <c r="X13" s="1"/>
      <c r="Y13" s="5"/>
      <c r="Z13" s="5">
        <f t="shared" si="6"/>
        <v>1656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207</v>
      </c>
      <c r="D14" s="5">
        <f>Table14[[#This Row],[Enrolment S.Y. 2025-2026 ]]*8</f>
        <v>1656</v>
      </c>
      <c r="E14" s="5"/>
      <c r="F14" s="1"/>
      <c r="G14" s="5"/>
      <c r="H14" s="5">
        <f t="shared" si="0"/>
        <v>1656</v>
      </c>
      <c r="I14" s="5">
        <f t="shared" si="1"/>
        <v>0</v>
      </c>
      <c r="J14" s="5">
        <f>Table14[[#This Row],[Enrolment S.Y. 2025-2026 ]]*8</f>
        <v>1656</v>
      </c>
      <c r="K14" s="5"/>
      <c r="L14" s="1"/>
      <c r="M14" s="5"/>
      <c r="N14" s="5">
        <f t="shared" si="2"/>
        <v>1656</v>
      </c>
      <c r="O14" s="5">
        <f t="shared" si="3"/>
        <v>0</v>
      </c>
      <c r="P14" s="5">
        <f>Table14[[#This Row],[Enrolment S.Y. 2025-2026 ]]*8</f>
        <v>1656</v>
      </c>
      <c r="Q14" s="5"/>
      <c r="R14" s="1"/>
      <c r="S14" s="5"/>
      <c r="T14" s="5">
        <f t="shared" si="4"/>
        <v>1656</v>
      </c>
      <c r="U14" s="5">
        <f t="shared" si="5"/>
        <v>0</v>
      </c>
      <c r="V14" s="5">
        <f>Table14[[#This Row],[Enrolment S.Y. 2025-2026 ]]*8</f>
        <v>1656</v>
      </c>
      <c r="W14" s="5"/>
      <c r="X14" s="1"/>
      <c r="Y14" s="5"/>
      <c r="Z14" s="5">
        <f t="shared" si="6"/>
        <v>1656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207</v>
      </c>
      <c r="D15" s="5">
        <f>Table14[[#This Row],[Enrolment S.Y. 2025-2026 ]]*8</f>
        <v>1656</v>
      </c>
      <c r="E15" s="5"/>
      <c r="F15" s="1">
        <v>2024</v>
      </c>
      <c r="G15" s="5"/>
      <c r="H15" s="5">
        <f t="shared" si="0"/>
        <v>1656</v>
      </c>
      <c r="I15" s="5">
        <f t="shared" si="1"/>
        <v>0</v>
      </c>
      <c r="J15" s="5">
        <f>Table14[[#This Row],[Enrolment S.Y. 2025-2026 ]]*8</f>
        <v>1656</v>
      </c>
      <c r="K15" s="5"/>
      <c r="L15" s="1"/>
      <c r="M15" s="5"/>
      <c r="N15" s="5">
        <f t="shared" si="2"/>
        <v>1656</v>
      </c>
      <c r="O15" s="5">
        <f t="shared" si="3"/>
        <v>0</v>
      </c>
      <c r="P15" s="5">
        <f>Table14[[#This Row],[Enrolment S.Y. 2025-2026 ]]*8</f>
        <v>1656</v>
      </c>
      <c r="Q15" s="5"/>
      <c r="R15" s="1"/>
      <c r="S15" s="5"/>
      <c r="T15" s="5">
        <f t="shared" si="4"/>
        <v>1656</v>
      </c>
      <c r="U15" s="5">
        <f t="shared" si="5"/>
        <v>0</v>
      </c>
      <c r="V15" s="5">
        <f>Table14[[#This Row],[Enrolment S.Y. 2025-2026 ]]*8</f>
        <v>1656</v>
      </c>
      <c r="W15" s="5"/>
      <c r="X15" s="1"/>
      <c r="Y15" s="5"/>
      <c r="Z15" s="5">
        <f t="shared" si="6"/>
        <v>1656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207</v>
      </c>
      <c r="D16" s="5">
        <f>Table14[[#This Row],[Enrolment S.Y. 2025-2026 ]]*8</f>
        <v>1656</v>
      </c>
      <c r="E16" s="5">
        <v>6624</v>
      </c>
      <c r="F16" s="1">
        <v>2024</v>
      </c>
      <c r="G16" s="5"/>
      <c r="H16" s="5">
        <f t="shared" si="0"/>
        <v>0</v>
      </c>
      <c r="I16" s="5">
        <f t="shared" si="1"/>
        <v>4968</v>
      </c>
      <c r="J16" s="5">
        <f>Table14[[#This Row],[Enrolment S.Y. 2025-2026 ]]*8</f>
        <v>1656</v>
      </c>
      <c r="K16" s="5"/>
      <c r="L16" s="1"/>
      <c r="M16" s="5"/>
      <c r="N16" s="5">
        <f t="shared" si="2"/>
        <v>1656</v>
      </c>
      <c r="O16" s="5">
        <f t="shared" si="3"/>
        <v>0</v>
      </c>
      <c r="P16" s="5">
        <f>Table14[[#This Row],[Enrolment S.Y. 2025-2026 ]]*8</f>
        <v>1656</v>
      </c>
      <c r="Q16" s="5"/>
      <c r="R16" s="1"/>
      <c r="S16" s="5"/>
      <c r="T16" s="5">
        <f t="shared" si="4"/>
        <v>1656</v>
      </c>
      <c r="U16" s="5">
        <f t="shared" si="5"/>
        <v>0</v>
      </c>
      <c r="V16" s="5">
        <f>Table14[[#This Row],[Enrolment S.Y. 2025-2026 ]]*8</f>
        <v>1656</v>
      </c>
      <c r="W16" s="5"/>
      <c r="X16" s="1"/>
      <c r="Y16" s="5"/>
      <c r="Z16" s="5">
        <f t="shared" si="6"/>
        <v>1656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207</v>
      </c>
      <c r="D17" s="5">
        <f>Table14[[#This Row],[Enrolment S.Y. 2025-2026 ]]*8</f>
        <v>1656</v>
      </c>
      <c r="E17" s="5">
        <v>2588</v>
      </c>
      <c r="F17" s="1">
        <v>2024</v>
      </c>
      <c r="G17" s="5"/>
      <c r="H17" s="5">
        <f>IF((D17-E17)&lt;0,0,(D17-E17))</f>
        <v>0</v>
      </c>
      <c r="I17" s="5">
        <f>IF((E17-D17)&lt;0,0,(E17-D17))</f>
        <v>932</v>
      </c>
      <c r="J17" s="5">
        <f>Table14[[#This Row],[Enrolment S.Y. 2025-2026 ]]*8</f>
        <v>1656</v>
      </c>
      <c r="K17" s="5"/>
      <c r="L17" s="1"/>
      <c r="M17" s="5"/>
      <c r="N17" s="5">
        <f t="shared" si="2"/>
        <v>1656</v>
      </c>
      <c r="O17" s="5">
        <f t="shared" si="3"/>
        <v>0</v>
      </c>
      <c r="P17" s="5">
        <f>Table14[[#This Row],[Enrolment S.Y. 2025-2026 ]]*8</f>
        <v>1656</v>
      </c>
      <c r="Q17" s="5"/>
      <c r="R17" s="1"/>
      <c r="S17" s="5"/>
      <c r="T17" s="5">
        <f t="shared" si="4"/>
        <v>1656</v>
      </c>
      <c r="U17" s="5">
        <f t="shared" si="5"/>
        <v>0</v>
      </c>
      <c r="V17" s="5">
        <f>Table14[[#This Row],[Enrolment S.Y. 2025-2026 ]]*8</f>
        <v>1656</v>
      </c>
      <c r="W17" s="5"/>
      <c r="X17" s="1"/>
      <c r="Y17" s="5"/>
      <c r="Z17" s="5">
        <f t="shared" si="6"/>
        <v>1656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207</v>
      </c>
      <c r="D18" s="5">
        <f>Table14[[#This Row],[Enrolment S.Y. 2025-2026 ]]*8</f>
        <v>1656</v>
      </c>
      <c r="E18" s="5">
        <v>1440</v>
      </c>
      <c r="F18" s="1">
        <v>2024</v>
      </c>
      <c r="G18" s="5"/>
      <c r="H18" s="5">
        <f>IF((D18-E18)&lt;0,0,(D18-E18))</f>
        <v>216</v>
      </c>
      <c r="I18" s="5">
        <f>IF((E18-D18)&lt;0,0,(E18-D18))</f>
        <v>0</v>
      </c>
      <c r="J18" s="5">
        <f>Table14[[#This Row],[Enrolment S.Y. 2025-2026 ]]*8</f>
        <v>1656</v>
      </c>
      <c r="K18" s="5"/>
      <c r="L18" s="1"/>
      <c r="M18" s="5"/>
      <c r="N18" s="5">
        <f t="shared" si="2"/>
        <v>1656</v>
      </c>
      <c r="O18" s="5">
        <f t="shared" si="3"/>
        <v>0</v>
      </c>
      <c r="P18" s="5">
        <f>Table14[[#This Row],[Enrolment S.Y. 2025-2026 ]]*8</f>
        <v>1656</v>
      </c>
      <c r="Q18" s="5"/>
      <c r="R18" s="1"/>
      <c r="S18" s="5"/>
      <c r="T18" s="5">
        <f t="shared" si="4"/>
        <v>1656</v>
      </c>
      <c r="U18" s="5">
        <f t="shared" si="5"/>
        <v>0</v>
      </c>
      <c r="V18" s="5">
        <f>Table14[[#This Row],[Enrolment S.Y. 2025-2026 ]]*8</f>
        <v>1656</v>
      </c>
      <c r="W18" s="5"/>
      <c r="X18" s="1"/>
      <c r="Y18" s="5"/>
      <c r="Z18" s="5">
        <f t="shared" si="6"/>
        <v>1656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207</v>
      </c>
      <c r="D19" s="5">
        <f>Table14[[#This Row],[Enrolment S.Y. 2025-2026 ]]*8</f>
        <v>1656</v>
      </c>
      <c r="E19" s="5"/>
      <c r="F19" s="1"/>
      <c r="G19" s="5"/>
      <c r="H19" s="5">
        <f>IF((D19-E19)&lt;0,0,(D19-E19))</f>
        <v>1656</v>
      </c>
      <c r="I19" s="5">
        <f>IF((E19-D19)&lt;0,0,(E19-D19))</f>
        <v>0</v>
      </c>
      <c r="J19" s="5">
        <f>Table14[[#This Row],[Enrolment S.Y. 2025-2026 ]]*8</f>
        <v>1656</v>
      </c>
      <c r="K19" s="5"/>
      <c r="L19" s="1"/>
      <c r="M19" s="5"/>
      <c r="N19" s="5">
        <f t="shared" si="2"/>
        <v>1656</v>
      </c>
      <c r="O19" s="5">
        <f t="shared" si="3"/>
        <v>0</v>
      </c>
      <c r="P19" s="5">
        <f>Table14[[#This Row],[Enrolment S.Y. 2025-2026 ]]*8</f>
        <v>1656</v>
      </c>
      <c r="Q19" s="5"/>
      <c r="R19" s="1"/>
      <c r="S19" s="5"/>
      <c r="T19" s="5">
        <f t="shared" si="4"/>
        <v>1656</v>
      </c>
      <c r="U19" s="5">
        <f t="shared" si="5"/>
        <v>0</v>
      </c>
      <c r="V19" s="5">
        <f>Table14[[#This Row],[Enrolment S.Y. 2025-2026 ]]*8</f>
        <v>1656</v>
      </c>
      <c r="W19" s="5"/>
      <c r="X19" s="1"/>
      <c r="Y19" s="5"/>
      <c r="Z19" s="5">
        <f t="shared" si="6"/>
        <v>1656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237</v>
      </c>
      <c r="D21" s="5">
        <f>Table14[[#This Row],[Enrolment S.Y. 2025-2026 ]]*8</f>
        <v>1896</v>
      </c>
      <c r="E21" s="5"/>
      <c r="F21" s="1"/>
      <c r="G21" s="5"/>
      <c r="H21" s="5">
        <f t="shared" si="0"/>
        <v>1896</v>
      </c>
      <c r="I21" s="5">
        <f t="shared" si="1"/>
        <v>0</v>
      </c>
      <c r="J21" s="5">
        <f>Table14[[#This Row],[Enrolment S.Y. 2025-2026 ]]*8</f>
        <v>1896</v>
      </c>
      <c r="K21" s="5"/>
      <c r="L21" s="1"/>
      <c r="M21" s="5"/>
      <c r="N21" s="5">
        <f t="shared" si="2"/>
        <v>1896</v>
      </c>
      <c r="O21" s="5">
        <f t="shared" si="3"/>
        <v>0</v>
      </c>
      <c r="P21" s="5">
        <f>Table14[[#This Row],[Enrolment S.Y. 2025-2026 ]]*8</f>
        <v>1896</v>
      </c>
      <c r="Q21" s="5"/>
      <c r="R21" s="1"/>
      <c r="S21" s="5"/>
      <c r="T21" s="5">
        <f t="shared" si="4"/>
        <v>1896</v>
      </c>
      <c r="U21" s="5">
        <f t="shared" si="5"/>
        <v>0</v>
      </c>
      <c r="V21" s="5">
        <f>Table14[[#This Row],[Enrolment S.Y. 2025-2026 ]]*8</f>
        <v>1896</v>
      </c>
      <c r="W21" s="5"/>
      <c r="X21" s="1"/>
      <c r="Y21" s="5"/>
      <c r="Z21" s="5">
        <f t="shared" si="6"/>
        <v>1896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237</v>
      </c>
      <c r="D22" s="5">
        <f>Table14[[#This Row],[Enrolment S.Y. 2025-2026 ]]*8</f>
        <v>1896</v>
      </c>
      <c r="E22" s="5"/>
      <c r="F22" s="1"/>
      <c r="G22" s="5"/>
      <c r="H22" s="5">
        <f t="shared" si="0"/>
        <v>1896</v>
      </c>
      <c r="I22" s="5">
        <f t="shared" si="1"/>
        <v>0</v>
      </c>
      <c r="J22" s="5">
        <f>Table14[[#This Row],[Enrolment S.Y. 2025-2026 ]]*8</f>
        <v>1896</v>
      </c>
      <c r="K22" s="5"/>
      <c r="L22" s="1"/>
      <c r="M22" s="5"/>
      <c r="N22" s="5">
        <f t="shared" si="2"/>
        <v>1896</v>
      </c>
      <c r="O22" s="5">
        <f t="shared" si="3"/>
        <v>0</v>
      </c>
      <c r="P22" s="5">
        <f>Table14[[#This Row],[Enrolment S.Y. 2025-2026 ]]*8</f>
        <v>1896</v>
      </c>
      <c r="Q22" s="5"/>
      <c r="R22" s="1"/>
      <c r="S22" s="5"/>
      <c r="T22" s="5">
        <f t="shared" si="4"/>
        <v>1896</v>
      </c>
      <c r="U22" s="5">
        <f t="shared" si="5"/>
        <v>0</v>
      </c>
      <c r="V22" s="5">
        <f>Table14[[#This Row],[Enrolment S.Y. 2025-2026 ]]*8</f>
        <v>1896</v>
      </c>
      <c r="W22" s="5"/>
      <c r="X22" s="1"/>
      <c r="Y22" s="5"/>
      <c r="Z22" s="5">
        <f t="shared" si="6"/>
        <v>1896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237</v>
      </c>
      <c r="D23" s="5">
        <f>Table14[[#This Row],[Enrolment S.Y. 2025-2026 ]]*8</f>
        <v>1896</v>
      </c>
      <c r="E23" s="5"/>
      <c r="F23" s="1"/>
      <c r="G23" s="5"/>
      <c r="H23" s="5">
        <f t="shared" si="0"/>
        <v>1896</v>
      </c>
      <c r="I23" s="5">
        <f t="shared" si="1"/>
        <v>0</v>
      </c>
      <c r="J23" s="5">
        <f>Table14[[#This Row],[Enrolment S.Y. 2025-2026 ]]*8</f>
        <v>1896</v>
      </c>
      <c r="K23" s="5"/>
      <c r="L23" s="1"/>
      <c r="M23" s="5"/>
      <c r="N23" s="5">
        <f t="shared" si="2"/>
        <v>1896</v>
      </c>
      <c r="O23" s="5">
        <f t="shared" si="3"/>
        <v>0</v>
      </c>
      <c r="P23" s="5">
        <f>Table14[[#This Row],[Enrolment S.Y. 2025-2026 ]]*8</f>
        <v>1896</v>
      </c>
      <c r="Q23" s="5"/>
      <c r="R23" s="1"/>
      <c r="S23" s="5"/>
      <c r="T23" s="5">
        <f t="shared" si="4"/>
        <v>1896</v>
      </c>
      <c r="U23" s="5">
        <f t="shared" si="5"/>
        <v>0</v>
      </c>
      <c r="V23" s="5">
        <f>Table14[[#This Row],[Enrolment S.Y. 2025-2026 ]]*8</f>
        <v>1896</v>
      </c>
      <c r="W23" s="5"/>
      <c r="X23" s="1"/>
      <c r="Y23" s="5"/>
      <c r="Z23" s="5">
        <f t="shared" si="6"/>
        <v>1896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237</v>
      </c>
      <c r="D24" s="5">
        <f>Table14[[#This Row],[Enrolment S.Y. 2025-2026 ]]*8</f>
        <v>1896</v>
      </c>
      <c r="E24" s="5"/>
      <c r="F24" s="1"/>
      <c r="G24" s="5"/>
      <c r="H24" s="5">
        <f t="shared" si="0"/>
        <v>1896</v>
      </c>
      <c r="I24" s="5">
        <f t="shared" si="1"/>
        <v>0</v>
      </c>
      <c r="J24" s="5">
        <f>Table14[[#This Row],[Enrolment S.Y. 2025-2026 ]]*8</f>
        <v>1896</v>
      </c>
      <c r="K24" s="5"/>
      <c r="L24" s="1"/>
      <c r="M24" s="5"/>
      <c r="N24" s="5">
        <f t="shared" si="2"/>
        <v>1896</v>
      </c>
      <c r="O24" s="5">
        <f t="shared" si="3"/>
        <v>0</v>
      </c>
      <c r="P24" s="5">
        <f>Table14[[#This Row],[Enrolment S.Y. 2025-2026 ]]*8</f>
        <v>1896</v>
      </c>
      <c r="Q24" s="5"/>
      <c r="R24" s="1"/>
      <c r="S24" s="5"/>
      <c r="T24" s="5">
        <f t="shared" si="4"/>
        <v>1896</v>
      </c>
      <c r="U24" s="5">
        <f t="shared" si="5"/>
        <v>0</v>
      </c>
      <c r="V24" s="5">
        <f>Table14[[#This Row],[Enrolment S.Y. 2025-2026 ]]*8</f>
        <v>1896</v>
      </c>
      <c r="W24" s="5"/>
      <c r="X24" s="1"/>
      <c r="Y24" s="5"/>
      <c r="Z24" s="5">
        <f t="shared" si="6"/>
        <v>1896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237</v>
      </c>
      <c r="D25" s="5">
        <f>Table14[[#This Row],[Enrolment S.Y. 2025-2026 ]]*8</f>
        <v>1896</v>
      </c>
      <c r="E25" s="5">
        <v>2964</v>
      </c>
      <c r="F25" s="1">
        <v>2024</v>
      </c>
      <c r="G25" s="5"/>
      <c r="H25" s="5">
        <f t="shared" si="0"/>
        <v>0</v>
      </c>
      <c r="I25" s="5">
        <f t="shared" si="1"/>
        <v>1068</v>
      </c>
      <c r="J25" s="5">
        <f>Table14[[#This Row],[Enrolment S.Y. 2025-2026 ]]*8</f>
        <v>1896</v>
      </c>
      <c r="K25" s="5"/>
      <c r="L25" s="1"/>
      <c r="M25" s="5"/>
      <c r="N25" s="5">
        <f t="shared" si="2"/>
        <v>1896</v>
      </c>
      <c r="O25" s="5">
        <f t="shared" si="3"/>
        <v>0</v>
      </c>
      <c r="P25" s="5">
        <f>Table14[[#This Row],[Enrolment S.Y. 2025-2026 ]]*8</f>
        <v>1896</v>
      </c>
      <c r="Q25" s="5"/>
      <c r="R25" s="1"/>
      <c r="S25" s="5"/>
      <c r="T25" s="5">
        <f t="shared" si="4"/>
        <v>1896</v>
      </c>
      <c r="U25" s="5">
        <f t="shared" si="5"/>
        <v>0</v>
      </c>
      <c r="V25" s="5">
        <f>Table14[[#This Row],[Enrolment S.Y. 2025-2026 ]]*8</f>
        <v>1896</v>
      </c>
      <c r="W25" s="5"/>
      <c r="X25" s="1"/>
      <c r="Y25" s="5"/>
      <c r="Z25" s="5">
        <f t="shared" si="6"/>
        <v>1896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237</v>
      </c>
      <c r="D26" s="5">
        <f>Table14[[#This Row],[Enrolment S.Y. 2025-2026 ]]*8</f>
        <v>1896</v>
      </c>
      <c r="E26" s="5">
        <v>3206</v>
      </c>
      <c r="F26" s="1">
        <v>2024</v>
      </c>
      <c r="G26" s="5"/>
      <c r="H26" s="5">
        <f t="shared" si="0"/>
        <v>0</v>
      </c>
      <c r="I26" s="5">
        <f t="shared" si="1"/>
        <v>1310</v>
      </c>
      <c r="J26" s="5">
        <f>Table14[[#This Row],[Enrolment S.Y. 2025-2026 ]]*8</f>
        <v>1896</v>
      </c>
      <c r="K26" s="5"/>
      <c r="L26" s="1"/>
      <c r="M26" s="5"/>
      <c r="N26" s="5">
        <f t="shared" si="2"/>
        <v>1896</v>
      </c>
      <c r="O26" s="5">
        <f t="shared" si="3"/>
        <v>0</v>
      </c>
      <c r="P26" s="5">
        <f>Table14[[#This Row],[Enrolment S.Y. 2025-2026 ]]*8</f>
        <v>1896</v>
      </c>
      <c r="Q26" s="5"/>
      <c r="R26" s="1"/>
      <c r="S26" s="5"/>
      <c r="T26" s="5">
        <f t="shared" si="4"/>
        <v>1896</v>
      </c>
      <c r="U26" s="5">
        <f t="shared" si="5"/>
        <v>0</v>
      </c>
      <c r="V26" s="5">
        <f>Table14[[#This Row],[Enrolment S.Y. 2025-2026 ]]*8</f>
        <v>1896</v>
      </c>
      <c r="W26" s="5"/>
      <c r="X26" s="1"/>
      <c r="Y26" s="5"/>
      <c r="Z26" s="5">
        <f t="shared" si="6"/>
        <v>1896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237</v>
      </c>
      <c r="D27" s="5">
        <f>Table14[[#This Row],[Enrolment S.Y. 2025-2026 ]]*8</f>
        <v>1896</v>
      </c>
      <c r="E27" s="5">
        <v>2470</v>
      </c>
      <c r="F27" s="1">
        <v>2024</v>
      </c>
      <c r="G27" s="5"/>
      <c r="H27" s="5">
        <f>IF((D27-E27)&lt;0,0,(D27-E27))</f>
        <v>0</v>
      </c>
      <c r="I27" s="5">
        <f>IF((E27-D27)&lt;0,0,(E27-D27))</f>
        <v>574</v>
      </c>
      <c r="J27" s="5">
        <f>Table14[[#This Row],[Enrolment S.Y. 2025-2026 ]]*8</f>
        <v>1896</v>
      </c>
      <c r="K27" s="5"/>
      <c r="L27" s="1"/>
      <c r="M27" s="5"/>
      <c r="N27" s="5">
        <f t="shared" si="2"/>
        <v>1896</v>
      </c>
      <c r="O27" s="5">
        <f t="shared" si="3"/>
        <v>0</v>
      </c>
      <c r="P27" s="5">
        <f>Table14[[#This Row],[Enrolment S.Y. 2025-2026 ]]*8</f>
        <v>1896</v>
      </c>
      <c r="Q27" s="5"/>
      <c r="R27" s="1"/>
      <c r="S27" s="5"/>
      <c r="T27" s="5">
        <f t="shared" si="4"/>
        <v>1896</v>
      </c>
      <c r="U27" s="5">
        <f t="shared" si="5"/>
        <v>0</v>
      </c>
      <c r="V27" s="5">
        <f>Table14[[#This Row],[Enrolment S.Y. 2025-2026 ]]*8</f>
        <v>1896</v>
      </c>
      <c r="W27" s="5"/>
      <c r="X27" s="1"/>
      <c r="Y27" s="5"/>
      <c r="Z27" s="5">
        <f t="shared" si="6"/>
        <v>1896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237</v>
      </c>
      <c r="D28" s="5">
        <f>Table14[[#This Row],[Enrolment S.Y. 2025-2026 ]]*8</f>
        <v>1896</v>
      </c>
      <c r="E28" s="5">
        <v>3211</v>
      </c>
      <c r="F28" s="1">
        <v>2024</v>
      </c>
      <c r="G28" s="5"/>
      <c r="H28" s="5">
        <f>IF((D28-E28)&lt;0,0,(D28-E28))</f>
        <v>0</v>
      </c>
      <c r="I28" s="5">
        <f>IF((E28-D28)&lt;0,0,(E28-D28))</f>
        <v>1315</v>
      </c>
      <c r="J28" s="5">
        <f>Table14[[#This Row],[Enrolment S.Y. 2025-2026 ]]*8</f>
        <v>1896</v>
      </c>
      <c r="K28" s="5"/>
      <c r="L28" s="1"/>
      <c r="M28" s="5"/>
      <c r="N28" s="5">
        <f t="shared" si="2"/>
        <v>1896</v>
      </c>
      <c r="O28" s="5">
        <f t="shared" si="3"/>
        <v>0</v>
      </c>
      <c r="P28" s="5">
        <f>Table14[[#This Row],[Enrolment S.Y. 2025-2026 ]]*8</f>
        <v>1896</v>
      </c>
      <c r="Q28" s="5"/>
      <c r="R28" s="1"/>
      <c r="S28" s="5"/>
      <c r="T28" s="5">
        <f t="shared" si="4"/>
        <v>1896</v>
      </c>
      <c r="U28" s="5">
        <f t="shared" si="5"/>
        <v>0</v>
      </c>
      <c r="V28" s="5">
        <f>Table14[[#This Row],[Enrolment S.Y. 2025-2026 ]]*8</f>
        <v>1896</v>
      </c>
      <c r="W28" s="5"/>
      <c r="X28" s="1"/>
      <c r="Y28" s="5"/>
      <c r="Z28" s="5">
        <f t="shared" si="6"/>
        <v>1896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237</v>
      </c>
      <c r="D29" s="5">
        <f>Table14[[#This Row],[Enrolment S.Y. 2025-2026 ]]*8</f>
        <v>1896</v>
      </c>
      <c r="E29" s="5"/>
      <c r="F29" s="1"/>
      <c r="G29" s="5"/>
      <c r="H29" s="5">
        <f>IF((D29-E29)&lt;0,0,(D29-E29))</f>
        <v>1896</v>
      </c>
      <c r="I29" s="5">
        <f>IF((E29-D29)&lt;0,0,(E29-D29))</f>
        <v>0</v>
      </c>
      <c r="J29" s="5">
        <f>Table14[[#This Row],[Enrolment S.Y. 2025-2026 ]]*8</f>
        <v>1896</v>
      </c>
      <c r="K29" s="5"/>
      <c r="L29" s="1"/>
      <c r="M29" s="5"/>
      <c r="N29" s="5">
        <f t="shared" si="2"/>
        <v>1896</v>
      </c>
      <c r="O29" s="5">
        <f t="shared" si="3"/>
        <v>0</v>
      </c>
      <c r="P29" s="5">
        <f>Table14[[#This Row],[Enrolment S.Y. 2025-2026 ]]*8</f>
        <v>1896</v>
      </c>
      <c r="Q29" s="5"/>
      <c r="R29" s="1"/>
      <c r="S29" s="5"/>
      <c r="T29" s="5">
        <f t="shared" si="4"/>
        <v>1896</v>
      </c>
      <c r="U29" s="5">
        <f t="shared" si="5"/>
        <v>0</v>
      </c>
      <c r="V29" s="5">
        <f>Table14[[#This Row],[Enrolment S.Y. 2025-2026 ]]*8</f>
        <v>1896</v>
      </c>
      <c r="W29" s="5"/>
      <c r="X29" s="1"/>
      <c r="Y29" s="5"/>
      <c r="Z29" s="5">
        <f t="shared" si="6"/>
        <v>1896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269</v>
      </c>
      <c r="D31" s="5">
        <f>Table14[[#This Row],[Enrolment S.Y. 2025-2026 ]]*8</f>
        <v>2152</v>
      </c>
      <c r="E31" s="5"/>
      <c r="F31" s="1"/>
      <c r="G31" s="5"/>
      <c r="H31" s="5">
        <f t="shared" si="0"/>
        <v>2152</v>
      </c>
      <c r="I31" s="5">
        <f t="shared" si="1"/>
        <v>0</v>
      </c>
      <c r="J31" s="5">
        <f>Table14[[#This Row],[Enrolment S.Y. 2025-2026 ]]*8</f>
        <v>2152</v>
      </c>
      <c r="K31" s="5"/>
      <c r="L31" s="1"/>
      <c r="M31" s="5"/>
      <c r="N31" s="5">
        <f t="shared" si="2"/>
        <v>2152</v>
      </c>
      <c r="O31" s="5">
        <f t="shared" si="3"/>
        <v>0</v>
      </c>
      <c r="P31" s="5">
        <f>Table14[[#This Row],[Enrolment S.Y. 2025-2026 ]]*8</f>
        <v>2152</v>
      </c>
      <c r="Q31" s="5"/>
      <c r="R31" s="1"/>
      <c r="S31" s="5"/>
      <c r="T31" s="5">
        <f t="shared" si="4"/>
        <v>2152</v>
      </c>
      <c r="U31" s="5">
        <f t="shared" si="5"/>
        <v>0</v>
      </c>
      <c r="V31" s="5">
        <f>Table14[[#This Row],[Enrolment S.Y. 2025-2026 ]]*8</f>
        <v>2152</v>
      </c>
      <c r="W31" s="5"/>
      <c r="X31" s="1"/>
      <c r="Y31" s="5"/>
      <c r="Z31" s="5">
        <f t="shared" si="6"/>
        <v>2152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269</v>
      </c>
      <c r="D32" s="5">
        <f>Table14[[#This Row],[Enrolment S.Y. 2025-2026 ]]*8</f>
        <v>2152</v>
      </c>
      <c r="E32" s="5"/>
      <c r="F32" s="1"/>
      <c r="G32" s="5"/>
      <c r="H32" s="5">
        <f t="shared" si="0"/>
        <v>2152</v>
      </c>
      <c r="I32" s="5">
        <f t="shared" si="1"/>
        <v>0</v>
      </c>
      <c r="J32" s="5">
        <f>Table14[[#This Row],[Enrolment S.Y. 2025-2026 ]]*8</f>
        <v>2152</v>
      </c>
      <c r="K32" s="5"/>
      <c r="L32" s="1"/>
      <c r="M32" s="5"/>
      <c r="N32" s="5">
        <f t="shared" si="2"/>
        <v>2152</v>
      </c>
      <c r="O32" s="5">
        <f t="shared" si="3"/>
        <v>0</v>
      </c>
      <c r="P32" s="5">
        <f>Table14[[#This Row],[Enrolment S.Y. 2025-2026 ]]*8</f>
        <v>2152</v>
      </c>
      <c r="Q32" s="5"/>
      <c r="R32" s="1"/>
      <c r="S32" s="5"/>
      <c r="T32" s="5">
        <f t="shared" si="4"/>
        <v>2152</v>
      </c>
      <c r="U32" s="5">
        <f t="shared" si="5"/>
        <v>0</v>
      </c>
      <c r="V32" s="5">
        <f>Table14[[#This Row],[Enrolment S.Y. 2025-2026 ]]*8</f>
        <v>2152</v>
      </c>
      <c r="W32" s="5"/>
      <c r="X32" s="1"/>
      <c r="Y32" s="5"/>
      <c r="Z32" s="5">
        <f t="shared" si="6"/>
        <v>2152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269</v>
      </c>
      <c r="D33" s="5">
        <f>Table14[[#This Row],[Enrolment S.Y. 2025-2026 ]]*8</f>
        <v>2152</v>
      </c>
      <c r="E33" s="5"/>
      <c r="F33" s="1"/>
      <c r="G33" s="5"/>
      <c r="H33" s="5">
        <f t="shared" si="0"/>
        <v>2152</v>
      </c>
      <c r="I33" s="5">
        <f t="shared" si="1"/>
        <v>0</v>
      </c>
      <c r="J33" s="5">
        <f>Table14[[#This Row],[Enrolment S.Y. 2025-2026 ]]*8</f>
        <v>2152</v>
      </c>
      <c r="K33" s="5"/>
      <c r="L33" s="1"/>
      <c r="M33" s="5"/>
      <c r="N33" s="5">
        <f t="shared" si="2"/>
        <v>2152</v>
      </c>
      <c r="O33" s="5">
        <f t="shared" si="3"/>
        <v>0</v>
      </c>
      <c r="P33" s="5">
        <f>Table14[[#This Row],[Enrolment S.Y. 2025-2026 ]]*8</f>
        <v>2152</v>
      </c>
      <c r="Q33" s="5"/>
      <c r="R33" s="1"/>
      <c r="S33" s="5"/>
      <c r="T33" s="5">
        <f t="shared" si="4"/>
        <v>2152</v>
      </c>
      <c r="U33" s="5">
        <f t="shared" si="5"/>
        <v>0</v>
      </c>
      <c r="V33" s="5">
        <f>Table14[[#This Row],[Enrolment S.Y. 2025-2026 ]]*8</f>
        <v>2152</v>
      </c>
      <c r="W33" s="5"/>
      <c r="X33" s="1"/>
      <c r="Y33" s="5"/>
      <c r="Z33" s="5">
        <f t="shared" si="6"/>
        <v>2152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269</v>
      </c>
      <c r="D34" s="5">
        <f>Table14[[#This Row],[Enrolment S.Y. 2025-2026 ]]*8</f>
        <v>2152</v>
      </c>
      <c r="E34" s="5"/>
      <c r="F34" s="1"/>
      <c r="G34" s="5"/>
      <c r="H34" s="5">
        <f t="shared" si="0"/>
        <v>2152</v>
      </c>
      <c r="I34" s="5">
        <f t="shared" si="1"/>
        <v>0</v>
      </c>
      <c r="J34" s="5">
        <f>Table14[[#This Row],[Enrolment S.Y. 2025-2026 ]]*8</f>
        <v>2152</v>
      </c>
      <c r="K34" s="5"/>
      <c r="L34" s="1"/>
      <c r="M34" s="5"/>
      <c r="N34" s="5">
        <f t="shared" si="2"/>
        <v>2152</v>
      </c>
      <c r="O34" s="5">
        <f t="shared" si="3"/>
        <v>0</v>
      </c>
      <c r="P34" s="5">
        <f>Table14[[#This Row],[Enrolment S.Y. 2025-2026 ]]*8</f>
        <v>2152</v>
      </c>
      <c r="Q34" s="5"/>
      <c r="R34" s="1"/>
      <c r="S34" s="5"/>
      <c r="T34" s="5">
        <f t="shared" si="4"/>
        <v>2152</v>
      </c>
      <c r="U34" s="5">
        <f t="shared" si="5"/>
        <v>0</v>
      </c>
      <c r="V34" s="5">
        <f>Table14[[#This Row],[Enrolment S.Y. 2025-2026 ]]*8</f>
        <v>2152</v>
      </c>
      <c r="W34" s="5"/>
      <c r="X34" s="1"/>
      <c r="Y34" s="5"/>
      <c r="Z34" s="5">
        <f t="shared" si="6"/>
        <v>2152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269</v>
      </c>
      <c r="D35" s="5">
        <f>Table14[[#This Row],[Enrolment S.Y. 2025-2026 ]]*8</f>
        <v>2152</v>
      </c>
      <c r="E35" s="5"/>
      <c r="F35" s="1"/>
      <c r="G35" s="5"/>
      <c r="H35" s="5">
        <f t="shared" si="0"/>
        <v>2152</v>
      </c>
      <c r="I35" s="5">
        <f t="shared" si="1"/>
        <v>0</v>
      </c>
      <c r="J35" s="5">
        <f>Table14[[#This Row],[Enrolment S.Y. 2025-2026 ]]*8</f>
        <v>2152</v>
      </c>
      <c r="K35" s="5"/>
      <c r="L35" s="1"/>
      <c r="M35" s="5"/>
      <c r="N35" s="5">
        <f t="shared" si="2"/>
        <v>2152</v>
      </c>
      <c r="O35" s="5">
        <f t="shared" si="3"/>
        <v>0</v>
      </c>
      <c r="P35" s="5">
        <f>Table14[[#This Row],[Enrolment S.Y. 2025-2026 ]]*8</f>
        <v>2152</v>
      </c>
      <c r="Q35" s="5"/>
      <c r="R35" s="1"/>
      <c r="S35" s="5"/>
      <c r="T35" s="5">
        <f t="shared" si="4"/>
        <v>2152</v>
      </c>
      <c r="U35" s="5">
        <f t="shared" si="5"/>
        <v>0</v>
      </c>
      <c r="V35" s="5">
        <f>Table14[[#This Row],[Enrolment S.Y. 2025-2026 ]]*8</f>
        <v>2152</v>
      </c>
      <c r="W35" s="5"/>
      <c r="X35" s="1"/>
      <c r="Y35" s="5"/>
      <c r="Z35" s="5">
        <f t="shared" si="6"/>
        <v>2152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269</v>
      </c>
      <c r="D36" s="5">
        <f>Table14[[#This Row],[Enrolment S.Y. 2025-2026 ]]*8</f>
        <v>2152</v>
      </c>
      <c r="E36" s="5"/>
      <c r="F36" s="1"/>
      <c r="G36" s="5"/>
      <c r="H36" s="5">
        <f t="shared" si="0"/>
        <v>2152</v>
      </c>
      <c r="I36" s="5">
        <f t="shared" si="1"/>
        <v>0</v>
      </c>
      <c r="J36" s="5">
        <f>Table14[[#This Row],[Enrolment S.Y. 2025-2026 ]]*8</f>
        <v>2152</v>
      </c>
      <c r="K36" s="5"/>
      <c r="L36" s="1"/>
      <c r="M36" s="5"/>
      <c r="N36" s="5">
        <f t="shared" ref="N36:N41" si="8">IF((J36-K36)&lt;0,0,(J36-K36))</f>
        <v>2152</v>
      </c>
      <c r="O36" s="5">
        <f t="shared" ref="O36:O41" si="9">IF((K36-J36)&lt;0,0,(K36-J36))</f>
        <v>0</v>
      </c>
      <c r="P36" s="5">
        <f>Table14[[#This Row],[Enrolment S.Y. 2025-2026 ]]*8</f>
        <v>2152</v>
      </c>
      <c r="Q36" s="5"/>
      <c r="R36" s="1"/>
      <c r="S36" s="5"/>
      <c r="T36" s="5">
        <f t="shared" si="4"/>
        <v>2152</v>
      </c>
      <c r="U36" s="5">
        <f t="shared" si="5"/>
        <v>0</v>
      </c>
      <c r="V36" s="5">
        <f>Table14[[#This Row],[Enrolment S.Y. 2025-2026 ]]*8</f>
        <v>2152</v>
      </c>
      <c r="W36" s="5"/>
      <c r="X36" s="1"/>
      <c r="Y36" s="5"/>
      <c r="Z36" s="5">
        <f t="shared" si="6"/>
        <v>2152</v>
      </c>
      <c r="AA36" s="5">
        <f t="shared" si="7"/>
        <v>0</v>
      </c>
    </row>
    <row r="37" spans="1:27" ht="19.5">
      <c r="A37" s="37">
        <v>4</v>
      </c>
      <c r="B37" s="9" t="s">
        <v>112</v>
      </c>
      <c r="C37" s="5">
        <v>269</v>
      </c>
      <c r="D37" s="5">
        <f>Table14[[#This Row],[Enrolment S.Y. 2025-2026 ]]*8</f>
        <v>2152</v>
      </c>
      <c r="E37" s="5"/>
      <c r="F37" s="1"/>
      <c r="G37" s="5"/>
      <c r="H37" s="5">
        <f>IF((D37-E37)&lt;0,0,(D37-E37))</f>
        <v>2152</v>
      </c>
      <c r="I37" s="5">
        <f>IF((E37-D37)&lt;0,0,(E37-D37))</f>
        <v>0</v>
      </c>
      <c r="J37" s="5">
        <f>Table14[[#This Row],[Enrolment S.Y. 2025-2026 ]]*8</f>
        <v>2152</v>
      </c>
      <c r="K37" s="5"/>
      <c r="L37" s="1"/>
      <c r="M37" s="5"/>
      <c r="N37" s="5">
        <f t="shared" si="8"/>
        <v>2152</v>
      </c>
      <c r="O37" s="5">
        <f t="shared" si="9"/>
        <v>0</v>
      </c>
      <c r="P37" s="5">
        <f>Table14[[#This Row],[Enrolment S.Y. 2025-2026 ]]*8</f>
        <v>2152</v>
      </c>
      <c r="Q37" s="5"/>
      <c r="R37" s="1"/>
      <c r="S37" s="5"/>
      <c r="T37" s="5">
        <f>IF((P37-Q37)&lt;0,0,(P37-Q37))</f>
        <v>2152</v>
      </c>
      <c r="U37" s="5">
        <f>IF((Q37-P37)&lt;0,0,(Q37-P37))</f>
        <v>0</v>
      </c>
      <c r="V37" s="5">
        <f>Table14[[#This Row],[Enrolment S.Y. 2025-2026 ]]*8</f>
        <v>2152</v>
      </c>
      <c r="W37" s="5"/>
      <c r="X37" s="1"/>
      <c r="Y37" s="5"/>
      <c r="Z37" s="5">
        <f>IF((V37-W37)&lt;0,0,(V37-W37))</f>
        <v>2152</v>
      </c>
      <c r="AA37" s="5">
        <f>IF((W37-V37)&lt;0,0,(W37-V37))</f>
        <v>0</v>
      </c>
    </row>
    <row r="38" spans="1:27" ht="19.5">
      <c r="A38" s="1">
        <v>4</v>
      </c>
      <c r="B38" s="9" t="s">
        <v>113</v>
      </c>
      <c r="C38" s="1">
        <v>269</v>
      </c>
      <c r="D38" s="5">
        <f>Table14[[#This Row],[Enrolment S.Y. 2025-2026 ]]*8</f>
        <v>2152</v>
      </c>
      <c r="E38" s="5"/>
      <c r="F38" s="1"/>
      <c r="G38" s="5"/>
      <c r="H38" s="5">
        <f t="shared" si="0"/>
        <v>2152</v>
      </c>
      <c r="I38" s="5">
        <f t="shared" si="1"/>
        <v>0</v>
      </c>
      <c r="J38" s="5">
        <f>Table14[[#This Row],[Enrolment S.Y. 2025-2026 ]]*8</f>
        <v>2152</v>
      </c>
      <c r="K38" s="5"/>
      <c r="L38" s="1"/>
      <c r="M38" s="5"/>
      <c r="N38" s="5">
        <f t="shared" si="8"/>
        <v>2152</v>
      </c>
      <c r="O38" s="5">
        <f t="shared" si="9"/>
        <v>0</v>
      </c>
      <c r="P38" s="5">
        <f>Table14[[#This Row],[Enrolment S.Y. 2025-2026 ]]*8</f>
        <v>2152</v>
      </c>
      <c r="Q38" s="5"/>
      <c r="R38" s="1"/>
      <c r="S38" s="5"/>
      <c r="T38" s="5">
        <f t="shared" si="4"/>
        <v>2152</v>
      </c>
      <c r="U38" s="5">
        <f t="shared" si="5"/>
        <v>0</v>
      </c>
      <c r="V38" s="5">
        <f>Table14[[#This Row],[Enrolment S.Y. 2025-2026 ]]*8</f>
        <v>2152</v>
      </c>
      <c r="W38" s="5"/>
      <c r="X38" s="1"/>
      <c r="Y38" s="5"/>
      <c r="Z38" s="5">
        <f t="shared" si="6"/>
        <v>2152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269</v>
      </c>
      <c r="D39" s="5">
        <f>Table14[[#This Row],[Enrolment S.Y. 2025-2026 ]]*8</f>
        <v>2152</v>
      </c>
      <c r="E39" s="5"/>
      <c r="F39" s="1"/>
      <c r="G39" s="5"/>
      <c r="H39" s="5">
        <f t="shared" si="0"/>
        <v>2152</v>
      </c>
      <c r="I39" s="5">
        <f t="shared" si="1"/>
        <v>0</v>
      </c>
      <c r="J39" s="5">
        <f>Table14[[#This Row],[Enrolment S.Y. 2025-2026 ]]*8</f>
        <v>2152</v>
      </c>
      <c r="K39" s="5"/>
      <c r="L39" s="1"/>
      <c r="M39" s="5"/>
      <c r="N39" s="5">
        <f t="shared" si="8"/>
        <v>2152</v>
      </c>
      <c r="O39" s="5">
        <f t="shared" si="9"/>
        <v>0</v>
      </c>
      <c r="P39" s="5">
        <f>Table14[[#This Row],[Enrolment S.Y. 2025-2026 ]]*8</f>
        <v>2152</v>
      </c>
      <c r="Q39" s="5"/>
      <c r="R39" s="1"/>
      <c r="S39" s="5"/>
      <c r="T39" s="5">
        <f t="shared" si="4"/>
        <v>2152</v>
      </c>
      <c r="U39" s="5">
        <f t="shared" si="5"/>
        <v>0</v>
      </c>
      <c r="V39" s="5">
        <f>Table14[[#This Row],[Enrolment S.Y. 2025-2026 ]]*8</f>
        <v>2152</v>
      </c>
      <c r="W39" s="5"/>
      <c r="X39" s="1"/>
      <c r="Y39" s="5"/>
      <c r="Z39" s="5">
        <f t="shared" si="6"/>
        <v>2152</v>
      </c>
      <c r="AA39" s="5">
        <f t="shared" si="7"/>
        <v>0</v>
      </c>
    </row>
    <row r="40" spans="1:27" ht="19.5">
      <c r="A40" s="37">
        <v>4</v>
      </c>
      <c r="B40" s="9" t="s">
        <v>114</v>
      </c>
      <c r="C40" s="5">
        <v>269</v>
      </c>
      <c r="D40" s="5">
        <f>Table14[[#This Row],[Enrolment S.Y. 2025-2026 ]]*8</f>
        <v>2152</v>
      </c>
      <c r="E40" s="5"/>
      <c r="F40" s="1"/>
      <c r="G40" s="5"/>
      <c r="H40" s="5">
        <f>IF((D40-E40)&lt;0,0,(D40-E40))</f>
        <v>2152</v>
      </c>
      <c r="I40" s="5">
        <f>IF((E40-D40)&lt;0,0,(E40-D40))</f>
        <v>0</v>
      </c>
      <c r="J40" s="5">
        <f>Table14[[#This Row],[Enrolment S.Y. 2025-2026 ]]*8</f>
        <v>2152</v>
      </c>
      <c r="K40" s="5"/>
      <c r="L40" s="1"/>
      <c r="M40" s="5"/>
      <c r="N40" s="5">
        <f t="shared" si="8"/>
        <v>2152</v>
      </c>
      <c r="O40" s="5">
        <f t="shared" si="9"/>
        <v>0</v>
      </c>
      <c r="P40" s="5">
        <f>Table14[[#This Row],[Enrolment S.Y. 2025-2026 ]]*8</f>
        <v>2152</v>
      </c>
      <c r="Q40" s="5"/>
      <c r="R40" s="1"/>
      <c r="S40" s="5"/>
      <c r="T40" s="5">
        <f>IF((P40-Q40)&lt;0,0,(P40-Q40))</f>
        <v>2152</v>
      </c>
      <c r="U40" s="5">
        <f>IF((Q40-P40)&lt;0,0,(Q40-P40))</f>
        <v>0</v>
      </c>
      <c r="V40" s="5">
        <f>Table14[[#This Row],[Enrolment S.Y. 2025-2026 ]]*8</f>
        <v>2152</v>
      </c>
      <c r="W40" s="5"/>
      <c r="X40" s="1"/>
      <c r="Y40" s="5"/>
      <c r="Z40" s="5">
        <f>IF((V40-W40)&lt;0,0,(V40-W40))</f>
        <v>2152</v>
      </c>
      <c r="AA40" s="5">
        <f>IF((W40-V40)&lt;0,0,(W40-V40))</f>
        <v>0</v>
      </c>
    </row>
    <row r="41" spans="1:27" ht="19.5">
      <c r="A41" s="1">
        <v>4</v>
      </c>
      <c r="B41" s="9" t="s">
        <v>115</v>
      </c>
      <c r="C41" s="1">
        <v>269</v>
      </c>
      <c r="D41" s="5">
        <f>Table14[[#This Row],[Enrolment S.Y. 2025-2026 ]]*8</f>
        <v>2152</v>
      </c>
      <c r="E41" s="5"/>
      <c r="F41" s="1"/>
      <c r="G41" s="5"/>
      <c r="H41" s="5">
        <f t="shared" si="0"/>
        <v>2152</v>
      </c>
      <c r="I41" s="5">
        <f t="shared" si="1"/>
        <v>0</v>
      </c>
      <c r="J41" s="5">
        <f>Table14[[#This Row],[Enrolment S.Y. 2025-2026 ]]*8</f>
        <v>2152</v>
      </c>
      <c r="K41" s="5"/>
      <c r="L41" s="1"/>
      <c r="M41" s="5"/>
      <c r="N41" s="5">
        <f t="shared" si="8"/>
        <v>2152</v>
      </c>
      <c r="O41" s="5">
        <f t="shared" si="9"/>
        <v>0</v>
      </c>
      <c r="P41" s="5">
        <f>Table14[[#This Row],[Enrolment S.Y. 2025-2026 ]]*8</f>
        <v>2152</v>
      </c>
      <c r="Q41" s="5"/>
      <c r="R41" s="1"/>
      <c r="S41" s="5"/>
      <c r="T41" s="5">
        <f t="shared" si="4"/>
        <v>2152</v>
      </c>
      <c r="U41" s="5">
        <f t="shared" si="5"/>
        <v>0</v>
      </c>
      <c r="V41" s="5">
        <f>Table14[[#This Row],[Enrolment S.Y. 2025-2026 ]]*8</f>
        <v>2152</v>
      </c>
      <c r="W41" s="5"/>
      <c r="X41" s="1"/>
      <c r="Y41" s="5"/>
      <c r="Z41" s="5">
        <f t="shared" si="6"/>
        <v>2152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241</v>
      </c>
      <c r="D43" s="5">
        <f>Table14[[#This Row],[Enrolment S.Y. 2025-2026 ]]*8</f>
        <v>1928</v>
      </c>
      <c r="E43" s="5"/>
      <c r="F43" s="1"/>
      <c r="G43" s="5"/>
      <c r="H43" s="5">
        <f t="shared" si="0"/>
        <v>1928</v>
      </c>
      <c r="I43" s="5">
        <f t="shared" si="1"/>
        <v>0</v>
      </c>
      <c r="J43" s="5">
        <f>Table14[[#This Row],[Enrolment S.Y. 2025-2026 ]]*8</f>
        <v>1928</v>
      </c>
      <c r="K43" s="5"/>
      <c r="L43" s="1"/>
      <c r="M43" s="5"/>
      <c r="N43" s="5">
        <f t="shared" si="2"/>
        <v>1928</v>
      </c>
      <c r="O43" s="5">
        <f t="shared" si="3"/>
        <v>0</v>
      </c>
      <c r="P43" s="5">
        <f>Table14[[#This Row],[Enrolment S.Y. 2025-2026 ]]*8</f>
        <v>1928</v>
      </c>
      <c r="Q43" s="5"/>
      <c r="R43" s="1"/>
      <c r="S43" s="5"/>
      <c r="T43" s="5">
        <f t="shared" si="4"/>
        <v>1928</v>
      </c>
      <c r="U43" s="5">
        <f t="shared" si="5"/>
        <v>0</v>
      </c>
      <c r="V43" s="5">
        <f>Table14[[#This Row],[Enrolment S.Y. 2025-2026 ]]*8</f>
        <v>1928</v>
      </c>
      <c r="W43" s="5"/>
      <c r="X43" s="1"/>
      <c r="Y43" s="5"/>
      <c r="Z43" s="5">
        <f t="shared" si="6"/>
        <v>1928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241</v>
      </c>
      <c r="D44" s="5">
        <f>Table14[[#This Row],[Enrolment S.Y. 2025-2026 ]]*8</f>
        <v>1928</v>
      </c>
      <c r="E44" s="5"/>
      <c r="F44" s="1"/>
      <c r="G44" s="5"/>
      <c r="H44" s="5">
        <f t="shared" si="0"/>
        <v>1928</v>
      </c>
      <c r="I44" s="5">
        <f t="shared" si="1"/>
        <v>0</v>
      </c>
      <c r="J44" s="5">
        <f>Table14[[#This Row],[Enrolment S.Y. 2025-2026 ]]*8</f>
        <v>1928</v>
      </c>
      <c r="K44" s="5"/>
      <c r="L44" s="1"/>
      <c r="M44" s="5"/>
      <c r="N44" s="5">
        <f t="shared" si="2"/>
        <v>1928</v>
      </c>
      <c r="O44" s="5">
        <f t="shared" si="3"/>
        <v>0</v>
      </c>
      <c r="P44" s="5">
        <f>Table14[[#This Row],[Enrolment S.Y. 2025-2026 ]]*8</f>
        <v>1928</v>
      </c>
      <c r="Q44" s="5"/>
      <c r="R44" s="1"/>
      <c r="S44" s="5"/>
      <c r="T44" s="5">
        <f t="shared" si="4"/>
        <v>1928</v>
      </c>
      <c r="U44" s="5">
        <f t="shared" si="5"/>
        <v>0</v>
      </c>
      <c r="V44" s="5">
        <f>Table14[[#This Row],[Enrolment S.Y. 2025-2026 ]]*8</f>
        <v>1928</v>
      </c>
      <c r="W44" s="5"/>
      <c r="X44" s="1"/>
      <c r="Y44" s="5"/>
      <c r="Z44" s="5">
        <f t="shared" si="6"/>
        <v>1928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241</v>
      </c>
      <c r="D45" s="5">
        <f>Table14[[#This Row],[Enrolment S.Y. 2025-2026 ]]*8</f>
        <v>1928</v>
      </c>
      <c r="E45" s="5"/>
      <c r="F45" s="1"/>
      <c r="G45" s="5"/>
      <c r="H45" s="5">
        <f t="shared" si="0"/>
        <v>1928</v>
      </c>
      <c r="I45" s="5">
        <f t="shared" si="1"/>
        <v>0</v>
      </c>
      <c r="J45" s="5">
        <f>Table14[[#This Row],[Enrolment S.Y. 2025-2026 ]]*8</f>
        <v>1928</v>
      </c>
      <c r="K45" s="5"/>
      <c r="L45" s="1"/>
      <c r="M45" s="5"/>
      <c r="N45" s="5">
        <f t="shared" si="2"/>
        <v>1928</v>
      </c>
      <c r="O45" s="5">
        <f t="shared" si="3"/>
        <v>0</v>
      </c>
      <c r="P45" s="5">
        <f>Table14[[#This Row],[Enrolment S.Y. 2025-2026 ]]*8</f>
        <v>1928</v>
      </c>
      <c r="Q45" s="5"/>
      <c r="R45" s="1"/>
      <c r="S45" s="5"/>
      <c r="T45" s="5">
        <f t="shared" si="4"/>
        <v>1928</v>
      </c>
      <c r="U45" s="5">
        <f t="shared" si="5"/>
        <v>0</v>
      </c>
      <c r="V45" s="5">
        <f>Table14[[#This Row],[Enrolment S.Y. 2025-2026 ]]*8</f>
        <v>1928</v>
      </c>
      <c r="W45" s="5"/>
      <c r="X45" s="1"/>
      <c r="Y45" s="5"/>
      <c r="Z45" s="5">
        <f t="shared" si="6"/>
        <v>1928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241</v>
      </c>
      <c r="D46" s="5">
        <f>Table14[[#This Row],[Enrolment S.Y. 2025-2026 ]]*8</f>
        <v>1928</v>
      </c>
      <c r="E46" s="5"/>
      <c r="F46" s="1"/>
      <c r="G46" s="5"/>
      <c r="H46" s="5">
        <f t="shared" si="0"/>
        <v>1928</v>
      </c>
      <c r="I46" s="5">
        <f t="shared" si="1"/>
        <v>0</v>
      </c>
      <c r="J46" s="5">
        <f>Table14[[#This Row],[Enrolment S.Y. 2025-2026 ]]*8</f>
        <v>1928</v>
      </c>
      <c r="K46" s="5"/>
      <c r="L46" s="1"/>
      <c r="M46" s="5"/>
      <c r="N46" s="5">
        <f t="shared" si="2"/>
        <v>1928</v>
      </c>
      <c r="O46" s="5">
        <f t="shared" si="3"/>
        <v>0</v>
      </c>
      <c r="P46" s="5">
        <f>Table14[[#This Row],[Enrolment S.Y. 2025-2026 ]]*8</f>
        <v>1928</v>
      </c>
      <c r="Q46" s="5"/>
      <c r="R46" s="1"/>
      <c r="S46" s="5"/>
      <c r="T46" s="5">
        <f t="shared" si="4"/>
        <v>1928</v>
      </c>
      <c r="U46" s="5">
        <f t="shared" si="5"/>
        <v>0</v>
      </c>
      <c r="V46" s="5">
        <f>Table14[[#This Row],[Enrolment S.Y. 2025-2026 ]]*8</f>
        <v>1928</v>
      </c>
      <c r="W46" s="5"/>
      <c r="X46" s="1"/>
      <c r="Y46" s="5"/>
      <c r="Z46" s="5">
        <f t="shared" si="6"/>
        <v>1928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241</v>
      </c>
      <c r="D47" s="5">
        <f>Table14[[#This Row],[Enrolment S.Y. 2025-2026 ]]*8</f>
        <v>1928</v>
      </c>
      <c r="E47" s="5"/>
      <c r="F47" s="1"/>
      <c r="G47" s="5"/>
      <c r="H47" s="5">
        <f t="shared" si="0"/>
        <v>1928</v>
      </c>
      <c r="I47" s="5">
        <f t="shared" si="1"/>
        <v>0</v>
      </c>
      <c r="J47" s="5">
        <f>Table14[[#This Row],[Enrolment S.Y. 2025-2026 ]]*8</f>
        <v>1928</v>
      </c>
      <c r="K47" s="5"/>
      <c r="L47" s="1"/>
      <c r="M47" s="5"/>
      <c r="N47" s="5">
        <f t="shared" si="2"/>
        <v>1928</v>
      </c>
      <c r="O47" s="5">
        <f t="shared" si="3"/>
        <v>0</v>
      </c>
      <c r="P47" s="5">
        <f>Table14[[#This Row],[Enrolment S.Y. 2025-2026 ]]*8</f>
        <v>1928</v>
      </c>
      <c r="Q47" s="5"/>
      <c r="R47" s="1"/>
      <c r="S47" s="5"/>
      <c r="T47" s="5">
        <f t="shared" si="4"/>
        <v>1928</v>
      </c>
      <c r="U47" s="5">
        <f t="shared" si="5"/>
        <v>0</v>
      </c>
      <c r="V47" s="5">
        <f>Table14[[#This Row],[Enrolment S.Y. 2025-2026 ]]*8</f>
        <v>1928</v>
      </c>
      <c r="W47" s="5"/>
      <c r="X47" s="1"/>
      <c r="Y47" s="5"/>
      <c r="Z47" s="5">
        <f t="shared" si="6"/>
        <v>1928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241</v>
      </c>
      <c r="D48" s="5">
        <f>Table14[[#This Row],[Enrolment S.Y. 2025-2026 ]]*8</f>
        <v>1928</v>
      </c>
      <c r="E48" s="5"/>
      <c r="F48" s="1"/>
      <c r="G48" s="5"/>
      <c r="H48" s="5">
        <f t="shared" si="0"/>
        <v>1928</v>
      </c>
      <c r="I48" s="5">
        <f t="shared" si="1"/>
        <v>0</v>
      </c>
      <c r="J48" s="5">
        <f>Table14[[#This Row],[Enrolment S.Y. 2025-2026 ]]*8</f>
        <v>1928</v>
      </c>
      <c r="K48" s="5"/>
      <c r="L48" s="1"/>
      <c r="M48" s="5"/>
      <c r="N48" s="5">
        <f t="shared" ref="N48:N53" si="10">IF((J48-K48)&lt;0,0,(J48-K48))</f>
        <v>1928</v>
      </c>
      <c r="O48" s="5">
        <f t="shared" ref="O48:O53" si="11">IF((K48-J48)&lt;0,0,(K48-J48))</f>
        <v>0</v>
      </c>
      <c r="P48" s="5">
        <f>Table14[[#This Row],[Enrolment S.Y. 2025-2026 ]]*8</f>
        <v>1928</v>
      </c>
      <c r="Q48" s="5"/>
      <c r="R48" s="1"/>
      <c r="S48" s="5"/>
      <c r="T48" s="5">
        <f t="shared" si="4"/>
        <v>1928</v>
      </c>
      <c r="U48" s="5">
        <f t="shared" si="5"/>
        <v>0</v>
      </c>
      <c r="V48" s="5">
        <f>Table14[[#This Row],[Enrolment S.Y. 2025-2026 ]]*8</f>
        <v>1928</v>
      </c>
      <c r="W48" s="5"/>
      <c r="X48" s="1"/>
      <c r="Y48" s="5"/>
      <c r="Z48" s="5">
        <f t="shared" si="6"/>
        <v>1928</v>
      </c>
      <c r="AA48" s="5">
        <f t="shared" si="7"/>
        <v>0</v>
      </c>
    </row>
    <row r="49" spans="1:27" ht="19.5">
      <c r="A49" s="37">
        <v>5</v>
      </c>
      <c r="B49" s="9" t="s">
        <v>112</v>
      </c>
      <c r="C49" s="5">
        <v>241</v>
      </c>
      <c r="D49" s="5">
        <f>Table14[[#This Row],[Enrolment S.Y. 2025-2026 ]]*8</f>
        <v>1928</v>
      </c>
      <c r="E49" s="5"/>
      <c r="F49" s="1"/>
      <c r="G49" s="5"/>
      <c r="H49" s="5">
        <f>IF((D49-E49)&lt;0,0,(D49-E49))</f>
        <v>1928</v>
      </c>
      <c r="I49" s="5">
        <f>IF((E49-D49)&lt;0,0,(E49-D49))</f>
        <v>0</v>
      </c>
      <c r="J49" s="5">
        <f>Table14[[#This Row],[Enrolment S.Y. 2025-2026 ]]*8</f>
        <v>1928</v>
      </c>
      <c r="K49" s="5"/>
      <c r="L49" s="1"/>
      <c r="M49" s="5"/>
      <c r="N49" s="5">
        <f t="shared" si="10"/>
        <v>1928</v>
      </c>
      <c r="O49" s="5">
        <f t="shared" si="11"/>
        <v>0</v>
      </c>
      <c r="P49" s="5">
        <f>Table14[[#This Row],[Enrolment S.Y. 2025-2026 ]]*8</f>
        <v>1928</v>
      </c>
      <c r="Q49" s="5"/>
      <c r="R49" s="1"/>
      <c r="S49" s="5"/>
      <c r="T49" s="5">
        <f>IF((P49-Q49)&lt;0,0,(P49-Q49))</f>
        <v>1928</v>
      </c>
      <c r="U49" s="5">
        <f>IF((Q49-P49)&lt;0,0,(Q49-P49))</f>
        <v>0</v>
      </c>
      <c r="V49" s="5">
        <f>Table14[[#This Row],[Enrolment S.Y. 2025-2026 ]]*8</f>
        <v>1928</v>
      </c>
      <c r="W49" s="5"/>
      <c r="X49" s="1"/>
      <c r="Y49" s="5"/>
      <c r="Z49" s="5">
        <f>IF((V49-W49)&lt;0,0,(V49-W49))</f>
        <v>1928</v>
      </c>
      <c r="AA49" s="5">
        <f>IF((W49-V49)&lt;0,0,(W49-V49))</f>
        <v>0</v>
      </c>
    </row>
    <row r="50" spans="1:27" ht="19.5">
      <c r="A50" s="1">
        <v>5</v>
      </c>
      <c r="B50" s="9" t="s">
        <v>113</v>
      </c>
      <c r="C50" s="1">
        <v>241</v>
      </c>
      <c r="D50" s="5">
        <f>Table14[[#This Row],[Enrolment S.Y. 2025-2026 ]]*8</f>
        <v>1928</v>
      </c>
      <c r="E50" s="5"/>
      <c r="F50" s="1"/>
      <c r="G50" s="5"/>
      <c r="H50" s="5">
        <f t="shared" si="0"/>
        <v>1928</v>
      </c>
      <c r="I50" s="5">
        <f t="shared" si="1"/>
        <v>0</v>
      </c>
      <c r="J50" s="5">
        <f>Table14[[#This Row],[Enrolment S.Y. 2025-2026 ]]*8</f>
        <v>1928</v>
      </c>
      <c r="K50" s="5"/>
      <c r="L50" s="1"/>
      <c r="M50" s="5"/>
      <c r="N50" s="5">
        <f t="shared" si="10"/>
        <v>1928</v>
      </c>
      <c r="O50" s="5">
        <f t="shared" si="11"/>
        <v>0</v>
      </c>
      <c r="P50" s="5">
        <f>Table14[[#This Row],[Enrolment S.Y. 2025-2026 ]]*8</f>
        <v>1928</v>
      </c>
      <c r="Q50" s="5"/>
      <c r="R50" s="1"/>
      <c r="S50" s="5"/>
      <c r="T50" s="5">
        <f t="shared" si="4"/>
        <v>1928</v>
      </c>
      <c r="U50" s="5">
        <f t="shared" si="5"/>
        <v>0</v>
      </c>
      <c r="V50" s="5">
        <f>Table14[[#This Row],[Enrolment S.Y. 2025-2026 ]]*8</f>
        <v>1928</v>
      </c>
      <c r="W50" s="5"/>
      <c r="X50" s="1"/>
      <c r="Y50" s="5"/>
      <c r="Z50" s="5">
        <f t="shared" si="6"/>
        <v>1928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241</v>
      </c>
      <c r="D51" s="5">
        <f>Table14[[#This Row],[Enrolment S.Y. 2025-2026 ]]*8</f>
        <v>1928</v>
      </c>
      <c r="E51" s="5"/>
      <c r="F51" s="1"/>
      <c r="G51" s="5"/>
      <c r="H51" s="5">
        <f t="shared" si="0"/>
        <v>1928</v>
      </c>
      <c r="I51" s="5">
        <f t="shared" si="1"/>
        <v>0</v>
      </c>
      <c r="J51" s="5">
        <f>Table14[[#This Row],[Enrolment S.Y. 2025-2026 ]]*8</f>
        <v>1928</v>
      </c>
      <c r="K51" s="5"/>
      <c r="L51" s="1"/>
      <c r="M51" s="5"/>
      <c r="N51" s="5">
        <f t="shared" si="10"/>
        <v>1928</v>
      </c>
      <c r="O51" s="5">
        <f t="shared" si="11"/>
        <v>0</v>
      </c>
      <c r="P51" s="5">
        <f>Table14[[#This Row],[Enrolment S.Y. 2025-2026 ]]*8</f>
        <v>1928</v>
      </c>
      <c r="Q51" s="5"/>
      <c r="R51" s="1"/>
      <c r="S51" s="5"/>
      <c r="T51" s="5">
        <f t="shared" si="4"/>
        <v>1928</v>
      </c>
      <c r="U51" s="5">
        <f t="shared" si="5"/>
        <v>0</v>
      </c>
      <c r="V51" s="5">
        <f>Table14[[#This Row],[Enrolment S.Y. 2025-2026 ]]*8</f>
        <v>1928</v>
      </c>
      <c r="W51" s="5"/>
      <c r="X51" s="1"/>
      <c r="Y51" s="5"/>
      <c r="Z51" s="5">
        <f t="shared" si="6"/>
        <v>1928</v>
      </c>
      <c r="AA51" s="5">
        <f t="shared" si="7"/>
        <v>0</v>
      </c>
    </row>
    <row r="52" spans="1:27" ht="19.5">
      <c r="A52" s="37">
        <v>5</v>
      </c>
      <c r="B52" s="9" t="s">
        <v>114</v>
      </c>
      <c r="C52" s="5">
        <v>241</v>
      </c>
      <c r="D52" s="5">
        <f>Table14[[#This Row],[Enrolment S.Y. 2025-2026 ]]*8</f>
        <v>1928</v>
      </c>
      <c r="E52" s="5"/>
      <c r="F52" s="1"/>
      <c r="G52" s="5"/>
      <c r="H52" s="5">
        <f>IF((D52-E52)&lt;0,0,(D52-E52))</f>
        <v>1928</v>
      </c>
      <c r="I52" s="5">
        <f>IF((E52-D52)&lt;0,0,(E52-D52))</f>
        <v>0</v>
      </c>
      <c r="J52" s="5">
        <f>Table14[[#This Row],[Enrolment S.Y. 2025-2026 ]]*8</f>
        <v>1928</v>
      </c>
      <c r="K52" s="5"/>
      <c r="L52" s="1"/>
      <c r="M52" s="5"/>
      <c r="N52" s="5">
        <f t="shared" si="10"/>
        <v>1928</v>
      </c>
      <c r="O52" s="5">
        <f t="shared" si="11"/>
        <v>0</v>
      </c>
      <c r="P52" s="5">
        <f>Table14[[#This Row],[Enrolment S.Y. 2025-2026 ]]*8</f>
        <v>1928</v>
      </c>
      <c r="Q52" s="5"/>
      <c r="R52" s="1"/>
      <c r="S52" s="5"/>
      <c r="T52" s="5">
        <f>IF((P52-Q52)&lt;0,0,(P52-Q52))</f>
        <v>1928</v>
      </c>
      <c r="U52" s="5">
        <f>IF((Q52-P52)&lt;0,0,(Q52-P52))</f>
        <v>0</v>
      </c>
      <c r="V52" s="5">
        <f>Table14[[#This Row],[Enrolment S.Y. 2025-2026 ]]*8</f>
        <v>1928</v>
      </c>
      <c r="W52" s="5"/>
      <c r="X52" s="1"/>
      <c r="Y52" s="5"/>
      <c r="Z52" s="5">
        <f>IF((V52-W52)&lt;0,0,(V52-W52))</f>
        <v>1928</v>
      </c>
      <c r="AA52" s="5">
        <f>IF((W52-V52)&lt;0,0,(W52-V52))</f>
        <v>0</v>
      </c>
    </row>
    <row r="53" spans="1:27" ht="19.5">
      <c r="A53" s="1">
        <v>5</v>
      </c>
      <c r="B53" s="9" t="s">
        <v>115</v>
      </c>
      <c r="C53" s="1">
        <v>241</v>
      </c>
      <c r="D53" s="5">
        <f>Table14[[#This Row],[Enrolment S.Y. 2025-2026 ]]*8</f>
        <v>1928</v>
      </c>
      <c r="E53" s="5"/>
      <c r="F53" s="1"/>
      <c r="G53" s="5"/>
      <c r="H53" s="5">
        <f t="shared" si="0"/>
        <v>1928</v>
      </c>
      <c r="I53" s="5">
        <f t="shared" si="1"/>
        <v>0</v>
      </c>
      <c r="J53" s="5">
        <f>Table14[[#This Row],[Enrolment S.Y. 2025-2026 ]]*8</f>
        <v>1928</v>
      </c>
      <c r="K53" s="5"/>
      <c r="L53" s="1"/>
      <c r="M53" s="5"/>
      <c r="N53" s="5">
        <f t="shared" si="10"/>
        <v>1928</v>
      </c>
      <c r="O53" s="5">
        <f t="shared" si="11"/>
        <v>0</v>
      </c>
      <c r="P53" s="5">
        <f>Table14[[#This Row],[Enrolment S.Y. 2025-2026 ]]*8</f>
        <v>1928</v>
      </c>
      <c r="Q53" s="5"/>
      <c r="R53" s="1"/>
      <c r="S53" s="5"/>
      <c r="T53" s="5">
        <f t="shared" si="4"/>
        <v>1928</v>
      </c>
      <c r="U53" s="5">
        <f t="shared" si="5"/>
        <v>0</v>
      </c>
      <c r="V53" s="5">
        <f>Table14[[#This Row],[Enrolment S.Y. 2025-2026 ]]*8</f>
        <v>1928</v>
      </c>
      <c r="W53" s="5"/>
      <c r="X53" s="1"/>
      <c r="Y53" s="5"/>
      <c r="Z53" s="5">
        <f t="shared" si="6"/>
        <v>1928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245</v>
      </c>
      <c r="D55" s="5">
        <f>Table14[[#This Row],[Enrolment S.Y. 2025-2026 ]]*8</f>
        <v>1960</v>
      </c>
      <c r="E55" s="5">
        <v>70</v>
      </c>
      <c r="F55" s="1">
        <v>2025</v>
      </c>
      <c r="G55" s="5" t="s">
        <v>116</v>
      </c>
      <c r="H55" s="5">
        <f t="shared" si="0"/>
        <v>1890</v>
      </c>
      <c r="I55" s="5">
        <f t="shared" si="1"/>
        <v>0</v>
      </c>
      <c r="J55" s="5">
        <f>Table14[[#This Row],[Enrolment S.Y. 2025-2026 ]]*8</f>
        <v>1960</v>
      </c>
      <c r="K55" s="5">
        <v>50</v>
      </c>
      <c r="L55" s="1">
        <v>2025</v>
      </c>
      <c r="M55" s="5" t="s">
        <v>116</v>
      </c>
      <c r="N55" s="5">
        <f t="shared" si="2"/>
        <v>1910</v>
      </c>
      <c r="O55" s="5">
        <f t="shared" si="3"/>
        <v>0</v>
      </c>
      <c r="P55" s="5">
        <f>Table14[[#This Row],[Enrolment S.Y. 2025-2026 ]]*8</f>
        <v>1960</v>
      </c>
      <c r="Q55" s="5">
        <v>50</v>
      </c>
      <c r="R55" s="1">
        <v>2025</v>
      </c>
      <c r="S55" s="5" t="s">
        <v>116</v>
      </c>
      <c r="T55" s="5">
        <f t="shared" si="4"/>
        <v>1910</v>
      </c>
      <c r="U55" s="5">
        <f t="shared" si="5"/>
        <v>0</v>
      </c>
      <c r="V55" s="5">
        <f>Table14[[#This Row],[Enrolment S.Y. 2025-2026 ]]*8</f>
        <v>1960</v>
      </c>
      <c r="W55" s="5">
        <v>50</v>
      </c>
      <c r="X55" s="1">
        <v>2025</v>
      </c>
      <c r="Y55" s="5" t="s">
        <v>116</v>
      </c>
      <c r="Z55" s="5">
        <f t="shared" si="6"/>
        <v>1910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245</v>
      </c>
      <c r="D56" s="5">
        <f>Table14[[#This Row],[Enrolment S.Y. 2025-2026 ]]*8</f>
        <v>1960</v>
      </c>
      <c r="E56" s="5">
        <v>70</v>
      </c>
      <c r="F56" s="1">
        <v>2025</v>
      </c>
      <c r="G56" s="5" t="s">
        <v>116</v>
      </c>
      <c r="H56" s="5">
        <f t="shared" si="0"/>
        <v>1890</v>
      </c>
      <c r="I56" s="5">
        <f t="shared" si="1"/>
        <v>0</v>
      </c>
      <c r="J56" s="5">
        <f>Table14[[#This Row],[Enrolment S.Y. 2025-2026 ]]*8</f>
        <v>1960</v>
      </c>
      <c r="K56" s="5">
        <v>50</v>
      </c>
      <c r="L56" s="1">
        <v>2025</v>
      </c>
      <c r="M56" s="5" t="s">
        <v>116</v>
      </c>
      <c r="N56" s="5">
        <f t="shared" si="2"/>
        <v>1910</v>
      </c>
      <c r="O56" s="5">
        <f t="shared" si="3"/>
        <v>0</v>
      </c>
      <c r="P56" s="5">
        <f>Table14[[#This Row],[Enrolment S.Y. 2025-2026 ]]*8</f>
        <v>1960</v>
      </c>
      <c r="Q56" s="5">
        <v>50</v>
      </c>
      <c r="R56" s="1">
        <v>2025</v>
      </c>
      <c r="S56" s="5" t="s">
        <v>116</v>
      </c>
      <c r="T56" s="5">
        <f t="shared" si="4"/>
        <v>1910</v>
      </c>
      <c r="U56" s="5">
        <f t="shared" si="5"/>
        <v>0</v>
      </c>
      <c r="V56" s="5">
        <f>Table14[[#This Row],[Enrolment S.Y. 2025-2026 ]]*8</f>
        <v>1960</v>
      </c>
      <c r="W56" s="5">
        <v>50</v>
      </c>
      <c r="X56" s="1">
        <v>2025</v>
      </c>
      <c r="Y56" s="5" t="s">
        <v>116</v>
      </c>
      <c r="Z56" s="5">
        <f t="shared" si="6"/>
        <v>1910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245</v>
      </c>
      <c r="D57" s="5">
        <f>Table14[[#This Row],[Enrolment S.Y. 2025-2026 ]]*8</f>
        <v>1960</v>
      </c>
      <c r="E57" s="5">
        <v>70</v>
      </c>
      <c r="F57" s="1">
        <v>2025</v>
      </c>
      <c r="G57" s="5" t="s">
        <v>116</v>
      </c>
      <c r="H57" s="5">
        <f t="shared" si="0"/>
        <v>1890</v>
      </c>
      <c r="I57" s="5">
        <f t="shared" si="1"/>
        <v>0</v>
      </c>
      <c r="J57" s="5">
        <f>Table14[[#This Row],[Enrolment S.Y. 2025-2026 ]]*8</f>
        <v>1960</v>
      </c>
      <c r="K57" s="5">
        <v>50</v>
      </c>
      <c r="L57" s="1">
        <v>2025</v>
      </c>
      <c r="M57" s="5" t="s">
        <v>116</v>
      </c>
      <c r="N57" s="5">
        <f t="shared" si="2"/>
        <v>1910</v>
      </c>
      <c r="O57" s="5">
        <f t="shared" si="3"/>
        <v>0</v>
      </c>
      <c r="P57" s="5">
        <f>Table14[[#This Row],[Enrolment S.Y. 2025-2026 ]]*8</f>
        <v>1960</v>
      </c>
      <c r="Q57" s="5">
        <v>50</v>
      </c>
      <c r="R57" s="1">
        <v>2025</v>
      </c>
      <c r="S57" s="5" t="s">
        <v>116</v>
      </c>
      <c r="T57" s="5">
        <f t="shared" si="4"/>
        <v>1910</v>
      </c>
      <c r="U57" s="5">
        <f t="shared" si="5"/>
        <v>0</v>
      </c>
      <c r="V57" s="5">
        <f>Table14[[#This Row],[Enrolment S.Y. 2025-2026 ]]*8</f>
        <v>1960</v>
      </c>
      <c r="W57" s="5">
        <v>50</v>
      </c>
      <c r="X57" s="1">
        <v>2025</v>
      </c>
      <c r="Y57" s="5" t="s">
        <v>116</v>
      </c>
      <c r="Z57" s="5">
        <f t="shared" si="6"/>
        <v>1910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245</v>
      </c>
      <c r="D58" s="5">
        <f>Table14[[#This Row],[Enrolment S.Y. 2025-2026 ]]*8</f>
        <v>1960</v>
      </c>
      <c r="E58" s="5"/>
      <c r="F58" s="1"/>
      <c r="G58" s="5"/>
      <c r="H58" s="5">
        <f t="shared" si="0"/>
        <v>1960</v>
      </c>
      <c r="I58" s="5">
        <f t="shared" si="1"/>
        <v>0</v>
      </c>
      <c r="J58" s="5">
        <f>Table14[[#This Row],[Enrolment S.Y. 2025-2026 ]]*8</f>
        <v>1960</v>
      </c>
      <c r="K58" s="5"/>
      <c r="L58" s="1"/>
      <c r="M58" s="5"/>
      <c r="N58" s="5">
        <f t="shared" si="2"/>
        <v>1960</v>
      </c>
      <c r="O58" s="5">
        <f t="shared" si="3"/>
        <v>0</v>
      </c>
      <c r="P58" s="5">
        <f>Table14[[#This Row],[Enrolment S.Y. 2025-2026 ]]*8</f>
        <v>1960</v>
      </c>
      <c r="Q58" s="5"/>
      <c r="R58" s="1"/>
      <c r="S58" s="5"/>
      <c r="T58" s="5">
        <f t="shared" si="4"/>
        <v>1960</v>
      </c>
      <c r="U58" s="5">
        <f t="shared" si="5"/>
        <v>0</v>
      </c>
      <c r="V58" s="5">
        <f>Table14[[#This Row],[Enrolment S.Y. 2025-2026 ]]*8</f>
        <v>1960</v>
      </c>
      <c r="W58" s="5"/>
      <c r="X58" s="1"/>
      <c r="Y58" s="5"/>
      <c r="Z58" s="5">
        <f t="shared" si="6"/>
        <v>1960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245</v>
      </c>
      <c r="D59" s="5">
        <f>Table14[[#This Row],[Enrolment S.Y. 2025-2026 ]]*8</f>
        <v>1960</v>
      </c>
      <c r="E59" s="5"/>
      <c r="F59" s="1"/>
      <c r="G59" s="5"/>
      <c r="H59" s="5">
        <f t="shared" si="0"/>
        <v>1960</v>
      </c>
      <c r="I59" s="5">
        <f t="shared" si="1"/>
        <v>0</v>
      </c>
      <c r="J59" s="5">
        <f>Table14[[#This Row],[Enrolment S.Y. 2025-2026 ]]*8</f>
        <v>1960</v>
      </c>
      <c r="K59" s="5"/>
      <c r="L59" s="1"/>
      <c r="M59" s="5"/>
      <c r="N59" s="5">
        <f t="shared" si="2"/>
        <v>1960</v>
      </c>
      <c r="O59" s="5">
        <f t="shared" si="3"/>
        <v>0</v>
      </c>
      <c r="P59" s="5">
        <f>Table14[[#This Row],[Enrolment S.Y. 2025-2026 ]]*8</f>
        <v>1960</v>
      </c>
      <c r="Q59" s="5">
        <v>50</v>
      </c>
      <c r="R59" s="1">
        <v>2025</v>
      </c>
      <c r="S59" s="5" t="s">
        <v>116</v>
      </c>
      <c r="T59" s="5">
        <f t="shared" si="4"/>
        <v>1910</v>
      </c>
      <c r="U59" s="5">
        <f t="shared" si="5"/>
        <v>0</v>
      </c>
      <c r="V59" s="5">
        <f>Table14[[#This Row],[Enrolment S.Y. 2025-2026 ]]*8</f>
        <v>1960</v>
      </c>
      <c r="W59" s="5">
        <v>50</v>
      </c>
      <c r="X59" s="1">
        <v>2025</v>
      </c>
      <c r="Y59" s="5" t="s">
        <v>116</v>
      </c>
      <c r="Z59" s="5">
        <f t="shared" si="6"/>
        <v>1910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245</v>
      </c>
      <c r="D60" s="5">
        <f>Table14[[#This Row],[Enrolment S.Y. 2025-2026 ]]*8</f>
        <v>1960</v>
      </c>
      <c r="E60" s="5"/>
      <c r="F60" s="1"/>
      <c r="G60" s="5"/>
      <c r="H60" s="5">
        <f t="shared" si="0"/>
        <v>1960</v>
      </c>
      <c r="I60" s="5">
        <f t="shared" si="1"/>
        <v>0</v>
      </c>
      <c r="J60" s="5">
        <f>Table14[[#This Row],[Enrolment S.Y. 2025-2026 ]]*8</f>
        <v>1960</v>
      </c>
      <c r="K60" s="5"/>
      <c r="L60" s="1"/>
      <c r="M60" s="5"/>
      <c r="N60" s="5">
        <f t="shared" si="2"/>
        <v>1960</v>
      </c>
      <c r="O60" s="5">
        <f t="shared" si="3"/>
        <v>0</v>
      </c>
      <c r="P60" s="5">
        <f>Table14[[#This Row],[Enrolment S.Y. 2025-2026 ]]*8</f>
        <v>1960</v>
      </c>
      <c r="Q60" s="5">
        <v>50</v>
      </c>
      <c r="R60" s="1">
        <v>2025</v>
      </c>
      <c r="S60" s="5" t="s">
        <v>116</v>
      </c>
      <c r="T60" s="5">
        <f t="shared" si="4"/>
        <v>1910</v>
      </c>
      <c r="U60" s="5">
        <f t="shared" si="5"/>
        <v>0</v>
      </c>
      <c r="V60" s="5">
        <f>Table14[[#This Row],[Enrolment S.Y. 2025-2026 ]]*8</f>
        <v>1960</v>
      </c>
      <c r="W60" s="5">
        <v>50</v>
      </c>
      <c r="X60" s="1">
        <v>2025</v>
      </c>
      <c r="Y60" s="5" t="s">
        <v>116</v>
      </c>
      <c r="Z60" s="5">
        <f t="shared" si="6"/>
        <v>1910</v>
      </c>
      <c r="AA60" s="5">
        <f t="shared" si="7"/>
        <v>0</v>
      </c>
    </row>
    <row r="61" spans="1:27" ht="19.5">
      <c r="A61" s="37">
        <v>6</v>
      </c>
      <c r="B61" s="9" t="s">
        <v>112</v>
      </c>
      <c r="C61" s="5">
        <v>245</v>
      </c>
      <c r="D61" s="5">
        <f>Table14[[#This Row],[Enrolment S.Y. 2025-2026 ]]*8</f>
        <v>1960</v>
      </c>
      <c r="E61" s="5"/>
      <c r="F61" s="1"/>
      <c r="G61" s="5"/>
      <c r="H61" s="5">
        <f>IF((D61-E61)&lt;0,0,(D61-E61))</f>
        <v>1960</v>
      </c>
      <c r="I61" s="5">
        <f>IF((E61-D61)&lt;0,0,(E61-D61))</f>
        <v>0</v>
      </c>
      <c r="J61" s="5">
        <f>Table14[[#This Row],[Enrolment S.Y. 2025-2026 ]]*8</f>
        <v>1960</v>
      </c>
      <c r="K61" s="5"/>
      <c r="L61" s="1"/>
      <c r="M61" s="5"/>
      <c r="N61" s="5">
        <f t="shared" ref="N61:N65" si="12">IF((J61-K61)&lt;0,0,(J61-K61))</f>
        <v>1960</v>
      </c>
      <c r="O61" s="5">
        <f t="shared" ref="O61:O65" si="13">IF((K61-J61)&lt;0,0,(K61-J61))</f>
        <v>0</v>
      </c>
      <c r="P61" s="5">
        <f>Table14[[#This Row],[Enrolment S.Y. 2025-2026 ]]*8</f>
        <v>1960</v>
      </c>
      <c r="Q61" s="5">
        <v>50</v>
      </c>
      <c r="R61" s="1">
        <v>2025</v>
      </c>
      <c r="S61" s="5" t="s">
        <v>116</v>
      </c>
      <c r="T61" s="5">
        <f>IF((P61-Q61)&lt;0,0,(P61-Q61))</f>
        <v>1910</v>
      </c>
      <c r="U61" s="5">
        <f>IF((Q61-P61)&lt;0,0,(Q61-P61))</f>
        <v>0</v>
      </c>
      <c r="V61" s="5">
        <f>Table14[[#This Row],[Enrolment S.Y. 2025-2026 ]]*8</f>
        <v>1960</v>
      </c>
      <c r="W61" s="5">
        <v>50</v>
      </c>
      <c r="X61" s="1">
        <v>2025</v>
      </c>
      <c r="Y61" s="5" t="s">
        <v>116</v>
      </c>
      <c r="Z61" s="5">
        <f>IF((V61-W61)&lt;0,0,(V61-W61))</f>
        <v>1910</v>
      </c>
      <c r="AA61" s="5">
        <f>IF((W61-V61)&lt;0,0,(W61-V61))</f>
        <v>0</v>
      </c>
    </row>
    <row r="62" spans="1:27" ht="19.5">
      <c r="A62" s="1">
        <v>6</v>
      </c>
      <c r="B62" s="9" t="s">
        <v>113</v>
      </c>
      <c r="C62" s="1">
        <v>245</v>
      </c>
      <c r="D62" s="5">
        <f>Table14[[#This Row],[Enrolment S.Y. 2025-2026 ]]*8</f>
        <v>1960</v>
      </c>
      <c r="E62" s="5"/>
      <c r="F62" s="1"/>
      <c r="G62" s="5"/>
      <c r="H62" s="5">
        <f t="shared" si="0"/>
        <v>1960</v>
      </c>
      <c r="I62" s="5">
        <f t="shared" si="1"/>
        <v>0</v>
      </c>
      <c r="J62" s="5">
        <f>Table14[[#This Row],[Enrolment S.Y. 2025-2026 ]]*8</f>
        <v>1960</v>
      </c>
      <c r="K62" s="5"/>
      <c r="L62" s="1"/>
      <c r="M62" s="5"/>
      <c r="N62" s="5">
        <f t="shared" si="12"/>
        <v>1960</v>
      </c>
      <c r="O62" s="5">
        <f t="shared" si="13"/>
        <v>0</v>
      </c>
      <c r="P62" s="5">
        <f>Table14[[#This Row],[Enrolment S.Y. 2025-2026 ]]*8</f>
        <v>1960</v>
      </c>
      <c r="Q62" s="5">
        <v>50</v>
      </c>
      <c r="R62" s="1">
        <v>2025</v>
      </c>
      <c r="S62" s="5" t="s">
        <v>116</v>
      </c>
      <c r="T62" s="5">
        <f t="shared" si="4"/>
        <v>1910</v>
      </c>
      <c r="U62" s="5">
        <f t="shared" si="5"/>
        <v>0</v>
      </c>
      <c r="V62" s="5">
        <f>Table14[[#This Row],[Enrolment S.Y. 2025-2026 ]]*8</f>
        <v>1960</v>
      </c>
      <c r="W62" s="5">
        <v>50</v>
      </c>
      <c r="X62" s="1">
        <v>2025</v>
      </c>
      <c r="Y62" s="5" t="s">
        <v>116</v>
      </c>
      <c r="Z62" s="5">
        <f t="shared" si="6"/>
        <v>1910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245</v>
      </c>
      <c r="D63" s="5">
        <f>Table14[[#This Row],[Enrolment S.Y. 2025-2026 ]]*8</f>
        <v>1960</v>
      </c>
      <c r="E63" s="5"/>
      <c r="F63" s="1"/>
      <c r="G63" s="5"/>
      <c r="H63" s="5">
        <f t="shared" si="0"/>
        <v>1960</v>
      </c>
      <c r="I63" s="5">
        <f t="shared" si="1"/>
        <v>0</v>
      </c>
      <c r="J63" s="5">
        <f>Table14[[#This Row],[Enrolment S.Y. 2025-2026 ]]*8</f>
        <v>1960</v>
      </c>
      <c r="K63" s="5"/>
      <c r="L63" s="1"/>
      <c r="M63" s="5"/>
      <c r="N63" s="5">
        <f t="shared" si="12"/>
        <v>1960</v>
      </c>
      <c r="O63" s="5">
        <f t="shared" si="13"/>
        <v>0</v>
      </c>
      <c r="P63" s="5">
        <f>Table14[[#This Row],[Enrolment S.Y. 2025-2026 ]]*8</f>
        <v>1960</v>
      </c>
      <c r="Q63" s="5">
        <v>50</v>
      </c>
      <c r="R63" s="1">
        <v>2025</v>
      </c>
      <c r="S63" s="5" t="s">
        <v>116</v>
      </c>
      <c r="T63" s="5">
        <f t="shared" si="4"/>
        <v>1910</v>
      </c>
      <c r="U63" s="5">
        <f t="shared" si="5"/>
        <v>0</v>
      </c>
      <c r="V63" s="5">
        <f>Table14[[#This Row],[Enrolment S.Y. 2025-2026 ]]*8</f>
        <v>1960</v>
      </c>
      <c r="W63" s="5">
        <v>50</v>
      </c>
      <c r="X63" s="1">
        <v>2025</v>
      </c>
      <c r="Y63" s="5" t="s">
        <v>116</v>
      </c>
      <c r="Z63" s="5">
        <f t="shared" si="6"/>
        <v>1910</v>
      </c>
      <c r="AA63" s="5">
        <f t="shared" si="7"/>
        <v>0</v>
      </c>
    </row>
    <row r="64" spans="1:27" ht="19.5">
      <c r="A64" s="37">
        <v>6</v>
      </c>
      <c r="B64" s="9" t="s">
        <v>114</v>
      </c>
      <c r="C64" s="5">
        <v>245</v>
      </c>
      <c r="D64" s="5">
        <f>Table14[[#This Row],[Enrolment S.Y. 2025-2026 ]]*8</f>
        <v>1960</v>
      </c>
      <c r="E64" s="5"/>
      <c r="F64" s="1"/>
      <c r="G64" s="5"/>
      <c r="H64" s="5">
        <f>IF((D64-E64)&lt;0,0,(D64-E64))</f>
        <v>1960</v>
      </c>
      <c r="I64" s="5">
        <f>IF((E64-D64)&lt;0,0,(E64-D64))</f>
        <v>0</v>
      </c>
      <c r="J64" s="5">
        <f>Table14[[#This Row],[Enrolment S.Y. 2025-2026 ]]*8</f>
        <v>1960</v>
      </c>
      <c r="K64" s="5"/>
      <c r="L64" s="1"/>
      <c r="M64" s="5"/>
      <c r="N64" s="5">
        <f t="shared" si="12"/>
        <v>1960</v>
      </c>
      <c r="O64" s="5">
        <f t="shared" si="13"/>
        <v>0</v>
      </c>
      <c r="P64" s="5">
        <f>Table14[[#This Row],[Enrolment S.Y. 2025-2026 ]]*8</f>
        <v>1960</v>
      </c>
      <c r="Q64" s="5">
        <v>50</v>
      </c>
      <c r="R64" s="1">
        <v>2025</v>
      </c>
      <c r="S64" s="5" t="s">
        <v>116</v>
      </c>
      <c r="T64" s="5">
        <f>IF((P64-Q64)&lt;0,0,(P64-Q64))</f>
        <v>1910</v>
      </c>
      <c r="U64" s="5">
        <f>IF((Q64-P64)&lt;0,0,(Q64-P64))</f>
        <v>0</v>
      </c>
      <c r="V64" s="5">
        <f>Table14[[#This Row],[Enrolment S.Y. 2025-2026 ]]*8</f>
        <v>1960</v>
      </c>
      <c r="W64" s="5">
        <v>50</v>
      </c>
      <c r="X64" s="1">
        <v>2025</v>
      </c>
      <c r="Y64" s="5" t="s">
        <v>116</v>
      </c>
      <c r="Z64" s="5">
        <f>IF((V64-W64)&lt;0,0,(V64-W64))</f>
        <v>1910</v>
      </c>
      <c r="AA64" s="5">
        <f>IF((W64-V64)&lt;0,0,(W64-V64))</f>
        <v>0</v>
      </c>
    </row>
    <row r="65" spans="1:27" ht="19.5">
      <c r="A65" s="1">
        <v>6</v>
      </c>
      <c r="B65" s="9" t="s">
        <v>115</v>
      </c>
      <c r="C65" s="1">
        <v>245</v>
      </c>
      <c r="D65" s="5">
        <f>Table14[[#This Row],[Enrolment S.Y. 2025-2026 ]]*8</f>
        <v>1960</v>
      </c>
      <c r="E65" s="5"/>
      <c r="F65" s="1"/>
      <c r="G65" s="5"/>
      <c r="H65" s="5">
        <f t="shared" si="0"/>
        <v>1960</v>
      </c>
      <c r="I65" s="5">
        <f t="shared" si="1"/>
        <v>0</v>
      </c>
      <c r="J65" s="5">
        <f>Table14[[#This Row],[Enrolment S.Y. 2025-2026 ]]*8</f>
        <v>1960</v>
      </c>
      <c r="K65" s="5"/>
      <c r="L65" s="1"/>
      <c r="M65" s="5"/>
      <c r="N65" s="5">
        <f t="shared" si="12"/>
        <v>1960</v>
      </c>
      <c r="O65" s="5">
        <f t="shared" si="13"/>
        <v>0</v>
      </c>
      <c r="P65" s="5">
        <f>Table14[[#This Row],[Enrolment S.Y. 2025-2026 ]]*8</f>
        <v>1960</v>
      </c>
      <c r="Q65" s="5">
        <v>50</v>
      </c>
      <c r="R65" s="1">
        <v>2025</v>
      </c>
      <c r="S65" s="5" t="s">
        <v>116</v>
      </c>
      <c r="T65" s="5">
        <f t="shared" si="4"/>
        <v>1910</v>
      </c>
      <c r="U65" s="5">
        <f t="shared" si="5"/>
        <v>0</v>
      </c>
      <c r="V65" s="5">
        <f>Table14[[#This Row],[Enrolment S.Y. 2025-2026 ]]*8</f>
        <v>1960</v>
      </c>
      <c r="W65" s="5">
        <v>50</v>
      </c>
      <c r="X65" s="1">
        <v>2025</v>
      </c>
      <c r="Y65" s="5" t="s">
        <v>116</v>
      </c>
      <c r="Z65" s="5">
        <f t="shared" si="6"/>
        <v>1910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112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113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114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115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112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113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114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115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112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113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114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115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112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113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114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115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2026-02-19T12:42:25Z</dcterms:modified>
  <cp:category/>
  <cp:contentStatus/>
</cp:coreProperties>
</file>