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" documentId="13_ncr:1_{BFB59F67-F0DC-4675-A682-EB0734A8026A}" xr6:coauthVersionLast="47" xr6:coauthVersionMax="47" xr10:uidLastSave="{75E6BA4F-60D7-4AFC-85B0-2B884F1197F6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H12" i="1"/>
  <c r="G12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4" i="1"/>
  <c r="G14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<sst xmlns="http://schemas.openxmlformats.org/spreadsheetml/2006/main" count="399" uniqueCount="94">
  <si>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</si>
  <si>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</si>
  <si>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</si>
  <si>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</si>
  <si>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</si>
  <si>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</si>
  <si>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</si>
  <si>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</si>
  <si>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</si>
  <si>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</si>
  <si>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</si>
  <si>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</si>
  <si>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</si>
  <si>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Filipino TX</t>
  </si>
  <si>
    <t>Filipino TM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</si>
  <si>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</si>
  <si>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</si>
  <si>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</si>
  <si>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</si>
  <si>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</si>
  <si>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</si>
  <si>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</si>
  <si>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</si>
  <si>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CO</t>
  </si>
  <si>
    <t>TLE</t>
  </si>
  <si>
    <t>AP</t>
  </si>
  <si>
    <t>SHS</t>
  </si>
  <si>
    <t>Personal Development</t>
  </si>
  <si>
    <t>N/A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</si>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</sst>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7" totalsRowShown="0" headerRowDxfId="62" headerRowBorderDxfId="60" tableBorderDxfId="61">
  <autoFilter ref="A1:H14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1" activePane="topRight" state="frozen"/>
      <selection pane="topRight" activeCell="C2" sqref="C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665</v>
      </c>
      <c r="D2" s="1"/>
      <c r="E2" s="1"/>
      <c r="F2" s="5"/>
      <c r="G2" s="3">
        <f>IF((C2-D2)&lt;0,0,C2-D2)</f>
        <v>665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665</v>
      </c>
      <c r="D3" s="1"/>
      <c r="E3" s="1"/>
      <c r="F3" s="5"/>
      <c r="G3" s="3">
        <f>IF((C3-D3)&lt;0,0,C3-D3)</f>
        <v>665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665</v>
      </c>
      <c r="D4" s="1"/>
      <c r="E4" s="1"/>
      <c r="F4" s="5"/>
      <c r="G4" s="3">
        <f>IF((C4-D4)&lt;0,0,C4-D4)</f>
        <v>665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665</v>
      </c>
      <c r="D5" s="1"/>
      <c r="E5" s="1"/>
      <c r="F5" s="5"/>
      <c r="G5" s="3">
        <f t="shared" ref="G5:G6" si="0">IF((C5-D5)&lt;0,0,C5-D5)</f>
        <v>665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665</v>
      </c>
      <c r="D6" s="1"/>
      <c r="E6" s="1"/>
      <c r="F6" s="5"/>
      <c r="G6" s="3">
        <f t="shared" si="0"/>
        <v>665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619</v>
      </c>
      <c r="D8" s="1"/>
      <c r="E8" s="1"/>
      <c r="F8" s="5"/>
      <c r="G8" s="3">
        <f>IF((C8-D8)&lt;0,0,C8-D8)</f>
        <v>619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619</v>
      </c>
      <c r="D9" s="1"/>
      <c r="E9" s="1"/>
      <c r="F9" s="5"/>
      <c r="G9" s="3">
        <f>IF((C9-D9)&lt;0,0,C9-D9)</f>
        <v>619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619</v>
      </c>
      <c r="D10" s="1"/>
      <c r="E10" s="1"/>
      <c r="F10" s="5"/>
      <c r="G10" s="3">
        <f>IF((C10-D10)&lt;0,0,C10-D10)</f>
        <v>619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619</v>
      </c>
      <c r="D11" s="1"/>
      <c r="E11" s="1"/>
      <c r="F11" s="5"/>
      <c r="G11" s="3">
        <f>IF((C11-D11)&lt;0,0,C11-D11)</f>
        <v>619</v>
      </c>
      <c r="H11" s="4">
        <f>IF((D11-C11)&lt;0,0,D11-C11)</f>
        <v>0</v>
      </c>
    </row>
    <row r="12" spans="1:8" ht="24" customHeight="1">
      <c r="A12" s="1">
        <v>2</v>
      </c>
      <c r="B12" s="2" t="s">
        <v>12</v>
      </c>
      <c r="C12" s="1">
        <v>619</v>
      </c>
      <c r="D12" s="1"/>
      <c r="E12" s="1"/>
      <c r="F12" s="5"/>
      <c r="G12" s="3">
        <f>IF((C12-D12)&lt;0,0,C12-D12)</f>
        <v>619</v>
      </c>
      <c r="H12" s="4">
        <f>IF((D12-C12)&lt;0,0,D12-C12)</f>
        <v>0</v>
      </c>
    </row>
    <row r="13" spans="1:8" ht="24" customHeight="1">
      <c r="A13" s="1">
        <v>2</v>
      </c>
      <c r="B13" s="2" t="s">
        <v>13</v>
      </c>
      <c r="C13" s="1">
        <v>619</v>
      </c>
      <c r="D13" s="1">
        <v>125</v>
      </c>
      <c r="E13" s="1"/>
      <c r="F13" s="5"/>
      <c r="G13" s="3">
        <f>IF((C13-D13)&lt;0,0,C13-D13)</f>
        <v>494</v>
      </c>
      <c r="H13" s="4">
        <f>IF((D13-C13)&lt;0,0,D13-C13)</f>
        <v>0</v>
      </c>
    </row>
    <row r="14" spans="1:8" ht="19.5">
      <c r="A14" s="1">
        <v>2</v>
      </c>
      <c r="B14" s="2" t="s">
        <v>14</v>
      </c>
      <c r="C14" s="1">
        <v>619</v>
      </c>
      <c r="D14" s="1">
        <v>12</v>
      </c>
      <c r="E14" s="1"/>
      <c r="F14" s="5"/>
      <c r="G14" s="3">
        <f>IF((C14-D14)&lt;0,0,C14-D14)</f>
        <v>607</v>
      </c>
      <c r="H14" s="4">
        <f>IF((D14-C14)&lt;0,0,D14-C14)</f>
        <v>0</v>
      </c>
    </row>
    <row r="15" spans="1:8">
      <c r="C15" s="6"/>
      <c r="D15" s="6"/>
      <c r="E15" s="6"/>
    </row>
    <row r="16" spans="1:8" ht="49.5" customHeight="1">
      <c r="A16" s="1">
        <v>3</v>
      </c>
      <c r="B16" s="2" t="s">
        <v>8</v>
      </c>
      <c r="C16" s="1">
        <v>706</v>
      </c>
      <c r="D16" s="1"/>
      <c r="E16" s="1"/>
      <c r="F16" s="5"/>
      <c r="G16" s="3">
        <f t="shared" ref="G16:G21" si="2">IF((C16-D16)&lt;0,0,C16-D16)</f>
        <v>706</v>
      </c>
      <c r="H16" s="4">
        <f t="shared" ref="H16:H21" si="3">IF((D16-C16)&lt;0,0,D16-C16)</f>
        <v>0</v>
      </c>
    </row>
    <row r="17" spans="1:8" ht="29.25" customHeight="1">
      <c r="A17" s="1">
        <v>3</v>
      </c>
      <c r="B17" s="2" t="s">
        <v>9</v>
      </c>
      <c r="C17" s="1">
        <v>706</v>
      </c>
      <c r="D17" s="1"/>
      <c r="E17" s="1"/>
      <c r="F17" s="5"/>
      <c r="G17" s="3">
        <f t="shared" si="2"/>
        <v>706</v>
      </c>
      <c r="H17" s="4">
        <f t="shared" si="3"/>
        <v>0</v>
      </c>
    </row>
    <row r="18" spans="1:8" ht="27" customHeight="1">
      <c r="A18" s="1">
        <v>3</v>
      </c>
      <c r="B18" s="2" t="s">
        <v>10</v>
      </c>
      <c r="C18" s="1">
        <v>706</v>
      </c>
      <c r="D18" s="1"/>
      <c r="E18" s="1"/>
      <c r="F18" s="5"/>
      <c r="G18" s="3">
        <f t="shared" si="2"/>
        <v>706</v>
      </c>
      <c r="H18" s="4">
        <f t="shared" si="3"/>
        <v>0</v>
      </c>
    </row>
    <row r="19" spans="1:8" ht="23.25" customHeight="1">
      <c r="A19" s="1">
        <v>3</v>
      </c>
      <c r="B19" s="2" t="s">
        <v>15</v>
      </c>
      <c r="C19" s="1">
        <v>706</v>
      </c>
      <c r="D19" s="1"/>
      <c r="E19" s="1"/>
      <c r="F19" s="5"/>
      <c r="G19" s="3">
        <f t="shared" si="2"/>
        <v>706</v>
      </c>
      <c r="H19" s="4">
        <f t="shared" si="3"/>
        <v>0</v>
      </c>
    </row>
    <row r="20" spans="1:8" ht="21" customHeight="1">
      <c r="A20" s="1">
        <v>3</v>
      </c>
      <c r="B20" s="2" t="s">
        <v>11</v>
      </c>
      <c r="C20" s="1">
        <v>706</v>
      </c>
      <c r="D20" s="1"/>
      <c r="E20" s="1"/>
      <c r="F20" s="5"/>
      <c r="G20" s="3">
        <f t="shared" si="2"/>
        <v>706</v>
      </c>
      <c r="H20" s="4">
        <f t="shared" si="3"/>
        <v>0</v>
      </c>
    </row>
    <row r="21" spans="1:8" ht="19.5">
      <c r="A21" s="1">
        <v>3</v>
      </c>
      <c r="B21" s="2" t="s">
        <v>12</v>
      </c>
      <c r="C21" s="1">
        <v>706</v>
      </c>
      <c r="D21" s="1"/>
      <c r="E21" s="1"/>
      <c r="F21" s="5"/>
      <c r="G21" s="3">
        <f t="shared" si="2"/>
        <v>706</v>
      </c>
      <c r="H21" s="4">
        <f t="shared" si="3"/>
        <v>0</v>
      </c>
    </row>
    <row r="22" spans="1:8">
      <c r="A22" s="7"/>
      <c r="B22" s="7"/>
      <c r="C22" s="8"/>
      <c r="D22" s="8"/>
      <c r="E22" s="8"/>
      <c r="F22" s="7"/>
      <c r="G22" s="7"/>
      <c r="H22" s="7"/>
    </row>
    <row r="23" spans="1:8" ht="28.5" customHeight="1">
      <c r="A23" s="1">
        <v>4</v>
      </c>
      <c r="B23" s="9" t="s">
        <v>16</v>
      </c>
      <c r="C23" s="1">
        <v>762</v>
      </c>
      <c r="D23" s="1"/>
      <c r="E23" s="1"/>
      <c r="F23" s="5"/>
      <c r="G23" s="3">
        <f t="shared" ref="G23:G31" si="4">IF((C23-D23)&lt;0,0,C23-D23)</f>
        <v>762</v>
      </c>
      <c r="H23" s="4">
        <f t="shared" ref="H23:H31" si="5">IF((D23-C23)&lt;0,0,D23-C23)</f>
        <v>0</v>
      </c>
    </row>
    <row r="24" spans="1:8" ht="24" customHeight="1">
      <c r="A24" s="1">
        <v>4</v>
      </c>
      <c r="B24" s="9" t="s">
        <v>17</v>
      </c>
      <c r="C24" s="1">
        <v>762</v>
      </c>
      <c r="D24" s="1"/>
      <c r="E24" s="1"/>
      <c r="F24" s="5"/>
      <c r="G24" s="3">
        <f t="shared" si="4"/>
        <v>762</v>
      </c>
      <c r="H24" s="4">
        <f t="shared" si="5"/>
        <v>0</v>
      </c>
    </row>
    <row r="25" spans="1:8" ht="19.5">
      <c r="A25" s="1">
        <v>4</v>
      </c>
      <c r="B25" s="9" t="s">
        <v>12</v>
      </c>
      <c r="C25" s="1">
        <v>762</v>
      </c>
      <c r="D25" s="1"/>
      <c r="E25" s="1"/>
      <c r="F25" s="5"/>
      <c r="G25" s="3">
        <f t="shared" si="4"/>
        <v>762</v>
      </c>
      <c r="H25" s="4">
        <f t="shared" si="5"/>
        <v>0</v>
      </c>
    </row>
    <row r="26" spans="1:8" ht="27" customHeight="1">
      <c r="A26" s="1">
        <v>4</v>
      </c>
      <c r="B26" s="9" t="s">
        <v>10</v>
      </c>
      <c r="C26" s="1">
        <v>762</v>
      </c>
      <c r="D26" s="1"/>
      <c r="E26" s="1"/>
      <c r="F26" s="5"/>
      <c r="G26" s="3">
        <f t="shared" si="4"/>
        <v>762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762</v>
      </c>
      <c r="D27" s="1"/>
      <c r="E27" s="1"/>
      <c r="F27" s="5"/>
      <c r="G27" s="3">
        <f t="shared" si="4"/>
        <v>762</v>
      </c>
      <c r="H27" s="4">
        <f t="shared" si="5"/>
        <v>0</v>
      </c>
    </row>
    <row r="28" spans="1:8" ht="33.75" customHeight="1">
      <c r="A28" s="1">
        <v>4</v>
      </c>
      <c r="B28" s="9" t="s">
        <v>15</v>
      </c>
      <c r="C28" s="1">
        <v>762</v>
      </c>
      <c r="D28" s="1"/>
      <c r="E28" s="1"/>
      <c r="F28" s="5"/>
      <c r="G28" s="3">
        <f t="shared" si="4"/>
        <v>762</v>
      </c>
      <c r="H28" s="4">
        <f t="shared" si="5"/>
        <v>0</v>
      </c>
    </row>
    <row r="29" spans="1:8" ht="33.75" customHeight="1">
      <c r="A29" s="1">
        <v>4</v>
      </c>
      <c r="B29" s="9" t="s">
        <v>19</v>
      </c>
      <c r="C29" s="1">
        <v>762</v>
      </c>
      <c r="D29" s="1"/>
      <c r="E29" s="1"/>
      <c r="F29" s="5"/>
      <c r="G29" s="3">
        <f t="shared" si="4"/>
        <v>762</v>
      </c>
      <c r="H29" s="4">
        <f t="shared" si="5"/>
        <v>0</v>
      </c>
    </row>
    <row r="30" spans="1:8" ht="27.75" customHeight="1">
      <c r="A30" s="1">
        <v>4</v>
      </c>
      <c r="B30" s="9" t="s">
        <v>20</v>
      </c>
      <c r="C30" s="1">
        <v>762</v>
      </c>
      <c r="D30" s="1"/>
      <c r="E30" s="1"/>
      <c r="F30" s="5"/>
      <c r="G30" s="3">
        <f t="shared" si="4"/>
        <v>762</v>
      </c>
      <c r="H30" s="4">
        <f t="shared" si="5"/>
        <v>0</v>
      </c>
    </row>
    <row r="31" spans="1:8" ht="27.75" customHeight="1">
      <c r="A31" s="1">
        <v>4</v>
      </c>
      <c r="B31" s="9" t="s">
        <v>21</v>
      </c>
      <c r="C31" s="1">
        <v>762</v>
      </c>
      <c r="D31" s="1"/>
      <c r="E31" s="1"/>
      <c r="F31" s="5"/>
      <c r="G31" s="3">
        <f t="shared" si="4"/>
        <v>762</v>
      </c>
      <c r="H31" s="4">
        <f t="shared" si="5"/>
        <v>0</v>
      </c>
    </row>
    <row r="32" spans="1:8" ht="27.75" customHeight="1">
      <c r="A32" s="7"/>
      <c r="B32" s="7"/>
      <c r="C32" s="8"/>
      <c r="D32" s="8"/>
      <c r="E32" s="8"/>
      <c r="F32" s="7"/>
      <c r="G32" s="7"/>
      <c r="H32" s="7"/>
    </row>
    <row r="33" spans="1:8" ht="27.75" customHeight="1">
      <c r="A33" s="1">
        <v>5</v>
      </c>
      <c r="B33" s="9" t="s">
        <v>16</v>
      </c>
      <c r="C33" s="1">
        <v>733</v>
      </c>
      <c r="D33" s="1"/>
      <c r="E33" s="1"/>
      <c r="F33" s="5"/>
      <c r="G33" s="3">
        <f t="shared" ref="G33:G41" si="6">IF((C33-D33)&lt;0,0,C33-D33)</f>
        <v>733</v>
      </c>
      <c r="H33" s="4">
        <f t="shared" ref="H33:H41" si="7">IF((D33-C33)&lt;0,0,D33-C33)</f>
        <v>0</v>
      </c>
    </row>
    <row r="34" spans="1:8" ht="27.75" customHeight="1">
      <c r="A34" s="1">
        <v>5</v>
      </c>
      <c r="B34" s="9" t="s">
        <v>17</v>
      </c>
      <c r="C34" s="1">
        <v>733</v>
      </c>
      <c r="D34" s="1"/>
      <c r="E34" s="1"/>
      <c r="F34" s="5"/>
      <c r="G34" s="3">
        <f t="shared" si="6"/>
        <v>733</v>
      </c>
      <c r="H34" s="4">
        <f t="shared" si="7"/>
        <v>0</v>
      </c>
    </row>
    <row r="35" spans="1:8" ht="27.75" customHeight="1">
      <c r="A35" s="1">
        <v>5</v>
      </c>
      <c r="B35" s="9" t="s">
        <v>12</v>
      </c>
      <c r="C35" s="1">
        <v>733</v>
      </c>
      <c r="D35" s="1"/>
      <c r="E35" s="1"/>
      <c r="F35" s="5"/>
      <c r="G35" s="3">
        <f t="shared" si="6"/>
        <v>733</v>
      </c>
      <c r="H35" s="4">
        <f t="shared" si="7"/>
        <v>0</v>
      </c>
    </row>
    <row r="36" spans="1:8" ht="27.75" customHeight="1">
      <c r="A36" s="1">
        <v>5</v>
      </c>
      <c r="B36" s="9" t="s">
        <v>10</v>
      </c>
      <c r="C36" s="1">
        <v>733</v>
      </c>
      <c r="D36" s="1"/>
      <c r="E36" s="1"/>
      <c r="F36" s="5"/>
      <c r="G36" s="3">
        <f t="shared" si="6"/>
        <v>733</v>
      </c>
      <c r="H36" s="4">
        <f t="shared" si="7"/>
        <v>0</v>
      </c>
    </row>
    <row r="37" spans="1:8" ht="39" customHeight="1">
      <c r="A37" s="1">
        <v>5</v>
      </c>
      <c r="B37" s="9" t="s">
        <v>18</v>
      </c>
      <c r="C37" s="1">
        <v>733</v>
      </c>
      <c r="D37" s="1"/>
      <c r="E37" s="1"/>
      <c r="F37" s="5"/>
      <c r="G37" s="3">
        <f t="shared" si="6"/>
        <v>733</v>
      </c>
      <c r="H37" s="4">
        <f t="shared" si="7"/>
        <v>0</v>
      </c>
    </row>
    <row r="38" spans="1:8" ht="27.75" customHeight="1">
      <c r="A38" s="1">
        <v>5</v>
      </c>
      <c r="B38" s="9" t="s">
        <v>15</v>
      </c>
      <c r="C38" s="1">
        <v>733</v>
      </c>
      <c r="D38" s="1"/>
      <c r="E38" s="1"/>
      <c r="F38" s="5"/>
      <c r="G38" s="3">
        <f t="shared" si="6"/>
        <v>733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733</v>
      </c>
      <c r="D39" s="1"/>
      <c r="E39" s="1"/>
      <c r="F39" s="5"/>
      <c r="G39" s="3">
        <f t="shared" si="6"/>
        <v>733</v>
      </c>
      <c r="H39" s="4">
        <f t="shared" si="7"/>
        <v>0</v>
      </c>
    </row>
    <row r="40" spans="1:8" ht="27.75" customHeight="1">
      <c r="A40" s="1">
        <v>5</v>
      </c>
      <c r="B40" s="9" t="s">
        <v>20</v>
      </c>
      <c r="C40" s="1">
        <v>733</v>
      </c>
      <c r="D40" s="1"/>
      <c r="E40" s="1"/>
      <c r="F40" s="5"/>
      <c r="G40" s="3">
        <f t="shared" si="6"/>
        <v>733</v>
      </c>
      <c r="H40" s="4">
        <f t="shared" si="7"/>
        <v>0</v>
      </c>
    </row>
    <row r="41" spans="1:8" ht="27.75" customHeight="1">
      <c r="A41" s="1">
        <v>5</v>
      </c>
      <c r="B41" s="9" t="s">
        <v>21</v>
      </c>
      <c r="C41" s="1">
        <v>733</v>
      </c>
      <c r="D41" s="1"/>
      <c r="E41" s="1"/>
      <c r="F41" s="5"/>
      <c r="G41" s="3">
        <f t="shared" si="6"/>
        <v>733</v>
      </c>
      <c r="H41" s="4">
        <f t="shared" si="7"/>
        <v>0</v>
      </c>
    </row>
    <row r="42" spans="1:8" ht="27.75" customHeight="1">
      <c r="A42" s="7"/>
      <c r="B42" s="7"/>
      <c r="C42" s="8"/>
      <c r="D42" s="8"/>
      <c r="E42" s="8"/>
      <c r="F42" s="7"/>
      <c r="G42" s="7"/>
      <c r="H42" s="7"/>
    </row>
    <row r="43" spans="1:8" ht="27.75" customHeight="1">
      <c r="A43" s="1">
        <v>6</v>
      </c>
      <c r="B43" s="9" t="s">
        <v>16</v>
      </c>
      <c r="C43" s="1">
        <v>728</v>
      </c>
      <c r="D43" s="1"/>
      <c r="E43" s="1"/>
      <c r="F43" s="5"/>
      <c r="G43" s="3">
        <f t="shared" ref="G43:G51" si="8">IF((C43-D43)&lt;0,0,C43-D43)</f>
        <v>728</v>
      </c>
      <c r="H43" s="4">
        <f t="shared" ref="H43:H51" si="9">IF((D43-C43)&lt;0,0,D43-C43)</f>
        <v>0</v>
      </c>
    </row>
    <row r="44" spans="1:8" ht="27.75" customHeight="1">
      <c r="A44" s="1">
        <v>6</v>
      </c>
      <c r="B44" s="9" t="s">
        <v>17</v>
      </c>
      <c r="C44" s="1">
        <v>728</v>
      </c>
      <c r="D44" s="1"/>
      <c r="E44" s="1"/>
      <c r="F44" s="5"/>
      <c r="G44" s="3">
        <f t="shared" si="8"/>
        <v>728</v>
      </c>
      <c r="H44" s="4">
        <f t="shared" si="9"/>
        <v>0</v>
      </c>
    </row>
    <row r="45" spans="1:8" ht="27.75" customHeight="1">
      <c r="A45" s="1">
        <v>6</v>
      </c>
      <c r="B45" s="9" t="s">
        <v>12</v>
      </c>
      <c r="C45" s="1">
        <v>728</v>
      </c>
      <c r="D45" s="1"/>
      <c r="E45" s="1"/>
      <c r="F45" s="5"/>
      <c r="G45" s="3">
        <f t="shared" si="8"/>
        <v>728</v>
      </c>
      <c r="H45" s="4">
        <f t="shared" si="9"/>
        <v>0</v>
      </c>
    </row>
    <row r="46" spans="1:8" ht="27.75" customHeight="1">
      <c r="A46" s="1">
        <v>6</v>
      </c>
      <c r="B46" s="9" t="s">
        <v>10</v>
      </c>
      <c r="C46" s="1">
        <v>728</v>
      </c>
      <c r="D46" s="1"/>
      <c r="E46" s="1"/>
      <c r="F46" s="5"/>
      <c r="G46" s="3">
        <f t="shared" si="8"/>
        <v>728</v>
      </c>
      <c r="H46" s="4">
        <f t="shared" si="9"/>
        <v>0</v>
      </c>
    </row>
    <row r="47" spans="1:8" ht="36.75" customHeight="1">
      <c r="A47" s="1">
        <v>6</v>
      </c>
      <c r="B47" s="9" t="s">
        <v>18</v>
      </c>
      <c r="C47" s="1">
        <v>728</v>
      </c>
      <c r="D47" s="1"/>
      <c r="E47" s="1"/>
      <c r="F47" s="5"/>
      <c r="G47" s="3">
        <f t="shared" si="8"/>
        <v>728</v>
      </c>
      <c r="H47" s="4">
        <f t="shared" si="9"/>
        <v>0</v>
      </c>
    </row>
    <row r="48" spans="1:8" ht="27.75" customHeight="1">
      <c r="A48" s="1">
        <v>6</v>
      </c>
      <c r="B48" s="9" t="s">
        <v>15</v>
      </c>
      <c r="C48" s="1">
        <v>728</v>
      </c>
      <c r="D48" s="1"/>
      <c r="E48" s="1"/>
      <c r="F48" s="5"/>
      <c r="G48" s="3">
        <f t="shared" si="8"/>
        <v>728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728</v>
      </c>
      <c r="D49" s="1"/>
      <c r="E49" s="1"/>
      <c r="F49" s="5"/>
      <c r="G49" s="3">
        <f t="shared" si="8"/>
        <v>728</v>
      </c>
      <c r="H49" s="4">
        <f t="shared" si="9"/>
        <v>0</v>
      </c>
    </row>
    <row r="50" spans="1:8" ht="27.75" customHeight="1">
      <c r="A50" s="1">
        <v>6</v>
      </c>
      <c r="B50" s="9" t="s">
        <v>20</v>
      </c>
      <c r="C50" s="1">
        <v>728</v>
      </c>
      <c r="D50" s="1"/>
      <c r="E50" s="1"/>
      <c r="F50" s="5"/>
      <c r="G50" s="3">
        <f t="shared" si="8"/>
        <v>728</v>
      </c>
      <c r="H50" s="4">
        <f t="shared" si="9"/>
        <v>0</v>
      </c>
    </row>
    <row r="51" spans="1:8" ht="27.75" customHeight="1">
      <c r="A51" s="1">
        <v>6</v>
      </c>
      <c r="B51" s="9" t="s">
        <v>21</v>
      </c>
      <c r="C51" s="1">
        <v>728</v>
      </c>
      <c r="D51" s="1"/>
      <c r="E51" s="1"/>
      <c r="F51" s="5"/>
      <c r="G51" s="3">
        <f t="shared" si="8"/>
        <v>728</v>
      </c>
      <c r="H51" s="4">
        <f t="shared" si="9"/>
        <v>0</v>
      </c>
    </row>
    <row r="52" spans="1:8" ht="27.75" customHeight="1">
      <c r="A52" s="7"/>
      <c r="B52" s="7"/>
      <c r="C52" s="8"/>
      <c r="D52" s="8"/>
      <c r="E52" s="8"/>
      <c r="F52" s="7"/>
      <c r="G52" s="7"/>
      <c r="H52" s="7"/>
    </row>
    <row r="53" spans="1:8" ht="27.75" customHeight="1">
      <c r="A53" s="10">
        <v>7</v>
      </c>
      <c r="B53" s="11" t="s">
        <v>16</v>
      </c>
      <c r="C53" s="10">
        <v>936</v>
      </c>
      <c r="D53" s="10"/>
      <c r="E53" s="10"/>
      <c r="F53" s="12"/>
      <c r="G53" s="3">
        <f t="shared" ref="G53:G61" si="10">IF((C53-D53)&lt;0,0,C53-D53)</f>
        <v>936</v>
      </c>
      <c r="H53" s="4">
        <f t="shared" ref="H53:H61" si="11">IF((D53-C53)&lt;0,0,D53-C53)</f>
        <v>0</v>
      </c>
    </row>
    <row r="54" spans="1:8" ht="27.75" customHeight="1">
      <c r="A54" s="10">
        <v>7</v>
      </c>
      <c r="B54" s="11" t="s">
        <v>17</v>
      </c>
      <c r="C54" s="10">
        <v>936</v>
      </c>
      <c r="D54" s="10"/>
      <c r="E54" s="10"/>
      <c r="F54" s="12"/>
      <c r="G54" s="3">
        <f t="shared" si="10"/>
        <v>936</v>
      </c>
      <c r="H54" s="4">
        <f t="shared" si="11"/>
        <v>0</v>
      </c>
    </row>
    <row r="55" spans="1:8" ht="27.75" customHeight="1">
      <c r="A55" s="10">
        <v>7</v>
      </c>
      <c r="B55" s="11" t="s">
        <v>12</v>
      </c>
      <c r="C55" s="10">
        <v>936</v>
      </c>
      <c r="D55" s="10"/>
      <c r="E55" s="10"/>
      <c r="F55" s="12"/>
      <c r="G55" s="3">
        <f t="shared" si="10"/>
        <v>936</v>
      </c>
      <c r="H55" s="4">
        <f t="shared" si="11"/>
        <v>0</v>
      </c>
    </row>
    <row r="56" spans="1:8" ht="27.75" customHeight="1">
      <c r="A56" s="10">
        <v>7</v>
      </c>
      <c r="B56" s="11" t="s">
        <v>22</v>
      </c>
      <c r="C56" s="10">
        <v>936</v>
      </c>
      <c r="D56" s="10">
        <v>1142</v>
      </c>
      <c r="E56" s="10">
        <v>2025</v>
      </c>
      <c r="F56" s="12" t="s">
        <v>23</v>
      </c>
      <c r="G56" s="3">
        <f t="shared" si="10"/>
        <v>0</v>
      </c>
      <c r="H56" s="4">
        <f t="shared" si="11"/>
        <v>206</v>
      </c>
    </row>
    <row r="57" spans="1:8" ht="39" customHeight="1">
      <c r="A57" s="10">
        <v>7</v>
      </c>
      <c r="B57" s="11" t="s">
        <v>18</v>
      </c>
      <c r="C57" s="10">
        <v>936</v>
      </c>
      <c r="D57" s="10"/>
      <c r="E57" s="10"/>
      <c r="F57" s="12"/>
      <c r="G57" s="3">
        <f t="shared" si="10"/>
        <v>936</v>
      </c>
      <c r="H57" s="4">
        <f t="shared" si="11"/>
        <v>0</v>
      </c>
    </row>
    <row r="58" spans="1:8" ht="27.75" customHeight="1">
      <c r="A58" s="10">
        <v>7</v>
      </c>
      <c r="B58" s="11" t="s">
        <v>15</v>
      </c>
      <c r="C58" s="10">
        <v>936</v>
      </c>
      <c r="D58" s="10"/>
      <c r="E58" s="10"/>
      <c r="F58" s="12"/>
      <c r="G58" s="3">
        <f t="shared" si="10"/>
        <v>936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936</v>
      </c>
      <c r="D59" s="10"/>
      <c r="E59" s="10"/>
      <c r="F59" s="12"/>
      <c r="G59" s="3">
        <f t="shared" si="10"/>
        <v>936</v>
      </c>
      <c r="H59" s="4">
        <f t="shared" si="11"/>
        <v>0</v>
      </c>
    </row>
    <row r="60" spans="1:8" ht="27.75" customHeight="1">
      <c r="A60" s="10">
        <v>7</v>
      </c>
      <c r="B60" s="11" t="s">
        <v>24</v>
      </c>
      <c r="C60" s="10">
        <v>936</v>
      </c>
      <c r="D60" s="10"/>
      <c r="E60" s="10"/>
      <c r="F60" s="12"/>
      <c r="G60" s="3">
        <f t="shared" si="10"/>
        <v>936</v>
      </c>
      <c r="H60" s="4">
        <f t="shared" si="11"/>
        <v>0</v>
      </c>
    </row>
    <row r="61" spans="1:8" ht="27.75" customHeight="1">
      <c r="A61" s="10">
        <v>7</v>
      </c>
      <c r="B61" s="11" t="s">
        <v>21</v>
      </c>
      <c r="C61" s="10">
        <v>936</v>
      </c>
      <c r="D61" s="10"/>
      <c r="E61" s="10"/>
      <c r="F61" s="12"/>
      <c r="G61" s="3">
        <f t="shared" si="10"/>
        <v>936</v>
      </c>
      <c r="H61" s="4">
        <f t="shared" si="11"/>
        <v>0</v>
      </c>
    </row>
    <row r="62" spans="1:8" ht="27.75" customHeight="1">
      <c r="A62" s="7"/>
      <c r="B62" s="7"/>
      <c r="C62" s="8"/>
      <c r="D62" s="8"/>
      <c r="E62" s="8"/>
      <c r="F62" s="7"/>
      <c r="G62" s="7"/>
      <c r="H62" s="7"/>
    </row>
    <row r="63" spans="1:8" ht="27.75" customHeight="1">
      <c r="A63" s="10">
        <v>8</v>
      </c>
      <c r="B63" s="11" t="s">
        <v>16</v>
      </c>
      <c r="C63" s="10">
        <v>875</v>
      </c>
      <c r="D63" s="10"/>
      <c r="E63" s="10"/>
      <c r="F63" s="12"/>
      <c r="G63" s="3">
        <f t="shared" ref="G63:G71" si="12">IF((C63-D63)&lt;0,0,C63-D63)</f>
        <v>875</v>
      </c>
      <c r="H63" s="4">
        <f t="shared" ref="H63:H71" si="13">IF((D63-C63)&lt;0,0,D63-C63)</f>
        <v>0</v>
      </c>
    </row>
    <row r="64" spans="1:8" ht="27.75" customHeight="1">
      <c r="A64" s="10">
        <v>8</v>
      </c>
      <c r="B64" s="11" t="s">
        <v>17</v>
      </c>
      <c r="C64" s="10">
        <v>875</v>
      </c>
      <c r="D64" s="10"/>
      <c r="E64" s="10"/>
      <c r="F64" s="12"/>
      <c r="G64" s="3">
        <f t="shared" si="12"/>
        <v>875</v>
      </c>
      <c r="H64" s="4">
        <f t="shared" si="13"/>
        <v>0</v>
      </c>
    </row>
    <row r="65" spans="1:8" ht="27.75" customHeight="1">
      <c r="A65" s="10">
        <v>8</v>
      </c>
      <c r="B65" s="11" t="s">
        <v>12</v>
      </c>
      <c r="C65" s="10">
        <v>875</v>
      </c>
      <c r="D65" s="10"/>
      <c r="E65" s="10"/>
      <c r="F65" s="12"/>
      <c r="G65" s="3">
        <f t="shared" si="12"/>
        <v>875</v>
      </c>
      <c r="H65" s="4">
        <f t="shared" si="13"/>
        <v>0</v>
      </c>
    </row>
    <row r="66" spans="1:8" ht="27.75" customHeight="1">
      <c r="A66" s="10">
        <v>8</v>
      </c>
      <c r="B66" s="11" t="s">
        <v>22</v>
      </c>
      <c r="C66" s="10">
        <v>875</v>
      </c>
      <c r="D66" s="10"/>
      <c r="E66" s="10"/>
      <c r="F66" s="12"/>
      <c r="G66" s="3">
        <f t="shared" si="12"/>
        <v>875</v>
      </c>
      <c r="H66" s="4">
        <f t="shared" si="13"/>
        <v>0</v>
      </c>
    </row>
    <row r="67" spans="1:8" ht="27.75" customHeight="1">
      <c r="A67" s="10">
        <v>8</v>
      </c>
      <c r="B67" s="11" t="s">
        <v>25</v>
      </c>
      <c r="C67" s="10">
        <v>875</v>
      </c>
      <c r="D67" s="10"/>
      <c r="E67" s="10"/>
      <c r="F67" s="12"/>
      <c r="G67" s="3">
        <f t="shared" si="12"/>
        <v>875</v>
      </c>
      <c r="H67" s="4">
        <f t="shared" si="13"/>
        <v>0</v>
      </c>
    </row>
    <row r="68" spans="1:8" ht="27.75" customHeight="1">
      <c r="A68" s="10">
        <v>8</v>
      </c>
      <c r="B68" s="11" t="s">
        <v>15</v>
      </c>
      <c r="C68" s="10">
        <v>875</v>
      </c>
      <c r="D68" s="10"/>
      <c r="E68" s="10"/>
      <c r="F68" s="12"/>
      <c r="G68" s="3">
        <f t="shared" si="12"/>
        <v>875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875</v>
      </c>
      <c r="D69" s="10"/>
      <c r="E69" s="10"/>
      <c r="F69" s="12"/>
      <c r="G69" s="3">
        <f t="shared" si="12"/>
        <v>875</v>
      </c>
      <c r="H69" s="4">
        <f t="shared" si="13"/>
        <v>0</v>
      </c>
    </row>
    <row r="70" spans="1:8" ht="27.75" customHeight="1">
      <c r="A70" s="10">
        <v>8</v>
      </c>
      <c r="B70" s="11" t="s">
        <v>24</v>
      </c>
      <c r="C70" s="10">
        <v>875</v>
      </c>
      <c r="D70" s="10"/>
      <c r="E70" s="10"/>
      <c r="F70" s="12"/>
      <c r="G70" s="3">
        <f t="shared" si="12"/>
        <v>875</v>
      </c>
      <c r="H70" s="4">
        <f t="shared" si="13"/>
        <v>0</v>
      </c>
    </row>
    <row r="71" spans="1:8" ht="27.75" customHeight="1">
      <c r="A71" s="10">
        <v>8</v>
      </c>
      <c r="B71" s="11" t="s">
        <v>21</v>
      </c>
      <c r="C71" s="10">
        <v>875</v>
      </c>
      <c r="D71" s="10"/>
      <c r="E71" s="10"/>
      <c r="F71" s="12"/>
      <c r="G71" s="3">
        <f t="shared" si="12"/>
        <v>875</v>
      </c>
      <c r="H71" s="4">
        <f t="shared" si="13"/>
        <v>0</v>
      </c>
    </row>
    <row r="72" spans="1:8" ht="27.75" customHeight="1">
      <c r="A72" s="7"/>
      <c r="B72" s="7"/>
      <c r="C72" s="8"/>
      <c r="D72" s="8"/>
      <c r="E72" s="8"/>
      <c r="F72" s="7"/>
      <c r="G72" s="7"/>
      <c r="H72" s="7"/>
    </row>
    <row r="73" spans="1:8" ht="27.75" customHeight="1">
      <c r="A73" s="10">
        <v>9</v>
      </c>
      <c r="B73" s="11" t="s">
        <v>16</v>
      </c>
      <c r="C73" s="10">
        <v>703</v>
      </c>
      <c r="D73" s="10"/>
      <c r="E73" s="10"/>
      <c r="F73" s="12"/>
      <c r="G73" s="3">
        <f t="shared" ref="G73:G81" si="14">IF((C73-D73)&lt;0,0,C73-D73)</f>
        <v>703</v>
      </c>
      <c r="H73" s="4">
        <f t="shared" ref="H73:H81" si="15">IF((D73-C73)&lt;0,0,D73-C73)</f>
        <v>0</v>
      </c>
    </row>
    <row r="74" spans="1:8" ht="27.75" customHeight="1">
      <c r="A74" s="10">
        <v>9</v>
      </c>
      <c r="B74" s="11" t="s">
        <v>17</v>
      </c>
      <c r="C74" s="10">
        <v>703</v>
      </c>
      <c r="D74" s="10"/>
      <c r="E74" s="10"/>
      <c r="F74" s="12"/>
      <c r="G74" s="3">
        <f t="shared" si="14"/>
        <v>703</v>
      </c>
      <c r="H74" s="4">
        <f t="shared" si="15"/>
        <v>0</v>
      </c>
    </row>
    <row r="75" spans="1:8" ht="27.75" customHeight="1">
      <c r="A75" s="10">
        <v>9</v>
      </c>
      <c r="B75" s="11" t="s">
        <v>12</v>
      </c>
      <c r="C75" s="10">
        <v>703</v>
      </c>
      <c r="D75" s="10"/>
      <c r="E75" s="10"/>
      <c r="F75" s="12"/>
      <c r="G75" s="3">
        <f t="shared" si="14"/>
        <v>703</v>
      </c>
      <c r="H75" s="4">
        <f t="shared" si="15"/>
        <v>0</v>
      </c>
    </row>
    <row r="76" spans="1:8" ht="27.75" customHeight="1">
      <c r="A76" s="10">
        <v>9</v>
      </c>
      <c r="B76" s="11" t="s">
        <v>22</v>
      </c>
      <c r="C76" s="10">
        <v>703</v>
      </c>
      <c r="D76" s="10"/>
      <c r="E76" s="10"/>
      <c r="F76" s="12"/>
      <c r="G76" s="3">
        <f t="shared" si="14"/>
        <v>703</v>
      </c>
      <c r="H76" s="4">
        <f t="shared" si="15"/>
        <v>0</v>
      </c>
    </row>
    <row r="77" spans="1:8" ht="27.75" customHeight="1">
      <c r="A77" s="10">
        <v>9</v>
      </c>
      <c r="B77" s="11" t="s">
        <v>25</v>
      </c>
      <c r="C77" s="10">
        <v>703</v>
      </c>
      <c r="D77" s="10"/>
      <c r="E77" s="10"/>
      <c r="F77" s="12"/>
      <c r="G77" s="3">
        <f t="shared" si="14"/>
        <v>703</v>
      </c>
      <c r="H77" s="4">
        <f t="shared" si="15"/>
        <v>0</v>
      </c>
    </row>
    <row r="78" spans="1:8" ht="27.75" customHeight="1">
      <c r="A78" s="10">
        <v>9</v>
      </c>
      <c r="B78" s="11" t="s">
        <v>15</v>
      </c>
      <c r="C78" s="10">
        <v>703</v>
      </c>
      <c r="D78" s="10"/>
      <c r="E78" s="10"/>
      <c r="F78" s="12"/>
      <c r="G78" s="3">
        <f t="shared" si="14"/>
        <v>703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703</v>
      </c>
      <c r="D79" s="10"/>
      <c r="E79" s="10"/>
      <c r="F79" s="12"/>
      <c r="G79" s="3">
        <f t="shared" si="14"/>
        <v>703</v>
      </c>
      <c r="H79" s="4">
        <f t="shared" si="15"/>
        <v>0</v>
      </c>
    </row>
    <row r="80" spans="1:8" ht="27.75" customHeight="1">
      <c r="A80" s="10">
        <v>9</v>
      </c>
      <c r="B80" s="11" t="s">
        <v>24</v>
      </c>
      <c r="C80" s="10">
        <v>703</v>
      </c>
      <c r="D80" s="10"/>
      <c r="E80" s="10"/>
      <c r="F80" s="12"/>
      <c r="G80" s="3">
        <f t="shared" si="14"/>
        <v>703</v>
      </c>
      <c r="H80" s="4">
        <f t="shared" si="15"/>
        <v>0</v>
      </c>
    </row>
    <row r="81" spans="1:8" ht="27.75" customHeight="1">
      <c r="A81" s="10">
        <v>9</v>
      </c>
      <c r="B81" s="11" t="s">
        <v>21</v>
      </c>
      <c r="C81" s="10">
        <v>703</v>
      </c>
      <c r="D81" s="10"/>
      <c r="E81" s="10"/>
      <c r="F81" s="12"/>
      <c r="G81" s="3">
        <f t="shared" si="14"/>
        <v>703</v>
      </c>
      <c r="H81" s="4">
        <f t="shared" si="15"/>
        <v>0</v>
      </c>
    </row>
    <row r="82" spans="1:8" ht="27.75" customHeight="1">
      <c r="A82" s="7"/>
      <c r="B82" s="8"/>
      <c r="C82" s="8"/>
      <c r="D82" s="8"/>
      <c r="E82" s="8"/>
      <c r="F82" s="7"/>
      <c r="G82" s="7"/>
      <c r="H82" s="7"/>
    </row>
    <row r="83" spans="1:8" ht="27.75" customHeight="1">
      <c r="A83" s="10">
        <v>10</v>
      </c>
      <c r="B83" s="11" t="s">
        <v>16</v>
      </c>
      <c r="C83" s="10">
        <v>897</v>
      </c>
      <c r="D83" s="10"/>
      <c r="E83" s="10"/>
      <c r="F83" s="12"/>
      <c r="G83" s="3">
        <f t="shared" ref="G83:G91" si="16">IF((C83-D83)&lt;0,0,C83-D83)</f>
        <v>897</v>
      </c>
      <c r="H83" s="4">
        <f t="shared" ref="H83:H91" si="17">IF((D83-C83)&lt;0,0,D83-C83)</f>
        <v>0</v>
      </c>
    </row>
    <row r="84" spans="1:8" ht="27.75" customHeight="1">
      <c r="A84" s="10">
        <v>10</v>
      </c>
      <c r="B84" s="11" t="s">
        <v>17</v>
      </c>
      <c r="C84" s="10">
        <v>897</v>
      </c>
      <c r="D84" s="10"/>
      <c r="E84" s="10"/>
      <c r="F84" s="12"/>
      <c r="G84" s="3">
        <f t="shared" si="16"/>
        <v>897</v>
      </c>
      <c r="H84" s="4">
        <f t="shared" si="17"/>
        <v>0</v>
      </c>
    </row>
    <row r="85" spans="1:8" ht="27.75" customHeight="1">
      <c r="A85" s="10">
        <v>10</v>
      </c>
      <c r="B85" s="11" t="s">
        <v>12</v>
      </c>
      <c r="C85" s="10">
        <v>897</v>
      </c>
      <c r="D85" s="10"/>
      <c r="E85" s="10"/>
      <c r="F85" s="12"/>
      <c r="G85" s="3">
        <f t="shared" si="16"/>
        <v>897</v>
      </c>
      <c r="H85" s="4">
        <f t="shared" si="17"/>
        <v>0</v>
      </c>
    </row>
    <row r="86" spans="1:8" ht="27.75" customHeight="1">
      <c r="A86" s="10">
        <v>10</v>
      </c>
      <c r="B86" s="11" t="s">
        <v>22</v>
      </c>
      <c r="C86" s="10">
        <v>897</v>
      </c>
      <c r="D86" s="10"/>
      <c r="E86" s="10"/>
      <c r="F86" s="12"/>
      <c r="G86" s="3">
        <f t="shared" si="16"/>
        <v>897</v>
      </c>
      <c r="H86" s="4">
        <f t="shared" si="17"/>
        <v>0</v>
      </c>
    </row>
    <row r="87" spans="1:8" ht="27.75" customHeight="1">
      <c r="A87" s="10">
        <v>10</v>
      </c>
      <c r="B87" s="11" t="s">
        <v>25</v>
      </c>
      <c r="C87" s="10">
        <v>897</v>
      </c>
      <c r="D87" s="10"/>
      <c r="E87" s="10"/>
      <c r="F87" s="12"/>
      <c r="G87" s="3">
        <f t="shared" si="16"/>
        <v>897</v>
      </c>
      <c r="H87" s="4">
        <f t="shared" si="17"/>
        <v>0</v>
      </c>
    </row>
    <row r="88" spans="1:8" ht="27.75" customHeight="1">
      <c r="A88" s="10">
        <v>10</v>
      </c>
      <c r="B88" s="11" t="s">
        <v>15</v>
      </c>
      <c r="C88" s="10">
        <v>897</v>
      </c>
      <c r="D88" s="10"/>
      <c r="E88" s="10"/>
      <c r="F88" s="12"/>
      <c r="G88" s="3">
        <f t="shared" si="16"/>
        <v>897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897</v>
      </c>
      <c r="D89" s="10"/>
      <c r="E89" s="10"/>
      <c r="F89" s="12"/>
      <c r="G89" s="3">
        <f t="shared" si="16"/>
        <v>897</v>
      </c>
      <c r="H89" s="4">
        <f t="shared" si="17"/>
        <v>0</v>
      </c>
    </row>
    <row r="90" spans="1:8" ht="27.75" customHeight="1">
      <c r="A90" s="10">
        <v>10</v>
      </c>
      <c r="B90" s="11" t="s">
        <v>24</v>
      </c>
      <c r="C90" s="10">
        <v>897</v>
      </c>
      <c r="D90" s="10"/>
      <c r="E90" s="10"/>
      <c r="F90" s="12"/>
      <c r="G90" s="3">
        <f t="shared" si="16"/>
        <v>897</v>
      </c>
      <c r="H90" s="4">
        <f t="shared" si="17"/>
        <v>0</v>
      </c>
    </row>
    <row r="91" spans="1:8" ht="27.75" customHeight="1">
      <c r="A91" s="10">
        <v>10</v>
      </c>
      <c r="B91" s="11" t="s">
        <v>21</v>
      </c>
      <c r="C91" s="10">
        <v>897</v>
      </c>
      <c r="D91" s="10"/>
      <c r="E91" s="10"/>
      <c r="F91" s="12"/>
      <c r="G91" s="3">
        <f t="shared" si="16"/>
        <v>897</v>
      </c>
      <c r="H91" s="4">
        <f t="shared" si="17"/>
        <v>0</v>
      </c>
    </row>
    <row r="92" spans="1:8" ht="27.75" customHeight="1">
      <c r="A92" s="7"/>
      <c r="B92" s="7"/>
      <c r="C92" s="8"/>
      <c r="D92" s="8"/>
      <c r="E92" s="8"/>
      <c r="F92" s="7"/>
      <c r="G92" s="7"/>
      <c r="H92" s="7"/>
    </row>
    <row r="93" spans="1:8" ht="39.75" customHeight="1">
      <c r="A93" s="1" t="s">
        <v>26</v>
      </c>
      <c r="B93" s="9" t="s">
        <v>27</v>
      </c>
      <c r="C93" s="1" t="s">
        <v>28</v>
      </c>
      <c r="D93" s="1"/>
      <c r="E93" s="1"/>
      <c r="F93" s="5"/>
      <c r="G93" s="3" t="e">
        <f t="shared" ref="G93:G100" si="18">IF((C93-D93)&lt;0,0,C93-D93)</f>
        <v>#VALUE!</v>
      </c>
      <c r="H93" s="4" t="e">
        <f t="shared" ref="H93:H100" si="19">IF((D93-C93)&lt;0,0,D93-C93)</f>
        <v>#VALUE!</v>
      </c>
    </row>
    <row r="94" spans="1:8" ht="27.75" customHeight="1">
      <c r="A94" s="1" t="s">
        <v>26</v>
      </c>
      <c r="B94" s="9" t="s">
        <v>29</v>
      </c>
      <c r="C94" s="1" t="s">
        <v>28</v>
      </c>
      <c r="D94" s="1"/>
      <c r="E94" s="1"/>
      <c r="F94" s="5"/>
      <c r="G94" s="3" t="e">
        <f t="shared" si="18"/>
        <v>#VALUE!</v>
      </c>
      <c r="H94" s="4" t="e">
        <f t="shared" si="19"/>
        <v>#VALUE!</v>
      </c>
    </row>
    <row r="95" spans="1:8" ht="27.75" customHeight="1">
      <c r="A95" s="1" t="s">
        <v>26</v>
      </c>
      <c r="B95" s="9" t="s">
        <v>30</v>
      </c>
      <c r="C95" s="1" t="s">
        <v>28</v>
      </c>
      <c r="D95" s="1"/>
      <c r="E95" s="1"/>
      <c r="F95" s="5"/>
      <c r="G95" s="3" t="e">
        <f t="shared" si="18"/>
        <v>#VALUE!</v>
      </c>
      <c r="H95" s="4" t="e">
        <f t="shared" si="19"/>
        <v>#VALUE!</v>
      </c>
    </row>
    <row r="96" spans="1:8" ht="27.75" customHeight="1">
      <c r="A96" s="1" t="s">
        <v>26</v>
      </c>
      <c r="B96" s="9" t="s">
        <v>31</v>
      </c>
      <c r="C96" s="1" t="s">
        <v>28</v>
      </c>
      <c r="D96" s="1"/>
      <c r="E96" s="1"/>
      <c r="F96" s="5"/>
      <c r="G96" s="3" t="e">
        <f t="shared" si="18"/>
        <v>#VALUE!</v>
      </c>
      <c r="H96" s="4" t="e">
        <f t="shared" si="19"/>
        <v>#VALUE!</v>
      </c>
    </row>
    <row r="97" spans="1:8" ht="40.5" customHeight="1">
      <c r="A97" s="1" t="s">
        <v>26</v>
      </c>
      <c r="B97" s="9" t="s">
        <v>32</v>
      </c>
      <c r="C97" s="1" t="s">
        <v>28</v>
      </c>
      <c r="D97" s="1"/>
      <c r="E97" s="1"/>
      <c r="F97" s="5"/>
      <c r="G97" s="3" t="e">
        <f t="shared" si="18"/>
        <v>#VALUE!</v>
      </c>
      <c r="H97" s="4" t="e">
        <f t="shared" si="19"/>
        <v>#VALUE!</v>
      </c>
    </row>
    <row r="98" spans="1:8" ht="38.25" customHeight="1">
      <c r="A98" s="1" t="s">
        <v>26</v>
      </c>
      <c r="B98" s="9" t="s">
        <v>33</v>
      </c>
      <c r="C98" s="1" t="s">
        <v>28</v>
      </c>
      <c r="D98" s="1"/>
      <c r="E98" s="1"/>
      <c r="F98" s="5"/>
      <c r="G98" s="3" t="e">
        <f t="shared" si="18"/>
        <v>#VALUE!</v>
      </c>
      <c r="H98" s="4" t="e">
        <f t="shared" si="19"/>
        <v>#VALUE!</v>
      </c>
    </row>
    <row r="99" spans="1:8" ht="27.75" customHeight="1">
      <c r="A99" s="1" t="s">
        <v>26</v>
      </c>
      <c r="B99" s="9" t="s">
        <v>34</v>
      </c>
      <c r="C99" s="1" t="s">
        <v>28</v>
      </c>
      <c r="D99" s="1"/>
      <c r="E99" s="1"/>
      <c r="F99" s="5"/>
      <c r="G99" s="3" t="e">
        <f t="shared" si="18"/>
        <v>#VALUE!</v>
      </c>
      <c r="H99" s="4" t="e">
        <f t="shared" si="19"/>
        <v>#VALUE!</v>
      </c>
    </row>
    <row r="100" spans="1:8" ht="47.25" customHeight="1">
      <c r="A100" s="1" t="s">
        <v>26</v>
      </c>
      <c r="B100" s="9" t="s">
        <v>35</v>
      </c>
      <c r="C100" s="1" t="s">
        <v>28</v>
      </c>
      <c r="D100" s="1"/>
      <c r="E100" s="1"/>
      <c r="F100" s="5"/>
      <c r="G100" s="3" t="e">
        <f t="shared" si="18"/>
        <v>#VALUE!</v>
      </c>
      <c r="H100" s="4" t="e">
        <f t="shared" si="19"/>
        <v>#VALUE!</v>
      </c>
    </row>
  </sheetData>
  <protectedRanges>
    <protectedRange sqref="C1:E100" name="Textbooks"/>
    <protectedRange sqref="F1:F100" name="SOURCE"/>
  </protectedRanges>
  <phoneticPr fontId="8" type="noConversion"/>
  <dataValidations count="2">
    <dataValidation type="list" allowBlank="1" showInputMessage="1" showErrorMessage="1" sqref="E16:E21 E23:E31 E33:E41 E53:E61 E63:E71 E43:E51 E2:E6 E73:E81 E83:E91 E93:E100 E8:E14" xr:uid="{B46E7B13-721E-4D49-837E-C02BF9777D48}">
      <formula1>"2024,2025"</formula1>
    </dataValidation>
    <dataValidation type="list" allowBlank="1" showInputMessage="1" showErrorMessage="1" sqref="F16:F21 F23:F31 F33:F41 F43:F51 F53:F61 F63:F71 F73:F81 F83:F91 F2:F6 F93:F100 F8:F14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8" zoomScale="70" zoomScaleNormal="70" workbookViewId="0">
      <selection activeCell="B17" sqref="B1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>
        <v>634</v>
      </c>
      <c r="D3" s="34">
        <f>Table1[[#This Row],[Enrolment S.Y. 2025-2026 ]]*8</f>
        <v>5072</v>
      </c>
      <c r="E3" s="34"/>
      <c r="F3" s="32"/>
      <c r="G3" s="34"/>
      <c r="H3" s="34">
        <f>IF((D3-E3)&lt;0,0,(D3-E3))</f>
        <v>5072</v>
      </c>
      <c r="I3" s="34">
        <f>IF((E3-D3)&lt;0,0,(E3-D3))</f>
        <v>0</v>
      </c>
      <c r="J3" s="34">
        <f>Table1[[#This Row],[Enrolment S.Y. 2025-2026 ]]*8</f>
        <v>5072</v>
      </c>
      <c r="K3" s="34"/>
      <c r="L3" s="32"/>
      <c r="M3" s="34"/>
      <c r="N3" s="5">
        <f t="shared" ref="N3" si="0">IF((J3-K3)&lt;0,0,(J3-K3))</f>
        <v>5072</v>
      </c>
      <c r="O3" s="5">
        <f t="shared" ref="O3" si="1">IF((K3-J3)&lt;0,0,(K3-J3))</f>
        <v>0</v>
      </c>
      <c r="P3" s="5">
        <f>Table1[[#This Row],[Enrolment S.Y. 2025-2026 ]]*8</f>
        <v>5072</v>
      </c>
      <c r="Q3" s="34"/>
      <c r="R3" s="32"/>
      <c r="S3" s="34"/>
      <c r="T3" s="34">
        <f>IF((P3-Q3)&lt;0,0,(P3-Q3))</f>
        <v>5072</v>
      </c>
      <c r="U3" s="34">
        <f>IF((Q3-P3)&lt;0,0,(Q3-P3))</f>
        <v>0</v>
      </c>
      <c r="V3" s="34">
        <f>Table1[[#This Row],[Enrolment S.Y. 2025-2026 ]]*8</f>
        <v>5072</v>
      </c>
      <c r="W3" s="34"/>
      <c r="X3" s="32"/>
      <c r="Y3" s="34"/>
      <c r="Z3" s="34">
        <f>IF((V3-W3)&lt;0,0,(V3-W3))</f>
        <v>5072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665</v>
      </c>
      <c r="D5" s="5">
        <f>Table1[[#This Row],[Enrolment S.Y. 2025-2026 ]]*8</f>
        <v>5320</v>
      </c>
      <c r="E5" s="5"/>
      <c r="F5" s="1"/>
      <c r="G5" s="5"/>
      <c r="H5" s="5">
        <f t="shared" ref="H5:H77" si="2">IF((D5-E5)&lt;0,0,(D5-E5))</f>
        <v>5320</v>
      </c>
      <c r="I5" s="5">
        <f t="shared" ref="I5:I77" si="3">IF((E5-D5)&lt;0,0,(E5-D5))</f>
        <v>0</v>
      </c>
      <c r="J5" s="5">
        <f>Table1[[#This Row],[Enrolment S.Y. 2025-2026 ]]*8</f>
        <v>5320</v>
      </c>
      <c r="K5" s="5"/>
      <c r="L5" s="1"/>
      <c r="M5" s="5"/>
      <c r="N5" s="5">
        <f t="shared" ref="N5" si="4">IF((J5-K5)&lt;0,0,(J5-K5))</f>
        <v>5320</v>
      </c>
      <c r="O5" s="5">
        <f t="shared" ref="O5" si="5">IF((K5-J5)&lt;0,0,(K5-J5))</f>
        <v>0</v>
      </c>
      <c r="P5" s="5">
        <f>Table1[[#This Row],[Enrolment S.Y. 2025-2026 ]]*8</f>
        <v>5320</v>
      </c>
      <c r="Q5" s="5"/>
      <c r="R5" s="1"/>
      <c r="S5" s="5"/>
      <c r="T5" s="5">
        <f t="shared" ref="T5" si="6">IF((P5-Q5)&lt;0,0,(P5-Q5))</f>
        <v>5320</v>
      </c>
      <c r="U5" s="5">
        <f t="shared" ref="U5" si="7">IF((Q5-P5)&lt;0,0,(Q5-P5))</f>
        <v>0</v>
      </c>
      <c r="V5" s="5">
        <f>Table1[[#This Row],[Enrolment S.Y. 2025-2026 ]]*8</f>
        <v>5320</v>
      </c>
      <c r="W5" s="5"/>
      <c r="X5" s="1"/>
      <c r="Y5" s="5"/>
      <c r="Z5" s="5">
        <f t="shared" ref="Z5" si="8">IF((V5-W5)&lt;0,0,(V5-W5))</f>
        <v>5320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665</v>
      </c>
      <c r="D6" s="5">
        <f>Table1[[#This Row],[Enrolment S.Y. 2025-2026 ]]*8</f>
        <v>5320</v>
      </c>
      <c r="E6" s="5"/>
      <c r="F6" s="1"/>
      <c r="G6" s="5"/>
      <c r="H6" s="5">
        <f t="shared" si="2"/>
        <v>5320</v>
      </c>
      <c r="I6" s="5">
        <f t="shared" si="3"/>
        <v>0</v>
      </c>
      <c r="J6" s="5">
        <f>Table1[[#This Row],[Enrolment S.Y. 2025-2026 ]]*8</f>
        <v>5320</v>
      </c>
      <c r="K6" s="5"/>
      <c r="L6" s="1"/>
      <c r="M6" s="5"/>
      <c r="N6" s="5">
        <f t="shared" ref="N6:N69" si="10">IF((J6-K6)&lt;0,0,(J6-K6))</f>
        <v>5320</v>
      </c>
      <c r="O6" s="5">
        <f t="shared" ref="O6:O69" si="11">IF((K6-J6)&lt;0,0,(K6-J6))</f>
        <v>0</v>
      </c>
      <c r="P6" s="5">
        <f>Table1[[#This Row],[Enrolment S.Y. 2025-2026 ]]*8</f>
        <v>5320</v>
      </c>
      <c r="Q6" s="5"/>
      <c r="R6" s="1"/>
      <c r="S6" s="5"/>
      <c r="T6" s="5">
        <f t="shared" ref="T6:T69" si="12">IF((P6-Q6)&lt;0,0,(P6-Q6))</f>
        <v>5320</v>
      </c>
      <c r="U6" s="5">
        <f t="shared" ref="U6:U69" si="13">IF((Q6-P6)&lt;0,0,(Q6-P6))</f>
        <v>0</v>
      </c>
      <c r="V6" s="5">
        <f>Table1[[#This Row],[Enrolment S.Y. 2025-2026 ]]*8</f>
        <v>5320</v>
      </c>
      <c r="W6" s="5"/>
      <c r="X6" s="1"/>
      <c r="Y6" s="5"/>
      <c r="Z6" s="5">
        <f t="shared" ref="Z6:Z69" si="14">IF((V6-W6)&lt;0,0,(V6-W6))</f>
        <v>5320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665</v>
      </c>
      <c r="D7" s="5">
        <f>Table1[[#This Row],[Enrolment S.Y. 2025-2026 ]]*8</f>
        <v>5320</v>
      </c>
      <c r="E7" s="5"/>
      <c r="F7" s="1"/>
      <c r="G7" s="5"/>
      <c r="H7" s="5">
        <f t="shared" si="2"/>
        <v>5320</v>
      </c>
      <c r="I7" s="5">
        <f t="shared" si="3"/>
        <v>0</v>
      </c>
      <c r="J7" s="5">
        <f>Table1[[#This Row],[Enrolment S.Y. 2025-2026 ]]*8</f>
        <v>5320</v>
      </c>
      <c r="K7" s="5"/>
      <c r="L7" s="1"/>
      <c r="M7" s="5"/>
      <c r="N7" s="5">
        <f t="shared" si="10"/>
        <v>5320</v>
      </c>
      <c r="O7" s="5">
        <f t="shared" si="11"/>
        <v>0</v>
      </c>
      <c r="P7" s="5">
        <f>Table1[[#This Row],[Enrolment S.Y. 2025-2026 ]]*8</f>
        <v>5320</v>
      </c>
      <c r="Q7" s="5"/>
      <c r="R7" s="1"/>
      <c r="S7" s="5"/>
      <c r="T7" s="5">
        <f t="shared" si="12"/>
        <v>5320</v>
      </c>
      <c r="U7" s="5">
        <f t="shared" si="13"/>
        <v>0</v>
      </c>
      <c r="V7" s="5">
        <f>Table1[[#This Row],[Enrolment S.Y. 2025-2026 ]]*8</f>
        <v>5320</v>
      </c>
      <c r="W7" s="5"/>
      <c r="X7" s="1"/>
      <c r="Y7" s="5"/>
      <c r="Z7" s="5">
        <f t="shared" si="14"/>
        <v>5320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665</v>
      </c>
      <c r="D8" s="5">
        <f>Table1[[#This Row],[Enrolment S.Y. 2025-2026 ]]*8</f>
        <v>5320</v>
      </c>
      <c r="E8" s="5"/>
      <c r="F8" s="1"/>
      <c r="G8" s="5"/>
      <c r="H8" s="5">
        <f t="shared" si="2"/>
        <v>5320</v>
      </c>
      <c r="I8" s="5">
        <f t="shared" si="3"/>
        <v>0</v>
      </c>
      <c r="J8" s="5">
        <f>Table1[[#This Row],[Enrolment S.Y. 2025-2026 ]]*8</f>
        <v>5320</v>
      </c>
      <c r="K8" s="5"/>
      <c r="L8" s="1"/>
      <c r="M8" s="5"/>
      <c r="N8" s="5">
        <f t="shared" si="10"/>
        <v>5320</v>
      </c>
      <c r="O8" s="5">
        <f t="shared" si="11"/>
        <v>0</v>
      </c>
      <c r="P8" s="5">
        <f>Table1[[#This Row],[Enrolment S.Y. 2025-2026 ]]*8</f>
        <v>5320</v>
      </c>
      <c r="Q8" s="5"/>
      <c r="R8" s="1"/>
      <c r="S8" s="5"/>
      <c r="T8" s="5">
        <f t="shared" si="12"/>
        <v>5320</v>
      </c>
      <c r="U8" s="5">
        <f t="shared" si="13"/>
        <v>0</v>
      </c>
      <c r="V8" s="5">
        <f>Table1[[#This Row],[Enrolment S.Y. 2025-2026 ]]*8</f>
        <v>5320</v>
      </c>
      <c r="W8" s="5"/>
      <c r="X8" s="1"/>
      <c r="Y8" s="5"/>
      <c r="Z8" s="5">
        <f t="shared" si="14"/>
        <v>5320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665</v>
      </c>
      <c r="D9" s="5">
        <f>Table1[[#This Row],[Enrolment S.Y. 2025-2026 ]]*8</f>
        <v>5320</v>
      </c>
      <c r="E9" s="5"/>
      <c r="F9" s="1"/>
      <c r="G9" s="5"/>
      <c r="H9" s="5">
        <f t="shared" si="2"/>
        <v>5320</v>
      </c>
      <c r="I9" s="5">
        <f t="shared" si="3"/>
        <v>0</v>
      </c>
      <c r="J9" s="5">
        <f>Table1[[#This Row],[Enrolment S.Y. 2025-2026 ]]*8</f>
        <v>5320</v>
      </c>
      <c r="K9" s="5"/>
      <c r="L9" s="1"/>
      <c r="M9" s="5"/>
      <c r="N9" s="5">
        <f t="shared" si="10"/>
        <v>5320</v>
      </c>
      <c r="O9" s="5">
        <f t="shared" si="11"/>
        <v>0</v>
      </c>
      <c r="P9" s="5">
        <f>Table1[[#This Row],[Enrolment S.Y. 2025-2026 ]]*8</f>
        <v>5320</v>
      </c>
      <c r="Q9" s="5"/>
      <c r="R9" s="1"/>
      <c r="S9" s="5"/>
      <c r="T9" s="5">
        <f t="shared" si="12"/>
        <v>5320</v>
      </c>
      <c r="U9" s="5">
        <f t="shared" si="13"/>
        <v>0</v>
      </c>
      <c r="V9" s="5">
        <f>Table1[[#This Row],[Enrolment S.Y. 2025-2026 ]]*8</f>
        <v>5320</v>
      </c>
      <c r="W9" s="5"/>
      <c r="X9" s="1"/>
      <c r="Y9" s="5"/>
      <c r="Z9" s="5">
        <f t="shared" si="14"/>
        <v>5320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665</v>
      </c>
      <c r="D10" s="5">
        <f>Table1[[#This Row],[Enrolment S.Y. 2025-2026 ]]*8</f>
        <v>5320</v>
      </c>
      <c r="E10" s="5"/>
      <c r="F10" s="1"/>
      <c r="G10" s="5"/>
      <c r="H10" s="5">
        <f>IF((D10-E10)&lt;0,0,(D10-E10))</f>
        <v>5320</v>
      </c>
      <c r="I10" s="5">
        <f>IF((E10-D10)&lt;0,0,(E10-D10))</f>
        <v>0</v>
      </c>
      <c r="J10" s="5">
        <f>Table1[[#This Row],[Enrolment S.Y. 2025-2026 ]]*8</f>
        <v>5320</v>
      </c>
      <c r="K10" s="5"/>
      <c r="L10" s="1"/>
      <c r="M10" s="5"/>
      <c r="N10" s="5">
        <f t="shared" si="10"/>
        <v>5320</v>
      </c>
      <c r="O10" s="5">
        <f t="shared" si="11"/>
        <v>0</v>
      </c>
      <c r="P10" s="5">
        <f>Table1[[#This Row],[Enrolment S.Y. 2025-2026 ]]*8</f>
        <v>5320</v>
      </c>
      <c r="Q10" s="5"/>
      <c r="R10" s="1"/>
      <c r="S10" s="5"/>
      <c r="T10" s="5">
        <f t="shared" si="12"/>
        <v>5320</v>
      </c>
      <c r="U10" s="5">
        <f t="shared" si="13"/>
        <v>0</v>
      </c>
      <c r="V10" s="5">
        <f>Table1[[#This Row],[Enrolment S.Y. 2025-2026 ]]*8</f>
        <v>5320</v>
      </c>
      <c r="W10" s="5"/>
      <c r="X10" s="1"/>
      <c r="Y10" s="5"/>
      <c r="Z10" s="5">
        <f t="shared" si="14"/>
        <v>5320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665</v>
      </c>
      <c r="D11" s="5">
        <f>Table1[[#This Row],[Enrolment S.Y. 2025-2026 ]]*8</f>
        <v>5320</v>
      </c>
      <c r="E11" s="5"/>
      <c r="F11" s="1"/>
      <c r="G11" s="5"/>
      <c r="H11" s="5">
        <f>IF((D11-E11)&lt;0,0,(D11-E11))</f>
        <v>5320</v>
      </c>
      <c r="I11" s="5">
        <f>IF((E11-D11)&lt;0,0,(E11-D11))</f>
        <v>0</v>
      </c>
      <c r="J11" s="5">
        <f>Table1[[#This Row],[Enrolment S.Y. 2025-2026 ]]*8</f>
        <v>5320</v>
      </c>
      <c r="K11" s="5"/>
      <c r="L11" s="1"/>
      <c r="M11" s="5"/>
      <c r="N11" s="5">
        <f t="shared" si="10"/>
        <v>5320</v>
      </c>
      <c r="O11" s="5">
        <f t="shared" si="11"/>
        <v>0</v>
      </c>
      <c r="P11" s="5">
        <f>Table1[[#This Row],[Enrolment S.Y. 2025-2026 ]]*8</f>
        <v>5320</v>
      </c>
      <c r="Q11" s="5"/>
      <c r="R11" s="1"/>
      <c r="S11" s="5"/>
      <c r="T11" s="5">
        <f t="shared" si="12"/>
        <v>5320</v>
      </c>
      <c r="U11" s="5">
        <f t="shared" si="13"/>
        <v>0</v>
      </c>
      <c r="V11" s="5">
        <f>Table1[[#This Row],[Enrolment S.Y. 2025-2026 ]]*8</f>
        <v>5320</v>
      </c>
      <c r="W11" s="5"/>
      <c r="X11" s="1"/>
      <c r="Y11" s="5"/>
      <c r="Z11" s="5">
        <f t="shared" si="14"/>
        <v>5320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665</v>
      </c>
      <c r="D12" s="5">
        <f>Table1[[#This Row],[Enrolment S.Y. 2025-2026 ]]*8</f>
        <v>5320</v>
      </c>
      <c r="E12" s="5"/>
      <c r="F12" s="1"/>
      <c r="G12" s="5"/>
      <c r="H12" s="5">
        <f>IF((D12-E12)&lt;0,0,(D12-E12))</f>
        <v>5320</v>
      </c>
      <c r="I12" s="5">
        <f>IF((E12-D12)&lt;0,0,(E12-D12))</f>
        <v>0</v>
      </c>
      <c r="J12" s="5">
        <f>Table1[[#This Row],[Enrolment S.Y. 2025-2026 ]]*8</f>
        <v>5320</v>
      </c>
      <c r="K12" s="5"/>
      <c r="L12" s="1"/>
      <c r="M12" s="5"/>
      <c r="N12" s="5">
        <f t="shared" si="10"/>
        <v>5320</v>
      </c>
      <c r="O12" s="5">
        <f t="shared" si="11"/>
        <v>0</v>
      </c>
      <c r="P12" s="5">
        <f>Table1[[#This Row],[Enrolment S.Y. 2025-2026 ]]*8</f>
        <v>5320</v>
      </c>
      <c r="Q12" s="5"/>
      <c r="R12" s="1"/>
      <c r="S12" s="5"/>
      <c r="T12" s="5">
        <f t="shared" si="12"/>
        <v>5320</v>
      </c>
      <c r="U12" s="5">
        <f t="shared" si="13"/>
        <v>0</v>
      </c>
      <c r="V12" s="5">
        <f>Table1[[#This Row],[Enrolment S.Y. 2025-2026 ]]*8</f>
        <v>5320</v>
      </c>
      <c r="W12" s="5"/>
      <c r="X12" s="1"/>
      <c r="Y12" s="5"/>
      <c r="Z12" s="5">
        <f t="shared" si="14"/>
        <v>5320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65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65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65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90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91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92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93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29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30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31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Nhazat Asmawil</cp:lastModifiedBy>
  <cp:revision/>
  <dcterms:created xsi:type="dcterms:W3CDTF">2025-11-19T20:48:15Z</dcterms:created>
  <dcterms:modified xsi:type="dcterms:W3CDTF">2026-02-18T23:33:04Z</dcterms:modified>
  <cp:category/>
  <cp:contentStatus/>
</cp:coreProperties>
</file>