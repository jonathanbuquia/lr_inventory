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7" documentId="13_ncr:1_{BFB59F67-F0DC-4675-A682-EB0734A8026A}" xr6:coauthVersionLast="47" xr6:coauthVersionMax="47" xr10:uidLastSave="{4941EACF-5BC6-4DBF-AA77-BE1616076F25}"/>
  <bookViews>
    <workbookView xWindow="-108" yWindow="-108" windowWidth="23256" windowHeight="12456" firstSheet="3" activeTab="2" xr2:uid="{00000000-000D-0000-FFFF-FFFF00000000}"/>
  </bookViews>
  <sheets>
    <sheet name="TextBooks" sheetId="1" r:id="rId1"/>
    <sheet name="LAS" sheetId="4" r:id="rId2"/>
    <sheet name="ADM-SLM" sheetId="5" r:id="rId3"/>
    <sheet name="L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7" i="6" l="1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V127" i="6"/>
  <c r="U127" i="6"/>
  <c r="T127" i="6"/>
  <c r="J127" i="6"/>
  <c r="I127" i="6"/>
  <c r="H127" i="6"/>
  <c r="V126" i="6"/>
  <c r="P126" i="6"/>
  <c r="J126" i="6"/>
  <c r="I126" i="6"/>
  <c r="H126" i="6"/>
  <c r="V125" i="6"/>
  <c r="P125" i="6"/>
  <c r="J125" i="6"/>
  <c r="I125" i="6"/>
  <c r="H125" i="6"/>
  <c r="V124" i="6"/>
  <c r="P124" i="6"/>
  <c r="J124" i="6"/>
  <c r="I124" i="6"/>
  <c r="H124" i="6"/>
  <c r="V123" i="6"/>
  <c r="P123" i="6"/>
  <c r="J123" i="6"/>
  <c r="I123" i="6"/>
  <c r="H123" i="6"/>
  <c r="V122" i="6"/>
  <c r="P122" i="6"/>
  <c r="J122" i="6"/>
  <c r="I122" i="6"/>
  <c r="H122" i="6"/>
  <c r="V121" i="6"/>
  <c r="P121" i="6"/>
  <c r="J121" i="6"/>
  <c r="I121" i="6"/>
  <c r="H121" i="6"/>
  <c r="V120" i="6"/>
  <c r="P120" i="6"/>
  <c r="J120" i="6"/>
  <c r="I120" i="6"/>
  <c r="H120" i="6"/>
  <c r="V119" i="6"/>
  <c r="P119" i="6"/>
  <c r="J119" i="6"/>
  <c r="I119" i="6"/>
  <c r="H119" i="6"/>
  <c r="V118" i="6"/>
  <c r="P118" i="6"/>
  <c r="J118" i="6"/>
  <c r="I118" i="6"/>
  <c r="H118" i="6"/>
  <c r="V117" i="6"/>
  <c r="P117" i="6"/>
  <c r="J117" i="6"/>
  <c r="I117" i="6"/>
  <c r="H117" i="6"/>
  <c r="V116" i="6"/>
  <c r="P116" i="6"/>
  <c r="J116" i="6"/>
  <c r="I116" i="6"/>
  <c r="H116" i="6"/>
  <c r="V115" i="6"/>
  <c r="P115" i="6"/>
  <c r="J115" i="6"/>
  <c r="I115" i="6"/>
  <c r="H115" i="6"/>
  <c r="V114" i="6"/>
  <c r="P114" i="6"/>
  <c r="J114" i="6"/>
  <c r="I114" i="6"/>
  <c r="H114" i="6"/>
  <c r="V113" i="6"/>
  <c r="P113" i="6"/>
  <c r="J113" i="6"/>
  <c r="I113" i="6"/>
  <c r="H113" i="6"/>
  <c r="V112" i="6"/>
  <c r="P112" i="6"/>
  <c r="J112" i="6"/>
  <c r="I112" i="6"/>
  <c r="H112" i="6"/>
  <c r="V110" i="6"/>
  <c r="P110" i="6"/>
  <c r="J110" i="6"/>
  <c r="D110" i="6"/>
  <c r="V109" i="6"/>
  <c r="P109" i="6"/>
  <c r="J109" i="6"/>
  <c r="D109" i="6"/>
  <c r="V108" i="6"/>
  <c r="P108" i="6"/>
  <c r="J108" i="6"/>
  <c r="D108" i="6"/>
  <c r="V107" i="6"/>
  <c r="P107" i="6"/>
  <c r="J107" i="6"/>
  <c r="D107" i="6"/>
  <c r="V106" i="6"/>
  <c r="P106" i="6"/>
  <c r="J106" i="6"/>
  <c r="D106" i="6"/>
  <c r="V105" i="6"/>
  <c r="P105" i="6"/>
  <c r="J105" i="6"/>
  <c r="D105" i="6"/>
  <c r="V104" i="6"/>
  <c r="P104" i="6"/>
  <c r="J104" i="6"/>
  <c r="D104" i="6"/>
  <c r="V103" i="6"/>
  <c r="P103" i="6"/>
  <c r="J103" i="6"/>
  <c r="D103" i="6"/>
  <c r="V101" i="6"/>
  <c r="P101" i="6"/>
  <c r="J101" i="6"/>
  <c r="D101" i="6"/>
  <c r="V100" i="6"/>
  <c r="P100" i="6"/>
  <c r="J100" i="6"/>
  <c r="D100" i="6"/>
  <c r="V99" i="6"/>
  <c r="P99" i="6"/>
  <c r="J99" i="6"/>
  <c r="D99" i="6"/>
  <c r="V98" i="6"/>
  <c r="P98" i="6"/>
  <c r="J98" i="6"/>
  <c r="D98" i="6"/>
  <c r="V97" i="6"/>
  <c r="P97" i="6"/>
  <c r="J97" i="6"/>
  <c r="D97" i="6"/>
  <c r="V96" i="6"/>
  <c r="P96" i="6"/>
  <c r="J96" i="6"/>
  <c r="D96" i="6"/>
  <c r="V95" i="6"/>
  <c r="P95" i="6"/>
  <c r="J95" i="6"/>
  <c r="D95" i="6"/>
  <c r="V94" i="6"/>
  <c r="P94" i="6"/>
  <c r="J94" i="6"/>
  <c r="D94" i="6"/>
  <c r="V93" i="6"/>
  <c r="P93" i="6"/>
  <c r="J93" i="6"/>
  <c r="D93" i="6"/>
  <c r="V91" i="6"/>
  <c r="P91" i="6"/>
  <c r="J91" i="6"/>
  <c r="D91" i="6"/>
  <c r="V90" i="6"/>
  <c r="P90" i="6"/>
  <c r="J90" i="6"/>
  <c r="D90" i="6"/>
  <c r="V89" i="6"/>
  <c r="P89" i="6"/>
  <c r="J89" i="6"/>
  <c r="D89" i="6"/>
  <c r="V88" i="6"/>
  <c r="P88" i="6"/>
  <c r="J88" i="6"/>
  <c r="D88" i="6"/>
  <c r="V87" i="6"/>
  <c r="P87" i="6"/>
  <c r="J87" i="6"/>
  <c r="D87" i="6"/>
  <c r="V86" i="6"/>
  <c r="P86" i="6"/>
  <c r="J86" i="6"/>
  <c r="D86" i="6"/>
  <c r="V85" i="6"/>
  <c r="P85" i="6"/>
  <c r="J85" i="6"/>
  <c r="D85" i="6"/>
  <c r="V84" i="6"/>
  <c r="P84" i="6"/>
  <c r="J84" i="6"/>
  <c r="D84" i="6"/>
  <c r="V83" i="6"/>
  <c r="P83" i="6"/>
  <c r="J83" i="6"/>
  <c r="D83" i="6"/>
  <c r="V81" i="6"/>
  <c r="P81" i="6"/>
  <c r="J81" i="6"/>
  <c r="D81" i="6"/>
  <c r="V80" i="6"/>
  <c r="P80" i="6"/>
  <c r="J80" i="6"/>
  <c r="D80" i="6"/>
  <c r="V79" i="6"/>
  <c r="P79" i="6"/>
  <c r="J79" i="6"/>
  <c r="D79" i="6"/>
  <c r="V78" i="6"/>
  <c r="P78" i="6"/>
  <c r="J78" i="6"/>
  <c r="D78" i="6"/>
  <c r="V77" i="6"/>
  <c r="P77" i="6"/>
  <c r="J77" i="6"/>
  <c r="D77" i="6"/>
  <c r="V76" i="6"/>
  <c r="P76" i="6"/>
  <c r="J76" i="6"/>
  <c r="D76" i="6"/>
  <c r="V75" i="6"/>
  <c r="P75" i="6"/>
  <c r="J75" i="6"/>
  <c r="D75" i="6"/>
  <c r="V74" i="6"/>
  <c r="P74" i="6"/>
  <c r="J74" i="6"/>
  <c r="D74" i="6"/>
  <c r="V73" i="6"/>
  <c r="P73" i="6"/>
  <c r="J73" i="6"/>
  <c r="D73" i="6"/>
  <c r="V71" i="6"/>
  <c r="P71" i="6"/>
  <c r="J71" i="6"/>
  <c r="D71" i="6"/>
  <c r="V70" i="6"/>
  <c r="P70" i="6"/>
  <c r="J70" i="6"/>
  <c r="D70" i="6"/>
  <c r="V69" i="6"/>
  <c r="P69" i="6"/>
  <c r="J69" i="6"/>
  <c r="D69" i="6"/>
  <c r="V68" i="6"/>
  <c r="P68" i="6"/>
  <c r="J68" i="6"/>
  <c r="D68" i="6"/>
  <c r="V67" i="6"/>
  <c r="P67" i="6"/>
  <c r="J67" i="6"/>
  <c r="D67" i="6"/>
  <c r="V66" i="6"/>
  <c r="P66" i="6"/>
  <c r="J66" i="6"/>
  <c r="D66" i="6"/>
  <c r="V65" i="6"/>
  <c r="P65" i="6"/>
  <c r="J65" i="6"/>
  <c r="D65" i="6"/>
  <c r="V64" i="6"/>
  <c r="P64" i="6"/>
  <c r="J64" i="6"/>
  <c r="D64" i="6"/>
  <c r="V63" i="6"/>
  <c r="P63" i="6"/>
  <c r="J63" i="6"/>
  <c r="D63" i="6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4" i="6"/>
  <c r="P54" i="6"/>
  <c r="J54" i="6"/>
  <c r="D54" i="6"/>
  <c r="V53" i="6"/>
  <c r="P53" i="6"/>
  <c r="J53" i="6"/>
  <c r="D53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3" i="6"/>
  <c r="P3" i="6"/>
  <c r="J3" i="6"/>
  <c r="D3" i="6"/>
  <c r="D4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3" i="6" l="1"/>
  <c r="H3" i="6"/>
  <c r="O3" i="6"/>
  <c r="N3" i="6"/>
  <c r="U3" i="6"/>
  <c r="T3" i="6"/>
  <c r="AA3" i="6"/>
  <c r="Z3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1" i="6"/>
  <c r="H11" i="6"/>
  <c r="O11" i="6"/>
  <c r="N11" i="6"/>
  <c r="U11" i="6"/>
  <c r="T11" i="6"/>
  <c r="AA11" i="6"/>
  <c r="Z11" i="6"/>
  <c r="I12" i="6"/>
  <c r="H12" i="6"/>
  <c r="O12" i="6"/>
  <c r="N12" i="6"/>
  <c r="U12" i="6"/>
  <c r="T12" i="6"/>
  <c r="AA12" i="6"/>
  <c r="Z12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0" i="6"/>
  <c r="H20" i="6"/>
  <c r="O20" i="6"/>
  <c r="N20" i="6"/>
  <c r="U20" i="6"/>
  <c r="T20" i="6"/>
  <c r="AA20" i="6"/>
  <c r="Z20" i="6"/>
  <c r="I21" i="6"/>
  <c r="H21" i="6"/>
  <c r="O21" i="6"/>
  <c r="N21" i="6"/>
  <c r="U21" i="6"/>
  <c r="T21" i="6"/>
  <c r="AA21" i="6"/>
  <c r="Z21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0" i="6"/>
  <c r="H30" i="6"/>
  <c r="O30" i="6"/>
  <c r="N30" i="6"/>
  <c r="U30" i="6"/>
  <c r="T30" i="6"/>
  <c r="AA30" i="6"/>
  <c r="Z30" i="6"/>
  <c r="I31" i="6"/>
  <c r="H31" i="6"/>
  <c r="O31" i="6"/>
  <c r="N31" i="6"/>
  <c r="U31" i="6"/>
  <c r="T31" i="6"/>
  <c r="AA31" i="6"/>
  <c r="Z31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3" i="6"/>
  <c r="H53" i="6"/>
  <c r="O53" i="6"/>
  <c r="N53" i="6"/>
  <c r="U53" i="6"/>
  <c r="T53" i="6"/>
  <c r="AA53" i="6"/>
  <c r="Z53" i="6"/>
  <c r="I54" i="6"/>
  <c r="H54" i="6"/>
  <c r="O54" i="6"/>
  <c r="N54" i="6"/>
  <c r="U54" i="6"/>
  <c r="T54" i="6"/>
  <c r="AA54" i="6"/>
  <c r="Z54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I63" i="6"/>
  <c r="H63" i="6"/>
  <c r="O63" i="6"/>
  <c r="N63" i="6"/>
  <c r="U63" i="6"/>
  <c r="T63" i="6"/>
  <c r="AA63" i="6"/>
  <c r="Z63" i="6"/>
  <c r="I64" i="6"/>
  <c r="H64" i="6"/>
  <c r="O64" i="6"/>
  <c r="N64" i="6"/>
  <c r="U64" i="6"/>
  <c r="T64" i="6"/>
  <c r="AA64" i="6"/>
  <c r="Z64" i="6"/>
  <c r="I65" i="6"/>
  <c r="H65" i="6"/>
  <c r="O65" i="6"/>
  <c r="N65" i="6"/>
  <c r="U65" i="6"/>
  <c r="T65" i="6"/>
  <c r="AA65" i="6"/>
  <c r="Z65" i="6"/>
  <c r="I66" i="6"/>
  <c r="H66" i="6"/>
  <c r="O66" i="6"/>
  <c r="N66" i="6"/>
  <c r="U66" i="6"/>
  <c r="T66" i="6"/>
  <c r="AA66" i="6"/>
  <c r="Z66" i="6"/>
  <c r="I67" i="6"/>
  <c r="H67" i="6"/>
  <c r="O67" i="6"/>
  <c r="N67" i="6"/>
  <c r="U67" i="6"/>
  <c r="T67" i="6"/>
  <c r="AA67" i="6"/>
  <c r="Z67" i="6"/>
  <c r="I68" i="6"/>
  <c r="H68" i="6"/>
  <c r="O68" i="6"/>
  <c r="N68" i="6"/>
  <c r="U68" i="6"/>
  <c r="T68" i="6"/>
  <c r="AA68" i="6"/>
  <c r="Z68" i="6"/>
  <c r="I69" i="6"/>
  <c r="H69" i="6"/>
  <c r="O69" i="6"/>
  <c r="N69" i="6"/>
  <c r="U69" i="6"/>
  <c r="T69" i="6"/>
  <c r="AA69" i="6"/>
  <c r="Z69" i="6"/>
  <c r="I70" i="6"/>
  <c r="H70" i="6"/>
  <c r="O70" i="6"/>
  <c r="N70" i="6"/>
  <c r="U70" i="6"/>
  <c r="T70" i="6"/>
  <c r="AA70" i="6"/>
  <c r="Z70" i="6"/>
  <c r="I71" i="6"/>
  <c r="H71" i="6"/>
  <c r="O71" i="6"/>
  <c r="N71" i="6"/>
  <c r="U71" i="6"/>
  <c r="T71" i="6"/>
  <c r="AA71" i="6"/>
  <c r="Z71" i="6"/>
  <c r="I73" i="6"/>
  <c r="H73" i="6"/>
  <c r="O73" i="6"/>
  <c r="N73" i="6"/>
  <c r="U73" i="6"/>
  <c r="T73" i="6"/>
  <c r="AA73" i="6"/>
  <c r="Z73" i="6"/>
  <c r="I74" i="6"/>
  <c r="H74" i="6"/>
  <c r="O74" i="6"/>
  <c r="N74" i="6"/>
  <c r="U74" i="6"/>
  <c r="T74" i="6"/>
  <c r="AA74" i="6"/>
  <c r="Z74" i="6"/>
  <c r="I75" i="6"/>
  <c r="H75" i="6"/>
  <c r="O75" i="6"/>
  <c r="N75" i="6"/>
  <c r="U75" i="6"/>
  <c r="T75" i="6"/>
  <c r="AA75" i="6"/>
  <c r="Z75" i="6"/>
  <c r="I76" i="6"/>
  <c r="H76" i="6"/>
  <c r="O76" i="6"/>
  <c r="N76" i="6"/>
  <c r="U76" i="6"/>
  <c r="T76" i="6"/>
  <c r="AA76" i="6"/>
  <c r="Z76" i="6"/>
  <c r="I77" i="6"/>
  <c r="H77" i="6"/>
  <c r="O77" i="6"/>
  <c r="N77" i="6"/>
  <c r="U77" i="6"/>
  <c r="T77" i="6"/>
  <c r="AA77" i="6"/>
  <c r="Z77" i="6"/>
  <c r="I78" i="6"/>
  <c r="H78" i="6"/>
  <c r="O78" i="6"/>
  <c r="N78" i="6"/>
  <c r="U78" i="6"/>
  <c r="T78" i="6"/>
  <c r="AA78" i="6"/>
  <c r="Z78" i="6"/>
  <c r="I79" i="6"/>
  <c r="H79" i="6"/>
  <c r="O79" i="6"/>
  <c r="N79" i="6"/>
  <c r="U79" i="6"/>
  <c r="T79" i="6"/>
  <c r="AA79" i="6"/>
  <c r="Z79" i="6"/>
  <c r="I80" i="6"/>
  <c r="H80" i="6"/>
  <c r="O80" i="6"/>
  <c r="N80" i="6"/>
  <c r="U80" i="6"/>
  <c r="T80" i="6"/>
  <c r="AA80" i="6"/>
  <c r="Z80" i="6"/>
  <c r="I81" i="6"/>
  <c r="H81" i="6"/>
  <c r="O81" i="6"/>
  <c r="N81" i="6"/>
  <c r="U81" i="6"/>
  <c r="T81" i="6"/>
  <c r="AA81" i="6"/>
  <c r="Z81" i="6"/>
  <c r="I83" i="6"/>
  <c r="H83" i="6"/>
  <c r="O83" i="6"/>
  <c r="N83" i="6"/>
  <c r="U83" i="6"/>
  <c r="T83" i="6"/>
  <c r="AA83" i="6"/>
  <c r="Z83" i="6"/>
  <c r="I84" i="6"/>
  <c r="H84" i="6"/>
  <c r="O84" i="6"/>
  <c r="N84" i="6"/>
  <c r="U84" i="6"/>
  <c r="T84" i="6"/>
  <c r="AA84" i="6"/>
  <c r="Z84" i="6"/>
  <c r="I85" i="6"/>
  <c r="H85" i="6"/>
  <c r="O85" i="6"/>
  <c r="N85" i="6"/>
  <c r="U85" i="6"/>
  <c r="T85" i="6"/>
  <c r="AA85" i="6"/>
  <c r="Z85" i="6"/>
  <c r="I86" i="6"/>
  <c r="H86" i="6"/>
  <c r="O86" i="6"/>
  <c r="N86" i="6"/>
  <c r="U86" i="6"/>
  <c r="T86" i="6"/>
  <c r="AA86" i="6"/>
  <c r="Z86" i="6"/>
  <c r="I87" i="6"/>
  <c r="H87" i="6"/>
  <c r="O87" i="6"/>
  <c r="N87" i="6"/>
  <c r="U87" i="6"/>
  <c r="T87" i="6"/>
  <c r="AA87" i="6"/>
  <c r="Z87" i="6"/>
  <c r="I88" i="6"/>
  <c r="H88" i="6"/>
  <c r="O88" i="6"/>
  <c r="N88" i="6"/>
  <c r="U88" i="6"/>
  <c r="T88" i="6"/>
  <c r="AA88" i="6"/>
  <c r="Z88" i="6"/>
  <c r="I89" i="6"/>
  <c r="H89" i="6"/>
  <c r="O89" i="6"/>
  <c r="N89" i="6"/>
  <c r="U89" i="6"/>
  <c r="T89" i="6"/>
  <c r="AA89" i="6"/>
  <c r="Z89" i="6"/>
  <c r="I90" i="6"/>
  <c r="H90" i="6"/>
  <c r="O90" i="6"/>
  <c r="N90" i="6"/>
  <c r="U90" i="6"/>
  <c r="T90" i="6"/>
  <c r="AA90" i="6"/>
  <c r="Z90" i="6"/>
  <c r="I91" i="6"/>
  <c r="H91" i="6"/>
  <c r="O91" i="6"/>
  <c r="N91" i="6"/>
  <c r="U91" i="6"/>
  <c r="T91" i="6"/>
  <c r="AA91" i="6"/>
  <c r="Z91" i="6"/>
  <c r="I93" i="6"/>
  <c r="H93" i="6"/>
  <c r="O93" i="6"/>
  <c r="N93" i="6"/>
  <c r="U93" i="6"/>
  <c r="T93" i="6"/>
  <c r="AA93" i="6"/>
  <c r="Z93" i="6"/>
  <c r="I94" i="6"/>
  <c r="H94" i="6"/>
  <c r="O94" i="6"/>
  <c r="N94" i="6"/>
  <c r="U94" i="6"/>
  <c r="T94" i="6"/>
  <c r="AA94" i="6"/>
  <c r="Z94" i="6"/>
  <c r="I95" i="6"/>
  <c r="H95" i="6"/>
  <c r="O95" i="6"/>
  <c r="N95" i="6"/>
  <c r="U95" i="6"/>
  <c r="T95" i="6"/>
  <c r="AA95" i="6"/>
  <c r="Z95" i="6"/>
  <c r="I96" i="6"/>
  <c r="H96" i="6"/>
  <c r="O96" i="6"/>
  <c r="N96" i="6"/>
  <c r="U96" i="6"/>
  <c r="T96" i="6"/>
  <c r="AA96" i="6"/>
  <c r="Z96" i="6"/>
  <c r="I97" i="6"/>
  <c r="H97" i="6"/>
  <c r="O97" i="6"/>
  <c r="N97" i="6"/>
  <c r="U97" i="6"/>
  <c r="T97" i="6"/>
  <c r="AA97" i="6"/>
  <c r="Z97" i="6"/>
  <c r="I98" i="6"/>
  <c r="H98" i="6"/>
  <c r="O98" i="6"/>
  <c r="N98" i="6"/>
  <c r="U98" i="6"/>
  <c r="T98" i="6"/>
  <c r="AA98" i="6"/>
  <c r="Z98" i="6"/>
  <c r="I99" i="6"/>
  <c r="H99" i="6"/>
  <c r="O99" i="6"/>
  <c r="N99" i="6"/>
  <c r="U99" i="6"/>
  <c r="T99" i="6"/>
  <c r="AA99" i="6"/>
  <c r="Z99" i="6"/>
  <c r="I100" i="6"/>
  <c r="H100" i="6"/>
  <c r="O100" i="6"/>
  <c r="N100" i="6"/>
  <c r="U100" i="6"/>
  <c r="T100" i="6"/>
  <c r="AA100" i="6"/>
  <c r="Z100" i="6"/>
  <c r="I101" i="6"/>
  <c r="H101" i="6"/>
  <c r="O101" i="6"/>
  <c r="N101" i="6"/>
  <c r="U101" i="6"/>
  <c r="T101" i="6"/>
  <c r="AA101" i="6"/>
  <c r="Z101" i="6"/>
  <c r="I103" i="6"/>
  <c r="H103" i="6"/>
  <c r="O103" i="6"/>
  <c r="N103" i="6"/>
  <c r="U103" i="6"/>
  <c r="T103" i="6"/>
  <c r="AA103" i="6"/>
  <c r="Z103" i="6"/>
  <c r="I104" i="6"/>
  <c r="H104" i="6"/>
  <c r="O104" i="6"/>
  <c r="N104" i="6"/>
  <c r="U104" i="6"/>
  <c r="T104" i="6"/>
  <c r="AA104" i="6"/>
  <c r="Z104" i="6"/>
  <c r="I105" i="6"/>
  <c r="H105" i="6"/>
  <c r="O105" i="6"/>
  <c r="N105" i="6"/>
  <c r="U105" i="6"/>
  <c r="T105" i="6"/>
  <c r="AA105" i="6"/>
  <c r="Z105" i="6"/>
  <c r="I106" i="6"/>
  <c r="H106" i="6"/>
  <c r="O106" i="6"/>
  <c r="N106" i="6"/>
  <c r="U106" i="6"/>
  <c r="T106" i="6"/>
  <c r="AA106" i="6"/>
  <c r="Z106" i="6"/>
  <c r="I107" i="6"/>
  <c r="H107" i="6"/>
  <c r="O107" i="6"/>
  <c r="N107" i="6"/>
  <c r="U107" i="6"/>
  <c r="T107" i="6"/>
  <c r="AA107" i="6"/>
  <c r="Z107" i="6"/>
  <c r="I108" i="6"/>
  <c r="H108" i="6"/>
  <c r="O108" i="6"/>
  <c r="N108" i="6"/>
  <c r="U108" i="6"/>
  <c r="T108" i="6"/>
  <c r="AA108" i="6"/>
  <c r="Z108" i="6"/>
  <c r="I109" i="6"/>
  <c r="H109" i="6"/>
  <c r="O109" i="6"/>
  <c r="N109" i="6"/>
  <c r="U109" i="6"/>
  <c r="T109" i="6"/>
  <c r="AA109" i="6"/>
  <c r="Z109" i="6"/>
  <c r="I110" i="6"/>
  <c r="H110" i="6"/>
  <c r="O110" i="6"/>
  <c r="N110" i="6"/>
  <c r="U110" i="6"/>
  <c r="T110" i="6"/>
  <c r="AA110" i="6"/>
  <c r="Z110" i="6"/>
  <c r="O112" i="6"/>
  <c r="N112" i="6"/>
  <c r="U112" i="6"/>
  <c r="T112" i="6"/>
  <c r="AA112" i="6"/>
  <c r="Z112" i="6"/>
  <c r="O113" i="6"/>
  <c r="N113" i="6"/>
  <c r="U113" i="6"/>
  <c r="T113" i="6"/>
  <c r="AA113" i="6"/>
  <c r="Z113" i="6"/>
  <c r="O114" i="6"/>
  <c r="N114" i="6"/>
  <c r="U114" i="6"/>
  <c r="T114" i="6"/>
  <c r="AA114" i="6"/>
  <c r="Z114" i="6"/>
  <c r="O115" i="6"/>
  <c r="N115" i="6"/>
  <c r="U115" i="6"/>
  <c r="T115" i="6"/>
  <c r="AA115" i="6"/>
  <c r="Z115" i="6"/>
  <c r="O116" i="6"/>
  <c r="N116" i="6"/>
  <c r="U116" i="6"/>
  <c r="T116" i="6"/>
  <c r="AA116" i="6"/>
  <c r="Z116" i="6"/>
  <c r="O117" i="6"/>
  <c r="N117" i="6"/>
  <c r="U117" i="6"/>
  <c r="T117" i="6"/>
  <c r="AA117" i="6"/>
  <c r="Z117" i="6"/>
  <c r="O118" i="6"/>
  <c r="N118" i="6"/>
  <c r="U118" i="6"/>
  <c r="T118" i="6"/>
  <c r="AA118" i="6"/>
  <c r="Z118" i="6"/>
  <c r="O119" i="6"/>
  <c r="N119" i="6"/>
  <c r="U119" i="6"/>
  <c r="T119" i="6"/>
  <c r="AA119" i="6"/>
  <c r="Z119" i="6"/>
  <c r="O120" i="6"/>
  <c r="N120" i="6"/>
  <c r="U120" i="6"/>
  <c r="T120" i="6"/>
  <c r="AA120" i="6"/>
  <c r="Z120" i="6"/>
  <c r="O121" i="6"/>
  <c r="N121" i="6"/>
  <c r="U121" i="6"/>
  <c r="T121" i="6"/>
  <c r="AA121" i="6"/>
  <c r="Z121" i="6"/>
  <c r="O122" i="6"/>
  <c r="N122" i="6"/>
  <c r="U122" i="6"/>
  <c r="T122" i="6"/>
  <c r="AA122" i="6"/>
  <c r="Z122" i="6"/>
  <c r="O123" i="6"/>
  <c r="N123" i="6"/>
  <c r="U123" i="6"/>
  <c r="T123" i="6"/>
  <c r="AA123" i="6"/>
  <c r="Z123" i="6"/>
  <c r="O124" i="6"/>
  <c r="N124" i="6"/>
  <c r="U124" i="6"/>
  <c r="T124" i="6"/>
  <c r="AA124" i="6"/>
  <c r="Z124" i="6"/>
  <c r="O125" i="6"/>
  <c r="N125" i="6"/>
  <c r="U125" i="6"/>
  <c r="T125" i="6"/>
  <c r="AA125" i="6"/>
  <c r="Z125" i="6"/>
  <c r="O126" i="6"/>
  <c r="N126" i="6"/>
  <c r="U126" i="6"/>
  <c r="T126" i="6"/>
  <c r="AA126" i="6"/>
  <c r="Z126" i="6"/>
  <c r="O127" i="6"/>
  <c r="N127" i="6"/>
  <c r="AA127" i="6"/>
  <c r="Z127" i="6"/>
  <c r="T48" i="4"/>
  <c r="U48" i="4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<sst xmlns="http://schemas.openxmlformats.org/spreadsheetml/2006/main" count="576" uniqueCount="91">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</sst>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92" headerRowBorderDxfId="90" tableBorderDxfId="9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89" headerRowBorderDxfId="87" tableBorderDxfId="88">
  <autoFilter ref="A2:AA127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59" headerRowBorderDxfId="57" tableBorderDxfId="58">
  <autoFilter ref="A2:AA140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7188F7-B152-4D7F-84DC-55384EA47A59}" name="Table15" displayName="Table15" ref="A2:AA127" totalsRowShown="0" dataDxfId="29" headerRowBorderDxfId="27" tableBorderDxfId="28">
  <autoFilter ref="A2:AA127" xr:uid="{D7C37D80-F2E1-4395-8B6C-0FD477B4D8F8}"/>
  <tableColumns count="27">
    <tableColumn id="1" xr3:uid="{62694240-88A7-4575-876A-835340708094}" name="Grade Level" dataDxfId="26"/>
    <tableColumn id="2" xr3:uid="{E8FB8D1F-7640-4E5D-B27E-F776BE0BDA26}" name="SUBJECTS" dataDxfId="25"/>
    <tableColumn id="3" xr3:uid="{E4C06453-7824-473B-9D35-AF187085FB2D}" name="Enrolment S.Y. 2025-2026 " dataDxfId="24"/>
    <tableColumn id="4" xr3:uid="{FC866371-163F-480D-B7FF-5F15495ABB7F}" name="Quantity based on Target LAS - Q1 " dataDxfId="23">
      <calculatedColumnFormula>Table15[[#This Row],[Enrolment S.Y. 2025-2026 ]]*8</calculatedColumnFormula>
    </tableColumn>
    <tableColumn id="5" xr3:uid="{60AF06B2-85D2-4206-86AA-5A6B993CF7DD}" name="Quantity of Learning Activity Sheets Received (Quantity received x No. of LAS) - Q1" dataDxfId="22"/>
    <tableColumn id="6" xr3:uid="{B38AE38D-4E41-492E-8640-62379AA13026}" name="Year of Delivery-LAS - Q1" dataDxfId="21"/>
    <tableColumn id="7" xr3:uid="{D477CB1A-3C73-46A3-A70A-FF78BF29C115}" name="SOURCE - LAS (CO,RO, SDO) - Q1" dataDxfId="20"/>
    <tableColumn id="8" xr3:uid="{45E2958A-DFAE-49C3-9DC8-4ECA11183532}" name="GAP - LAS - Q1" dataDxfId="19">
      <calculatedColumnFormula>IF((D3-E3)&lt;0,0,(D3-E3))</calculatedColumnFormula>
    </tableColumn>
    <tableColumn id="9" xr3:uid="{B91C4CEF-2527-4EC0-B24C-9A69F73CFE2D}" name="SURPLUS - LAS - Q1" dataDxfId="18">
      <calculatedColumnFormula>IF((E3-D3)&lt;0,0,(E3-D3))</calculatedColumnFormula>
    </tableColumn>
    <tableColumn id="10" xr3:uid="{8C43CF6E-C582-4E80-88D0-B742E93E888D}" name="Quantity based on Target LAS - Q2" dataDxfId="17">
      <calculatedColumnFormula>Table15[[#This Row],[Enrolment S.Y. 2025-2026 ]]*8</calculatedColumnFormula>
    </tableColumn>
    <tableColumn id="11" xr3:uid="{D99849F6-D757-4D47-9D7E-F1D9B27D3EDD}" name="Quantity of Learning Activity Sheets Received (Quantity received x No. of LAS) Q2" dataDxfId="16"/>
    <tableColumn id="12" xr3:uid="{4F5725A0-65C0-45E2-B8A7-999BC22820F1}" name="Year of Delivery-LAS Q2" dataDxfId="15"/>
    <tableColumn id="13" xr3:uid="{54FEB929-7A2E-4F4A-8B8A-079FF197FEB7}" name="SOURCE-LAS (CO,RO, SDO) Q2" dataDxfId="14"/>
    <tableColumn id="14" xr3:uid="{89DC25C7-1B67-4D1F-8A34-C5A39E3C446F}" name="GAP - LAS -Q2" dataDxfId="13"/>
    <tableColumn id="15" xr3:uid="{39A4BB26-93F8-4485-9A73-B1B9D35B3181}" name="SURPLUS - LAS -Q2" dataDxfId="12"/>
    <tableColumn id="16" xr3:uid="{6DADB6C0-5114-4BEE-916C-2D28094E4EDD}" name="Quantity based on Target LAS - Q3" dataDxfId="11">
      <calculatedColumnFormula>#REF!*8</calculatedColumnFormula>
    </tableColumn>
    <tableColumn id="17" xr3:uid="{F4CDA913-A5DE-44CC-88FE-3F9C90AC6077}" name="Quantity of Learning Activity Sheets Received (Quantity received x No. of LAS) - Q3" dataDxfId="10"/>
    <tableColumn id="18" xr3:uid="{0D532B41-CB7F-4723-9DF7-526BA284407C}" name="Year of Delivery-LAS - Q3" dataDxfId="9"/>
    <tableColumn id="19" xr3:uid="{6EA6303E-DE21-4EFE-A714-F57362C12C84}" name="SOURCE-LAS (CO,RO, SDO) - Q3" dataDxfId="8"/>
    <tableColumn id="20" xr3:uid="{049218FD-0047-4956-9417-1F24A59C7F4F}" name="GAP - LAS - Q3" dataDxfId="7">
      <calculatedColumnFormula>IF((P3-Q3)&lt;0,0,(P3-Q3))</calculatedColumnFormula>
    </tableColumn>
    <tableColumn id="21" xr3:uid="{C3DF4907-BA3F-4550-B7BE-454F99BF3EC1}" name="SURPLUS - LAS - Q3" dataDxfId="6">
      <calculatedColumnFormula>IF((Q3-P3)&lt;0,0,(Q3-P3))</calculatedColumnFormula>
    </tableColumn>
    <tableColumn id="22" xr3:uid="{E97A1E2D-F685-453D-8779-40A0905002B8}" name="Quantity based on Target LAS - Q4" dataDxfId="5">
      <calculatedColumnFormula>Table15[[#This Row],[Enrolment S.Y. 2025-2026 ]]*8</calculatedColumnFormula>
    </tableColumn>
    <tableColumn id="23" xr3:uid="{96C5500C-AFF6-456B-917A-92C133F9EF96}" name="Quantity of Learning Activity Sheets Received (Quantity received x No. of LAS)- Q4" dataDxfId="4"/>
    <tableColumn id="24" xr3:uid="{561AF474-C76B-4E9B-ABE9-355E02485DE7}" name="Year of Delivery - LAS - Q4" dataDxfId="3"/>
    <tableColumn id="25" xr3:uid="{3E223DA9-23D4-4458-BBF1-58B6D86C6DD7}" name="SOURCE - LAS (CO,RO, SDO) - Q4" dataDxfId="2"/>
    <tableColumn id="26" xr3:uid="{F9EE7D5C-6940-4D99-98BD-F7161FDF8637}" name="GAP - LAS - Q4" dataDxfId="1">
      <calculatedColumnFormula>IF((V3-W3)&lt;0,0,(V3-W3))</calculatedColumnFormula>
    </tableColumn>
    <tableColumn id="27" xr3:uid="{05D99335-1FE5-4D39-9BEF-1C74D4D4B290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K55" sqref="K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809</v>
      </c>
      <c r="D8" s="1"/>
      <c r="E8" s="1"/>
      <c r="F8" s="5"/>
      <c r="G8" s="3">
        <f>IF((C8-D8)&lt;0,0,C8-D8)</f>
        <v>809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809</v>
      </c>
      <c r="D9" s="1"/>
      <c r="E9" s="1"/>
      <c r="F9" s="5"/>
      <c r="G9" s="3">
        <f>IF((C9-D9)&lt;0,0,C9-D9)</f>
        <v>809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809</v>
      </c>
      <c r="D10" s="1"/>
      <c r="E10" s="1"/>
      <c r="F10" s="5"/>
      <c r="G10" s="3">
        <f>IF((C10-D10)&lt;0,0,C10-D10)</f>
        <v>809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809</v>
      </c>
      <c r="D11" s="1"/>
      <c r="E11" s="1"/>
      <c r="F11" s="5"/>
      <c r="G11" s="3">
        <f>IF((C11-D11)&lt;0,0,C11-D11)</f>
        <v>809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809</v>
      </c>
      <c r="D12" s="1"/>
      <c r="E12" s="1"/>
      <c r="F12" s="5"/>
      <c r="G12" s="3">
        <f>IF((C12-D12)&lt;0,0,C12-D12)</f>
        <v>809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11" sqref="E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customHeight="1">
      <c r="A5" s="1">
        <v>1</v>
      </c>
      <c r="B5" s="40" t="s">
        <v>8</v>
      </c>
      <c r="C5" s="1">
        <v>828</v>
      </c>
      <c r="D5" s="5">
        <f>Table1[[#This Row],[Enrolment S.Y. 2025-2026 ]]*8</f>
        <v>6624</v>
      </c>
      <c r="E5" s="5">
        <v>114</v>
      </c>
      <c r="F5" s="1">
        <v>2025</v>
      </c>
      <c r="G5" s="5" t="s">
        <v>61</v>
      </c>
      <c r="H5" s="5">
        <f t="shared" ref="H5:H77" si="2">IF((D5-E5)&lt;0,0,(D5-E5))</f>
        <v>6510</v>
      </c>
      <c r="I5" s="5">
        <f t="shared" ref="I5:I77" si="3">IF((E5-D5)&lt;0,0,(E5-D5))</f>
        <v>0</v>
      </c>
      <c r="J5" s="5">
        <f>Table1[[#This Row],[Enrolment S.Y. 2025-2026 ]]*8</f>
        <v>6624</v>
      </c>
      <c r="K5" s="5"/>
      <c r="L5" s="1"/>
      <c r="M5" s="5"/>
      <c r="N5" s="5">
        <f t="shared" ref="N5" si="4">IF((J5-K5)&lt;0,0,(J5-K5))</f>
        <v>6624</v>
      </c>
      <c r="O5" s="5">
        <f t="shared" ref="O5" si="5">IF((K5-J5)&lt;0,0,(K5-J5))</f>
        <v>0</v>
      </c>
      <c r="P5" s="5">
        <f>Table1[[#This Row],[Enrolment S.Y. 2025-2026 ]]*8</f>
        <v>6624</v>
      </c>
      <c r="Q5" s="5"/>
      <c r="R5" s="1"/>
      <c r="S5" s="5"/>
      <c r="T5" s="5">
        <f t="shared" ref="T5" si="6">IF((P5-Q5)&lt;0,0,(P5-Q5))</f>
        <v>6624</v>
      </c>
      <c r="U5" s="5">
        <f t="shared" ref="U5" si="7">IF((Q5-P5)&lt;0,0,(Q5-P5))</f>
        <v>0</v>
      </c>
      <c r="V5" s="5">
        <f>Table1[[#This Row],[Enrolment S.Y. 2025-2026 ]]*8</f>
        <v>6624</v>
      </c>
      <c r="W5" s="5"/>
      <c r="X5" s="1"/>
      <c r="Y5" s="5"/>
      <c r="Z5" s="5">
        <f t="shared" ref="Z5" si="8">IF((V5-W5)&lt;0,0,(V5-W5))</f>
        <v>6624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828</v>
      </c>
      <c r="D6" s="5">
        <f>Table1[[#This Row],[Enrolment S.Y. 2025-2026 ]]*8</f>
        <v>6624</v>
      </c>
      <c r="E6" s="5"/>
      <c r="F6" s="1"/>
      <c r="G6" s="5"/>
      <c r="H6" s="5">
        <f t="shared" si="2"/>
        <v>6624</v>
      </c>
      <c r="I6" s="5">
        <f t="shared" si="3"/>
        <v>0</v>
      </c>
      <c r="J6" s="5">
        <f>Table1[[#This Row],[Enrolment S.Y. 2025-2026 ]]*8</f>
        <v>6624</v>
      </c>
      <c r="K6" s="5"/>
      <c r="L6" s="1"/>
      <c r="M6" s="5"/>
      <c r="N6" s="5">
        <f t="shared" ref="N6:N69" si="10">IF((J6-K6)&lt;0,0,(J6-K6))</f>
        <v>6624</v>
      </c>
      <c r="O6" s="5">
        <f t="shared" ref="O6:O69" si="11">IF((K6-J6)&lt;0,0,(K6-J6))</f>
        <v>0</v>
      </c>
      <c r="P6" s="5">
        <f>Table1[[#This Row],[Enrolment S.Y. 2025-2026 ]]*8</f>
        <v>6624</v>
      </c>
      <c r="Q6" s="5"/>
      <c r="R6" s="1"/>
      <c r="S6" s="5"/>
      <c r="T6" s="5">
        <f t="shared" ref="T6:T69" si="12">IF((P6-Q6)&lt;0,0,(P6-Q6))</f>
        <v>6624</v>
      </c>
      <c r="U6" s="5">
        <f t="shared" ref="U6:U69" si="13">IF((Q6-P6)&lt;0,0,(Q6-P6))</f>
        <v>0</v>
      </c>
      <c r="V6" s="5">
        <f>Table1[[#This Row],[Enrolment S.Y. 2025-2026 ]]*8</f>
        <v>6624</v>
      </c>
      <c r="W6" s="5"/>
      <c r="X6" s="1"/>
      <c r="Y6" s="5"/>
      <c r="Z6" s="5">
        <f t="shared" ref="Z6:Z69" si="14">IF((V6-W6)&lt;0,0,(V6-W6))</f>
        <v>6624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828</v>
      </c>
      <c r="D7" s="5">
        <f>Table1[[#This Row],[Enrolment S.Y. 2025-2026 ]]*8</f>
        <v>6624</v>
      </c>
      <c r="E7" s="5">
        <v>114</v>
      </c>
      <c r="F7" s="1">
        <v>2025</v>
      </c>
      <c r="G7" s="5" t="s">
        <v>61</v>
      </c>
      <c r="H7" s="5">
        <f t="shared" si="2"/>
        <v>6510</v>
      </c>
      <c r="I7" s="5">
        <f t="shared" si="3"/>
        <v>0</v>
      </c>
      <c r="J7" s="5">
        <f>Table1[[#This Row],[Enrolment S.Y. 2025-2026 ]]*8</f>
        <v>6624</v>
      </c>
      <c r="K7" s="5"/>
      <c r="L7" s="1"/>
      <c r="M7" s="5"/>
      <c r="N7" s="5">
        <f t="shared" si="10"/>
        <v>6624</v>
      </c>
      <c r="O7" s="5">
        <f t="shared" si="11"/>
        <v>0</v>
      </c>
      <c r="P7" s="5">
        <f>Table1[[#This Row],[Enrolment S.Y. 2025-2026 ]]*8</f>
        <v>6624</v>
      </c>
      <c r="Q7" s="5"/>
      <c r="R7" s="1"/>
      <c r="S7" s="5"/>
      <c r="T7" s="5">
        <f t="shared" si="12"/>
        <v>6624</v>
      </c>
      <c r="U7" s="5">
        <f t="shared" si="13"/>
        <v>0</v>
      </c>
      <c r="V7" s="5">
        <f>Table1[[#This Row],[Enrolment S.Y. 2025-2026 ]]*8</f>
        <v>6624</v>
      </c>
      <c r="W7" s="5"/>
      <c r="X7" s="1"/>
      <c r="Y7" s="5"/>
      <c r="Z7" s="5">
        <f t="shared" si="14"/>
        <v>6624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828</v>
      </c>
      <c r="D8" s="5">
        <f>Table1[[#This Row],[Enrolment S.Y. 2025-2026 ]]*8</f>
        <v>6624</v>
      </c>
      <c r="E8" s="5">
        <v>114</v>
      </c>
      <c r="F8" s="1">
        <v>2025</v>
      </c>
      <c r="G8" s="5" t="s">
        <v>61</v>
      </c>
      <c r="H8" s="5">
        <f t="shared" si="2"/>
        <v>6510</v>
      </c>
      <c r="I8" s="5">
        <f t="shared" si="3"/>
        <v>0</v>
      </c>
      <c r="J8" s="5">
        <f>Table1[[#This Row],[Enrolment S.Y. 2025-2026 ]]*8</f>
        <v>6624</v>
      </c>
      <c r="K8" s="5"/>
      <c r="L8" s="1"/>
      <c r="M8" s="5"/>
      <c r="N8" s="5">
        <f t="shared" si="10"/>
        <v>6624</v>
      </c>
      <c r="O8" s="5">
        <f t="shared" si="11"/>
        <v>0</v>
      </c>
      <c r="P8" s="5">
        <f>Table1[[#This Row],[Enrolment S.Y. 2025-2026 ]]*8</f>
        <v>6624</v>
      </c>
      <c r="Q8" s="5"/>
      <c r="R8" s="1"/>
      <c r="S8" s="5"/>
      <c r="T8" s="5">
        <f t="shared" si="12"/>
        <v>6624</v>
      </c>
      <c r="U8" s="5">
        <f t="shared" si="13"/>
        <v>0</v>
      </c>
      <c r="V8" s="5">
        <f>Table1[[#This Row],[Enrolment S.Y. 2025-2026 ]]*8</f>
        <v>6624</v>
      </c>
      <c r="W8" s="5"/>
      <c r="X8" s="1"/>
      <c r="Y8" s="5"/>
      <c r="Z8" s="5">
        <f t="shared" si="14"/>
        <v>6624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828</v>
      </c>
      <c r="D9" s="5">
        <f>Table1[[#This Row],[Enrolment S.Y. 2025-2026 ]]*8</f>
        <v>6624</v>
      </c>
      <c r="E9" s="5">
        <v>114</v>
      </c>
      <c r="F9" s="1">
        <v>2025</v>
      </c>
      <c r="G9" s="5" t="s">
        <v>61</v>
      </c>
      <c r="H9" s="5">
        <f t="shared" si="2"/>
        <v>6510</v>
      </c>
      <c r="I9" s="5">
        <f t="shared" si="3"/>
        <v>0</v>
      </c>
      <c r="J9" s="5">
        <f>Table1[[#This Row],[Enrolment S.Y. 2025-2026 ]]*8</f>
        <v>6624</v>
      </c>
      <c r="K9" s="5"/>
      <c r="L9" s="1"/>
      <c r="M9" s="5"/>
      <c r="N9" s="5">
        <f t="shared" si="10"/>
        <v>6624</v>
      </c>
      <c r="O9" s="5">
        <f t="shared" si="11"/>
        <v>0</v>
      </c>
      <c r="P9" s="5">
        <f>Table1[[#This Row],[Enrolment S.Y. 2025-2026 ]]*8</f>
        <v>6624</v>
      </c>
      <c r="Q9" s="5"/>
      <c r="R9" s="1"/>
      <c r="S9" s="5"/>
      <c r="T9" s="5">
        <f t="shared" si="12"/>
        <v>6624</v>
      </c>
      <c r="U9" s="5">
        <f t="shared" si="13"/>
        <v>0</v>
      </c>
      <c r="V9" s="5">
        <f>Table1[[#This Row],[Enrolment S.Y. 2025-2026 ]]*8</f>
        <v>6624</v>
      </c>
      <c r="W9" s="5"/>
      <c r="X9" s="1"/>
      <c r="Y9" s="5"/>
      <c r="Z9" s="5">
        <f t="shared" si="14"/>
        <v>6624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828</v>
      </c>
      <c r="D10" s="5">
        <f>Table1[[#This Row],[Enrolment S.Y. 2025-2026 ]]*8</f>
        <v>6624</v>
      </c>
      <c r="E10" s="5"/>
      <c r="F10" s="1"/>
      <c r="G10" s="5"/>
      <c r="H10" s="5">
        <f>IF((D10-E10)&lt;0,0,(D10-E10))</f>
        <v>6624</v>
      </c>
      <c r="I10" s="5">
        <f>IF((E10-D10)&lt;0,0,(E10-D10))</f>
        <v>0</v>
      </c>
      <c r="J10" s="5">
        <f>Table1[[#This Row],[Enrolment S.Y. 2025-2026 ]]*8</f>
        <v>6624</v>
      </c>
      <c r="K10" s="5"/>
      <c r="L10" s="1"/>
      <c r="M10" s="5"/>
      <c r="N10" s="5">
        <f t="shared" si="10"/>
        <v>6624</v>
      </c>
      <c r="O10" s="5">
        <f t="shared" si="11"/>
        <v>0</v>
      </c>
      <c r="P10" s="5">
        <f>Table1[[#This Row],[Enrolment S.Y. 2025-2026 ]]*8</f>
        <v>6624</v>
      </c>
      <c r="Q10" s="5"/>
      <c r="R10" s="1"/>
      <c r="S10" s="5"/>
      <c r="T10" s="5">
        <f t="shared" si="12"/>
        <v>6624</v>
      </c>
      <c r="U10" s="5">
        <f t="shared" si="13"/>
        <v>0</v>
      </c>
      <c r="V10" s="5">
        <f>Table1[[#This Row],[Enrolment S.Y. 2025-2026 ]]*8</f>
        <v>6624</v>
      </c>
      <c r="W10" s="5"/>
      <c r="X10" s="1"/>
      <c r="Y10" s="5"/>
      <c r="Z10" s="5">
        <f t="shared" si="14"/>
        <v>6624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828</v>
      </c>
      <c r="D11" s="5">
        <f>Table1[[#This Row],[Enrolment S.Y. 2025-2026 ]]*8</f>
        <v>6624</v>
      </c>
      <c r="E11" s="5"/>
      <c r="F11" s="1"/>
      <c r="G11" s="5"/>
      <c r="H11" s="5">
        <f>IF((D11-E11)&lt;0,0,(D11-E11))</f>
        <v>6624</v>
      </c>
      <c r="I11" s="5">
        <f>IF((E11-D11)&lt;0,0,(E11-D11))</f>
        <v>0</v>
      </c>
      <c r="J11" s="5">
        <f>Table1[[#This Row],[Enrolment S.Y. 2025-2026 ]]*8</f>
        <v>6624</v>
      </c>
      <c r="K11" s="5"/>
      <c r="L11" s="1"/>
      <c r="M11" s="5"/>
      <c r="N11" s="5">
        <f t="shared" si="10"/>
        <v>6624</v>
      </c>
      <c r="O11" s="5">
        <f t="shared" si="11"/>
        <v>0</v>
      </c>
      <c r="P11" s="5">
        <f>Table1[[#This Row],[Enrolment S.Y. 2025-2026 ]]*8</f>
        <v>6624</v>
      </c>
      <c r="Q11" s="5"/>
      <c r="R11" s="1"/>
      <c r="S11" s="5"/>
      <c r="T11" s="5">
        <f t="shared" si="12"/>
        <v>6624</v>
      </c>
      <c r="U11" s="5">
        <f t="shared" si="13"/>
        <v>0</v>
      </c>
      <c r="V11" s="5">
        <f>Table1[[#This Row],[Enrolment S.Y. 2025-2026 ]]*8</f>
        <v>6624</v>
      </c>
      <c r="W11" s="5"/>
      <c r="X11" s="1"/>
      <c r="Y11" s="5"/>
      <c r="Z11" s="5">
        <f t="shared" si="14"/>
        <v>6624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828</v>
      </c>
      <c r="D12" s="5">
        <f>Table1[[#This Row],[Enrolment S.Y. 2025-2026 ]]*8</f>
        <v>6624</v>
      </c>
      <c r="E12" s="5"/>
      <c r="F12" s="1"/>
      <c r="G12" s="5"/>
      <c r="H12" s="5">
        <f>IF((D12-E12)&lt;0,0,(D12-E12))</f>
        <v>6624</v>
      </c>
      <c r="I12" s="5">
        <f>IF((E12-D12)&lt;0,0,(E12-D12))</f>
        <v>0</v>
      </c>
      <c r="J12" s="5">
        <f>Table1[[#This Row],[Enrolment S.Y. 2025-2026 ]]*8</f>
        <v>6624</v>
      </c>
      <c r="K12" s="5"/>
      <c r="L12" s="1"/>
      <c r="M12" s="5"/>
      <c r="N12" s="5">
        <f t="shared" si="10"/>
        <v>6624</v>
      </c>
      <c r="O12" s="5">
        <f t="shared" si="11"/>
        <v>0</v>
      </c>
      <c r="P12" s="5">
        <f>Table1[[#This Row],[Enrolment S.Y. 2025-2026 ]]*8</f>
        <v>6624</v>
      </c>
      <c r="Q12" s="5"/>
      <c r="R12" s="1"/>
      <c r="S12" s="5"/>
      <c r="T12" s="5">
        <f t="shared" si="12"/>
        <v>6624</v>
      </c>
      <c r="U12" s="5">
        <f t="shared" si="13"/>
        <v>0</v>
      </c>
      <c r="V12" s="5">
        <f>Table1[[#This Row],[Enrolment S.Y. 2025-2026 ]]*8</f>
        <v>6624</v>
      </c>
      <c r="W12" s="5"/>
      <c r="X12" s="1"/>
      <c r="Y12" s="5"/>
      <c r="Z12" s="5">
        <f t="shared" si="14"/>
        <v>6624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 customHeight="1">
      <c r="A14" s="1">
        <v>2</v>
      </c>
      <c r="B14" s="2" t="s">
        <v>8</v>
      </c>
      <c r="C14" s="1">
        <v>809</v>
      </c>
      <c r="D14" s="5">
        <f>Table1[[#This Row],[Enrolment S.Y. 2025-2026 ]]*8</f>
        <v>6472</v>
      </c>
      <c r="E14" s="5"/>
      <c r="F14" s="1"/>
      <c r="G14" s="5"/>
      <c r="H14" s="5">
        <f t="shared" si="2"/>
        <v>6472</v>
      </c>
      <c r="I14" s="5">
        <f t="shared" si="3"/>
        <v>0</v>
      </c>
      <c r="J14" s="5">
        <f>Table1[[#This Row],[Enrolment S.Y. 2025-2026 ]]*8</f>
        <v>6472</v>
      </c>
      <c r="K14" s="5"/>
      <c r="L14" s="1"/>
      <c r="M14" s="5"/>
      <c r="N14" s="5">
        <f t="shared" si="10"/>
        <v>6472</v>
      </c>
      <c r="O14" s="5">
        <f t="shared" si="11"/>
        <v>0</v>
      </c>
      <c r="P14" s="5">
        <f>Table1[[#This Row],[Enrolment S.Y. 2025-2026 ]]*8</f>
        <v>6472</v>
      </c>
      <c r="Q14" s="5"/>
      <c r="R14" s="1"/>
      <c r="S14" s="5"/>
      <c r="T14" s="5">
        <f t="shared" si="12"/>
        <v>6472</v>
      </c>
      <c r="U14" s="5">
        <f t="shared" si="13"/>
        <v>0</v>
      </c>
      <c r="V14" s="5">
        <f>Table1[[#This Row],[Enrolment S.Y. 2025-2026 ]]*8</f>
        <v>6472</v>
      </c>
      <c r="W14" s="5"/>
      <c r="X14" s="1"/>
      <c r="Y14" s="5"/>
      <c r="Z14" s="5">
        <f t="shared" si="14"/>
        <v>6472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809</v>
      </c>
      <c r="D15" s="5">
        <f>Table1[[#This Row],[Enrolment S.Y. 2025-2026 ]]*8</f>
        <v>6472</v>
      </c>
      <c r="E15" s="5"/>
      <c r="F15" s="1"/>
      <c r="G15" s="5"/>
      <c r="H15" s="5">
        <f t="shared" si="2"/>
        <v>6472</v>
      </c>
      <c r="I15" s="5">
        <f t="shared" si="3"/>
        <v>0</v>
      </c>
      <c r="J15" s="5">
        <f>Table1[[#This Row],[Enrolment S.Y. 2025-2026 ]]*8</f>
        <v>6472</v>
      </c>
      <c r="K15" s="5"/>
      <c r="L15" s="1"/>
      <c r="M15" s="5"/>
      <c r="N15" s="5">
        <f t="shared" si="10"/>
        <v>6472</v>
      </c>
      <c r="O15" s="5">
        <f t="shared" si="11"/>
        <v>0</v>
      </c>
      <c r="P15" s="5">
        <f>Table1[[#This Row],[Enrolment S.Y. 2025-2026 ]]*8</f>
        <v>6472</v>
      </c>
      <c r="Q15" s="5"/>
      <c r="R15" s="1"/>
      <c r="S15" s="5"/>
      <c r="T15" s="5">
        <f t="shared" si="12"/>
        <v>6472</v>
      </c>
      <c r="U15" s="5">
        <f t="shared" si="13"/>
        <v>0</v>
      </c>
      <c r="V15" s="5">
        <f>Table1[[#This Row],[Enrolment S.Y. 2025-2026 ]]*8</f>
        <v>6472</v>
      </c>
      <c r="W15" s="5"/>
      <c r="X15" s="1"/>
      <c r="Y15" s="5"/>
      <c r="Z15" s="5">
        <f t="shared" si="14"/>
        <v>6472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809</v>
      </c>
      <c r="D16" s="5">
        <f>Table1[[#This Row],[Enrolment S.Y. 2025-2026 ]]*8</f>
        <v>6472</v>
      </c>
      <c r="E16" s="5">
        <v>743</v>
      </c>
      <c r="F16" s="1">
        <v>2025</v>
      </c>
      <c r="G16" s="5" t="s">
        <v>61</v>
      </c>
      <c r="H16" s="5">
        <f t="shared" si="2"/>
        <v>5729</v>
      </c>
      <c r="I16" s="5">
        <f t="shared" si="3"/>
        <v>0</v>
      </c>
      <c r="J16" s="5">
        <f>Table1[[#This Row],[Enrolment S.Y. 2025-2026 ]]*8</f>
        <v>6472</v>
      </c>
      <c r="K16" s="5"/>
      <c r="L16" s="1"/>
      <c r="M16" s="5"/>
      <c r="N16" s="5">
        <f t="shared" si="10"/>
        <v>6472</v>
      </c>
      <c r="O16" s="5">
        <f t="shared" si="11"/>
        <v>0</v>
      </c>
      <c r="P16" s="5">
        <f>Table1[[#This Row],[Enrolment S.Y. 2025-2026 ]]*8</f>
        <v>6472</v>
      </c>
      <c r="Q16" s="5"/>
      <c r="R16" s="1"/>
      <c r="S16" s="5"/>
      <c r="T16" s="5">
        <f t="shared" si="12"/>
        <v>6472</v>
      </c>
      <c r="U16" s="5">
        <f t="shared" si="13"/>
        <v>0</v>
      </c>
      <c r="V16" s="5">
        <f>Table1[[#This Row],[Enrolment S.Y. 2025-2026 ]]*8</f>
        <v>6472</v>
      </c>
      <c r="W16" s="5"/>
      <c r="X16" s="1"/>
      <c r="Y16" s="5"/>
      <c r="Z16" s="5">
        <f t="shared" si="14"/>
        <v>6472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809</v>
      </c>
      <c r="D17" s="5">
        <f>Table1[[#This Row],[Enrolment S.Y. 2025-2026 ]]*8</f>
        <v>6472</v>
      </c>
      <c r="E17" s="5">
        <v>743</v>
      </c>
      <c r="F17" s="1">
        <v>2025</v>
      </c>
      <c r="G17" s="5" t="s">
        <v>61</v>
      </c>
      <c r="H17" s="5">
        <f t="shared" si="2"/>
        <v>5729</v>
      </c>
      <c r="I17" s="5">
        <f t="shared" si="3"/>
        <v>0</v>
      </c>
      <c r="J17" s="5">
        <f>Table1[[#This Row],[Enrolment S.Y. 2025-2026 ]]*8</f>
        <v>6472</v>
      </c>
      <c r="K17" s="5">
        <v>796</v>
      </c>
      <c r="L17" s="1">
        <v>2025</v>
      </c>
      <c r="M17" s="5" t="s">
        <v>61</v>
      </c>
      <c r="N17" s="5">
        <f t="shared" si="10"/>
        <v>5676</v>
      </c>
      <c r="O17" s="5">
        <f t="shared" si="11"/>
        <v>0</v>
      </c>
      <c r="P17" s="5">
        <f>Table1[[#This Row],[Enrolment S.Y. 2025-2026 ]]*8</f>
        <v>6472</v>
      </c>
      <c r="Q17" s="5"/>
      <c r="R17" s="1"/>
      <c r="S17" s="5"/>
      <c r="T17" s="5">
        <f t="shared" si="12"/>
        <v>6472</v>
      </c>
      <c r="U17" s="5">
        <f t="shared" si="13"/>
        <v>0</v>
      </c>
      <c r="V17" s="5">
        <f>Table1[[#This Row],[Enrolment S.Y. 2025-2026 ]]*8</f>
        <v>6472</v>
      </c>
      <c r="W17" s="5"/>
      <c r="X17" s="1"/>
      <c r="Y17" s="5"/>
      <c r="Z17" s="5">
        <f t="shared" si="14"/>
        <v>6472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809</v>
      </c>
      <c r="D18" s="5">
        <f>Table1[[#This Row],[Enrolment S.Y. 2025-2026 ]]*8</f>
        <v>6472</v>
      </c>
      <c r="E18" s="5">
        <v>743</v>
      </c>
      <c r="F18" s="1">
        <v>2025</v>
      </c>
      <c r="G18" s="5" t="s">
        <v>61</v>
      </c>
      <c r="H18" s="5">
        <f t="shared" si="2"/>
        <v>5729</v>
      </c>
      <c r="I18" s="5">
        <f t="shared" si="3"/>
        <v>0</v>
      </c>
      <c r="J18" s="5">
        <f>Table1[[#This Row],[Enrolment S.Y. 2025-2026 ]]*8</f>
        <v>6472</v>
      </c>
      <c r="K18" s="5"/>
      <c r="L18" s="1"/>
      <c r="M18" s="5"/>
      <c r="N18" s="5">
        <f t="shared" si="10"/>
        <v>6472</v>
      </c>
      <c r="O18" s="5">
        <f t="shared" si="11"/>
        <v>0</v>
      </c>
      <c r="P18" s="5">
        <f>Table1[[#This Row],[Enrolment S.Y. 2025-2026 ]]*8</f>
        <v>6472</v>
      </c>
      <c r="Q18" s="5"/>
      <c r="R18" s="1"/>
      <c r="S18" s="5"/>
      <c r="T18" s="5">
        <f t="shared" si="12"/>
        <v>6472</v>
      </c>
      <c r="U18" s="5">
        <f t="shared" si="13"/>
        <v>0</v>
      </c>
      <c r="V18" s="5">
        <f>Table1[[#This Row],[Enrolment S.Y. 2025-2026 ]]*8</f>
        <v>6472</v>
      </c>
      <c r="W18" s="5"/>
      <c r="X18" s="1"/>
      <c r="Y18" s="5"/>
      <c r="Z18" s="5">
        <f t="shared" si="14"/>
        <v>6472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809</v>
      </c>
      <c r="D19" s="5">
        <f>Table1[[#This Row],[Enrolment S.Y. 2025-2026 ]]*8</f>
        <v>6472</v>
      </c>
      <c r="E19" s="5">
        <v>743</v>
      </c>
      <c r="F19" s="1">
        <v>2025</v>
      </c>
      <c r="G19" s="5" t="s">
        <v>61</v>
      </c>
      <c r="H19" s="5">
        <f>IF((D19-E19)&lt;0,0,(D19-E19))</f>
        <v>5729</v>
      </c>
      <c r="I19" s="5">
        <f>IF((E19-D19)&lt;0,0,(E19-D19))</f>
        <v>0</v>
      </c>
      <c r="J19" s="5">
        <f>Table1[[#This Row],[Enrolment S.Y. 2025-2026 ]]*8</f>
        <v>6472</v>
      </c>
      <c r="K19" s="5">
        <v>796</v>
      </c>
      <c r="L19" s="1">
        <v>2025</v>
      </c>
      <c r="M19" s="5" t="s">
        <v>61</v>
      </c>
      <c r="N19" s="5">
        <f t="shared" si="10"/>
        <v>5676</v>
      </c>
      <c r="O19" s="5">
        <f t="shared" si="11"/>
        <v>0</v>
      </c>
      <c r="P19" s="5">
        <f>Table1[[#This Row],[Enrolment S.Y. 2025-2026 ]]*8</f>
        <v>6472</v>
      </c>
      <c r="Q19" s="5"/>
      <c r="R19" s="1"/>
      <c r="S19" s="5"/>
      <c r="T19" s="5">
        <f t="shared" si="12"/>
        <v>6472</v>
      </c>
      <c r="U19" s="5">
        <f t="shared" si="13"/>
        <v>0</v>
      </c>
      <c r="V19" s="5">
        <f>Table1[[#This Row],[Enrolment S.Y. 2025-2026 ]]*8</f>
        <v>6472</v>
      </c>
      <c r="W19" s="5"/>
      <c r="X19" s="1"/>
      <c r="Y19" s="5"/>
      <c r="Z19" s="5">
        <f t="shared" si="14"/>
        <v>6472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809</v>
      </c>
      <c r="D20" s="5">
        <f>Table1[[#This Row],[Enrolment S.Y. 2025-2026 ]]*8</f>
        <v>6472</v>
      </c>
      <c r="E20" s="5">
        <v>743</v>
      </c>
      <c r="F20" s="1">
        <v>2025</v>
      </c>
      <c r="G20" s="5" t="s">
        <v>61</v>
      </c>
      <c r="H20" s="5">
        <f>IF((D20-E20)&lt;0,0,(D20-E20))</f>
        <v>5729</v>
      </c>
      <c r="I20" s="5">
        <f>IF((E20-D20)&lt;0,0,(E20-D20))</f>
        <v>0</v>
      </c>
      <c r="J20" s="5">
        <f>Table1[[#This Row],[Enrolment S.Y. 2025-2026 ]]*8</f>
        <v>6472</v>
      </c>
      <c r="K20" s="5"/>
      <c r="L20" s="1"/>
      <c r="M20" s="5"/>
      <c r="N20" s="5">
        <f t="shared" si="10"/>
        <v>6472</v>
      </c>
      <c r="O20" s="5">
        <f t="shared" si="11"/>
        <v>0</v>
      </c>
      <c r="P20" s="5">
        <f>Table1[[#This Row],[Enrolment S.Y. 2025-2026 ]]*8</f>
        <v>6472</v>
      </c>
      <c r="Q20" s="5"/>
      <c r="R20" s="1"/>
      <c r="S20" s="5"/>
      <c r="T20" s="5">
        <f t="shared" si="12"/>
        <v>6472</v>
      </c>
      <c r="U20" s="5">
        <f t="shared" si="13"/>
        <v>0</v>
      </c>
      <c r="V20" s="5">
        <f>Table1[[#This Row],[Enrolment S.Y. 2025-2026 ]]*8</f>
        <v>6472</v>
      </c>
      <c r="W20" s="5"/>
      <c r="X20" s="1"/>
      <c r="Y20" s="5"/>
      <c r="Z20" s="5">
        <f t="shared" si="14"/>
        <v>6472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809</v>
      </c>
      <c r="D21" s="5">
        <f>Table1[[#This Row],[Enrolment S.Y. 2025-2026 ]]*8</f>
        <v>6472</v>
      </c>
      <c r="E21" s="5"/>
      <c r="F21" s="1"/>
      <c r="G21" s="5"/>
      <c r="H21" s="5">
        <f>IF((D21-E21)&lt;0,0,(D21-E21))</f>
        <v>6472</v>
      </c>
      <c r="I21" s="5">
        <f>IF((E21-D21)&lt;0,0,(E21-D21))</f>
        <v>0</v>
      </c>
      <c r="J21" s="5">
        <f>Table1[[#This Row],[Enrolment S.Y. 2025-2026 ]]*8</f>
        <v>6472</v>
      </c>
      <c r="K21" s="5"/>
      <c r="L21" s="1"/>
      <c r="M21" s="5"/>
      <c r="N21" s="5">
        <f t="shared" si="10"/>
        <v>6472</v>
      </c>
      <c r="O21" s="5">
        <f t="shared" si="11"/>
        <v>0</v>
      </c>
      <c r="P21" s="5">
        <f>Table1[[#This Row],[Enrolment S.Y. 2025-2026 ]]*8</f>
        <v>6472</v>
      </c>
      <c r="Q21" s="5"/>
      <c r="R21" s="1"/>
      <c r="S21" s="5"/>
      <c r="T21" s="5">
        <f t="shared" si="12"/>
        <v>6472</v>
      </c>
      <c r="U21" s="5">
        <f t="shared" si="13"/>
        <v>0</v>
      </c>
      <c r="V21" s="5">
        <f>Table1[[#This Row],[Enrolment S.Y. 2025-2026 ]]*8</f>
        <v>6472</v>
      </c>
      <c r="W21" s="5"/>
      <c r="X21" s="1"/>
      <c r="Y21" s="5"/>
      <c r="Z21" s="5">
        <f t="shared" si="14"/>
        <v>6472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5.25" customHeight="1">
      <c r="A23" s="1">
        <v>3</v>
      </c>
      <c r="B23" s="2" t="s">
        <v>8</v>
      </c>
      <c r="C23" s="1">
        <v>844</v>
      </c>
      <c r="D23" s="5">
        <f>Table1[[#This Row],[Enrolment S.Y. 2025-2026 ]]*8</f>
        <v>6752</v>
      </c>
      <c r="E23" s="5"/>
      <c r="F23" s="1"/>
      <c r="G23" s="5"/>
      <c r="H23" s="5">
        <f t="shared" si="2"/>
        <v>6752</v>
      </c>
      <c r="I23" s="5">
        <f t="shared" si="3"/>
        <v>0</v>
      </c>
      <c r="J23" s="5">
        <f>Table1[[#This Row],[Enrolment S.Y. 2025-2026 ]]*8</f>
        <v>6752</v>
      </c>
      <c r="K23" s="5"/>
      <c r="L23" s="1"/>
      <c r="M23" s="5"/>
      <c r="N23" s="5">
        <f t="shared" si="10"/>
        <v>6752</v>
      </c>
      <c r="O23" s="5">
        <f t="shared" si="11"/>
        <v>0</v>
      </c>
      <c r="P23" s="5">
        <f>Table1[[#This Row],[Enrolment S.Y. 2025-2026 ]]*8</f>
        <v>6752</v>
      </c>
      <c r="Q23" s="5"/>
      <c r="R23" s="1"/>
      <c r="S23" s="5"/>
      <c r="T23" s="5">
        <f t="shared" si="12"/>
        <v>6752</v>
      </c>
      <c r="U23" s="5">
        <f t="shared" si="13"/>
        <v>0</v>
      </c>
      <c r="V23" s="5">
        <f>Table1[[#This Row],[Enrolment S.Y. 2025-2026 ]]*8</f>
        <v>6752</v>
      </c>
      <c r="W23" s="5"/>
      <c r="X23" s="1"/>
      <c r="Y23" s="5"/>
      <c r="Z23" s="5">
        <f t="shared" si="14"/>
        <v>6752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844</v>
      </c>
      <c r="D24" s="5">
        <f>Table1[[#This Row],[Enrolment S.Y. 2025-2026 ]]*8</f>
        <v>6752</v>
      </c>
      <c r="E24" s="5"/>
      <c r="F24" s="1"/>
      <c r="G24" s="5"/>
      <c r="H24" s="5">
        <f t="shared" si="2"/>
        <v>6752</v>
      </c>
      <c r="I24" s="5">
        <f t="shared" si="3"/>
        <v>0</v>
      </c>
      <c r="J24" s="5">
        <f>Table1[[#This Row],[Enrolment S.Y. 2025-2026 ]]*8</f>
        <v>6752</v>
      </c>
      <c r="K24" s="5"/>
      <c r="L24" s="1"/>
      <c r="M24" s="5"/>
      <c r="N24" s="5">
        <f t="shared" si="10"/>
        <v>6752</v>
      </c>
      <c r="O24" s="5">
        <f t="shared" si="11"/>
        <v>0</v>
      </c>
      <c r="P24" s="5">
        <f>Table1[[#This Row],[Enrolment S.Y. 2025-2026 ]]*8</f>
        <v>6752</v>
      </c>
      <c r="Q24" s="5"/>
      <c r="R24" s="1"/>
      <c r="S24" s="5"/>
      <c r="T24" s="5">
        <f t="shared" si="12"/>
        <v>6752</v>
      </c>
      <c r="U24" s="5">
        <f t="shared" si="13"/>
        <v>0</v>
      </c>
      <c r="V24" s="5">
        <f>Table1[[#This Row],[Enrolment S.Y. 2025-2026 ]]*8</f>
        <v>6752</v>
      </c>
      <c r="W24" s="5"/>
      <c r="X24" s="1"/>
      <c r="Y24" s="5"/>
      <c r="Z24" s="5">
        <f t="shared" si="14"/>
        <v>6752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844</v>
      </c>
      <c r="D25" s="5">
        <f>Table1[[#This Row],[Enrolment S.Y. 2025-2026 ]]*8</f>
        <v>6752</v>
      </c>
      <c r="E25" s="5">
        <v>649</v>
      </c>
      <c r="F25" s="1">
        <v>2025</v>
      </c>
      <c r="G25" s="5" t="s">
        <v>61</v>
      </c>
      <c r="H25" s="5">
        <f t="shared" si="2"/>
        <v>6103</v>
      </c>
      <c r="I25" s="5">
        <f t="shared" si="3"/>
        <v>0</v>
      </c>
      <c r="J25" s="5">
        <f>Table1[[#This Row],[Enrolment S.Y. 2025-2026 ]]*8</f>
        <v>6752</v>
      </c>
      <c r="K25" s="5"/>
      <c r="L25" s="1"/>
      <c r="M25" s="5"/>
      <c r="N25" s="5">
        <f t="shared" si="10"/>
        <v>6752</v>
      </c>
      <c r="O25" s="5">
        <f t="shared" si="11"/>
        <v>0</v>
      </c>
      <c r="P25" s="5">
        <f>Table1[[#This Row],[Enrolment S.Y. 2025-2026 ]]*8</f>
        <v>6752</v>
      </c>
      <c r="Q25" s="5"/>
      <c r="R25" s="1"/>
      <c r="S25" s="5"/>
      <c r="T25" s="5">
        <f t="shared" si="12"/>
        <v>6752</v>
      </c>
      <c r="U25" s="5">
        <f t="shared" si="13"/>
        <v>0</v>
      </c>
      <c r="V25" s="5">
        <f>Table1[[#This Row],[Enrolment S.Y. 2025-2026 ]]*8</f>
        <v>6752</v>
      </c>
      <c r="W25" s="5"/>
      <c r="X25" s="1"/>
      <c r="Y25" s="5"/>
      <c r="Z25" s="5">
        <f t="shared" si="14"/>
        <v>6752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844</v>
      </c>
      <c r="D26" s="5">
        <f>Table1[[#This Row],[Enrolment S.Y. 2025-2026 ]]*8</f>
        <v>6752</v>
      </c>
      <c r="E26" s="5">
        <v>649</v>
      </c>
      <c r="F26" s="1">
        <v>2025</v>
      </c>
      <c r="G26" s="5" t="s">
        <v>61</v>
      </c>
      <c r="H26" s="5">
        <f t="shared" si="2"/>
        <v>6103</v>
      </c>
      <c r="I26" s="5">
        <f t="shared" si="3"/>
        <v>0</v>
      </c>
      <c r="J26" s="5">
        <f>Table1[[#This Row],[Enrolment S.Y. 2025-2026 ]]*8</f>
        <v>6752</v>
      </c>
      <c r="K26" s="5"/>
      <c r="L26" s="1"/>
      <c r="M26" s="5"/>
      <c r="N26" s="5">
        <f t="shared" si="10"/>
        <v>6752</v>
      </c>
      <c r="O26" s="5">
        <f t="shared" si="11"/>
        <v>0</v>
      </c>
      <c r="P26" s="5">
        <f>Table1[[#This Row],[Enrolment S.Y. 2025-2026 ]]*8</f>
        <v>6752</v>
      </c>
      <c r="Q26" s="5"/>
      <c r="R26" s="1"/>
      <c r="S26" s="5"/>
      <c r="T26" s="5">
        <f t="shared" si="12"/>
        <v>6752</v>
      </c>
      <c r="U26" s="5">
        <f t="shared" si="13"/>
        <v>0</v>
      </c>
      <c r="V26" s="5">
        <f>Table1[[#This Row],[Enrolment S.Y. 2025-2026 ]]*8</f>
        <v>6752</v>
      </c>
      <c r="W26" s="5"/>
      <c r="X26" s="1"/>
      <c r="Y26" s="5"/>
      <c r="Z26" s="5">
        <f t="shared" si="14"/>
        <v>6752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844</v>
      </c>
      <c r="D27" s="5">
        <f>Table1[[#This Row],[Enrolment S.Y. 2025-2026 ]]*8</f>
        <v>6752</v>
      </c>
      <c r="E27" s="5">
        <v>649</v>
      </c>
      <c r="F27" s="1">
        <v>2025</v>
      </c>
      <c r="G27" s="5" t="s">
        <v>61</v>
      </c>
      <c r="H27" s="5">
        <f t="shared" si="2"/>
        <v>6103</v>
      </c>
      <c r="I27" s="5">
        <f t="shared" si="3"/>
        <v>0</v>
      </c>
      <c r="J27" s="5">
        <f>Table1[[#This Row],[Enrolment S.Y. 2025-2026 ]]*8</f>
        <v>6752</v>
      </c>
      <c r="K27" s="5"/>
      <c r="L27" s="1"/>
      <c r="M27" s="5"/>
      <c r="N27" s="5">
        <f t="shared" si="10"/>
        <v>6752</v>
      </c>
      <c r="O27" s="5">
        <f t="shared" si="11"/>
        <v>0</v>
      </c>
      <c r="P27" s="5">
        <f>Table1[[#This Row],[Enrolment S.Y. 2025-2026 ]]*8</f>
        <v>6752</v>
      </c>
      <c r="Q27" s="5"/>
      <c r="R27" s="1"/>
      <c r="S27" s="5"/>
      <c r="T27" s="5">
        <f t="shared" si="12"/>
        <v>6752</v>
      </c>
      <c r="U27" s="5">
        <f t="shared" si="13"/>
        <v>0</v>
      </c>
      <c r="V27" s="5">
        <f>Table1[[#This Row],[Enrolment S.Y. 2025-2026 ]]*8</f>
        <v>6752</v>
      </c>
      <c r="W27" s="5"/>
      <c r="X27" s="1"/>
      <c r="Y27" s="5"/>
      <c r="Z27" s="5">
        <f t="shared" si="14"/>
        <v>6752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844</v>
      </c>
      <c r="D28" s="5">
        <f>Table1[[#This Row],[Enrolment S.Y. 2025-2026 ]]*8</f>
        <v>6752</v>
      </c>
      <c r="E28" s="5">
        <v>649</v>
      </c>
      <c r="F28" s="1">
        <v>2025</v>
      </c>
      <c r="G28" s="5" t="s">
        <v>61</v>
      </c>
      <c r="H28" s="5">
        <f t="shared" si="2"/>
        <v>6103</v>
      </c>
      <c r="I28" s="5">
        <f t="shared" si="3"/>
        <v>0</v>
      </c>
      <c r="J28" s="5">
        <f>Table1[[#This Row],[Enrolment S.Y. 2025-2026 ]]*8</f>
        <v>6752</v>
      </c>
      <c r="K28" s="5"/>
      <c r="L28" s="1"/>
      <c r="M28" s="5"/>
      <c r="N28" s="5">
        <f t="shared" si="10"/>
        <v>6752</v>
      </c>
      <c r="O28" s="5">
        <f t="shared" si="11"/>
        <v>0</v>
      </c>
      <c r="P28" s="5">
        <f>Table1[[#This Row],[Enrolment S.Y. 2025-2026 ]]*8</f>
        <v>6752</v>
      </c>
      <c r="Q28" s="5"/>
      <c r="R28" s="1"/>
      <c r="S28" s="5"/>
      <c r="T28" s="5">
        <f t="shared" si="12"/>
        <v>6752</v>
      </c>
      <c r="U28" s="5">
        <f t="shared" si="13"/>
        <v>0</v>
      </c>
      <c r="V28" s="5">
        <f>Table1[[#This Row],[Enrolment S.Y. 2025-2026 ]]*8</f>
        <v>6752</v>
      </c>
      <c r="W28" s="5"/>
      <c r="X28" s="1"/>
      <c r="Y28" s="5"/>
      <c r="Z28" s="5">
        <f t="shared" si="14"/>
        <v>6752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844</v>
      </c>
      <c r="D29" s="5">
        <f>Table1[[#This Row],[Enrolment S.Y. 2025-2026 ]]*8</f>
        <v>6752</v>
      </c>
      <c r="E29" s="5">
        <v>649</v>
      </c>
      <c r="F29" s="1">
        <v>2025</v>
      </c>
      <c r="G29" s="5" t="s">
        <v>61</v>
      </c>
      <c r="H29" s="5">
        <f>IF((D29-E29)&lt;0,0,(D29-E29))</f>
        <v>6103</v>
      </c>
      <c r="I29" s="5">
        <f>IF((E29-D29)&lt;0,0,(E29-D29))</f>
        <v>0</v>
      </c>
      <c r="J29" s="5">
        <f>Table1[[#This Row],[Enrolment S.Y. 2025-2026 ]]*8</f>
        <v>6752</v>
      </c>
      <c r="K29" s="5"/>
      <c r="L29" s="1"/>
      <c r="M29" s="5"/>
      <c r="N29" s="5">
        <f t="shared" si="10"/>
        <v>6752</v>
      </c>
      <c r="O29" s="5">
        <f t="shared" si="11"/>
        <v>0</v>
      </c>
      <c r="P29" s="5">
        <f>Table1[[#This Row],[Enrolment S.Y. 2025-2026 ]]*8</f>
        <v>6752</v>
      </c>
      <c r="Q29" s="5"/>
      <c r="R29" s="1"/>
      <c r="S29" s="5"/>
      <c r="T29" s="5">
        <f t="shared" si="12"/>
        <v>6752</v>
      </c>
      <c r="U29" s="5">
        <f t="shared" si="13"/>
        <v>0</v>
      </c>
      <c r="V29" s="5">
        <f>Table1[[#This Row],[Enrolment S.Y. 2025-2026 ]]*8</f>
        <v>6752</v>
      </c>
      <c r="W29" s="5"/>
      <c r="X29" s="1"/>
      <c r="Y29" s="5"/>
      <c r="Z29" s="5">
        <f t="shared" si="14"/>
        <v>6752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844</v>
      </c>
      <c r="D30" s="5">
        <f>Table1[[#This Row],[Enrolment S.Y. 2025-2026 ]]*8</f>
        <v>6752</v>
      </c>
      <c r="E30" s="5">
        <v>649</v>
      </c>
      <c r="F30" s="1">
        <v>2025</v>
      </c>
      <c r="G30" s="5" t="s">
        <v>61</v>
      </c>
      <c r="H30" s="5">
        <f>IF((D30-E30)&lt;0,0,(D30-E30))</f>
        <v>6103</v>
      </c>
      <c r="I30" s="5">
        <f>IF((E30-D30)&lt;0,0,(E30-D30))</f>
        <v>0</v>
      </c>
      <c r="J30" s="5">
        <f>Table1[[#This Row],[Enrolment S.Y. 2025-2026 ]]*8</f>
        <v>6752</v>
      </c>
      <c r="K30" s="5"/>
      <c r="L30" s="1"/>
      <c r="M30" s="5"/>
      <c r="N30" s="5">
        <f t="shared" si="10"/>
        <v>6752</v>
      </c>
      <c r="O30" s="5">
        <f t="shared" si="11"/>
        <v>0</v>
      </c>
      <c r="P30" s="5">
        <f>Table1[[#This Row],[Enrolment S.Y. 2025-2026 ]]*8</f>
        <v>6752</v>
      </c>
      <c r="Q30" s="5"/>
      <c r="R30" s="1"/>
      <c r="S30" s="5"/>
      <c r="T30" s="5">
        <f t="shared" si="12"/>
        <v>6752</v>
      </c>
      <c r="U30" s="5">
        <f t="shared" si="13"/>
        <v>0</v>
      </c>
      <c r="V30" s="5">
        <f>Table1[[#This Row],[Enrolment S.Y. 2025-2026 ]]*8</f>
        <v>6752</v>
      </c>
      <c r="W30" s="5"/>
      <c r="X30" s="1"/>
      <c r="Y30" s="5"/>
      <c r="Z30" s="5">
        <f t="shared" si="14"/>
        <v>6752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844</v>
      </c>
      <c r="D31" s="5">
        <f>Table1[[#This Row],[Enrolment S.Y. 2025-2026 ]]*8</f>
        <v>6752</v>
      </c>
      <c r="E31" s="5"/>
      <c r="F31" s="1"/>
      <c r="G31" s="5"/>
      <c r="H31" s="5">
        <f>IF((D31-E31)&lt;0,0,(D31-E31))</f>
        <v>6752</v>
      </c>
      <c r="I31" s="5">
        <f>IF((E31-D31)&lt;0,0,(E31-D31))</f>
        <v>0</v>
      </c>
      <c r="J31" s="5">
        <f>Table1[[#This Row],[Enrolment S.Y. 2025-2026 ]]*8</f>
        <v>6752</v>
      </c>
      <c r="K31" s="5"/>
      <c r="L31" s="1"/>
      <c r="M31" s="5"/>
      <c r="N31" s="5">
        <f t="shared" si="10"/>
        <v>6752</v>
      </c>
      <c r="O31" s="5">
        <f t="shared" si="11"/>
        <v>0</v>
      </c>
      <c r="P31" s="5">
        <f>Table1[[#This Row],[Enrolment S.Y. 2025-2026 ]]*8</f>
        <v>6752</v>
      </c>
      <c r="Q31" s="5"/>
      <c r="R31" s="1"/>
      <c r="S31" s="5"/>
      <c r="T31" s="5">
        <f t="shared" si="12"/>
        <v>6752</v>
      </c>
      <c r="U31" s="5">
        <f t="shared" si="13"/>
        <v>0</v>
      </c>
      <c r="V31" s="5">
        <f>Table1[[#This Row],[Enrolment S.Y. 2025-2026 ]]*8</f>
        <v>6752</v>
      </c>
      <c r="W31" s="5"/>
      <c r="X31" s="1"/>
      <c r="Y31" s="5"/>
      <c r="Z31" s="5">
        <f t="shared" si="14"/>
        <v>6752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832</v>
      </c>
      <c r="D33" s="5">
        <f>Table1[[#This Row],[Enrolment S.Y. 2025-2026 ]]*8</f>
        <v>6656</v>
      </c>
      <c r="E33" s="5">
        <v>125</v>
      </c>
      <c r="F33" s="1">
        <v>2025</v>
      </c>
      <c r="G33" s="5" t="s">
        <v>61</v>
      </c>
      <c r="H33" s="5">
        <f t="shared" si="2"/>
        <v>6531</v>
      </c>
      <c r="I33" s="5">
        <f t="shared" si="3"/>
        <v>0</v>
      </c>
      <c r="J33" s="5">
        <f>Table1[[#This Row],[Enrolment S.Y. 2025-2026 ]]*8</f>
        <v>6656</v>
      </c>
      <c r="K33" s="5"/>
      <c r="L33" s="1"/>
      <c r="M33" s="5"/>
      <c r="N33" s="5">
        <f t="shared" si="10"/>
        <v>6656</v>
      </c>
      <c r="O33" s="5">
        <f t="shared" si="11"/>
        <v>0</v>
      </c>
      <c r="P33" s="5">
        <f>Table1[[#This Row],[Enrolment S.Y. 2025-2026 ]]*8</f>
        <v>6656</v>
      </c>
      <c r="Q33" s="5"/>
      <c r="R33" s="1"/>
      <c r="S33" s="5"/>
      <c r="T33" s="5">
        <f t="shared" si="12"/>
        <v>6656</v>
      </c>
      <c r="U33" s="5">
        <f t="shared" si="13"/>
        <v>0</v>
      </c>
      <c r="V33" s="5">
        <f>Table1[[#This Row],[Enrolment S.Y. 2025-2026 ]]*8</f>
        <v>6656</v>
      </c>
      <c r="W33" s="5"/>
      <c r="X33" s="1"/>
      <c r="Y33" s="5"/>
      <c r="Z33" s="5">
        <f t="shared" si="14"/>
        <v>6656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832</v>
      </c>
      <c r="D34" s="5">
        <f>Table1[[#This Row],[Enrolment S.Y. 2025-2026 ]]*8</f>
        <v>6656</v>
      </c>
      <c r="E34" s="5"/>
      <c r="F34" s="1"/>
      <c r="G34" s="5"/>
      <c r="H34" s="5">
        <f t="shared" si="2"/>
        <v>6656</v>
      </c>
      <c r="I34" s="5">
        <f t="shared" si="3"/>
        <v>0</v>
      </c>
      <c r="J34" s="5">
        <f>Table1[[#This Row],[Enrolment S.Y. 2025-2026 ]]*8</f>
        <v>6656</v>
      </c>
      <c r="K34" s="5"/>
      <c r="L34" s="1"/>
      <c r="M34" s="5"/>
      <c r="N34" s="5">
        <f t="shared" si="10"/>
        <v>6656</v>
      </c>
      <c r="O34" s="5">
        <f t="shared" si="11"/>
        <v>0</v>
      </c>
      <c r="P34" s="5">
        <f>Table1[[#This Row],[Enrolment S.Y. 2025-2026 ]]*8</f>
        <v>6656</v>
      </c>
      <c r="Q34" s="5"/>
      <c r="R34" s="1"/>
      <c r="S34" s="5"/>
      <c r="T34" s="5">
        <f t="shared" si="12"/>
        <v>6656</v>
      </c>
      <c r="U34" s="5">
        <f t="shared" si="13"/>
        <v>0</v>
      </c>
      <c r="V34" s="5">
        <f>Table1[[#This Row],[Enrolment S.Y. 2025-2026 ]]*8</f>
        <v>6656</v>
      </c>
      <c r="W34" s="5"/>
      <c r="X34" s="1"/>
      <c r="Y34" s="5"/>
      <c r="Z34" s="5">
        <f t="shared" si="14"/>
        <v>6656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832</v>
      </c>
      <c r="D35" s="5">
        <f>Table1[[#This Row],[Enrolment S.Y. 2025-2026 ]]*8</f>
        <v>6656</v>
      </c>
      <c r="E35" s="5">
        <v>125</v>
      </c>
      <c r="F35" s="1">
        <v>2025</v>
      </c>
      <c r="G35" s="5" t="s">
        <v>61</v>
      </c>
      <c r="H35" s="5">
        <f t="shared" si="2"/>
        <v>6531</v>
      </c>
      <c r="I35" s="5">
        <f t="shared" si="3"/>
        <v>0</v>
      </c>
      <c r="J35" s="5">
        <f>Table1[[#This Row],[Enrolment S.Y. 2025-2026 ]]*8</f>
        <v>6656</v>
      </c>
      <c r="K35" s="5"/>
      <c r="L35" s="1"/>
      <c r="M35" s="5"/>
      <c r="N35" s="5">
        <f t="shared" si="10"/>
        <v>6656</v>
      </c>
      <c r="O35" s="5">
        <f t="shared" si="11"/>
        <v>0</v>
      </c>
      <c r="P35" s="5">
        <f>Table1[[#This Row],[Enrolment S.Y. 2025-2026 ]]*8</f>
        <v>6656</v>
      </c>
      <c r="Q35" s="5"/>
      <c r="R35" s="1"/>
      <c r="S35" s="5"/>
      <c r="T35" s="5">
        <f t="shared" si="12"/>
        <v>6656</v>
      </c>
      <c r="U35" s="5">
        <f t="shared" si="13"/>
        <v>0</v>
      </c>
      <c r="V35" s="5">
        <f>Table1[[#This Row],[Enrolment S.Y. 2025-2026 ]]*8</f>
        <v>6656</v>
      </c>
      <c r="W35" s="5"/>
      <c r="X35" s="1"/>
      <c r="Y35" s="5"/>
      <c r="Z35" s="5">
        <f t="shared" si="14"/>
        <v>6656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832</v>
      </c>
      <c r="D36" s="5">
        <f>Table1[[#This Row],[Enrolment S.Y. 2025-2026 ]]*8</f>
        <v>6656</v>
      </c>
      <c r="E36" s="5">
        <v>125</v>
      </c>
      <c r="F36" s="1">
        <v>2025</v>
      </c>
      <c r="G36" s="5" t="s">
        <v>61</v>
      </c>
      <c r="H36" s="5">
        <f t="shared" si="2"/>
        <v>6531</v>
      </c>
      <c r="I36" s="5">
        <f t="shared" si="3"/>
        <v>0</v>
      </c>
      <c r="J36" s="5">
        <f>Table1[[#This Row],[Enrolment S.Y. 2025-2026 ]]*8</f>
        <v>6656</v>
      </c>
      <c r="K36" s="5"/>
      <c r="L36" s="1"/>
      <c r="M36" s="5"/>
      <c r="N36" s="5">
        <f t="shared" si="10"/>
        <v>6656</v>
      </c>
      <c r="O36" s="5">
        <f t="shared" si="11"/>
        <v>0</v>
      </c>
      <c r="P36" s="5">
        <f>Table1[[#This Row],[Enrolment S.Y. 2025-2026 ]]*8</f>
        <v>6656</v>
      </c>
      <c r="Q36" s="5"/>
      <c r="R36" s="1"/>
      <c r="S36" s="5"/>
      <c r="T36" s="5">
        <f t="shared" si="12"/>
        <v>6656</v>
      </c>
      <c r="U36" s="5">
        <f t="shared" si="13"/>
        <v>0</v>
      </c>
      <c r="V36" s="5">
        <f>Table1[[#This Row],[Enrolment S.Y. 2025-2026 ]]*8</f>
        <v>6656</v>
      </c>
      <c r="W36" s="5"/>
      <c r="X36" s="1"/>
      <c r="Y36" s="5"/>
      <c r="Z36" s="5">
        <f t="shared" si="14"/>
        <v>6656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832</v>
      </c>
      <c r="D37" s="5">
        <f>Table1[[#This Row],[Enrolment S.Y. 2025-2026 ]]*8</f>
        <v>6656</v>
      </c>
      <c r="E37" s="5">
        <v>125</v>
      </c>
      <c r="F37" s="1">
        <v>2025</v>
      </c>
      <c r="G37" s="5" t="s">
        <v>61</v>
      </c>
      <c r="H37" s="5">
        <f t="shared" si="2"/>
        <v>6531</v>
      </c>
      <c r="I37" s="5">
        <f t="shared" si="3"/>
        <v>0</v>
      </c>
      <c r="J37" s="5">
        <f>Table1[[#This Row],[Enrolment S.Y. 2025-2026 ]]*8</f>
        <v>6656</v>
      </c>
      <c r="K37" s="5"/>
      <c r="L37" s="1"/>
      <c r="M37" s="5"/>
      <c r="N37" s="5">
        <f t="shared" si="10"/>
        <v>6656</v>
      </c>
      <c r="O37" s="5">
        <f t="shared" si="11"/>
        <v>0</v>
      </c>
      <c r="P37" s="5">
        <f>Table1[[#This Row],[Enrolment S.Y. 2025-2026 ]]*8</f>
        <v>6656</v>
      </c>
      <c r="Q37" s="5"/>
      <c r="R37" s="1"/>
      <c r="S37" s="5"/>
      <c r="T37" s="5">
        <f t="shared" si="12"/>
        <v>6656</v>
      </c>
      <c r="U37" s="5">
        <f t="shared" si="13"/>
        <v>0</v>
      </c>
      <c r="V37" s="5">
        <f>Table1[[#This Row],[Enrolment S.Y. 2025-2026 ]]*8</f>
        <v>6656</v>
      </c>
      <c r="W37" s="5"/>
      <c r="X37" s="1"/>
      <c r="Y37" s="5"/>
      <c r="Z37" s="5">
        <f t="shared" si="14"/>
        <v>6656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832</v>
      </c>
      <c r="D38" s="5">
        <f>Table1[[#This Row],[Enrolment S.Y. 2025-2026 ]]*8</f>
        <v>6656</v>
      </c>
      <c r="E38" s="5">
        <v>125</v>
      </c>
      <c r="F38" s="1">
        <v>2025</v>
      </c>
      <c r="G38" s="5" t="s">
        <v>61</v>
      </c>
      <c r="H38" s="5">
        <f t="shared" si="2"/>
        <v>6531</v>
      </c>
      <c r="I38" s="5">
        <f t="shared" si="3"/>
        <v>0</v>
      </c>
      <c r="J38" s="5">
        <f>Table1[[#This Row],[Enrolment S.Y. 2025-2026 ]]*8</f>
        <v>6656</v>
      </c>
      <c r="K38" s="5"/>
      <c r="L38" s="1"/>
      <c r="M38" s="5"/>
      <c r="N38" s="5">
        <f t="shared" si="10"/>
        <v>6656</v>
      </c>
      <c r="O38" s="5">
        <f t="shared" si="11"/>
        <v>0</v>
      </c>
      <c r="P38" s="5">
        <f>Table1[[#This Row],[Enrolment S.Y. 2025-2026 ]]*8</f>
        <v>6656</v>
      </c>
      <c r="Q38" s="5"/>
      <c r="R38" s="1"/>
      <c r="S38" s="5"/>
      <c r="T38" s="5">
        <f t="shared" si="12"/>
        <v>6656</v>
      </c>
      <c r="U38" s="5">
        <f t="shared" si="13"/>
        <v>0</v>
      </c>
      <c r="V38" s="5">
        <f>Table1[[#This Row],[Enrolment S.Y. 2025-2026 ]]*8</f>
        <v>6656</v>
      </c>
      <c r="W38" s="5"/>
      <c r="X38" s="1"/>
      <c r="Y38" s="5"/>
      <c r="Z38" s="5">
        <f t="shared" si="14"/>
        <v>6656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832</v>
      </c>
      <c r="D39" s="5">
        <f>Table1[[#This Row],[Enrolment S.Y. 2025-2026 ]]*8</f>
        <v>6656</v>
      </c>
      <c r="E39" s="5"/>
      <c r="F39" s="1"/>
      <c r="G39" s="5"/>
      <c r="H39" s="5">
        <f t="shared" si="2"/>
        <v>6656</v>
      </c>
      <c r="I39" s="5">
        <f t="shared" si="3"/>
        <v>0</v>
      </c>
      <c r="J39" s="5">
        <f>Table1[[#This Row],[Enrolment S.Y. 2025-2026 ]]*8</f>
        <v>6656</v>
      </c>
      <c r="K39" s="5"/>
      <c r="L39" s="1"/>
      <c r="M39" s="5"/>
      <c r="N39" s="5">
        <f t="shared" si="10"/>
        <v>6656</v>
      </c>
      <c r="O39" s="5">
        <f t="shared" si="11"/>
        <v>0</v>
      </c>
      <c r="P39" s="5">
        <f>Table1[[#This Row],[Enrolment S.Y. 2025-2026 ]]*8</f>
        <v>6656</v>
      </c>
      <c r="Q39" s="5"/>
      <c r="R39" s="1"/>
      <c r="S39" s="5"/>
      <c r="T39" s="5">
        <f t="shared" si="12"/>
        <v>6656</v>
      </c>
      <c r="U39" s="5">
        <f t="shared" si="13"/>
        <v>0</v>
      </c>
      <c r="V39" s="5">
        <f>Table1[[#This Row],[Enrolment S.Y. 2025-2026 ]]*8</f>
        <v>6656</v>
      </c>
      <c r="W39" s="5"/>
      <c r="X39" s="1"/>
      <c r="Y39" s="5"/>
      <c r="Z39" s="5">
        <f t="shared" si="14"/>
        <v>6656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832</v>
      </c>
      <c r="D40" s="5">
        <f>Table1[[#This Row],[Enrolment S.Y. 2025-2026 ]]*8</f>
        <v>6656</v>
      </c>
      <c r="E40" s="5">
        <v>125</v>
      </c>
      <c r="F40" s="1">
        <v>2025</v>
      </c>
      <c r="G40" s="5" t="s">
        <v>61</v>
      </c>
      <c r="H40" s="5">
        <f t="shared" si="2"/>
        <v>6531</v>
      </c>
      <c r="I40" s="5">
        <f t="shared" si="3"/>
        <v>0</v>
      </c>
      <c r="J40" s="5">
        <f>Table1[[#This Row],[Enrolment S.Y. 2025-2026 ]]*8</f>
        <v>6656</v>
      </c>
      <c r="K40" s="5"/>
      <c r="L40" s="1"/>
      <c r="M40" s="5"/>
      <c r="N40" s="5">
        <f t="shared" si="10"/>
        <v>6656</v>
      </c>
      <c r="O40" s="5">
        <f t="shared" si="11"/>
        <v>0</v>
      </c>
      <c r="P40" s="5">
        <f>Table1[[#This Row],[Enrolment S.Y. 2025-2026 ]]*8</f>
        <v>6656</v>
      </c>
      <c r="Q40" s="5"/>
      <c r="R40" s="1"/>
      <c r="S40" s="5"/>
      <c r="T40" s="5">
        <f t="shared" si="12"/>
        <v>6656</v>
      </c>
      <c r="U40" s="5">
        <f t="shared" si="13"/>
        <v>0</v>
      </c>
      <c r="V40" s="5">
        <f>Table1[[#This Row],[Enrolment S.Y. 2025-2026 ]]*8</f>
        <v>6656</v>
      </c>
      <c r="W40" s="5"/>
      <c r="X40" s="1"/>
      <c r="Y40" s="5"/>
      <c r="Z40" s="5">
        <f t="shared" si="14"/>
        <v>6656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832</v>
      </c>
      <c r="D41" s="5">
        <f>Table1[[#This Row],[Enrolment S.Y. 2025-2026 ]]*8</f>
        <v>6656</v>
      </c>
      <c r="E41" s="5">
        <v>125</v>
      </c>
      <c r="F41" s="1">
        <v>2025</v>
      </c>
      <c r="G41" s="5" t="s">
        <v>61</v>
      </c>
      <c r="H41" s="5">
        <f t="shared" si="2"/>
        <v>6531</v>
      </c>
      <c r="I41" s="5">
        <f t="shared" si="3"/>
        <v>0</v>
      </c>
      <c r="J41" s="5">
        <f>Table1[[#This Row],[Enrolment S.Y. 2025-2026 ]]*8</f>
        <v>6656</v>
      </c>
      <c r="K41" s="5"/>
      <c r="L41" s="1"/>
      <c r="M41" s="5"/>
      <c r="N41" s="5">
        <f t="shared" si="10"/>
        <v>6656</v>
      </c>
      <c r="O41" s="5">
        <f t="shared" si="11"/>
        <v>0</v>
      </c>
      <c r="P41" s="5">
        <f>Table1[[#This Row],[Enrolment S.Y. 2025-2026 ]]*8</f>
        <v>6656</v>
      </c>
      <c r="Q41" s="5"/>
      <c r="R41" s="1"/>
      <c r="S41" s="5"/>
      <c r="T41" s="5">
        <f t="shared" si="12"/>
        <v>6656</v>
      </c>
      <c r="U41" s="5">
        <f t="shared" si="13"/>
        <v>0</v>
      </c>
      <c r="V41" s="5">
        <f>Table1[[#This Row],[Enrolment S.Y. 2025-2026 ]]*8</f>
        <v>6656</v>
      </c>
      <c r="W41" s="5"/>
      <c r="X41" s="1"/>
      <c r="Y41" s="5"/>
      <c r="Z41" s="5">
        <f t="shared" si="14"/>
        <v>6656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787</v>
      </c>
      <c r="D43" s="5">
        <f>Table1[[#This Row],[Enrolment S.Y. 2025-2026 ]]*8</f>
        <v>6296</v>
      </c>
      <c r="E43" s="5">
        <v>184</v>
      </c>
      <c r="F43" s="1">
        <v>2025</v>
      </c>
      <c r="G43" s="5" t="s">
        <v>61</v>
      </c>
      <c r="H43" s="5">
        <f t="shared" si="2"/>
        <v>6112</v>
      </c>
      <c r="I43" s="5">
        <f t="shared" si="3"/>
        <v>0</v>
      </c>
      <c r="J43" s="5">
        <f>Table1[[#This Row],[Enrolment S.Y. 2025-2026 ]]*8</f>
        <v>6296</v>
      </c>
      <c r="K43" s="5">
        <v>797</v>
      </c>
      <c r="L43" s="1">
        <v>2025</v>
      </c>
      <c r="M43" s="5" t="s">
        <v>61</v>
      </c>
      <c r="N43" s="5">
        <f t="shared" si="10"/>
        <v>5499</v>
      </c>
      <c r="O43" s="5">
        <f t="shared" si="11"/>
        <v>0</v>
      </c>
      <c r="P43" s="5">
        <f>Table1[[#This Row],[Enrolment S.Y. 2025-2026 ]]*8</f>
        <v>6296</v>
      </c>
      <c r="Q43" s="5"/>
      <c r="R43" s="1"/>
      <c r="S43" s="5"/>
      <c r="T43" s="5">
        <f t="shared" si="12"/>
        <v>6296</v>
      </c>
      <c r="U43" s="5">
        <f t="shared" si="13"/>
        <v>0</v>
      </c>
      <c r="V43" s="5">
        <f>Table1[[#This Row],[Enrolment S.Y. 2025-2026 ]]*8</f>
        <v>6296</v>
      </c>
      <c r="W43" s="5"/>
      <c r="X43" s="1"/>
      <c r="Y43" s="5"/>
      <c r="Z43" s="5">
        <f t="shared" si="14"/>
        <v>6296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787</v>
      </c>
      <c r="D44" s="5">
        <f>Table1[[#This Row],[Enrolment S.Y. 2025-2026 ]]*8</f>
        <v>6296</v>
      </c>
      <c r="E44" s="5">
        <v>184</v>
      </c>
      <c r="F44" s="1">
        <v>2025</v>
      </c>
      <c r="G44" s="5" t="s">
        <v>61</v>
      </c>
      <c r="H44" s="5">
        <f t="shared" si="2"/>
        <v>6112</v>
      </c>
      <c r="I44" s="5">
        <f t="shared" si="3"/>
        <v>0</v>
      </c>
      <c r="J44" s="5">
        <f>Table1[[#This Row],[Enrolment S.Y. 2025-2026 ]]*8</f>
        <v>6296</v>
      </c>
      <c r="K44" s="5"/>
      <c r="L44" s="1"/>
      <c r="M44" s="5"/>
      <c r="N44" s="5">
        <f t="shared" si="10"/>
        <v>6296</v>
      </c>
      <c r="O44" s="5">
        <f t="shared" si="11"/>
        <v>0</v>
      </c>
      <c r="P44" s="5">
        <f>Table1[[#This Row],[Enrolment S.Y. 2025-2026 ]]*8</f>
        <v>6296</v>
      </c>
      <c r="Q44" s="5"/>
      <c r="R44" s="1"/>
      <c r="S44" s="5"/>
      <c r="T44" s="5">
        <f t="shared" si="12"/>
        <v>6296</v>
      </c>
      <c r="U44" s="5">
        <f t="shared" si="13"/>
        <v>0</v>
      </c>
      <c r="V44" s="5">
        <f>Table1[[#This Row],[Enrolment S.Y. 2025-2026 ]]*8</f>
        <v>6296</v>
      </c>
      <c r="W44" s="5"/>
      <c r="X44" s="1"/>
      <c r="Y44" s="5"/>
      <c r="Z44" s="5">
        <f t="shared" si="14"/>
        <v>6296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787</v>
      </c>
      <c r="D45" s="5">
        <f>Table1[[#This Row],[Enrolment S.Y. 2025-2026 ]]*8</f>
        <v>6296</v>
      </c>
      <c r="E45" s="5">
        <v>184</v>
      </c>
      <c r="F45" s="1">
        <v>2025</v>
      </c>
      <c r="G45" s="5" t="s">
        <v>61</v>
      </c>
      <c r="H45" s="5">
        <f t="shared" si="2"/>
        <v>6112</v>
      </c>
      <c r="I45" s="5">
        <f t="shared" si="3"/>
        <v>0</v>
      </c>
      <c r="J45" s="5">
        <f>Table1[[#This Row],[Enrolment S.Y. 2025-2026 ]]*8</f>
        <v>6296</v>
      </c>
      <c r="K45" s="5">
        <v>797</v>
      </c>
      <c r="L45" s="1">
        <v>2025</v>
      </c>
      <c r="M45" s="5" t="s">
        <v>61</v>
      </c>
      <c r="N45" s="5">
        <f t="shared" si="10"/>
        <v>5499</v>
      </c>
      <c r="O45" s="5">
        <f t="shared" si="11"/>
        <v>0</v>
      </c>
      <c r="P45" s="5">
        <f>Table1[[#This Row],[Enrolment S.Y. 2025-2026 ]]*8</f>
        <v>6296</v>
      </c>
      <c r="Q45" s="5"/>
      <c r="R45" s="1"/>
      <c r="S45" s="5"/>
      <c r="T45" s="5">
        <f t="shared" si="12"/>
        <v>6296</v>
      </c>
      <c r="U45" s="5">
        <f t="shared" si="13"/>
        <v>0</v>
      </c>
      <c r="V45" s="5">
        <f>Table1[[#This Row],[Enrolment S.Y. 2025-2026 ]]*8</f>
        <v>6296</v>
      </c>
      <c r="W45" s="5"/>
      <c r="X45" s="1"/>
      <c r="Y45" s="5"/>
      <c r="Z45" s="5">
        <f t="shared" si="14"/>
        <v>6296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787</v>
      </c>
      <c r="D46" s="5">
        <f>Table1[[#This Row],[Enrolment S.Y. 2025-2026 ]]*8</f>
        <v>6296</v>
      </c>
      <c r="E46" s="5">
        <v>184</v>
      </c>
      <c r="F46" s="1">
        <v>2025</v>
      </c>
      <c r="G46" s="5" t="s">
        <v>61</v>
      </c>
      <c r="H46" s="5">
        <f t="shared" si="2"/>
        <v>6112</v>
      </c>
      <c r="I46" s="5">
        <f t="shared" si="3"/>
        <v>0</v>
      </c>
      <c r="J46" s="5">
        <f>Table1[[#This Row],[Enrolment S.Y. 2025-2026 ]]*8</f>
        <v>6296</v>
      </c>
      <c r="K46" s="5"/>
      <c r="L46" s="1"/>
      <c r="M46" s="5"/>
      <c r="N46" s="5">
        <f t="shared" si="10"/>
        <v>6296</v>
      </c>
      <c r="O46" s="5">
        <f t="shared" si="11"/>
        <v>0</v>
      </c>
      <c r="P46" s="5">
        <f>Table1[[#This Row],[Enrolment S.Y. 2025-2026 ]]*8</f>
        <v>6296</v>
      </c>
      <c r="Q46" s="5"/>
      <c r="R46" s="1"/>
      <c r="S46" s="5"/>
      <c r="T46" s="5">
        <f t="shared" si="12"/>
        <v>6296</v>
      </c>
      <c r="U46" s="5">
        <f t="shared" si="13"/>
        <v>0</v>
      </c>
      <c r="V46" s="5">
        <f>Table1[[#This Row],[Enrolment S.Y. 2025-2026 ]]*8</f>
        <v>6296</v>
      </c>
      <c r="W46" s="5"/>
      <c r="X46" s="1"/>
      <c r="Y46" s="5"/>
      <c r="Z46" s="5">
        <f t="shared" si="14"/>
        <v>6296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787</v>
      </c>
      <c r="D47" s="5">
        <f>Table1[[#This Row],[Enrolment S.Y. 2025-2026 ]]*8</f>
        <v>6296</v>
      </c>
      <c r="E47" s="5">
        <v>184</v>
      </c>
      <c r="F47" s="1">
        <v>2025</v>
      </c>
      <c r="G47" s="5" t="s">
        <v>61</v>
      </c>
      <c r="H47" s="5">
        <f t="shared" si="2"/>
        <v>6112</v>
      </c>
      <c r="I47" s="5">
        <f t="shared" si="3"/>
        <v>0</v>
      </c>
      <c r="J47" s="5">
        <f>Table1[[#This Row],[Enrolment S.Y. 2025-2026 ]]*8</f>
        <v>6296</v>
      </c>
      <c r="K47" s="5"/>
      <c r="L47" s="1"/>
      <c r="M47" s="5"/>
      <c r="N47" s="5">
        <f t="shared" si="10"/>
        <v>6296</v>
      </c>
      <c r="O47" s="5">
        <f t="shared" si="11"/>
        <v>0</v>
      </c>
      <c r="P47" s="5">
        <f>Table1[[#This Row],[Enrolment S.Y. 2025-2026 ]]*8</f>
        <v>6296</v>
      </c>
      <c r="Q47" s="5"/>
      <c r="R47" s="1"/>
      <c r="S47" s="5"/>
      <c r="T47" s="5">
        <f t="shared" si="12"/>
        <v>6296</v>
      </c>
      <c r="U47" s="5">
        <f t="shared" si="13"/>
        <v>0</v>
      </c>
      <c r="V47" s="5">
        <f>Table1[[#This Row],[Enrolment S.Y. 2025-2026 ]]*8</f>
        <v>6296</v>
      </c>
      <c r="W47" s="5"/>
      <c r="X47" s="1"/>
      <c r="Y47" s="5"/>
      <c r="Z47" s="5">
        <f t="shared" si="14"/>
        <v>6296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787</v>
      </c>
      <c r="D48" s="5">
        <f>Table1[[#This Row],[Enrolment S.Y. 2025-2026 ]]*8</f>
        <v>6296</v>
      </c>
      <c r="E48" s="5">
        <v>184</v>
      </c>
      <c r="F48" s="1">
        <v>2025</v>
      </c>
      <c r="G48" s="5" t="s">
        <v>61</v>
      </c>
      <c r="H48" s="5">
        <f t="shared" si="2"/>
        <v>6112</v>
      </c>
      <c r="I48" s="5">
        <f t="shared" si="3"/>
        <v>0</v>
      </c>
      <c r="J48" s="5">
        <f>Table1[[#This Row],[Enrolment S.Y. 2025-2026 ]]*8</f>
        <v>6296</v>
      </c>
      <c r="K48" s="5"/>
      <c r="L48" s="1"/>
      <c r="M48" s="5"/>
      <c r="N48" s="5">
        <f t="shared" si="10"/>
        <v>6296</v>
      </c>
      <c r="O48" s="5">
        <f t="shared" si="11"/>
        <v>0</v>
      </c>
      <c r="P48" s="5">
        <f>Table1[[#This Row],[Enrolment S.Y. 2025-2026 ]]*8</f>
        <v>6296</v>
      </c>
      <c r="Q48" s="5"/>
      <c r="R48" s="1"/>
      <c r="S48" s="5"/>
      <c r="T48" s="5">
        <f t="shared" si="12"/>
        <v>6296</v>
      </c>
      <c r="U48" s="5">
        <f t="shared" si="13"/>
        <v>0</v>
      </c>
      <c r="V48" s="5">
        <f>Table1[[#This Row],[Enrolment S.Y. 2025-2026 ]]*8</f>
        <v>6296</v>
      </c>
      <c r="W48" s="5"/>
      <c r="X48" s="1"/>
      <c r="Y48" s="5"/>
      <c r="Z48" s="5">
        <f t="shared" si="14"/>
        <v>6296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787</v>
      </c>
      <c r="D49" s="5">
        <f>Table1[[#This Row],[Enrolment S.Y. 2025-2026 ]]*8</f>
        <v>6296</v>
      </c>
      <c r="E49" s="5">
        <v>184</v>
      </c>
      <c r="F49" s="1">
        <v>2025</v>
      </c>
      <c r="G49" s="5" t="s">
        <v>61</v>
      </c>
      <c r="H49" s="5">
        <f t="shared" si="2"/>
        <v>6112</v>
      </c>
      <c r="I49" s="5">
        <f t="shared" si="3"/>
        <v>0</v>
      </c>
      <c r="J49" s="5">
        <f>Table1[[#This Row],[Enrolment S.Y. 2025-2026 ]]*8</f>
        <v>6296</v>
      </c>
      <c r="K49" s="5"/>
      <c r="L49" s="1"/>
      <c r="M49" s="5"/>
      <c r="N49" s="5">
        <f t="shared" si="10"/>
        <v>6296</v>
      </c>
      <c r="O49" s="5">
        <f t="shared" si="11"/>
        <v>0</v>
      </c>
      <c r="P49" s="5">
        <f>Table1[[#This Row],[Enrolment S.Y. 2025-2026 ]]*8</f>
        <v>6296</v>
      </c>
      <c r="Q49" s="5"/>
      <c r="R49" s="1"/>
      <c r="S49" s="5"/>
      <c r="T49" s="5">
        <f t="shared" si="12"/>
        <v>6296</v>
      </c>
      <c r="U49" s="5">
        <f t="shared" si="13"/>
        <v>0</v>
      </c>
      <c r="V49" s="5">
        <f>Table1[[#This Row],[Enrolment S.Y. 2025-2026 ]]*8</f>
        <v>6296</v>
      </c>
      <c r="W49" s="5"/>
      <c r="X49" s="1"/>
      <c r="Y49" s="5"/>
      <c r="Z49" s="5">
        <f t="shared" si="14"/>
        <v>6296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787</v>
      </c>
      <c r="D50" s="5">
        <f>Table1[[#This Row],[Enrolment S.Y. 2025-2026 ]]*8</f>
        <v>6296</v>
      </c>
      <c r="E50" s="5">
        <v>184</v>
      </c>
      <c r="F50" s="1">
        <v>2025</v>
      </c>
      <c r="G50" s="5" t="s">
        <v>61</v>
      </c>
      <c r="H50" s="5">
        <f t="shared" si="2"/>
        <v>6112</v>
      </c>
      <c r="I50" s="5">
        <f t="shared" si="3"/>
        <v>0</v>
      </c>
      <c r="J50" s="5">
        <f>Table1[[#This Row],[Enrolment S.Y. 2025-2026 ]]*8</f>
        <v>6296</v>
      </c>
      <c r="K50" s="5"/>
      <c r="L50" s="1"/>
      <c r="M50" s="5"/>
      <c r="N50" s="5">
        <f t="shared" si="10"/>
        <v>6296</v>
      </c>
      <c r="O50" s="5">
        <f t="shared" si="11"/>
        <v>0</v>
      </c>
      <c r="P50" s="5">
        <f>Table1[[#This Row],[Enrolment S.Y. 2025-2026 ]]*8</f>
        <v>6296</v>
      </c>
      <c r="Q50" s="5"/>
      <c r="R50" s="1"/>
      <c r="S50" s="5"/>
      <c r="T50" s="5">
        <f t="shared" si="12"/>
        <v>6296</v>
      </c>
      <c r="U50" s="5">
        <f t="shared" si="13"/>
        <v>0</v>
      </c>
      <c r="V50" s="5">
        <f>Table1[[#This Row],[Enrolment S.Y. 2025-2026 ]]*8</f>
        <v>6296</v>
      </c>
      <c r="W50" s="5"/>
      <c r="X50" s="1"/>
      <c r="Y50" s="5"/>
      <c r="Z50" s="5">
        <f t="shared" si="14"/>
        <v>6296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787</v>
      </c>
      <c r="D51" s="5">
        <f>Table1[[#This Row],[Enrolment S.Y. 2025-2026 ]]*8</f>
        <v>6296</v>
      </c>
      <c r="E51" s="5">
        <v>184</v>
      </c>
      <c r="F51" s="1">
        <v>2025</v>
      </c>
      <c r="G51" s="5" t="s">
        <v>61</v>
      </c>
      <c r="H51" s="5">
        <f t="shared" si="2"/>
        <v>6112</v>
      </c>
      <c r="I51" s="5">
        <f t="shared" si="3"/>
        <v>0</v>
      </c>
      <c r="J51" s="5">
        <f>Table1[[#This Row],[Enrolment S.Y. 2025-2026 ]]*8</f>
        <v>6296</v>
      </c>
      <c r="K51" s="5"/>
      <c r="L51" s="1"/>
      <c r="M51" s="5"/>
      <c r="N51" s="5">
        <f t="shared" si="10"/>
        <v>6296</v>
      </c>
      <c r="O51" s="5">
        <f t="shared" si="11"/>
        <v>0</v>
      </c>
      <c r="P51" s="5">
        <f>Table1[[#This Row],[Enrolment S.Y. 2025-2026 ]]*8</f>
        <v>6296</v>
      </c>
      <c r="Q51" s="5"/>
      <c r="R51" s="1"/>
      <c r="S51" s="5"/>
      <c r="T51" s="5">
        <f t="shared" si="12"/>
        <v>6296</v>
      </c>
      <c r="U51" s="5">
        <f t="shared" si="13"/>
        <v>0</v>
      </c>
      <c r="V51" s="5">
        <f>Table1[[#This Row],[Enrolment S.Y. 2025-2026 ]]*8</f>
        <v>6296</v>
      </c>
      <c r="W51" s="5"/>
      <c r="X51" s="1"/>
      <c r="Y51" s="5"/>
      <c r="Z51" s="5">
        <f t="shared" si="14"/>
        <v>6296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754</v>
      </c>
      <c r="D53" s="5">
        <f>Table1[[#This Row],[Enrolment S.Y. 2025-2026 ]]*8</f>
        <v>6032</v>
      </c>
      <c r="E53" s="5"/>
      <c r="F53" s="1"/>
      <c r="G53" s="5"/>
      <c r="H53" s="5">
        <f t="shared" si="2"/>
        <v>6032</v>
      </c>
      <c r="I53" s="5">
        <f t="shared" si="3"/>
        <v>0</v>
      </c>
      <c r="J53" s="5">
        <f>Table1[[#This Row],[Enrolment S.Y. 2025-2026 ]]*8</f>
        <v>6032</v>
      </c>
      <c r="K53" s="5"/>
      <c r="L53" s="1"/>
      <c r="M53" s="5"/>
      <c r="N53" s="5">
        <f t="shared" si="10"/>
        <v>6032</v>
      </c>
      <c r="O53" s="5">
        <f t="shared" si="11"/>
        <v>0</v>
      </c>
      <c r="P53" s="5">
        <f>Table1[[#This Row],[Enrolment S.Y. 2025-2026 ]]*8</f>
        <v>6032</v>
      </c>
      <c r="Q53" s="5"/>
      <c r="R53" s="1"/>
      <c r="S53" s="5"/>
      <c r="T53" s="5">
        <f t="shared" si="12"/>
        <v>6032</v>
      </c>
      <c r="U53" s="5">
        <f t="shared" si="13"/>
        <v>0</v>
      </c>
      <c r="V53" s="5">
        <f>Table1[[#This Row],[Enrolment S.Y. 2025-2026 ]]*8</f>
        <v>6032</v>
      </c>
      <c r="W53" s="5"/>
      <c r="X53" s="1"/>
      <c r="Y53" s="5"/>
      <c r="Z53" s="5">
        <f t="shared" si="14"/>
        <v>6032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754</v>
      </c>
      <c r="D54" s="5">
        <f>Table1[[#This Row],[Enrolment S.Y. 2025-2026 ]]*8</f>
        <v>6032</v>
      </c>
      <c r="E54" s="5"/>
      <c r="F54" s="1"/>
      <c r="G54" s="5"/>
      <c r="H54" s="5">
        <f t="shared" si="2"/>
        <v>6032</v>
      </c>
      <c r="I54" s="5">
        <f t="shared" si="3"/>
        <v>0</v>
      </c>
      <c r="J54" s="5">
        <f>Table1[[#This Row],[Enrolment S.Y. 2025-2026 ]]*8</f>
        <v>6032</v>
      </c>
      <c r="K54" s="5"/>
      <c r="L54" s="1"/>
      <c r="M54" s="5"/>
      <c r="N54" s="5">
        <f t="shared" si="10"/>
        <v>6032</v>
      </c>
      <c r="O54" s="5">
        <f t="shared" si="11"/>
        <v>0</v>
      </c>
      <c r="P54" s="5">
        <f>Table1[[#This Row],[Enrolment S.Y. 2025-2026 ]]*8</f>
        <v>6032</v>
      </c>
      <c r="Q54" s="5"/>
      <c r="R54" s="1"/>
      <c r="S54" s="5"/>
      <c r="T54" s="5">
        <f t="shared" si="12"/>
        <v>6032</v>
      </c>
      <c r="U54" s="5">
        <f t="shared" si="13"/>
        <v>0</v>
      </c>
      <c r="V54" s="5">
        <f>Table1[[#This Row],[Enrolment S.Y. 2025-2026 ]]*8</f>
        <v>6032</v>
      </c>
      <c r="W54" s="5"/>
      <c r="X54" s="1"/>
      <c r="Y54" s="5"/>
      <c r="Z54" s="5">
        <f t="shared" si="14"/>
        <v>6032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754</v>
      </c>
      <c r="D55" s="5">
        <f>Table1[[#This Row],[Enrolment S.Y. 2025-2026 ]]*8</f>
        <v>6032</v>
      </c>
      <c r="E55" s="5"/>
      <c r="F55" s="1"/>
      <c r="G55" s="5"/>
      <c r="H55" s="5">
        <f t="shared" si="2"/>
        <v>6032</v>
      </c>
      <c r="I55" s="5">
        <f t="shared" si="3"/>
        <v>0</v>
      </c>
      <c r="J55" s="5">
        <f>Table1[[#This Row],[Enrolment S.Y. 2025-2026 ]]*8</f>
        <v>6032</v>
      </c>
      <c r="K55" s="5"/>
      <c r="L55" s="1"/>
      <c r="M55" s="5"/>
      <c r="N55" s="5">
        <f t="shared" si="10"/>
        <v>6032</v>
      </c>
      <c r="O55" s="5">
        <f t="shared" si="11"/>
        <v>0</v>
      </c>
      <c r="P55" s="5">
        <f>Table1[[#This Row],[Enrolment S.Y. 2025-2026 ]]*8</f>
        <v>6032</v>
      </c>
      <c r="Q55" s="5"/>
      <c r="R55" s="1"/>
      <c r="S55" s="5"/>
      <c r="T55" s="5">
        <f t="shared" si="12"/>
        <v>6032</v>
      </c>
      <c r="U55" s="5">
        <f t="shared" si="13"/>
        <v>0</v>
      </c>
      <c r="V55" s="5">
        <f>Table1[[#This Row],[Enrolment S.Y. 2025-2026 ]]*8</f>
        <v>6032</v>
      </c>
      <c r="W55" s="5"/>
      <c r="X55" s="1"/>
      <c r="Y55" s="5"/>
      <c r="Z55" s="5">
        <f t="shared" si="14"/>
        <v>6032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754</v>
      </c>
      <c r="D56" s="5">
        <f>Table1[[#This Row],[Enrolment S.Y. 2025-2026 ]]*8</f>
        <v>6032</v>
      </c>
      <c r="E56" s="5"/>
      <c r="F56" s="1"/>
      <c r="G56" s="5"/>
      <c r="H56" s="5">
        <f t="shared" si="2"/>
        <v>6032</v>
      </c>
      <c r="I56" s="5">
        <f t="shared" si="3"/>
        <v>0</v>
      </c>
      <c r="J56" s="5">
        <f>Table1[[#This Row],[Enrolment S.Y. 2025-2026 ]]*8</f>
        <v>6032</v>
      </c>
      <c r="K56" s="5"/>
      <c r="L56" s="1"/>
      <c r="M56" s="5"/>
      <c r="N56" s="5">
        <f t="shared" si="10"/>
        <v>6032</v>
      </c>
      <c r="O56" s="5">
        <f t="shared" si="11"/>
        <v>0</v>
      </c>
      <c r="P56" s="5">
        <f>Table1[[#This Row],[Enrolment S.Y. 2025-2026 ]]*8</f>
        <v>6032</v>
      </c>
      <c r="Q56" s="5"/>
      <c r="R56" s="1"/>
      <c r="S56" s="5"/>
      <c r="T56" s="5">
        <f t="shared" si="12"/>
        <v>6032</v>
      </c>
      <c r="U56" s="5">
        <f t="shared" si="13"/>
        <v>0</v>
      </c>
      <c r="V56" s="5">
        <f>Table1[[#This Row],[Enrolment S.Y. 2025-2026 ]]*8</f>
        <v>6032</v>
      </c>
      <c r="W56" s="5"/>
      <c r="X56" s="1"/>
      <c r="Y56" s="5"/>
      <c r="Z56" s="5">
        <f t="shared" si="14"/>
        <v>6032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754</v>
      </c>
      <c r="D57" s="5">
        <f>Table1[[#This Row],[Enrolment S.Y. 2025-2026 ]]*8</f>
        <v>6032</v>
      </c>
      <c r="E57" s="5"/>
      <c r="F57" s="1"/>
      <c r="G57" s="5"/>
      <c r="H57" s="5">
        <f t="shared" si="2"/>
        <v>6032</v>
      </c>
      <c r="I57" s="5">
        <f t="shared" si="3"/>
        <v>0</v>
      </c>
      <c r="J57" s="5">
        <f>Table1[[#This Row],[Enrolment S.Y. 2025-2026 ]]*8</f>
        <v>6032</v>
      </c>
      <c r="K57" s="5"/>
      <c r="L57" s="1"/>
      <c r="M57" s="5"/>
      <c r="N57" s="5">
        <f t="shared" si="10"/>
        <v>6032</v>
      </c>
      <c r="O57" s="5">
        <f t="shared" si="11"/>
        <v>0</v>
      </c>
      <c r="P57" s="5">
        <f>Table1[[#This Row],[Enrolment S.Y. 2025-2026 ]]*8</f>
        <v>6032</v>
      </c>
      <c r="Q57" s="5"/>
      <c r="R57" s="1"/>
      <c r="S57" s="5"/>
      <c r="T57" s="5">
        <f t="shared" si="12"/>
        <v>6032</v>
      </c>
      <c r="U57" s="5">
        <f t="shared" si="13"/>
        <v>0</v>
      </c>
      <c r="V57" s="5">
        <f>Table1[[#This Row],[Enrolment S.Y. 2025-2026 ]]*8</f>
        <v>6032</v>
      </c>
      <c r="W57" s="5"/>
      <c r="X57" s="1"/>
      <c r="Y57" s="5"/>
      <c r="Z57" s="5">
        <f t="shared" si="14"/>
        <v>6032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754</v>
      </c>
      <c r="D58" s="5">
        <f>Table1[[#This Row],[Enrolment S.Y. 2025-2026 ]]*8</f>
        <v>6032</v>
      </c>
      <c r="E58" s="5"/>
      <c r="F58" s="1"/>
      <c r="G58" s="5"/>
      <c r="H58" s="5">
        <f t="shared" si="2"/>
        <v>6032</v>
      </c>
      <c r="I58" s="5">
        <f t="shared" si="3"/>
        <v>0</v>
      </c>
      <c r="J58" s="5">
        <f>Table1[[#This Row],[Enrolment S.Y. 2025-2026 ]]*8</f>
        <v>6032</v>
      </c>
      <c r="K58" s="5"/>
      <c r="L58" s="1"/>
      <c r="M58" s="5"/>
      <c r="N58" s="5">
        <f t="shared" si="10"/>
        <v>6032</v>
      </c>
      <c r="O58" s="5">
        <f t="shared" si="11"/>
        <v>0</v>
      </c>
      <c r="P58" s="5">
        <f>Table1[[#This Row],[Enrolment S.Y. 2025-2026 ]]*8</f>
        <v>6032</v>
      </c>
      <c r="Q58" s="5"/>
      <c r="R58" s="1"/>
      <c r="S58" s="5"/>
      <c r="T58" s="5">
        <f t="shared" si="12"/>
        <v>6032</v>
      </c>
      <c r="U58" s="5">
        <f t="shared" si="13"/>
        <v>0</v>
      </c>
      <c r="V58" s="5">
        <f>Table1[[#This Row],[Enrolment S.Y. 2025-2026 ]]*8</f>
        <v>6032</v>
      </c>
      <c r="W58" s="5"/>
      <c r="X58" s="1"/>
      <c r="Y58" s="5"/>
      <c r="Z58" s="5">
        <f t="shared" si="14"/>
        <v>6032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754</v>
      </c>
      <c r="D59" s="5">
        <f>Table1[[#This Row],[Enrolment S.Y. 2025-2026 ]]*8</f>
        <v>6032</v>
      </c>
      <c r="E59" s="5"/>
      <c r="F59" s="1"/>
      <c r="G59" s="5"/>
      <c r="H59" s="5">
        <f t="shared" si="2"/>
        <v>6032</v>
      </c>
      <c r="I59" s="5">
        <f t="shared" si="3"/>
        <v>0</v>
      </c>
      <c r="J59" s="5">
        <f>Table1[[#This Row],[Enrolment S.Y. 2025-2026 ]]*8</f>
        <v>6032</v>
      </c>
      <c r="K59" s="5"/>
      <c r="L59" s="1"/>
      <c r="M59" s="5"/>
      <c r="N59" s="5">
        <f t="shared" si="10"/>
        <v>6032</v>
      </c>
      <c r="O59" s="5">
        <f t="shared" si="11"/>
        <v>0</v>
      </c>
      <c r="P59" s="5">
        <f>Table1[[#This Row],[Enrolment S.Y. 2025-2026 ]]*8</f>
        <v>6032</v>
      </c>
      <c r="Q59" s="5"/>
      <c r="R59" s="1"/>
      <c r="S59" s="5"/>
      <c r="T59" s="5">
        <f t="shared" si="12"/>
        <v>6032</v>
      </c>
      <c r="U59" s="5">
        <f t="shared" si="13"/>
        <v>0</v>
      </c>
      <c r="V59" s="5">
        <f>Table1[[#This Row],[Enrolment S.Y. 2025-2026 ]]*8</f>
        <v>6032</v>
      </c>
      <c r="W59" s="5"/>
      <c r="X59" s="1"/>
      <c r="Y59" s="5"/>
      <c r="Z59" s="5">
        <f t="shared" si="14"/>
        <v>6032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754</v>
      </c>
      <c r="D60" s="5">
        <f>Table1[[#This Row],[Enrolment S.Y. 2025-2026 ]]*8</f>
        <v>6032</v>
      </c>
      <c r="E60" s="5"/>
      <c r="F60" s="1"/>
      <c r="G60" s="5"/>
      <c r="H60" s="5">
        <f t="shared" si="2"/>
        <v>6032</v>
      </c>
      <c r="I60" s="5">
        <f t="shared" si="3"/>
        <v>0</v>
      </c>
      <c r="J60" s="5">
        <f>Table1[[#This Row],[Enrolment S.Y. 2025-2026 ]]*8</f>
        <v>6032</v>
      </c>
      <c r="K60" s="5"/>
      <c r="L60" s="1"/>
      <c r="M60" s="5"/>
      <c r="N60" s="5">
        <f t="shared" si="10"/>
        <v>6032</v>
      </c>
      <c r="O60" s="5">
        <f t="shared" si="11"/>
        <v>0</v>
      </c>
      <c r="P60" s="5">
        <f>Table1[[#This Row],[Enrolment S.Y. 2025-2026 ]]*8</f>
        <v>6032</v>
      </c>
      <c r="Q60" s="5"/>
      <c r="R60" s="1"/>
      <c r="S60" s="5"/>
      <c r="T60" s="5">
        <f t="shared" si="12"/>
        <v>6032</v>
      </c>
      <c r="U60" s="5">
        <f t="shared" si="13"/>
        <v>0</v>
      </c>
      <c r="V60" s="5">
        <f>Table1[[#This Row],[Enrolment S.Y. 2025-2026 ]]*8</f>
        <v>6032</v>
      </c>
      <c r="W60" s="5"/>
      <c r="X60" s="1"/>
      <c r="Y60" s="5"/>
      <c r="Z60" s="5">
        <f t="shared" si="14"/>
        <v>6032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754</v>
      </c>
      <c r="D61" s="5">
        <f>Table1[[#This Row],[Enrolment S.Y. 2025-2026 ]]*8</f>
        <v>6032</v>
      </c>
      <c r="E61" s="5"/>
      <c r="F61" s="1"/>
      <c r="G61" s="5"/>
      <c r="H61" s="5">
        <f t="shared" si="2"/>
        <v>6032</v>
      </c>
      <c r="I61" s="5">
        <f t="shared" si="3"/>
        <v>0</v>
      </c>
      <c r="J61" s="5">
        <f>Table1[[#This Row],[Enrolment S.Y. 2025-2026 ]]*8</f>
        <v>6032</v>
      </c>
      <c r="K61" s="5"/>
      <c r="L61" s="1"/>
      <c r="M61" s="5"/>
      <c r="N61" s="5">
        <f t="shared" si="10"/>
        <v>6032</v>
      </c>
      <c r="O61" s="5">
        <f t="shared" si="11"/>
        <v>0</v>
      </c>
      <c r="P61" s="5">
        <f>Table1[[#This Row],[Enrolment S.Y. 2025-2026 ]]*8</f>
        <v>6032</v>
      </c>
      <c r="Q61" s="5"/>
      <c r="R61" s="1"/>
      <c r="S61" s="5"/>
      <c r="T61" s="5">
        <f t="shared" si="12"/>
        <v>6032</v>
      </c>
      <c r="U61" s="5">
        <f t="shared" si="13"/>
        <v>0</v>
      </c>
      <c r="V61" s="5">
        <f>Table1[[#This Row],[Enrolment S.Y. 2025-2026 ]]*8</f>
        <v>6032</v>
      </c>
      <c r="W61" s="5"/>
      <c r="X61" s="1"/>
      <c r="Y61" s="5"/>
      <c r="Z61" s="5">
        <f t="shared" si="14"/>
        <v>6032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14:C21 C23:C31 C33:C41 C43:C51 C53:C61 C5:C12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33:F41" name="LAS"/>
    <protectedRange sqref="G2:I3 M2:O2 S2:U3 Y2:AA3 G112:G127 M112:M127 S112:S127 Y112:Y127 M5:M12 S4:S110 Y5:Y12 G14:G21 M14:M110 M3 Y14:Y110 G23:G31 G53:G61 G63:G71 G73:G81 G83:G91 G93:G101 G103:G110 G33:G41 G43:G51 G5:G1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X112:X127 F43:F51 F63:F71 F73:F81 F53:F61 F5:F12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43:G51 M5:M12 Y5:Y12 G14:G21 G23:G31 G103:G110 G33:G41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AD57" sqref="AD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1" t="s">
        <v>72</v>
      </c>
      <c r="N2" s="41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2" t="s">
        <v>84</v>
      </c>
      <c r="Z2" s="42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>
        <v>5775</v>
      </c>
      <c r="F16" s="1"/>
      <c r="G16" s="5"/>
      <c r="H16" s="5">
        <f t="shared" si="0"/>
        <v>0</v>
      </c>
      <c r="I16" s="5">
        <f t="shared" si="1"/>
        <v>5775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>
        <v>1650</v>
      </c>
      <c r="F17" s="1"/>
      <c r="G17" s="5"/>
      <c r="H17" s="5">
        <f>IF((D17-E17)&lt;0,0,(D17-E17))</f>
        <v>0</v>
      </c>
      <c r="I17" s="5">
        <f>IF((E17-D17)&lt;0,0,(E17-D17))</f>
        <v>1650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>
        <v>1650</v>
      </c>
      <c r="F18" s="1"/>
      <c r="G18" s="5"/>
      <c r="H18" s="5">
        <f>IF((D18-E18)&lt;0,0,(D18-E18))</f>
        <v>0</v>
      </c>
      <c r="I18" s="5">
        <f>IF((E18-D18)&lt;0,0,(E18-D18))</f>
        <v>1650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>
        <v>6264</v>
      </c>
      <c r="F26" s="1"/>
      <c r="G26" s="5"/>
      <c r="H26" s="5">
        <f t="shared" si="0"/>
        <v>0</v>
      </c>
      <c r="I26" s="5">
        <f t="shared" si="1"/>
        <v>6264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>
        <v>1566</v>
      </c>
      <c r="F27" s="1"/>
      <c r="G27" s="5"/>
      <c r="H27" s="5">
        <f>IF((D27-E27)&lt;0,0,(D27-E27))</f>
        <v>0</v>
      </c>
      <c r="I27" s="5">
        <f>IF((E27-D27)&lt;0,0,(E27-D27))</f>
        <v>1566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>
        <v>1566</v>
      </c>
      <c r="F28" s="1"/>
      <c r="G28" s="5"/>
      <c r="H28" s="5">
        <f>IF((D28-E28)&lt;0,0,(D28-E28))</f>
        <v>0</v>
      </c>
      <c r="I28" s="5">
        <f>IF((E28-D28)&lt;0,0,(E28-D28))</f>
        <v>1566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754</v>
      </c>
      <c r="D55" s="5">
        <f>Table14[[#This Row],[Enrolment S.Y. 2025-2026 ]]*8</f>
        <v>6032</v>
      </c>
      <c r="E55" s="5">
        <v>630</v>
      </c>
      <c r="F55" s="1">
        <v>2025</v>
      </c>
      <c r="G55" s="5" t="s">
        <v>61</v>
      </c>
      <c r="H55" s="5">
        <f t="shared" si="0"/>
        <v>5402</v>
      </c>
      <c r="I55" s="5">
        <f t="shared" si="1"/>
        <v>0</v>
      </c>
      <c r="J55" s="5">
        <f>Table14[[#This Row],[Enrolment S.Y. 2025-2026 ]]*8</f>
        <v>6032</v>
      </c>
      <c r="K55" s="5">
        <v>420</v>
      </c>
      <c r="L55" s="1">
        <v>2025</v>
      </c>
      <c r="M55" s="5" t="s">
        <v>61</v>
      </c>
      <c r="N55" s="5">
        <f t="shared" si="2"/>
        <v>5612</v>
      </c>
      <c r="O55" s="5">
        <f t="shared" si="3"/>
        <v>0</v>
      </c>
      <c r="P55" s="5">
        <f>Table14[[#This Row],[Enrolment S.Y. 2025-2026 ]]*8</f>
        <v>6032</v>
      </c>
      <c r="Q55" s="5">
        <v>300</v>
      </c>
      <c r="R55" s="1"/>
      <c r="S55" s="5"/>
      <c r="T55" s="5">
        <f t="shared" si="4"/>
        <v>5732</v>
      </c>
      <c r="U55" s="5">
        <f t="shared" si="5"/>
        <v>0</v>
      </c>
      <c r="V55" s="5">
        <f>Table14[[#This Row],[Enrolment S.Y. 2025-2026 ]]*8</f>
        <v>6032</v>
      </c>
      <c r="W55" s="5">
        <v>1050</v>
      </c>
      <c r="X55" s="1">
        <v>2025</v>
      </c>
      <c r="Y55" s="5" t="s">
        <v>61</v>
      </c>
      <c r="Z55" s="5">
        <f t="shared" si="6"/>
        <v>4982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754</v>
      </c>
      <c r="D56" s="5">
        <f>Table14[[#This Row],[Enrolment S.Y. 2025-2026 ]]*8</f>
        <v>6032</v>
      </c>
      <c r="E56" s="5">
        <v>2940</v>
      </c>
      <c r="F56" s="1">
        <v>2025</v>
      </c>
      <c r="G56" s="5" t="s">
        <v>61</v>
      </c>
      <c r="H56" s="5">
        <f t="shared" si="0"/>
        <v>3092</v>
      </c>
      <c r="I56" s="5">
        <f t="shared" si="1"/>
        <v>0</v>
      </c>
      <c r="J56" s="5">
        <f>Table14[[#This Row],[Enrolment S.Y. 2025-2026 ]]*8</f>
        <v>6032</v>
      </c>
      <c r="K56" s="5">
        <v>1960</v>
      </c>
      <c r="L56" s="1">
        <v>2025</v>
      </c>
      <c r="M56" s="5" t="s">
        <v>61</v>
      </c>
      <c r="N56" s="5">
        <f t="shared" si="2"/>
        <v>4072</v>
      </c>
      <c r="O56" s="5">
        <f t="shared" si="3"/>
        <v>0</v>
      </c>
      <c r="P56" s="5">
        <f>Table14[[#This Row],[Enrolment S.Y. 2025-2026 ]]*8</f>
        <v>6032</v>
      </c>
      <c r="Q56" s="5">
        <v>900</v>
      </c>
      <c r="R56" s="1"/>
      <c r="S56" s="5"/>
      <c r="T56" s="5">
        <f t="shared" si="4"/>
        <v>5132</v>
      </c>
      <c r="U56" s="5">
        <f t="shared" si="5"/>
        <v>0</v>
      </c>
      <c r="V56" s="5">
        <f>Table14[[#This Row],[Enrolment S.Y. 2025-2026 ]]*8</f>
        <v>6032</v>
      </c>
      <c r="W56" s="5">
        <v>750</v>
      </c>
      <c r="X56" s="1">
        <v>2025</v>
      </c>
      <c r="Y56" s="5" t="s">
        <v>61</v>
      </c>
      <c r="Z56" s="5">
        <f t="shared" si="6"/>
        <v>5282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754</v>
      </c>
      <c r="D57" s="5">
        <f>Table14[[#This Row],[Enrolment S.Y. 2025-2026 ]]*8</f>
        <v>6032</v>
      </c>
      <c r="E57" s="5">
        <v>2310</v>
      </c>
      <c r="F57" s="1">
        <v>2025</v>
      </c>
      <c r="G57" s="5" t="s">
        <v>61</v>
      </c>
      <c r="H57" s="5">
        <f t="shared" si="0"/>
        <v>3722</v>
      </c>
      <c r="I57" s="5">
        <f t="shared" si="1"/>
        <v>0</v>
      </c>
      <c r="J57" s="5">
        <f>Table14[[#This Row],[Enrolment S.Y. 2025-2026 ]]*8</f>
        <v>6032</v>
      </c>
      <c r="K57" s="5">
        <v>1960</v>
      </c>
      <c r="L57" s="1">
        <v>2025</v>
      </c>
      <c r="M57" s="5" t="s">
        <v>61</v>
      </c>
      <c r="N57" s="5">
        <f t="shared" si="2"/>
        <v>4072</v>
      </c>
      <c r="O57" s="5">
        <f t="shared" si="3"/>
        <v>0</v>
      </c>
      <c r="P57" s="5">
        <f>Table14[[#This Row],[Enrolment S.Y. 2025-2026 ]]*8</f>
        <v>6032</v>
      </c>
      <c r="Q57" s="5">
        <v>1350</v>
      </c>
      <c r="R57" s="1"/>
      <c r="S57" s="5"/>
      <c r="T57" s="5">
        <f t="shared" si="4"/>
        <v>4682</v>
      </c>
      <c r="U57" s="5">
        <f t="shared" si="5"/>
        <v>0</v>
      </c>
      <c r="V57" s="5">
        <f>Table14[[#This Row],[Enrolment S.Y. 2025-2026 ]]*8</f>
        <v>6032</v>
      </c>
      <c r="W57" s="5">
        <v>1350</v>
      </c>
      <c r="X57" s="1">
        <v>2025</v>
      </c>
      <c r="Y57" s="5" t="s">
        <v>61</v>
      </c>
      <c r="Z57" s="5">
        <f t="shared" si="6"/>
        <v>4682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754</v>
      </c>
      <c r="D58" s="5">
        <f>Table14[[#This Row],[Enrolment S.Y. 2025-2026 ]]*8</f>
        <v>6032</v>
      </c>
      <c r="E58" s="5"/>
      <c r="F58" s="1"/>
      <c r="G58" s="5"/>
      <c r="H58" s="5">
        <f t="shared" si="0"/>
        <v>6032</v>
      </c>
      <c r="I58" s="5">
        <f t="shared" si="1"/>
        <v>0</v>
      </c>
      <c r="J58" s="5">
        <f>Table14[[#This Row],[Enrolment S.Y. 2025-2026 ]]*8</f>
        <v>6032</v>
      </c>
      <c r="K58" s="5"/>
      <c r="L58" s="1"/>
      <c r="M58" s="5"/>
      <c r="N58" s="5">
        <f t="shared" si="2"/>
        <v>6032</v>
      </c>
      <c r="O58" s="5">
        <f t="shared" si="3"/>
        <v>0</v>
      </c>
      <c r="P58" s="5">
        <f>Table14[[#This Row],[Enrolment S.Y. 2025-2026 ]]*8</f>
        <v>6032</v>
      </c>
      <c r="Q58" s="5">
        <v>600</v>
      </c>
      <c r="R58" s="1"/>
      <c r="S58" s="5"/>
      <c r="T58" s="5">
        <f t="shared" si="4"/>
        <v>5432</v>
      </c>
      <c r="U58" s="5">
        <f t="shared" si="5"/>
        <v>0</v>
      </c>
      <c r="V58" s="5">
        <f>Table14[[#This Row],[Enrolment S.Y. 2025-2026 ]]*8</f>
        <v>6032</v>
      </c>
      <c r="W58" s="5">
        <v>300</v>
      </c>
      <c r="X58" s="1">
        <v>2025</v>
      </c>
      <c r="Y58" s="5" t="s">
        <v>61</v>
      </c>
      <c r="Z58" s="5">
        <f t="shared" si="6"/>
        <v>5732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754</v>
      </c>
      <c r="D59" s="5">
        <f>Table14[[#This Row],[Enrolment S.Y. 2025-2026 ]]*8</f>
        <v>6032</v>
      </c>
      <c r="E59" s="5"/>
      <c r="F59" s="1"/>
      <c r="G59" s="5"/>
      <c r="H59" s="5">
        <f t="shared" si="0"/>
        <v>6032</v>
      </c>
      <c r="I59" s="5">
        <f t="shared" si="1"/>
        <v>0</v>
      </c>
      <c r="J59" s="5">
        <f>Table14[[#This Row],[Enrolment S.Y. 2025-2026 ]]*8</f>
        <v>6032</v>
      </c>
      <c r="K59" s="5"/>
      <c r="L59" s="1"/>
      <c r="M59" s="5"/>
      <c r="N59" s="5">
        <f t="shared" si="2"/>
        <v>6032</v>
      </c>
      <c r="O59" s="5">
        <f t="shared" si="3"/>
        <v>0</v>
      </c>
      <c r="P59" s="5">
        <f>Table14[[#This Row],[Enrolment S.Y. 2025-2026 ]]*8</f>
        <v>6032</v>
      </c>
      <c r="Q59" s="5">
        <v>900</v>
      </c>
      <c r="R59" s="1">
        <v>2025</v>
      </c>
      <c r="S59" s="5" t="s">
        <v>61</v>
      </c>
      <c r="T59" s="5">
        <f t="shared" si="4"/>
        <v>5132</v>
      </c>
      <c r="U59" s="5">
        <f t="shared" si="5"/>
        <v>0</v>
      </c>
      <c r="V59" s="5">
        <f>Table14[[#This Row],[Enrolment S.Y. 2025-2026 ]]*8</f>
        <v>6032</v>
      </c>
      <c r="W59" s="5">
        <v>1050</v>
      </c>
      <c r="X59" s="1">
        <v>2025</v>
      </c>
      <c r="Y59" s="5" t="s">
        <v>61</v>
      </c>
      <c r="Z59" s="5">
        <f t="shared" si="6"/>
        <v>4982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754</v>
      </c>
      <c r="D60" s="5">
        <f>Table14[[#This Row],[Enrolment S.Y. 2025-2026 ]]*8</f>
        <v>6032</v>
      </c>
      <c r="E60" s="5"/>
      <c r="F60" s="1"/>
      <c r="G60" s="5"/>
      <c r="H60" s="5">
        <f t="shared" si="0"/>
        <v>6032</v>
      </c>
      <c r="I60" s="5">
        <f t="shared" si="1"/>
        <v>0</v>
      </c>
      <c r="J60" s="5">
        <f>Table14[[#This Row],[Enrolment S.Y. 2025-2026 ]]*8</f>
        <v>6032</v>
      </c>
      <c r="K60" s="5"/>
      <c r="L60" s="1"/>
      <c r="M60" s="5"/>
      <c r="N60" s="5">
        <f t="shared" si="2"/>
        <v>6032</v>
      </c>
      <c r="O60" s="5">
        <f t="shared" si="3"/>
        <v>0</v>
      </c>
      <c r="P60" s="5">
        <f>Table14[[#This Row],[Enrolment S.Y. 2025-2026 ]]*8</f>
        <v>6032</v>
      </c>
      <c r="Q60" s="5">
        <v>600</v>
      </c>
      <c r="R60" s="1"/>
      <c r="S60" s="5"/>
      <c r="T60" s="5">
        <f t="shared" si="4"/>
        <v>5432</v>
      </c>
      <c r="U60" s="5">
        <f t="shared" si="5"/>
        <v>0</v>
      </c>
      <c r="V60" s="5">
        <f>Table14[[#This Row],[Enrolment S.Y. 2025-2026 ]]*8</f>
        <v>6032</v>
      </c>
      <c r="W60" s="5">
        <v>1200</v>
      </c>
      <c r="X60" s="1">
        <v>2025</v>
      </c>
      <c r="Y60" s="5" t="s">
        <v>61</v>
      </c>
      <c r="Z60" s="5">
        <f t="shared" si="6"/>
        <v>4832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754</v>
      </c>
      <c r="D61" s="5">
        <f>Table14[[#This Row],[Enrolment S.Y. 2025-2026 ]]*8</f>
        <v>6032</v>
      </c>
      <c r="E61" s="5"/>
      <c r="F61" s="1"/>
      <c r="G61" s="5"/>
      <c r="H61" s="5">
        <f>IF((D61-E61)&lt;0,0,(D61-E61))</f>
        <v>6032</v>
      </c>
      <c r="I61" s="5">
        <f>IF((E61-D61)&lt;0,0,(E61-D61))</f>
        <v>0</v>
      </c>
      <c r="J61" s="5">
        <f>Table14[[#This Row],[Enrolment S.Y. 2025-2026 ]]*8</f>
        <v>6032</v>
      </c>
      <c r="K61" s="5"/>
      <c r="L61" s="1"/>
      <c r="M61" s="5"/>
      <c r="N61" s="5">
        <f t="shared" ref="N61:N65" si="12">IF((J61-K61)&lt;0,0,(J61-K61))</f>
        <v>6032</v>
      </c>
      <c r="O61" s="5">
        <f t="shared" ref="O61:O65" si="13">IF((K61-J61)&lt;0,0,(K61-J61))</f>
        <v>0</v>
      </c>
      <c r="P61" s="5">
        <f>Table14[[#This Row],[Enrolment S.Y. 2025-2026 ]]*8</f>
        <v>6032</v>
      </c>
      <c r="Q61" s="5">
        <v>600</v>
      </c>
      <c r="R61" s="1"/>
      <c r="S61" s="5"/>
      <c r="T61" s="5">
        <f>IF((P61-Q61)&lt;0,0,(P61-Q61))</f>
        <v>5432</v>
      </c>
      <c r="U61" s="5">
        <f>IF((Q61-P61)&lt;0,0,(Q61-P61))</f>
        <v>0</v>
      </c>
      <c r="V61" s="5">
        <f>Table14[[#This Row],[Enrolment S.Y. 2025-2026 ]]*8</f>
        <v>6032</v>
      </c>
      <c r="W61" s="5">
        <v>450</v>
      </c>
      <c r="X61" s="1">
        <v>2025</v>
      </c>
      <c r="Y61" s="5" t="s">
        <v>61</v>
      </c>
      <c r="Z61" s="5">
        <f>IF((V61-W61)&lt;0,0,(V61-W61))</f>
        <v>5582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754</v>
      </c>
      <c r="D62" s="5">
        <f>Table14[[#This Row],[Enrolment S.Y. 2025-2026 ]]*8</f>
        <v>6032</v>
      </c>
      <c r="E62" s="5"/>
      <c r="F62" s="1"/>
      <c r="G62" s="5"/>
      <c r="H62" s="5">
        <f t="shared" si="0"/>
        <v>6032</v>
      </c>
      <c r="I62" s="5">
        <f t="shared" si="1"/>
        <v>0</v>
      </c>
      <c r="J62" s="5">
        <f>Table14[[#This Row],[Enrolment S.Y. 2025-2026 ]]*8</f>
        <v>6032</v>
      </c>
      <c r="K62" s="5"/>
      <c r="L62" s="1"/>
      <c r="M62" s="5"/>
      <c r="N62" s="5">
        <f t="shared" si="12"/>
        <v>6032</v>
      </c>
      <c r="O62" s="5">
        <f t="shared" si="13"/>
        <v>0</v>
      </c>
      <c r="P62" s="5">
        <f>Table14[[#This Row],[Enrolment S.Y. 2025-2026 ]]*8</f>
        <v>6032</v>
      </c>
      <c r="Q62" s="5">
        <v>1050</v>
      </c>
      <c r="R62" s="1"/>
      <c r="S62" s="5"/>
      <c r="T62" s="5">
        <f t="shared" si="4"/>
        <v>4982</v>
      </c>
      <c r="U62" s="5">
        <f t="shared" si="5"/>
        <v>0</v>
      </c>
      <c r="V62" s="5">
        <f>Table14[[#This Row],[Enrolment S.Y. 2025-2026 ]]*8</f>
        <v>6032</v>
      </c>
      <c r="W62" s="5">
        <v>1350</v>
      </c>
      <c r="X62" s="1">
        <v>2025</v>
      </c>
      <c r="Y62" s="5" t="s">
        <v>61</v>
      </c>
      <c r="Z62" s="5">
        <f t="shared" si="6"/>
        <v>4682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754</v>
      </c>
      <c r="D63" s="5">
        <f>Table14[[#This Row],[Enrolment S.Y. 2025-2026 ]]*8</f>
        <v>6032</v>
      </c>
      <c r="E63" s="5"/>
      <c r="F63" s="1"/>
      <c r="G63" s="5"/>
      <c r="H63" s="5">
        <f t="shared" si="0"/>
        <v>6032</v>
      </c>
      <c r="I63" s="5">
        <f t="shared" si="1"/>
        <v>0</v>
      </c>
      <c r="J63" s="5">
        <f>Table14[[#This Row],[Enrolment S.Y. 2025-2026 ]]*8</f>
        <v>6032</v>
      </c>
      <c r="K63" s="5"/>
      <c r="L63" s="1"/>
      <c r="M63" s="5"/>
      <c r="N63" s="5">
        <f t="shared" si="12"/>
        <v>6032</v>
      </c>
      <c r="O63" s="5">
        <f t="shared" si="13"/>
        <v>0</v>
      </c>
      <c r="P63" s="5">
        <f>Table14[[#This Row],[Enrolment S.Y. 2025-2026 ]]*8</f>
        <v>6032</v>
      </c>
      <c r="Q63" s="5"/>
      <c r="R63" s="1"/>
      <c r="S63" s="5"/>
      <c r="T63" s="5">
        <f t="shared" si="4"/>
        <v>6032</v>
      </c>
      <c r="U63" s="5">
        <f t="shared" si="5"/>
        <v>0</v>
      </c>
      <c r="V63" s="5">
        <f>Table14[[#This Row],[Enrolment S.Y. 2025-2026 ]]*8</f>
        <v>6032</v>
      </c>
      <c r="W63" s="5"/>
      <c r="X63" s="1"/>
      <c r="Y63" s="5"/>
      <c r="Z63" s="5">
        <f t="shared" si="6"/>
        <v>6032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754</v>
      </c>
      <c r="D64" s="5">
        <f>Table14[[#This Row],[Enrolment S.Y. 2025-2026 ]]*8</f>
        <v>6032</v>
      </c>
      <c r="E64" s="5"/>
      <c r="F64" s="1"/>
      <c r="G64" s="5"/>
      <c r="H64" s="5">
        <f>IF((D64-E64)&lt;0,0,(D64-E64))</f>
        <v>6032</v>
      </c>
      <c r="I64" s="5">
        <f>IF((E64-D64)&lt;0,0,(E64-D64))</f>
        <v>0</v>
      </c>
      <c r="J64" s="5">
        <f>Table14[[#This Row],[Enrolment S.Y. 2025-2026 ]]*8</f>
        <v>6032</v>
      </c>
      <c r="K64" s="5"/>
      <c r="L64" s="1"/>
      <c r="M64" s="5"/>
      <c r="N64" s="5">
        <f t="shared" si="12"/>
        <v>6032</v>
      </c>
      <c r="O64" s="5">
        <f t="shared" si="13"/>
        <v>0</v>
      </c>
      <c r="P64" s="5">
        <f>Table14[[#This Row],[Enrolment S.Y. 2025-2026 ]]*8</f>
        <v>6032</v>
      </c>
      <c r="Q64" s="5">
        <v>450</v>
      </c>
      <c r="R64" s="1"/>
      <c r="S64" s="5"/>
      <c r="T64" s="5">
        <f>IF((P64-Q64)&lt;0,0,(P64-Q64))</f>
        <v>5582</v>
      </c>
      <c r="U64" s="5">
        <f>IF((Q64-P64)&lt;0,0,(Q64-P64))</f>
        <v>0</v>
      </c>
      <c r="V64" s="5">
        <f>Table14[[#This Row],[Enrolment S.Y. 2025-2026 ]]*8</f>
        <v>6032</v>
      </c>
      <c r="W64" s="5">
        <v>450</v>
      </c>
      <c r="X64" s="1">
        <v>2025</v>
      </c>
      <c r="Y64" s="5" t="s">
        <v>61</v>
      </c>
      <c r="Z64" s="5">
        <f>IF((V64-W64)&lt;0,0,(V64-W64))</f>
        <v>5582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754</v>
      </c>
      <c r="D65" s="5">
        <f>Table14[[#This Row],[Enrolment S.Y. 2025-2026 ]]*8</f>
        <v>6032</v>
      </c>
      <c r="E65" s="5"/>
      <c r="F65" s="1"/>
      <c r="G65" s="5"/>
      <c r="H65" s="5">
        <f t="shared" si="0"/>
        <v>6032</v>
      </c>
      <c r="I65" s="5">
        <f t="shared" si="1"/>
        <v>0</v>
      </c>
      <c r="J65" s="5">
        <f>Table14[[#This Row],[Enrolment S.Y. 2025-2026 ]]*8</f>
        <v>6032</v>
      </c>
      <c r="K65" s="5"/>
      <c r="L65" s="1"/>
      <c r="M65" s="5"/>
      <c r="N65" s="5">
        <f t="shared" si="12"/>
        <v>6032</v>
      </c>
      <c r="O65" s="5">
        <f t="shared" si="13"/>
        <v>0</v>
      </c>
      <c r="P65" s="5">
        <f>Table14[[#This Row],[Enrolment S.Y. 2025-2026 ]]*8</f>
        <v>6032</v>
      </c>
      <c r="Q65" s="5">
        <v>450</v>
      </c>
      <c r="R65" s="1"/>
      <c r="S65" s="5"/>
      <c r="T65" s="5">
        <f t="shared" si="4"/>
        <v>5582</v>
      </c>
      <c r="U65" s="5">
        <f t="shared" si="5"/>
        <v>0</v>
      </c>
      <c r="V65" s="5">
        <f>Table14[[#This Row],[Enrolment S.Y. 2025-2026 ]]*8</f>
        <v>6032</v>
      </c>
      <c r="W65" s="5">
        <v>1350</v>
      </c>
      <c r="X65" s="1">
        <v>2025</v>
      </c>
      <c r="Y65" s="5" t="s">
        <v>61</v>
      </c>
      <c r="Z65" s="5">
        <f t="shared" si="6"/>
        <v>4682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55:R65 N67:R77 N79:R89 N91:R101 N103:R113 T55:X65" name="LAS"/>
    <protectedRange sqref="G2:I2 M2:O2 S2:U2 Y2:AA2 G3:G10 M3:M10 S3:S10 Y3:Y10 Y12:Y19 G12:G19 M12:M19 S12:S19 Y21:Y29 G21:G29 M21:M29 S21:S29 Y31:Y41 G31:G41 M31:M41 S31:S41 Y43:Y53 G43:G53 M43:M53 S43:S53 G55:G65 M55:M65 S55:S65 Y67:Y77 G67:G77 M67:M77 S67:S77 Y79:Y89 G79:G89 M79:M89 S79:S89 Y91:Y101 G91:G101 M91:M101 S91:S101 Y103:Y113 G103:G113 M103:M113 S103:S113 Y115:Y122 G115:G122 M115:M122 S115:S122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M115:M122 S55:S65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F103:F113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8148-CFD9-4362-8419-05715891EABB}">
  <dimension ref="A1:AA157"/>
  <sheetViews>
    <sheetView zoomScale="70" zoomScaleNormal="70" workbookViewId="0">
      <pane ySplit="1" topLeftCell="A2" activePane="bottomLeft" state="frozen"/>
      <selection pane="bottomLeft" activeCell="E48" sqref="E4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Table15[[#This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Table15[[#This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Table15[[#This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Table15[[#This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customHeight="1">
      <c r="A5" s="1">
        <v>1</v>
      </c>
      <c r="B5" s="40" t="s">
        <v>8</v>
      </c>
      <c r="C5" s="1">
        <v>828</v>
      </c>
      <c r="D5" s="5">
        <f>Table15[[#This Row],[Enrolment S.Y. 2025-2026 ]]*8</f>
        <v>6624</v>
      </c>
      <c r="E5" s="5"/>
      <c r="F5" s="1"/>
      <c r="G5" s="5"/>
      <c r="H5" s="5">
        <f t="shared" ref="H5:H77" si="2">IF((D5-E5)&lt;0,0,(D5-E5))</f>
        <v>6624</v>
      </c>
      <c r="I5" s="5">
        <f t="shared" ref="I5:I77" si="3">IF((E5-D5)&lt;0,0,(E5-D5))</f>
        <v>0</v>
      </c>
      <c r="J5" s="5">
        <f>Table15[[#This Row],[Enrolment S.Y. 2025-2026 ]]*8</f>
        <v>6624</v>
      </c>
      <c r="K5" s="5"/>
      <c r="L5" s="1"/>
      <c r="M5" s="5"/>
      <c r="N5" s="5">
        <f t="shared" ref="N5:N68" si="4">IF((J5-K5)&lt;0,0,(J5-K5))</f>
        <v>6624</v>
      </c>
      <c r="O5" s="5">
        <f t="shared" ref="O5:O68" si="5">IF((K5-J5)&lt;0,0,(K5-J5))</f>
        <v>0</v>
      </c>
      <c r="P5" s="5">
        <f>Table15[[#This Row],[Enrolment S.Y. 2025-2026 ]]*8</f>
        <v>6624</v>
      </c>
      <c r="Q5" s="5"/>
      <c r="R5" s="1"/>
      <c r="S5" s="5"/>
      <c r="T5" s="5">
        <f t="shared" ref="T5:T68" si="6">IF((P5-Q5)&lt;0,0,(P5-Q5))</f>
        <v>6624</v>
      </c>
      <c r="U5" s="5">
        <f t="shared" ref="U5:U68" si="7">IF((Q5-P5)&lt;0,0,(Q5-P5))</f>
        <v>0</v>
      </c>
      <c r="V5" s="5">
        <f>Table15[[#This Row],[Enrolment S.Y. 2025-2026 ]]*8</f>
        <v>6624</v>
      </c>
      <c r="W5" s="5"/>
      <c r="X5" s="1"/>
      <c r="Y5" s="5"/>
      <c r="Z5" s="5">
        <f t="shared" ref="Z5:Z68" si="8">IF((V5-W5)&lt;0,0,(V5-W5))</f>
        <v>6624</v>
      </c>
      <c r="AA5" s="5">
        <f t="shared" ref="AA5:AA68" si="9">IF((W5-V5)&lt;0,0,(W5-V5))</f>
        <v>0</v>
      </c>
    </row>
    <row r="6" spans="1:27" ht="19.5">
      <c r="A6" s="1">
        <v>1</v>
      </c>
      <c r="B6" s="2" t="s">
        <v>9</v>
      </c>
      <c r="C6" s="1">
        <v>828</v>
      </c>
      <c r="D6" s="5">
        <f>Table15[[#This Row],[Enrolment S.Y. 2025-2026 ]]*8</f>
        <v>6624</v>
      </c>
      <c r="E6" s="5"/>
      <c r="F6" s="1"/>
      <c r="G6" s="5"/>
      <c r="H6" s="5">
        <f t="shared" si="2"/>
        <v>6624</v>
      </c>
      <c r="I6" s="5">
        <f t="shared" si="3"/>
        <v>0</v>
      </c>
      <c r="J6" s="5">
        <f>Table15[[#This Row],[Enrolment S.Y. 2025-2026 ]]*8</f>
        <v>6624</v>
      </c>
      <c r="K6" s="5"/>
      <c r="L6" s="1"/>
      <c r="M6" s="5"/>
      <c r="N6" s="5">
        <f t="shared" si="4"/>
        <v>6624</v>
      </c>
      <c r="O6" s="5">
        <f t="shared" si="5"/>
        <v>0</v>
      </c>
      <c r="P6" s="5">
        <f>Table15[[#This Row],[Enrolment S.Y. 2025-2026 ]]*8</f>
        <v>6624</v>
      </c>
      <c r="Q6" s="5"/>
      <c r="R6" s="1"/>
      <c r="S6" s="5"/>
      <c r="T6" s="5">
        <f t="shared" si="6"/>
        <v>6624</v>
      </c>
      <c r="U6" s="5">
        <f t="shared" si="7"/>
        <v>0</v>
      </c>
      <c r="V6" s="5">
        <f>Table15[[#This Row],[Enrolment S.Y. 2025-2026 ]]*8</f>
        <v>6624</v>
      </c>
      <c r="W6" s="5"/>
      <c r="X6" s="1"/>
      <c r="Y6" s="5"/>
      <c r="Z6" s="5">
        <f t="shared" si="8"/>
        <v>6624</v>
      </c>
      <c r="AA6" s="5">
        <f t="shared" si="9"/>
        <v>0</v>
      </c>
    </row>
    <row r="7" spans="1:27" ht="19.5">
      <c r="A7" s="1">
        <v>1</v>
      </c>
      <c r="B7" s="2" t="s">
        <v>10</v>
      </c>
      <c r="C7" s="1">
        <v>828</v>
      </c>
      <c r="D7" s="5">
        <f>Table15[[#This Row],[Enrolment S.Y. 2025-2026 ]]*8</f>
        <v>6624</v>
      </c>
      <c r="E7" s="5"/>
      <c r="F7" s="1"/>
      <c r="G7" s="5"/>
      <c r="H7" s="5">
        <f t="shared" si="2"/>
        <v>6624</v>
      </c>
      <c r="I7" s="5">
        <f t="shared" si="3"/>
        <v>0</v>
      </c>
      <c r="J7" s="5">
        <f>Table15[[#This Row],[Enrolment S.Y. 2025-2026 ]]*8</f>
        <v>6624</v>
      </c>
      <c r="K7" s="5"/>
      <c r="L7" s="1"/>
      <c r="M7" s="5"/>
      <c r="N7" s="5">
        <f t="shared" si="4"/>
        <v>6624</v>
      </c>
      <c r="O7" s="5">
        <f t="shared" si="5"/>
        <v>0</v>
      </c>
      <c r="P7" s="5">
        <f>Table15[[#This Row],[Enrolment S.Y. 2025-2026 ]]*8</f>
        <v>6624</v>
      </c>
      <c r="Q7" s="5"/>
      <c r="R7" s="1"/>
      <c r="S7" s="5"/>
      <c r="T7" s="5">
        <f t="shared" si="6"/>
        <v>6624</v>
      </c>
      <c r="U7" s="5">
        <f t="shared" si="7"/>
        <v>0</v>
      </c>
      <c r="V7" s="5">
        <f>Table15[[#This Row],[Enrolment S.Y. 2025-2026 ]]*8</f>
        <v>6624</v>
      </c>
      <c r="W7" s="5"/>
      <c r="X7" s="1"/>
      <c r="Y7" s="5"/>
      <c r="Z7" s="5">
        <f t="shared" si="8"/>
        <v>6624</v>
      </c>
      <c r="AA7" s="5">
        <f t="shared" si="9"/>
        <v>0</v>
      </c>
    </row>
    <row r="8" spans="1:27" ht="19.5">
      <c r="A8" s="1">
        <v>1</v>
      </c>
      <c r="B8" s="2" t="s">
        <v>11</v>
      </c>
      <c r="C8" s="1">
        <v>828</v>
      </c>
      <c r="D8" s="5">
        <f>Table15[[#This Row],[Enrolment S.Y. 2025-2026 ]]*8</f>
        <v>6624</v>
      </c>
      <c r="E8" s="5"/>
      <c r="F8" s="1"/>
      <c r="G8" s="5"/>
      <c r="H8" s="5">
        <f t="shared" si="2"/>
        <v>6624</v>
      </c>
      <c r="I8" s="5">
        <f t="shared" si="3"/>
        <v>0</v>
      </c>
      <c r="J8" s="5">
        <f>Table15[[#This Row],[Enrolment S.Y. 2025-2026 ]]*8</f>
        <v>6624</v>
      </c>
      <c r="K8" s="5"/>
      <c r="L8" s="1"/>
      <c r="M8" s="5"/>
      <c r="N8" s="5">
        <f t="shared" si="4"/>
        <v>6624</v>
      </c>
      <c r="O8" s="5">
        <f t="shared" si="5"/>
        <v>0</v>
      </c>
      <c r="P8" s="5">
        <f>Table15[[#This Row],[Enrolment S.Y. 2025-2026 ]]*8</f>
        <v>6624</v>
      </c>
      <c r="Q8" s="5"/>
      <c r="R8" s="1"/>
      <c r="S8" s="5"/>
      <c r="T8" s="5">
        <f t="shared" si="6"/>
        <v>6624</v>
      </c>
      <c r="U8" s="5">
        <f t="shared" si="7"/>
        <v>0</v>
      </c>
      <c r="V8" s="5">
        <f>Table15[[#This Row],[Enrolment S.Y. 2025-2026 ]]*8</f>
        <v>6624</v>
      </c>
      <c r="W8" s="5"/>
      <c r="X8" s="1"/>
      <c r="Y8" s="5"/>
      <c r="Z8" s="5">
        <f t="shared" si="8"/>
        <v>6624</v>
      </c>
      <c r="AA8" s="5">
        <f t="shared" si="9"/>
        <v>0</v>
      </c>
    </row>
    <row r="9" spans="1:27" ht="19.5">
      <c r="A9" s="1">
        <v>1</v>
      </c>
      <c r="B9" s="2" t="s">
        <v>12</v>
      </c>
      <c r="C9" s="1">
        <v>828</v>
      </c>
      <c r="D9" s="5">
        <f>Table15[[#This Row],[Enrolment S.Y. 2025-2026 ]]*8</f>
        <v>6624</v>
      </c>
      <c r="E9" s="5"/>
      <c r="F9" s="1"/>
      <c r="G9" s="5"/>
      <c r="H9" s="5">
        <f t="shared" si="2"/>
        <v>6624</v>
      </c>
      <c r="I9" s="5">
        <f t="shared" si="3"/>
        <v>0</v>
      </c>
      <c r="J9" s="5">
        <f>Table15[[#This Row],[Enrolment S.Y. 2025-2026 ]]*8</f>
        <v>6624</v>
      </c>
      <c r="K9" s="5"/>
      <c r="L9" s="1"/>
      <c r="M9" s="5"/>
      <c r="N9" s="5">
        <f t="shared" si="4"/>
        <v>6624</v>
      </c>
      <c r="O9" s="5">
        <f t="shared" si="5"/>
        <v>0</v>
      </c>
      <c r="P9" s="5">
        <f>Table15[[#This Row],[Enrolment S.Y. 2025-2026 ]]*8</f>
        <v>6624</v>
      </c>
      <c r="Q9" s="5"/>
      <c r="R9" s="1"/>
      <c r="S9" s="5"/>
      <c r="T9" s="5">
        <f t="shared" si="6"/>
        <v>6624</v>
      </c>
      <c r="U9" s="5">
        <f t="shared" si="7"/>
        <v>0</v>
      </c>
      <c r="V9" s="5">
        <f>Table15[[#This Row],[Enrolment S.Y. 2025-2026 ]]*8</f>
        <v>6624</v>
      </c>
      <c r="W9" s="5"/>
      <c r="X9" s="1"/>
      <c r="Y9" s="5"/>
      <c r="Z9" s="5">
        <f t="shared" si="8"/>
        <v>6624</v>
      </c>
      <c r="AA9" s="5">
        <f t="shared" si="9"/>
        <v>0</v>
      </c>
    </row>
    <row r="10" spans="1:27" ht="19.5">
      <c r="A10" s="1">
        <v>1</v>
      </c>
      <c r="B10" s="9" t="s">
        <v>14</v>
      </c>
      <c r="C10" s="1">
        <v>828</v>
      </c>
      <c r="D10" s="5">
        <f>Table15[[#This Row],[Enrolment S.Y. 2025-2026 ]]*8</f>
        <v>6624</v>
      </c>
      <c r="E10" s="5"/>
      <c r="F10" s="1"/>
      <c r="G10" s="5"/>
      <c r="H10" s="5">
        <f>IF((D10-E10)&lt;0,0,(D10-E10))</f>
        <v>6624</v>
      </c>
      <c r="I10" s="5">
        <f>IF((E10-D10)&lt;0,0,(E10-D10))</f>
        <v>0</v>
      </c>
      <c r="J10" s="5">
        <f>Table15[[#This Row],[Enrolment S.Y. 2025-2026 ]]*8</f>
        <v>6624</v>
      </c>
      <c r="K10" s="5"/>
      <c r="L10" s="1"/>
      <c r="M10" s="5"/>
      <c r="N10" s="5">
        <f t="shared" si="4"/>
        <v>6624</v>
      </c>
      <c r="O10" s="5">
        <f t="shared" si="5"/>
        <v>0</v>
      </c>
      <c r="P10" s="5">
        <f>Table15[[#This Row],[Enrolment S.Y. 2025-2026 ]]*8</f>
        <v>6624</v>
      </c>
      <c r="Q10" s="5"/>
      <c r="R10" s="1"/>
      <c r="S10" s="5"/>
      <c r="T10" s="5">
        <f t="shared" si="6"/>
        <v>6624</v>
      </c>
      <c r="U10" s="5">
        <f t="shared" si="7"/>
        <v>0</v>
      </c>
      <c r="V10" s="5">
        <f>Table15[[#This Row],[Enrolment S.Y. 2025-2026 ]]*8</f>
        <v>6624</v>
      </c>
      <c r="W10" s="5"/>
      <c r="X10" s="1"/>
      <c r="Y10" s="5"/>
      <c r="Z10" s="5">
        <f t="shared" si="8"/>
        <v>6624</v>
      </c>
      <c r="AA10" s="5">
        <f t="shared" si="9"/>
        <v>0</v>
      </c>
    </row>
    <row r="11" spans="1:27" ht="19.5">
      <c r="A11" s="1">
        <v>1</v>
      </c>
      <c r="B11" s="9" t="s">
        <v>15</v>
      </c>
      <c r="C11" s="1">
        <v>828</v>
      </c>
      <c r="D11" s="5">
        <f>Table15[[#This Row],[Enrolment S.Y. 2025-2026 ]]*8</f>
        <v>6624</v>
      </c>
      <c r="E11" s="5"/>
      <c r="F11" s="1"/>
      <c r="G11" s="5"/>
      <c r="H11" s="5">
        <f>IF((D11-E11)&lt;0,0,(D11-E11))</f>
        <v>6624</v>
      </c>
      <c r="I11" s="5">
        <f>IF((E11-D11)&lt;0,0,(E11-D11))</f>
        <v>0</v>
      </c>
      <c r="J11" s="5">
        <f>Table15[[#This Row],[Enrolment S.Y. 2025-2026 ]]*8</f>
        <v>6624</v>
      </c>
      <c r="K11" s="5"/>
      <c r="L11" s="1"/>
      <c r="M11" s="5"/>
      <c r="N11" s="5">
        <f t="shared" si="4"/>
        <v>6624</v>
      </c>
      <c r="O11" s="5">
        <f t="shared" si="5"/>
        <v>0</v>
      </c>
      <c r="P11" s="5">
        <f>Table15[[#This Row],[Enrolment S.Y. 2025-2026 ]]*8</f>
        <v>6624</v>
      </c>
      <c r="Q11" s="5"/>
      <c r="R11" s="1"/>
      <c r="S11" s="5"/>
      <c r="T11" s="5">
        <f t="shared" si="6"/>
        <v>6624</v>
      </c>
      <c r="U11" s="5">
        <f t="shared" si="7"/>
        <v>0</v>
      </c>
      <c r="V11" s="5">
        <f>Table15[[#This Row],[Enrolment S.Y. 2025-2026 ]]*8</f>
        <v>6624</v>
      </c>
      <c r="W11" s="5"/>
      <c r="X11" s="1"/>
      <c r="Y11" s="5"/>
      <c r="Z11" s="5">
        <f t="shared" si="8"/>
        <v>6624</v>
      </c>
      <c r="AA11" s="5">
        <f t="shared" si="9"/>
        <v>0</v>
      </c>
    </row>
    <row r="12" spans="1:27" ht="19.5">
      <c r="A12" s="1">
        <v>1</v>
      </c>
      <c r="B12" s="9" t="s">
        <v>62</v>
      </c>
      <c r="C12" s="1">
        <v>828</v>
      </c>
      <c r="D12" s="5">
        <f>Table15[[#This Row],[Enrolment S.Y. 2025-2026 ]]*8</f>
        <v>6624</v>
      </c>
      <c r="E12" s="5"/>
      <c r="F12" s="1"/>
      <c r="G12" s="5"/>
      <c r="H12" s="5">
        <f>IF((D12-E12)&lt;0,0,(D12-E12))</f>
        <v>6624</v>
      </c>
      <c r="I12" s="5">
        <f>IF((E12-D12)&lt;0,0,(E12-D12))</f>
        <v>0</v>
      </c>
      <c r="J12" s="5">
        <f>Table15[[#This Row],[Enrolment S.Y. 2025-2026 ]]*8</f>
        <v>6624</v>
      </c>
      <c r="K12" s="5"/>
      <c r="L12" s="1"/>
      <c r="M12" s="5"/>
      <c r="N12" s="5">
        <f t="shared" si="4"/>
        <v>6624</v>
      </c>
      <c r="O12" s="5">
        <f t="shared" si="5"/>
        <v>0</v>
      </c>
      <c r="P12" s="5">
        <f>Table15[[#This Row],[Enrolment S.Y. 2025-2026 ]]*8</f>
        <v>6624</v>
      </c>
      <c r="Q12" s="5"/>
      <c r="R12" s="1"/>
      <c r="S12" s="5"/>
      <c r="T12" s="5">
        <f t="shared" si="6"/>
        <v>6624</v>
      </c>
      <c r="U12" s="5">
        <f t="shared" si="7"/>
        <v>0</v>
      </c>
      <c r="V12" s="5">
        <f>Table15[[#This Row],[Enrolment S.Y. 2025-2026 ]]*8</f>
        <v>6624</v>
      </c>
      <c r="W12" s="5"/>
      <c r="X12" s="1"/>
      <c r="Y12" s="5"/>
      <c r="Z12" s="5">
        <f t="shared" si="8"/>
        <v>6624</v>
      </c>
      <c r="AA12" s="5">
        <f t="shared" si="9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 customHeight="1">
      <c r="A14" s="1">
        <v>2</v>
      </c>
      <c r="B14" s="2" t="s">
        <v>8</v>
      </c>
      <c r="C14" s="1">
        <v>809</v>
      </c>
      <c r="D14" s="5">
        <f>Table15[[#This Row],[Enrolment S.Y. 2025-2026 ]]*8</f>
        <v>6472</v>
      </c>
      <c r="E14" s="5"/>
      <c r="F14" s="1"/>
      <c r="G14" s="5"/>
      <c r="H14" s="5">
        <f t="shared" si="2"/>
        <v>6472</v>
      </c>
      <c r="I14" s="5">
        <f t="shared" si="3"/>
        <v>0</v>
      </c>
      <c r="J14" s="5">
        <f>Table15[[#This Row],[Enrolment S.Y. 2025-2026 ]]*8</f>
        <v>6472</v>
      </c>
      <c r="K14" s="5"/>
      <c r="L14" s="1"/>
      <c r="M14" s="5"/>
      <c r="N14" s="5">
        <f t="shared" si="4"/>
        <v>6472</v>
      </c>
      <c r="O14" s="5">
        <f t="shared" si="5"/>
        <v>0</v>
      </c>
      <c r="P14" s="5">
        <f>Table15[[#This Row],[Enrolment S.Y. 2025-2026 ]]*8</f>
        <v>6472</v>
      </c>
      <c r="Q14" s="5"/>
      <c r="R14" s="1"/>
      <c r="S14" s="5"/>
      <c r="T14" s="5">
        <f t="shared" si="6"/>
        <v>6472</v>
      </c>
      <c r="U14" s="5">
        <f t="shared" si="7"/>
        <v>0</v>
      </c>
      <c r="V14" s="5">
        <f>Table15[[#This Row],[Enrolment S.Y. 2025-2026 ]]*8</f>
        <v>6472</v>
      </c>
      <c r="W14" s="5"/>
      <c r="X14" s="1"/>
      <c r="Y14" s="5"/>
      <c r="Z14" s="5">
        <f t="shared" si="8"/>
        <v>6472</v>
      </c>
      <c r="AA14" s="5">
        <f t="shared" si="9"/>
        <v>0</v>
      </c>
    </row>
    <row r="15" spans="1:27" ht="19.5">
      <c r="A15" s="1">
        <v>2</v>
      </c>
      <c r="B15" s="2" t="s">
        <v>9</v>
      </c>
      <c r="C15" s="1">
        <v>809</v>
      </c>
      <c r="D15" s="5">
        <f>Table15[[#This Row],[Enrolment S.Y. 2025-2026 ]]*8</f>
        <v>6472</v>
      </c>
      <c r="E15" s="5"/>
      <c r="F15" s="1"/>
      <c r="G15" s="5"/>
      <c r="H15" s="5">
        <f t="shared" si="2"/>
        <v>6472</v>
      </c>
      <c r="I15" s="5">
        <f t="shared" si="3"/>
        <v>0</v>
      </c>
      <c r="J15" s="5">
        <f>Table15[[#This Row],[Enrolment S.Y. 2025-2026 ]]*8</f>
        <v>6472</v>
      </c>
      <c r="K15" s="5"/>
      <c r="L15" s="1"/>
      <c r="M15" s="5"/>
      <c r="N15" s="5">
        <f t="shared" si="4"/>
        <v>6472</v>
      </c>
      <c r="O15" s="5">
        <f t="shared" si="5"/>
        <v>0</v>
      </c>
      <c r="P15" s="5">
        <f>Table15[[#This Row],[Enrolment S.Y. 2025-2026 ]]*8</f>
        <v>6472</v>
      </c>
      <c r="Q15" s="5"/>
      <c r="R15" s="1"/>
      <c r="S15" s="5"/>
      <c r="T15" s="5">
        <f t="shared" si="6"/>
        <v>6472</v>
      </c>
      <c r="U15" s="5">
        <f t="shared" si="7"/>
        <v>0</v>
      </c>
      <c r="V15" s="5">
        <f>Table15[[#This Row],[Enrolment S.Y. 2025-2026 ]]*8</f>
        <v>6472</v>
      </c>
      <c r="W15" s="5"/>
      <c r="X15" s="1"/>
      <c r="Y15" s="5"/>
      <c r="Z15" s="5">
        <f t="shared" si="8"/>
        <v>6472</v>
      </c>
      <c r="AA15" s="5">
        <f t="shared" si="9"/>
        <v>0</v>
      </c>
    </row>
    <row r="16" spans="1:27" ht="19.5">
      <c r="A16" s="1">
        <v>2</v>
      </c>
      <c r="B16" s="2" t="s">
        <v>10</v>
      </c>
      <c r="C16" s="1">
        <v>809</v>
      </c>
      <c r="D16" s="5">
        <f>Table15[[#This Row],[Enrolment S.Y. 2025-2026 ]]*8</f>
        <v>6472</v>
      </c>
      <c r="E16" s="5"/>
      <c r="F16" s="1"/>
      <c r="G16" s="5"/>
      <c r="H16" s="5">
        <f t="shared" si="2"/>
        <v>6472</v>
      </c>
      <c r="I16" s="5">
        <f t="shared" si="3"/>
        <v>0</v>
      </c>
      <c r="J16" s="5">
        <f>Table15[[#This Row],[Enrolment S.Y. 2025-2026 ]]*8</f>
        <v>6472</v>
      </c>
      <c r="K16" s="5"/>
      <c r="L16" s="1"/>
      <c r="M16" s="5"/>
      <c r="N16" s="5">
        <f t="shared" si="4"/>
        <v>6472</v>
      </c>
      <c r="O16" s="5">
        <f t="shared" si="5"/>
        <v>0</v>
      </c>
      <c r="P16" s="5">
        <f>Table15[[#This Row],[Enrolment S.Y. 2025-2026 ]]*8</f>
        <v>6472</v>
      </c>
      <c r="Q16" s="5"/>
      <c r="R16" s="1"/>
      <c r="S16" s="5"/>
      <c r="T16" s="5">
        <f t="shared" si="6"/>
        <v>6472</v>
      </c>
      <c r="U16" s="5">
        <f t="shared" si="7"/>
        <v>0</v>
      </c>
      <c r="V16" s="5">
        <f>Table15[[#This Row],[Enrolment S.Y. 2025-2026 ]]*8</f>
        <v>6472</v>
      </c>
      <c r="W16" s="5"/>
      <c r="X16" s="1"/>
      <c r="Y16" s="5"/>
      <c r="Z16" s="5">
        <f t="shared" si="8"/>
        <v>6472</v>
      </c>
      <c r="AA16" s="5">
        <f t="shared" si="9"/>
        <v>0</v>
      </c>
    </row>
    <row r="17" spans="1:27" ht="19.5">
      <c r="A17" s="1">
        <v>2</v>
      </c>
      <c r="B17" s="2" t="s">
        <v>11</v>
      </c>
      <c r="C17" s="1">
        <v>809</v>
      </c>
      <c r="D17" s="5">
        <f>Table15[[#This Row],[Enrolment S.Y. 2025-2026 ]]*8</f>
        <v>6472</v>
      </c>
      <c r="E17" s="5"/>
      <c r="F17" s="1"/>
      <c r="G17" s="5"/>
      <c r="H17" s="5">
        <f t="shared" si="2"/>
        <v>6472</v>
      </c>
      <c r="I17" s="5">
        <f t="shared" si="3"/>
        <v>0</v>
      </c>
      <c r="J17" s="5">
        <f>Table15[[#This Row],[Enrolment S.Y. 2025-2026 ]]*8</f>
        <v>6472</v>
      </c>
      <c r="K17" s="5"/>
      <c r="L17" s="1"/>
      <c r="M17" s="5"/>
      <c r="N17" s="5">
        <f t="shared" si="4"/>
        <v>6472</v>
      </c>
      <c r="O17" s="5">
        <f t="shared" si="5"/>
        <v>0</v>
      </c>
      <c r="P17" s="5">
        <f>Table15[[#This Row],[Enrolment S.Y. 2025-2026 ]]*8</f>
        <v>6472</v>
      </c>
      <c r="Q17" s="5"/>
      <c r="R17" s="1"/>
      <c r="S17" s="5"/>
      <c r="T17" s="5">
        <f t="shared" si="6"/>
        <v>6472</v>
      </c>
      <c r="U17" s="5">
        <f t="shared" si="7"/>
        <v>0</v>
      </c>
      <c r="V17" s="5">
        <f>Table15[[#This Row],[Enrolment S.Y. 2025-2026 ]]*8</f>
        <v>6472</v>
      </c>
      <c r="W17" s="5"/>
      <c r="X17" s="1"/>
      <c r="Y17" s="5"/>
      <c r="Z17" s="5">
        <f t="shared" si="8"/>
        <v>6472</v>
      </c>
      <c r="AA17" s="5">
        <f t="shared" si="9"/>
        <v>0</v>
      </c>
    </row>
    <row r="18" spans="1:27" ht="19.5">
      <c r="A18" s="1">
        <v>2</v>
      </c>
      <c r="B18" s="2" t="s">
        <v>12</v>
      </c>
      <c r="C18" s="1">
        <v>809</v>
      </c>
      <c r="D18" s="5">
        <f>Table15[[#This Row],[Enrolment S.Y. 2025-2026 ]]*8</f>
        <v>6472</v>
      </c>
      <c r="E18" s="5"/>
      <c r="F18" s="1"/>
      <c r="G18" s="5"/>
      <c r="H18" s="5">
        <f t="shared" si="2"/>
        <v>6472</v>
      </c>
      <c r="I18" s="5">
        <f t="shared" si="3"/>
        <v>0</v>
      </c>
      <c r="J18" s="5">
        <f>Table15[[#This Row],[Enrolment S.Y. 2025-2026 ]]*8</f>
        <v>6472</v>
      </c>
      <c r="K18" s="5"/>
      <c r="L18" s="1"/>
      <c r="M18" s="5"/>
      <c r="N18" s="5">
        <f t="shared" si="4"/>
        <v>6472</v>
      </c>
      <c r="O18" s="5">
        <f t="shared" si="5"/>
        <v>0</v>
      </c>
      <c r="P18" s="5">
        <f>Table15[[#This Row],[Enrolment S.Y. 2025-2026 ]]*8</f>
        <v>6472</v>
      </c>
      <c r="Q18" s="5"/>
      <c r="R18" s="1"/>
      <c r="S18" s="5"/>
      <c r="T18" s="5">
        <f t="shared" si="6"/>
        <v>6472</v>
      </c>
      <c r="U18" s="5">
        <f t="shared" si="7"/>
        <v>0</v>
      </c>
      <c r="V18" s="5">
        <f>Table15[[#This Row],[Enrolment S.Y. 2025-2026 ]]*8</f>
        <v>6472</v>
      </c>
      <c r="W18" s="5"/>
      <c r="X18" s="1"/>
      <c r="Y18" s="5"/>
      <c r="Z18" s="5">
        <f t="shared" si="8"/>
        <v>6472</v>
      </c>
      <c r="AA18" s="5">
        <f t="shared" si="9"/>
        <v>0</v>
      </c>
    </row>
    <row r="19" spans="1:27" ht="19.5">
      <c r="A19" s="1">
        <v>2</v>
      </c>
      <c r="B19" s="9" t="s">
        <v>15</v>
      </c>
      <c r="C19" s="1">
        <v>809</v>
      </c>
      <c r="D19" s="5">
        <f>Table15[[#This Row],[Enrolment S.Y. 2025-2026 ]]*8</f>
        <v>6472</v>
      </c>
      <c r="E19" s="5"/>
      <c r="F19" s="1"/>
      <c r="G19" s="5"/>
      <c r="H19" s="5">
        <f>IF((D19-E19)&lt;0,0,(D19-E19))</f>
        <v>6472</v>
      </c>
      <c r="I19" s="5">
        <f>IF((E19-D19)&lt;0,0,(E19-D19))</f>
        <v>0</v>
      </c>
      <c r="J19" s="5">
        <f>Table15[[#This Row],[Enrolment S.Y. 2025-2026 ]]*8</f>
        <v>6472</v>
      </c>
      <c r="K19" s="5"/>
      <c r="L19" s="1"/>
      <c r="M19" s="5"/>
      <c r="N19" s="5">
        <f t="shared" si="4"/>
        <v>6472</v>
      </c>
      <c r="O19" s="5">
        <f t="shared" si="5"/>
        <v>0</v>
      </c>
      <c r="P19" s="5">
        <f>Table15[[#This Row],[Enrolment S.Y. 2025-2026 ]]*8</f>
        <v>6472</v>
      </c>
      <c r="Q19" s="5"/>
      <c r="R19" s="1"/>
      <c r="S19" s="5"/>
      <c r="T19" s="5">
        <f t="shared" si="6"/>
        <v>6472</v>
      </c>
      <c r="U19" s="5">
        <f t="shared" si="7"/>
        <v>0</v>
      </c>
      <c r="V19" s="5">
        <f>Table15[[#This Row],[Enrolment S.Y. 2025-2026 ]]*8</f>
        <v>6472</v>
      </c>
      <c r="W19" s="5"/>
      <c r="X19" s="1"/>
      <c r="Y19" s="5"/>
      <c r="Z19" s="5">
        <f t="shared" si="8"/>
        <v>6472</v>
      </c>
      <c r="AA19" s="5">
        <f t="shared" si="9"/>
        <v>0</v>
      </c>
    </row>
    <row r="20" spans="1:27" ht="19.5">
      <c r="A20" s="1">
        <v>2</v>
      </c>
      <c r="B20" s="9" t="s">
        <v>14</v>
      </c>
      <c r="C20" s="1">
        <v>809</v>
      </c>
      <c r="D20" s="5">
        <f>Table15[[#This Row],[Enrolment S.Y. 2025-2026 ]]*8</f>
        <v>6472</v>
      </c>
      <c r="E20" s="5"/>
      <c r="F20" s="1"/>
      <c r="G20" s="5"/>
      <c r="H20" s="5">
        <f>IF((D20-E20)&lt;0,0,(D20-E20))</f>
        <v>6472</v>
      </c>
      <c r="I20" s="5">
        <f>IF((E20-D20)&lt;0,0,(E20-D20))</f>
        <v>0</v>
      </c>
      <c r="J20" s="5">
        <f>Table15[[#This Row],[Enrolment S.Y. 2025-2026 ]]*8</f>
        <v>6472</v>
      </c>
      <c r="K20" s="5"/>
      <c r="L20" s="1"/>
      <c r="M20" s="5"/>
      <c r="N20" s="5">
        <f t="shared" si="4"/>
        <v>6472</v>
      </c>
      <c r="O20" s="5">
        <f t="shared" si="5"/>
        <v>0</v>
      </c>
      <c r="P20" s="5">
        <f>Table15[[#This Row],[Enrolment S.Y. 2025-2026 ]]*8</f>
        <v>6472</v>
      </c>
      <c r="Q20" s="5"/>
      <c r="R20" s="1"/>
      <c r="S20" s="5"/>
      <c r="T20" s="5">
        <f t="shared" si="6"/>
        <v>6472</v>
      </c>
      <c r="U20" s="5">
        <f t="shared" si="7"/>
        <v>0</v>
      </c>
      <c r="V20" s="5">
        <f>Table15[[#This Row],[Enrolment S.Y. 2025-2026 ]]*8</f>
        <v>6472</v>
      </c>
      <c r="W20" s="5"/>
      <c r="X20" s="1"/>
      <c r="Y20" s="5"/>
      <c r="Z20" s="5">
        <f t="shared" si="8"/>
        <v>6472</v>
      </c>
      <c r="AA20" s="5">
        <f t="shared" si="9"/>
        <v>0</v>
      </c>
    </row>
    <row r="21" spans="1:27" ht="19.5">
      <c r="A21" s="1">
        <v>2</v>
      </c>
      <c r="B21" s="9" t="s">
        <v>62</v>
      </c>
      <c r="C21" s="1">
        <v>809</v>
      </c>
      <c r="D21" s="5">
        <f>Table15[[#This Row],[Enrolment S.Y. 2025-2026 ]]*8</f>
        <v>6472</v>
      </c>
      <c r="E21" s="5"/>
      <c r="F21" s="1"/>
      <c r="G21" s="5"/>
      <c r="H21" s="5">
        <f>IF((D21-E21)&lt;0,0,(D21-E21))</f>
        <v>6472</v>
      </c>
      <c r="I21" s="5">
        <f>IF((E21-D21)&lt;0,0,(E21-D21))</f>
        <v>0</v>
      </c>
      <c r="J21" s="5">
        <f>Table15[[#This Row],[Enrolment S.Y. 2025-2026 ]]*8</f>
        <v>6472</v>
      </c>
      <c r="K21" s="5"/>
      <c r="L21" s="1"/>
      <c r="M21" s="5"/>
      <c r="N21" s="5">
        <f t="shared" si="4"/>
        <v>6472</v>
      </c>
      <c r="O21" s="5">
        <f t="shared" si="5"/>
        <v>0</v>
      </c>
      <c r="P21" s="5">
        <f>Table15[[#This Row],[Enrolment S.Y. 2025-2026 ]]*8</f>
        <v>6472</v>
      </c>
      <c r="Q21" s="5"/>
      <c r="R21" s="1"/>
      <c r="S21" s="5"/>
      <c r="T21" s="5">
        <f t="shared" si="6"/>
        <v>6472</v>
      </c>
      <c r="U21" s="5">
        <f t="shared" si="7"/>
        <v>0</v>
      </c>
      <c r="V21" s="5">
        <f>Table15[[#This Row],[Enrolment S.Y. 2025-2026 ]]*8</f>
        <v>6472</v>
      </c>
      <c r="W21" s="5"/>
      <c r="X21" s="1"/>
      <c r="Y21" s="5"/>
      <c r="Z21" s="5">
        <f t="shared" si="8"/>
        <v>6472</v>
      </c>
      <c r="AA21" s="5">
        <f t="shared" si="9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5.25" customHeight="1">
      <c r="A23" s="1">
        <v>3</v>
      </c>
      <c r="B23" s="2" t="s">
        <v>8</v>
      </c>
      <c r="C23" s="1">
        <v>844</v>
      </c>
      <c r="D23" s="5">
        <f>Table15[[#This Row],[Enrolment S.Y. 2025-2026 ]]*8</f>
        <v>6752</v>
      </c>
      <c r="E23" s="5"/>
      <c r="F23" s="1"/>
      <c r="G23" s="5"/>
      <c r="H23" s="5">
        <f t="shared" si="2"/>
        <v>6752</v>
      </c>
      <c r="I23" s="5">
        <f t="shared" si="3"/>
        <v>0</v>
      </c>
      <c r="J23" s="5">
        <f>Table15[[#This Row],[Enrolment S.Y. 2025-2026 ]]*8</f>
        <v>6752</v>
      </c>
      <c r="K23" s="5"/>
      <c r="L23" s="1"/>
      <c r="M23" s="5"/>
      <c r="N23" s="5">
        <f t="shared" si="4"/>
        <v>6752</v>
      </c>
      <c r="O23" s="5">
        <f t="shared" si="5"/>
        <v>0</v>
      </c>
      <c r="P23" s="5">
        <f>Table15[[#This Row],[Enrolment S.Y. 2025-2026 ]]*8</f>
        <v>6752</v>
      </c>
      <c r="Q23" s="5"/>
      <c r="R23" s="1"/>
      <c r="S23" s="5"/>
      <c r="T23" s="5">
        <f t="shared" si="6"/>
        <v>6752</v>
      </c>
      <c r="U23" s="5">
        <f t="shared" si="7"/>
        <v>0</v>
      </c>
      <c r="V23" s="5">
        <f>Table15[[#This Row],[Enrolment S.Y. 2025-2026 ]]*8</f>
        <v>6752</v>
      </c>
      <c r="W23" s="5"/>
      <c r="X23" s="1"/>
      <c r="Y23" s="5"/>
      <c r="Z23" s="5">
        <f t="shared" si="8"/>
        <v>6752</v>
      </c>
      <c r="AA23" s="5">
        <f t="shared" si="9"/>
        <v>0</v>
      </c>
    </row>
    <row r="24" spans="1:27" ht="19.5">
      <c r="A24" s="1">
        <v>3</v>
      </c>
      <c r="B24" s="2" t="s">
        <v>9</v>
      </c>
      <c r="C24" s="1">
        <v>844</v>
      </c>
      <c r="D24" s="5">
        <f>Table15[[#This Row],[Enrolment S.Y. 2025-2026 ]]*8</f>
        <v>6752</v>
      </c>
      <c r="E24" s="5"/>
      <c r="F24" s="1"/>
      <c r="G24" s="5"/>
      <c r="H24" s="5">
        <f t="shared" si="2"/>
        <v>6752</v>
      </c>
      <c r="I24" s="5">
        <f t="shared" si="3"/>
        <v>0</v>
      </c>
      <c r="J24" s="5">
        <f>Table15[[#This Row],[Enrolment S.Y. 2025-2026 ]]*8</f>
        <v>6752</v>
      </c>
      <c r="K24" s="5"/>
      <c r="L24" s="1"/>
      <c r="M24" s="5"/>
      <c r="N24" s="5">
        <f t="shared" si="4"/>
        <v>6752</v>
      </c>
      <c r="O24" s="5">
        <f t="shared" si="5"/>
        <v>0</v>
      </c>
      <c r="P24" s="5">
        <f>Table15[[#This Row],[Enrolment S.Y. 2025-2026 ]]*8</f>
        <v>6752</v>
      </c>
      <c r="Q24" s="5"/>
      <c r="R24" s="1"/>
      <c r="S24" s="5"/>
      <c r="T24" s="5">
        <f t="shared" si="6"/>
        <v>6752</v>
      </c>
      <c r="U24" s="5">
        <f t="shared" si="7"/>
        <v>0</v>
      </c>
      <c r="V24" s="5">
        <f>Table15[[#This Row],[Enrolment S.Y. 2025-2026 ]]*8</f>
        <v>6752</v>
      </c>
      <c r="W24" s="5"/>
      <c r="X24" s="1"/>
      <c r="Y24" s="5"/>
      <c r="Z24" s="5">
        <f t="shared" si="8"/>
        <v>6752</v>
      </c>
      <c r="AA24" s="5">
        <f t="shared" si="9"/>
        <v>0</v>
      </c>
    </row>
    <row r="25" spans="1:27" ht="19.5">
      <c r="A25" s="1">
        <v>3</v>
      </c>
      <c r="B25" s="2" t="s">
        <v>10</v>
      </c>
      <c r="C25" s="1">
        <v>844</v>
      </c>
      <c r="D25" s="5">
        <f>Table15[[#This Row],[Enrolment S.Y. 2025-2026 ]]*8</f>
        <v>6752</v>
      </c>
      <c r="E25" s="5"/>
      <c r="F25" s="1"/>
      <c r="G25" s="5"/>
      <c r="H25" s="5">
        <f t="shared" si="2"/>
        <v>6752</v>
      </c>
      <c r="I25" s="5">
        <f t="shared" si="3"/>
        <v>0</v>
      </c>
      <c r="J25" s="5">
        <f>Table15[[#This Row],[Enrolment S.Y. 2025-2026 ]]*8</f>
        <v>6752</v>
      </c>
      <c r="K25" s="5"/>
      <c r="L25" s="1"/>
      <c r="M25" s="5"/>
      <c r="N25" s="5">
        <f t="shared" si="4"/>
        <v>6752</v>
      </c>
      <c r="O25" s="5">
        <f t="shared" si="5"/>
        <v>0</v>
      </c>
      <c r="P25" s="5">
        <f>Table15[[#This Row],[Enrolment S.Y. 2025-2026 ]]*8</f>
        <v>6752</v>
      </c>
      <c r="Q25" s="5"/>
      <c r="R25" s="1"/>
      <c r="S25" s="5"/>
      <c r="T25" s="5">
        <f t="shared" si="6"/>
        <v>6752</v>
      </c>
      <c r="U25" s="5">
        <f t="shared" si="7"/>
        <v>0</v>
      </c>
      <c r="V25" s="5">
        <f>Table15[[#This Row],[Enrolment S.Y. 2025-2026 ]]*8</f>
        <v>6752</v>
      </c>
      <c r="W25" s="5"/>
      <c r="X25" s="1"/>
      <c r="Y25" s="5"/>
      <c r="Z25" s="5">
        <f t="shared" si="8"/>
        <v>6752</v>
      </c>
      <c r="AA25" s="5">
        <f t="shared" si="9"/>
        <v>0</v>
      </c>
    </row>
    <row r="26" spans="1:27" ht="19.5">
      <c r="A26" s="1">
        <v>3</v>
      </c>
      <c r="B26" s="2" t="s">
        <v>13</v>
      </c>
      <c r="C26" s="1">
        <v>844</v>
      </c>
      <c r="D26" s="5">
        <f>Table15[[#This Row],[Enrolment S.Y. 2025-2026 ]]*8</f>
        <v>6752</v>
      </c>
      <c r="E26" s="5"/>
      <c r="F26" s="1"/>
      <c r="G26" s="5"/>
      <c r="H26" s="5">
        <f t="shared" si="2"/>
        <v>6752</v>
      </c>
      <c r="I26" s="5">
        <f t="shared" si="3"/>
        <v>0</v>
      </c>
      <c r="J26" s="5">
        <f>Table15[[#This Row],[Enrolment S.Y. 2025-2026 ]]*8</f>
        <v>6752</v>
      </c>
      <c r="K26" s="5"/>
      <c r="L26" s="1"/>
      <c r="M26" s="5"/>
      <c r="N26" s="5">
        <f t="shared" si="4"/>
        <v>6752</v>
      </c>
      <c r="O26" s="5">
        <f t="shared" si="5"/>
        <v>0</v>
      </c>
      <c r="P26" s="5">
        <f>Table15[[#This Row],[Enrolment S.Y. 2025-2026 ]]*8</f>
        <v>6752</v>
      </c>
      <c r="Q26" s="5"/>
      <c r="R26" s="1"/>
      <c r="S26" s="5"/>
      <c r="T26" s="5">
        <f t="shared" si="6"/>
        <v>6752</v>
      </c>
      <c r="U26" s="5">
        <f t="shared" si="7"/>
        <v>0</v>
      </c>
      <c r="V26" s="5">
        <f>Table15[[#This Row],[Enrolment S.Y. 2025-2026 ]]*8</f>
        <v>6752</v>
      </c>
      <c r="W26" s="5"/>
      <c r="X26" s="1"/>
      <c r="Y26" s="5"/>
      <c r="Z26" s="5">
        <f t="shared" si="8"/>
        <v>6752</v>
      </c>
      <c r="AA26" s="5">
        <f t="shared" si="9"/>
        <v>0</v>
      </c>
    </row>
    <row r="27" spans="1:27" ht="19.5">
      <c r="A27" s="1">
        <v>3</v>
      </c>
      <c r="B27" s="2" t="s">
        <v>11</v>
      </c>
      <c r="C27" s="1">
        <v>844</v>
      </c>
      <c r="D27" s="5">
        <f>Table15[[#This Row],[Enrolment S.Y. 2025-2026 ]]*8</f>
        <v>6752</v>
      </c>
      <c r="E27" s="5"/>
      <c r="F27" s="1"/>
      <c r="G27" s="5"/>
      <c r="H27" s="5">
        <f t="shared" si="2"/>
        <v>6752</v>
      </c>
      <c r="I27" s="5">
        <f t="shared" si="3"/>
        <v>0</v>
      </c>
      <c r="J27" s="5">
        <f>Table15[[#This Row],[Enrolment S.Y. 2025-2026 ]]*8</f>
        <v>6752</v>
      </c>
      <c r="K27" s="5"/>
      <c r="L27" s="1"/>
      <c r="M27" s="5"/>
      <c r="N27" s="5">
        <f t="shared" si="4"/>
        <v>6752</v>
      </c>
      <c r="O27" s="5">
        <f t="shared" si="5"/>
        <v>0</v>
      </c>
      <c r="P27" s="5">
        <f>Table15[[#This Row],[Enrolment S.Y. 2025-2026 ]]*8</f>
        <v>6752</v>
      </c>
      <c r="Q27" s="5"/>
      <c r="R27" s="1"/>
      <c r="S27" s="5"/>
      <c r="T27" s="5">
        <f t="shared" si="6"/>
        <v>6752</v>
      </c>
      <c r="U27" s="5">
        <f t="shared" si="7"/>
        <v>0</v>
      </c>
      <c r="V27" s="5">
        <f>Table15[[#This Row],[Enrolment S.Y. 2025-2026 ]]*8</f>
        <v>6752</v>
      </c>
      <c r="W27" s="5"/>
      <c r="X27" s="1"/>
      <c r="Y27" s="5"/>
      <c r="Z27" s="5">
        <f t="shared" si="8"/>
        <v>6752</v>
      </c>
      <c r="AA27" s="5">
        <f t="shared" si="9"/>
        <v>0</v>
      </c>
    </row>
    <row r="28" spans="1:27" ht="19.5">
      <c r="A28" s="1">
        <v>3</v>
      </c>
      <c r="B28" s="2" t="s">
        <v>12</v>
      </c>
      <c r="C28" s="1">
        <v>844</v>
      </c>
      <c r="D28" s="5">
        <f>Table15[[#This Row],[Enrolment S.Y. 2025-2026 ]]*8</f>
        <v>6752</v>
      </c>
      <c r="E28" s="5"/>
      <c r="F28" s="1"/>
      <c r="G28" s="5"/>
      <c r="H28" s="5">
        <f t="shared" si="2"/>
        <v>6752</v>
      </c>
      <c r="I28" s="5">
        <f t="shared" si="3"/>
        <v>0</v>
      </c>
      <c r="J28" s="5">
        <f>Table15[[#This Row],[Enrolment S.Y. 2025-2026 ]]*8</f>
        <v>6752</v>
      </c>
      <c r="K28" s="5"/>
      <c r="L28" s="1"/>
      <c r="M28" s="5"/>
      <c r="N28" s="5">
        <f t="shared" si="4"/>
        <v>6752</v>
      </c>
      <c r="O28" s="5">
        <f t="shared" si="5"/>
        <v>0</v>
      </c>
      <c r="P28" s="5">
        <f>Table15[[#This Row],[Enrolment S.Y. 2025-2026 ]]*8</f>
        <v>6752</v>
      </c>
      <c r="Q28" s="5"/>
      <c r="R28" s="1"/>
      <c r="S28" s="5"/>
      <c r="T28" s="5">
        <f t="shared" si="6"/>
        <v>6752</v>
      </c>
      <c r="U28" s="5">
        <f t="shared" si="7"/>
        <v>0</v>
      </c>
      <c r="V28" s="5">
        <f>Table15[[#This Row],[Enrolment S.Y. 2025-2026 ]]*8</f>
        <v>6752</v>
      </c>
      <c r="W28" s="5"/>
      <c r="X28" s="1"/>
      <c r="Y28" s="5"/>
      <c r="Z28" s="5">
        <f t="shared" si="8"/>
        <v>6752</v>
      </c>
      <c r="AA28" s="5">
        <f t="shared" si="9"/>
        <v>0</v>
      </c>
    </row>
    <row r="29" spans="1:27" ht="19.5">
      <c r="A29" s="1">
        <v>3</v>
      </c>
      <c r="B29" s="9" t="s">
        <v>14</v>
      </c>
      <c r="C29" s="1">
        <v>844</v>
      </c>
      <c r="D29" s="5">
        <f>Table15[[#This Row],[Enrolment S.Y. 2025-2026 ]]*8</f>
        <v>6752</v>
      </c>
      <c r="E29" s="5"/>
      <c r="F29" s="1"/>
      <c r="G29" s="5"/>
      <c r="H29" s="5">
        <f>IF((D29-E29)&lt;0,0,(D29-E29))</f>
        <v>6752</v>
      </c>
      <c r="I29" s="5">
        <f>IF((E29-D29)&lt;0,0,(E29-D29))</f>
        <v>0</v>
      </c>
      <c r="J29" s="5">
        <f>Table15[[#This Row],[Enrolment S.Y. 2025-2026 ]]*8</f>
        <v>6752</v>
      </c>
      <c r="K29" s="5"/>
      <c r="L29" s="1"/>
      <c r="M29" s="5"/>
      <c r="N29" s="5">
        <f t="shared" si="4"/>
        <v>6752</v>
      </c>
      <c r="O29" s="5">
        <f t="shared" si="5"/>
        <v>0</v>
      </c>
      <c r="P29" s="5">
        <f>Table15[[#This Row],[Enrolment S.Y. 2025-2026 ]]*8</f>
        <v>6752</v>
      </c>
      <c r="Q29" s="5"/>
      <c r="R29" s="1"/>
      <c r="S29" s="5"/>
      <c r="T29" s="5">
        <f t="shared" si="6"/>
        <v>6752</v>
      </c>
      <c r="U29" s="5">
        <f t="shared" si="7"/>
        <v>0</v>
      </c>
      <c r="V29" s="5">
        <f>Table15[[#This Row],[Enrolment S.Y. 2025-2026 ]]*8</f>
        <v>6752</v>
      </c>
      <c r="W29" s="5"/>
      <c r="X29" s="1"/>
      <c r="Y29" s="5"/>
      <c r="Z29" s="5">
        <f t="shared" si="8"/>
        <v>6752</v>
      </c>
      <c r="AA29" s="5">
        <f t="shared" si="9"/>
        <v>0</v>
      </c>
    </row>
    <row r="30" spans="1:27" ht="19.5">
      <c r="A30" s="1">
        <v>3</v>
      </c>
      <c r="B30" s="9" t="s">
        <v>15</v>
      </c>
      <c r="C30" s="1">
        <v>844</v>
      </c>
      <c r="D30" s="5">
        <f>Table15[[#This Row],[Enrolment S.Y. 2025-2026 ]]*8</f>
        <v>6752</v>
      </c>
      <c r="E30" s="5"/>
      <c r="F30" s="1"/>
      <c r="G30" s="5"/>
      <c r="H30" s="5">
        <f>IF((D30-E30)&lt;0,0,(D30-E30))</f>
        <v>6752</v>
      </c>
      <c r="I30" s="5">
        <f>IF((E30-D30)&lt;0,0,(E30-D30))</f>
        <v>0</v>
      </c>
      <c r="J30" s="5">
        <f>Table15[[#This Row],[Enrolment S.Y. 2025-2026 ]]*8</f>
        <v>6752</v>
      </c>
      <c r="K30" s="5"/>
      <c r="L30" s="1"/>
      <c r="M30" s="5"/>
      <c r="N30" s="5">
        <f t="shared" si="4"/>
        <v>6752</v>
      </c>
      <c r="O30" s="5">
        <f t="shared" si="5"/>
        <v>0</v>
      </c>
      <c r="P30" s="5">
        <f>Table15[[#This Row],[Enrolment S.Y. 2025-2026 ]]*8</f>
        <v>6752</v>
      </c>
      <c r="Q30" s="5"/>
      <c r="R30" s="1"/>
      <c r="S30" s="5"/>
      <c r="T30" s="5">
        <f t="shared" si="6"/>
        <v>6752</v>
      </c>
      <c r="U30" s="5">
        <f t="shared" si="7"/>
        <v>0</v>
      </c>
      <c r="V30" s="5">
        <f>Table15[[#This Row],[Enrolment S.Y. 2025-2026 ]]*8</f>
        <v>6752</v>
      </c>
      <c r="W30" s="5"/>
      <c r="X30" s="1"/>
      <c r="Y30" s="5"/>
      <c r="Z30" s="5">
        <f t="shared" si="8"/>
        <v>6752</v>
      </c>
      <c r="AA30" s="5">
        <f t="shared" si="9"/>
        <v>0</v>
      </c>
    </row>
    <row r="31" spans="1:27" ht="19.5">
      <c r="A31" s="1">
        <v>3</v>
      </c>
      <c r="B31" s="9" t="s">
        <v>62</v>
      </c>
      <c r="C31" s="1">
        <v>844</v>
      </c>
      <c r="D31" s="5">
        <f>Table15[[#This Row],[Enrolment S.Y. 2025-2026 ]]*8</f>
        <v>6752</v>
      </c>
      <c r="E31" s="5"/>
      <c r="F31" s="1"/>
      <c r="G31" s="5"/>
      <c r="H31" s="5">
        <f>IF((D31-E31)&lt;0,0,(D31-E31))</f>
        <v>6752</v>
      </c>
      <c r="I31" s="5">
        <f>IF((E31-D31)&lt;0,0,(E31-D31))</f>
        <v>0</v>
      </c>
      <c r="J31" s="5">
        <f>Table15[[#This Row],[Enrolment S.Y. 2025-2026 ]]*8</f>
        <v>6752</v>
      </c>
      <c r="K31" s="5"/>
      <c r="L31" s="1"/>
      <c r="M31" s="5"/>
      <c r="N31" s="5">
        <f t="shared" si="4"/>
        <v>6752</v>
      </c>
      <c r="O31" s="5">
        <f t="shared" si="5"/>
        <v>0</v>
      </c>
      <c r="P31" s="5">
        <f>Table15[[#This Row],[Enrolment S.Y. 2025-2026 ]]*8</f>
        <v>6752</v>
      </c>
      <c r="Q31" s="5"/>
      <c r="R31" s="1"/>
      <c r="S31" s="5"/>
      <c r="T31" s="5">
        <f t="shared" si="6"/>
        <v>6752</v>
      </c>
      <c r="U31" s="5">
        <f t="shared" si="7"/>
        <v>0</v>
      </c>
      <c r="V31" s="5">
        <f>Table15[[#This Row],[Enrolment S.Y. 2025-2026 ]]*8</f>
        <v>6752</v>
      </c>
      <c r="W31" s="5"/>
      <c r="X31" s="1"/>
      <c r="Y31" s="5"/>
      <c r="Z31" s="5">
        <f t="shared" si="8"/>
        <v>6752</v>
      </c>
      <c r="AA31" s="5">
        <f t="shared" si="9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832</v>
      </c>
      <c r="D33" s="5">
        <f>Table15[[#This Row],[Enrolment S.Y. 2025-2026 ]]*8</f>
        <v>6656</v>
      </c>
      <c r="E33" s="5"/>
      <c r="F33" s="1"/>
      <c r="G33" s="5"/>
      <c r="H33" s="5">
        <f t="shared" si="2"/>
        <v>6656</v>
      </c>
      <c r="I33" s="5">
        <f t="shared" si="3"/>
        <v>0</v>
      </c>
      <c r="J33" s="5">
        <f>Table15[[#This Row],[Enrolment S.Y. 2025-2026 ]]*8</f>
        <v>6656</v>
      </c>
      <c r="K33" s="5"/>
      <c r="L33" s="1"/>
      <c r="M33" s="5"/>
      <c r="N33" s="5">
        <f t="shared" si="4"/>
        <v>6656</v>
      </c>
      <c r="O33" s="5">
        <f t="shared" si="5"/>
        <v>0</v>
      </c>
      <c r="P33" s="5">
        <f>Table15[[#This Row],[Enrolment S.Y. 2025-2026 ]]*8</f>
        <v>6656</v>
      </c>
      <c r="Q33" s="5"/>
      <c r="R33" s="1"/>
      <c r="S33" s="5"/>
      <c r="T33" s="5">
        <f t="shared" si="6"/>
        <v>6656</v>
      </c>
      <c r="U33" s="5">
        <f t="shared" si="7"/>
        <v>0</v>
      </c>
      <c r="V33" s="5">
        <f>Table15[[#This Row],[Enrolment S.Y. 2025-2026 ]]*8</f>
        <v>6656</v>
      </c>
      <c r="W33" s="5"/>
      <c r="X33" s="1"/>
      <c r="Y33" s="5"/>
      <c r="Z33" s="5">
        <f t="shared" si="8"/>
        <v>6656</v>
      </c>
      <c r="AA33" s="5">
        <f t="shared" si="9"/>
        <v>0</v>
      </c>
    </row>
    <row r="34" spans="1:27" ht="19.5">
      <c r="A34" s="1">
        <v>4</v>
      </c>
      <c r="B34" s="9" t="s">
        <v>15</v>
      </c>
      <c r="C34" s="1">
        <v>832</v>
      </c>
      <c r="D34" s="5">
        <f>Table15[[#This Row],[Enrolment S.Y. 2025-2026 ]]*8</f>
        <v>6656</v>
      </c>
      <c r="E34" s="5"/>
      <c r="F34" s="1"/>
      <c r="G34" s="5"/>
      <c r="H34" s="5">
        <f t="shared" si="2"/>
        <v>6656</v>
      </c>
      <c r="I34" s="5">
        <f t="shared" si="3"/>
        <v>0</v>
      </c>
      <c r="J34" s="5">
        <f>Table15[[#This Row],[Enrolment S.Y. 2025-2026 ]]*8</f>
        <v>6656</v>
      </c>
      <c r="K34" s="5"/>
      <c r="L34" s="1"/>
      <c r="M34" s="5"/>
      <c r="N34" s="5">
        <f t="shared" si="4"/>
        <v>6656</v>
      </c>
      <c r="O34" s="5">
        <f t="shared" si="5"/>
        <v>0</v>
      </c>
      <c r="P34" s="5">
        <f>Table15[[#This Row],[Enrolment S.Y. 2025-2026 ]]*8</f>
        <v>6656</v>
      </c>
      <c r="Q34" s="5"/>
      <c r="R34" s="1"/>
      <c r="S34" s="5"/>
      <c r="T34" s="5">
        <f t="shared" si="6"/>
        <v>6656</v>
      </c>
      <c r="U34" s="5">
        <f t="shared" si="7"/>
        <v>0</v>
      </c>
      <c r="V34" s="5">
        <f>Table15[[#This Row],[Enrolment S.Y. 2025-2026 ]]*8</f>
        <v>6656</v>
      </c>
      <c r="W34" s="5"/>
      <c r="X34" s="1"/>
      <c r="Y34" s="5"/>
      <c r="Z34" s="5">
        <f t="shared" si="8"/>
        <v>6656</v>
      </c>
      <c r="AA34" s="5">
        <f t="shared" si="9"/>
        <v>0</v>
      </c>
    </row>
    <row r="35" spans="1:27" ht="19.5">
      <c r="A35" s="1">
        <v>4</v>
      </c>
      <c r="B35" s="9" t="s">
        <v>12</v>
      </c>
      <c r="C35" s="1">
        <v>832</v>
      </c>
      <c r="D35" s="5">
        <f>Table15[[#This Row],[Enrolment S.Y. 2025-2026 ]]*8</f>
        <v>6656</v>
      </c>
      <c r="E35" s="5"/>
      <c r="F35" s="1"/>
      <c r="G35" s="5"/>
      <c r="H35" s="5">
        <f t="shared" si="2"/>
        <v>6656</v>
      </c>
      <c r="I35" s="5">
        <f t="shared" si="3"/>
        <v>0</v>
      </c>
      <c r="J35" s="5">
        <f>Table15[[#This Row],[Enrolment S.Y. 2025-2026 ]]*8</f>
        <v>6656</v>
      </c>
      <c r="K35" s="5"/>
      <c r="L35" s="1"/>
      <c r="M35" s="5"/>
      <c r="N35" s="5">
        <f t="shared" si="4"/>
        <v>6656</v>
      </c>
      <c r="O35" s="5">
        <f t="shared" si="5"/>
        <v>0</v>
      </c>
      <c r="P35" s="5">
        <f>Table15[[#This Row],[Enrolment S.Y. 2025-2026 ]]*8</f>
        <v>6656</v>
      </c>
      <c r="Q35" s="5"/>
      <c r="R35" s="1"/>
      <c r="S35" s="5"/>
      <c r="T35" s="5">
        <f t="shared" si="6"/>
        <v>6656</v>
      </c>
      <c r="U35" s="5">
        <f t="shared" si="7"/>
        <v>0</v>
      </c>
      <c r="V35" s="5">
        <f>Table15[[#This Row],[Enrolment S.Y. 2025-2026 ]]*8</f>
        <v>6656</v>
      </c>
      <c r="W35" s="5"/>
      <c r="X35" s="1"/>
      <c r="Y35" s="5"/>
      <c r="Z35" s="5">
        <f t="shared" si="8"/>
        <v>6656</v>
      </c>
      <c r="AA35" s="5">
        <f t="shared" si="9"/>
        <v>0</v>
      </c>
    </row>
    <row r="36" spans="1:27" ht="19.5">
      <c r="A36" s="1">
        <v>4</v>
      </c>
      <c r="B36" s="9" t="s">
        <v>10</v>
      </c>
      <c r="C36" s="1">
        <v>832</v>
      </c>
      <c r="D36" s="5">
        <f>Table15[[#This Row],[Enrolment S.Y. 2025-2026 ]]*8</f>
        <v>6656</v>
      </c>
      <c r="E36" s="5"/>
      <c r="F36" s="1"/>
      <c r="G36" s="5"/>
      <c r="H36" s="5">
        <f t="shared" si="2"/>
        <v>6656</v>
      </c>
      <c r="I36" s="5">
        <f t="shared" si="3"/>
        <v>0</v>
      </c>
      <c r="J36" s="5">
        <f>Table15[[#This Row],[Enrolment S.Y. 2025-2026 ]]*8</f>
        <v>6656</v>
      </c>
      <c r="K36" s="5"/>
      <c r="L36" s="1"/>
      <c r="M36" s="5"/>
      <c r="N36" s="5">
        <f t="shared" si="4"/>
        <v>6656</v>
      </c>
      <c r="O36" s="5">
        <f t="shared" si="5"/>
        <v>0</v>
      </c>
      <c r="P36" s="5">
        <f>Table15[[#This Row],[Enrolment S.Y. 2025-2026 ]]*8</f>
        <v>6656</v>
      </c>
      <c r="Q36" s="5"/>
      <c r="R36" s="1"/>
      <c r="S36" s="5"/>
      <c r="T36" s="5">
        <f t="shared" si="6"/>
        <v>6656</v>
      </c>
      <c r="U36" s="5">
        <f t="shared" si="7"/>
        <v>0</v>
      </c>
      <c r="V36" s="5">
        <f>Table15[[#This Row],[Enrolment S.Y. 2025-2026 ]]*8</f>
        <v>6656</v>
      </c>
      <c r="W36" s="5"/>
      <c r="X36" s="1"/>
      <c r="Y36" s="5"/>
      <c r="Z36" s="5">
        <f t="shared" si="8"/>
        <v>6656</v>
      </c>
      <c r="AA36" s="5">
        <f t="shared" si="9"/>
        <v>0</v>
      </c>
    </row>
    <row r="37" spans="1:27" ht="38.25">
      <c r="A37" s="1">
        <v>4</v>
      </c>
      <c r="B37" s="9" t="s">
        <v>16</v>
      </c>
      <c r="C37" s="1">
        <v>832</v>
      </c>
      <c r="D37" s="5">
        <f>Table15[[#This Row],[Enrolment S.Y. 2025-2026 ]]*8</f>
        <v>6656</v>
      </c>
      <c r="E37" s="5"/>
      <c r="F37" s="1"/>
      <c r="G37" s="5"/>
      <c r="H37" s="5">
        <f t="shared" si="2"/>
        <v>6656</v>
      </c>
      <c r="I37" s="5">
        <f t="shared" si="3"/>
        <v>0</v>
      </c>
      <c r="J37" s="5">
        <f>Table15[[#This Row],[Enrolment S.Y. 2025-2026 ]]*8</f>
        <v>6656</v>
      </c>
      <c r="K37" s="5"/>
      <c r="L37" s="1"/>
      <c r="M37" s="5"/>
      <c r="N37" s="5">
        <f t="shared" si="4"/>
        <v>6656</v>
      </c>
      <c r="O37" s="5">
        <f t="shared" si="5"/>
        <v>0</v>
      </c>
      <c r="P37" s="5">
        <f>Table15[[#This Row],[Enrolment S.Y. 2025-2026 ]]*8</f>
        <v>6656</v>
      </c>
      <c r="Q37" s="5"/>
      <c r="R37" s="1"/>
      <c r="S37" s="5"/>
      <c r="T37" s="5">
        <f t="shared" si="6"/>
        <v>6656</v>
      </c>
      <c r="U37" s="5">
        <f t="shared" si="7"/>
        <v>0</v>
      </c>
      <c r="V37" s="5">
        <f>Table15[[#This Row],[Enrolment S.Y. 2025-2026 ]]*8</f>
        <v>6656</v>
      </c>
      <c r="W37" s="5"/>
      <c r="X37" s="1"/>
      <c r="Y37" s="5"/>
      <c r="Z37" s="5">
        <f t="shared" si="8"/>
        <v>6656</v>
      </c>
      <c r="AA37" s="5">
        <f t="shared" si="9"/>
        <v>0</v>
      </c>
    </row>
    <row r="38" spans="1:27" ht="19.5">
      <c r="A38" s="1">
        <v>4</v>
      </c>
      <c r="B38" s="9" t="s">
        <v>13</v>
      </c>
      <c r="C38" s="1">
        <v>832</v>
      </c>
      <c r="D38" s="5">
        <f>Table15[[#This Row],[Enrolment S.Y. 2025-2026 ]]*8</f>
        <v>6656</v>
      </c>
      <c r="E38" s="5"/>
      <c r="F38" s="1"/>
      <c r="G38" s="5"/>
      <c r="H38" s="5">
        <f t="shared" si="2"/>
        <v>6656</v>
      </c>
      <c r="I38" s="5">
        <f t="shared" si="3"/>
        <v>0</v>
      </c>
      <c r="J38" s="5">
        <f>Table15[[#This Row],[Enrolment S.Y. 2025-2026 ]]*8</f>
        <v>6656</v>
      </c>
      <c r="K38" s="5"/>
      <c r="L38" s="1"/>
      <c r="M38" s="5"/>
      <c r="N38" s="5">
        <f t="shared" si="4"/>
        <v>6656</v>
      </c>
      <c r="O38" s="5">
        <f t="shared" si="5"/>
        <v>0</v>
      </c>
      <c r="P38" s="5">
        <f>Table15[[#This Row],[Enrolment S.Y. 2025-2026 ]]*8</f>
        <v>6656</v>
      </c>
      <c r="Q38" s="5"/>
      <c r="R38" s="1"/>
      <c r="S38" s="5"/>
      <c r="T38" s="5">
        <f t="shared" si="6"/>
        <v>6656</v>
      </c>
      <c r="U38" s="5">
        <f t="shared" si="7"/>
        <v>0</v>
      </c>
      <c r="V38" s="5">
        <f>Table15[[#This Row],[Enrolment S.Y. 2025-2026 ]]*8</f>
        <v>6656</v>
      </c>
      <c r="W38" s="5"/>
      <c r="X38" s="1"/>
      <c r="Y38" s="5"/>
      <c r="Z38" s="5">
        <f t="shared" si="8"/>
        <v>6656</v>
      </c>
      <c r="AA38" s="5">
        <f t="shared" si="9"/>
        <v>0</v>
      </c>
    </row>
    <row r="39" spans="1:27" ht="19.5">
      <c r="A39" s="1">
        <v>4</v>
      </c>
      <c r="B39" s="9" t="s">
        <v>17</v>
      </c>
      <c r="C39" s="1">
        <v>832</v>
      </c>
      <c r="D39" s="5">
        <f>Table15[[#This Row],[Enrolment S.Y. 2025-2026 ]]*8</f>
        <v>6656</v>
      </c>
      <c r="E39" s="5"/>
      <c r="F39" s="1"/>
      <c r="G39" s="5"/>
      <c r="H39" s="5">
        <f t="shared" si="2"/>
        <v>6656</v>
      </c>
      <c r="I39" s="5">
        <f t="shared" si="3"/>
        <v>0</v>
      </c>
      <c r="J39" s="5">
        <f>Table15[[#This Row],[Enrolment S.Y. 2025-2026 ]]*8</f>
        <v>6656</v>
      </c>
      <c r="K39" s="5"/>
      <c r="L39" s="1"/>
      <c r="M39" s="5"/>
      <c r="N39" s="5">
        <f t="shared" si="4"/>
        <v>6656</v>
      </c>
      <c r="O39" s="5">
        <f t="shared" si="5"/>
        <v>0</v>
      </c>
      <c r="P39" s="5">
        <f>Table15[[#This Row],[Enrolment S.Y. 2025-2026 ]]*8</f>
        <v>6656</v>
      </c>
      <c r="Q39" s="5"/>
      <c r="R39" s="1"/>
      <c r="S39" s="5"/>
      <c r="T39" s="5">
        <f t="shared" si="6"/>
        <v>6656</v>
      </c>
      <c r="U39" s="5">
        <f t="shared" si="7"/>
        <v>0</v>
      </c>
      <c r="V39" s="5">
        <f>Table15[[#This Row],[Enrolment S.Y. 2025-2026 ]]*8</f>
        <v>6656</v>
      </c>
      <c r="W39" s="5"/>
      <c r="X39" s="1"/>
      <c r="Y39" s="5"/>
      <c r="Z39" s="5">
        <f t="shared" si="8"/>
        <v>6656</v>
      </c>
      <c r="AA39" s="5">
        <f t="shared" si="9"/>
        <v>0</v>
      </c>
    </row>
    <row r="40" spans="1:27" ht="19.5">
      <c r="A40" s="1">
        <v>4</v>
      </c>
      <c r="B40" s="9" t="s">
        <v>18</v>
      </c>
      <c r="C40" s="1">
        <v>832</v>
      </c>
      <c r="D40" s="5">
        <f>Table15[[#This Row],[Enrolment S.Y. 2025-2026 ]]*8</f>
        <v>6656</v>
      </c>
      <c r="E40" s="5"/>
      <c r="F40" s="1"/>
      <c r="G40" s="5"/>
      <c r="H40" s="5">
        <f t="shared" si="2"/>
        <v>6656</v>
      </c>
      <c r="I40" s="5">
        <f t="shared" si="3"/>
        <v>0</v>
      </c>
      <c r="J40" s="5">
        <f>Table15[[#This Row],[Enrolment S.Y. 2025-2026 ]]*8</f>
        <v>6656</v>
      </c>
      <c r="K40" s="5"/>
      <c r="L40" s="1"/>
      <c r="M40" s="5"/>
      <c r="N40" s="5">
        <f t="shared" si="4"/>
        <v>6656</v>
      </c>
      <c r="O40" s="5">
        <f t="shared" si="5"/>
        <v>0</v>
      </c>
      <c r="P40" s="5">
        <f>Table15[[#This Row],[Enrolment S.Y. 2025-2026 ]]*8</f>
        <v>6656</v>
      </c>
      <c r="Q40" s="5"/>
      <c r="R40" s="1"/>
      <c r="S40" s="5"/>
      <c r="T40" s="5">
        <f t="shared" si="6"/>
        <v>6656</v>
      </c>
      <c r="U40" s="5">
        <f t="shared" si="7"/>
        <v>0</v>
      </c>
      <c r="V40" s="5">
        <f>Table15[[#This Row],[Enrolment S.Y. 2025-2026 ]]*8</f>
        <v>6656</v>
      </c>
      <c r="W40" s="5"/>
      <c r="X40" s="1"/>
      <c r="Y40" s="5"/>
      <c r="Z40" s="5">
        <f t="shared" si="8"/>
        <v>6656</v>
      </c>
      <c r="AA40" s="5">
        <f t="shared" si="9"/>
        <v>0</v>
      </c>
    </row>
    <row r="41" spans="1:27" ht="19.5">
      <c r="A41" s="1">
        <v>4</v>
      </c>
      <c r="B41" s="9" t="s">
        <v>19</v>
      </c>
      <c r="C41" s="1">
        <v>832</v>
      </c>
      <c r="D41" s="5">
        <f>Table15[[#This Row],[Enrolment S.Y. 2025-2026 ]]*8</f>
        <v>6656</v>
      </c>
      <c r="E41" s="5"/>
      <c r="F41" s="1"/>
      <c r="G41" s="5"/>
      <c r="H41" s="5">
        <f t="shared" si="2"/>
        <v>6656</v>
      </c>
      <c r="I41" s="5">
        <f t="shared" si="3"/>
        <v>0</v>
      </c>
      <c r="J41" s="5">
        <f>Table15[[#This Row],[Enrolment S.Y. 2025-2026 ]]*8</f>
        <v>6656</v>
      </c>
      <c r="K41" s="5"/>
      <c r="L41" s="1"/>
      <c r="M41" s="5"/>
      <c r="N41" s="5">
        <f t="shared" si="4"/>
        <v>6656</v>
      </c>
      <c r="O41" s="5">
        <f t="shared" si="5"/>
        <v>0</v>
      </c>
      <c r="P41" s="5">
        <f>Table15[[#This Row],[Enrolment S.Y. 2025-2026 ]]*8</f>
        <v>6656</v>
      </c>
      <c r="Q41" s="5"/>
      <c r="R41" s="1"/>
      <c r="S41" s="5"/>
      <c r="T41" s="5">
        <f t="shared" si="6"/>
        <v>6656</v>
      </c>
      <c r="U41" s="5">
        <f t="shared" si="7"/>
        <v>0</v>
      </c>
      <c r="V41" s="5">
        <f>Table15[[#This Row],[Enrolment S.Y. 2025-2026 ]]*8</f>
        <v>6656</v>
      </c>
      <c r="W41" s="5"/>
      <c r="X41" s="1"/>
      <c r="Y41" s="5"/>
      <c r="Z41" s="5">
        <f t="shared" si="8"/>
        <v>6656</v>
      </c>
      <c r="AA41" s="5">
        <f t="shared" si="9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787</v>
      </c>
      <c r="D43" s="5">
        <f>Table15[[#This Row],[Enrolment S.Y. 2025-2026 ]]*8</f>
        <v>6296</v>
      </c>
      <c r="E43" s="5"/>
      <c r="F43" s="1"/>
      <c r="G43" s="5"/>
      <c r="H43" s="5">
        <f t="shared" si="2"/>
        <v>6296</v>
      </c>
      <c r="I43" s="5">
        <f t="shared" si="3"/>
        <v>0</v>
      </c>
      <c r="J43" s="5">
        <f>Table15[[#This Row],[Enrolment S.Y. 2025-2026 ]]*8</f>
        <v>6296</v>
      </c>
      <c r="K43" s="5"/>
      <c r="L43" s="1"/>
      <c r="M43" s="5"/>
      <c r="N43" s="5">
        <f t="shared" si="4"/>
        <v>6296</v>
      </c>
      <c r="O43" s="5">
        <f t="shared" si="5"/>
        <v>0</v>
      </c>
      <c r="P43" s="5">
        <f>Table15[[#This Row],[Enrolment S.Y. 2025-2026 ]]*8</f>
        <v>6296</v>
      </c>
      <c r="Q43" s="5"/>
      <c r="R43" s="1"/>
      <c r="S43" s="5"/>
      <c r="T43" s="5">
        <f t="shared" si="6"/>
        <v>6296</v>
      </c>
      <c r="U43" s="5">
        <f t="shared" si="7"/>
        <v>0</v>
      </c>
      <c r="V43" s="5">
        <f>Table15[[#This Row],[Enrolment S.Y. 2025-2026 ]]*8</f>
        <v>6296</v>
      </c>
      <c r="W43" s="5"/>
      <c r="X43" s="1"/>
      <c r="Y43" s="5"/>
      <c r="Z43" s="5">
        <f t="shared" si="8"/>
        <v>6296</v>
      </c>
      <c r="AA43" s="5">
        <f t="shared" si="9"/>
        <v>0</v>
      </c>
    </row>
    <row r="44" spans="1:27" ht="19.5">
      <c r="A44" s="1">
        <v>5</v>
      </c>
      <c r="B44" s="9" t="s">
        <v>15</v>
      </c>
      <c r="C44" s="1">
        <v>787</v>
      </c>
      <c r="D44" s="5">
        <f>Table15[[#This Row],[Enrolment S.Y. 2025-2026 ]]*8</f>
        <v>6296</v>
      </c>
      <c r="E44" s="5"/>
      <c r="F44" s="1"/>
      <c r="G44" s="5"/>
      <c r="H44" s="5">
        <f t="shared" si="2"/>
        <v>6296</v>
      </c>
      <c r="I44" s="5">
        <f t="shared" si="3"/>
        <v>0</v>
      </c>
      <c r="J44" s="5">
        <f>Table15[[#This Row],[Enrolment S.Y. 2025-2026 ]]*8</f>
        <v>6296</v>
      </c>
      <c r="K44" s="5"/>
      <c r="L44" s="1"/>
      <c r="M44" s="5"/>
      <c r="N44" s="5">
        <f t="shared" si="4"/>
        <v>6296</v>
      </c>
      <c r="O44" s="5">
        <f t="shared" si="5"/>
        <v>0</v>
      </c>
      <c r="P44" s="5">
        <f>Table15[[#This Row],[Enrolment S.Y. 2025-2026 ]]*8</f>
        <v>6296</v>
      </c>
      <c r="Q44" s="5"/>
      <c r="R44" s="1"/>
      <c r="S44" s="5"/>
      <c r="T44" s="5">
        <f t="shared" si="6"/>
        <v>6296</v>
      </c>
      <c r="U44" s="5">
        <f t="shared" si="7"/>
        <v>0</v>
      </c>
      <c r="V44" s="5">
        <f>Table15[[#This Row],[Enrolment S.Y. 2025-2026 ]]*8</f>
        <v>6296</v>
      </c>
      <c r="W44" s="5"/>
      <c r="X44" s="1"/>
      <c r="Y44" s="5"/>
      <c r="Z44" s="5">
        <f t="shared" si="8"/>
        <v>6296</v>
      </c>
      <c r="AA44" s="5">
        <f t="shared" si="9"/>
        <v>0</v>
      </c>
    </row>
    <row r="45" spans="1:27" ht="19.5">
      <c r="A45" s="1">
        <v>5</v>
      </c>
      <c r="B45" s="9" t="s">
        <v>12</v>
      </c>
      <c r="C45" s="1">
        <v>787</v>
      </c>
      <c r="D45" s="5">
        <f>Table15[[#This Row],[Enrolment S.Y. 2025-2026 ]]*8</f>
        <v>6296</v>
      </c>
      <c r="E45" s="5"/>
      <c r="F45" s="1"/>
      <c r="G45" s="5"/>
      <c r="H45" s="5">
        <f t="shared" si="2"/>
        <v>6296</v>
      </c>
      <c r="I45" s="5">
        <f t="shared" si="3"/>
        <v>0</v>
      </c>
      <c r="J45" s="5">
        <f>Table15[[#This Row],[Enrolment S.Y. 2025-2026 ]]*8</f>
        <v>6296</v>
      </c>
      <c r="K45" s="5"/>
      <c r="L45" s="1"/>
      <c r="M45" s="5"/>
      <c r="N45" s="5">
        <f t="shared" si="4"/>
        <v>6296</v>
      </c>
      <c r="O45" s="5">
        <f t="shared" si="5"/>
        <v>0</v>
      </c>
      <c r="P45" s="5">
        <f>Table15[[#This Row],[Enrolment S.Y. 2025-2026 ]]*8</f>
        <v>6296</v>
      </c>
      <c r="Q45" s="5"/>
      <c r="R45" s="1"/>
      <c r="S45" s="5"/>
      <c r="T45" s="5">
        <f t="shared" si="6"/>
        <v>6296</v>
      </c>
      <c r="U45" s="5">
        <f t="shared" si="7"/>
        <v>0</v>
      </c>
      <c r="V45" s="5">
        <f>Table15[[#This Row],[Enrolment S.Y. 2025-2026 ]]*8</f>
        <v>6296</v>
      </c>
      <c r="W45" s="5"/>
      <c r="X45" s="1"/>
      <c r="Y45" s="5"/>
      <c r="Z45" s="5">
        <f t="shared" si="8"/>
        <v>6296</v>
      </c>
      <c r="AA45" s="5">
        <f t="shared" si="9"/>
        <v>0</v>
      </c>
    </row>
    <row r="46" spans="1:27" ht="19.5">
      <c r="A46" s="1">
        <v>5</v>
      </c>
      <c r="B46" s="9" t="s">
        <v>10</v>
      </c>
      <c r="C46" s="1">
        <v>787</v>
      </c>
      <c r="D46" s="5">
        <f>Table15[[#This Row],[Enrolment S.Y. 2025-2026 ]]*8</f>
        <v>6296</v>
      </c>
      <c r="E46" s="5"/>
      <c r="F46" s="1"/>
      <c r="G46" s="5"/>
      <c r="H46" s="5">
        <f t="shared" si="2"/>
        <v>6296</v>
      </c>
      <c r="I46" s="5">
        <f t="shared" si="3"/>
        <v>0</v>
      </c>
      <c r="J46" s="5">
        <f>Table15[[#This Row],[Enrolment S.Y. 2025-2026 ]]*8</f>
        <v>6296</v>
      </c>
      <c r="K46" s="5"/>
      <c r="L46" s="1"/>
      <c r="M46" s="5"/>
      <c r="N46" s="5">
        <f t="shared" si="4"/>
        <v>6296</v>
      </c>
      <c r="O46" s="5">
        <f t="shared" si="5"/>
        <v>0</v>
      </c>
      <c r="P46" s="5">
        <f>Table15[[#This Row],[Enrolment S.Y. 2025-2026 ]]*8</f>
        <v>6296</v>
      </c>
      <c r="Q46" s="5"/>
      <c r="R46" s="1"/>
      <c r="S46" s="5"/>
      <c r="T46" s="5">
        <f t="shared" si="6"/>
        <v>6296</v>
      </c>
      <c r="U46" s="5">
        <f t="shared" si="7"/>
        <v>0</v>
      </c>
      <c r="V46" s="5">
        <f>Table15[[#This Row],[Enrolment S.Y. 2025-2026 ]]*8</f>
        <v>6296</v>
      </c>
      <c r="W46" s="5"/>
      <c r="X46" s="1"/>
      <c r="Y46" s="5"/>
      <c r="Z46" s="5">
        <f t="shared" si="8"/>
        <v>6296</v>
      </c>
      <c r="AA46" s="5">
        <f t="shared" si="9"/>
        <v>0</v>
      </c>
    </row>
    <row r="47" spans="1:27" ht="38.25">
      <c r="A47" s="1">
        <v>5</v>
      </c>
      <c r="B47" s="9" t="s">
        <v>16</v>
      </c>
      <c r="C47" s="1">
        <v>787</v>
      </c>
      <c r="D47" s="5">
        <f>Table15[[#This Row],[Enrolment S.Y. 2025-2026 ]]*8</f>
        <v>6296</v>
      </c>
      <c r="E47" s="5"/>
      <c r="F47" s="1"/>
      <c r="G47" s="5"/>
      <c r="H47" s="5">
        <f t="shared" si="2"/>
        <v>6296</v>
      </c>
      <c r="I47" s="5">
        <f t="shared" si="3"/>
        <v>0</v>
      </c>
      <c r="J47" s="5">
        <f>Table15[[#This Row],[Enrolment S.Y. 2025-2026 ]]*8</f>
        <v>6296</v>
      </c>
      <c r="K47" s="5"/>
      <c r="L47" s="1"/>
      <c r="M47" s="5"/>
      <c r="N47" s="5">
        <f t="shared" si="4"/>
        <v>6296</v>
      </c>
      <c r="O47" s="5">
        <f t="shared" si="5"/>
        <v>0</v>
      </c>
      <c r="P47" s="5">
        <f>Table15[[#This Row],[Enrolment S.Y. 2025-2026 ]]*8</f>
        <v>6296</v>
      </c>
      <c r="Q47" s="5"/>
      <c r="R47" s="1"/>
      <c r="S47" s="5"/>
      <c r="T47" s="5">
        <f t="shared" si="6"/>
        <v>6296</v>
      </c>
      <c r="U47" s="5">
        <f t="shared" si="7"/>
        <v>0</v>
      </c>
      <c r="V47" s="5">
        <f>Table15[[#This Row],[Enrolment S.Y. 2025-2026 ]]*8</f>
        <v>6296</v>
      </c>
      <c r="W47" s="5"/>
      <c r="X47" s="1"/>
      <c r="Y47" s="5"/>
      <c r="Z47" s="5">
        <f t="shared" si="8"/>
        <v>6296</v>
      </c>
      <c r="AA47" s="5">
        <f t="shared" si="9"/>
        <v>0</v>
      </c>
    </row>
    <row r="48" spans="1:27" ht="19.5">
      <c r="A48" s="1">
        <v>5</v>
      </c>
      <c r="B48" s="9" t="s">
        <v>13</v>
      </c>
      <c r="C48" s="1">
        <v>787</v>
      </c>
      <c r="D48" s="5">
        <f>Table15[[#This Row],[Enrolment S.Y. 2025-2026 ]]*8</f>
        <v>6296</v>
      </c>
      <c r="E48" s="5"/>
      <c r="F48" s="1"/>
      <c r="G48" s="5"/>
      <c r="H48" s="5">
        <f t="shared" si="2"/>
        <v>6296</v>
      </c>
      <c r="I48" s="5">
        <f t="shared" si="3"/>
        <v>0</v>
      </c>
      <c r="J48" s="5">
        <f>Table15[[#This Row],[Enrolment S.Y. 2025-2026 ]]*8</f>
        <v>6296</v>
      </c>
      <c r="K48" s="5"/>
      <c r="L48" s="1"/>
      <c r="M48" s="5"/>
      <c r="N48" s="5">
        <f t="shared" si="4"/>
        <v>6296</v>
      </c>
      <c r="O48" s="5">
        <f t="shared" si="5"/>
        <v>0</v>
      </c>
      <c r="P48" s="5">
        <f>Table15[[#This Row],[Enrolment S.Y. 2025-2026 ]]*8</f>
        <v>6296</v>
      </c>
      <c r="Q48" s="5"/>
      <c r="R48" s="1"/>
      <c r="S48" s="5"/>
      <c r="T48" s="5">
        <f t="shared" si="6"/>
        <v>6296</v>
      </c>
      <c r="U48" s="5">
        <f t="shared" si="7"/>
        <v>0</v>
      </c>
      <c r="V48" s="5">
        <f>Table15[[#This Row],[Enrolment S.Y. 2025-2026 ]]*8</f>
        <v>6296</v>
      </c>
      <c r="W48" s="5"/>
      <c r="X48" s="1"/>
      <c r="Y48" s="5"/>
      <c r="Z48" s="5">
        <f t="shared" si="8"/>
        <v>6296</v>
      </c>
      <c r="AA48" s="5">
        <f t="shared" si="9"/>
        <v>0</v>
      </c>
    </row>
    <row r="49" spans="1:27" ht="19.5">
      <c r="A49" s="1">
        <v>5</v>
      </c>
      <c r="B49" s="9" t="s">
        <v>17</v>
      </c>
      <c r="C49" s="1">
        <v>787</v>
      </c>
      <c r="D49" s="5">
        <f>Table15[[#This Row],[Enrolment S.Y. 2025-2026 ]]*8</f>
        <v>6296</v>
      </c>
      <c r="E49" s="5"/>
      <c r="F49" s="1"/>
      <c r="G49" s="5"/>
      <c r="H49" s="5">
        <f t="shared" si="2"/>
        <v>6296</v>
      </c>
      <c r="I49" s="5">
        <f t="shared" si="3"/>
        <v>0</v>
      </c>
      <c r="J49" s="5">
        <f>Table15[[#This Row],[Enrolment S.Y. 2025-2026 ]]*8</f>
        <v>6296</v>
      </c>
      <c r="K49" s="5"/>
      <c r="L49" s="1"/>
      <c r="M49" s="5"/>
      <c r="N49" s="5">
        <f t="shared" si="4"/>
        <v>6296</v>
      </c>
      <c r="O49" s="5">
        <f t="shared" si="5"/>
        <v>0</v>
      </c>
      <c r="P49" s="5">
        <f>Table15[[#This Row],[Enrolment S.Y. 2025-2026 ]]*8</f>
        <v>6296</v>
      </c>
      <c r="Q49" s="5"/>
      <c r="R49" s="1"/>
      <c r="S49" s="5"/>
      <c r="T49" s="5">
        <f t="shared" si="6"/>
        <v>6296</v>
      </c>
      <c r="U49" s="5">
        <f t="shared" si="7"/>
        <v>0</v>
      </c>
      <c r="V49" s="5">
        <f>Table15[[#This Row],[Enrolment S.Y. 2025-2026 ]]*8</f>
        <v>6296</v>
      </c>
      <c r="W49" s="5"/>
      <c r="X49" s="1"/>
      <c r="Y49" s="5"/>
      <c r="Z49" s="5">
        <f t="shared" si="8"/>
        <v>6296</v>
      </c>
      <c r="AA49" s="5">
        <f t="shared" si="9"/>
        <v>0</v>
      </c>
    </row>
    <row r="50" spans="1:27" ht="19.5">
      <c r="A50" s="1">
        <v>5</v>
      </c>
      <c r="B50" s="9" t="s">
        <v>18</v>
      </c>
      <c r="C50" s="1">
        <v>787</v>
      </c>
      <c r="D50" s="5">
        <f>Table15[[#This Row],[Enrolment S.Y. 2025-2026 ]]*8</f>
        <v>6296</v>
      </c>
      <c r="E50" s="5"/>
      <c r="F50" s="1"/>
      <c r="G50" s="5"/>
      <c r="H50" s="5">
        <f t="shared" si="2"/>
        <v>6296</v>
      </c>
      <c r="I50" s="5">
        <f t="shared" si="3"/>
        <v>0</v>
      </c>
      <c r="J50" s="5">
        <f>Table15[[#This Row],[Enrolment S.Y. 2025-2026 ]]*8</f>
        <v>6296</v>
      </c>
      <c r="K50" s="5"/>
      <c r="L50" s="1"/>
      <c r="M50" s="5"/>
      <c r="N50" s="5">
        <f t="shared" si="4"/>
        <v>6296</v>
      </c>
      <c r="O50" s="5">
        <f t="shared" si="5"/>
        <v>0</v>
      </c>
      <c r="P50" s="5">
        <f>Table15[[#This Row],[Enrolment S.Y. 2025-2026 ]]*8</f>
        <v>6296</v>
      </c>
      <c r="Q50" s="5"/>
      <c r="R50" s="1"/>
      <c r="S50" s="5"/>
      <c r="T50" s="5">
        <f t="shared" si="6"/>
        <v>6296</v>
      </c>
      <c r="U50" s="5">
        <f t="shared" si="7"/>
        <v>0</v>
      </c>
      <c r="V50" s="5">
        <f>Table15[[#This Row],[Enrolment S.Y. 2025-2026 ]]*8</f>
        <v>6296</v>
      </c>
      <c r="W50" s="5"/>
      <c r="X50" s="1"/>
      <c r="Y50" s="5"/>
      <c r="Z50" s="5">
        <f t="shared" si="8"/>
        <v>6296</v>
      </c>
      <c r="AA50" s="5">
        <f t="shared" si="9"/>
        <v>0</v>
      </c>
    </row>
    <row r="51" spans="1:27" ht="19.5">
      <c r="A51" s="1">
        <v>5</v>
      </c>
      <c r="B51" s="9" t="s">
        <v>19</v>
      </c>
      <c r="C51" s="1">
        <v>787</v>
      </c>
      <c r="D51" s="5">
        <f>Table15[[#This Row],[Enrolment S.Y. 2025-2026 ]]*8</f>
        <v>6296</v>
      </c>
      <c r="E51" s="5"/>
      <c r="F51" s="1"/>
      <c r="G51" s="5"/>
      <c r="H51" s="5">
        <f t="shared" si="2"/>
        <v>6296</v>
      </c>
      <c r="I51" s="5">
        <f t="shared" si="3"/>
        <v>0</v>
      </c>
      <c r="J51" s="5">
        <f>Table15[[#This Row],[Enrolment S.Y. 2025-2026 ]]*8</f>
        <v>6296</v>
      </c>
      <c r="K51" s="5"/>
      <c r="L51" s="1"/>
      <c r="M51" s="5"/>
      <c r="N51" s="5">
        <f t="shared" si="4"/>
        <v>6296</v>
      </c>
      <c r="O51" s="5">
        <f t="shared" si="5"/>
        <v>0</v>
      </c>
      <c r="P51" s="5">
        <f>Table15[[#This Row],[Enrolment S.Y. 2025-2026 ]]*8</f>
        <v>6296</v>
      </c>
      <c r="Q51" s="5"/>
      <c r="R51" s="1"/>
      <c r="S51" s="5"/>
      <c r="T51" s="5">
        <f t="shared" si="6"/>
        <v>6296</v>
      </c>
      <c r="U51" s="5">
        <f t="shared" si="7"/>
        <v>0</v>
      </c>
      <c r="V51" s="5">
        <f>Table15[[#This Row],[Enrolment S.Y. 2025-2026 ]]*8</f>
        <v>6296</v>
      </c>
      <c r="W51" s="5"/>
      <c r="X51" s="1"/>
      <c r="Y51" s="5"/>
      <c r="Z51" s="5">
        <f t="shared" si="8"/>
        <v>6296</v>
      </c>
      <c r="AA51" s="5">
        <f t="shared" si="9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754</v>
      </c>
      <c r="D53" s="5">
        <f>Table15[[#This Row],[Enrolment S.Y. 2025-2026 ]]*8</f>
        <v>6032</v>
      </c>
      <c r="E53" s="5"/>
      <c r="F53" s="1"/>
      <c r="G53" s="5"/>
      <c r="H53" s="5">
        <f t="shared" si="2"/>
        <v>6032</v>
      </c>
      <c r="I53" s="5">
        <f t="shared" si="3"/>
        <v>0</v>
      </c>
      <c r="J53" s="5">
        <f>Table15[[#This Row],[Enrolment S.Y. 2025-2026 ]]*8</f>
        <v>6032</v>
      </c>
      <c r="K53" s="5"/>
      <c r="L53" s="1"/>
      <c r="M53" s="5"/>
      <c r="N53" s="5">
        <f t="shared" si="4"/>
        <v>6032</v>
      </c>
      <c r="O53" s="5">
        <f t="shared" si="5"/>
        <v>0</v>
      </c>
      <c r="P53" s="5">
        <f>Table15[[#This Row],[Enrolment S.Y. 2025-2026 ]]*8</f>
        <v>6032</v>
      </c>
      <c r="Q53" s="5"/>
      <c r="R53" s="1"/>
      <c r="S53" s="5"/>
      <c r="T53" s="5">
        <f t="shared" si="6"/>
        <v>6032</v>
      </c>
      <c r="U53" s="5">
        <f t="shared" si="7"/>
        <v>0</v>
      </c>
      <c r="V53" s="5">
        <f>Table15[[#This Row],[Enrolment S.Y. 2025-2026 ]]*8</f>
        <v>6032</v>
      </c>
      <c r="W53" s="5"/>
      <c r="X53" s="1"/>
      <c r="Y53" s="5"/>
      <c r="Z53" s="5">
        <f t="shared" si="8"/>
        <v>6032</v>
      </c>
      <c r="AA53" s="5">
        <f t="shared" si="9"/>
        <v>0</v>
      </c>
    </row>
    <row r="54" spans="1:27" ht="19.5">
      <c r="A54" s="1">
        <v>6</v>
      </c>
      <c r="B54" s="9" t="s">
        <v>15</v>
      </c>
      <c r="C54" s="1">
        <v>754</v>
      </c>
      <c r="D54" s="5">
        <f>Table15[[#This Row],[Enrolment S.Y. 2025-2026 ]]*8</f>
        <v>6032</v>
      </c>
      <c r="E54" s="5"/>
      <c r="F54" s="1"/>
      <c r="G54" s="5"/>
      <c r="H54" s="5">
        <f t="shared" si="2"/>
        <v>6032</v>
      </c>
      <c r="I54" s="5">
        <f t="shared" si="3"/>
        <v>0</v>
      </c>
      <c r="J54" s="5">
        <f>Table15[[#This Row],[Enrolment S.Y. 2025-2026 ]]*8</f>
        <v>6032</v>
      </c>
      <c r="K54" s="5"/>
      <c r="L54" s="1"/>
      <c r="M54" s="5"/>
      <c r="N54" s="5">
        <f t="shared" si="4"/>
        <v>6032</v>
      </c>
      <c r="O54" s="5">
        <f t="shared" si="5"/>
        <v>0</v>
      </c>
      <c r="P54" s="5">
        <f>Table15[[#This Row],[Enrolment S.Y. 2025-2026 ]]*8</f>
        <v>6032</v>
      </c>
      <c r="Q54" s="5"/>
      <c r="R54" s="1"/>
      <c r="S54" s="5"/>
      <c r="T54" s="5">
        <f t="shared" si="6"/>
        <v>6032</v>
      </c>
      <c r="U54" s="5">
        <f t="shared" si="7"/>
        <v>0</v>
      </c>
      <c r="V54" s="5">
        <f>Table15[[#This Row],[Enrolment S.Y. 2025-2026 ]]*8</f>
        <v>6032</v>
      </c>
      <c r="W54" s="5"/>
      <c r="X54" s="1"/>
      <c r="Y54" s="5"/>
      <c r="Z54" s="5">
        <f t="shared" si="8"/>
        <v>6032</v>
      </c>
      <c r="AA54" s="5">
        <f t="shared" si="9"/>
        <v>0</v>
      </c>
    </row>
    <row r="55" spans="1:27" ht="19.5">
      <c r="A55" s="1">
        <v>6</v>
      </c>
      <c r="B55" s="9" t="s">
        <v>12</v>
      </c>
      <c r="C55" s="1">
        <v>754</v>
      </c>
      <c r="D55" s="5">
        <f>Table15[[#This Row],[Enrolment S.Y. 2025-2026 ]]*8</f>
        <v>6032</v>
      </c>
      <c r="E55" s="5"/>
      <c r="F55" s="1"/>
      <c r="G55" s="5"/>
      <c r="H55" s="5">
        <f t="shared" si="2"/>
        <v>6032</v>
      </c>
      <c r="I55" s="5">
        <f t="shared" si="3"/>
        <v>0</v>
      </c>
      <c r="J55" s="5">
        <f>Table15[[#This Row],[Enrolment S.Y. 2025-2026 ]]*8</f>
        <v>6032</v>
      </c>
      <c r="K55" s="5"/>
      <c r="L55" s="1"/>
      <c r="M55" s="5"/>
      <c r="N55" s="5">
        <f t="shared" si="4"/>
        <v>6032</v>
      </c>
      <c r="O55" s="5">
        <f t="shared" si="5"/>
        <v>0</v>
      </c>
      <c r="P55" s="5">
        <f>Table15[[#This Row],[Enrolment S.Y. 2025-2026 ]]*8</f>
        <v>6032</v>
      </c>
      <c r="Q55" s="5"/>
      <c r="R55" s="1"/>
      <c r="S55" s="5"/>
      <c r="T55" s="5">
        <f t="shared" si="6"/>
        <v>6032</v>
      </c>
      <c r="U55" s="5">
        <f t="shared" si="7"/>
        <v>0</v>
      </c>
      <c r="V55" s="5">
        <f>Table15[[#This Row],[Enrolment S.Y. 2025-2026 ]]*8</f>
        <v>6032</v>
      </c>
      <c r="W55" s="5"/>
      <c r="X55" s="1"/>
      <c r="Y55" s="5"/>
      <c r="Z55" s="5">
        <f t="shared" si="8"/>
        <v>6032</v>
      </c>
      <c r="AA55" s="5">
        <f t="shared" si="9"/>
        <v>0</v>
      </c>
    </row>
    <row r="56" spans="1:27" ht="19.5">
      <c r="A56" s="1">
        <v>6</v>
      </c>
      <c r="B56" s="9" t="s">
        <v>10</v>
      </c>
      <c r="C56" s="1">
        <v>754</v>
      </c>
      <c r="D56" s="5">
        <f>Table15[[#This Row],[Enrolment S.Y. 2025-2026 ]]*8</f>
        <v>6032</v>
      </c>
      <c r="E56" s="5"/>
      <c r="F56" s="1"/>
      <c r="G56" s="5"/>
      <c r="H56" s="5">
        <f t="shared" si="2"/>
        <v>6032</v>
      </c>
      <c r="I56" s="5">
        <f t="shared" si="3"/>
        <v>0</v>
      </c>
      <c r="J56" s="5">
        <f>Table15[[#This Row],[Enrolment S.Y. 2025-2026 ]]*8</f>
        <v>6032</v>
      </c>
      <c r="K56" s="5"/>
      <c r="L56" s="1"/>
      <c r="M56" s="5"/>
      <c r="N56" s="5">
        <f t="shared" si="4"/>
        <v>6032</v>
      </c>
      <c r="O56" s="5">
        <f t="shared" si="5"/>
        <v>0</v>
      </c>
      <c r="P56" s="5">
        <f>Table15[[#This Row],[Enrolment S.Y. 2025-2026 ]]*8</f>
        <v>6032</v>
      </c>
      <c r="Q56" s="5"/>
      <c r="R56" s="1"/>
      <c r="S56" s="5"/>
      <c r="T56" s="5">
        <f t="shared" si="6"/>
        <v>6032</v>
      </c>
      <c r="U56" s="5">
        <f t="shared" si="7"/>
        <v>0</v>
      </c>
      <c r="V56" s="5">
        <f>Table15[[#This Row],[Enrolment S.Y. 2025-2026 ]]*8</f>
        <v>6032</v>
      </c>
      <c r="W56" s="5"/>
      <c r="X56" s="1"/>
      <c r="Y56" s="5"/>
      <c r="Z56" s="5">
        <f t="shared" si="8"/>
        <v>6032</v>
      </c>
      <c r="AA56" s="5">
        <f t="shared" si="9"/>
        <v>0</v>
      </c>
    </row>
    <row r="57" spans="1:27" ht="38.25">
      <c r="A57" s="1">
        <v>6</v>
      </c>
      <c r="B57" s="9" t="s">
        <v>16</v>
      </c>
      <c r="C57" s="1">
        <v>754</v>
      </c>
      <c r="D57" s="5">
        <f>Table15[[#This Row],[Enrolment S.Y. 2025-2026 ]]*8</f>
        <v>6032</v>
      </c>
      <c r="E57" s="5"/>
      <c r="F57" s="1"/>
      <c r="G57" s="5"/>
      <c r="H57" s="5">
        <f t="shared" si="2"/>
        <v>6032</v>
      </c>
      <c r="I57" s="5">
        <f t="shared" si="3"/>
        <v>0</v>
      </c>
      <c r="J57" s="5">
        <f>Table15[[#This Row],[Enrolment S.Y. 2025-2026 ]]*8</f>
        <v>6032</v>
      </c>
      <c r="K57" s="5"/>
      <c r="L57" s="1"/>
      <c r="M57" s="5"/>
      <c r="N57" s="5">
        <f t="shared" si="4"/>
        <v>6032</v>
      </c>
      <c r="O57" s="5">
        <f t="shared" si="5"/>
        <v>0</v>
      </c>
      <c r="P57" s="5">
        <f>Table15[[#This Row],[Enrolment S.Y. 2025-2026 ]]*8</f>
        <v>6032</v>
      </c>
      <c r="Q57" s="5"/>
      <c r="R57" s="1"/>
      <c r="S57" s="5"/>
      <c r="T57" s="5">
        <f t="shared" si="6"/>
        <v>6032</v>
      </c>
      <c r="U57" s="5">
        <f t="shared" si="7"/>
        <v>0</v>
      </c>
      <c r="V57" s="5">
        <f>Table15[[#This Row],[Enrolment S.Y. 2025-2026 ]]*8</f>
        <v>6032</v>
      </c>
      <c r="W57" s="5"/>
      <c r="X57" s="1"/>
      <c r="Y57" s="5"/>
      <c r="Z57" s="5">
        <f t="shared" si="8"/>
        <v>6032</v>
      </c>
      <c r="AA57" s="5">
        <f t="shared" si="9"/>
        <v>0</v>
      </c>
    </row>
    <row r="58" spans="1:27" ht="19.5">
      <c r="A58" s="1">
        <v>6</v>
      </c>
      <c r="B58" s="9" t="s">
        <v>13</v>
      </c>
      <c r="C58" s="1">
        <v>754</v>
      </c>
      <c r="D58" s="5">
        <f>Table15[[#This Row],[Enrolment S.Y. 2025-2026 ]]*8</f>
        <v>6032</v>
      </c>
      <c r="E58" s="5"/>
      <c r="F58" s="1"/>
      <c r="G58" s="5"/>
      <c r="H58" s="5">
        <f t="shared" si="2"/>
        <v>6032</v>
      </c>
      <c r="I58" s="5">
        <f t="shared" si="3"/>
        <v>0</v>
      </c>
      <c r="J58" s="5">
        <f>Table15[[#This Row],[Enrolment S.Y. 2025-2026 ]]*8</f>
        <v>6032</v>
      </c>
      <c r="K58" s="5"/>
      <c r="L58" s="1"/>
      <c r="M58" s="5"/>
      <c r="N58" s="5">
        <f t="shared" si="4"/>
        <v>6032</v>
      </c>
      <c r="O58" s="5">
        <f t="shared" si="5"/>
        <v>0</v>
      </c>
      <c r="P58" s="5">
        <f>Table15[[#This Row],[Enrolment S.Y. 2025-2026 ]]*8</f>
        <v>6032</v>
      </c>
      <c r="Q58" s="5"/>
      <c r="R58" s="1"/>
      <c r="S58" s="5"/>
      <c r="T58" s="5">
        <f t="shared" si="6"/>
        <v>6032</v>
      </c>
      <c r="U58" s="5">
        <f t="shared" si="7"/>
        <v>0</v>
      </c>
      <c r="V58" s="5">
        <f>Table15[[#This Row],[Enrolment S.Y. 2025-2026 ]]*8</f>
        <v>6032</v>
      </c>
      <c r="W58" s="5"/>
      <c r="X58" s="1"/>
      <c r="Y58" s="5"/>
      <c r="Z58" s="5">
        <f t="shared" si="8"/>
        <v>6032</v>
      </c>
      <c r="AA58" s="5">
        <f t="shared" si="9"/>
        <v>0</v>
      </c>
    </row>
    <row r="59" spans="1:27" ht="19.5">
      <c r="A59" s="1">
        <v>6</v>
      </c>
      <c r="B59" s="9" t="s">
        <v>17</v>
      </c>
      <c r="C59" s="1">
        <v>754</v>
      </c>
      <c r="D59" s="5">
        <f>Table15[[#This Row],[Enrolment S.Y. 2025-2026 ]]*8</f>
        <v>6032</v>
      </c>
      <c r="E59" s="5"/>
      <c r="F59" s="1"/>
      <c r="G59" s="5"/>
      <c r="H59" s="5">
        <f t="shared" si="2"/>
        <v>6032</v>
      </c>
      <c r="I59" s="5">
        <f t="shared" si="3"/>
        <v>0</v>
      </c>
      <c r="J59" s="5">
        <f>Table15[[#This Row],[Enrolment S.Y. 2025-2026 ]]*8</f>
        <v>6032</v>
      </c>
      <c r="K59" s="5"/>
      <c r="L59" s="1"/>
      <c r="M59" s="5"/>
      <c r="N59" s="5">
        <f t="shared" si="4"/>
        <v>6032</v>
      </c>
      <c r="O59" s="5">
        <f t="shared" si="5"/>
        <v>0</v>
      </c>
      <c r="P59" s="5">
        <f>Table15[[#This Row],[Enrolment S.Y. 2025-2026 ]]*8</f>
        <v>6032</v>
      </c>
      <c r="Q59" s="5"/>
      <c r="R59" s="1"/>
      <c r="S59" s="5"/>
      <c r="T59" s="5">
        <f t="shared" si="6"/>
        <v>6032</v>
      </c>
      <c r="U59" s="5">
        <f t="shared" si="7"/>
        <v>0</v>
      </c>
      <c r="V59" s="5">
        <f>Table15[[#This Row],[Enrolment S.Y. 2025-2026 ]]*8</f>
        <v>6032</v>
      </c>
      <c r="W59" s="5"/>
      <c r="X59" s="1"/>
      <c r="Y59" s="5"/>
      <c r="Z59" s="5">
        <f t="shared" si="8"/>
        <v>6032</v>
      </c>
      <c r="AA59" s="5">
        <f t="shared" si="9"/>
        <v>0</v>
      </c>
    </row>
    <row r="60" spans="1:27" ht="19.5">
      <c r="A60" s="1">
        <v>6</v>
      </c>
      <c r="B60" s="9" t="s">
        <v>18</v>
      </c>
      <c r="C60" s="1">
        <v>754</v>
      </c>
      <c r="D60" s="5">
        <f>Table15[[#This Row],[Enrolment S.Y. 2025-2026 ]]*8</f>
        <v>6032</v>
      </c>
      <c r="E60" s="5"/>
      <c r="F60" s="1"/>
      <c r="G60" s="5"/>
      <c r="H60" s="5">
        <f t="shared" si="2"/>
        <v>6032</v>
      </c>
      <c r="I60" s="5">
        <f t="shared" si="3"/>
        <v>0</v>
      </c>
      <c r="J60" s="5">
        <f>Table15[[#This Row],[Enrolment S.Y. 2025-2026 ]]*8</f>
        <v>6032</v>
      </c>
      <c r="K60" s="5"/>
      <c r="L60" s="1"/>
      <c r="M60" s="5"/>
      <c r="N60" s="5">
        <f t="shared" si="4"/>
        <v>6032</v>
      </c>
      <c r="O60" s="5">
        <f t="shared" si="5"/>
        <v>0</v>
      </c>
      <c r="P60" s="5">
        <f>Table15[[#This Row],[Enrolment S.Y. 2025-2026 ]]*8</f>
        <v>6032</v>
      </c>
      <c r="Q60" s="5"/>
      <c r="R60" s="1"/>
      <c r="S60" s="5"/>
      <c r="T60" s="5">
        <f t="shared" si="6"/>
        <v>6032</v>
      </c>
      <c r="U60" s="5">
        <f t="shared" si="7"/>
        <v>0</v>
      </c>
      <c r="V60" s="5">
        <f>Table15[[#This Row],[Enrolment S.Y. 2025-2026 ]]*8</f>
        <v>6032</v>
      </c>
      <c r="W60" s="5"/>
      <c r="X60" s="1"/>
      <c r="Y60" s="5"/>
      <c r="Z60" s="5">
        <f t="shared" si="8"/>
        <v>6032</v>
      </c>
      <c r="AA60" s="5">
        <f t="shared" si="9"/>
        <v>0</v>
      </c>
    </row>
    <row r="61" spans="1:27" ht="19.5">
      <c r="A61" s="1">
        <v>6</v>
      </c>
      <c r="B61" s="9" t="s">
        <v>19</v>
      </c>
      <c r="C61" s="1">
        <v>754</v>
      </c>
      <c r="D61" s="5">
        <f>Table15[[#This Row],[Enrolment S.Y. 2025-2026 ]]*8</f>
        <v>6032</v>
      </c>
      <c r="E61" s="5"/>
      <c r="F61" s="1"/>
      <c r="G61" s="5"/>
      <c r="H61" s="5">
        <f t="shared" si="2"/>
        <v>6032</v>
      </c>
      <c r="I61" s="5">
        <f t="shared" si="3"/>
        <v>0</v>
      </c>
      <c r="J61" s="5">
        <f>Table15[[#This Row],[Enrolment S.Y. 2025-2026 ]]*8</f>
        <v>6032</v>
      </c>
      <c r="K61" s="5"/>
      <c r="L61" s="1"/>
      <c r="M61" s="5"/>
      <c r="N61" s="5">
        <f t="shared" si="4"/>
        <v>6032</v>
      </c>
      <c r="O61" s="5">
        <f t="shared" si="5"/>
        <v>0</v>
      </c>
      <c r="P61" s="5">
        <f>Table15[[#This Row],[Enrolment S.Y. 2025-2026 ]]*8</f>
        <v>6032</v>
      </c>
      <c r="Q61" s="5"/>
      <c r="R61" s="1"/>
      <c r="S61" s="5"/>
      <c r="T61" s="5">
        <f t="shared" si="6"/>
        <v>6032</v>
      </c>
      <c r="U61" s="5">
        <f t="shared" si="7"/>
        <v>0</v>
      </c>
      <c r="V61" s="5">
        <f>Table15[[#This Row],[Enrolment S.Y. 2025-2026 ]]*8</f>
        <v>6032</v>
      </c>
      <c r="W61" s="5"/>
      <c r="X61" s="1"/>
      <c r="Y61" s="5"/>
      <c r="Z61" s="5">
        <f t="shared" si="8"/>
        <v>6032</v>
      </c>
      <c r="AA61" s="5">
        <f t="shared" si="9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Table15[[#This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Table15[[#This Row],[Enrolment S.Y. 2025-2026 ]]*8</f>
        <v>0</v>
      </c>
      <c r="K63" s="12"/>
      <c r="L63" s="10"/>
      <c r="M63" s="12"/>
      <c r="N63" s="12">
        <f t="shared" si="4"/>
        <v>0</v>
      </c>
      <c r="O63" s="12">
        <f t="shared" si="5"/>
        <v>0</v>
      </c>
      <c r="P63" s="12">
        <f>Table15[[#This Row],[Enrolment S.Y. 2025-2026 ]]*8</f>
        <v>0</v>
      </c>
      <c r="Q63" s="12"/>
      <c r="R63" s="10"/>
      <c r="S63" s="12"/>
      <c r="T63" s="12">
        <f t="shared" si="6"/>
        <v>0</v>
      </c>
      <c r="U63" s="12">
        <f t="shared" si="7"/>
        <v>0</v>
      </c>
      <c r="V63" s="12">
        <f>Table15[[#This Row],[Enrolment S.Y. 2025-2026 ]]*8</f>
        <v>0</v>
      </c>
      <c r="W63" s="12"/>
      <c r="X63" s="10"/>
      <c r="Y63" s="12"/>
      <c r="Z63" s="12">
        <f t="shared" si="8"/>
        <v>0</v>
      </c>
      <c r="AA63" s="12">
        <f t="shared" si="9"/>
        <v>0</v>
      </c>
    </row>
    <row r="64" spans="1:27" ht="19.149999999999999">
      <c r="A64" s="10">
        <v>7</v>
      </c>
      <c r="B64" s="11" t="s">
        <v>15</v>
      </c>
      <c r="C64" s="10"/>
      <c r="D64" s="12">
        <f>Table15[[#This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Table15[[#This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Table15[[#This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Table15[[#This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149999999999999">
      <c r="A65" s="10">
        <v>7</v>
      </c>
      <c r="B65" s="11" t="s">
        <v>12</v>
      </c>
      <c r="C65" s="10"/>
      <c r="D65" s="12">
        <f>Table15[[#This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Table15[[#This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Table15[[#This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Table15[[#This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149999999999999">
      <c r="A66" s="10">
        <v>7</v>
      </c>
      <c r="B66" s="11" t="s">
        <v>20</v>
      </c>
      <c r="C66" s="10"/>
      <c r="D66" s="12">
        <f>Table15[[#This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Table15[[#This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Table15[[#This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Table15[[#This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19.149999999999999">
      <c r="A67" s="10">
        <v>7</v>
      </c>
      <c r="B67" s="11" t="s">
        <v>16</v>
      </c>
      <c r="C67" s="10"/>
      <c r="D67" s="12">
        <f>Table15[[#This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Table15[[#This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Table15[[#This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Table15[[#This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149999999999999">
      <c r="A68" s="10">
        <v>7</v>
      </c>
      <c r="B68" s="11" t="s">
        <v>13</v>
      </c>
      <c r="C68" s="10"/>
      <c r="D68" s="12">
        <f>Table15[[#This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Table15[[#This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Table15[[#This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Table15[[#This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149999999999999">
      <c r="A69" s="10">
        <v>7</v>
      </c>
      <c r="B69" s="11" t="s">
        <v>17</v>
      </c>
      <c r="C69" s="10"/>
      <c r="D69" s="12">
        <f>Table15[[#This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Table15[[#This Row],[Enrolment S.Y. 2025-2026 ]]*8</f>
        <v>0</v>
      </c>
      <c r="K69" s="12"/>
      <c r="L69" s="10"/>
      <c r="M69" s="12"/>
      <c r="N69" s="12">
        <f t="shared" ref="N69:N132" si="10">IF((J69-K69)&lt;0,0,(J69-K69))</f>
        <v>0</v>
      </c>
      <c r="O69" s="12">
        <f t="shared" ref="O69:O132" si="11">IF((K69-J69)&lt;0,0,(K69-J69))</f>
        <v>0</v>
      </c>
      <c r="P69" s="12">
        <f>Table15[[#This Row],[Enrolment S.Y. 2025-2026 ]]*8</f>
        <v>0</v>
      </c>
      <c r="Q69" s="12"/>
      <c r="R69" s="10"/>
      <c r="S69" s="12"/>
      <c r="T69" s="12">
        <f t="shared" ref="T69:T132" si="12">IF((P69-Q69)&lt;0,0,(P69-Q69))</f>
        <v>0</v>
      </c>
      <c r="U69" s="12">
        <f t="shared" ref="U69:U132" si="13">IF((Q69-P69)&lt;0,0,(Q69-P69))</f>
        <v>0</v>
      </c>
      <c r="V69" s="12">
        <f>Table15[[#This Row],[Enrolment S.Y. 2025-2026 ]]*8</f>
        <v>0</v>
      </c>
      <c r="W69" s="12"/>
      <c r="X69" s="10"/>
      <c r="Y69" s="12"/>
      <c r="Z69" s="12">
        <f t="shared" ref="Z69:Z132" si="14">IF((V69-W69)&lt;0,0,(V69-W69))</f>
        <v>0</v>
      </c>
      <c r="AA69" s="12">
        <f t="shared" ref="AA69:AA132" si="15">IF((W69-V69)&lt;0,0,(W69-V69))</f>
        <v>0</v>
      </c>
    </row>
    <row r="70" spans="1:27" ht="19.149999999999999">
      <c r="A70" s="10">
        <v>7</v>
      </c>
      <c r="B70" s="11" t="s">
        <v>21</v>
      </c>
      <c r="C70" s="10"/>
      <c r="D70" s="12">
        <f>Table15[[#This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Table15[[#This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Table15[[#This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Table15[[#This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149999999999999">
      <c r="A71" s="10">
        <v>7</v>
      </c>
      <c r="B71" s="11" t="s">
        <v>19</v>
      </c>
      <c r="C71" s="10"/>
      <c r="D71" s="12">
        <f>Table15[[#This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Table15[[#This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Table15[[#This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Table15[[#This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Table15[[#This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Table15[[#This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Table15[[#This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Table15[[#This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149999999999999">
      <c r="A74" s="10">
        <v>8</v>
      </c>
      <c r="B74" s="11" t="s">
        <v>15</v>
      </c>
      <c r="C74" s="10"/>
      <c r="D74" s="12">
        <f>Table15[[#This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Table15[[#This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Table15[[#This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Table15[[#This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149999999999999">
      <c r="A75" s="10">
        <v>8</v>
      </c>
      <c r="B75" s="11" t="s">
        <v>12</v>
      </c>
      <c r="C75" s="10"/>
      <c r="D75" s="12">
        <f>Table15[[#This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Table15[[#This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Table15[[#This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Table15[[#This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149999999999999">
      <c r="A76" s="10">
        <v>8</v>
      </c>
      <c r="B76" s="11" t="s">
        <v>20</v>
      </c>
      <c r="C76" s="10"/>
      <c r="D76" s="12">
        <f>Table15[[#This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Table15[[#This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Table15[[#This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Table15[[#This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149999999999999">
      <c r="A77" s="10">
        <v>8</v>
      </c>
      <c r="B77" s="11" t="s">
        <v>22</v>
      </c>
      <c r="C77" s="10"/>
      <c r="D77" s="12">
        <f>Table15[[#This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Table15[[#This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Table15[[#This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Table15[[#This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149999999999999">
      <c r="A78" s="10">
        <v>8</v>
      </c>
      <c r="B78" s="11" t="s">
        <v>13</v>
      </c>
      <c r="C78" s="10"/>
      <c r="D78" s="12">
        <f>Table15[[#This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Table15[[#This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Table15[[#This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Table15[[#This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149999999999999">
      <c r="A79" s="10">
        <v>8</v>
      </c>
      <c r="B79" s="11" t="s">
        <v>17</v>
      </c>
      <c r="C79" s="10"/>
      <c r="D79" s="12">
        <f>Table15[[#This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Table15[[#This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Table15[[#This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Table15[[#This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149999999999999">
      <c r="A80" s="10">
        <v>8</v>
      </c>
      <c r="B80" s="11" t="s">
        <v>21</v>
      </c>
      <c r="C80" s="10"/>
      <c r="D80" s="12">
        <f>Table15[[#This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Table15[[#This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Table15[[#This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Table15[[#This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149999999999999">
      <c r="A81" s="10">
        <v>8</v>
      </c>
      <c r="B81" s="11" t="s">
        <v>19</v>
      </c>
      <c r="C81" s="10"/>
      <c r="D81" s="12">
        <f>Table15[[#This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Table15[[#This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Table15[[#This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Table15[[#This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Table15[[#This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Table15[[#This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Table15[[#This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Table15[[#This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149999999999999">
      <c r="A84" s="10">
        <v>9</v>
      </c>
      <c r="B84" s="11" t="s">
        <v>15</v>
      </c>
      <c r="C84" s="10"/>
      <c r="D84" s="12">
        <f>Table15[[#This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Table15[[#This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Table15[[#This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Table15[[#This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149999999999999">
      <c r="A85" s="10">
        <v>9</v>
      </c>
      <c r="B85" s="11" t="s">
        <v>12</v>
      </c>
      <c r="C85" s="10"/>
      <c r="D85" s="12">
        <f>Table15[[#This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Table15[[#This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Table15[[#This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Table15[[#This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149999999999999">
      <c r="A86" s="10">
        <v>9</v>
      </c>
      <c r="B86" s="11" t="s">
        <v>20</v>
      </c>
      <c r="C86" s="10"/>
      <c r="D86" s="12">
        <f>Table15[[#This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Table15[[#This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Table15[[#This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Table15[[#This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149999999999999">
      <c r="A87" s="10">
        <v>9</v>
      </c>
      <c r="B87" s="11" t="s">
        <v>22</v>
      </c>
      <c r="C87" s="10"/>
      <c r="D87" s="12">
        <f>Table15[[#This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Table15[[#This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Table15[[#This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Table15[[#This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149999999999999">
      <c r="A88" s="10">
        <v>9</v>
      </c>
      <c r="B88" s="11" t="s">
        <v>13</v>
      </c>
      <c r="C88" s="10"/>
      <c r="D88" s="12">
        <f>Table15[[#This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Table15[[#This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Table15[[#This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Table15[[#This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149999999999999">
      <c r="A89" s="10">
        <v>9</v>
      </c>
      <c r="B89" s="11" t="s">
        <v>17</v>
      </c>
      <c r="C89" s="10"/>
      <c r="D89" s="12">
        <f>Table15[[#This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Table15[[#This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Table15[[#This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Table15[[#This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149999999999999">
      <c r="A90" s="10">
        <v>9</v>
      </c>
      <c r="B90" s="11" t="s">
        <v>21</v>
      </c>
      <c r="C90" s="10"/>
      <c r="D90" s="12">
        <f>Table15[[#This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Table15[[#This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Table15[[#This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Table15[[#This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149999999999999">
      <c r="A91" s="10">
        <v>9</v>
      </c>
      <c r="B91" s="11" t="s">
        <v>19</v>
      </c>
      <c r="C91" s="10"/>
      <c r="D91" s="12">
        <f>Table15[[#This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Table15[[#This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Table15[[#This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Table15[[#This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Table15[[#This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Table15[[#This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Table15[[#This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Table15[[#This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Table15[[#This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Table15[[#This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Table15[[#This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Table15[[#This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Table15[[#This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Table15[[#This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Table15[[#This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Table15[[#This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Table15[[#This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Table15[[#This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Table15[[#This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Table15[[#This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Table15[[#This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Table15[[#This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Table15[[#This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Table15[[#This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Table15[[#This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Table15[[#This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Table15[[#This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Table15[[#This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Table15[[#This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Table15[[#This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Table15[[#This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Table15[[#This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Table15[[#This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Table15[[#This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Table15[[#This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Table15[[#This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Table15[[#This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Table15[[#This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Table15[[#This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Table15[[#This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Table15[[#This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Table15[[#This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Table15[[#This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Table15[[#This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Table15[[#This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Table15[[#This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Table15[[#This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Table15[[#This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Table15[[#This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Table15[[#This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Table15[[#This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Table15[[#This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Table15[[#This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Table15[[#This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Table15[[#This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Table15[[#This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Table15[[#This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Table15[[#This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Table15[[#This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Table15[[#This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Table15[[#This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Table15[[#This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Table15[[#This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Table15[[#This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Table15[[#This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Table15[[#This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Table15[[#This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Table15[[#This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Table15[[#This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Table15[[#This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Table15[[#This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Table15[[#This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Table15[[#This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Table15[[#This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Table15[[#This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Table15[[#This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Table15[[#This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Table15[[#This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Table15[[#This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Table15[[#This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Table15[[#This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Table15[[#This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Table15[[#This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Table15[[#This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Table15[[#This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Table15[[#This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Table15[[#This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Table15[[#This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Table15[[#This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Table15[[#This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Table15[[#This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Table15[[#This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Table15[[#This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Table15[[#This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Table15[[#This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Table15[[#This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Table15[[#This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Table15[[#This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Table15[[#This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Table15[[#This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Table15[[#This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Table15[[#This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Table15[[#This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Table15[[#This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Table15[[#This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Table15[[#This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Table15[[#This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Table15[[#This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Table15[[#This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Table15[[#This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Table15[[#This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Table15[[#This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Table15[[#This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Table15[[#This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Table15[[#This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Table15[[#This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Table15[[#This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Table15[[#This Row],[Enrolment S.Y. 2025-2026 ]]*8</f>
        <v>0</v>
      </c>
      <c r="K127" s="31"/>
      <c r="L127" s="29"/>
      <c r="M127" s="31"/>
      <c r="N127" s="5">
        <f t="shared" si="10"/>
        <v>0</v>
      </c>
      <c r="O127" s="5">
        <f t="shared" si="11"/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Table15[[#This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 ht="13.9">
      <c r="J128" t="e">
        <f>#REF!*8</f>
        <v>#REF!</v>
      </c>
    </row>
    <row r="129" spans="10:10" ht="13.9">
      <c r="J129" t="e">
        <f>#REF!*8</f>
        <v>#REF!</v>
      </c>
    </row>
    <row r="130" spans="10:10" ht="13.9">
      <c r="J130" t="e">
        <f>#REF!*8</f>
        <v>#REF!</v>
      </c>
    </row>
    <row r="131" spans="10:10" ht="13.9">
      <c r="J131" t="e">
        <f>#REF!*8</f>
        <v>#REF!</v>
      </c>
    </row>
    <row r="132" spans="10:10" ht="13.9">
      <c r="J132" t="e">
        <f>#REF!*8</f>
        <v>#REF!</v>
      </c>
    </row>
    <row r="133" spans="10:10" ht="13.9">
      <c r="J133" t="e">
        <f>#REF!*8</f>
        <v>#REF!</v>
      </c>
    </row>
    <row r="134" spans="10:10" ht="13.9">
      <c r="J134" t="e">
        <f>#REF!*8</f>
        <v>#REF!</v>
      </c>
    </row>
    <row r="135" spans="10:10" ht="13.9">
      <c r="J135" t="e">
        <f>#REF!*8</f>
        <v>#REF!</v>
      </c>
    </row>
    <row r="136" spans="10:10" ht="13.9">
      <c r="J136" t="e">
        <f>#REF!*8</f>
        <v>#REF!</v>
      </c>
    </row>
    <row r="137" spans="10:10" ht="13.9">
      <c r="J137" t="e">
        <f>#REF!*8</f>
        <v>#REF!</v>
      </c>
    </row>
    <row r="138" spans="10:10" ht="13.9">
      <c r="J138" t="e">
        <f>#REF!*8</f>
        <v>#REF!</v>
      </c>
    </row>
    <row r="139" spans="10:10" ht="13.9">
      <c r="J139" t="e">
        <f>#REF!*8</f>
        <v>#REF!</v>
      </c>
    </row>
    <row r="140" spans="10:10" ht="13.9">
      <c r="J140" t="e">
        <f>#REF!*8</f>
        <v>#REF!</v>
      </c>
    </row>
    <row r="141" spans="10:10" ht="13.9">
      <c r="J141" t="e">
        <f>#REF!*8</f>
        <v>#REF!</v>
      </c>
    </row>
    <row r="142" spans="10:10" ht="13.9">
      <c r="J142" t="e">
        <f>#REF!*8</f>
        <v>#REF!</v>
      </c>
    </row>
    <row r="143" spans="10:10" ht="13.9">
      <c r="J143" t="e">
        <f>#REF!*8</f>
        <v>#REF!</v>
      </c>
    </row>
    <row r="144" spans="10:10" ht="13.9">
      <c r="J144" t="e">
        <f>#REF!*8</f>
        <v>#REF!</v>
      </c>
    </row>
    <row r="145" spans="10:10" ht="13.9">
      <c r="J145" t="e">
        <f>#REF!*8</f>
        <v>#REF!</v>
      </c>
    </row>
    <row r="146" spans="10:10" ht="13.9">
      <c r="J146" t="e">
        <f>#REF!*8</f>
        <v>#REF!</v>
      </c>
    </row>
    <row r="147" spans="10:10" ht="13.9">
      <c r="J147" t="e">
        <f>#REF!*8</f>
        <v>#REF!</v>
      </c>
    </row>
    <row r="148" spans="10:10" ht="13.9">
      <c r="J148" t="e">
        <f>#REF!*8</f>
        <v>#REF!</v>
      </c>
    </row>
    <row r="149" spans="10:10" ht="13.9">
      <c r="J149" t="e">
        <f>#REF!*8</f>
        <v>#REF!</v>
      </c>
    </row>
    <row r="150" spans="10:10" ht="13.9">
      <c r="J150" t="e">
        <f>#REF!*8</f>
        <v>#REF!</v>
      </c>
    </row>
    <row r="151" spans="10:10" ht="13.9">
      <c r="J151" t="e">
        <f>#REF!*8</f>
        <v>#REF!</v>
      </c>
    </row>
    <row r="152" spans="10:10" ht="13.9">
      <c r="J152" t="e">
        <f>#REF!*8</f>
        <v>#REF!</v>
      </c>
    </row>
    <row r="153" spans="10:10" ht="13.9">
      <c r="J153" t="e">
        <f>#REF!*8</f>
        <v>#REF!</v>
      </c>
    </row>
    <row r="154" spans="10:10" ht="13.9">
      <c r="J154" t="e">
        <f>#REF!*8</f>
        <v>#REF!</v>
      </c>
    </row>
    <row r="155" spans="10:10" ht="13.9">
      <c r="J155" t="e">
        <f>#REF!*8</f>
        <v>#REF!</v>
      </c>
    </row>
    <row r="156" spans="10:10" ht="13.9">
      <c r="J156" t="e">
        <f>#REF!*8</f>
        <v>#REF!</v>
      </c>
    </row>
    <row r="157" spans="10:10" ht="13.9">
      <c r="J157" t="e">
        <f>#REF!*8</f>
        <v>#REF!</v>
      </c>
    </row>
  </sheetData>
  <protectedRanges>
    <protectedRange sqref="C2:C3 C63:C71 C73:C81 C83:C91 C93:C101 C103:C110 C112:C127 C14:C21 C23:C31 C33:C41 C43:C51 C53:C61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110 Y14:Y110 S4:S110 G5:G12 M5:M12 Y5:Y12 G14:G21 G23:G31 G33:G41 G43:G51 G53:G61 G63:G71 G73:G81 G83:G91 G93:G101 G103:G110" xr:uid="{966F7D91-975C-438E-AC6B-B6350E3B03E9}">
      <formula1>"CO,RO,SDO,LGU,SCHOOL"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EB575542-C58F-4574-B933-8F1048C5E766}">
      <formula1>"2024,2025"</formula1>
    </dataValidation>
    <dataValidation type="list" allowBlank="1" showInputMessage="1" showErrorMessage="1" sqref="S112:S127 M112:M127 Y112:Y127 G112:G127" xr:uid="{B698840B-EB00-48F4-9E0E-11C736D9611B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2026-02-20T03:00:02Z</dcterms:modified>
  <cp:category/>
  <cp:contentStatus/>
</cp:coreProperties>
</file>