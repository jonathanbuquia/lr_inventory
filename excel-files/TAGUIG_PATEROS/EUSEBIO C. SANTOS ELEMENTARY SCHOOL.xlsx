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TAGUIG_PATEROS/"/>
    </mc:Choice>
  </mc:AlternateContent>
  <xr:revisionPtr revIDLastSave="369" documentId="13_ncr:1_{BFB59F67-F0DC-4675-A682-EB0734A8026A}" xr6:coauthVersionLast="47" xr6:coauthVersionMax="47" xr10:uidLastSave="{781AF8C2-F365-4DD3-8936-BFB12689CBC4}"/>
  <bookViews>
    <workbookView xWindow="-120" yWindow="-120" windowWidth="29040" windowHeight="15840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K56" i="5"/>
  <c r="K57" i="5"/>
  <c r="K58" i="5"/>
  <c r="E56" i="5"/>
  <c r="E58" i="5"/>
  <c r="E57" i="5"/>
  <c r="K28" i="5"/>
  <c r="K27" i="5"/>
  <c r="P30" i="5"/>
  <c r="D30" i="5"/>
  <c r="H30" i="5"/>
  <c r="I30" i="5"/>
  <c r="J30" i="5"/>
  <c r="O30" i="5" s="1"/>
  <c r="T30" i="5"/>
  <c r="U30" i="5"/>
  <c r="V30" i="5"/>
  <c r="Z30" i="5"/>
  <c r="AA30" i="5"/>
  <c r="K26" i="5"/>
  <c r="K16" i="5"/>
  <c r="K18" i="5"/>
  <c r="E27" i="5"/>
  <c r="E28" i="5"/>
  <c r="E16" i="5"/>
  <c r="E17" i="5"/>
  <c r="E12" i="5"/>
  <c r="W63" i="5"/>
  <c r="Q66" i="5"/>
  <c r="Q65" i="5"/>
  <c r="Q63" i="5"/>
  <c r="Q62" i="5"/>
  <c r="Q61" i="5"/>
  <c r="Q60" i="5"/>
  <c r="Q58" i="5"/>
  <c r="Q57" i="5"/>
  <c r="Q56" i="5"/>
  <c r="P67" i="5"/>
  <c r="D67" i="5"/>
  <c r="H67" i="5"/>
  <c r="I67" i="5"/>
  <c r="J67" i="5"/>
  <c r="N67" i="5" s="1"/>
  <c r="T67" i="5"/>
  <c r="U67" i="5"/>
  <c r="V67" i="5"/>
  <c r="Z67" i="5"/>
  <c r="AA67" i="5"/>
  <c r="P111" i="5"/>
  <c r="T111" i="5" s="1"/>
  <c r="P112" i="5"/>
  <c r="U112" i="5" s="1"/>
  <c r="P113" i="5"/>
  <c r="P114" i="5"/>
  <c r="P115" i="5"/>
  <c r="P99" i="5"/>
  <c r="T99" i="5" s="1"/>
  <c r="P100" i="5"/>
  <c r="P101" i="5"/>
  <c r="P102" i="5"/>
  <c r="P103" i="5"/>
  <c r="P86" i="5"/>
  <c r="P87" i="5"/>
  <c r="P88" i="5"/>
  <c r="P89" i="5"/>
  <c r="P90" i="5"/>
  <c r="P91" i="5"/>
  <c r="P73" i="5"/>
  <c r="P74" i="5"/>
  <c r="P75" i="5"/>
  <c r="P76" i="5"/>
  <c r="P77" i="5"/>
  <c r="P78" i="5"/>
  <c r="P79" i="5"/>
  <c r="P62" i="5"/>
  <c r="T62" i="5" s="1"/>
  <c r="P63" i="5"/>
  <c r="P64" i="5"/>
  <c r="P65" i="5"/>
  <c r="P66" i="5"/>
  <c r="P49" i="5"/>
  <c r="P50" i="5"/>
  <c r="U50" i="5" s="1"/>
  <c r="P51" i="5"/>
  <c r="P52" i="5"/>
  <c r="P53" i="5"/>
  <c r="U53" i="5" s="1"/>
  <c r="P54" i="5"/>
  <c r="P37" i="5"/>
  <c r="P38" i="5"/>
  <c r="P39" i="5"/>
  <c r="P40" i="5"/>
  <c r="P41" i="5"/>
  <c r="P42" i="5"/>
  <c r="D114" i="5"/>
  <c r="H114" i="5" s="1"/>
  <c r="J114" i="5"/>
  <c r="U114" i="5"/>
  <c r="T114" i="5"/>
  <c r="V114" i="5"/>
  <c r="Z114" i="5" s="1"/>
  <c r="D111" i="5"/>
  <c r="H111" i="5" s="1"/>
  <c r="J111" i="5"/>
  <c r="U111" i="5"/>
  <c r="V111" i="5"/>
  <c r="Z111" i="5" s="1"/>
  <c r="D90" i="5"/>
  <c r="H90" i="5" s="1"/>
  <c r="J90" i="5"/>
  <c r="T90" i="5"/>
  <c r="V90" i="5"/>
  <c r="Z90" i="5" s="1"/>
  <c r="D102" i="5"/>
  <c r="H102" i="5" s="1"/>
  <c r="J102" i="5"/>
  <c r="T102" i="5"/>
  <c r="V102" i="5"/>
  <c r="Z102" i="5" s="1"/>
  <c r="D99" i="5"/>
  <c r="H99" i="5" s="1"/>
  <c r="J99" i="5"/>
  <c r="V99" i="5"/>
  <c r="Z99" i="5" s="1"/>
  <c r="D87" i="5"/>
  <c r="H87" i="5" s="1"/>
  <c r="J87" i="5"/>
  <c r="T87" i="5"/>
  <c r="V87" i="5"/>
  <c r="Z87" i="5" s="1"/>
  <c r="D78" i="5"/>
  <c r="H78" i="5" s="1"/>
  <c r="J78" i="5"/>
  <c r="T78" i="5"/>
  <c r="V78" i="5"/>
  <c r="Z78" i="5" s="1"/>
  <c r="D75" i="5"/>
  <c r="H75" i="5" s="1"/>
  <c r="J75" i="5"/>
  <c r="T75" i="5"/>
  <c r="V75" i="5"/>
  <c r="Z75" i="5" s="1"/>
  <c r="D65" i="5"/>
  <c r="H65" i="5" s="1"/>
  <c r="J65" i="5"/>
  <c r="T65" i="5"/>
  <c r="V65" i="5"/>
  <c r="Z65" i="5" s="1"/>
  <c r="D62" i="5"/>
  <c r="H62" i="5" s="1"/>
  <c r="J62" i="5"/>
  <c r="V62" i="5"/>
  <c r="Z62" i="5" s="1"/>
  <c r="D53" i="5"/>
  <c r="H53" i="5" s="1"/>
  <c r="J53" i="5"/>
  <c r="V53" i="5"/>
  <c r="Z53" i="5" s="1"/>
  <c r="D50" i="5"/>
  <c r="H50" i="5" s="1"/>
  <c r="J50" i="5"/>
  <c r="V50" i="5"/>
  <c r="Z50" i="5" s="1"/>
  <c r="D41" i="5"/>
  <c r="H41" i="5" s="1"/>
  <c r="J41" i="5"/>
  <c r="U41" i="5"/>
  <c r="V41" i="5"/>
  <c r="Z41" i="5" s="1"/>
  <c r="D38" i="5"/>
  <c r="H38" i="5" s="1"/>
  <c r="J38" i="5"/>
  <c r="U38" i="5"/>
  <c r="V38" i="5"/>
  <c r="Z38" i="5" s="1"/>
  <c r="P3" i="4"/>
  <c r="T3" i="4" s="1"/>
  <c r="D3" i="4"/>
  <c r="H3" i="4" s="1"/>
  <c r="J3" i="4"/>
  <c r="V3" i="4"/>
  <c r="Z3" i="4" s="1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V124" i="5"/>
  <c r="AA124" i="5" s="1"/>
  <c r="P124" i="5"/>
  <c r="T124" i="5" s="1"/>
  <c r="J124" i="5"/>
  <c r="O124" i="5" s="1"/>
  <c r="D124" i="5"/>
  <c r="I124" i="5" s="1"/>
  <c r="V123" i="5"/>
  <c r="Z123" i="5" s="1"/>
  <c r="P123" i="5"/>
  <c r="J123" i="5"/>
  <c r="N123" i="5" s="1"/>
  <c r="D123" i="5"/>
  <c r="I123" i="5" s="1"/>
  <c r="V122" i="5"/>
  <c r="AA122" i="5" s="1"/>
  <c r="P122" i="5"/>
  <c r="U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5" i="5"/>
  <c r="AA115" i="5" s="1"/>
  <c r="U115" i="5"/>
  <c r="J115" i="5"/>
  <c r="D115" i="5"/>
  <c r="I115" i="5" s="1"/>
  <c r="V113" i="5"/>
  <c r="Z113" i="5" s="1"/>
  <c r="J113" i="5"/>
  <c r="D113" i="5"/>
  <c r="I113" i="5" s="1"/>
  <c r="V112" i="5"/>
  <c r="AA112" i="5" s="1"/>
  <c r="J112" i="5"/>
  <c r="D112" i="5"/>
  <c r="I112" i="5" s="1"/>
  <c r="V110" i="5"/>
  <c r="Z110" i="5" s="1"/>
  <c r="P110" i="5"/>
  <c r="J110" i="5"/>
  <c r="N110" i="5" s="1"/>
  <c r="D110" i="5"/>
  <c r="I110" i="5" s="1"/>
  <c r="V109" i="5"/>
  <c r="AA109" i="5" s="1"/>
  <c r="P109" i="5"/>
  <c r="U109" i="5" s="1"/>
  <c r="J109" i="5"/>
  <c r="O109" i="5" s="1"/>
  <c r="D109" i="5"/>
  <c r="I109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AA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3" i="5"/>
  <c r="AA103" i="5" s="1"/>
  <c r="J103" i="5"/>
  <c r="D103" i="5"/>
  <c r="I103" i="5" s="1"/>
  <c r="V101" i="5"/>
  <c r="AA101" i="5" s="1"/>
  <c r="U101" i="5"/>
  <c r="J101" i="5"/>
  <c r="D101" i="5"/>
  <c r="I101" i="5" s="1"/>
  <c r="V100" i="5"/>
  <c r="AA100" i="5" s="1"/>
  <c r="J100" i="5"/>
  <c r="D100" i="5"/>
  <c r="I100" i="5" s="1"/>
  <c r="V98" i="5"/>
  <c r="AA98" i="5" s="1"/>
  <c r="P98" i="5"/>
  <c r="U98" i="5" s="1"/>
  <c r="J98" i="5"/>
  <c r="O98" i="5" s="1"/>
  <c r="D98" i="5"/>
  <c r="I98" i="5" s="1"/>
  <c r="V97" i="5"/>
  <c r="AA97" i="5" s="1"/>
  <c r="P97" i="5"/>
  <c r="J97" i="5"/>
  <c r="N97" i="5" s="1"/>
  <c r="D97" i="5"/>
  <c r="H97" i="5" s="1"/>
  <c r="V96" i="5"/>
  <c r="AA96" i="5" s="1"/>
  <c r="P96" i="5"/>
  <c r="U96" i="5" s="1"/>
  <c r="J96" i="5"/>
  <c r="O96" i="5" s="1"/>
  <c r="D96" i="5"/>
  <c r="H96" i="5" s="1"/>
  <c r="V95" i="5"/>
  <c r="AA95" i="5" s="1"/>
  <c r="P95" i="5"/>
  <c r="J95" i="5"/>
  <c r="N95" i="5" s="1"/>
  <c r="D95" i="5"/>
  <c r="I95" i="5" s="1"/>
  <c r="V94" i="5"/>
  <c r="AA94" i="5" s="1"/>
  <c r="P94" i="5"/>
  <c r="U94" i="5" s="1"/>
  <c r="J94" i="5"/>
  <c r="O94" i="5" s="1"/>
  <c r="D94" i="5"/>
  <c r="V93" i="5"/>
  <c r="AA93" i="5" s="1"/>
  <c r="P93" i="5"/>
  <c r="J93" i="5"/>
  <c r="N93" i="5" s="1"/>
  <c r="D93" i="5"/>
  <c r="I93" i="5" s="1"/>
  <c r="V91" i="5"/>
  <c r="U91" i="5"/>
  <c r="J91" i="5"/>
  <c r="D91" i="5"/>
  <c r="I91" i="5" s="1"/>
  <c r="V89" i="5"/>
  <c r="J89" i="5"/>
  <c r="D89" i="5"/>
  <c r="I89" i="5" s="1"/>
  <c r="V88" i="5"/>
  <c r="U88" i="5"/>
  <c r="J88" i="5"/>
  <c r="D88" i="5"/>
  <c r="I88" i="5" s="1"/>
  <c r="V86" i="5"/>
  <c r="J86" i="5"/>
  <c r="D86" i="5"/>
  <c r="I86" i="5" s="1"/>
  <c r="V85" i="5"/>
  <c r="P85" i="5"/>
  <c r="U85" i="5" s="1"/>
  <c r="J85" i="5"/>
  <c r="O85" i="5" s="1"/>
  <c r="D85" i="5"/>
  <c r="I85" i="5" s="1"/>
  <c r="V84" i="5"/>
  <c r="P84" i="5"/>
  <c r="J84" i="5"/>
  <c r="N84" i="5" s="1"/>
  <c r="D84" i="5"/>
  <c r="I84" i="5" s="1"/>
  <c r="V83" i="5"/>
  <c r="P83" i="5"/>
  <c r="U83" i="5" s="1"/>
  <c r="J83" i="5"/>
  <c r="O83" i="5" s="1"/>
  <c r="D83" i="5"/>
  <c r="I83" i="5" s="1"/>
  <c r="V82" i="5"/>
  <c r="P82" i="5"/>
  <c r="U82" i="5" s="1"/>
  <c r="J82" i="5"/>
  <c r="N82" i="5" s="1"/>
  <c r="D82" i="5"/>
  <c r="I82" i="5" s="1"/>
  <c r="V81" i="5"/>
  <c r="P81" i="5"/>
  <c r="U81" i="5" s="1"/>
  <c r="J81" i="5"/>
  <c r="D81" i="5"/>
  <c r="I81" i="5" s="1"/>
  <c r="V79" i="5"/>
  <c r="U79" i="5"/>
  <c r="J79" i="5"/>
  <c r="D79" i="5"/>
  <c r="I79" i="5" s="1"/>
  <c r="V77" i="5"/>
  <c r="U77" i="5"/>
  <c r="J77" i="5"/>
  <c r="D77" i="5"/>
  <c r="H77" i="5" s="1"/>
  <c r="V76" i="5"/>
  <c r="U76" i="5"/>
  <c r="J76" i="5"/>
  <c r="D76" i="5"/>
  <c r="I76" i="5" s="1"/>
  <c r="V74" i="5"/>
  <c r="U74" i="5"/>
  <c r="J74" i="5"/>
  <c r="D74" i="5"/>
  <c r="I74" i="5" s="1"/>
  <c r="V73" i="5"/>
  <c r="U73" i="5"/>
  <c r="J73" i="5"/>
  <c r="D73" i="5"/>
  <c r="H73" i="5" s="1"/>
  <c r="V72" i="5"/>
  <c r="P72" i="5"/>
  <c r="U72" i="5" s="1"/>
  <c r="J72" i="5"/>
  <c r="D72" i="5"/>
  <c r="H72" i="5" s="1"/>
  <c r="V71" i="5"/>
  <c r="P71" i="5"/>
  <c r="U71" i="5" s="1"/>
  <c r="J71" i="5"/>
  <c r="N71" i="5" s="1"/>
  <c r="D71" i="5"/>
  <c r="I71" i="5" s="1"/>
  <c r="V70" i="5"/>
  <c r="P70" i="5"/>
  <c r="U70" i="5" s="1"/>
  <c r="J70" i="5"/>
  <c r="D70" i="5"/>
  <c r="I70" i="5" s="1"/>
  <c r="V69" i="5"/>
  <c r="P69" i="5"/>
  <c r="U69" i="5" s="1"/>
  <c r="J69" i="5"/>
  <c r="N69" i="5" s="1"/>
  <c r="D69" i="5"/>
  <c r="I69" i="5" s="1"/>
  <c r="V66" i="5"/>
  <c r="U66" i="5"/>
  <c r="J66" i="5"/>
  <c r="D66" i="5"/>
  <c r="I66" i="5" s="1"/>
  <c r="V64" i="5"/>
  <c r="U64" i="5"/>
  <c r="J64" i="5"/>
  <c r="D64" i="5"/>
  <c r="I64" i="5" s="1"/>
  <c r="V63" i="5"/>
  <c r="U63" i="5"/>
  <c r="J63" i="5"/>
  <c r="D63" i="5"/>
  <c r="I63" i="5" s="1"/>
  <c r="V61" i="5"/>
  <c r="P61" i="5"/>
  <c r="U61" i="5" s="1"/>
  <c r="J61" i="5"/>
  <c r="N61" i="5" s="1"/>
  <c r="D61" i="5"/>
  <c r="I61" i="5" s="1"/>
  <c r="V60" i="5"/>
  <c r="P60" i="5"/>
  <c r="U60" i="5" s="1"/>
  <c r="J60" i="5"/>
  <c r="D60" i="5"/>
  <c r="I60" i="5" s="1"/>
  <c r="V59" i="5"/>
  <c r="P59" i="5"/>
  <c r="U59" i="5" s="1"/>
  <c r="J59" i="5"/>
  <c r="N59" i="5" s="1"/>
  <c r="D59" i="5"/>
  <c r="I59" i="5" s="1"/>
  <c r="V58" i="5"/>
  <c r="P58" i="5"/>
  <c r="U58" i="5" s="1"/>
  <c r="J58" i="5"/>
  <c r="D58" i="5"/>
  <c r="H58" i="5" s="1"/>
  <c r="V57" i="5"/>
  <c r="P57" i="5"/>
  <c r="U57" i="5" s="1"/>
  <c r="J57" i="5"/>
  <c r="N57" i="5" s="1"/>
  <c r="D57" i="5"/>
  <c r="I57" i="5" s="1"/>
  <c r="V56" i="5"/>
  <c r="P56" i="5"/>
  <c r="U56" i="5" s="1"/>
  <c r="J56" i="5"/>
  <c r="D56" i="5"/>
  <c r="I56" i="5" s="1"/>
  <c r="V54" i="5"/>
  <c r="U54" i="5"/>
  <c r="J54" i="5"/>
  <c r="D54" i="5"/>
  <c r="I54" i="5" s="1"/>
  <c r="V52" i="5"/>
  <c r="U52" i="5"/>
  <c r="J52" i="5"/>
  <c r="D52" i="5"/>
  <c r="I52" i="5" s="1"/>
  <c r="V51" i="5"/>
  <c r="U51" i="5"/>
  <c r="J51" i="5"/>
  <c r="D51" i="5"/>
  <c r="I51" i="5" s="1"/>
  <c r="V49" i="5"/>
  <c r="U49" i="5"/>
  <c r="J49" i="5"/>
  <c r="D49" i="5"/>
  <c r="I49" i="5" s="1"/>
  <c r="V48" i="5"/>
  <c r="P48" i="5"/>
  <c r="U48" i="5" s="1"/>
  <c r="J48" i="5"/>
  <c r="N48" i="5" s="1"/>
  <c r="D48" i="5"/>
  <c r="I48" i="5" s="1"/>
  <c r="V47" i="5"/>
  <c r="P47" i="5"/>
  <c r="U47" i="5" s="1"/>
  <c r="J47" i="5"/>
  <c r="D47" i="5"/>
  <c r="I47" i="5" s="1"/>
  <c r="V46" i="5"/>
  <c r="P46" i="5"/>
  <c r="U46" i="5" s="1"/>
  <c r="J46" i="5"/>
  <c r="N46" i="5" s="1"/>
  <c r="D46" i="5"/>
  <c r="H46" i="5" s="1"/>
  <c r="V45" i="5"/>
  <c r="P45" i="5"/>
  <c r="U45" i="5" s="1"/>
  <c r="J45" i="5"/>
  <c r="D45" i="5"/>
  <c r="H45" i="5" s="1"/>
  <c r="V44" i="5"/>
  <c r="P44" i="5"/>
  <c r="U44" i="5" s="1"/>
  <c r="J44" i="5"/>
  <c r="N44" i="5" s="1"/>
  <c r="D44" i="5"/>
  <c r="H44" i="5" s="1"/>
  <c r="V42" i="5"/>
  <c r="U42" i="5"/>
  <c r="J42" i="5"/>
  <c r="D42" i="5"/>
  <c r="I42" i="5" s="1"/>
  <c r="V40" i="5"/>
  <c r="U40" i="5"/>
  <c r="J40" i="5"/>
  <c r="D40" i="5"/>
  <c r="H40" i="5" s="1"/>
  <c r="V39" i="5"/>
  <c r="U39" i="5"/>
  <c r="J39" i="5"/>
  <c r="D39" i="5"/>
  <c r="I39" i="5" s="1"/>
  <c r="V37" i="5"/>
  <c r="U37" i="5"/>
  <c r="J37" i="5"/>
  <c r="D37" i="5"/>
  <c r="H37" i="5" s="1"/>
  <c r="V36" i="5"/>
  <c r="P36" i="5"/>
  <c r="U36" i="5" s="1"/>
  <c r="J36" i="5"/>
  <c r="D36" i="5"/>
  <c r="I36" i="5" s="1"/>
  <c r="V35" i="5"/>
  <c r="P35" i="5"/>
  <c r="U35" i="5" s="1"/>
  <c r="J35" i="5"/>
  <c r="N35" i="5" s="1"/>
  <c r="D35" i="5"/>
  <c r="H35" i="5" s="1"/>
  <c r="V34" i="5"/>
  <c r="P34" i="5"/>
  <c r="U34" i="5" s="1"/>
  <c r="J34" i="5"/>
  <c r="D34" i="5"/>
  <c r="I34" i="5" s="1"/>
  <c r="V33" i="5"/>
  <c r="P33" i="5"/>
  <c r="U33" i="5" s="1"/>
  <c r="J33" i="5"/>
  <c r="N33" i="5" s="1"/>
  <c r="D33" i="5"/>
  <c r="H33" i="5" s="1"/>
  <c r="V32" i="5"/>
  <c r="P32" i="5"/>
  <c r="U32" i="5" s="1"/>
  <c r="J32" i="5"/>
  <c r="D32" i="5"/>
  <c r="I32" i="5" s="1"/>
  <c r="V29" i="5"/>
  <c r="P29" i="5"/>
  <c r="U29" i="5" s="1"/>
  <c r="J29" i="5"/>
  <c r="O29" i="5" s="1"/>
  <c r="D29" i="5"/>
  <c r="H29" i="5" s="1"/>
  <c r="V28" i="5"/>
  <c r="P28" i="5"/>
  <c r="U28" i="5" s="1"/>
  <c r="J28" i="5"/>
  <c r="D28" i="5"/>
  <c r="I28" i="5" s="1"/>
  <c r="V27" i="5"/>
  <c r="P27" i="5"/>
  <c r="U27" i="5" s="1"/>
  <c r="J27" i="5"/>
  <c r="O27" i="5" s="1"/>
  <c r="D27" i="5"/>
  <c r="I27" i="5" s="1"/>
  <c r="V26" i="5"/>
  <c r="P26" i="5"/>
  <c r="U26" i="5" s="1"/>
  <c r="J26" i="5"/>
  <c r="N26" i="5" s="1"/>
  <c r="D26" i="5"/>
  <c r="I26" i="5" s="1"/>
  <c r="V25" i="5"/>
  <c r="P25" i="5"/>
  <c r="U25" i="5" s="1"/>
  <c r="J25" i="5"/>
  <c r="O25" i="5" s="1"/>
  <c r="D25" i="5"/>
  <c r="I25" i="5" s="1"/>
  <c r="V24" i="5"/>
  <c r="P24" i="5"/>
  <c r="U24" i="5" s="1"/>
  <c r="J24" i="5"/>
  <c r="N24" i="5" s="1"/>
  <c r="D24" i="5"/>
  <c r="I24" i="5" s="1"/>
  <c r="V23" i="5"/>
  <c r="P23" i="5"/>
  <c r="U23" i="5" s="1"/>
  <c r="J23" i="5"/>
  <c r="O23" i="5" s="1"/>
  <c r="D23" i="5"/>
  <c r="I23" i="5" s="1"/>
  <c r="V22" i="5"/>
  <c r="P22" i="5"/>
  <c r="U22" i="5" s="1"/>
  <c r="J22" i="5"/>
  <c r="N22" i="5" s="1"/>
  <c r="D22" i="5"/>
  <c r="I22" i="5" s="1"/>
  <c r="V21" i="5"/>
  <c r="P21" i="5"/>
  <c r="U21" i="5" s="1"/>
  <c r="J21" i="5"/>
  <c r="O21" i="5" s="1"/>
  <c r="D21" i="5"/>
  <c r="I21" i="5" s="1"/>
  <c r="V19" i="5"/>
  <c r="P19" i="5"/>
  <c r="T19" i="5" s="1"/>
  <c r="J19" i="5"/>
  <c r="N19" i="5" s="1"/>
  <c r="D19" i="5"/>
  <c r="I19" i="5" s="1"/>
  <c r="V18" i="5"/>
  <c r="P18" i="5"/>
  <c r="U18" i="5" s="1"/>
  <c r="J18" i="5"/>
  <c r="O18" i="5" s="1"/>
  <c r="D18" i="5"/>
  <c r="I18" i="5" s="1"/>
  <c r="V17" i="5"/>
  <c r="P17" i="5"/>
  <c r="U17" i="5" s="1"/>
  <c r="J17" i="5"/>
  <c r="N17" i="5" s="1"/>
  <c r="D17" i="5"/>
  <c r="I17" i="5" s="1"/>
  <c r="V16" i="5"/>
  <c r="P16" i="5"/>
  <c r="U16" i="5" s="1"/>
  <c r="J16" i="5"/>
  <c r="O16" i="5" s="1"/>
  <c r="D16" i="5"/>
  <c r="I16" i="5" s="1"/>
  <c r="V15" i="5"/>
  <c r="P15" i="5"/>
  <c r="U15" i="5" s="1"/>
  <c r="J15" i="5"/>
  <c r="N15" i="5" s="1"/>
  <c r="D15" i="5"/>
  <c r="I15" i="5" s="1"/>
  <c r="V14" i="5"/>
  <c r="P14" i="5"/>
  <c r="U14" i="5" s="1"/>
  <c r="J14" i="5"/>
  <c r="O14" i="5" s="1"/>
  <c r="D14" i="5"/>
  <c r="H14" i="5" s="1"/>
  <c r="V13" i="5"/>
  <c r="P13" i="5"/>
  <c r="U13" i="5" s="1"/>
  <c r="J13" i="5"/>
  <c r="N13" i="5" s="1"/>
  <c r="D13" i="5"/>
  <c r="I13" i="5" s="1"/>
  <c r="V12" i="5"/>
  <c r="P12" i="5"/>
  <c r="U12" i="5" s="1"/>
  <c r="J12" i="5"/>
  <c r="O12" i="5" s="1"/>
  <c r="D12" i="5"/>
  <c r="I12" i="5" s="1"/>
  <c r="V10" i="5"/>
  <c r="P10" i="5"/>
  <c r="U10" i="5" s="1"/>
  <c r="J10" i="5"/>
  <c r="N10" i="5" s="1"/>
  <c r="D10" i="5"/>
  <c r="I10" i="5" s="1"/>
  <c r="V9" i="5"/>
  <c r="P9" i="5"/>
  <c r="U9" i="5" s="1"/>
  <c r="J9" i="5"/>
  <c r="O9" i="5" s="1"/>
  <c r="D9" i="5"/>
  <c r="I9" i="5" s="1"/>
  <c r="V8" i="5"/>
  <c r="P8" i="5"/>
  <c r="U8" i="5" s="1"/>
  <c r="J8" i="5"/>
  <c r="N8" i="5" s="1"/>
  <c r="D8" i="5"/>
  <c r="I8" i="5" s="1"/>
  <c r="V7" i="5"/>
  <c r="P7" i="5"/>
  <c r="U7" i="5" s="1"/>
  <c r="J7" i="5"/>
  <c r="O7" i="5" s="1"/>
  <c r="D7" i="5"/>
  <c r="I7" i="5" s="1"/>
  <c r="V6" i="5"/>
  <c r="P6" i="5"/>
  <c r="U6" i="5" s="1"/>
  <c r="J6" i="5"/>
  <c r="N6" i="5" s="1"/>
  <c r="D6" i="5"/>
  <c r="I6" i="5" s="1"/>
  <c r="V5" i="5"/>
  <c r="P5" i="5"/>
  <c r="U5" i="5" s="1"/>
  <c r="J5" i="5"/>
  <c r="O5" i="5" s="1"/>
  <c r="D5" i="5"/>
  <c r="I5" i="5" s="1"/>
  <c r="V4" i="5"/>
  <c r="P4" i="5"/>
  <c r="U4" i="5" s="1"/>
  <c r="J4" i="5"/>
  <c r="N4" i="5" s="1"/>
  <c r="D4" i="5"/>
  <c r="I4" i="5" s="1"/>
  <c r="V3" i="5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0" i="5" l="1"/>
  <c r="I94" i="5"/>
  <c r="AA89" i="5"/>
  <c r="AA12" i="5"/>
  <c r="AA10" i="5"/>
  <c r="AA9" i="5"/>
  <c r="AA8" i="5"/>
  <c r="AA7" i="5"/>
  <c r="AA6" i="5"/>
  <c r="AA5" i="5"/>
  <c r="AA4" i="5"/>
  <c r="AA3" i="5"/>
  <c r="AA91" i="5"/>
  <c r="AA88" i="5"/>
  <c r="AA86" i="5"/>
  <c r="AA85" i="5"/>
  <c r="Z84" i="5"/>
  <c r="AA83" i="5"/>
  <c r="AA82" i="5"/>
  <c r="AA81" i="5"/>
  <c r="AA79" i="5"/>
  <c r="AA77" i="5"/>
  <c r="Z76" i="5"/>
  <c r="Z74" i="5"/>
  <c r="AA73" i="5"/>
  <c r="AA72" i="5"/>
  <c r="AA71" i="5"/>
  <c r="AA70" i="5"/>
  <c r="AA69" i="5"/>
  <c r="Z66" i="5"/>
  <c r="AA64" i="5"/>
  <c r="AA63" i="5"/>
  <c r="AA61" i="5"/>
  <c r="AA60" i="5"/>
  <c r="AA59" i="5"/>
  <c r="AA58" i="5"/>
  <c r="AA57" i="5"/>
  <c r="AA56" i="5"/>
  <c r="AA54" i="5"/>
  <c r="AA52" i="5"/>
  <c r="AA51" i="5"/>
  <c r="AA49" i="5"/>
  <c r="AA48" i="5"/>
  <c r="AA47" i="5"/>
  <c r="AA46" i="5"/>
  <c r="AA45" i="5"/>
  <c r="AA44" i="5"/>
  <c r="AA42" i="5"/>
  <c r="AA40" i="5"/>
  <c r="AA39" i="5"/>
  <c r="Z37" i="5"/>
  <c r="AA36" i="5"/>
  <c r="Z35" i="5"/>
  <c r="Z34" i="5"/>
  <c r="Z33" i="5"/>
  <c r="AA32" i="5"/>
  <c r="AA29" i="5"/>
  <c r="AA28" i="5"/>
  <c r="Z27" i="5"/>
  <c r="AA26" i="5"/>
  <c r="AA25" i="5"/>
  <c r="AA24" i="5"/>
  <c r="AA23" i="5"/>
  <c r="AA22" i="5"/>
  <c r="AA21" i="5"/>
  <c r="AA19" i="5"/>
  <c r="AA18" i="5"/>
  <c r="AA17" i="5"/>
  <c r="AA16" i="5"/>
  <c r="AA15" i="5"/>
  <c r="AA14" i="5"/>
  <c r="AA13" i="5"/>
  <c r="N37" i="5"/>
  <c r="O37" i="5"/>
  <c r="N39" i="5"/>
  <c r="O39" i="5"/>
  <c r="N40" i="5"/>
  <c r="O40" i="5"/>
  <c r="N42" i="5"/>
  <c r="O42" i="5"/>
  <c r="N49" i="5"/>
  <c r="O49" i="5"/>
  <c r="N51" i="5"/>
  <c r="O51" i="5"/>
  <c r="N52" i="5"/>
  <c r="O52" i="5"/>
  <c r="N54" i="5"/>
  <c r="O54" i="5"/>
  <c r="N63" i="5"/>
  <c r="O63" i="5"/>
  <c r="N64" i="5"/>
  <c r="O64" i="5"/>
  <c r="N66" i="5"/>
  <c r="O66" i="5"/>
  <c r="N73" i="5"/>
  <c r="O73" i="5"/>
  <c r="N74" i="5"/>
  <c r="O74" i="5"/>
  <c r="N76" i="5"/>
  <c r="O76" i="5"/>
  <c r="N77" i="5"/>
  <c r="O77" i="5"/>
  <c r="N79" i="5"/>
  <c r="O79" i="5"/>
  <c r="N86" i="5"/>
  <c r="O86" i="5"/>
  <c r="N88" i="5"/>
  <c r="O88" i="5"/>
  <c r="N89" i="5"/>
  <c r="O89" i="5"/>
  <c r="N91" i="5"/>
  <c r="O91" i="5"/>
  <c r="N100" i="5"/>
  <c r="O100" i="5"/>
  <c r="N101" i="5"/>
  <c r="O101" i="5"/>
  <c r="N103" i="5"/>
  <c r="O103" i="5"/>
  <c r="N112" i="5"/>
  <c r="O112" i="5"/>
  <c r="N113" i="5"/>
  <c r="O113" i="5"/>
  <c r="N115" i="5"/>
  <c r="O115" i="5"/>
  <c r="N38" i="5"/>
  <c r="O38" i="5"/>
  <c r="N41" i="5"/>
  <c r="O41" i="5"/>
  <c r="N50" i="5"/>
  <c r="O50" i="5"/>
  <c r="N53" i="5"/>
  <c r="O53" i="5"/>
  <c r="N62" i="5"/>
  <c r="O62" i="5"/>
  <c r="N65" i="5"/>
  <c r="O65" i="5"/>
  <c r="N75" i="5"/>
  <c r="O75" i="5"/>
  <c r="N78" i="5"/>
  <c r="O78" i="5"/>
  <c r="N87" i="5"/>
  <c r="O87" i="5"/>
  <c r="N99" i="5"/>
  <c r="O99" i="5"/>
  <c r="N102" i="5"/>
  <c r="O102" i="5"/>
  <c r="N90" i="5"/>
  <c r="O90" i="5"/>
  <c r="N111" i="5"/>
  <c r="O111" i="5"/>
  <c r="N114" i="5"/>
  <c r="O114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90" i="5"/>
  <c r="I114" i="5"/>
  <c r="AA114" i="5"/>
  <c r="U99" i="5"/>
  <c r="U87" i="5"/>
  <c r="I111" i="5"/>
  <c r="AA111" i="5"/>
  <c r="U102" i="5"/>
  <c r="I90" i="5"/>
  <c r="AA90" i="5"/>
  <c r="I102" i="5"/>
  <c r="AA102" i="5"/>
  <c r="U78" i="5"/>
  <c r="I99" i="5"/>
  <c r="AA99" i="5"/>
  <c r="U62" i="5"/>
  <c r="I87" i="5"/>
  <c r="AA87" i="5"/>
  <c r="U75" i="5"/>
  <c r="I78" i="5"/>
  <c r="AA78" i="5"/>
  <c r="U65" i="5"/>
  <c r="I75" i="5"/>
  <c r="T53" i="5"/>
  <c r="AA75" i="5"/>
  <c r="I62" i="5"/>
  <c r="I65" i="5"/>
  <c r="AA65" i="5"/>
  <c r="T50" i="5"/>
  <c r="AA62" i="5"/>
  <c r="T41" i="5"/>
  <c r="I53" i="5"/>
  <c r="AA53" i="5"/>
  <c r="T38" i="5"/>
  <c r="I50" i="5"/>
  <c r="AA50" i="5"/>
  <c r="I41" i="5"/>
  <c r="AA41" i="5"/>
  <c r="AA119" i="5"/>
  <c r="I38" i="5"/>
  <c r="AA38" i="5"/>
  <c r="H105" i="5"/>
  <c r="AA113" i="5"/>
  <c r="I77" i="5"/>
  <c r="T94" i="5"/>
  <c r="Z73" i="5"/>
  <c r="AA76" i="5"/>
  <c r="H61" i="5"/>
  <c r="H81" i="5"/>
  <c r="T76" i="5"/>
  <c r="H85" i="5"/>
  <c r="T72" i="5"/>
  <c r="H79" i="5"/>
  <c r="I45" i="5"/>
  <c r="N27" i="5"/>
  <c r="Z61" i="5"/>
  <c r="O71" i="5"/>
  <c r="H63" i="5"/>
  <c r="Z79" i="5"/>
  <c r="O13" i="5"/>
  <c r="AA37" i="5"/>
  <c r="T40" i="5"/>
  <c r="O44" i="5"/>
  <c r="N9" i="5"/>
  <c r="H12" i="5"/>
  <c r="U19" i="5"/>
  <c r="AA35" i="5"/>
  <c r="H47" i="5"/>
  <c r="Z71" i="5"/>
  <c r="I73" i="5"/>
  <c r="H74" i="5"/>
  <c r="Z82" i="5"/>
  <c r="Z89" i="5"/>
  <c r="H103" i="5"/>
  <c r="AA121" i="5"/>
  <c r="T22" i="5"/>
  <c r="O33" i="5"/>
  <c r="AA34" i="5"/>
  <c r="Z48" i="5"/>
  <c r="T54" i="5"/>
  <c r="I72" i="5"/>
  <c r="H122" i="5"/>
  <c r="H21" i="5"/>
  <c r="Z29" i="5"/>
  <c r="I46" i="5"/>
  <c r="T73" i="5"/>
  <c r="H83" i="5"/>
  <c r="AA84" i="5"/>
  <c r="H89" i="5"/>
  <c r="H98" i="5"/>
  <c r="T28" i="5"/>
  <c r="AA33" i="5"/>
  <c r="O35" i="5"/>
  <c r="Z47" i="5"/>
  <c r="U124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7" i="5"/>
  <c r="T39" i="5"/>
  <c r="Z40" i="5"/>
  <c r="H51" i="5"/>
  <c r="Z54" i="5"/>
  <c r="Z56" i="5"/>
  <c r="Z57" i="5"/>
  <c r="Z64" i="5"/>
  <c r="AA66" i="5"/>
  <c r="Z69" i="5"/>
  <c r="AA74" i="5"/>
  <c r="H93" i="5"/>
  <c r="I96" i="5"/>
  <c r="O97" i="5"/>
  <c r="O106" i="5"/>
  <c r="T109" i="5"/>
  <c r="AA110" i="5"/>
  <c r="H3" i="5"/>
  <c r="T4" i="5"/>
  <c r="T10" i="5"/>
  <c r="N12" i="5"/>
  <c r="O22" i="5"/>
  <c r="AA27" i="5"/>
  <c r="N29" i="5"/>
  <c r="H32" i="5"/>
  <c r="H49" i="5"/>
  <c r="I58" i="5"/>
  <c r="H69" i="5"/>
  <c r="H70" i="5"/>
  <c r="T79" i="5"/>
  <c r="Z88" i="5"/>
  <c r="O93" i="5"/>
  <c r="T105" i="5"/>
  <c r="I14" i="5"/>
  <c r="Z15" i="5"/>
  <c r="O17" i="5"/>
  <c r="N18" i="5"/>
  <c r="N23" i="5"/>
  <c r="Z24" i="5"/>
  <c r="T26" i="5"/>
  <c r="T36" i="5"/>
  <c r="I40" i="5"/>
  <c r="H42" i="5"/>
  <c r="T44" i="5"/>
  <c r="O48" i="5"/>
  <c r="H56" i="5"/>
  <c r="H57" i="5"/>
  <c r="H66" i="5"/>
  <c r="O84" i="5"/>
  <c r="Z86" i="5"/>
  <c r="T96" i="5"/>
  <c r="Z97" i="5"/>
  <c r="H100" i="5"/>
  <c r="T101" i="5"/>
  <c r="Z106" i="5"/>
  <c r="AA117" i="5"/>
  <c r="H5" i="5"/>
  <c r="O6" i="5"/>
  <c r="Z10" i="5"/>
  <c r="H16" i="5"/>
  <c r="T17" i="5"/>
  <c r="T29" i="5"/>
  <c r="Z36" i="5"/>
  <c r="T47" i="5"/>
  <c r="T48" i="5"/>
  <c r="T51" i="5"/>
  <c r="O69" i="5"/>
  <c r="T70" i="5"/>
  <c r="T91" i="5"/>
  <c r="Z93" i="5"/>
  <c r="Z101" i="5"/>
  <c r="Z103" i="5"/>
  <c r="Z105" i="5"/>
  <c r="O110" i="5"/>
  <c r="T115" i="5"/>
  <c r="H118" i="5"/>
  <c r="T122" i="5"/>
  <c r="O82" i="5"/>
  <c r="H88" i="5"/>
  <c r="I97" i="5"/>
  <c r="T6" i="5"/>
  <c r="N7" i="5"/>
  <c r="Z13" i="5"/>
  <c r="H18" i="5"/>
  <c r="O19" i="5"/>
  <c r="T24" i="5"/>
  <c r="N25" i="5"/>
  <c r="T33" i="5"/>
  <c r="Z44" i="5"/>
  <c r="Z45" i="5"/>
  <c r="Z46" i="5"/>
  <c r="H52" i="5"/>
  <c r="H54" i="5"/>
  <c r="H59" i="5"/>
  <c r="H60" i="5"/>
  <c r="H71" i="5"/>
  <c r="Z72" i="5"/>
  <c r="T74" i="5"/>
  <c r="H82" i="5"/>
  <c r="H84" i="5"/>
  <c r="H86" i="5"/>
  <c r="Z94" i="5"/>
  <c r="Z95" i="5"/>
  <c r="T98" i="5"/>
  <c r="H106" i="5"/>
  <c r="Z107" i="5"/>
  <c r="AA108" i="5"/>
  <c r="Z112" i="5"/>
  <c r="H115" i="5"/>
  <c r="O119" i="5"/>
  <c r="AA123" i="5"/>
  <c r="H107" i="5"/>
  <c r="Z109" i="5"/>
  <c r="H112" i="5"/>
  <c r="O117" i="5"/>
  <c r="T120" i="5"/>
  <c r="N3" i="5"/>
  <c r="Z8" i="5"/>
  <c r="O15" i="5"/>
  <c r="N21" i="5"/>
  <c r="Z26" i="5"/>
  <c r="Z28" i="5"/>
  <c r="I44" i="5"/>
  <c r="T49" i="5"/>
  <c r="T63" i="5"/>
  <c r="T66" i="5"/>
  <c r="T77" i="5"/>
  <c r="H91" i="5"/>
  <c r="H94" i="5"/>
  <c r="H95" i="5"/>
  <c r="Z100" i="5"/>
  <c r="H108" i="5"/>
  <c r="H109" i="5"/>
  <c r="T118" i="5"/>
  <c r="Z122" i="5"/>
  <c r="H124" i="5"/>
  <c r="Z4" i="5"/>
  <c r="H9" i="5"/>
  <c r="O10" i="5"/>
  <c r="T15" i="5"/>
  <c r="N16" i="5"/>
  <c r="Z22" i="5"/>
  <c r="H27" i="5"/>
  <c r="I29" i="5"/>
  <c r="I33" i="5"/>
  <c r="H48" i="5"/>
  <c r="Z49" i="5"/>
  <c r="Z77" i="5"/>
  <c r="H7" i="5"/>
  <c r="O8" i="5"/>
  <c r="T13" i="5"/>
  <c r="N14" i="5"/>
  <c r="Z19" i="5"/>
  <c r="H25" i="5"/>
  <c r="O26" i="5"/>
  <c r="H34" i="5"/>
  <c r="I35" i="5"/>
  <c r="H36" i="5"/>
  <c r="H39" i="5"/>
  <c r="O46" i="5"/>
  <c r="Z51" i="5"/>
  <c r="Z52" i="5"/>
  <c r="T57" i="5"/>
  <c r="Z59" i="5"/>
  <c r="H64" i="5"/>
  <c r="Z70" i="5"/>
  <c r="T71" i="5"/>
  <c r="H76" i="5"/>
  <c r="T81" i="5"/>
  <c r="T83" i="5"/>
  <c r="T85" i="5"/>
  <c r="T88" i="5"/>
  <c r="O95" i="5"/>
  <c r="H101" i="5"/>
  <c r="T107" i="5"/>
  <c r="O108" i="5"/>
  <c r="T112" i="5"/>
  <c r="Z118" i="5"/>
  <c r="H120" i="5"/>
  <c r="O123" i="5"/>
  <c r="O121" i="5"/>
  <c r="U95" i="5"/>
  <c r="T95" i="5"/>
  <c r="U106" i="5"/>
  <c r="T106" i="5"/>
  <c r="U113" i="5"/>
  <c r="T113" i="5"/>
  <c r="H4" i="5"/>
  <c r="H6" i="5"/>
  <c r="H8" i="5"/>
  <c r="H10" i="5"/>
  <c r="H13" i="5"/>
  <c r="H15" i="5"/>
  <c r="H17" i="5"/>
  <c r="H19" i="5"/>
  <c r="H22" i="5"/>
  <c r="H24" i="5"/>
  <c r="H26" i="5"/>
  <c r="H28" i="5"/>
  <c r="T32" i="5"/>
  <c r="O34" i="5"/>
  <c r="N34" i="5"/>
  <c r="Z39" i="5"/>
  <c r="T42" i="5"/>
  <c r="O45" i="5"/>
  <c r="N45" i="5"/>
  <c r="T58" i="5"/>
  <c r="O59" i="5"/>
  <c r="Z63" i="5"/>
  <c r="T64" i="5"/>
  <c r="Z91" i="5"/>
  <c r="U110" i="5"/>
  <c r="T110" i="5"/>
  <c r="Z120" i="5"/>
  <c r="U108" i="5"/>
  <c r="T108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2" i="5"/>
  <c r="T34" i="5"/>
  <c r="O36" i="5"/>
  <c r="N36" i="5"/>
  <c r="Z42" i="5"/>
  <c r="T45" i="5"/>
  <c r="O47" i="5"/>
  <c r="N47" i="5"/>
  <c r="T52" i="5"/>
  <c r="Z58" i="5"/>
  <c r="T59" i="5"/>
  <c r="O70" i="5"/>
  <c r="N70" i="5"/>
  <c r="Z81" i="5"/>
  <c r="T82" i="5"/>
  <c r="Z115" i="5"/>
  <c r="O60" i="5"/>
  <c r="N60" i="5"/>
  <c r="U97" i="5"/>
  <c r="T97" i="5"/>
  <c r="T35" i="5"/>
  <c r="T46" i="5"/>
  <c r="O56" i="5"/>
  <c r="N56" i="5"/>
  <c r="T60" i="5"/>
  <c r="O61" i="5"/>
  <c r="T69" i="5"/>
  <c r="U84" i="5"/>
  <c r="T84" i="5"/>
  <c r="Z96" i="5"/>
  <c r="U100" i="5"/>
  <c r="T100" i="5"/>
  <c r="U123" i="5"/>
  <c r="T123" i="5"/>
  <c r="U86" i="5"/>
  <c r="T86" i="5"/>
  <c r="U121" i="5"/>
  <c r="T121" i="5"/>
  <c r="Z3" i="5"/>
  <c r="Z5" i="5"/>
  <c r="Z7" i="5"/>
  <c r="Z9" i="5"/>
  <c r="Z12" i="5"/>
  <c r="Z14" i="5"/>
  <c r="Z16" i="5"/>
  <c r="Z18" i="5"/>
  <c r="Z21" i="5"/>
  <c r="Z23" i="5"/>
  <c r="Z25" i="5"/>
  <c r="T37" i="5"/>
  <c r="T56" i="5"/>
  <c r="O57" i="5"/>
  <c r="Z60" i="5"/>
  <c r="T61" i="5"/>
  <c r="O72" i="5"/>
  <c r="N72" i="5"/>
  <c r="Z83" i="5"/>
  <c r="U89" i="5"/>
  <c r="T89" i="5"/>
  <c r="Z98" i="5"/>
  <c r="U103" i="5"/>
  <c r="T103" i="5"/>
  <c r="U119" i="5"/>
  <c r="T119" i="5"/>
  <c r="O32" i="5"/>
  <c r="N32" i="5"/>
  <c r="O58" i="5"/>
  <c r="N58" i="5"/>
  <c r="O81" i="5"/>
  <c r="N81" i="5"/>
  <c r="Z85" i="5"/>
  <c r="U93" i="5"/>
  <c r="T93" i="5"/>
  <c r="U117" i="5"/>
  <c r="T117" i="5"/>
  <c r="Z124" i="5"/>
  <c r="N83" i="5"/>
  <c r="N85" i="5"/>
  <c r="N94" i="5"/>
  <c r="N96" i="5"/>
  <c r="N98" i="5"/>
  <c r="N105" i="5"/>
  <c r="N107" i="5"/>
  <c r="N109" i="5"/>
  <c r="N118" i="5"/>
  <c r="N120" i="5"/>
  <c r="N122" i="5"/>
  <c r="N124" i="5"/>
  <c r="H110" i="5"/>
  <c r="H113" i="5"/>
  <c r="H117" i="5"/>
  <c r="H119" i="5"/>
  <c r="H121" i="5"/>
  <c r="H123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<sst xmlns="http://schemas.openxmlformats.org/spreadsheetml/2006/main" count="463" uniqueCount="95">
  <si>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</si>
  <si>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</si>
  <si>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</si>
  <si>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</si>
  <si>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</si>
  <si>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</si>
  <si>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</si>
  <si>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</si>
  <si>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</si>
  <si>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</si>
  <si>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</si>
  <si>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</si>
  <si>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</si>
  <si>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</si>
  <si>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</si>
  <si>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</si>
  <si>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</si>
  <si>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</si>
  <si>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</si>
  <si>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</si>
  <si>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</si>
  <si>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</si>
  <si>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</si>
  <si>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</si>
  <si>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</si>
  <si>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</si>
  <si>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</si>
  <si>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</si>
  <si>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</si>
  <si>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</si>
  <si>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</si>
  <si>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</si>
  <si>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</si>
  <si>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</si>
  <si>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</si>
  <si>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</si>
  <si>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</si>
  <si>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</si>
  <si>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</si>
  <si>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</si>
  <si>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</si>
  <si>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</si>
  <si>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</si>
  <si>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</si>
  <si>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</si>
  <si>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</si>
  <si>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</si>
  <si>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</si>
  <si>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</si>
  <si>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</si>
  <si>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</si>
  <si>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</si>
  <si>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</si>
  <si>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</si>
  <si>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</si>
  <si>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</si>
  <si>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</si>
  <si>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</si>
  <si>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</si>
  <si>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</si>
  <si>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</si>
  <si>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</si>
  <si>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 Activity Sheets</t>
  </si>
  <si>
    <t>SDO</t>
  </si>
  <si>
    <t>MAPEH</t>
  </si>
  <si>
    <t xml:space="preserve"> 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</si>
  <si>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</si>
  <si>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</si>
  <si>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</si>
  <si>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</si>
  <si>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</si>
  <si>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</si>
  <si>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</si>
  <si>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</si>
  <si>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</si>
  <si>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</si>
  <si>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</si>
  <si>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</si>
  <si>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</si>
  <si>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</si>
  <si>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</si>
  <si>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</si>
  <si>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</si>
  <si>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</si>
  <si>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</si>
  <si>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</si>
  <si>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</si>
  <si>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</si>
  <si>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</si>
  <si>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</si>
  <si>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</si>
  <si>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</si>
  <si>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</si>
  <si>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</si>
  <si>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E.S.P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</si>
</sst>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2" totalsRowShown="0" dataDxfId="29" headerRowBorderDxfId="27" tableBorderDxfId="28">
  <autoFilter ref="A2:AA142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zoomScale="85" zoomScaleNormal="85" workbookViewId="0">
      <pane xSplit="2" topLeftCell="C105" activePane="topRight" state="frozen"/>
      <selection pane="topRight" activeCell="B37" sqref="B3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275</v>
      </c>
      <c r="D2" s="1">
        <v>601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326</v>
      </c>
    </row>
    <row r="3" spans="1:8" ht="29.25" customHeight="1">
      <c r="A3" s="1">
        <v>1</v>
      </c>
      <c r="B3" s="2" t="s">
        <v>10</v>
      </c>
      <c r="C3" s="1">
        <v>275</v>
      </c>
      <c r="D3" s="1">
        <v>601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326</v>
      </c>
    </row>
    <row r="4" spans="1:8" ht="21" customHeight="1">
      <c r="A4" s="1">
        <v>1</v>
      </c>
      <c r="B4" s="2" t="s">
        <v>11</v>
      </c>
      <c r="C4" s="1">
        <v>275</v>
      </c>
      <c r="D4" s="1">
        <v>601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326</v>
      </c>
    </row>
    <row r="5" spans="1:8" ht="25.5" customHeight="1">
      <c r="A5" s="1">
        <v>1</v>
      </c>
      <c r="B5" s="2" t="s">
        <v>12</v>
      </c>
      <c r="C5" s="1">
        <v>275</v>
      </c>
      <c r="D5" s="1">
        <v>601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326</v>
      </c>
    </row>
    <row r="6" spans="1:8" ht="19.5">
      <c r="A6" s="1">
        <v>1</v>
      </c>
      <c r="B6" s="2" t="s">
        <v>13</v>
      </c>
      <c r="C6" s="1">
        <v>275</v>
      </c>
      <c r="D6" s="1"/>
      <c r="E6" s="1"/>
      <c r="F6" s="5"/>
      <c r="G6" s="3">
        <f t="shared" si="0"/>
        <v>275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312</v>
      </c>
      <c r="D8" s="1"/>
      <c r="E8" s="1"/>
      <c r="F8" s="5"/>
      <c r="G8" s="3">
        <f>IF((C8-D8)&lt;0,0,C8-D8)</f>
        <v>312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312</v>
      </c>
      <c r="D9" s="1"/>
      <c r="E9" s="1"/>
      <c r="F9" s="5"/>
      <c r="G9" s="3">
        <f>IF((C9-D9)&lt;0,0,C9-D9)</f>
        <v>312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312</v>
      </c>
      <c r="D10" s="1"/>
      <c r="E10" s="1"/>
      <c r="F10" s="5"/>
      <c r="G10" s="3">
        <f>IF((C10-D10)&lt;0,0,C10-D10)</f>
        <v>312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312</v>
      </c>
      <c r="D11" s="1"/>
      <c r="E11" s="1"/>
      <c r="F11" s="5"/>
      <c r="G11" s="3">
        <f>IF((C11-D11)&lt;0,0,C11-D11)</f>
        <v>312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312</v>
      </c>
      <c r="D12" s="1"/>
      <c r="E12" s="1"/>
      <c r="F12" s="5"/>
      <c r="G12" s="3">
        <f>IF((C12-D12)&lt;0,0,C12-D12)</f>
        <v>312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329</v>
      </c>
      <c r="D14" s="1"/>
      <c r="E14" s="1"/>
      <c r="F14" s="5"/>
      <c r="G14" s="3">
        <f t="shared" ref="G14:G19" si="2">IF((C14-D14)&lt;0,0,C14-D14)</f>
        <v>329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329</v>
      </c>
      <c r="D15" s="1"/>
      <c r="E15" s="1"/>
      <c r="F15" s="5"/>
      <c r="G15" s="3">
        <f t="shared" si="2"/>
        <v>329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329</v>
      </c>
      <c r="D16" s="1"/>
      <c r="E16" s="1"/>
      <c r="F16" s="5"/>
      <c r="G16" s="3">
        <f t="shared" si="2"/>
        <v>329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329</v>
      </c>
      <c r="D17" s="1"/>
      <c r="E17" s="1"/>
      <c r="F17" s="5"/>
      <c r="G17" s="3">
        <f t="shared" si="2"/>
        <v>329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329</v>
      </c>
      <c r="D18" s="1"/>
      <c r="E18" s="1"/>
      <c r="F18" s="5"/>
      <c r="G18" s="3">
        <f t="shared" si="2"/>
        <v>329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329</v>
      </c>
      <c r="D19" s="1"/>
      <c r="E19" s="1"/>
      <c r="F19" s="5"/>
      <c r="G19" s="3">
        <f t="shared" si="2"/>
        <v>329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328</v>
      </c>
      <c r="D21" s="1"/>
      <c r="E21" s="1"/>
      <c r="F21" s="5"/>
      <c r="G21" s="3">
        <f t="shared" ref="G21:G29" si="4">IF((C21-D21)&lt;0,0,C21-D21)</f>
        <v>328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328</v>
      </c>
      <c r="D22" s="1">
        <v>360</v>
      </c>
      <c r="E22" s="1">
        <v>2024</v>
      </c>
      <c r="F22" s="5" t="s">
        <v>9</v>
      </c>
      <c r="G22" s="3">
        <f t="shared" si="4"/>
        <v>0</v>
      </c>
      <c r="H22" s="4">
        <f t="shared" si="5"/>
        <v>32</v>
      </c>
    </row>
    <row r="23" spans="1:8" ht="19.5">
      <c r="A23" s="1">
        <v>4</v>
      </c>
      <c r="B23" s="9" t="s">
        <v>13</v>
      </c>
      <c r="C23" s="1">
        <v>328</v>
      </c>
      <c r="D23" s="1">
        <v>310</v>
      </c>
      <c r="E23" s="1">
        <v>2024</v>
      </c>
      <c r="F23" s="5" t="s">
        <v>9</v>
      </c>
      <c r="G23" s="3">
        <f t="shared" si="4"/>
        <v>18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328</v>
      </c>
      <c r="D24" s="1">
        <v>384</v>
      </c>
      <c r="E24" s="1">
        <v>2024</v>
      </c>
      <c r="F24" s="5" t="s">
        <v>9</v>
      </c>
      <c r="G24" s="3">
        <f t="shared" si="4"/>
        <v>0</v>
      </c>
      <c r="H24" s="4">
        <f t="shared" si="5"/>
        <v>56</v>
      </c>
    </row>
    <row r="25" spans="1:8" ht="33.75" customHeight="1">
      <c r="A25" s="1">
        <v>4</v>
      </c>
      <c r="B25" s="9" t="s">
        <v>17</v>
      </c>
      <c r="C25" s="1">
        <v>328</v>
      </c>
      <c r="D25" s="1">
        <v>310</v>
      </c>
      <c r="E25" s="1">
        <v>2024</v>
      </c>
      <c r="F25" s="5" t="s">
        <v>9</v>
      </c>
      <c r="G25" s="3">
        <f t="shared" si="4"/>
        <v>18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328</v>
      </c>
      <c r="D26" s="1">
        <v>310</v>
      </c>
      <c r="E26" s="1">
        <v>2024</v>
      </c>
      <c r="F26" s="5" t="s">
        <v>9</v>
      </c>
      <c r="G26" s="3">
        <f t="shared" si="4"/>
        <v>18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328</v>
      </c>
      <c r="D27" s="1">
        <v>309</v>
      </c>
      <c r="E27" s="1">
        <v>2024</v>
      </c>
      <c r="F27" s="5" t="s">
        <v>9</v>
      </c>
      <c r="G27" s="3">
        <f t="shared" si="4"/>
        <v>19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328</v>
      </c>
      <c r="D28" s="1"/>
      <c r="E28" s="1"/>
      <c r="F28" s="5"/>
      <c r="G28" s="3">
        <f t="shared" si="4"/>
        <v>328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328</v>
      </c>
      <c r="D29" s="1"/>
      <c r="E29" s="1"/>
      <c r="F29" s="5"/>
      <c r="G29" s="3">
        <f t="shared" si="4"/>
        <v>328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268</v>
      </c>
      <c r="D31" s="1">
        <v>360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92</v>
      </c>
    </row>
    <row r="32" spans="1:8" ht="27.75" customHeight="1">
      <c r="A32" s="1">
        <v>5</v>
      </c>
      <c r="B32" s="9" t="s">
        <v>16</v>
      </c>
      <c r="C32" s="1">
        <v>268</v>
      </c>
      <c r="D32" s="1"/>
      <c r="E32" s="1"/>
      <c r="F32" s="5"/>
      <c r="G32" s="3">
        <f t="shared" si="6"/>
        <v>268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268</v>
      </c>
      <c r="D33" s="1"/>
      <c r="E33" s="1"/>
      <c r="F33" s="5"/>
      <c r="G33" s="3">
        <f t="shared" si="6"/>
        <v>268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268</v>
      </c>
      <c r="D34" s="1"/>
      <c r="E34" s="1"/>
      <c r="F34" s="5"/>
      <c r="G34" s="3">
        <f t="shared" si="6"/>
        <v>268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268</v>
      </c>
      <c r="D35" s="1">
        <v>315</v>
      </c>
      <c r="E35" s="1">
        <v>2025</v>
      </c>
      <c r="F35" s="5" t="s">
        <v>9</v>
      </c>
      <c r="G35" s="3">
        <f t="shared" si="6"/>
        <v>0</v>
      </c>
      <c r="H35" s="4">
        <f t="shared" si="7"/>
        <v>47</v>
      </c>
    </row>
    <row r="36" spans="1:8" ht="27.75" customHeight="1">
      <c r="A36" s="1">
        <v>5</v>
      </c>
      <c r="B36" s="9" t="s">
        <v>14</v>
      </c>
      <c r="C36" s="1">
        <v>268</v>
      </c>
      <c r="D36" s="1"/>
      <c r="E36" s="1"/>
      <c r="F36" s="5"/>
      <c r="G36" s="3">
        <f t="shared" si="6"/>
        <v>268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268</v>
      </c>
      <c r="D37" s="1">
        <v>360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92</v>
      </c>
    </row>
    <row r="38" spans="1:8" ht="27.75" customHeight="1">
      <c r="A38" s="1">
        <v>5</v>
      </c>
      <c r="B38" s="9" t="s">
        <v>19</v>
      </c>
      <c r="C38" s="1">
        <v>268</v>
      </c>
      <c r="D38" s="1"/>
      <c r="E38" s="1"/>
      <c r="F38" s="5"/>
      <c r="G38" s="3">
        <f t="shared" si="6"/>
        <v>268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268</v>
      </c>
      <c r="D39" s="1"/>
      <c r="E39" s="1"/>
      <c r="F39" s="5"/>
      <c r="G39" s="3">
        <f t="shared" si="6"/>
        <v>268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280</v>
      </c>
      <c r="D41" s="1"/>
      <c r="E41" s="1"/>
      <c r="F41" s="5"/>
      <c r="G41" s="3">
        <f t="shared" ref="G41:G49" si="8">IF((C41-D41)&lt;0,0,C41-D41)</f>
        <v>280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280</v>
      </c>
      <c r="D42" s="1"/>
      <c r="E42" s="1"/>
      <c r="F42" s="5"/>
      <c r="G42" s="3">
        <f t="shared" si="8"/>
        <v>280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280</v>
      </c>
      <c r="D43" s="1"/>
      <c r="E43" s="1"/>
      <c r="F43" s="5"/>
      <c r="G43" s="3">
        <f t="shared" si="8"/>
        <v>280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280</v>
      </c>
      <c r="D44" s="1"/>
      <c r="E44" s="1"/>
      <c r="F44" s="5"/>
      <c r="G44" s="3">
        <f t="shared" si="8"/>
        <v>280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280</v>
      </c>
      <c r="D45" s="1"/>
      <c r="E45" s="1"/>
      <c r="F45" s="5"/>
      <c r="G45" s="3">
        <f t="shared" si="8"/>
        <v>280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280</v>
      </c>
      <c r="D46" s="1"/>
      <c r="E46" s="1"/>
      <c r="F46" s="5"/>
      <c r="G46" s="3">
        <f t="shared" si="8"/>
        <v>280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280</v>
      </c>
      <c r="D47" s="1"/>
      <c r="E47" s="1"/>
      <c r="F47" s="5"/>
      <c r="G47" s="3">
        <f t="shared" si="8"/>
        <v>280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280</v>
      </c>
      <c r="D48" s="1"/>
      <c r="E48" s="1"/>
      <c r="F48" s="5"/>
      <c r="G48" s="3">
        <f t="shared" si="8"/>
        <v>280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280</v>
      </c>
      <c r="D49" s="1"/>
      <c r="E49" s="1"/>
      <c r="F49" s="5"/>
      <c r="G49" s="3">
        <f t="shared" si="8"/>
        <v>280</v>
      </c>
      <c r="H49" s="4">
        <f t="shared" si="9"/>
        <v>0</v>
      </c>
    </row>
    <row r="50" spans="1:8" ht="27.75" customHeight="1">
      <c r="A50" s="7"/>
      <c r="B50" s="7"/>
      <c r="C50" s="8">
        <f>C2+C8+C14+C21+C31+C41</f>
        <v>1792</v>
      </c>
      <c r="D50" s="8">
        <f>SUM(D2:D49)</f>
        <v>5422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selection activeCell="B50" sqref="B5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 t="s">
        <v>62</v>
      </c>
      <c r="C3" s="32">
        <v>312</v>
      </c>
      <c r="D3" s="34">
        <f>Table1[[#This Row],[Enrolment S.Y. 2025-2026 ]]*8</f>
        <v>2496</v>
      </c>
      <c r="E3" s="34">
        <v>400</v>
      </c>
      <c r="F3" s="32">
        <v>2025</v>
      </c>
      <c r="G3" s="34" t="s">
        <v>63</v>
      </c>
      <c r="H3" s="34">
        <f>IF((D3-E3)&lt;0,0,(D3-E3))</f>
        <v>2096</v>
      </c>
      <c r="I3" s="34">
        <f>IF((E3-D3)&lt;0,0,(E3-D3))</f>
        <v>0</v>
      </c>
      <c r="J3" s="34">
        <f>Table1[[#This Row],[Enrolment S.Y. 2025-2026 ]]*8</f>
        <v>2496</v>
      </c>
      <c r="K3" s="34"/>
      <c r="L3" s="32"/>
      <c r="M3" s="34"/>
      <c r="N3" s="5">
        <f t="shared" ref="N3" si="0">IF((J3-K3)&lt;0,0,(J3-K3))</f>
        <v>2496</v>
      </c>
      <c r="O3" s="5">
        <f t="shared" ref="O3" si="1">IF((K3-J3)&lt;0,0,(K3-J3))</f>
        <v>0</v>
      </c>
      <c r="P3" s="5">
        <f>Table1[[#This Row],[Enrolment S.Y. 2025-2026 ]]*8</f>
        <v>2496</v>
      </c>
      <c r="Q3" s="34"/>
      <c r="R3" s="32"/>
      <c r="S3" s="34"/>
      <c r="T3" s="34">
        <f>IF((P3-Q3)&lt;0,0,(P3-Q3))</f>
        <v>2496</v>
      </c>
      <c r="U3" s="34">
        <f>IF((Q3-P3)&lt;0,0,(Q3-P3))</f>
        <v>0</v>
      </c>
      <c r="V3" s="34">
        <f>Table1[[#This Row],[Enrolment S.Y. 2025-2026 ]]*8</f>
        <v>2496</v>
      </c>
      <c r="W3" s="34"/>
      <c r="X3" s="32"/>
      <c r="Y3" s="34"/>
      <c r="Z3" s="34">
        <f>IF((V3-W3)&lt;0,0,(V3-W3))</f>
        <v>2496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>
        <v>275</v>
      </c>
      <c r="D5" s="5">
        <f>Table1[[#This Row],[Enrolment S.Y. 2025-2026 ]]*8</f>
        <v>2200</v>
      </c>
      <c r="E5" s="5"/>
      <c r="F5" s="1"/>
      <c r="G5" s="5"/>
      <c r="H5" s="5">
        <f t="shared" ref="H5:H77" si="2">IF((D5-E5)&lt;0,0,(D5-E5))</f>
        <v>2200</v>
      </c>
      <c r="I5" s="5">
        <f t="shared" ref="I5:I77" si="3">IF((E5-D5)&lt;0,0,(E5-D5))</f>
        <v>0</v>
      </c>
      <c r="J5" s="5">
        <f>Table1[[#This Row],[Enrolment S.Y. 2025-2026 ]]*8</f>
        <v>2200</v>
      </c>
      <c r="K5" s="5"/>
      <c r="L5" s="1"/>
      <c r="M5" s="5"/>
      <c r="N5" s="5">
        <f t="shared" ref="N5" si="4">IF((J5-K5)&lt;0,0,(J5-K5))</f>
        <v>2200</v>
      </c>
      <c r="O5" s="5">
        <f t="shared" ref="O5" si="5">IF((K5-J5)&lt;0,0,(K5-J5))</f>
        <v>0</v>
      </c>
      <c r="P5" s="5">
        <f>Table1[[#This Row],[Enrolment S.Y. 2025-2026 ]]*8</f>
        <v>2200</v>
      </c>
      <c r="Q5" s="5"/>
      <c r="R5" s="1"/>
      <c r="S5" s="5"/>
      <c r="T5" s="5">
        <f t="shared" ref="T5" si="6">IF((P5-Q5)&lt;0,0,(P5-Q5))</f>
        <v>2200</v>
      </c>
      <c r="U5" s="5">
        <f t="shared" ref="U5" si="7">IF((Q5-P5)&lt;0,0,(Q5-P5))</f>
        <v>0</v>
      </c>
      <c r="V5" s="5">
        <f>Table1[[#This Row],[Enrolment S.Y. 2025-2026 ]]*8</f>
        <v>2200</v>
      </c>
      <c r="W5" s="5"/>
      <c r="X5" s="1"/>
      <c r="Y5" s="5"/>
      <c r="Z5" s="5">
        <f t="shared" ref="Z5" si="8">IF((V5-W5)&lt;0,0,(V5-W5))</f>
        <v>2200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275</v>
      </c>
      <c r="D6" s="5">
        <f>Table1[[#This Row],[Enrolment S.Y. 2025-2026 ]]*8</f>
        <v>2200</v>
      </c>
      <c r="E6" s="5"/>
      <c r="F6" s="1"/>
      <c r="G6" s="5"/>
      <c r="H6" s="5">
        <f t="shared" si="2"/>
        <v>2200</v>
      </c>
      <c r="I6" s="5">
        <f t="shared" si="3"/>
        <v>0</v>
      </c>
      <c r="J6" s="5">
        <f>Table1[[#This Row],[Enrolment S.Y. 2025-2026 ]]*8</f>
        <v>2200</v>
      </c>
      <c r="K6" s="5"/>
      <c r="L6" s="1"/>
      <c r="M6" s="5"/>
      <c r="N6" s="5">
        <f t="shared" ref="N6:N69" si="10">IF((J6-K6)&lt;0,0,(J6-K6))</f>
        <v>2200</v>
      </c>
      <c r="O6" s="5">
        <f t="shared" ref="O6:O69" si="11">IF((K6-J6)&lt;0,0,(K6-J6))</f>
        <v>0</v>
      </c>
      <c r="P6" s="5">
        <f>Table1[[#This Row],[Enrolment S.Y. 2025-2026 ]]*8</f>
        <v>2200</v>
      </c>
      <c r="Q6" s="5"/>
      <c r="R6" s="1"/>
      <c r="S6" s="5"/>
      <c r="T6" s="5">
        <f t="shared" ref="T6:T69" si="12">IF((P6-Q6)&lt;0,0,(P6-Q6))</f>
        <v>2200</v>
      </c>
      <c r="U6" s="5">
        <f t="shared" ref="U6:U69" si="13">IF((Q6-P6)&lt;0,0,(Q6-P6))</f>
        <v>0</v>
      </c>
      <c r="V6" s="5">
        <f>Table1[[#This Row],[Enrolment S.Y. 2025-2026 ]]*8</f>
        <v>2200</v>
      </c>
      <c r="W6" s="5"/>
      <c r="X6" s="1"/>
      <c r="Y6" s="5"/>
      <c r="Z6" s="5">
        <f t="shared" ref="Z6:Z69" si="14">IF((V6-W6)&lt;0,0,(V6-W6))</f>
        <v>2200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275</v>
      </c>
      <c r="D7" s="5">
        <f>Table1[[#This Row],[Enrolment S.Y. 2025-2026 ]]*8</f>
        <v>2200</v>
      </c>
      <c r="E7" s="5"/>
      <c r="F7" s="1"/>
      <c r="G7" s="5"/>
      <c r="H7" s="5">
        <f t="shared" si="2"/>
        <v>2200</v>
      </c>
      <c r="I7" s="5">
        <f t="shared" si="3"/>
        <v>0</v>
      </c>
      <c r="J7" s="5">
        <f>Table1[[#This Row],[Enrolment S.Y. 2025-2026 ]]*8</f>
        <v>2200</v>
      </c>
      <c r="K7" s="5"/>
      <c r="L7" s="1"/>
      <c r="M7" s="5"/>
      <c r="N7" s="5">
        <f t="shared" si="10"/>
        <v>2200</v>
      </c>
      <c r="O7" s="5">
        <f t="shared" si="11"/>
        <v>0</v>
      </c>
      <c r="P7" s="5">
        <f>Table1[[#This Row],[Enrolment S.Y. 2025-2026 ]]*8</f>
        <v>2200</v>
      </c>
      <c r="Q7" s="5"/>
      <c r="R7" s="1"/>
      <c r="S7" s="5"/>
      <c r="T7" s="5">
        <f t="shared" si="12"/>
        <v>2200</v>
      </c>
      <c r="U7" s="5">
        <f t="shared" si="13"/>
        <v>0</v>
      </c>
      <c r="V7" s="5">
        <f>Table1[[#This Row],[Enrolment S.Y. 2025-2026 ]]*8</f>
        <v>2200</v>
      </c>
      <c r="W7" s="5"/>
      <c r="X7" s="1"/>
      <c r="Y7" s="5"/>
      <c r="Z7" s="5">
        <f t="shared" si="14"/>
        <v>2200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275</v>
      </c>
      <c r="D8" s="5">
        <f>Table1[[#This Row],[Enrolment S.Y. 2025-2026 ]]*8</f>
        <v>2200</v>
      </c>
      <c r="E8" s="5"/>
      <c r="F8" s="1"/>
      <c r="G8" s="5"/>
      <c r="H8" s="5">
        <f t="shared" si="2"/>
        <v>2200</v>
      </c>
      <c r="I8" s="5">
        <f t="shared" si="3"/>
        <v>0</v>
      </c>
      <c r="J8" s="5">
        <f>Table1[[#This Row],[Enrolment S.Y. 2025-2026 ]]*8</f>
        <v>2200</v>
      </c>
      <c r="K8" s="5"/>
      <c r="L8" s="1"/>
      <c r="M8" s="5"/>
      <c r="N8" s="5">
        <f t="shared" si="10"/>
        <v>2200</v>
      </c>
      <c r="O8" s="5">
        <f t="shared" si="11"/>
        <v>0</v>
      </c>
      <c r="P8" s="5">
        <f>Table1[[#This Row],[Enrolment S.Y. 2025-2026 ]]*8</f>
        <v>2200</v>
      </c>
      <c r="Q8" s="5"/>
      <c r="R8" s="1"/>
      <c r="S8" s="5"/>
      <c r="T8" s="5">
        <f t="shared" si="12"/>
        <v>2200</v>
      </c>
      <c r="U8" s="5">
        <f t="shared" si="13"/>
        <v>0</v>
      </c>
      <c r="V8" s="5">
        <f>Table1[[#This Row],[Enrolment S.Y. 2025-2026 ]]*8</f>
        <v>2200</v>
      </c>
      <c r="W8" s="5"/>
      <c r="X8" s="1"/>
      <c r="Y8" s="5"/>
      <c r="Z8" s="5">
        <f t="shared" si="14"/>
        <v>2200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275</v>
      </c>
      <c r="D9" s="5">
        <f>Table1[[#This Row],[Enrolment S.Y. 2025-2026 ]]*8</f>
        <v>2200</v>
      </c>
      <c r="E9" s="5"/>
      <c r="F9" s="1"/>
      <c r="G9" s="5"/>
      <c r="H9" s="5">
        <f t="shared" si="2"/>
        <v>2200</v>
      </c>
      <c r="I9" s="5">
        <f t="shared" si="3"/>
        <v>0</v>
      </c>
      <c r="J9" s="5">
        <f>Table1[[#This Row],[Enrolment S.Y. 2025-2026 ]]*8</f>
        <v>2200</v>
      </c>
      <c r="K9" s="5"/>
      <c r="L9" s="1"/>
      <c r="M9" s="5"/>
      <c r="N9" s="5">
        <f t="shared" si="10"/>
        <v>2200</v>
      </c>
      <c r="O9" s="5">
        <f t="shared" si="11"/>
        <v>0</v>
      </c>
      <c r="P9" s="5">
        <f>Table1[[#This Row],[Enrolment S.Y. 2025-2026 ]]*8</f>
        <v>2200</v>
      </c>
      <c r="Q9" s="5"/>
      <c r="R9" s="1"/>
      <c r="S9" s="5"/>
      <c r="T9" s="5">
        <f t="shared" si="12"/>
        <v>2200</v>
      </c>
      <c r="U9" s="5">
        <f t="shared" si="13"/>
        <v>0</v>
      </c>
      <c r="V9" s="5">
        <f>Table1[[#This Row],[Enrolment S.Y. 2025-2026 ]]*8</f>
        <v>2200</v>
      </c>
      <c r="W9" s="5"/>
      <c r="X9" s="1"/>
      <c r="Y9" s="5"/>
      <c r="Z9" s="5">
        <f t="shared" si="14"/>
        <v>2200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275</v>
      </c>
      <c r="D10" s="5">
        <f>Table1[[#This Row],[Enrolment S.Y. 2025-2026 ]]*8</f>
        <v>2200</v>
      </c>
      <c r="E10" s="5"/>
      <c r="F10" s="1"/>
      <c r="G10" s="5"/>
      <c r="H10" s="5">
        <f>IF((D10-E10)&lt;0,0,(D10-E10))</f>
        <v>2200</v>
      </c>
      <c r="I10" s="5">
        <f>IF((E10-D10)&lt;0,0,(E10-D10))</f>
        <v>0</v>
      </c>
      <c r="J10" s="5">
        <f>Table1[[#This Row],[Enrolment S.Y. 2025-2026 ]]*8</f>
        <v>2200</v>
      </c>
      <c r="K10" s="5"/>
      <c r="L10" s="1"/>
      <c r="M10" s="5"/>
      <c r="N10" s="5">
        <f t="shared" si="10"/>
        <v>2200</v>
      </c>
      <c r="O10" s="5">
        <f t="shared" si="11"/>
        <v>0</v>
      </c>
      <c r="P10" s="5">
        <f>Table1[[#This Row],[Enrolment S.Y. 2025-2026 ]]*8</f>
        <v>2200</v>
      </c>
      <c r="Q10" s="5"/>
      <c r="R10" s="1"/>
      <c r="S10" s="5"/>
      <c r="T10" s="5">
        <f t="shared" si="12"/>
        <v>2200</v>
      </c>
      <c r="U10" s="5">
        <f t="shared" si="13"/>
        <v>0</v>
      </c>
      <c r="V10" s="5">
        <f>Table1[[#This Row],[Enrolment S.Y. 2025-2026 ]]*8</f>
        <v>2200</v>
      </c>
      <c r="W10" s="5"/>
      <c r="X10" s="1"/>
      <c r="Y10" s="5"/>
      <c r="Z10" s="5">
        <f t="shared" si="14"/>
        <v>2200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275</v>
      </c>
      <c r="D11" s="5">
        <f>Table1[[#This Row],[Enrolment S.Y. 2025-2026 ]]*8</f>
        <v>2200</v>
      </c>
      <c r="E11" s="5"/>
      <c r="F11" s="1"/>
      <c r="G11" s="5"/>
      <c r="H11" s="5">
        <f>IF((D11-E11)&lt;0,0,(D11-E11))</f>
        <v>2200</v>
      </c>
      <c r="I11" s="5">
        <f>IF((E11-D11)&lt;0,0,(E11-D11))</f>
        <v>0</v>
      </c>
      <c r="J11" s="5">
        <f>Table1[[#This Row],[Enrolment S.Y. 2025-2026 ]]*8</f>
        <v>2200</v>
      </c>
      <c r="K11" s="5"/>
      <c r="L11" s="1"/>
      <c r="M11" s="5"/>
      <c r="N11" s="5">
        <f t="shared" si="10"/>
        <v>2200</v>
      </c>
      <c r="O11" s="5">
        <f t="shared" si="11"/>
        <v>0</v>
      </c>
      <c r="P11" s="5">
        <f>Table1[[#This Row],[Enrolment S.Y. 2025-2026 ]]*8</f>
        <v>2200</v>
      </c>
      <c r="Q11" s="5"/>
      <c r="R11" s="1"/>
      <c r="S11" s="5"/>
      <c r="T11" s="5">
        <f t="shared" si="12"/>
        <v>2200</v>
      </c>
      <c r="U11" s="5">
        <f t="shared" si="13"/>
        <v>0</v>
      </c>
      <c r="V11" s="5">
        <f>Table1[[#This Row],[Enrolment S.Y. 2025-2026 ]]*8</f>
        <v>2200</v>
      </c>
      <c r="W11" s="5"/>
      <c r="X11" s="1"/>
      <c r="Y11" s="5"/>
      <c r="Z11" s="5">
        <f t="shared" si="14"/>
        <v>2200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275</v>
      </c>
      <c r="D12" s="5">
        <f>Table1[[#This Row],[Enrolment S.Y. 2025-2026 ]]*8</f>
        <v>2200</v>
      </c>
      <c r="E12" s="5"/>
      <c r="F12" s="1"/>
      <c r="G12" s="5"/>
      <c r="H12" s="5">
        <f>IF((D12-E12)&lt;0,0,(D12-E12))</f>
        <v>2200</v>
      </c>
      <c r="I12" s="5">
        <f>IF((E12-D12)&lt;0,0,(E12-D12))</f>
        <v>0</v>
      </c>
      <c r="J12" s="5">
        <f>Table1[[#This Row],[Enrolment S.Y. 2025-2026 ]]*8</f>
        <v>2200</v>
      </c>
      <c r="K12" s="5"/>
      <c r="L12" s="1"/>
      <c r="M12" s="5"/>
      <c r="N12" s="5">
        <f t="shared" si="10"/>
        <v>2200</v>
      </c>
      <c r="O12" s="5">
        <f t="shared" si="11"/>
        <v>0</v>
      </c>
      <c r="P12" s="5">
        <f>Table1[[#This Row],[Enrolment S.Y. 2025-2026 ]]*8</f>
        <v>2200</v>
      </c>
      <c r="Q12" s="5"/>
      <c r="R12" s="1"/>
      <c r="S12" s="5"/>
      <c r="T12" s="5">
        <f t="shared" si="12"/>
        <v>2200</v>
      </c>
      <c r="U12" s="5">
        <f t="shared" si="13"/>
        <v>0</v>
      </c>
      <c r="V12" s="5">
        <f>Table1[[#This Row],[Enrolment S.Y. 2025-2026 ]]*8</f>
        <v>2200</v>
      </c>
      <c r="W12" s="5"/>
      <c r="X12" s="1"/>
      <c r="Y12" s="5"/>
      <c r="Z12" s="5">
        <f t="shared" si="14"/>
        <v>2200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>
        <v>312</v>
      </c>
      <c r="D14" s="5">
        <f>Table1[[#This Row],[Enrolment S.Y. 2025-2026 ]]*8</f>
        <v>2496</v>
      </c>
      <c r="E14" s="5"/>
      <c r="F14" s="1"/>
      <c r="G14" s="5"/>
      <c r="H14" s="5">
        <f t="shared" si="2"/>
        <v>2496</v>
      </c>
      <c r="I14" s="5">
        <f t="shared" si="3"/>
        <v>0</v>
      </c>
      <c r="J14" s="5">
        <f>Table1[[#This Row],[Enrolment S.Y. 2025-2026 ]]*8</f>
        <v>2496</v>
      </c>
      <c r="K14" s="5"/>
      <c r="L14" s="1"/>
      <c r="M14" s="5"/>
      <c r="N14" s="5">
        <f t="shared" si="10"/>
        <v>2496</v>
      </c>
      <c r="O14" s="5">
        <f t="shared" si="11"/>
        <v>0</v>
      </c>
      <c r="P14" s="5">
        <f>Table1[[#This Row],[Enrolment S.Y. 2025-2026 ]]*8</f>
        <v>2496</v>
      </c>
      <c r="Q14" s="5"/>
      <c r="R14" s="1"/>
      <c r="S14" s="5"/>
      <c r="T14" s="5">
        <f t="shared" si="12"/>
        <v>2496</v>
      </c>
      <c r="U14" s="5">
        <f t="shared" si="13"/>
        <v>0</v>
      </c>
      <c r="V14" s="5">
        <f>Table1[[#This Row],[Enrolment S.Y. 2025-2026 ]]*8</f>
        <v>2496</v>
      </c>
      <c r="W14" s="5"/>
      <c r="X14" s="1"/>
      <c r="Y14" s="5"/>
      <c r="Z14" s="5">
        <f t="shared" si="14"/>
        <v>2496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312</v>
      </c>
      <c r="D15" s="5">
        <f>Table1[[#This Row],[Enrolment S.Y. 2025-2026 ]]*8</f>
        <v>2496</v>
      </c>
      <c r="E15" s="5"/>
      <c r="F15" s="1"/>
      <c r="G15" s="5"/>
      <c r="H15" s="5">
        <f t="shared" si="2"/>
        <v>2496</v>
      </c>
      <c r="I15" s="5">
        <f t="shared" si="3"/>
        <v>0</v>
      </c>
      <c r="J15" s="5">
        <f>Table1[[#This Row],[Enrolment S.Y. 2025-2026 ]]*8</f>
        <v>2496</v>
      </c>
      <c r="K15" s="5"/>
      <c r="L15" s="1"/>
      <c r="M15" s="5"/>
      <c r="N15" s="5">
        <f t="shared" si="10"/>
        <v>2496</v>
      </c>
      <c r="O15" s="5">
        <f t="shared" si="11"/>
        <v>0</v>
      </c>
      <c r="P15" s="5">
        <f>Table1[[#This Row],[Enrolment S.Y. 2025-2026 ]]*8</f>
        <v>2496</v>
      </c>
      <c r="Q15" s="5"/>
      <c r="R15" s="1"/>
      <c r="S15" s="5"/>
      <c r="T15" s="5">
        <f t="shared" si="12"/>
        <v>2496</v>
      </c>
      <c r="U15" s="5">
        <f t="shared" si="13"/>
        <v>0</v>
      </c>
      <c r="V15" s="5">
        <f>Table1[[#This Row],[Enrolment S.Y. 2025-2026 ]]*8</f>
        <v>2496</v>
      </c>
      <c r="W15" s="5"/>
      <c r="X15" s="1"/>
      <c r="Y15" s="5"/>
      <c r="Z15" s="5">
        <f t="shared" si="14"/>
        <v>2496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312</v>
      </c>
      <c r="D16" s="5">
        <f>Table1[[#This Row],[Enrolment S.Y. 2025-2026 ]]*8</f>
        <v>2496</v>
      </c>
      <c r="E16" s="5">
        <v>241</v>
      </c>
      <c r="F16" s="1">
        <v>2025</v>
      </c>
      <c r="G16" s="5" t="s">
        <v>63</v>
      </c>
      <c r="H16" s="5">
        <f t="shared" si="2"/>
        <v>2255</v>
      </c>
      <c r="I16" s="5">
        <f t="shared" si="3"/>
        <v>0</v>
      </c>
      <c r="J16" s="5">
        <f>Table1[[#This Row],[Enrolment S.Y. 2025-2026 ]]*8</f>
        <v>2496</v>
      </c>
      <c r="K16" s="5"/>
      <c r="L16" s="1"/>
      <c r="M16" s="5"/>
      <c r="N16" s="5">
        <f t="shared" si="10"/>
        <v>2496</v>
      </c>
      <c r="O16" s="5">
        <f t="shared" si="11"/>
        <v>0</v>
      </c>
      <c r="P16" s="5">
        <f>Table1[[#This Row],[Enrolment S.Y. 2025-2026 ]]*8</f>
        <v>2496</v>
      </c>
      <c r="Q16" s="5"/>
      <c r="R16" s="1"/>
      <c r="S16" s="5"/>
      <c r="T16" s="5">
        <f t="shared" si="12"/>
        <v>2496</v>
      </c>
      <c r="U16" s="5">
        <f t="shared" si="13"/>
        <v>0</v>
      </c>
      <c r="V16" s="5">
        <f>Table1[[#This Row],[Enrolment S.Y. 2025-2026 ]]*8</f>
        <v>2496</v>
      </c>
      <c r="W16" s="5"/>
      <c r="X16" s="1"/>
      <c r="Y16" s="5"/>
      <c r="Z16" s="5">
        <f t="shared" si="14"/>
        <v>2496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312</v>
      </c>
      <c r="D17" s="5">
        <f>Table1[[#This Row],[Enrolment S.Y. 2025-2026 ]]*8</f>
        <v>2496</v>
      </c>
      <c r="E17" s="5"/>
      <c r="F17" s="1"/>
      <c r="G17" s="5"/>
      <c r="H17" s="5">
        <f t="shared" si="2"/>
        <v>2496</v>
      </c>
      <c r="I17" s="5">
        <f t="shared" si="3"/>
        <v>0</v>
      </c>
      <c r="J17" s="5">
        <f>Table1[[#This Row],[Enrolment S.Y. 2025-2026 ]]*8</f>
        <v>2496</v>
      </c>
      <c r="K17" s="5">
        <v>306</v>
      </c>
      <c r="L17" s="1">
        <v>2025</v>
      </c>
      <c r="M17" s="5" t="s">
        <v>63</v>
      </c>
      <c r="N17" s="5">
        <f t="shared" si="10"/>
        <v>2190</v>
      </c>
      <c r="O17" s="5">
        <f t="shared" si="11"/>
        <v>0</v>
      </c>
      <c r="P17" s="5">
        <f>Table1[[#This Row],[Enrolment S.Y. 2025-2026 ]]*8</f>
        <v>2496</v>
      </c>
      <c r="Q17" s="5"/>
      <c r="R17" s="1"/>
      <c r="S17" s="5"/>
      <c r="T17" s="5">
        <f t="shared" si="12"/>
        <v>2496</v>
      </c>
      <c r="U17" s="5">
        <f t="shared" si="13"/>
        <v>0</v>
      </c>
      <c r="V17" s="5">
        <f>Table1[[#This Row],[Enrolment S.Y. 2025-2026 ]]*8</f>
        <v>2496</v>
      </c>
      <c r="W17" s="5"/>
      <c r="X17" s="1"/>
      <c r="Y17" s="5"/>
      <c r="Z17" s="5">
        <f t="shared" si="14"/>
        <v>2496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312</v>
      </c>
      <c r="D18" s="5">
        <f>Table1[[#This Row],[Enrolment S.Y. 2025-2026 ]]*8</f>
        <v>2496</v>
      </c>
      <c r="E18" s="5">
        <v>241</v>
      </c>
      <c r="F18" s="1">
        <v>2025</v>
      </c>
      <c r="G18" s="5" t="s">
        <v>63</v>
      </c>
      <c r="H18" s="5">
        <f t="shared" si="2"/>
        <v>2255</v>
      </c>
      <c r="I18" s="5">
        <f t="shared" si="3"/>
        <v>0</v>
      </c>
      <c r="J18" s="5">
        <f>Table1[[#This Row],[Enrolment S.Y. 2025-2026 ]]*8</f>
        <v>2496</v>
      </c>
      <c r="K18" s="5"/>
      <c r="L18" s="1"/>
      <c r="M18" s="5"/>
      <c r="N18" s="5">
        <f t="shared" si="10"/>
        <v>2496</v>
      </c>
      <c r="O18" s="5">
        <f t="shared" si="11"/>
        <v>0</v>
      </c>
      <c r="P18" s="5">
        <f>Table1[[#This Row],[Enrolment S.Y. 2025-2026 ]]*8</f>
        <v>2496</v>
      </c>
      <c r="Q18" s="5"/>
      <c r="R18" s="1"/>
      <c r="S18" s="5"/>
      <c r="T18" s="5">
        <f t="shared" si="12"/>
        <v>2496</v>
      </c>
      <c r="U18" s="5">
        <f t="shared" si="13"/>
        <v>0</v>
      </c>
      <c r="V18" s="5">
        <f>Table1[[#This Row],[Enrolment S.Y. 2025-2026 ]]*8</f>
        <v>2496</v>
      </c>
      <c r="W18" s="5"/>
      <c r="X18" s="1"/>
      <c r="Y18" s="5"/>
      <c r="Z18" s="5">
        <f t="shared" si="14"/>
        <v>2496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312</v>
      </c>
      <c r="D19" s="5">
        <f>Table1[[#This Row],[Enrolment S.Y. 2025-2026 ]]*8</f>
        <v>2496</v>
      </c>
      <c r="E19" s="5"/>
      <c r="F19" s="1"/>
      <c r="G19" s="5"/>
      <c r="H19" s="5">
        <f>IF((D19-E19)&lt;0,0,(D19-E19))</f>
        <v>2496</v>
      </c>
      <c r="I19" s="5">
        <f>IF((E19-D19)&lt;0,0,(E19-D19))</f>
        <v>0</v>
      </c>
      <c r="J19" s="5">
        <f>Table1[[#This Row],[Enrolment S.Y. 2025-2026 ]]*8</f>
        <v>2496</v>
      </c>
      <c r="K19" s="5">
        <v>306</v>
      </c>
      <c r="L19" s="1">
        <v>2025</v>
      </c>
      <c r="M19" s="5" t="s">
        <v>63</v>
      </c>
      <c r="N19" s="5">
        <f t="shared" si="10"/>
        <v>2190</v>
      </c>
      <c r="O19" s="5">
        <f t="shared" si="11"/>
        <v>0</v>
      </c>
      <c r="P19" s="5">
        <f>Table1[[#This Row],[Enrolment S.Y. 2025-2026 ]]*8</f>
        <v>2496</v>
      </c>
      <c r="Q19" s="5"/>
      <c r="R19" s="1"/>
      <c r="S19" s="5"/>
      <c r="T19" s="5">
        <f t="shared" si="12"/>
        <v>2496</v>
      </c>
      <c r="U19" s="5">
        <f t="shared" si="13"/>
        <v>0</v>
      </c>
      <c r="V19" s="5">
        <f>Table1[[#This Row],[Enrolment S.Y. 2025-2026 ]]*8</f>
        <v>2496</v>
      </c>
      <c r="W19" s="5"/>
      <c r="X19" s="1"/>
      <c r="Y19" s="5"/>
      <c r="Z19" s="5">
        <f t="shared" si="14"/>
        <v>2496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312</v>
      </c>
      <c r="D20" s="5">
        <f>Table1[[#This Row],[Enrolment S.Y. 2025-2026 ]]*8</f>
        <v>2496</v>
      </c>
      <c r="E20" s="5">
        <v>241</v>
      </c>
      <c r="F20" s="1">
        <v>2025</v>
      </c>
      <c r="G20" s="5" t="s">
        <v>63</v>
      </c>
      <c r="H20" s="5">
        <f>IF((D20-E20)&lt;0,0,(D20-E20))</f>
        <v>2255</v>
      </c>
      <c r="I20" s="5">
        <f>IF((E20-D20)&lt;0,0,(E20-D20))</f>
        <v>0</v>
      </c>
      <c r="J20" s="5">
        <f>Table1[[#This Row],[Enrolment S.Y. 2025-2026 ]]*8</f>
        <v>2496</v>
      </c>
      <c r="K20" s="5"/>
      <c r="L20" s="1"/>
      <c r="M20" s="5"/>
      <c r="N20" s="5">
        <f t="shared" si="10"/>
        <v>2496</v>
      </c>
      <c r="O20" s="5">
        <f t="shared" si="11"/>
        <v>0</v>
      </c>
      <c r="P20" s="5">
        <f>Table1[[#This Row],[Enrolment S.Y. 2025-2026 ]]*8</f>
        <v>2496</v>
      </c>
      <c r="Q20" s="5"/>
      <c r="R20" s="1"/>
      <c r="S20" s="5"/>
      <c r="T20" s="5">
        <f t="shared" si="12"/>
        <v>2496</v>
      </c>
      <c r="U20" s="5">
        <f t="shared" si="13"/>
        <v>0</v>
      </c>
      <c r="V20" s="5">
        <f>Table1[[#This Row],[Enrolment S.Y. 2025-2026 ]]*8</f>
        <v>2496</v>
      </c>
      <c r="W20" s="5"/>
      <c r="X20" s="1"/>
      <c r="Y20" s="5"/>
      <c r="Z20" s="5">
        <f t="shared" si="14"/>
        <v>2496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312</v>
      </c>
      <c r="D21" s="5">
        <f>Table1[[#This Row],[Enrolment S.Y. 2025-2026 ]]*8</f>
        <v>2496</v>
      </c>
      <c r="E21" s="5"/>
      <c r="F21" s="1"/>
      <c r="G21" s="5"/>
      <c r="H21" s="5">
        <f>IF((D21-E21)&lt;0,0,(D21-E21))</f>
        <v>2496</v>
      </c>
      <c r="I21" s="5">
        <f>IF((E21-D21)&lt;0,0,(E21-D21))</f>
        <v>0</v>
      </c>
      <c r="J21" s="5">
        <f>Table1[[#This Row],[Enrolment S.Y. 2025-2026 ]]*8</f>
        <v>2496</v>
      </c>
      <c r="K21" s="5"/>
      <c r="L21" s="1"/>
      <c r="M21" s="5"/>
      <c r="N21" s="5">
        <f t="shared" si="10"/>
        <v>2496</v>
      </c>
      <c r="O21" s="5">
        <f t="shared" si="11"/>
        <v>0</v>
      </c>
      <c r="P21" s="5">
        <f>Table1[[#This Row],[Enrolment S.Y. 2025-2026 ]]*8</f>
        <v>2496</v>
      </c>
      <c r="Q21" s="5"/>
      <c r="R21" s="1"/>
      <c r="S21" s="5"/>
      <c r="T21" s="5">
        <f t="shared" si="12"/>
        <v>2496</v>
      </c>
      <c r="U21" s="5">
        <f t="shared" si="13"/>
        <v>0</v>
      </c>
      <c r="V21" s="5">
        <f>Table1[[#This Row],[Enrolment S.Y. 2025-2026 ]]*8</f>
        <v>2496</v>
      </c>
      <c r="W21" s="5"/>
      <c r="X21" s="1"/>
      <c r="Y21" s="5"/>
      <c r="Z21" s="5">
        <f t="shared" si="14"/>
        <v>2496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>
        <v>329</v>
      </c>
      <c r="D23" s="5">
        <f>Table1[[#This Row],[Enrolment S.Y. 2025-2026 ]]*8</f>
        <v>2632</v>
      </c>
      <c r="E23" s="5"/>
      <c r="F23" s="1"/>
      <c r="G23" s="5"/>
      <c r="H23" s="5">
        <f t="shared" si="2"/>
        <v>2632</v>
      </c>
      <c r="I23" s="5">
        <f t="shared" si="3"/>
        <v>0</v>
      </c>
      <c r="J23" s="5">
        <f>Table1[[#This Row],[Enrolment S.Y. 2025-2026 ]]*8</f>
        <v>2632</v>
      </c>
      <c r="K23" s="5"/>
      <c r="L23" s="1"/>
      <c r="M23" s="5"/>
      <c r="N23" s="5">
        <f t="shared" si="10"/>
        <v>2632</v>
      </c>
      <c r="O23" s="5">
        <f t="shared" si="11"/>
        <v>0</v>
      </c>
      <c r="P23" s="5">
        <f>Table1[[#This Row],[Enrolment S.Y. 2025-2026 ]]*8</f>
        <v>2632</v>
      </c>
      <c r="Q23" s="5"/>
      <c r="R23" s="1"/>
      <c r="S23" s="5"/>
      <c r="T23" s="5">
        <f t="shared" si="12"/>
        <v>2632</v>
      </c>
      <c r="U23" s="5">
        <f t="shared" si="13"/>
        <v>0</v>
      </c>
      <c r="V23" s="5">
        <f>Table1[[#This Row],[Enrolment S.Y. 2025-2026 ]]*8</f>
        <v>2632</v>
      </c>
      <c r="W23" s="5"/>
      <c r="X23" s="1"/>
      <c r="Y23" s="5"/>
      <c r="Z23" s="5">
        <f t="shared" si="14"/>
        <v>2632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329</v>
      </c>
      <c r="D24" s="5">
        <f>Table1[[#This Row],[Enrolment S.Y. 2025-2026 ]]*8</f>
        <v>2632</v>
      </c>
      <c r="E24" s="5"/>
      <c r="F24" s="1"/>
      <c r="G24" s="5"/>
      <c r="H24" s="5">
        <f t="shared" si="2"/>
        <v>2632</v>
      </c>
      <c r="I24" s="5">
        <f t="shared" si="3"/>
        <v>0</v>
      </c>
      <c r="J24" s="5">
        <f>Table1[[#This Row],[Enrolment S.Y. 2025-2026 ]]*8</f>
        <v>2632</v>
      </c>
      <c r="K24" s="5"/>
      <c r="L24" s="1"/>
      <c r="M24" s="5"/>
      <c r="N24" s="5">
        <f t="shared" si="10"/>
        <v>2632</v>
      </c>
      <c r="O24" s="5">
        <f t="shared" si="11"/>
        <v>0</v>
      </c>
      <c r="P24" s="5">
        <f>Table1[[#This Row],[Enrolment S.Y. 2025-2026 ]]*8</f>
        <v>2632</v>
      </c>
      <c r="Q24" s="5"/>
      <c r="R24" s="1"/>
      <c r="S24" s="5"/>
      <c r="T24" s="5">
        <f t="shared" si="12"/>
        <v>2632</v>
      </c>
      <c r="U24" s="5">
        <f t="shared" si="13"/>
        <v>0</v>
      </c>
      <c r="V24" s="5">
        <f>Table1[[#This Row],[Enrolment S.Y. 2025-2026 ]]*8</f>
        <v>2632</v>
      </c>
      <c r="W24" s="5"/>
      <c r="X24" s="1"/>
      <c r="Y24" s="5"/>
      <c r="Z24" s="5">
        <f t="shared" si="14"/>
        <v>2632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329</v>
      </c>
      <c r="D25" s="5">
        <f>Table1[[#This Row],[Enrolment S.Y. 2025-2026 ]]*8</f>
        <v>2632</v>
      </c>
      <c r="E25" s="5">
        <v>224</v>
      </c>
      <c r="F25" s="1">
        <v>2025</v>
      </c>
      <c r="G25" s="5" t="s">
        <v>63</v>
      </c>
      <c r="H25" s="5">
        <f t="shared" si="2"/>
        <v>2408</v>
      </c>
      <c r="I25" s="5">
        <f t="shared" si="3"/>
        <v>0</v>
      </c>
      <c r="J25" s="5">
        <f>Table1[[#This Row],[Enrolment S.Y. 2025-2026 ]]*8</f>
        <v>2632</v>
      </c>
      <c r="K25" s="5"/>
      <c r="L25" s="1"/>
      <c r="M25" s="5"/>
      <c r="N25" s="5">
        <f t="shared" si="10"/>
        <v>2632</v>
      </c>
      <c r="O25" s="5">
        <f t="shared" si="11"/>
        <v>0</v>
      </c>
      <c r="P25" s="5">
        <f>Table1[[#This Row],[Enrolment S.Y. 2025-2026 ]]*8</f>
        <v>2632</v>
      </c>
      <c r="Q25" s="5"/>
      <c r="R25" s="1"/>
      <c r="S25" s="5"/>
      <c r="T25" s="5">
        <f t="shared" si="12"/>
        <v>2632</v>
      </c>
      <c r="U25" s="5">
        <f t="shared" si="13"/>
        <v>0</v>
      </c>
      <c r="V25" s="5">
        <f>Table1[[#This Row],[Enrolment S.Y. 2025-2026 ]]*8</f>
        <v>2632</v>
      </c>
      <c r="W25" s="5"/>
      <c r="X25" s="1"/>
      <c r="Y25" s="5"/>
      <c r="Z25" s="5">
        <f t="shared" si="14"/>
        <v>2632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329</v>
      </c>
      <c r="D26" s="5">
        <f>Table1[[#This Row],[Enrolment S.Y. 2025-2026 ]]*8</f>
        <v>2632</v>
      </c>
      <c r="E26" s="5">
        <v>224</v>
      </c>
      <c r="F26" s="1">
        <v>2025</v>
      </c>
      <c r="G26" s="5" t="s">
        <v>63</v>
      </c>
      <c r="H26" s="5">
        <f t="shared" si="2"/>
        <v>2408</v>
      </c>
      <c r="I26" s="5">
        <f t="shared" si="3"/>
        <v>0</v>
      </c>
      <c r="J26" s="5">
        <f>Table1[[#This Row],[Enrolment S.Y. 2025-2026 ]]*8</f>
        <v>2632</v>
      </c>
      <c r="K26" s="5"/>
      <c r="L26" s="1"/>
      <c r="M26" s="5"/>
      <c r="N26" s="5">
        <f t="shared" si="10"/>
        <v>2632</v>
      </c>
      <c r="O26" s="5">
        <f t="shared" si="11"/>
        <v>0</v>
      </c>
      <c r="P26" s="5">
        <f>Table1[[#This Row],[Enrolment S.Y. 2025-2026 ]]*8</f>
        <v>2632</v>
      </c>
      <c r="Q26" s="5"/>
      <c r="R26" s="1"/>
      <c r="S26" s="5"/>
      <c r="T26" s="5">
        <f t="shared" si="12"/>
        <v>2632</v>
      </c>
      <c r="U26" s="5">
        <f t="shared" si="13"/>
        <v>0</v>
      </c>
      <c r="V26" s="5">
        <f>Table1[[#This Row],[Enrolment S.Y. 2025-2026 ]]*8</f>
        <v>2632</v>
      </c>
      <c r="W26" s="5"/>
      <c r="X26" s="1"/>
      <c r="Y26" s="5"/>
      <c r="Z26" s="5">
        <f t="shared" si="14"/>
        <v>2632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329</v>
      </c>
      <c r="D27" s="5">
        <f>Table1[[#This Row],[Enrolment S.Y. 2025-2026 ]]*8</f>
        <v>2632</v>
      </c>
      <c r="E27" s="5">
        <v>224</v>
      </c>
      <c r="F27" s="1">
        <v>2025</v>
      </c>
      <c r="G27" s="5" t="s">
        <v>63</v>
      </c>
      <c r="H27" s="5">
        <f t="shared" si="2"/>
        <v>2408</v>
      </c>
      <c r="I27" s="5">
        <f t="shared" si="3"/>
        <v>0</v>
      </c>
      <c r="J27" s="5">
        <f>Table1[[#This Row],[Enrolment S.Y. 2025-2026 ]]*8</f>
        <v>2632</v>
      </c>
      <c r="K27" s="5"/>
      <c r="L27" s="1"/>
      <c r="M27" s="5"/>
      <c r="N27" s="5">
        <f t="shared" si="10"/>
        <v>2632</v>
      </c>
      <c r="O27" s="5">
        <f t="shared" si="11"/>
        <v>0</v>
      </c>
      <c r="P27" s="5">
        <f>Table1[[#This Row],[Enrolment S.Y. 2025-2026 ]]*8</f>
        <v>2632</v>
      </c>
      <c r="Q27" s="5"/>
      <c r="R27" s="1"/>
      <c r="S27" s="5"/>
      <c r="T27" s="5">
        <f t="shared" si="12"/>
        <v>2632</v>
      </c>
      <c r="U27" s="5">
        <f t="shared" si="13"/>
        <v>0</v>
      </c>
      <c r="V27" s="5">
        <f>Table1[[#This Row],[Enrolment S.Y. 2025-2026 ]]*8</f>
        <v>2632</v>
      </c>
      <c r="W27" s="5"/>
      <c r="X27" s="1"/>
      <c r="Y27" s="5"/>
      <c r="Z27" s="5">
        <f t="shared" si="14"/>
        <v>2632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329</v>
      </c>
      <c r="D28" s="5">
        <f>Table1[[#This Row],[Enrolment S.Y. 2025-2026 ]]*8</f>
        <v>2632</v>
      </c>
      <c r="E28" s="5">
        <v>224</v>
      </c>
      <c r="F28" s="1">
        <v>2025</v>
      </c>
      <c r="G28" s="5" t="s">
        <v>63</v>
      </c>
      <c r="H28" s="5">
        <f t="shared" si="2"/>
        <v>2408</v>
      </c>
      <c r="I28" s="5">
        <f t="shared" si="3"/>
        <v>0</v>
      </c>
      <c r="J28" s="5">
        <f>Table1[[#This Row],[Enrolment S.Y. 2025-2026 ]]*8</f>
        <v>2632</v>
      </c>
      <c r="K28" s="5"/>
      <c r="L28" s="1"/>
      <c r="M28" s="5"/>
      <c r="N28" s="5">
        <f t="shared" si="10"/>
        <v>2632</v>
      </c>
      <c r="O28" s="5">
        <f t="shared" si="11"/>
        <v>0</v>
      </c>
      <c r="P28" s="5">
        <f>Table1[[#This Row],[Enrolment S.Y. 2025-2026 ]]*8</f>
        <v>2632</v>
      </c>
      <c r="Q28" s="5"/>
      <c r="R28" s="1"/>
      <c r="S28" s="5"/>
      <c r="T28" s="5">
        <f t="shared" si="12"/>
        <v>2632</v>
      </c>
      <c r="U28" s="5">
        <f t="shared" si="13"/>
        <v>0</v>
      </c>
      <c r="V28" s="5">
        <f>Table1[[#This Row],[Enrolment S.Y. 2025-2026 ]]*8</f>
        <v>2632</v>
      </c>
      <c r="W28" s="5"/>
      <c r="X28" s="1"/>
      <c r="Y28" s="5"/>
      <c r="Z28" s="5">
        <f t="shared" si="14"/>
        <v>2632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329</v>
      </c>
      <c r="D29" s="5">
        <f>Table1[[#This Row],[Enrolment S.Y. 2025-2026 ]]*8</f>
        <v>2632</v>
      </c>
      <c r="E29" s="5">
        <v>224</v>
      </c>
      <c r="F29" s="1">
        <v>2025</v>
      </c>
      <c r="G29" s="5" t="s">
        <v>63</v>
      </c>
      <c r="H29" s="5">
        <f>IF((D29-E29)&lt;0,0,(D29-E29))</f>
        <v>2408</v>
      </c>
      <c r="I29" s="5">
        <f>IF((E29-D29)&lt;0,0,(E29-D29))</f>
        <v>0</v>
      </c>
      <c r="J29" s="5">
        <f>Table1[[#This Row],[Enrolment S.Y. 2025-2026 ]]*8</f>
        <v>2632</v>
      </c>
      <c r="K29" s="5"/>
      <c r="L29" s="1"/>
      <c r="M29" s="5"/>
      <c r="N29" s="5">
        <f t="shared" si="10"/>
        <v>2632</v>
      </c>
      <c r="O29" s="5">
        <f t="shared" si="11"/>
        <v>0</v>
      </c>
      <c r="P29" s="5">
        <f>Table1[[#This Row],[Enrolment S.Y. 2025-2026 ]]*8</f>
        <v>2632</v>
      </c>
      <c r="Q29" s="5"/>
      <c r="R29" s="1"/>
      <c r="S29" s="5"/>
      <c r="T29" s="5">
        <f t="shared" si="12"/>
        <v>2632</v>
      </c>
      <c r="U29" s="5">
        <f t="shared" si="13"/>
        <v>0</v>
      </c>
      <c r="V29" s="5">
        <f>Table1[[#This Row],[Enrolment S.Y. 2025-2026 ]]*8</f>
        <v>2632</v>
      </c>
      <c r="W29" s="5"/>
      <c r="X29" s="1"/>
      <c r="Y29" s="5"/>
      <c r="Z29" s="5">
        <f t="shared" si="14"/>
        <v>2632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329</v>
      </c>
      <c r="D30" s="5">
        <f>Table1[[#This Row],[Enrolment S.Y. 2025-2026 ]]*8</f>
        <v>2632</v>
      </c>
      <c r="E30" s="5">
        <v>224</v>
      </c>
      <c r="F30" s="1">
        <v>2025</v>
      </c>
      <c r="G30" s="5" t="s">
        <v>63</v>
      </c>
      <c r="H30" s="5">
        <f>IF((D30-E30)&lt;0,0,(D30-E30))</f>
        <v>2408</v>
      </c>
      <c r="I30" s="5">
        <f>IF((E30-D30)&lt;0,0,(E30-D30))</f>
        <v>0</v>
      </c>
      <c r="J30" s="5">
        <f>Table1[[#This Row],[Enrolment S.Y. 2025-2026 ]]*8</f>
        <v>2632</v>
      </c>
      <c r="K30" s="5"/>
      <c r="L30" s="1"/>
      <c r="M30" s="5"/>
      <c r="N30" s="5">
        <f t="shared" si="10"/>
        <v>2632</v>
      </c>
      <c r="O30" s="5">
        <f t="shared" si="11"/>
        <v>0</v>
      </c>
      <c r="P30" s="5">
        <f>Table1[[#This Row],[Enrolment S.Y. 2025-2026 ]]*8</f>
        <v>2632</v>
      </c>
      <c r="Q30" s="5"/>
      <c r="R30" s="1"/>
      <c r="S30" s="5"/>
      <c r="T30" s="5">
        <f t="shared" si="12"/>
        <v>2632</v>
      </c>
      <c r="U30" s="5">
        <f t="shared" si="13"/>
        <v>0</v>
      </c>
      <c r="V30" s="5">
        <f>Table1[[#This Row],[Enrolment S.Y. 2025-2026 ]]*8</f>
        <v>2632</v>
      </c>
      <c r="W30" s="5"/>
      <c r="X30" s="1"/>
      <c r="Y30" s="5"/>
      <c r="Z30" s="5">
        <f t="shared" si="14"/>
        <v>2632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329</v>
      </c>
      <c r="D31" s="5">
        <f>Table1[[#This Row],[Enrolment S.Y. 2025-2026 ]]*8</f>
        <v>2632</v>
      </c>
      <c r="E31" s="5"/>
      <c r="F31" s="1"/>
      <c r="G31" s="5"/>
      <c r="H31" s="5">
        <f>IF((D31-E31)&lt;0,0,(D31-E31))</f>
        <v>2632</v>
      </c>
      <c r="I31" s="5">
        <f>IF((E31-D31)&lt;0,0,(E31-D31))</f>
        <v>0</v>
      </c>
      <c r="J31" s="5">
        <f>Table1[[#This Row],[Enrolment S.Y. 2025-2026 ]]*8</f>
        <v>2632</v>
      </c>
      <c r="K31" s="5"/>
      <c r="L31" s="1"/>
      <c r="M31" s="5"/>
      <c r="N31" s="5">
        <f t="shared" si="10"/>
        <v>2632</v>
      </c>
      <c r="O31" s="5">
        <f t="shared" si="11"/>
        <v>0</v>
      </c>
      <c r="P31" s="5">
        <f>Table1[[#This Row],[Enrolment S.Y. 2025-2026 ]]*8</f>
        <v>2632</v>
      </c>
      <c r="Q31" s="5"/>
      <c r="R31" s="1"/>
      <c r="S31" s="5"/>
      <c r="T31" s="5">
        <f t="shared" si="12"/>
        <v>2632</v>
      </c>
      <c r="U31" s="5">
        <f t="shared" si="13"/>
        <v>0</v>
      </c>
      <c r="V31" s="5">
        <f>Table1[[#This Row],[Enrolment S.Y. 2025-2026 ]]*8</f>
        <v>2632</v>
      </c>
      <c r="W31" s="5"/>
      <c r="X31" s="1"/>
      <c r="Y31" s="5"/>
      <c r="Z31" s="5">
        <f t="shared" si="14"/>
        <v>2632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328</v>
      </c>
      <c r="D33" s="5">
        <f>Table1[[#This Row],[Enrolment S.Y. 2025-2026 ]]*8</f>
        <v>2624</v>
      </c>
      <c r="E33" s="5"/>
      <c r="F33" s="1"/>
      <c r="G33" s="5"/>
      <c r="H33" s="5">
        <f t="shared" si="2"/>
        <v>2624</v>
      </c>
      <c r="I33" s="5">
        <f t="shared" si="3"/>
        <v>0</v>
      </c>
      <c r="J33" s="5">
        <f>Table1[[#This Row],[Enrolment S.Y. 2025-2026 ]]*8</f>
        <v>2624</v>
      </c>
      <c r="K33" s="5"/>
      <c r="L33" s="1"/>
      <c r="M33" s="5"/>
      <c r="N33" s="5">
        <f t="shared" si="10"/>
        <v>2624</v>
      </c>
      <c r="O33" s="5">
        <f t="shared" si="11"/>
        <v>0</v>
      </c>
      <c r="P33" s="5">
        <f>Table1[[#This Row],[Enrolment S.Y. 2025-2026 ]]*8</f>
        <v>2624</v>
      </c>
      <c r="Q33" s="5"/>
      <c r="R33" s="1"/>
      <c r="S33" s="5"/>
      <c r="T33" s="5">
        <f t="shared" si="12"/>
        <v>2624</v>
      </c>
      <c r="U33" s="5">
        <f t="shared" si="13"/>
        <v>0</v>
      </c>
      <c r="V33" s="5">
        <f>Table1[[#This Row],[Enrolment S.Y. 2025-2026 ]]*8</f>
        <v>2624</v>
      </c>
      <c r="W33" s="5"/>
      <c r="X33" s="1"/>
      <c r="Y33" s="5"/>
      <c r="Z33" s="5">
        <f t="shared" si="14"/>
        <v>2624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328</v>
      </c>
      <c r="D34" s="5">
        <f>Table1[[#This Row],[Enrolment S.Y. 2025-2026 ]]*8</f>
        <v>2624</v>
      </c>
      <c r="E34" s="5"/>
      <c r="F34" s="1"/>
      <c r="G34" s="5"/>
      <c r="H34" s="5">
        <f t="shared" si="2"/>
        <v>2624</v>
      </c>
      <c r="I34" s="5">
        <f t="shared" si="3"/>
        <v>0</v>
      </c>
      <c r="J34" s="5">
        <f>Table1[[#This Row],[Enrolment S.Y. 2025-2026 ]]*8</f>
        <v>2624</v>
      </c>
      <c r="K34" s="5"/>
      <c r="L34" s="1"/>
      <c r="M34" s="5"/>
      <c r="N34" s="5">
        <f t="shared" si="10"/>
        <v>2624</v>
      </c>
      <c r="O34" s="5">
        <f t="shared" si="11"/>
        <v>0</v>
      </c>
      <c r="P34" s="5">
        <f>Table1[[#This Row],[Enrolment S.Y. 2025-2026 ]]*8</f>
        <v>2624</v>
      </c>
      <c r="Q34" s="5"/>
      <c r="R34" s="1"/>
      <c r="S34" s="5"/>
      <c r="T34" s="5">
        <f t="shared" si="12"/>
        <v>2624</v>
      </c>
      <c r="U34" s="5">
        <f t="shared" si="13"/>
        <v>0</v>
      </c>
      <c r="V34" s="5">
        <f>Table1[[#This Row],[Enrolment S.Y. 2025-2026 ]]*8</f>
        <v>2624</v>
      </c>
      <c r="W34" s="5"/>
      <c r="X34" s="1"/>
      <c r="Y34" s="5"/>
      <c r="Z34" s="5">
        <f t="shared" si="14"/>
        <v>2624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328</v>
      </c>
      <c r="D35" s="5">
        <f>Table1[[#This Row],[Enrolment S.Y. 2025-2026 ]]*8</f>
        <v>2624</v>
      </c>
      <c r="E35" s="5"/>
      <c r="F35" s="1"/>
      <c r="G35" s="5"/>
      <c r="H35" s="5">
        <f t="shared" si="2"/>
        <v>2624</v>
      </c>
      <c r="I35" s="5">
        <f t="shared" si="3"/>
        <v>0</v>
      </c>
      <c r="J35" s="5">
        <f>Table1[[#This Row],[Enrolment S.Y. 2025-2026 ]]*8</f>
        <v>2624</v>
      </c>
      <c r="K35" s="5"/>
      <c r="L35" s="1"/>
      <c r="M35" s="5"/>
      <c r="N35" s="5">
        <f t="shared" si="10"/>
        <v>2624</v>
      </c>
      <c r="O35" s="5">
        <f t="shared" si="11"/>
        <v>0</v>
      </c>
      <c r="P35" s="5">
        <f>Table1[[#This Row],[Enrolment S.Y. 2025-2026 ]]*8</f>
        <v>2624</v>
      </c>
      <c r="Q35" s="5"/>
      <c r="R35" s="1"/>
      <c r="S35" s="5"/>
      <c r="T35" s="5">
        <f t="shared" si="12"/>
        <v>2624</v>
      </c>
      <c r="U35" s="5">
        <f t="shared" si="13"/>
        <v>0</v>
      </c>
      <c r="V35" s="5">
        <f>Table1[[#This Row],[Enrolment S.Y. 2025-2026 ]]*8</f>
        <v>2624</v>
      </c>
      <c r="W35" s="5"/>
      <c r="X35" s="1"/>
      <c r="Y35" s="5"/>
      <c r="Z35" s="5">
        <f t="shared" si="14"/>
        <v>2624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328</v>
      </c>
      <c r="D36" s="5">
        <f>Table1[[#This Row],[Enrolment S.Y. 2025-2026 ]]*8</f>
        <v>2624</v>
      </c>
      <c r="E36" s="5"/>
      <c r="F36" s="1"/>
      <c r="G36" s="5"/>
      <c r="H36" s="5">
        <f t="shared" si="2"/>
        <v>2624</v>
      </c>
      <c r="I36" s="5">
        <f t="shared" si="3"/>
        <v>0</v>
      </c>
      <c r="J36" s="5">
        <f>Table1[[#This Row],[Enrolment S.Y. 2025-2026 ]]*8</f>
        <v>2624</v>
      </c>
      <c r="K36" s="5"/>
      <c r="L36" s="1"/>
      <c r="M36" s="5"/>
      <c r="N36" s="5">
        <f t="shared" si="10"/>
        <v>2624</v>
      </c>
      <c r="O36" s="5">
        <f t="shared" si="11"/>
        <v>0</v>
      </c>
      <c r="P36" s="5">
        <f>Table1[[#This Row],[Enrolment S.Y. 2025-2026 ]]*8</f>
        <v>2624</v>
      </c>
      <c r="Q36" s="5"/>
      <c r="R36" s="1"/>
      <c r="S36" s="5"/>
      <c r="T36" s="5">
        <f t="shared" si="12"/>
        <v>2624</v>
      </c>
      <c r="U36" s="5">
        <f t="shared" si="13"/>
        <v>0</v>
      </c>
      <c r="V36" s="5">
        <f>Table1[[#This Row],[Enrolment S.Y. 2025-2026 ]]*8</f>
        <v>2624</v>
      </c>
      <c r="W36" s="5"/>
      <c r="X36" s="1"/>
      <c r="Y36" s="5"/>
      <c r="Z36" s="5">
        <f t="shared" si="14"/>
        <v>2624</v>
      </c>
      <c r="AA36" s="5">
        <f t="shared" si="15"/>
        <v>0</v>
      </c>
    </row>
    <row r="37" spans="1:27" ht="39">
      <c r="A37" s="1">
        <v>4</v>
      </c>
      <c r="B37" s="9" t="s">
        <v>17</v>
      </c>
      <c r="C37" s="1">
        <v>328</v>
      </c>
      <c r="D37" s="5">
        <f>Table1[[#This Row],[Enrolment S.Y. 2025-2026 ]]*8</f>
        <v>2624</v>
      </c>
      <c r="E37" s="5"/>
      <c r="F37" s="1"/>
      <c r="G37" s="5"/>
      <c r="H37" s="5">
        <f t="shared" si="2"/>
        <v>2624</v>
      </c>
      <c r="I37" s="5">
        <f t="shared" si="3"/>
        <v>0</v>
      </c>
      <c r="J37" s="5">
        <f>Table1[[#This Row],[Enrolment S.Y. 2025-2026 ]]*8</f>
        <v>2624</v>
      </c>
      <c r="K37" s="5"/>
      <c r="L37" s="1"/>
      <c r="M37" s="5"/>
      <c r="N37" s="5">
        <f t="shared" si="10"/>
        <v>2624</v>
      </c>
      <c r="O37" s="5">
        <f t="shared" si="11"/>
        <v>0</v>
      </c>
      <c r="P37" s="5">
        <f>Table1[[#This Row],[Enrolment S.Y. 2025-2026 ]]*8</f>
        <v>2624</v>
      </c>
      <c r="Q37" s="5"/>
      <c r="R37" s="1"/>
      <c r="S37" s="5"/>
      <c r="T37" s="5">
        <f t="shared" si="12"/>
        <v>2624</v>
      </c>
      <c r="U37" s="5">
        <f t="shared" si="13"/>
        <v>0</v>
      </c>
      <c r="V37" s="5">
        <f>Table1[[#This Row],[Enrolment S.Y. 2025-2026 ]]*8</f>
        <v>2624</v>
      </c>
      <c r="W37" s="5"/>
      <c r="X37" s="1"/>
      <c r="Y37" s="5"/>
      <c r="Z37" s="5">
        <f t="shared" si="14"/>
        <v>2624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328</v>
      </c>
      <c r="D38" s="5">
        <f>Table1[[#This Row],[Enrolment S.Y. 2025-2026 ]]*8</f>
        <v>2624</v>
      </c>
      <c r="E38" s="5">
        <v>179</v>
      </c>
      <c r="F38" s="1">
        <v>2025</v>
      </c>
      <c r="G38" s="5" t="s">
        <v>63</v>
      </c>
      <c r="H38" s="5">
        <f t="shared" si="2"/>
        <v>2445</v>
      </c>
      <c r="I38" s="5">
        <f t="shared" si="3"/>
        <v>0</v>
      </c>
      <c r="J38" s="5">
        <f>Table1[[#This Row],[Enrolment S.Y. 2025-2026 ]]*8</f>
        <v>2624</v>
      </c>
      <c r="K38" s="5"/>
      <c r="L38" s="1"/>
      <c r="M38" s="5"/>
      <c r="N38" s="5">
        <f t="shared" si="10"/>
        <v>2624</v>
      </c>
      <c r="O38" s="5">
        <f t="shared" si="11"/>
        <v>0</v>
      </c>
      <c r="P38" s="5">
        <f>Table1[[#This Row],[Enrolment S.Y. 2025-2026 ]]*8</f>
        <v>2624</v>
      </c>
      <c r="Q38" s="5"/>
      <c r="R38" s="1"/>
      <c r="S38" s="5"/>
      <c r="T38" s="5">
        <f t="shared" si="12"/>
        <v>2624</v>
      </c>
      <c r="U38" s="5">
        <f t="shared" si="13"/>
        <v>0</v>
      </c>
      <c r="V38" s="5">
        <f>Table1[[#This Row],[Enrolment S.Y. 2025-2026 ]]*8</f>
        <v>2624</v>
      </c>
      <c r="W38" s="5"/>
      <c r="X38" s="1"/>
      <c r="Y38" s="5"/>
      <c r="Z38" s="5">
        <f t="shared" si="14"/>
        <v>2624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328</v>
      </c>
      <c r="D39" s="5">
        <f>Table1[[#This Row],[Enrolment S.Y. 2025-2026 ]]*8</f>
        <v>2624</v>
      </c>
      <c r="E39" s="5"/>
      <c r="F39" s="1"/>
      <c r="G39" s="5"/>
      <c r="H39" s="5">
        <f t="shared" si="2"/>
        <v>2624</v>
      </c>
      <c r="I39" s="5">
        <f t="shared" si="3"/>
        <v>0</v>
      </c>
      <c r="J39" s="5">
        <f>Table1[[#This Row],[Enrolment S.Y. 2025-2026 ]]*8</f>
        <v>2624</v>
      </c>
      <c r="K39" s="5"/>
      <c r="L39" s="1"/>
      <c r="M39" s="5"/>
      <c r="N39" s="5">
        <f t="shared" si="10"/>
        <v>2624</v>
      </c>
      <c r="O39" s="5">
        <f t="shared" si="11"/>
        <v>0</v>
      </c>
      <c r="P39" s="5">
        <f>Table1[[#This Row],[Enrolment S.Y. 2025-2026 ]]*8</f>
        <v>2624</v>
      </c>
      <c r="Q39" s="5"/>
      <c r="R39" s="1"/>
      <c r="S39" s="5"/>
      <c r="T39" s="5">
        <f t="shared" si="12"/>
        <v>2624</v>
      </c>
      <c r="U39" s="5">
        <f t="shared" si="13"/>
        <v>0</v>
      </c>
      <c r="V39" s="5">
        <f>Table1[[#This Row],[Enrolment S.Y. 2025-2026 ]]*8</f>
        <v>2624</v>
      </c>
      <c r="W39" s="5"/>
      <c r="X39" s="1"/>
      <c r="Y39" s="5"/>
      <c r="Z39" s="5">
        <f t="shared" si="14"/>
        <v>2624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328</v>
      </c>
      <c r="D40" s="5">
        <f>Table1[[#This Row],[Enrolment S.Y. 2025-2026 ]]*8</f>
        <v>2624</v>
      </c>
      <c r="E40" s="5"/>
      <c r="F40" s="1"/>
      <c r="G40" s="5"/>
      <c r="H40" s="5">
        <f t="shared" si="2"/>
        <v>2624</v>
      </c>
      <c r="I40" s="5">
        <f t="shared" si="3"/>
        <v>0</v>
      </c>
      <c r="J40" s="5">
        <f>Table1[[#This Row],[Enrolment S.Y. 2025-2026 ]]*8</f>
        <v>2624</v>
      </c>
      <c r="K40" s="5"/>
      <c r="L40" s="1"/>
      <c r="M40" s="5"/>
      <c r="N40" s="5">
        <f t="shared" si="10"/>
        <v>2624</v>
      </c>
      <c r="O40" s="5">
        <f t="shared" si="11"/>
        <v>0</v>
      </c>
      <c r="P40" s="5">
        <f>Table1[[#This Row],[Enrolment S.Y. 2025-2026 ]]*8</f>
        <v>2624</v>
      </c>
      <c r="Q40" s="5"/>
      <c r="R40" s="1"/>
      <c r="S40" s="5"/>
      <c r="T40" s="5">
        <f t="shared" si="12"/>
        <v>2624</v>
      </c>
      <c r="U40" s="5">
        <f t="shared" si="13"/>
        <v>0</v>
      </c>
      <c r="V40" s="5">
        <f>Table1[[#This Row],[Enrolment S.Y. 2025-2026 ]]*8</f>
        <v>2624</v>
      </c>
      <c r="W40" s="5"/>
      <c r="X40" s="1"/>
      <c r="Y40" s="5"/>
      <c r="Z40" s="5">
        <f t="shared" si="14"/>
        <v>2624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328</v>
      </c>
      <c r="D41" s="5">
        <f>Table1[[#This Row],[Enrolment S.Y. 2025-2026 ]]*8</f>
        <v>2624</v>
      </c>
      <c r="E41" s="5"/>
      <c r="F41" s="1"/>
      <c r="G41" s="5"/>
      <c r="H41" s="5">
        <f t="shared" si="2"/>
        <v>2624</v>
      </c>
      <c r="I41" s="5">
        <f t="shared" si="3"/>
        <v>0</v>
      </c>
      <c r="J41" s="5">
        <f>Table1[[#This Row],[Enrolment S.Y. 2025-2026 ]]*8</f>
        <v>2624</v>
      </c>
      <c r="K41" s="5"/>
      <c r="L41" s="1"/>
      <c r="M41" s="5"/>
      <c r="N41" s="5">
        <f t="shared" si="10"/>
        <v>2624</v>
      </c>
      <c r="O41" s="5">
        <f t="shared" si="11"/>
        <v>0</v>
      </c>
      <c r="P41" s="5">
        <f>Table1[[#This Row],[Enrolment S.Y. 2025-2026 ]]*8</f>
        <v>2624</v>
      </c>
      <c r="Q41" s="5"/>
      <c r="R41" s="1"/>
      <c r="S41" s="5"/>
      <c r="T41" s="5">
        <f t="shared" si="12"/>
        <v>2624</v>
      </c>
      <c r="U41" s="5">
        <f t="shared" si="13"/>
        <v>0</v>
      </c>
      <c r="V41" s="5">
        <f>Table1[[#This Row],[Enrolment S.Y. 2025-2026 ]]*8</f>
        <v>2624</v>
      </c>
      <c r="W41" s="5"/>
      <c r="X41" s="1"/>
      <c r="Y41" s="5"/>
      <c r="Z41" s="5">
        <f t="shared" si="14"/>
        <v>2624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268</v>
      </c>
      <c r="D43" s="5">
        <f>Table1[[#This Row],[Enrolment S.Y. 2025-2026 ]]*8</f>
        <v>2144</v>
      </c>
      <c r="E43" s="5">
        <v>179</v>
      </c>
      <c r="F43" s="1">
        <v>2025</v>
      </c>
      <c r="G43" s="5" t="s">
        <v>63</v>
      </c>
      <c r="H43" s="5">
        <f t="shared" si="2"/>
        <v>1965</v>
      </c>
      <c r="I43" s="5">
        <f t="shared" si="3"/>
        <v>0</v>
      </c>
      <c r="J43" s="5">
        <f>Table1[[#This Row],[Enrolment S.Y. 2025-2026 ]]*8</f>
        <v>2144</v>
      </c>
      <c r="K43" s="5">
        <v>266</v>
      </c>
      <c r="L43" s="1">
        <v>2025</v>
      </c>
      <c r="M43" s="5" t="s">
        <v>63</v>
      </c>
      <c r="N43" s="5">
        <f t="shared" si="10"/>
        <v>1878</v>
      </c>
      <c r="O43" s="5">
        <f t="shared" si="11"/>
        <v>0</v>
      </c>
      <c r="P43" s="5">
        <f>Table1[[#This Row],[Enrolment S.Y. 2025-2026 ]]*8</f>
        <v>2144</v>
      </c>
      <c r="Q43" s="5"/>
      <c r="R43" s="1"/>
      <c r="S43" s="5"/>
      <c r="T43" s="5">
        <f t="shared" si="12"/>
        <v>2144</v>
      </c>
      <c r="U43" s="5">
        <f t="shared" si="13"/>
        <v>0</v>
      </c>
      <c r="V43" s="5">
        <f>Table1[[#This Row],[Enrolment S.Y. 2025-2026 ]]*8</f>
        <v>2144</v>
      </c>
      <c r="W43" s="5"/>
      <c r="X43" s="1"/>
      <c r="Y43" s="5"/>
      <c r="Z43" s="5">
        <f t="shared" si="14"/>
        <v>2144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268</v>
      </c>
      <c r="D44" s="5">
        <f>Table1[[#This Row],[Enrolment S.Y. 2025-2026 ]]*8</f>
        <v>2144</v>
      </c>
      <c r="E44" s="5">
        <v>179</v>
      </c>
      <c r="F44" s="1">
        <v>2025</v>
      </c>
      <c r="G44" s="5" t="s">
        <v>63</v>
      </c>
      <c r="H44" s="5">
        <f t="shared" si="2"/>
        <v>1965</v>
      </c>
      <c r="I44" s="5">
        <f t="shared" si="3"/>
        <v>0</v>
      </c>
      <c r="J44" s="5">
        <f>Table1[[#This Row],[Enrolment S.Y. 2025-2026 ]]*8</f>
        <v>2144</v>
      </c>
      <c r="K44" s="5"/>
      <c r="L44" s="1"/>
      <c r="M44" s="5"/>
      <c r="N44" s="5">
        <f t="shared" si="10"/>
        <v>2144</v>
      </c>
      <c r="O44" s="5">
        <f t="shared" si="11"/>
        <v>0</v>
      </c>
      <c r="P44" s="5">
        <f>Table1[[#This Row],[Enrolment S.Y. 2025-2026 ]]*8</f>
        <v>2144</v>
      </c>
      <c r="Q44" s="5"/>
      <c r="R44" s="1"/>
      <c r="S44" s="5"/>
      <c r="T44" s="5">
        <f t="shared" si="12"/>
        <v>2144</v>
      </c>
      <c r="U44" s="5">
        <f t="shared" si="13"/>
        <v>0</v>
      </c>
      <c r="V44" s="5">
        <f>Table1[[#This Row],[Enrolment S.Y. 2025-2026 ]]*8</f>
        <v>2144</v>
      </c>
      <c r="W44" s="5"/>
      <c r="X44" s="1"/>
      <c r="Y44" s="5"/>
      <c r="Z44" s="5">
        <f t="shared" si="14"/>
        <v>2144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268</v>
      </c>
      <c r="D45" s="5">
        <f>Table1[[#This Row],[Enrolment S.Y. 2025-2026 ]]*8</f>
        <v>2144</v>
      </c>
      <c r="E45" s="5">
        <v>179</v>
      </c>
      <c r="F45" s="1">
        <v>2025</v>
      </c>
      <c r="G45" s="5" t="s">
        <v>63</v>
      </c>
      <c r="H45" s="5">
        <f t="shared" si="2"/>
        <v>1965</v>
      </c>
      <c r="I45" s="5">
        <f t="shared" si="3"/>
        <v>0</v>
      </c>
      <c r="J45" s="5">
        <f>Table1[[#This Row],[Enrolment S.Y. 2025-2026 ]]*8</f>
        <v>2144</v>
      </c>
      <c r="K45" s="5">
        <v>266</v>
      </c>
      <c r="L45" s="1">
        <v>2025</v>
      </c>
      <c r="M45" s="5" t="s">
        <v>63</v>
      </c>
      <c r="N45" s="5">
        <f t="shared" si="10"/>
        <v>1878</v>
      </c>
      <c r="O45" s="5">
        <f t="shared" si="11"/>
        <v>0</v>
      </c>
      <c r="P45" s="5">
        <f>Table1[[#This Row],[Enrolment S.Y. 2025-2026 ]]*8</f>
        <v>2144</v>
      </c>
      <c r="Q45" s="5"/>
      <c r="R45" s="1"/>
      <c r="S45" s="5"/>
      <c r="T45" s="5">
        <f t="shared" si="12"/>
        <v>2144</v>
      </c>
      <c r="U45" s="5">
        <f t="shared" si="13"/>
        <v>0</v>
      </c>
      <c r="V45" s="5">
        <f>Table1[[#This Row],[Enrolment S.Y. 2025-2026 ]]*8</f>
        <v>2144</v>
      </c>
      <c r="W45" s="5"/>
      <c r="X45" s="1"/>
      <c r="Y45" s="5"/>
      <c r="Z45" s="5">
        <f t="shared" si="14"/>
        <v>2144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268</v>
      </c>
      <c r="D46" s="5">
        <f>Table1[[#This Row],[Enrolment S.Y. 2025-2026 ]]*8</f>
        <v>2144</v>
      </c>
      <c r="E46" s="5">
        <v>179</v>
      </c>
      <c r="F46" s="1">
        <v>2025</v>
      </c>
      <c r="G46" s="5" t="s">
        <v>63</v>
      </c>
      <c r="H46" s="5">
        <f t="shared" si="2"/>
        <v>1965</v>
      </c>
      <c r="I46" s="5">
        <f t="shared" si="3"/>
        <v>0</v>
      </c>
      <c r="J46" s="5">
        <f>Table1[[#This Row],[Enrolment S.Y. 2025-2026 ]]*8</f>
        <v>2144</v>
      </c>
      <c r="K46" s="5"/>
      <c r="L46" s="1"/>
      <c r="M46" s="5"/>
      <c r="N46" s="5">
        <f t="shared" si="10"/>
        <v>2144</v>
      </c>
      <c r="O46" s="5">
        <f t="shared" si="11"/>
        <v>0</v>
      </c>
      <c r="P46" s="5">
        <f>Table1[[#This Row],[Enrolment S.Y. 2025-2026 ]]*8</f>
        <v>2144</v>
      </c>
      <c r="Q46" s="5"/>
      <c r="R46" s="1"/>
      <c r="S46" s="5"/>
      <c r="T46" s="5">
        <f t="shared" si="12"/>
        <v>2144</v>
      </c>
      <c r="U46" s="5">
        <f t="shared" si="13"/>
        <v>0</v>
      </c>
      <c r="V46" s="5">
        <f>Table1[[#This Row],[Enrolment S.Y. 2025-2026 ]]*8</f>
        <v>2144</v>
      </c>
      <c r="W46" s="5"/>
      <c r="X46" s="1"/>
      <c r="Y46" s="5"/>
      <c r="Z46" s="5">
        <f t="shared" si="14"/>
        <v>2144</v>
      </c>
      <c r="AA46" s="5">
        <f t="shared" si="15"/>
        <v>0</v>
      </c>
    </row>
    <row r="47" spans="1:27" ht="39">
      <c r="A47" s="1">
        <v>5</v>
      </c>
      <c r="B47" s="9" t="s">
        <v>17</v>
      </c>
      <c r="C47" s="1">
        <v>268</v>
      </c>
      <c r="D47" s="5">
        <f>Table1[[#This Row],[Enrolment S.Y. 2025-2026 ]]*8</f>
        <v>2144</v>
      </c>
      <c r="E47" s="5"/>
      <c r="F47" s="1"/>
      <c r="G47" s="5"/>
      <c r="H47" s="5">
        <f t="shared" si="2"/>
        <v>2144</v>
      </c>
      <c r="I47" s="5">
        <f t="shared" si="3"/>
        <v>0</v>
      </c>
      <c r="J47" s="5">
        <f>Table1[[#This Row],[Enrolment S.Y. 2025-2026 ]]*8</f>
        <v>2144</v>
      </c>
      <c r="K47" s="5"/>
      <c r="L47" s="1"/>
      <c r="M47" s="5"/>
      <c r="N47" s="5">
        <f t="shared" si="10"/>
        <v>2144</v>
      </c>
      <c r="O47" s="5">
        <f t="shared" si="11"/>
        <v>0</v>
      </c>
      <c r="P47" s="5">
        <f>Table1[[#This Row],[Enrolment S.Y. 2025-2026 ]]*8</f>
        <v>2144</v>
      </c>
      <c r="Q47" s="5"/>
      <c r="R47" s="1"/>
      <c r="S47" s="5"/>
      <c r="T47" s="5">
        <f t="shared" si="12"/>
        <v>2144</v>
      </c>
      <c r="U47" s="5">
        <f t="shared" si="13"/>
        <v>0</v>
      </c>
      <c r="V47" s="5">
        <f>Table1[[#This Row],[Enrolment S.Y. 2025-2026 ]]*8</f>
        <v>2144</v>
      </c>
      <c r="W47" s="5"/>
      <c r="X47" s="1"/>
      <c r="Y47" s="5"/>
      <c r="Z47" s="5">
        <f t="shared" si="14"/>
        <v>2144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268</v>
      </c>
      <c r="D48" s="5">
        <f>Table1[[#This Row],[Enrolment S.Y. 2025-2026 ]]*8</f>
        <v>2144</v>
      </c>
      <c r="E48" s="5"/>
      <c r="F48" s="1"/>
      <c r="G48" s="5"/>
      <c r="H48" s="5">
        <f t="shared" si="2"/>
        <v>2144</v>
      </c>
      <c r="I48" s="5">
        <f t="shared" si="3"/>
        <v>0</v>
      </c>
      <c r="J48" s="5">
        <f>Table1[[#This Row],[Enrolment S.Y. 2025-2026 ]]*8</f>
        <v>2144</v>
      </c>
      <c r="K48" s="5"/>
      <c r="L48" s="1"/>
      <c r="M48" s="5"/>
      <c r="N48" s="5">
        <f t="shared" si="10"/>
        <v>2144</v>
      </c>
      <c r="O48" s="5">
        <f t="shared" si="11"/>
        <v>0</v>
      </c>
      <c r="P48" s="5">
        <f>Table1[[#This Row],[Enrolment S.Y. 2025-2026 ]]*8</f>
        <v>2144</v>
      </c>
      <c r="Q48" s="5"/>
      <c r="R48" s="1"/>
      <c r="S48" s="5"/>
      <c r="T48" s="5">
        <f t="shared" si="12"/>
        <v>2144</v>
      </c>
      <c r="U48" s="5">
        <f t="shared" si="13"/>
        <v>0</v>
      </c>
      <c r="V48" s="5">
        <f>Table1[[#This Row],[Enrolment S.Y. 2025-2026 ]]*8</f>
        <v>2144</v>
      </c>
      <c r="W48" s="5"/>
      <c r="X48" s="1"/>
      <c r="Y48" s="5"/>
      <c r="Z48" s="5">
        <f t="shared" si="14"/>
        <v>2144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268</v>
      </c>
      <c r="D49" s="5">
        <f>Table1[[#This Row],[Enrolment S.Y. 2025-2026 ]]*8</f>
        <v>2144</v>
      </c>
      <c r="E49" s="5"/>
      <c r="F49" s="1"/>
      <c r="G49" s="5"/>
      <c r="H49" s="5">
        <f t="shared" si="2"/>
        <v>2144</v>
      </c>
      <c r="I49" s="5">
        <f t="shared" si="3"/>
        <v>0</v>
      </c>
      <c r="J49" s="5">
        <f>Table1[[#This Row],[Enrolment S.Y. 2025-2026 ]]*8</f>
        <v>2144</v>
      </c>
      <c r="K49" s="5"/>
      <c r="L49" s="1"/>
      <c r="M49" s="5"/>
      <c r="N49" s="5">
        <f t="shared" si="10"/>
        <v>2144</v>
      </c>
      <c r="O49" s="5">
        <f t="shared" si="11"/>
        <v>0</v>
      </c>
      <c r="P49" s="5">
        <f>Table1[[#This Row],[Enrolment S.Y. 2025-2026 ]]*8</f>
        <v>2144</v>
      </c>
      <c r="Q49" s="5"/>
      <c r="R49" s="1"/>
      <c r="S49" s="5"/>
      <c r="T49" s="5">
        <f t="shared" si="12"/>
        <v>2144</v>
      </c>
      <c r="U49" s="5">
        <f t="shared" si="13"/>
        <v>0</v>
      </c>
      <c r="V49" s="5">
        <f>Table1[[#This Row],[Enrolment S.Y. 2025-2026 ]]*8</f>
        <v>2144</v>
      </c>
      <c r="W49" s="5"/>
      <c r="X49" s="1"/>
      <c r="Y49" s="5"/>
      <c r="Z49" s="5">
        <f t="shared" si="14"/>
        <v>2144</v>
      </c>
      <c r="AA49" s="5">
        <f t="shared" si="15"/>
        <v>0</v>
      </c>
    </row>
    <row r="50" spans="1:27" ht="19.5">
      <c r="A50" s="1">
        <v>5</v>
      </c>
      <c r="B50" s="9" t="s">
        <v>65</v>
      </c>
      <c r="C50" s="1">
        <v>268</v>
      </c>
      <c r="D50" s="5">
        <f>Table1[[#This Row],[Enrolment S.Y. 2025-2026 ]]*8</f>
        <v>2144</v>
      </c>
      <c r="E50" s="5">
        <v>179</v>
      </c>
      <c r="F50" s="1">
        <v>2025</v>
      </c>
      <c r="G50" s="5" t="s">
        <v>63</v>
      </c>
      <c r="H50" s="5">
        <f t="shared" si="2"/>
        <v>1965</v>
      </c>
      <c r="I50" s="5">
        <f t="shared" si="3"/>
        <v>0</v>
      </c>
      <c r="J50" s="5">
        <f>Table1[[#This Row],[Enrolment S.Y. 2025-2026 ]]*8</f>
        <v>2144</v>
      </c>
      <c r="K50" s="5"/>
      <c r="L50" s="1"/>
      <c r="M50" s="5"/>
      <c r="N50" s="5">
        <f t="shared" si="10"/>
        <v>2144</v>
      </c>
      <c r="O50" s="5">
        <f t="shared" si="11"/>
        <v>0</v>
      </c>
      <c r="P50" s="5">
        <f>Table1[[#This Row],[Enrolment S.Y. 2025-2026 ]]*8</f>
        <v>2144</v>
      </c>
      <c r="Q50" s="5"/>
      <c r="R50" s="1"/>
      <c r="S50" s="5"/>
      <c r="T50" s="5">
        <f t="shared" si="12"/>
        <v>2144</v>
      </c>
      <c r="U50" s="5">
        <f t="shared" si="13"/>
        <v>0</v>
      </c>
      <c r="V50" s="5">
        <f>Table1[[#This Row],[Enrolment S.Y. 2025-2026 ]]*8</f>
        <v>2144</v>
      </c>
      <c r="W50" s="5"/>
      <c r="X50" s="1"/>
      <c r="Y50" s="5"/>
      <c r="Z50" s="5">
        <f t="shared" si="14"/>
        <v>2144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268</v>
      </c>
      <c r="D51" s="5">
        <f>Table1[[#This Row],[Enrolment S.Y. 2025-2026 ]]*8</f>
        <v>2144</v>
      </c>
      <c r="E51" s="5"/>
      <c r="F51" s="1"/>
      <c r="G51" s="5"/>
      <c r="H51" s="5">
        <f t="shared" si="2"/>
        <v>2144</v>
      </c>
      <c r="I51" s="5">
        <f t="shared" si="3"/>
        <v>0</v>
      </c>
      <c r="J51" s="5">
        <f>Table1[[#This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Table1[[#This Row],[Enrolment S.Y. 2025-2026 ]]*8</f>
        <v>2144</v>
      </c>
      <c r="Q51" s="5"/>
      <c r="R51" s="1"/>
      <c r="S51" s="5"/>
      <c r="T51" s="5">
        <f t="shared" si="12"/>
        <v>2144</v>
      </c>
      <c r="U51" s="5">
        <f t="shared" si="13"/>
        <v>0</v>
      </c>
      <c r="V51" s="5">
        <f>Table1[[#This Row],[Enrolment S.Y. 2025-2026 ]]*8</f>
        <v>2144</v>
      </c>
      <c r="W51" s="5"/>
      <c r="X51" s="1"/>
      <c r="Y51" s="5"/>
      <c r="Z51" s="5">
        <f t="shared" si="14"/>
        <v>2144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280</v>
      </c>
      <c r="D53" s="5">
        <f>Table1[[#This Row],[Enrolment S.Y. 2025-2026 ]]*8</f>
        <v>2240</v>
      </c>
      <c r="E53" s="5"/>
      <c r="F53" s="1"/>
      <c r="G53" s="5"/>
      <c r="H53" s="5">
        <f t="shared" si="2"/>
        <v>2240</v>
      </c>
      <c r="I53" s="5">
        <f t="shared" si="3"/>
        <v>0</v>
      </c>
      <c r="J53" s="5">
        <f>Table1[[#This Row],[Enrolment S.Y. 2025-2026 ]]*8</f>
        <v>2240</v>
      </c>
      <c r="K53" s="5"/>
      <c r="L53" s="1"/>
      <c r="M53" s="5"/>
      <c r="N53" s="5">
        <f t="shared" si="10"/>
        <v>2240</v>
      </c>
      <c r="O53" s="5">
        <f t="shared" si="11"/>
        <v>0</v>
      </c>
      <c r="P53" s="5">
        <f>Table1[[#This Row],[Enrolment S.Y. 2025-2026 ]]*8</f>
        <v>2240</v>
      </c>
      <c r="Q53" s="5"/>
      <c r="R53" s="1"/>
      <c r="S53" s="5"/>
      <c r="T53" s="5">
        <f t="shared" si="12"/>
        <v>2240</v>
      </c>
      <c r="U53" s="5">
        <f t="shared" si="13"/>
        <v>0</v>
      </c>
      <c r="V53" s="5">
        <f>Table1[[#This Row],[Enrolment S.Y. 2025-2026 ]]*8</f>
        <v>2240</v>
      </c>
      <c r="W53" s="5"/>
      <c r="X53" s="1"/>
      <c r="Y53" s="5"/>
      <c r="Z53" s="5">
        <f t="shared" si="14"/>
        <v>2240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280</v>
      </c>
      <c r="D54" s="5">
        <f>Table1[[#This Row],[Enrolment S.Y. 2025-2026 ]]*8</f>
        <v>2240</v>
      </c>
      <c r="E54" s="5"/>
      <c r="F54" s="1"/>
      <c r="G54" s="5"/>
      <c r="H54" s="5">
        <f t="shared" si="2"/>
        <v>2240</v>
      </c>
      <c r="I54" s="5">
        <f t="shared" si="3"/>
        <v>0</v>
      </c>
      <c r="J54" s="5">
        <f>Table1[[#This Row],[Enrolment S.Y. 2025-2026 ]]*8</f>
        <v>2240</v>
      </c>
      <c r="K54" s="5"/>
      <c r="L54" s="1"/>
      <c r="M54" s="5"/>
      <c r="N54" s="5">
        <f t="shared" si="10"/>
        <v>2240</v>
      </c>
      <c r="O54" s="5">
        <f t="shared" si="11"/>
        <v>0</v>
      </c>
      <c r="P54" s="5">
        <f>Table1[[#This Row],[Enrolment S.Y. 2025-2026 ]]*8</f>
        <v>2240</v>
      </c>
      <c r="Q54" s="5"/>
      <c r="R54" s="1"/>
      <c r="S54" s="5"/>
      <c r="T54" s="5">
        <f t="shared" si="12"/>
        <v>2240</v>
      </c>
      <c r="U54" s="5">
        <f t="shared" si="13"/>
        <v>0</v>
      </c>
      <c r="V54" s="5">
        <f>Table1[[#This Row],[Enrolment S.Y. 2025-2026 ]]*8</f>
        <v>2240</v>
      </c>
      <c r="W54" s="5"/>
      <c r="X54" s="1"/>
      <c r="Y54" s="5"/>
      <c r="Z54" s="5">
        <f t="shared" si="14"/>
        <v>2240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280</v>
      </c>
      <c r="D55" s="5">
        <f>Table1[[#This Row],[Enrolment S.Y. 2025-2026 ]]*8</f>
        <v>2240</v>
      </c>
      <c r="E55" s="5"/>
      <c r="F55" s="1"/>
      <c r="G55" s="5"/>
      <c r="H55" s="5">
        <f t="shared" si="2"/>
        <v>2240</v>
      </c>
      <c r="I55" s="5">
        <f t="shared" si="3"/>
        <v>0</v>
      </c>
      <c r="J55" s="5">
        <f>Table1[[#This Row],[Enrolment S.Y. 2025-2026 ]]*8</f>
        <v>2240</v>
      </c>
      <c r="K55" s="5"/>
      <c r="L55" s="1"/>
      <c r="M55" s="5"/>
      <c r="N55" s="5">
        <f t="shared" si="10"/>
        <v>2240</v>
      </c>
      <c r="O55" s="5">
        <f t="shared" si="11"/>
        <v>0</v>
      </c>
      <c r="P55" s="5">
        <f>Table1[[#This Row],[Enrolment S.Y. 2025-2026 ]]*8</f>
        <v>2240</v>
      </c>
      <c r="Q55" s="5"/>
      <c r="R55" s="1"/>
      <c r="S55" s="5"/>
      <c r="T55" s="5">
        <f t="shared" si="12"/>
        <v>2240</v>
      </c>
      <c r="U55" s="5">
        <f t="shared" si="13"/>
        <v>0</v>
      </c>
      <c r="V55" s="5">
        <f>Table1[[#This Row],[Enrolment S.Y. 2025-2026 ]]*8</f>
        <v>2240</v>
      </c>
      <c r="W55" s="5"/>
      <c r="X55" s="1"/>
      <c r="Y55" s="5"/>
      <c r="Z55" s="5">
        <f t="shared" si="14"/>
        <v>2240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280</v>
      </c>
      <c r="D56" s="5">
        <f>Table1[[#This Row],[Enrolment S.Y. 2025-2026 ]]*8</f>
        <v>2240</v>
      </c>
      <c r="E56" s="5"/>
      <c r="F56" s="1"/>
      <c r="G56" s="5"/>
      <c r="H56" s="5">
        <f t="shared" si="2"/>
        <v>2240</v>
      </c>
      <c r="I56" s="5">
        <f t="shared" si="3"/>
        <v>0</v>
      </c>
      <c r="J56" s="5">
        <f>Table1[[#This Row],[Enrolment S.Y. 2025-2026 ]]*8</f>
        <v>2240</v>
      </c>
      <c r="K56" s="5"/>
      <c r="L56" s="1"/>
      <c r="M56" s="5"/>
      <c r="N56" s="5">
        <f t="shared" si="10"/>
        <v>2240</v>
      </c>
      <c r="O56" s="5">
        <f t="shared" si="11"/>
        <v>0</v>
      </c>
      <c r="P56" s="5">
        <f>Table1[[#This Row],[Enrolment S.Y. 2025-2026 ]]*8</f>
        <v>2240</v>
      </c>
      <c r="Q56" s="5"/>
      <c r="R56" s="1"/>
      <c r="S56" s="5"/>
      <c r="T56" s="5">
        <f t="shared" si="12"/>
        <v>2240</v>
      </c>
      <c r="U56" s="5">
        <f t="shared" si="13"/>
        <v>0</v>
      </c>
      <c r="V56" s="5">
        <f>Table1[[#This Row],[Enrolment S.Y. 2025-2026 ]]*8</f>
        <v>2240</v>
      </c>
      <c r="W56" s="5"/>
      <c r="X56" s="1"/>
      <c r="Y56" s="5"/>
      <c r="Z56" s="5">
        <f t="shared" si="14"/>
        <v>2240</v>
      </c>
      <c r="AA56" s="5">
        <f t="shared" si="15"/>
        <v>0</v>
      </c>
    </row>
    <row r="57" spans="1:27" ht="39">
      <c r="A57" s="1">
        <v>6</v>
      </c>
      <c r="B57" s="9" t="s">
        <v>17</v>
      </c>
      <c r="C57" s="1">
        <v>280</v>
      </c>
      <c r="D57" s="5">
        <f>Table1[[#This Row],[Enrolment S.Y. 2025-2026 ]]*8</f>
        <v>2240</v>
      </c>
      <c r="E57" s="5"/>
      <c r="F57" s="1"/>
      <c r="G57" s="5"/>
      <c r="H57" s="5">
        <f t="shared" si="2"/>
        <v>2240</v>
      </c>
      <c r="I57" s="5">
        <f t="shared" si="3"/>
        <v>0</v>
      </c>
      <c r="J57" s="5">
        <f>Table1[[#This Row],[Enrolment S.Y. 2025-2026 ]]*8</f>
        <v>2240</v>
      </c>
      <c r="K57" s="5"/>
      <c r="L57" s="1"/>
      <c r="M57" s="5"/>
      <c r="N57" s="5">
        <f t="shared" si="10"/>
        <v>2240</v>
      </c>
      <c r="O57" s="5">
        <f t="shared" si="11"/>
        <v>0</v>
      </c>
      <c r="P57" s="5">
        <f>Table1[[#This Row],[Enrolment S.Y. 2025-2026 ]]*8</f>
        <v>2240</v>
      </c>
      <c r="Q57" s="5"/>
      <c r="R57" s="1"/>
      <c r="S57" s="5"/>
      <c r="T57" s="5">
        <f t="shared" si="12"/>
        <v>2240</v>
      </c>
      <c r="U57" s="5">
        <f t="shared" si="13"/>
        <v>0</v>
      </c>
      <c r="V57" s="5">
        <f>Table1[[#This Row],[Enrolment S.Y. 2025-2026 ]]*8</f>
        <v>2240</v>
      </c>
      <c r="W57" s="5"/>
      <c r="X57" s="1"/>
      <c r="Y57" s="5"/>
      <c r="Z57" s="5">
        <f t="shared" si="14"/>
        <v>2240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280</v>
      </c>
      <c r="D58" s="5">
        <f>Table1[[#This Row],[Enrolment S.Y. 2025-2026 ]]*8</f>
        <v>2240</v>
      </c>
      <c r="E58" s="5"/>
      <c r="F58" s="1"/>
      <c r="G58" s="5"/>
      <c r="H58" s="5">
        <f t="shared" si="2"/>
        <v>2240</v>
      </c>
      <c r="I58" s="5">
        <f t="shared" si="3"/>
        <v>0</v>
      </c>
      <c r="J58" s="5">
        <f>Table1[[#This Row],[Enrolment S.Y. 2025-2026 ]]*8</f>
        <v>2240</v>
      </c>
      <c r="K58" s="5"/>
      <c r="L58" s="1"/>
      <c r="M58" s="5"/>
      <c r="N58" s="5">
        <f t="shared" si="10"/>
        <v>2240</v>
      </c>
      <c r="O58" s="5">
        <f t="shared" si="11"/>
        <v>0</v>
      </c>
      <c r="P58" s="5">
        <f>Table1[[#This Row],[Enrolment S.Y. 2025-2026 ]]*8</f>
        <v>2240</v>
      </c>
      <c r="Q58" s="5"/>
      <c r="R58" s="1"/>
      <c r="S58" s="5"/>
      <c r="T58" s="5">
        <f t="shared" si="12"/>
        <v>2240</v>
      </c>
      <c r="U58" s="5">
        <f t="shared" si="13"/>
        <v>0</v>
      </c>
      <c r="V58" s="5">
        <f>Table1[[#This Row],[Enrolment S.Y. 2025-2026 ]]*8</f>
        <v>2240</v>
      </c>
      <c r="W58" s="5"/>
      <c r="X58" s="1"/>
      <c r="Y58" s="5"/>
      <c r="Z58" s="5">
        <f t="shared" si="14"/>
        <v>2240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280</v>
      </c>
      <c r="D59" s="5">
        <f>Table1[[#This Row],[Enrolment S.Y. 2025-2026 ]]*8</f>
        <v>2240</v>
      </c>
      <c r="E59" s="5"/>
      <c r="F59" s="1"/>
      <c r="G59" s="5"/>
      <c r="H59" s="5">
        <f t="shared" si="2"/>
        <v>2240</v>
      </c>
      <c r="I59" s="5">
        <f t="shared" si="3"/>
        <v>0</v>
      </c>
      <c r="J59" s="5">
        <f>Table1[[#This Row],[Enrolment S.Y. 2025-2026 ]]*8</f>
        <v>2240</v>
      </c>
      <c r="K59" s="5"/>
      <c r="L59" s="1"/>
      <c r="M59" s="5"/>
      <c r="N59" s="5">
        <f t="shared" si="10"/>
        <v>2240</v>
      </c>
      <c r="O59" s="5">
        <f t="shared" si="11"/>
        <v>0</v>
      </c>
      <c r="P59" s="5">
        <f>Table1[[#This Row],[Enrolment S.Y. 2025-2026 ]]*8</f>
        <v>2240</v>
      </c>
      <c r="Q59" s="5"/>
      <c r="R59" s="1"/>
      <c r="S59" s="5"/>
      <c r="T59" s="5">
        <f t="shared" si="12"/>
        <v>2240</v>
      </c>
      <c r="U59" s="5">
        <f t="shared" si="13"/>
        <v>0</v>
      </c>
      <c r="V59" s="5">
        <f>Table1[[#This Row],[Enrolment S.Y. 2025-2026 ]]*8</f>
        <v>2240</v>
      </c>
      <c r="W59" s="5"/>
      <c r="X59" s="1"/>
      <c r="Y59" s="5"/>
      <c r="Z59" s="5">
        <f t="shared" si="14"/>
        <v>2240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280</v>
      </c>
      <c r="D60" s="5">
        <f>Table1[[#This Row],[Enrolment S.Y. 2025-2026 ]]*8</f>
        <v>2240</v>
      </c>
      <c r="E60" s="5"/>
      <c r="F60" s="1"/>
      <c r="G60" s="5"/>
      <c r="H60" s="5">
        <f t="shared" si="2"/>
        <v>2240</v>
      </c>
      <c r="I60" s="5">
        <f t="shared" si="3"/>
        <v>0</v>
      </c>
      <c r="J60" s="5">
        <f>Table1[[#This Row],[Enrolment S.Y. 2025-2026 ]]*8</f>
        <v>2240</v>
      </c>
      <c r="K60" s="5"/>
      <c r="L60" s="1"/>
      <c r="M60" s="5"/>
      <c r="N60" s="5">
        <f t="shared" si="10"/>
        <v>2240</v>
      </c>
      <c r="O60" s="5">
        <f t="shared" si="11"/>
        <v>0</v>
      </c>
      <c r="P60" s="5">
        <f>Table1[[#This Row],[Enrolment S.Y. 2025-2026 ]]*8</f>
        <v>2240</v>
      </c>
      <c r="Q60" s="5"/>
      <c r="R60" s="1"/>
      <c r="S60" s="5"/>
      <c r="T60" s="5">
        <f t="shared" si="12"/>
        <v>2240</v>
      </c>
      <c r="U60" s="5">
        <f t="shared" si="13"/>
        <v>0</v>
      </c>
      <c r="V60" s="5">
        <f>Table1[[#This Row],[Enrolment S.Y. 2025-2026 ]]*8</f>
        <v>2240</v>
      </c>
      <c r="W60" s="5"/>
      <c r="X60" s="1"/>
      <c r="Y60" s="5"/>
      <c r="Z60" s="5">
        <f t="shared" si="14"/>
        <v>2240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280</v>
      </c>
      <c r="D61" s="5">
        <f>Table1[[#This Row],[Enrolment S.Y. 2025-2026 ]]*8</f>
        <v>2240</v>
      </c>
      <c r="E61" s="5"/>
      <c r="F61" s="1"/>
      <c r="G61" s="5"/>
      <c r="H61" s="5">
        <f t="shared" si="2"/>
        <v>2240</v>
      </c>
      <c r="I61" s="5">
        <f t="shared" si="3"/>
        <v>0</v>
      </c>
      <c r="J61" s="5">
        <f>Table1[[#This Row],[Enrolment S.Y. 2025-2026 ]]*8</f>
        <v>2240</v>
      </c>
      <c r="K61" s="5"/>
      <c r="L61" s="1"/>
      <c r="M61" s="5"/>
      <c r="N61" s="5">
        <f t="shared" si="10"/>
        <v>2240</v>
      </c>
      <c r="O61" s="5">
        <f t="shared" si="11"/>
        <v>0</v>
      </c>
      <c r="P61" s="5">
        <f>Table1[[#This Row],[Enrolment S.Y. 2025-2026 ]]*8</f>
        <v>2240</v>
      </c>
      <c r="Q61" s="5"/>
      <c r="R61" s="1"/>
      <c r="S61" s="5"/>
      <c r="T61" s="5">
        <f t="shared" si="12"/>
        <v>2240</v>
      </c>
      <c r="U61" s="5">
        <f t="shared" si="13"/>
        <v>0</v>
      </c>
      <c r="V61" s="5">
        <f>Table1[[#This Row],[Enrolment S.Y. 2025-2026 ]]*8</f>
        <v>2240</v>
      </c>
      <c r="W61" s="5"/>
      <c r="X61" s="1"/>
      <c r="Y61" s="5"/>
      <c r="Z61" s="5">
        <f t="shared" si="14"/>
        <v>2240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paperSize="9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2"/>
  <sheetViews>
    <sheetView topLeftCell="A99" zoomScale="55" zoomScaleNormal="55" workbookViewId="0">
      <selection activeCell="E56" sqref="E56:E5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9">
      <c r="A3" s="1">
        <v>1</v>
      </c>
      <c r="B3" s="2" t="s">
        <v>8</v>
      </c>
      <c r="C3" s="1">
        <v>275</v>
      </c>
      <c r="D3" s="5">
        <f>Table14[[#This Row],[Enrolment S.Y. 2025-2026 ]]*8</f>
        <v>2200</v>
      </c>
      <c r="E3" s="5"/>
      <c r="F3" s="1"/>
      <c r="G3" s="5"/>
      <c r="H3" s="5">
        <f t="shared" ref="H3:H85" si="0">IF((D3-E3)&lt;0,0,(D3-E3))</f>
        <v>2200</v>
      </c>
      <c r="I3" s="5">
        <f t="shared" ref="I3:I85" si="1">IF((E3-D3)&lt;0,0,(E3-D3))</f>
        <v>0</v>
      </c>
      <c r="J3" s="5">
        <f>Table14[[#This Row],[Enrolment S.Y. 2025-2026 ]]*8</f>
        <v>2200</v>
      </c>
      <c r="K3" s="5"/>
      <c r="L3" s="1"/>
      <c r="M3" s="5"/>
      <c r="N3" s="5">
        <f t="shared" ref="N3:N72" si="2">IF((J3-K3)&lt;0,0,(J3-K3))</f>
        <v>2200</v>
      </c>
      <c r="O3" s="5">
        <f t="shared" ref="O3:O72" si="3">IF((K3-J3)&lt;0,0,(K3-J3))</f>
        <v>0</v>
      </c>
      <c r="P3" s="5">
        <f>Table14[[#This Row],[Enrolment S.Y. 2025-2026 ]]*8</f>
        <v>2200</v>
      </c>
      <c r="Q3" s="5"/>
      <c r="R3" s="1"/>
      <c r="S3" s="5"/>
      <c r="T3" s="5">
        <f t="shared" ref="T3:T74" si="4">IF((P3-Q3)&lt;0,0,(P3-Q3))</f>
        <v>2200</v>
      </c>
      <c r="U3" s="5">
        <f t="shared" ref="U3:U74" si="5">IF((Q3-P3)&lt;0,0,(Q3-P3))</f>
        <v>0</v>
      </c>
      <c r="V3" s="5">
        <f>Table14[[#This Row],[Enrolment S.Y. 2025-2026 ]]*8</f>
        <v>2200</v>
      </c>
      <c r="W3" s="5"/>
      <c r="X3" s="1"/>
      <c r="Y3" s="5"/>
      <c r="Z3" s="5">
        <f t="shared" ref="Z3:Z74" si="6">IF((V3-W3)&lt;0,0,(V3-W3))</f>
        <v>2200</v>
      </c>
      <c r="AA3" s="5">
        <f t="shared" ref="AA3:AA74" si="7">IF((W3-V3)&lt;0,0,(W3-V3))</f>
        <v>0</v>
      </c>
    </row>
    <row r="4" spans="1:27" ht="19.5">
      <c r="A4" s="1">
        <v>1</v>
      </c>
      <c r="B4" s="2" t="s">
        <v>10</v>
      </c>
      <c r="C4" s="1">
        <v>275</v>
      </c>
      <c r="D4" s="5">
        <f>Table14[[#This Row],[Enrolment S.Y. 2025-2026 ]]*8</f>
        <v>2200</v>
      </c>
      <c r="E4" s="5"/>
      <c r="F4" s="1"/>
      <c r="G4" s="5"/>
      <c r="H4" s="5">
        <f t="shared" si="0"/>
        <v>2200</v>
      </c>
      <c r="I4" s="5">
        <f t="shared" si="1"/>
        <v>0</v>
      </c>
      <c r="J4" s="5">
        <f>Table14[[#This Row],[Enrolment S.Y. 2025-2026 ]]*8</f>
        <v>2200</v>
      </c>
      <c r="K4" s="5"/>
      <c r="L4" s="1"/>
      <c r="M4" s="5"/>
      <c r="N4" s="5">
        <f t="shared" si="2"/>
        <v>2200</v>
      </c>
      <c r="O4" s="5">
        <f t="shared" si="3"/>
        <v>0</v>
      </c>
      <c r="P4" s="5">
        <f>Table14[[#This Row],[Enrolment S.Y. 2025-2026 ]]*8</f>
        <v>2200</v>
      </c>
      <c r="Q4" s="5"/>
      <c r="R4" s="1"/>
      <c r="S4" s="5"/>
      <c r="T4" s="5">
        <f t="shared" si="4"/>
        <v>2200</v>
      </c>
      <c r="U4" s="5">
        <f t="shared" si="5"/>
        <v>0</v>
      </c>
      <c r="V4" s="5">
        <f>Table14[[#This Row],[Enrolment S.Y. 2025-2026 ]]*8</f>
        <v>2200</v>
      </c>
      <c r="W4" s="5"/>
      <c r="X4" s="1"/>
      <c r="Y4" s="5"/>
      <c r="Z4" s="5">
        <f t="shared" si="6"/>
        <v>2200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275</v>
      </c>
      <c r="D5" s="5">
        <f>Table14[[#This Row],[Enrolment S.Y. 2025-2026 ]]*8</f>
        <v>2200</v>
      </c>
      <c r="E5" s="5"/>
      <c r="F5" s="1"/>
      <c r="G5" s="5"/>
      <c r="H5" s="5">
        <f t="shared" si="0"/>
        <v>2200</v>
      </c>
      <c r="I5" s="5">
        <f t="shared" si="1"/>
        <v>0</v>
      </c>
      <c r="J5" s="5">
        <f>Table14[[#This Row],[Enrolment S.Y. 2025-2026 ]]*8</f>
        <v>2200</v>
      </c>
      <c r="K5" s="5"/>
      <c r="L5" s="1"/>
      <c r="M5" s="5"/>
      <c r="N5" s="5">
        <f t="shared" si="2"/>
        <v>2200</v>
      </c>
      <c r="O5" s="5">
        <f t="shared" si="3"/>
        <v>0</v>
      </c>
      <c r="P5" s="5">
        <f>Table14[[#This Row],[Enrolment S.Y. 2025-2026 ]]*8</f>
        <v>2200</v>
      </c>
      <c r="Q5" s="5"/>
      <c r="R5" s="1"/>
      <c r="S5" s="5"/>
      <c r="T5" s="5">
        <f t="shared" si="4"/>
        <v>2200</v>
      </c>
      <c r="U5" s="5">
        <f t="shared" si="5"/>
        <v>0</v>
      </c>
      <c r="V5" s="5">
        <f>Table14[[#This Row],[Enrolment S.Y. 2025-2026 ]]*8</f>
        <v>2200</v>
      </c>
      <c r="W5" s="5"/>
      <c r="X5" s="1"/>
      <c r="Y5" s="5"/>
      <c r="Z5" s="5">
        <f t="shared" si="6"/>
        <v>2200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275</v>
      </c>
      <c r="D6" s="5">
        <f>Table14[[#This Row],[Enrolment S.Y. 2025-2026 ]]*8</f>
        <v>2200</v>
      </c>
      <c r="E6" s="5"/>
      <c r="F6" s="1"/>
      <c r="G6" s="5"/>
      <c r="H6" s="5">
        <f t="shared" si="0"/>
        <v>2200</v>
      </c>
      <c r="I6" s="5">
        <f t="shared" si="1"/>
        <v>0</v>
      </c>
      <c r="J6" s="5">
        <f>Table14[[#This Row],[Enrolment S.Y. 2025-2026 ]]*8</f>
        <v>2200</v>
      </c>
      <c r="K6" s="5"/>
      <c r="L6" s="1"/>
      <c r="M6" s="5"/>
      <c r="N6" s="5">
        <f t="shared" si="2"/>
        <v>2200</v>
      </c>
      <c r="O6" s="5">
        <f t="shared" si="3"/>
        <v>0</v>
      </c>
      <c r="P6" s="5">
        <f>Table14[[#This Row],[Enrolment S.Y. 2025-2026 ]]*8</f>
        <v>2200</v>
      </c>
      <c r="Q6" s="5"/>
      <c r="R6" s="1"/>
      <c r="S6" s="5"/>
      <c r="T6" s="5">
        <f t="shared" si="4"/>
        <v>2200</v>
      </c>
      <c r="U6" s="5">
        <f t="shared" si="5"/>
        <v>0</v>
      </c>
      <c r="V6" s="5">
        <f>Table14[[#This Row],[Enrolment S.Y. 2025-2026 ]]*8</f>
        <v>2200</v>
      </c>
      <c r="W6" s="5"/>
      <c r="X6" s="1"/>
      <c r="Y6" s="5"/>
      <c r="Z6" s="5">
        <f t="shared" si="6"/>
        <v>2200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275</v>
      </c>
      <c r="D7" s="5">
        <f>Table14[[#This Row],[Enrolment S.Y. 2025-2026 ]]*8</f>
        <v>2200</v>
      </c>
      <c r="E7" s="5"/>
      <c r="F7" s="1"/>
      <c r="G7" s="5"/>
      <c r="H7" s="5">
        <f t="shared" si="0"/>
        <v>2200</v>
      </c>
      <c r="I7" s="5">
        <f t="shared" si="1"/>
        <v>0</v>
      </c>
      <c r="J7" s="5">
        <f>Table14[[#This Row],[Enrolment S.Y. 2025-2026 ]]*8</f>
        <v>2200</v>
      </c>
      <c r="K7" s="5"/>
      <c r="L7" s="1"/>
      <c r="M7" s="5"/>
      <c r="N7" s="5">
        <f t="shared" si="2"/>
        <v>2200</v>
      </c>
      <c r="O7" s="5">
        <f t="shared" si="3"/>
        <v>0</v>
      </c>
      <c r="P7" s="5">
        <f>Table14[[#This Row],[Enrolment S.Y. 2025-2026 ]]*8</f>
        <v>2200</v>
      </c>
      <c r="Q7" s="5"/>
      <c r="R7" s="1"/>
      <c r="S7" s="5"/>
      <c r="T7" s="5">
        <f t="shared" si="4"/>
        <v>2200</v>
      </c>
      <c r="U7" s="5">
        <f t="shared" si="5"/>
        <v>0</v>
      </c>
      <c r="V7" s="5">
        <f>Table14[[#This Row],[Enrolment S.Y. 2025-2026 ]]*8</f>
        <v>2200</v>
      </c>
      <c r="W7" s="5"/>
      <c r="X7" s="1"/>
      <c r="Y7" s="5"/>
      <c r="Z7" s="5">
        <f t="shared" si="6"/>
        <v>2200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275</v>
      </c>
      <c r="D8" s="5">
        <f>Table14[[#This Row],[Enrolment S.Y. 2025-2026 ]]*8</f>
        <v>2200</v>
      </c>
      <c r="E8" s="5"/>
      <c r="F8" s="1"/>
      <c r="G8" s="5"/>
      <c r="H8" s="5">
        <f>IF((D8-E8)&lt;0,0,(D8-E8))</f>
        <v>2200</v>
      </c>
      <c r="I8" s="5">
        <f>IF((E8-D8)&lt;0,0,(E8-D8))</f>
        <v>0</v>
      </c>
      <c r="J8" s="5">
        <f>Table14[[#This Row],[Enrolment S.Y. 2025-2026 ]]*8</f>
        <v>2200</v>
      </c>
      <c r="K8" s="5"/>
      <c r="L8" s="1"/>
      <c r="M8" s="5"/>
      <c r="N8" s="5">
        <f t="shared" si="2"/>
        <v>2200</v>
      </c>
      <c r="O8" s="5">
        <f t="shared" si="3"/>
        <v>0</v>
      </c>
      <c r="P8" s="5">
        <f>Table14[[#This Row],[Enrolment S.Y. 2025-2026 ]]*8</f>
        <v>2200</v>
      </c>
      <c r="Q8" s="5"/>
      <c r="R8" s="1"/>
      <c r="S8" s="5"/>
      <c r="T8" s="5">
        <f t="shared" si="4"/>
        <v>2200</v>
      </c>
      <c r="U8" s="5">
        <f t="shared" si="5"/>
        <v>0</v>
      </c>
      <c r="V8" s="5">
        <f>Table14[[#This Row],[Enrolment S.Y. 2025-2026 ]]*8</f>
        <v>2200</v>
      </c>
      <c r="W8" s="5"/>
      <c r="X8" s="1"/>
      <c r="Y8" s="5"/>
      <c r="Z8" s="5">
        <f t="shared" si="6"/>
        <v>2200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275</v>
      </c>
      <c r="D9" s="5">
        <f>Table14[[#This Row],[Enrolment S.Y. 2025-2026 ]]*8</f>
        <v>2200</v>
      </c>
      <c r="E9" s="5"/>
      <c r="F9" s="1"/>
      <c r="G9" s="5"/>
      <c r="H9" s="5">
        <f>IF((D9-E9)&lt;0,0,(D9-E9))</f>
        <v>2200</v>
      </c>
      <c r="I9" s="5">
        <f>IF((E9-D9)&lt;0,0,(E9-D9))</f>
        <v>0</v>
      </c>
      <c r="J9" s="5">
        <f>Table14[[#This Row],[Enrolment S.Y. 2025-2026 ]]*8</f>
        <v>2200</v>
      </c>
      <c r="K9" s="5"/>
      <c r="L9" s="1"/>
      <c r="M9" s="5"/>
      <c r="N9" s="5">
        <f t="shared" si="2"/>
        <v>2200</v>
      </c>
      <c r="O9" s="5">
        <f t="shared" si="3"/>
        <v>0</v>
      </c>
      <c r="P9" s="5">
        <f>Table14[[#This Row],[Enrolment S.Y. 2025-2026 ]]*8</f>
        <v>2200</v>
      </c>
      <c r="Q9" s="5"/>
      <c r="R9" s="1"/>
      <c r="S9" s="5"/>
      <c r="T9" s="5">
        <f t="shared" si="4"/>
        <v>2200</v>
      </c>
      <c r="U9" s="5">
        <f t="shared" si="5"/>
        <v>0</v>
      </c>
      <c r="V9" s="5">
        <f>Table14[[#This Row],[Enrolment S.Y. 2025-2026 ]]*8</f>
        <v>2200</v>
      </c>
      <c r="W9" s="5"/>
      <c r="X9" s="1"/>
      <c r="Y9" s="5"/>
      <c r="Z9" s="5">
        <f t="shared" si="6"/>
        <v>2200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275</v>
      </c>
      <c r="D10" s="5">
        <f>Table14[[#This Row],[Enrolment S.Y. 2025-2026 ]]*8</f>
        <v>2200</v>
      </c>
      <c r="E10" s="5"/>
      <c r="F10" s="1"/>
      <c r="G10" s="5"/>
      <c r="H10" s="5">
        <f>IF((D10-E10)&lt;0,0,(D10-E10))</f>
        <v>2200</v>
      </c>
      <c r="I10" s="5">
        <f>IF((E10-D10)&lt;0,0,(E10-D10))</f>
        <v>0</v>
      </c>
      <c r="J10" s="5">
        <f>Table14[[#This Row],[Enrolment S.Y. 2025-2026 ]]*8</f>
        <v>2200</v>
      </c>
      <c r="K10" s="5"/>
      <c r="L10" s="1"/>
      <c r="M10" s="5"/>
      <c r="N10" s="5">
        <f t="shared" si="2"/>
        <v>2200</v>
      </c>
      <c r="O10" s="5">
        <f t="shared" si="3"/>
        <v>0</v>
      </c>
      <c r="P10" s="5">
        <f>Table14[[#This Row],[Enrolment S.Y. 2025-2026 ]]*8</f>
        <v>2200</v>
      </c>
      <c r="Q10" s="5"/>
      <c r="R10" s="1"/>
      <c r="S10" s="5"/>
      <c r="T10" s="5">
        <f t="shared" si="4"/>
        <v>2200</v>
      </c>
      <c r="U10" s="5">
        <f t="shared" si="5"/>
        <v>0</v>
      </c>
      <c r="V10" s="5">
        <f>Table14[[#This Row],[Enrolment S.Y. 2025-2026 ]]*8</f>
        <v>2200</v>
      </c>
      <c r="W10" s="5"/>
      <c r="X10" s="1"/>
      <c r="Y10" s="5"/>
      <c r="Z10" s="5">
        <f t="shared" si="6"/>
        <v>2200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312</v>
      </c>
      <c r="D12" s="5">
        <f>Table14[[#This Row],[Enrolment S.Y. 2025-2026 ]]*8</f>
        <v>2496</v>
      </c>
      <c r="E12" s="5">
        <f>326*3</f>
        <v>978</v>
      </c>
      <c r="F12" s="1">
        <v>2024</v>
      </c>
      <c r="G12" s="5" t="s">
        <v>63</v>
      </c>
      <c r="H12" s="5">
        <f t="shared" si="0"/>
        <v>1518</v>
      </c>
      <c r="I12" s="5">
        <f t="shared" si="1"/>
        <v>0</v>
      </c>
      <c r="J12" s="5">
        <f>Table14[[#This Row],[Enrolment S.Y. 2025-2026 ]]*8</f>
        <v>2496</v>
      </c>
      <c r="K12" s="5"/>
      <c r="L12" s="1"/>
      <c r="M12" s="5"/>
      <c r="N12" s="5">
        <f t="shared" si="2"/>
        <v>2496</v>
      </c>
      <c r="O12" s="5">
        <f t="shared" si="3"/>
        <v>0</v>
      </c>
      <c r="P12" s="5">
        <f>Table14[[#This Row],[Enrolment S.Y. 2025-2026 ]]*8</f>
        <v>2496</v>
      </c>
      <c r="Q12" s="5"/>
      <c r="R12" s="1"/>
      <c r="S12" s="5"/>
      <c r="T12" s="5">
        <f t="shared" si="4"/>
        <v>2496</v>
      </c>
      <c r="U12" s="5">
        <f t="shared" si="5"/>
        <v>0</v>
      </c>
      <c r="V12" s="5">
        <f>Table14[[#This Row],[Enrolment S.Y. 2025-2026 ]]*8</f>
        <v>2496</v>
      </c>
      <c r="W12" s="5"/>
      <c r="X12" s="1"/>
      <c r="Y12" s="5"/>
      <c r="Z12" s="5">
        <f t="shared" si="6"/>
        <v>2496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312</v>
      </c>
      <c r="D13" s="5">
        <f>Table14[[#This Row],[Enrolment S.Y. 2025-2026 ]]*8</f>
        <v>2496</v>
      </c>
      <c r="E13" s="5"/>
      <c r="F13" s="1"/>
      <c r="G13" s="5"/>
      <c r="H13" s="5">
        <f t="shared" si="0"/>
        <v>2496</v>
      </c>
      <c r="I13" s="5">
        <f t="shared" si="1"/>
        <v>0</v>
      </c>
      <c r="J13" s="5">
        <f>Table14[[#This Row],[Enrolment S.Y. 2025-2026 ]]*8</f>
        <v>2496</v>
      </c>
      <c r="K13" s="5"/>
      <c r="L13" s="1"/>
      <c r="M13" s="5"/>
      <c r="N13" s="5">
        <f t="shared" si="2"/>
        <v>2496</v>
      </c>
      <c r="O13" s="5">
        <f t="shared" si="3"/>
        <v>0</v>
      </c>
      <c r="P13" s="5">
        <f>Table14[[#This Row],[Enrolment S.Y. 2025-2026 ]]*8</f>
        <v>2496</v>
      </c>
      <c r="Q13" s="5"/>
      <c r="R13" s="1"/>
      <c r="S13" s="5"/>
      <c r="T13" s="5">
        <f t="shared" si="4"/>
        <v>2496</v>
      </c>
      <c r="U13" s="5">
        <f t="shared" si="5"/>
        <v>0</v>
      </c>
      <c r="V13" s="5">
        <f>Table14[[#This Row],[Enrolment S.Y. 2025-2026 ]]*8</f>
        <v>2496</v>
      </c>
      <c r="W13" s="5"/>
      <c r="X13" s="1"/>
      <c r="Y13" s="5"/>
      <c r="Z13" s="5">
        <f t="shared" si="6"/>
        <v>2496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312</v>
      </c>
      <c r="D14" s="5">
        <f>Table14[[#This Row],[Enrolment S.Y. 2025-2026 ]]*8</f>
        <v>2496</v>
      </c>
      <c r="E14" s="5"/>
      <c r="F14" s="1"/>
      <c r="G14" s="5"/>
      <c r="H14" s="5">
        <f t="shared" si="0"/>
        <v>2496</v>
      </c>
      <c r="I14" s="5">
        <f t="shared" si="1"/>
        <v>0</v>
      </c>
      <c r="J14" s="5">
        <f>Table14[[#This Row],[Enrolment S.Y. 2025-2026 ]]*8</f>
        <v>2496</v>
      </c>
      <c r="K14" s="5"/>
      <c r="L14" s="1"/>
      <c r="M14" s="5"/>
      <c r="N14" s="5">
        <f t="shared" si="2"/>
        <v>2496</v>
      </c>
      <c r="O14" s="5">
        <f t="shared" si="3"/>
        <v>0</v>
      </c>
      <c r="P14" s="5">
        <f>Table14[[#This Row],[Enrolment S.Y. 2025-2026 ]]*8</f>
        <v>2496</v>
      </c>
      <c r="Q14" s="5"/>
      <c r="R14" s="1"/>
      <c r="S14" s="5"/>
      <c r="T14" s="5">
        <f t="shared" si="4"/>
        <v>2496</v>
      </c>
      <c r="U14" s="5">
        <f t="shared" si="5"/>
        <v>0</v>
      </c>
      <c r="V14" s="5">
        <f>Table14[[#This Row],[Enrolment S.Y. 2025-2026 ]]*8</f>
        <v>2496</v>
      </c>
      <c r="W14" s="5"/>
      <c r="X14" s="1"/>
      <c r="Y14" s="5"/>
      <c r="Z14" s="5">
        <f t="shared" si="6"/>
        <v>2496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312</v>
      </c>
      <c r="D15" s="5">
        <f>Table14[[#This Row],[Enrolment S.Y. 2025-2026 ]]*8</f>
        <v>2496</v>
      </c>
      <c r="E15" s="5"/>
      <c r="F15" s="1"/>
      <c r="G15" s="5"/>
      <c r="H15" s="5">
        <f t="shared" si="0"/>
        <v>2496</v>
      </c>
      <c r="I15" s="5">
        <f t="shared" si="1"/>
        <v>0</v>
      </c>
      <c r="J15" s="5">
        <f>Table14[[#This Row],[Enrolment S.Y. 2025-2026 ]]*8</f>
        <v>2496</v>
      </c>
      <c r="K15" s="5"/>
      <c r="L15" s="1"/>
      <c r="M15" s="5"/>
      <c r="N15" s="5">
        <f t="shared" si="2"/>
        <v>2496</v>
      </c>
      <c r="O15" s="5">
        <f t="shared" si="3"/>
        <v>0</v>
      </c>
      <c r="P15" s="5">
        <f>Table14[[#This Row],[Enrolment S.Y. 2025-2026 ]]*8</f>
        <v>2496</v>
      </c>
      <c r="Q15" s="5"/>
      <c r="R15" s="1"/>
      <c r="S15" s="5"/>
      <c r="T15" s="5">
        <f t="shared" si="4"/>
        <v>2496</v>
      </c>
      <c r="U15" s="5">
        <f t="shared" si="5"/>
        <v>0</v>
      </c>
      <c r="V15" s="5">
        <f>Table14[[#This Row],[Enrolment S.Y. 2025-2026 ]]*8</f>
        <v>2496</v>
      </c>
      <c r="W15" s="5"/>
      <c r="X15" s="1"/>
      <c r="Y15" s="5"/>
      <c r="Z15" s="5">
        <f t="shared" si="6"/>
        <v>2496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312</v>
      </c>
      <c r="D16" s="5">
        <f>Table14[[#This Row],[Enrolment S.Y. 2025-2026 ]]*8</f>
        <v>2496</v>
      </c>
      <c r="E16" s="5">
        <f>273*3+326*3</f>
        <v>1797</v>
      </c>
      <c r="F16" s="1">
        <v>2024</v>
      </c>
      <c r="G16" s="5" t="s">
        <v>63</v>
      </c>
      <c r="H16" s="5">
        <f t="shared" si="0"/>
        <v>699</v>
      </c>
      <c r="I16" s="5">
        <f t="shared" si="1"/>
        <v>0</v>
      </c>
      <c r="J16" s="5">
        <f>Table14[[#This Row],[Enrolment S.Y. 2025-2026 ]]*8</f>
        <v>2496</v>
      </c>
      <c r="K16" s="5">
        <f>326*5</f>
        <v>1630</v>
      </c>
      <c r="L16" s="1">
        <v>2024</v>
      </c>
      <c r="M16" s="5" t="s">
        <v>63</v>
      </c>
      <c r="N16" s="5">
        <f t="shared" si="2"/>
        <v>866</v>
      </c>
      <c r="O16" s="5">
        <f t="shared" si="3"/>
        <v>0</v>
      </c>
      <c r="P16" s="5">
        <f>Table14[[#This Row],[Enrolment S.Y. 2025-2026 ]]*8</f>
        <v>2496</v>
      </c>
      <c r="Q16" s="5"/>
      <c r="R16" s="1"/>
      <c r="S16" s="5"/>
      <c r="T16" s="5">
        <f t="shared" si="4"/>
        <v>2496</v>
      </c>
      <c r="U16" s="5">
        <f t="shared" si="5"/>
        <v>0</v>
      </c>
      <c r="V16" s="5">
        <f>Table14[[#This Row],[Enrolment S.Y. 2025-2026 ]]*8</f>
        <v>2496</v>
      </c>
      <c r="W16" s="5"/>
      <c r="X16" s="1"/>
      <c r="Y16" s="5"/>
      <c r="Z16" s="5">
        <f t="shared" si="6"/>
        <v>2496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312</v>
      </c>
      <c r="D17" s="5">
        <f>Table14[[#This Row],[Enrolment S.Y. 2025-2026 ]]*8</f>
        <v>2496</v>
      </c>
      <c r="E17" s="5">
        <f>326*5+326</f>
        <v>1956</v>
      </c>
      <c r="F17" s="1">
        <v>2024</v>
      </c>
      <c r="G17" s="5" t="s">
        <v>63</v>
      </c>
      <c r="H17" s="5">
        <f>IF((D17-E17)&lt;0,0,(D17-E17))</f>
        <v>540</v>
      </c>
      <c r="I17" s="5">
        <f>IF((E17-D17)&lt;0,0,(E17-D17))</f>
        <v>0</v>
      </c>
      <c r="J17" s="5">
        <f>Table14[[#This Row],[Enrolment S.Y. 2025-2026 ]]*8</f>
        <v>2496</v>
      </c>
      <c r="K17" s="5"/>
      <c r="L17" s="1"/>
      <c r="M17" s="5"/>
      <c r="N17" s="5">
        <f t="shared" si="2"/>
        <v>2496</v>
      </c>
      <c r="O17" s="5">
        <f t="shared" si="3"/>
        <v>0</v>
      </c>
      <c r="P17" s="5">
        <f>Table14[[#This Row],[Enrolment S.Y. 2025-2026 ]]*8</f>
        <v>2496</v>
      </c>
      <c r="Q17" s="5"/>
      <c r="R17" s="1"/>
      <c r="S17" s="5"/>
      <c r="T17" s="5">
        <f t="shared" si="4"/>
        <v>2496</v>
      </c>
      <c r="U17" s="5">
        <f t="shared" si="5"/>
        <v>0</v>
      </c>
      <c r="V17" s="5">
        <f>Table14[[#This Row],[Enrolment S.Y. 2025-2026 ]]*8</f>
        <v>2496</v>
      </c>
      <c r="W17" s="5"/>
      <c r="X17" s="1"/>
      <c r="Y17" s="5"/>
      <c r="Z17" s="5">
        <f t="shared" si="6"/>
        <v>2496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312</v>
      </c>
      <c r="D18" s="5">
        <f>Table14[[#This Row],[Enrolment S.Y. 2025-2026 ]]*8</f>
        <v>2496</v>
      </c>
      <c r="E18" s="5"/>
      <c r="F18" s="1"/>
      <c r="G18" s="5"/>
      <c r="H18" s="5">
        <f>IF((D18-E18)&lt;0,0,(D18-E18))</f>
        <v>2496</v>
      </c>
      <c r="I18" s="5">
        <f>IF((E18-D18)&lt;0,0,(E18-D18))</f>
        <v>0</v>
      </c>
      <c r="J18" s="5">
        <f>Table14[[#This Row],[Enrolment S.Y. 2025-2026 ]]*8</f>
        <v>2496</v>
      </c>
      <c r="K18" s="5">
        <f>326*2</f>
        <v>652</v>
      </c>
      <c r="L18" s="1">
        <v>2024</v>
      </c>
      <c r="M18" s="5" t="s">
        <v>63</v>
      </c>
      <c r="N18" s="5">
        <f t="shared" si="2"/>
        <v>1844</v>
      </c>
      <c r="O18" s="5">
        <f t="shared" si="3"/>
        <v>0</v>
      </c>
      <c r="P18" s="5">
        <f>Table14[[#This Row],[Enrolment S.Y. 2025-2026 ]]*8</f>
        <v>2496</v>
      </c>
      <c r="Q18" s="5"/>
      <c r="R18" s="1"/>
      <c r="S18" s="5"/>
      <c r="T18" s="5">
        <f t="shared" si="4"/>
        <v>2496</v>
      </c>
      <c r="U18" s="5">
        <f t="shared" si="5"/>
        <v>0</v>
      </c>
      <c r="V18" s="5">
        <f>Table14[[#This Row],[Enrolment S.Y. 2025-2026 ]]*8</f>
        <v>2496</v>
      </c>
      <c r="W18" s="5"/>
      <c r="X18" s="1"/>
      <c r="Y18" s="5"/>
      <c r="Z18" s="5">
        <f t="shared" si="6"/>
        <v>2496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312</v>
      </c>
      <c r="D19" s="5">
        <f>Table14[[#This Row],[Enrolment S.Y. 2025-2026 ]]*8</f>
        <v>2496</v>
      </c>
      <c r="E19" s="5"/>
      <c r="F19" s="1"/>
      <c r="G19" s="5"/>
      <c r="H19" s="5">
        <f>IF((D19-E19)&lt;0,0,(D19-E19))</f>
        <v>2496</v>
      </c>
      <c r="I19" s="5">
        <f>IF((E19-D19)&lt;0,0,(E19-D19))</f>
        <v>0</v>
      </c>
      <c r="J19" s="5">
        <f>Table14[[#This Row],[Enrolment S.Y. 2025-2026 ]]*8</f>
        <v>2496</v>
      </c>
      <c r="K19" s="5"/>
      <c r="L19" s="1"/>
      <c r="M19" s="5"/>
      <c r="N19" s="5">
        <f t="shared" si="2"/>
        <v>2496</v>
      </c>
      <c r="O19" s="5">
        <f t="shared" si="3"/>
        <v>0</v>
      </c>
      <c r="P19" s="5">
        <f>Table14[[#This Row],[Enrolment S.Y. 2025-2026 ]]*8</f>
        <v>2496</v>
      </c>
      <c r="Q19" s="5"/>
      <c r="R19" s="1"/>
      <c r="S19" s="5"/>
      <c r="T19" s="5">
        <f t="shared" si="4"/>
        <v>2496</v>
      </c>
      <c r="U19" s="5">
        <f t="shared" si="5"/>
        <v>0</v>
      </c>
      <c r="V19" s="5">
        <f>Table14[[#This Row],[Enrolment S.Y. 2025-2026 ]]*8</f>
        <v>2496</v>
      </c>
      <c r="W19" s="5"/>
      <c r="X19" s="1"/>
      <c r="Y19" s="5"/>
      <c r="Z19" s="5">
        <f t="shared" si="6"/>
        <v>2496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329</v>
      </c>
      <c r="D21" s="5">
        <f>Table14[[#This Row],[Enrolment S.Y. 2025-2026 ]]*8</f>
        <v>2632</v>
      </c>
      <c r="E21" s="5"/>
      <c r="F21" s="1"/>
      <c r="G21" s="5"/>
      <c r="H21" s="5">
        <f t="shared" si="0"/>
        <v>2632</v>
      </c>
      <c r="I21" s="5">
        <f t="shared" si="1"/>
        <v>0</v>
      </c>
      <c r="J21" s="5">
        <f>Table14[[#This Row],[Enrolment S.Y. 2025-2026 ]]*8</f>
        <v>2632</v>
      </c>
      <c r="K21" s="5"/>
      <c r="L21" s="1"/>
      <c r="M21" s="5"/>
      <c r="N21" s="5">
        <f t="shared" si="2"/>
        <v>2632</v>
      </c>
      <c r="O21" s="5">
        <f t="shared" si="3"/>
        <v>0</v>
      </c>
      <c r="P21" s="5">
        <f>Table14[[#This Row],[Enrolment S.Y. 2025-2026 ]]*8</f>
        <v>2632</v>
      </c>
      <c r="Q21" s="5"/>
      <c r="R21" s="1"/>
      <c r="S21" s="5"/>
      <c r="T21" s="5">
        <f t="shared" si="4"/>
        <v>2632</v>
      </c>
      <c r="U21" s="5">
        <f t="shared" si="5"/>
        <v>0</v>
      </c>
      <c r="V21" s="5">
        <f>Table14[[#This Row],[Enrolment S.Y. 2025-2026 ]]*8</f>
        <v>2632</v>
      </c>
      <c r="W21" s="5"/>
      <c r="X21" s="1"/>
      <c r="Y21" s="5"/>
      <c r="Z21" s="5">
        <f t="shared" si="6"/>
        <v>2632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329</v>
      </c>
      <c r="D22" s="5">
        <f>Table14[[#This Row],[Enrolment S.Y. 2025-2026 ]]*8</f>
        <v>2632</v>
      </c>
      <c r="E22" s="5"/>
      <c r="F22" s="1"/>
      <c r="G22" s="5"/>
      <c r="H22" s="5">
        <f t="shared" si="0"/>
        <v>2632</v>
      </c>
      <c r="I22" s="5">
        <f t="shared" si="1"/>
        <v>0</v>
      </c>
      <c r="J22" s="5">
        <f>Table14[[#This Row],[Enrolment S.Y. 2025-2026 ]]*8</f>
        <v>2632</v>
      </c>
      <c r="K22" s="5"/>
      <c r="L22" s="1"/>
      <c r="M22" s="5"/>
      <c r="N22" s="5">
        <f t="shared" si="2"/>
        <v>2632</v>
      </c>
      <c r="O22" s="5">
        <f t="shared" si="3"/>
        <v>0</v>
      </c>
      <c r="P22" s="5">
        <f>Table14[[#This Row],[Enrolment S.Y. 2025-2026 ]]*8</f>
        <v>2632</v>
      </c>
      <c r="Q22" s="5"/>
      <c r="R22" s="1"/>
      <c r="S22" s="5"/>
      <c r="T22" s="5">
        <f t="shared" si="4"/>
        <v>2632</v>
      </c>
      <c r="U22" s="5">
        <f t="shared" si="5"/>
        <v>0</v>
      </c>
      <c r="V22" s="5">
        <f>Table14[[#This Row],[Enrolment S.Y. 2025-2026 ]]*8</f>
        <v>2632</v>
      </c>
      <c r="W22" s="5"/>
      <c r="X22" s="1"/>
      <c r="Y22" s="5"/>
      <c r="Z22" s="5">
        <f t="shared" si="6"/>
        <v>2632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329</v>
      </c>
      <c r="D23" s="5">
        <f>Table14[[#This Row],[Enrolment S.Y. 2025-2026 ]]*8</f>
        <v>2632</v>
      </c>
      <c r="E23" s="5"/>
      <c r="F23" s="1"/>
      <c r="G23" s="5"/>
      <c r="H23" s="5">
        <f t="shared" si="0"/>
        <v>2632</v>
      </c>
      <c r="I23" s="5">
        <f t="shared" si="1"/>
        <v>0</v>
      </c>
      <c r="J23" s="5">
        <f>Table14[[#This Row],[Enrolment S.Y. 2025-2026 ]]*8</f>
        <v>2632</v>
      </c>
      <c r="K23" s="5"/>
      <c r="L23" s="1"/>
      <c r="M23" s="5"/>
      <c r="N23" s="5">
        <f t="shared" si="2"/>
        <v>2632</v>
      </c>
      <c r="O23" s="5">
        <f t="shared" si="3"/>
        <v>0</v>
      </c>
      <c r="P23" s="5">
        <f>Table14[[#This Row],[Enrolment S.Y. 2025-2026 ]]*8</f>
        <v>2632</v>
      </c>
      <c r="Q23" s="5"/>
      <c r="R23" s="1"/>
      <c r="S23" s="5"/>
      <c r="T23" s="5">
        <f t="shared" si="4"/>
        <v>2632</v>
      </c>
      <c r="U23" s="5">
        <f t="shared" si="5"/>
        <v>0</v>
      </c>
      <c r="V23" s="5">
        <f>Table14[[#This Row],[Enrolment S.Y. 2025-2026 ]]*8</f>
        <v>2632</v>
      </c>
      <c r="W23" s="5"/>
      <c r="X23" s="1"/>
      <c r="Y23" s="5"/>
      <c r="Z23" s="5">
        <f t="shared" si="6"/>
        <v>2632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329</v>
      </c>
      <c r="D24" s="5">
        <f>Table14[[#This Row],[Enrolment S.Y. 2025-2026 ]]*8</f>
        <v>2632</v>
      </c>
      <c r="E24" s="5"/>
      <c r="F24" s="1"/>
      <c r="G24" s="5"/>
      <c r="H24" s="5">
        <f t="shared" si="0"/>
        <v>2632</v>
      </c>
      <c r="I24" s="5">
        <f t="shared" si="1"/>
        <v>0</v>
      </c>
      <c r="J24" s="5">
        <f>Table14[[#This Row],[Enrolment S.Y. 2025-2026 ]]*8</f>
        <v>2632</v>
      </c>
      <c r="K24" s="5"/>
      <c r="L24" s="1"/>
      <c r="M24" s="5"/>
      <c r="N24" s="5">
        <f t="shared" si="2"/>
        <v>2632</v>
      </c>
      <c r="O24" s="5">
        <f t="shared" si="3"/>
        <v>0</v>
      </c>
      <c r="P24" s="5">
        <f>Table14[[#This Row],[Enrolment S.Y. 2025-2026 ]]*8</f>
        <v>2632</v>
      </c>
      <c r="Q24" s="5"/>
      <c r="R24" s="1"/>
      <c r="S24" s="5"/>
      <c r="T24" s="5">
        <f t="shared" si="4"/>
        <v>2632</v>
      </c>
      <c r="U24" s="5">
        <f t="shared" si="5"/>
        <v>0</v>
      </c>
      <c r="V24" s="5">
        <f>Table14[[#This Row],[Enrolment S.Y. 2025-2026 ]]*8</f>
        <v>2632</v>
      </c>
      <c r="W24" s="5"/>
      <c r="X24" s="1"/>
      <c r="Y24" s="5"/>
      <c r="Z24" s="5">
        <f t="shared" si="6"/>
        <v>2632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329</v>
      </c>
      <c r="D25" s="5">
        <f>Table14[[#This Row],[Enrolment S.Y. 2025-2026 ]]*8</f>
        <v>2632</v>
      </c>
      <c r="E25" s="5"/>
      <c r="F25" s="1"/>
      <c r="G25" s="5"/>
      <c r="H25" s="5">
        <f t="shared" si="0"/>
        <v>2632</v>
      </c>
      <c r="I25" s="5">
        <f t="shared" si="1"/>
        <v>0</v>
      </c>
      <c r="J25" s="5">
        <f>Table14[[#This Row],[Enrolment S.Y. 2025-2026 ]]*8</f>
        <v>2632</v>
      </c>
      <c r="K25" s="5"/>
      <c r="L25" s="1"/>
      <c r="M25" s="5"/>
      <c r="N25" s="5">
        <f t="shared" si="2"/>
        <v>2632</v>
      </c>
      <c r="O25" s="5">
        <f t="shared" si="3"/>
        <v>0</v>
      </c>
      <c r="P25" s="5">
        <f>Table14[[#This Row],[Enrolment S.Y. 2025-2026 ]]*8</f>
        <v>2632</v>
      </c>
      <c r="Q25" s="5"/>
      <c r="R25" s="1"/>
      <c r="S25" s="5"/>
      <c r="T25" s="5">
        <f t="shared" si="4"/>
        <v>2632</v>
      </c>
      <c r="U25" s="5">
        <f t="shared" si="5"/>
        <v>0</v>
      </c>
      <c r="V25" s="5">
        <f>Table14[[#This Row],[Enrolment S.Y. 2025-2026 ]]*8</f>
        <v>2632</v>
      </c>
      <c r="W25" s="5"/>
      <c r="X25" s="1"/>
      <c r="Y25" s="5"/>
      <c r="Z25" s="5">
        <f t="shared" si="6"/>
        <v>2632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329</v>
      </c>
      <c r="D26" s="5">
        <f>Table14[[#This Row],[Enrolment S.Y. 2025-2026 ]]*8</f>
        <v>2632</v>
      </c>
      <c r="E26" s="5"/>
      <c r="F26" s="1"/>
      <c r="G26" s="5"/>
      <c r="H26" s="5">
        <f t="shared" si="0"/>
        <v>2632</v>
      </c>
      <c r="I26" s="5">
        <f t="shared" si="1"/>
        <v>0</v>
      </c>
      <c r="J26" s="5">
        <f>Table14[[#This Row],[Enrolment S.Y. 2025-2026 ]]*8</f>
        <v>2632</v>
      </c>
      <c r="K26" s="5">
        <f>273*5</f>
        <v>1365</v>
      </c>
      <c r="L26" s="1">
        <v>2024</v>
      </c>
      <c r="M26" s="5" t="s">
        <v>63</v>
      </c>
      <c r="N26" s="5">
        <f t="shared" si="2"/>
        <v>1267</v>
      </c>
      <c r="O26" s="5">
        <f t="shared" si="3"/>
        <v>0</v>
      </c>
      <c r="P26" s="5">
        <f>Table14[[#This Row],[Enrolment S.Y. 2025-2026 ]]*8</f>
        <v>2632</v>
      </c>
      <c r="Q26" s="5"/>
      <c r="R26" s="1"/>
      <c r="S26" s="5"/>
      <c r="T26" s="5">
        <f t="shared" si="4"/>
        <v>2632</v>
      </c>
      <c r="U26" s="5">
        <f t="shared" si="5"/>
        <v>0</v>
      </c>
      <c r="V26" s="5">
        <f>Table14[[#This Row],[Enrolment S.Y. 2025-2026 ]]*8</f>
        <v>2632</v>
      </c>
      <c r="W26" s="5"/>
      <c r="X26" s="1"/>
      <c r="Y26" s="5"/>
      <c r="Z26" s="5">
        <f t="shared" si="6"/>
        <v>2632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329</v>
      </c>
      <c r="D27" s="5">
        <f>Table14[[#This Row],[Enrolment S.Y. 2025-2026 ]]*8</f>
        <v>2632</v>
      </c>
      <c r="E27" s="5">
        <f>6*273</f>
        <v>1638</v>
      </c>
      <c r="F27" s="1">
        <v>2024</v>
      </c>
      <c r="G27" s="5" t="s">
        <v>63</v>
      </c>
      <c r="H27" s="5">
        <f>IF((D27-E27)&lt;0,0,(D27-E27))</f>
        <v>994</v>
      </c>
      <c r="I27" s="5">
        <f>IF((E27-D27)&lt;0,0,(E27-D27))</f>
        <v>0</v>
      </c>
      <c r="J27" s="5">
        <f>Table14[[#This Row],[Enrolment S.Y. 2025-2026 ]]*8</f>
        <v>2632</v>
      </c>
      <c r="K27" s="5">
        <f>273*4</f>
        <v>1092</v>
      </c>
      <c r="L27" s="1">
        <v>2024</v>
      </c>
      <c r="M27" s="5" t="s">
        <v>63</v>
      </c>
      <c r="N27" s="5">
        <f t="shared" si="2"/>
        <v>1540</v>
      </c>
      <c r="O27" s="5">
        <f t="shared" si="3"/>
        <v>0</v>
      </c>
      <c r="P27" s="5">
        <f>Table14[[#This Row],[Enrolment S.Y. 2025-2026 ]]*8</f>
        <v>2632</v>
      </c>
      <c r="Q27" s="5"/>
      <c r="R27" s="1"/>
      <c r="S27" s="5"/>
      <c r="T27" s="5">
        <f t="shared" si="4"/>
        <v>2632</v>
      </c>
      <c r="U27" s="5">
        <f t="shared" si="5"/>
        <v>0</v>
      </c>
      <c r="V27" s="5">
        <f>Table14[[#This Row],[Enrolment S.Y. 2025-2026 ]]*8</f>
        <v>2632</v>
      </c>
      <c r="W27" s="5"/>
      <c r="X27" s="1"/>
      <c r="Y27" s="5"/>
      <c r="Z27" s="5">
        <f t="shared" si="6"/>
        <v>2632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329</v>
      </c>
      <c r="D28" s="5">
        <f>Table14[[#This Row],[Enrolment S.Y. 2025-2026 ]]*8</f>
        <v>2632</v>
      </c>
      <c r="E28" s="5">
        <f>273*8</f>
        <v>2184</v>
      </c>
      <c r="F28" s="1">
        <v>2024</v>
      </c>
      <c r="G28" s="5" t="s">
        <v>63</v>
      </c>
      <c r="H28" s="5">
        <f>IF((D28-E28)&lt;0,0,(D28-E28))</f>
        <v>448</v>
      </c>
      <c r="I28" s="5">
        <f>IF((E28-D28)&lt;0,0,(E28-D28))</f>
        <v>0</v>
      </c>
      <c r="J28" s="5">
        <f>Table14[[#This Row],[Enrolment S.Y. 2025-2026 ]]*8</f>
        <v>2632</v>
      </c>
      <c r="K28" s="5">
        <f>273</f>
        <v>273</v>
      </c>
      <c r="L28" s="1">
        <v>2024</v>
      </c>
      <c r="M28" s="5" t="s">
        <v>63</v>
      </c>
      <c r="N28" s="5">
        <f t="shared" si="2"/>
        <v>2359</v>
      </c>
      <c r="O28" s="5">
        <f t="shared" si="3"/>
        <v>0</v>
      </c>
      <c r="P28" s="5">
        <f>Table14[[#This Row],[Enrolment S.Y. 2025-2026 ]]*8</f>
        <v>2632</v>
      </c>
      <c r="Q28" s="5"/>
      <c r="R28" s="1"/>
      <c r="S28" s="5"/>
      <c r="T28" s="5">
        <f t="shared" si="4"/>
        <v>2632</v>
      </c>
      <c r="U28" s="5">
        <f t="shared" si="5"/>
        <v>0</v>
      </c>
      <c r="V28" s="5">
        <f>Table14[[#This Row],[Enrolment S.Y. 2025-2026 ]]*8</f>
        <v>2632</v>
      </c>
      <c r="W28" s="5"/>
      <c r="X28" s="1"/>
      <c r="Y28" s="5"/>
      <c r="Z28" s="5">
        <f t="shared" si="6"/>
        <v>2632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329</v>
      </c>
      <c r="D29" s="5">
        <f>Table14[[#This Row],[Enrolment S.Y. 2025-2026 ]]*8</f>
        <v>2632</v>
      </c>
      <c r="E29" s="5"/>
      <c r="F29" s="1"/>
      <c r="G29" s="5"/>
      <c r="H29" s="5">
        <f>IF((D29-E29)&lt;0,0,(D29-E29))</f>
        <v>2632</v>
      </c>
      <c r="I29" s="5">
        <f>IF((E29-D29)&lt;0,0,(E29-D29))</f>
        <v>0</v>
      </c>
      <c r="J29" s="5">
        <f>Table14[[#This Row],[Enrolment S.Y. 2025-2026 ]]*8</f>
        <v>2632</v>
      </c>
      <c r="K29" s="5"/>
      <c r="L29" s="1"/>
      <c r="M29" s="5"/>
      <c r="N29" s="5">
        <f t="shared" si="2"/>
        <v>2632</v>
      </c>
      <c r="O29" s="5">
        <f t="shared" si="3"/>
        <v>0</v>
      </c>
      <c r="P29" s="5">
        <f>Table14[[#This Row],[Enrolment S.Y. 2025-2026 ]]*8</f>
        <v>2632</v>
      </c>
      <c r="Q29" s="5"/>
      <c r="R29" s="1"/>
      <c r="S29" s="5"/>
      <c r="T29" s="5">
        <f t="shared" si="4"/>
        <v>2632</v>
      </c>
      <c r="U29" s="5">
        <f t="shared" si="5"/>
        <v>0</v>
      </c>
      <c r="V29" s="5">
        <f>Table14[[#This Row],[Enrolment S.Y. 2025-2026 ]]*8</f>
        <v>2632</v>
      </c>
      <c r="W29" s="5"/>
      <c r="X29" s="1"/>
      <c r="Y29" s="5"/>
      <c r="Z29" s="5">
        <f t="shared" si="6"/>
        <v>2632</v>
      </c>
      <c r="AA29" s="5">
        <f t="shared" si="7"/>
        <v>0</v>
      </c>
    </row>
    <row r="30" spans="1:27" ht="21">
      <c r="A30" s="42">
        <v>3</v>
      </c>
      <c r="B30" s="33" t="s">
        <v>23</v>
      </c>
      <c r="C30" s="34">
        <v>329</v>
      </c>
      <c r="D30" s="34">
        <f>Table14[[#This Row],[Enrolment S.Y. 2025-2026 ]]*8</f>
        <v>2632</v>
      </c>
      <c r="E30" s="34">
        <v>273</v>
      </c>
      <c r="F30" s="32">
        <v>2024</v>
      </c>
      <c r="G30" s="34" t="s">
        <v>63</v>
      </c>
      <c r="H30" s="34">
        <f>IF((D30-E30)&lt;0,0,(D30-E30))</f>
        <v>2359</v>
      </c>
      <c r="I30" s="34">
        <f>IF((E30-D30)&lt;0,0,(E30-D30))</f>
        <v>0</v>
      </c>
      <c r="J30" s="34">
        <f>Table14[[#This Row],[Enrolment S.Y. 2025-2026 ]]*8</f>
        <v>2632</v>
      </c>
      <c r="K30" s="34">
        <v>273</v>
      </c>
      <c r="L30" s="32">
        <v>2024</v>
      </c>
      <c r="M30" s="34" t="s">
        <v>63</v>
      </c>
      <c r="N30" s="5">
        <f t="shared" si="2"/>
        <v>2359</v>
      </c>
      <c r="O30" s="5">
        <f t="shared" si="3"/>
        <v>0</v>
      </c>
      <c r="P30" s="5">
        <f>Table14[[#This Row],[Enrolment S.Y. 2025-2026 ]]*8</f>
        <v>2632</v>
      </c>
      <c r="Q30" s="34">
        <v>273</v>
      </c>
      <c r="R30" s="32">
        <v>2024</v>
      </c>
      <c r="S30" s="34" t="s">
        <v>63</v>
      </c>
      <c r="T30" s="34">
        <f>IF((P30-Q30)&lt;0,0,(P30-Q30))</f>
        <v>2359</v>
      </c>
      <c r="U30" s="34">
        <f>IF((Q30-P30)&lt;0,0,(Q30-P30))</f>
        <v>0</v>
      </c>
      <c r="V30" s="34">
        <f>Table14[[#This Row],[Enrolment S.Y. 2025-2026 ]]*8</f>
        <v>2632</v>
      </c>
      <c r="W30" s="34">
        <v>273</v>
      </c>
      <c r="X30" s="32">
        <v>2024</v>
      </c>
      <c r="Y30" s="34" t="s">
        <v>63</v>
      </c>
      <c r="Z30" s="34">
        <f>IF((V30-W30)&lt;0,0,(V30-W30))</f>
        <v>2359</v>
      </c>
      <c r="AA30" s="34">
        <f>IF((W30-V30)&lt;0,0,(W30-V30))</f>
        <v>0</v>
      </c>
    </row>
    <row r="31" spans="1:27" s="7" customFormat="1"/>
    <row r="32" spans="1:27" ht="19.5">
      <c r="A32" s="1">
        <v>4</v>
      </c>
      <c r="B32" s="9" t="s">
        <v>15</v>
      </c>
      <c r="C32" s="1">
        <v>328</v>
      </c>
      <c r="D32" s="5">
        <f>Table14[[#This Row],[Enrolment S.Y. 2025-2026 ]]*8</f>
        <v>2624</v>
      </c>
      <c r="E32" s="5"/>
      <c r="F32" s="1"/>
      <c r="G32" s="5"/>
      <c r="H32" s="5">
        <f t="shared" si="0"/>
        <v>2624</v>
      </c>
      <c r="I32" s="5">
        <f t="shared" si="1"/>
        <v>0</v>
      </c>
      <c r="J32" s="5">
        <f>Table14[[#This Row],[Enrolment S.Y. 2025-2026 ]]*8</f>
        <v>2624</v>
      </c>
      <c r="K32" s="5"/>
      <c r="L32" s="1"/>
      <c r="M32" s="5"/>
      <c r="N32" s="5">
        <f t="shared" si="2"/>
        <v>2624</v>
      </c>
      <c r="O32" s="5">
        <f t="shared" si="3"/>
        <v>0</v>
      </c>
      <c r="P32" s="5">
        <f>Table14[[#This Row],[Enrolment S.Y. 2025-2026 ]]*8</f>
        <v>2624</v>
      </c>
      <c r="Q32" s="5"/>
      <c r="R32" s="1"/>
      <c r="S32" s="5"/>
      <c r="T32" s="5">
        <f t="shared" si="4"/>
        <v>2624</v>
      </c>
      <c r="U32" s="5">
        <f t="shared" si="5"/>
        <v>0</v>
      </c>
      <c r="V32" s="5">
        <f>Table14[[#This Row],[Enrolment S.Y. 2025-2026 ]]*8</f>
        <v>2624</v>
      </c>
      <c r="W32" s="5"/>
      <c r="X32" s="1"/>
      <c r="Y32" s="5"/>
      <c r="Z32" s="5">
        <f t="shared" si="6"/>
        <v>2624</v>
      </c>
      <c r="AA32" s="5">
        <f t="shared" si="7"/>
        <v>0</v>
      </c>
    </row>
    <row r="33" spans="1:27" ht="19.5">
      <c r="A33" s="1">
        <v>4</v>
      </c>
      <c r="B33" s="9" t="s">
        <v>16</v>
      </c>
      <c r="C33" s="1">
        <v>328</v>
      </c>
      <c r="D33" s="5">
        <f>Table14[[#This Row],[Enrolment S.Y. 2025-2026 ]]*8</f>
        <v>2624</v>
      </c>
      <c r="E33" s="5"/>
      <c r="F33" s="1"/>
      <c r="G33" s="5"/>
      <c r="H33" s="5">
        <f t="shared" si="0"/>
        <v>2624</v>
      </c>
      <c r="I33" s="5">
        <f t="shared" si="1"/>
        <v>0</v>
      </c>
      <c r="J33" s="5">
        <f>Table14[[#This Row],[Enrolment S.Y. 2025-2026 ]]*8</f>
        <v>2624</v>
      </c>
      <c r="K33" s="5"/>
      <c r="L33" s="1"/>
      <c r="M33" s="5"/>
      <c r="N33" s="5">
        <f t="shared" si="2"/>
        <v>2624</v>
      </c>
      <c r="O33" s="5">
        <f t="shared" si="3"/>
        <v>0</v>
      </c>
      <c r="P33" s="5">
        <f>Table14[[#This Row],[Enrolment S.Y. 2025-2026 ]]*8</f>
        <v>2624</v>
      </c>
      <c r="Q33" s="5"/>
      <c r="R33" s="1"/>
      <c r="S33" s="5"/>
      <c r="T33" s="5">
        <f t="shared" si="4"/>
        <v>2624</v>
      </c>
      <c r="U33" s="5">
        <f t="shared" si="5"/>
        <v>0</v>
      </c>
      <c r="V33" s="5">
        <f>Table14[[#This Row],[Enrolment S.Y. 2025-2026 ]]*8</f>
        <v>2624</v>
      </c>
      <c r="W33" s="5"/>
      <c r="X33" s="1"/>
      <c r="Y33" s="5"/>
      <c r="Z33" s="5">
        <f t="shared" si="6"/>
        <v>2624</v>
      </c>
      <c r="AA33" s="5">
        <f t="shared" si="7"/>
        <v>0</v>
      </c>
    </row>
    <row r="34" spans="1:27" ht="19.5">
      <c r="A34" s="1">
        <v>4</v>
      </c>
      <c r="B34" s="9" t="s">
        <v>13</v>
      </c>
      <c r="C34" s="1">
        <v>328</v>
      </c>
      <c r="D34" s="5">
        <f>Table14[[#This Row],[Enrolment S.Y. 2025-2026 ]]*8</f>
        <v>2624</v>
      </c>
      <c r="E34" s="5"/>
      <c r="F34" s="1"/>
      <c r="G34" s="5"/>
      <c r="H34" s="5">
        <f t="shared" si="0"/>
        <v>2624</v>
      </c>
      <c r="I34" s="5">
        <f t="shared" si="1"/>
        <v>0</v>
      </c>
      <c r="J34" s="5">
        <f>Table14[[#This Row],[Enrolment S.Y. 2025-2026 ]]*8</f>
        <v>2624</v>
      </c>
      <c r="K34" s="5"/>
      <c r="L34" s="1"/>
      <c r="M34" s="5"/>
      <c r="N34" s="5">
        <f t="shared" si="2"/>
        <v>2624</v>
      </c>
      <c r="O34" s="5">
        <f t="shared" si="3"/>
        <v>0</v>
      </c>
      <c r="P34" s="5">
        <f>Table14[[#This Row],[Enrolment S.Y. 2025-2026 ]]*8</f>
        <v>2624</v>
      </c>
      <c r="Q34" s="5"/>
      <c r="R34" s="1"/>
      <c r="S34" s="5"/>
      <c r="T34" s="5">
        <f t="shared" si="4"/>
        <v>2624</v>
      </c>
      <c r="U34" s="5">
        <f t="shared" si="5"/>
        <v>0</v>
      </c>
      <c r="V34" s="5">
        <f>Table14[[#This Row],[Enrolment S.Y. 2025-2026 ]]*8</f>
        <v>2624</v>
      </c>
      <c r="W34" s="5"/>
      <c r="X34" s="1"/>
      <c r="Y34" s="5"/>
      <c r="Z34" s="5">
        <f t="shared" si="6"/>
        <v>2624</v>
      </c>
      <c r="AA34" s="5">
        <f t="shared" si="7"/>
        <v>0</v>
      </c>
    </row>
    <row r="35" spans="1:27" ht="19.5">
      <c r="A35" s="1">
        <v>4</v>
      </c>
      <c r="B35" s="9" t="s">
        <v>11</v>
      </c>
      <c r="C35" s="1">
        <v>328</v>
      </c>
      <c r="D35" s="5">
        <f>Table14[[#This Row],[Enrolment S.Y. 2025-2026 ]]*8</f>
        <v>2624</v>
      </c>
      <c r="E35" s="5"/>
      <c r="F35" s="1"/>
      <c r="G35" s="5"/>
      <c r="H35" s="5">
        <f t="shared" si="0"/>
        <v>2624</v>
      </c>
      <c r="I35" s="5">
        <f t="shared" si="1"/>
        <v>0</v>
      </c>
      <c r="J35" s="5">
        <f>Table14[[#This Row],[Enrolment S.Y. 2025-2026 ]]*8</f>
        <v>2624</v>
      </c>
      <c r="K35" s="5"/>
      <c r="L35" s="1"/>
      <c r="M35" s="5"/>
      <c r="N35" s="5">
        <f t="shared" si="2"/>
        <v>2624</v>
      </c>
      <c r="O35" s="5">
        <f t="shared" si="3"/>
        <v>0</v>
      </c>
      <c r="P35" s="5">
        <f>Table14[[#This Row],[Enrolment S.Y. 2025-2026 ]]*8</f>
        <v>2624</v>
      </c>
      <c r="Q35" s="5"/>
      <c r="R35" s="1"/>
      <c r="S35" s="5"/>
      <c r="T35" s="5">
        <f t="shared" si="4"/>
        <v>2624</v>
      </c>
      <c r="U35" s="5">
        <f t="shared" si="5"/>
        <v>0</v>
      </c>
      <c r="V35" s="5">
        <f>Table14[[#This Row],[Enrolment S.Y. 2025-2026 ]]*8</f>
        <v>2624</v>
      </c>
      <c r="W35" s="5"/>
      <c r="X35" s="1"/>
      <c r="Y35" s="5"/>
      <c r="Z35" s="5">
        <f t="shared" si="6"/>
        <v>2624</v>
      </c>
      <c r="AA35" s="5">
        <f t="shared" si="7"/>
        <v>0</v>
      </c>
    </row>
    <row r="36" spans="1:27" ht="39">
      <c r="A36" s="1">
        <v>4</v>
      </c>
      <c r="B36" s="9" t="s">
        <v>17</v>
      </c>
      <c r="C36" s="1">
        <v>328</v>
      </c>
      <c r="D36" s="5">
        <f>Table14[[#This Row],[Enrolment S.Y. 2025-2026 ]]*8</f>
        <v>2624</v>
      </c>
      <c r="E36" s="5"/>
      <c r="F36" s="1"/>
      <c r="G36" s="5"/>
      <c r="H36" s="5">
        <f t="shared" si="0"/>
        <v>2624</v>
      </c>
      <c r="I36" s="5">
        <f t="shared" si="1"/>
        <v>0</v>
      </c>
      <c r="J36" s="5">
        <f>Table14[[#This Row],[Enrolment S.Y. 2025-2026 ]]*8</f>
        <v>2624</v>
      </c>
      <c r="K36" s="5"/>
      <c r="L36" s="1"/>
      <c r="M36" s="5"/>
      <c r="N36" s="5">
        <f t="shared" si="2"/>
        <v>2624</v>
      </c>
      <c r="O36" s="5">
        <f t="shared" si="3"/>
        <v>0</v>
      </c>
      <c r="P36" s="5">
        <f>Table14[[#This Row],[Enrolment S.Y. 2025-2026 ]]*8</f>
        <v>2624</v>
      </c>
      <c r="Q36" s="5"/>
      <c r="R36" s="1"/>
      <c r="S36" s="5"/>
      <c r="T36" s="5">
        <f t="shared" si="4"/>
        <v>2624</v>
      </c>
      <c r="U36" s="5">
        <f t="shared" si="5"/>
        <v>0</v>
      </c>
      <c r="V36" s="5">
        <f>Table14[[#This Row],[Enrolment S.Y. 2025-2026 ]]*8</f>
        <v>2624</v>
      </c>
      <c r="W36" s="5"/>
      <c r="X36" s="1"/>
      <c r="Y36" s="5"/>
      <c r="Z36" s="5">
        <f t="shared" si="6"/>
        <v>2624</v>
      </c>
      <c r="AA36" s="5">
        <f t="shared" si="7"/>
        <v>0</v>
      </c>
    </row>
    <row r="37" spans="1:27" ht="19.5">
      <c r="A37" s="1">
        <v>4</v>
      </c>
      <c r="B37" s="9" t="s">
        <v>14</v>
      </c>
      <c r="C37" s="1">
        <v>328</v>
      </c>
      <c r="D37" s="5">
        <f>Table14[[#This Row],[Enrolment S.Y. 2025-2026 ]]*8</f>
        <v>2624</v>
      </c>
      <c r="E37" s="5"/>
      <c r="F37" s="1"/>
      <c r="G37" s="5"/>
      <c r="H37" s="5">
        <f t="shared" si="0"/>
        <v>2624</v>
      </c>
      <c r="I37" s="5">
        <f t="shared" si="1"/>
        <v>0</v>
      </c>
      <c r="J37" s="5">
        <f>Table14[[#This Row],[Enrolment S.Y. 2025-2026 ]]*8</f>
        <v>2624</v>
      </c>
      <c r="K37" s="5"/>
      <c r="L37" s="1"/>
      <c r="M37" s="5"/>
      <c r="N37" s="5">
        <f t="shared" ref="N37:N42" si="8">IF((J37-K37)&lt;0,0,(J37-K37))</f>
        <v>2624</v>
      </c>
      <c r="O37" s="5">
        <f t="shared" ref="O37:O42" si="9">IF((K37-J37)&lt;0,0,(K37-J37))</f>
        <v>0</v>
      </c>
      <c r="P37" s="5">
        <f>Table14[[#This Row],[Enrolment S.Y. 2025-2026 ]]*8</f>
        <v>2624</v>
      </c>
      <c r="Q37" s="5"/>
      <c r="R37" s="1"/>
      <c r="S37" s="5"/>
      <c r="T37" s="5">
        <f t="shared" si="4"/>
        <v>2624</v>
      </c>
      <c r="U37" s="5">
        <f t="shared" si="5"/>
        <v>0</v>
      </c>
      <c r="V37" s="5">
        <f>Table14[[#This Row],[Enrolment S.Y. 2025-2026 ]]*8</f>
        <v>2624</v>
      </c>
      <c r="W37" s="5"/>
      <c r="X37" s="1"/>
      <c r="Y37" s="5"/>
      <c r="Z37" s="5">
        <f t="shared" si="6"/>
        <v>2624</v>
      </c>
      <c r="AA37" s="5">
        <f t="shared" si="7"/>
        <v>0</v>
      </c>
    </row>
    <row r="38" spans="1:27" ht="19.5">
      <c r="A38" s="37">
        <v>4</v>
      </c>
      <c r="B38" s="9" t="s">
        <v>90</v>
      </c>
      <c r="C38" s="1">
        <v>328</v>
      </c>
      <c r="D38" s="5">
        <f>Table14[[#This Row],[Enrolment S.Y. 2025-2026 ]]*8</f>
        <v>2624</v>
      </c>
      <c r="E38" s="5"/>
      <c r="F38" s="1"/>
      <c r="G38" s="5"/>
      <c r="H38" s="5">
        <f>IF((D38-E38)&lt;0,0,(D38-E38))</f>
        <v>2624</v>
      </c>
      <c r="I38" s="5">
        <f>IF((E38-D38)&lt;0,0,(E38-D38))</f>
        <v>0</v>
      </c>
      <c r="J38" s="5">
        <f>Table14[[#This Row],[Enrolment S.Y. 2025-2026 ]]*8</f>
        <v>2624</v>
      </c>
      <c r="K38" s="5"/>
      <c r="L38" s="1"/>
      <c r="M38" s="5"/>
      <c r="N38" s="5">
        <f t="shared" si="8"/>
        <v>2624</v>
      </c>
      <c r="O38" s="5">
        <f t="shared" si="9"/>
        <v>0</v>
      </c>
      <c r="P38" s="5">
        <f>Table14[[#This Row],[Enrolment S.Y. 2025-2026 ]]*8</f>
        <v>2624</v>
      </c>
      <c r="Q38" s="5"/>
      <c r="R38" s="1"/>
      <c r="S38" s="5"/>
      <c r="T38" s="5">
        <f>IF((P38-Q38)&lt;0,0,(P38-Q38))</f>
        <v>2624</v>
      </c>
      <c r="U38" s="5">
        <f>IF((Q38-P38)&lt;0,0,(Q38-P38))</f>
        <v>0</v>
      </c>
      <c r="V38" s="5">
        <f>Table14[[#This Row],[Enrolment S.Y. 2025-2026 ]]*8</f>
        <v>2624</v>
      </c>
      <c r="W38" s="5"/>
      <c r="X38" s="1"/>
      <c r="Y38" s="5"/>
      <c r="Z38" s="5">
        <f>IF((V38-W38)&lt;0,0,(V38-W38))</f>
        <v>2624</v>
      </c>
      <c r="AA38" s="5">
        <f>IF((W38-V38)&lt;0,0,(W38-V38))</f>
        <v>0</v>
      </c>
    </row>
    <row r="39" spans="1:27" ht="19.5">
      <c r="A39" s="1">
        <v>4</v>
      </c>
      <c r="B39" s="9" t="s">
        <v>91</v>
      </c>
      <c r="C39" s="1">
        <v>328</v>
      </c>
      <c r="D39" s="5">
        <f>Table14[[#This Row],[Enrolment S.Y. 2025-2026 ]]*8</f>
        <v>2624</v>
      </c>
      <c r="E39" s="5"/>
      <c r="F39" s="1"/>
      <c r="G39" s="5"/>
      <c r="H39" s="5">
        <f t="shared" si="0"/>
        <v>2624</v>
      </c>
      <c r="I39" s="5">
        <f t="shared" si="1"/>
        <v>0</v>
      </c>
      <c r="J39" s="5">
        <f>Table14[[#This Row],[Enrolment S.Y. 2025-2026 ]]*8</f>
        <v>2624</v>
      </c>
      <c r="K39" s="5"/>
      <c r="L39" s="1"/>
      <c r="M39" s="5"/>
      <c r="N39" s="5">
        <f t="shared" si="8"/>
        <v>2624</v>
      </c>
      <c r="O39" s="5">
        <f t="shared" si="9"/>
        <v>0</v>
      </c>
      <c r="P39" s="5">
        <f>Table14[[#This Row],[Enrolment S.Y. 2025-2026 ]]*8</f>
        <v>2624</v>
      </c>
      <c r="Q39" s="5"/>
      <c r="R39" s="1"/>
      <c r="S39" s="5"/>
      <c r="T39" s="5">
        <f t="shared" si="4"/>
        <v>2624</v>
      </c>
      <c r="U39" s="5">
        <f t="shared" si="5"/>
        <v>0</v>
      </c>
      <c r="V39" s="5">
        <f>Table14[[#This Row],[Enrolment S.Y. 2025-2026 ]]*8</f>
        <v>2624</v>
      </c>
      <c r="W39" s="5"/>
      <c r="X39" s="1"/>
      <c r="Y39" s="5"/>
      <c r="Z39" s="5">
        <f t="shared" si="6"/>
        <v>2624</v>
      </c>
      <c r="AA39" s="5">
        <f t="shared" si="7"/>
        <v>0</v>
      </c>
    </row>
    <row r="40" spans="1:27" ht="19.5">
      <c r="A40" s="1">
        <v>4</v>
      </c>
      <c r="B40" s="9" t="s">
        <v>19</v>
      </c>
      <c r="C40" s="1">
        <v>328</v>
      </c>
      <c r="D40" s="5">
        <f>Table14[[#This Row],[Enrolment S.Y. 2025-2026 ]]*8</f>
        <v>2624</v>
      </c>
      <c r="E40" s="5"/>
      <c r="F40" s="1"/>
      <c r="G40" s="5"/>
      <c r="H40" s="5">
        <f t="shared" si="0"/>
        <v>2624</v>
      </c>
      <c r="I40" s="5">
        <f t="shared" si="1"/>
        <v>0</v>
      </c>
      <c r="J40" s="5">
        <f>Table14[[#This Row],[Enrolment S.Y. 2025-2026 ]]*8</f>
        <v>2624</v>
      </c>
      <c r="K40" s="5"/>
      <c r="L40" s="1"/>
      <c r="M40" s="5"/>
      <c r="N40" s="5">
        <f t="shared" si="8"/>
        <v>2624</v>
      </c>
      <c r="O40" s="5">
        <f t="shared" si="9"/>
        <v>0</v>
      </c>
      <c r="P40" s="5">
        <f>Table14[[#This Row],[Enrolment S.Y. 2025-2026 ]]*8</f>
        <v>2624</v>
      </c>
      <c r="Q40" s="5"/>
      <c r="R40" s="1"/>
      <c r="S40" s="5"/>
      <c r="T40" s="5">
        <f t="shared" si="4"/>
        <v>2624</v>
      </c>
      <c r="U40" s="5">
        <f t="shared" si="5"/>
        <v>0</v>
      </c>
      <c r="V40" s="5">
        <f>Table14[[#This Row],[Enrolment S.Y. 2025-2026 ]]*8</f>
        <v>2624</v>
      </c>
      <c r="W40" s="5"/>
      <c r="X40" s="1"/>
      <c r="Y40" s="5"/>
      <c r="Z40" s="5">
        <f t="shared" si="6"/>
        <v>2624</v>
      </c>
      <c r="AA40" s="5">
        <f t="shared" si="7"/>
        <v>0</v>
      </c>
    </row>
    <row r="41" spans="1:27" ht="19.5">
      <c r="A41" s="37">
        <v>4</v>
      </c>
      <c r="B41" s="9" t="s">
        <v>92</v>
      </c>
      <c r="C41" s="1">
        <v>328</v>
      </c>
      <c r="D41" s="5">
        <f>Table14[[#This Row],[Enrolment S.Y. 2025-2026 ]]*8</f>
        <v>2624</v>
      </c>
      <c r="E41" s="5"/>
      <c r="F41" s="1"/>
      <c r="G41" s="5"/>
      <c r="H41" s="5">
        <f>IF((D41-E41)&lt;0,0,(D41-E41))</f>
        <v>2624</v>
      </c>
      <c r="I41" s="5">
        <f>IF((E41-D41)&lt;0,0,(E41-D41))</f>
        <v>0</v>
      </c>
      <c r="J41" s="5">
        <f>Table14[[#This Row],[Enrolment S.Y. 2025-2026 ]]*8</f>
        <v>2624</v>
      </c>
      <c r="K41" s="5"/>
      <c r="L41" s="1"/>
      <c r="M41" s="5"/>
      <c r="N41" s="5">
        <f t="shared" si="8"/>
        <v>2624</v>
      </c>
      <c r="O41" s="5">
        <f t="shared" si="9"/>
        <v>0</v>
      </c>
      <c r="P41" s="5">
        <f>Table14[[#This Row],[Enrolment S.Y. 2025-2026 ]]*8</f>
        <v>2624</v>
      </c>
      <c r="Q41" s="5"/>
      <c r="R41" s="1"/>
      <c r="S41" s="5"/>
      <c r="T41" s="5">
        <f>IF((P41-Q41)&lt;0,0,(P41-Q41))</f>
        <v>2624</v>
      </c>
      <c r="U41" s="5">
        <f>IF((Q41-P41)&lt;0,0,(Q41-P41))</f>
        <v>0</v>
      </c>
      <c r="V41" s="5">
        <f>Table14[[#This Row],[Enrolment S.Y. 2025-2026 ]]*8</f>
        <v>2624</v>
      </c>
      <c r="W41" s="5"/>
      <c r="X41" s="1"/>
      <c r="Y41" s="5"/>
      <c r="Z41" s="5">
        <f>IF((V41-W41)&lt;0,0,(V41-W41))</f>
        <v>2624</v>
      </c>
      <c r="AA41" s="5">
        <f>IF((W41-V41)&lt;0,0,(W41-V41))</f>
        <v>0</v>
      </c>
    </row>
    <row r="42" spans="1:27" ht="19.5">
      <c r="A42" s="1">
        <v>4</v>
      </c>
      <c r="B42" s="9" t="s">
        <v>93</v>
      </c>
      <c r="C42" s="1">
        <v>328</v>
      </c>
      <c r="D42" s="5">
        <f>Table14[[#This Row],[Enrolment S.Y. 2025-2026 ]]*8</f>
        <v>2624</v>
      </c>
      <c r="E42" s="5"/>
      <c r="F42" s="1"/>
      <c r="G42" s="5"/>
      <c r="H42" s="5">
        <f t="shared" si="0"/>
        <v>2624</v>
      </c>
      <c r="I42" s="5">
        <f t="shared" si="1"/>
        <v>0</v>
      </c>
      <c r="J42" s="5">
        <f>Table14[[#This Row],[Enrolment S.Y. 2025-2026 ]]*8</f>
        <v>2624</v>
      </c>
      <c r="K42" s="5"/>
      <c r="L42" s="1"/>
      <c r="M42" s="5"/>
      <c r="N42" s="5">
        <f t="shared" si="8"/>
        <v>2624</v>
      </c>
      <c r="O42" s="5">
        <f t="shared" si="9"/>
        <v>0</v>
      </c>
      <c r="P42" s="5">
        <f>Table14[[#This Row],[Enrolment S.Y. 2025-2026 ]]*8</f>
        <v>2624</v>
      </c>
      <c r="Q42" s="5"/>
      <c r="R42" s="1"/>
      <c r="S42" s="5"/>
      <c r="T42" s="5">
        <f t="shared" si="4"/>
        <v>2624</v>
      </c>
      <c r="U42" s="5">
        <f t="shared" si="5"/>
        <v>0</v>
      </c>
      <c r="V42" s="5">
        <f>Table14[[#This Row],[Enrolment S.Y. 2025-2026 ]]*8</f>
        <v>2624</v>
      </c>
      <c r="W42" s="5"/>
      <c r="X42" s="1"/>
      <c r="Y42" s="5"/>
      <c r="Z42" s="5">
        <f t="shared" si="6"/>
        <v>2624</v>
      </c>
      <c r="AA42" s="5">
        <f t="shared" si="7"/>
        <v>0</v>
      </c>
    </row>
    <row r="43" spans="1:27" s="7" customFormat="1"/>
    <row r="44" spans="1:27" ht="19.5">
      <c r="A44" s="1">
        <v>5</v>
      </c>
      <c r="B44" s="9" t="s">
        <v>15</v>
      </c>
      <c r="C44" s="1">
        <v>268</v>
      </c>
      <c r="D44" s="5">
        <f>Table14[[#This Row],[Enrolment S.Y. 2025-2026 ]]*8</f>
        <v>2144</v>
      </c>
      <c r="E44" s="5"/>
      <c r="F44" s="1"/>
      <c r="G44" s="5"/>
      <c r="H44" s="5">
        <f t="shared" si="0"/>
        <v>2144</v>
      </c>
      <c r="I44" s="5">
        <f t="shared" si="1"/>
        <v>0</v>
      </c>
      <c r="J44" s="5">
        <f>Table14[[#This Row],[Enrolment S.Y. 2025-2026 ]]*8</f>
        <v>2144</v>
      </c>
      <c r="K44" s="5"/>
      <c r="L44" s="1"/>
      <c r="M44" s="5"/>
      <c r="N44" s="5">
        <f t="shared" si="2"/>
        <v>2144</v>
      </c>
      <c r="O44" s="5">
        <f t="shared" si="3"/>
        <v>0</v>
      </c>
      <c r="P44" s="5">
        <f>Table14[[#This Row],[Enrolment S.Y. 2025-2026 ]]*8</f>
        <v>2144</v>
      </c>
      <c r="Q44" s="5"/>
      <c r="R44" s="1"/>
      <c r="S44" s="5"/>
      <c r="T44" s="5">
        <f t="shared" si="4"/>
        <v>2144</v>
      </c>
      <c r="U44" s="5">
        <f t="shared" si="5"/>
        <v>0</v>
      </c>
      <c r="V44" s="5">
        <f>Table14[[#This Row],[Enrolment S.Y. 2025-2026 ]]*8</f>
        <v>2144</v>
      </c>
      <c r="W44" s="5"/>
      <c r="X44" s="1"/>
      <c r="Y44" s="5"/>
      <c r="Z44" s="5">
        <f t="shared" si="6"/>
        <v>2144</v>
      </c>
      <c r="AA44" s="5">
        <f t="shared" si="7"/>
        <v>0</v>
      </c>
    </row>
    <row r="45" spans="1:27" ht="19.5">
      <c r="A45" s="1">
        <v>5</v>
      </c>
      <c r="B45" s="9" t="s">
        <v>16</v>
      </c>
      <c r="C45" s="1">
        <v>268</v>
      </c>
      <c r="D45" s="5">
        <f>Table14[[#This Row],[Enrolment S.Y. 2025-2026 ]]*8</f>
        <v>2144</v>
      </c>
      <c r="E45" s="5"/>
      <c r="F45" s="1"/>
      <c r="G45" s="5"/>
      <c r="H45" s="5">
        <f t="shared" si="0"/>
        <v>2144</v>
      </c>
      <c r="I45" s="5">
        <f t="shared" si="1"/>
        <v>0</v>
      </c>
      <c r="J45" s="5">
        <f>Table14[[#This Row],[Enrolment S.Y. 2025-2026 ]]*8</f>
        <v>2144</v>
      </c>
      <c r="K45" s="5"/>
      <c r="L45" s="1"/>
      <c r="M45" s="5"/>
      <c r="N45" s="5">
        <f t="shared" si="2"/>
        <v>2144</v>
      </c>
      <c r="O45" s="5">
        <f t="shared" si="3"/>
        <v>0</v>
      </c>
      <c r="P45" s="5">
        <f>Table14[[#This Row],[Enrolment S.Y. 2025-2026 ]]*8</f>
        <v>2144</v>
      </c>
      <c r="Q45" s="5"/>
      <c r="R45" s="1"/>
      <c r="S45" s="5"/>
      <c r="T45" s="5">
        <f t="shared" si="4"/>
        <v>2144</v>
      </c>
      <c r="U45" s="5">
        <f t="shared" si="5"/>
        <v>0</v>
      </c>
      <c r="V45" s="5">
        <f>Table14[[#This Row],[Enrolment S.Y. 2025-2026 ]]*8</f>
        <v>2144</v>
      </c>
      <c r="W45" s="5"/>
      <c r="X45" s="1"/>
      <c r="Y45" s="5"/>
      <c r="Z45" s="5">
        <f t="shared" si="6"/>
        <v>2144</v>
      </c>
      <c r="AA45" s="5">
        <f t="shared" si="7"/>
        <v>0</v>
      </c>
    </row>
    <row r="46" spans="1:27" ht="19.5">
      <c r="A46" s="1">
        <v>5</v>
      </c>
      <c r="B46" s="9" t="s">
        <v>13</v>
      </c>
      <c r="C46" s="1">
        <v>268</v>
      </c>
      <c r="D46" s="5">
        <f>Table14[[#This Row],[Enrolment S.Y. 2025-2026 ]]*8</f>
        <v>2144</v>
      </c>
      <c r="E46" s="5"/>
      <c r="F46" s="1"/>
      <c r="G46" s="5"/>
      <c r="H46" s="5">
        <f t="shared" si="0"/>
        <v>2144</v>
      </c>
      <c r="I46" s="5">
        <f t="shared" si="1"/>
        <v>0</v>
      </c>
      <c r="J46" s="5">
        <f>Table14[[#This Row],[Enrolment S.Y. 2025-2026 ]]*8</f>
        <v>2144</v>
      </c>
      <c r="K46" s="5"/>
      <c r="L46" s="1"/>
      <c r="M46" s="5"/>
      <c r="N46" s="5">
        <f t="shared" si="2"/>
        <v>2144</v>
      </c>
      <c r="O46" s="5">
        <f t="shared" si="3"/>
        <v>0</v>
      </c>
      <c r="P46" s="5">
        <f>Table14[[#This Row],[Enrolment S.Y. 2025-2026 ]]*8</f>
        <v>2144</v>
      </c>
      <c r="Q46" s="5"/>
      <c r="R46" s="1"/>
      <c r="S46" s="5"/>
      <c r="T46" s="5">
        <f t="shared" si="4"/>
        <v>2144</v>
      </c>
      <c r="U46" s="5">
        <f t="shared" si="5"/>
        <v>0</v>
      </c>
      <c r="V46" s="5">
        <f>Table14[[#This Row],[Enrolment S.Y. 2025-2026 ]]*8</f>
        <v>2144</v>
      </c>
      <c r="W46" s="5"/>
      <c r="X46" s="1"/>
      <c r="Y46" s="5"/>
      <c r="Z46" s="5">
        <f t="shared" si="6"/>
        <v>2144</v>
      </c>
      <c r="AA46" s="5">
        <f t="shared" si="7"/>
        <v>0</v>
      </c>
    </row>
    <row r="47" spans="1:27" ht="19.5">
      <c r="A47" s="1">
        <v>5</v>
      </c>
      <c r="B47" s="9" t="s">
        <v>11</v>
      </c>
      <c r="C47" s="1">
        <v>268</v>
      </c>
      <c r="D47" s="5">
        <f>Table14[[#This Row],[Enrolment S.Y. 2025-2026 ]]*8</f>
        <v>2144</v>
      </c>
      <c r="E47" s="5"/>
      <c r="F47" s="1"/>
      <c r="G47" s="5"/>
      <c r="H47" s="5">
        <f t="shared" si="0"/>
        <v>2144</v>
      </c>
      <c r="I47" s="5">
        <f t="shared" si="1"/>
        <v>0</v>
      </c>
      <c r="J47" s="5">
        <f>Table14[[#This Row],[Enrolment S.Y. 2025-2026 ]]*8</f>
        <v>2144</v>
      </c>
      <c r="K47" s="5"/>
      <c r="L47" s="1"/>
      <c r="M47" s="5"/>
      <c r="N47" s="5">
        <f t="shared" si="2"/>
        <v>2144</v>
      </c>
      <c r="O47" s="5">
        <f t="shared" si="3"/>
        <v>0</v>
      </c>
      <c r="P47" s="5">
        <f>Table14[[#This Row],[Enrolment S.Y. 2025-2026 ]]*8</f>
        <v>2144</v>
      </c>
      <c r="Q47" s="5"/>
      <c r="R47" s="1"/>
      <c r="S47" s="5"/>
      <c r="T47" s="5">
        <f t="shared" si="4"/>
        <v>2144</v>
      </c>
      <c r="U47" s="5">
        <f t="shared" si="5"/>
        <v>0</v>
      </c>
      <c r="V47" s="5">
        <f>Table14[[#This Row],[Enrolment S.Y. 2025-2026 ]]*8</f>
        <v>2144</v>
      </c>
      <c r="W47" s="5"/>
      <c r="X47" s="1"/>
      <c r="Y47" s="5"/>
      <c r="Z47" s="5">
        <f t="shared" si="6"/>
        <v>2144</v>
      </c>
      <c r="AA47" s="5">
        <f t="shared" si="7"/>
        <v>0</v>
      </c>
    </row>
    <row r="48" spans="1:27" ht="39">
      <c r="A48" s="1">
        <v>5</v>
      </c>
      <c r="B48" s="9" t="s">
        <v>17</v>
      </c>
      <c r="C48" s="1">
        <v>268</v>
      </c>
      <c r="D48" s="5">
        <f>Table14[[#This Row],[Enrolment S.Y. 2025-2026 ]]*8</f>
        <v>2144</v>
      </c>
      <c r="E48" s="5"/>
      <c r="F48" s="1"/>
      <c r="G48" s="5"/>
      <c r="H48" s="5">
        <f t="shared" si="0"/>
        <v>2144</v>
      </c>
      <c r="I48" s="5">
        <f t="shared" si="1"/>
        <v>0</v>
      </c>
      <c r="J48" s="5">
        <f>Table14[[#This Row],[Enrolment S.Y. 2025-2026 ]]*8</f>
        <v>2144</v>
      </c>
      <c r="K48" s="5"/>
      <c r="L48" s="1"/>
      <c r="M48" s="5"/>
      <c r="N48" s="5">
        <f t="shared" si="2"/>
        <v>2144</v>
      </c>
      <c r="O48" s="5">
        <f t="shared" si="3"/>
        <v>0</v>
      </c>
      <c r="P48" s="5">
        <f>Table14[[#This Row],[Enrolment S.Y. 2025-2026 ]]*8</f>
        <v>2144</v>
      </c>
      <c r="Q48" s="5"/>
      <c r="R48" s="1"/>
      <c r="S48" s="5"/>
      <c r="T48" s="5">
        <f t="shared" si="4"/>
        <v>2144</v>
      </c>
      <c r="U48" s="5">
        <f t="shared" si="5"/>
        <v>0</v>
      </c>
      <c r="V48" s="5">
        <f>Table14[[#This Row],[Enrolment S.Y. 2025-2026 ]]*8</f>
        <v>2144</v>
      </c>
      <c r="W48" s="5"/>
      <c r="X48" s="1"/>
      <c r="Y48" s="5"/>
      <c r="Z48" s="5">
        <f t="shared" si="6"/>
        <v>2144</v>
      </c>
      <c r="AA48" s="5">
        <f t="shared" si="7"/>
        <v>0</v>
      </c>
    </row>
    <row r="49" spans="1:27" ht="19.5">
      <c r="A49" s="1">
        <v>5</v>
      </c>
      <c r="B49" s="9" t="s">
        <v>14</v>
      </c>
      <c r="C49" s="1">
        <v>268</v>
      </c>
      <c r="D49" s="5">
        <f>Table14[[#This Row],[Enrolment S.Y. 2025-2026 ]]*8</f>
        <v>2144</v>
      </c>
      <c r="E49" s="5"/>
      <c r="F49" s="1"/>
      <c r="G49" s="5"/>
      <c r="H49" s="5">
        <f t="shared" si="0"/>
        <v>2144</v>
      </c>
      <c r="I49" s="5">
        <f t="shared" si="1"/>
        <v>0</v>
      </c>
      <c r="J49" s="5">
        <f>Table14[[#This Row],[Enrolment S.Y. 2025-2026 ]]*8</f>
        <v>2144</v>
      </c>
      <c r="K49" s="5"/>
      <c r="L49" s="1"/>
      <c r="M49" s="5"/>
      <c r="N49" s="5">
        <f t="shared" ref="N49:N54" si="10">IF((J49-K49)&lt;0,0,(J49-K49))</f>
        <v>2144</v>
      </c>
      <c r="O49" s="5">
        <f t="shared" ref="O49:O54" si="11">IF((K49-J49)&lt;0,0,(K49-J49))</f>
        <v>0</v>
      </c>
      <c r="P49" s="5">
        <f>Table14[[#This Row],[Enrolment S.Y. 2025-2026 ]]*8</f>
        <v>2144</v>
      </c>
      <c r="Q49" s="5"/>
      <c r="R49" s="1"/>
      <c r="S49" s="5"/>
      <c r="T49" s="5">
        <f t="shared" si="4"/>
        <v>2144</v>
      </c>
      <c r="U49" s="5">
        <f t="shared" si="5"/>
        <v>0</v>
      </c>
      <c r="V49" s="5">
        <f>Table14[[#This Row],[Enrolment S.Y. 2025-2026 ]]*8</f>
        <v>2144</v>
      </c>
      <c r="W49" s="5"/>
      <c r="X49" s="1"/>
      <c r="Y49" s="5"/>
      <c r="Z49" s="5">
        <f t="shared" si="6"/>
        <v>2144</v>
      </c>
      <c r="AA49" s="5">
        <f t="shared" si="7"/>
        <v>0</v>
      </c>
    </row>
    <row r="50" spans="1:27" ht="19.5">
      <c r="A50" s="37">
        <v>5</v>
      </c>
      <c r="B50" s="9" t="s">
        <v>90</v>
      </c>
      <c r="C50" s="1">
        <v>268</v>
      </c>
      <c r="D50" s="5">
        <f>Table14[[#This Row],[Enrolment S.Y. 2025-2026 ]]*8</f>
        <v>2144</v>
      </c>
      <c r="E50" s="5"/>
      <c r="F50" s="1"/>
      <c r="G50" s="5"/>
      <c r="H50" s="5">
        <f>IF((D50-E50)&lt;0,0,(D50-E50))</f>
        <v>2144</v>
      </c>
      <c r="I50" s="5">
        <f>IF((E50-D50)&lt;0,0,(E50-D50))</f>
        <v>0</v>
      </c>
      <c r="J50" s="5">
        <f>Table14[[#This Row],[Enrolment S.Y. 2025-2026 ]]*8</f>
        <v>2144</v>
      </c>
      <c r="K50" s="5"/>
      <c r="L50" s="1"/>
      <c r="M50" s="5"/>
      <c r="N50" s="5">
        <f t="shared" si="10"/>
        <v>2144</v>
      </c>
      <c r="O50" s="5">
        <f t="shared" si="11"/>
        <v>0</v>
      </c>
      <c r="P50" s="5">
        <f>Table14[[#This Row],[Enrolment S.Y. 2025-2026 ]]*8</f>
        <v>2144</v>
      </c>
      <c r="Q50" s="5"/>
      <c r="R50" s="1"/>
      <c r="S50" s="5"/>
      <c r="T50" s="5">
        <f>IF((P50-Q50)&lt;0,0,(P50-Q50))</f>
        <v>2144</v>
      </c>
      <c r="U50" s="5">
        <f>IF((Q50-P50)&lt;0,0,(Q50-P50))</f>
        <v>0</v>
      </c>
      <c r="V50" s="5">
        <f>Table14[[#This Row],[Enrolment S.Y. 2025-2026 ]]*8</f>
        <v>2144</v>
      </c>
      <c r="W50" s="5"/>
      <c r="X50" s="1"/>
      <c r="Y50" s="5"/>
      <c r="Z50" s="5">
        <f>IF((V50-W50)&lt;0,0,(V50-W50))</f>
        <v>2144</v>
      </c>
      <c r="AA50" s="5">
        <f>IF((W50-V50)&lt;0,0,(W50-V50))</f>
        <v>0</v>
      </c>
    </row>
    <row r="51" spans="1:27" ht="19.5">
      <c r="A51" s="1">
        <v>5</v>
      </c>
      <c r="B51" s="9" t="s">
        <v>91</v>
      </c>
      <c r="C51" s="1">
        <v>268</v>
      </c>
      <c r="D51" s="5">
        <f>Table14[[#This Row],[Enrolment S.Y. 2025-2026 ]]*8</f>
        <v>2144</v>
      </c>
      <c r="E51" s="5"/>
      <c r="F51" s="1"/>
      <c r="G51" s="5"/>
      <c r="H51" s="5">
        <f t="shared" si="0"/>
        <v>2144</v>
      </c>
      <c r="I51" s="5">
        <f t="shared" si="1"/>
        <v>0</v>
      </c>
      <c r="J51" s="5">
        <f>Table14[[#This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Table14[[#This Row],[Enrolment S.Y. 2025-2026 ]]*8</f>
        <v>2144</v>
      </c>
      <c r="Q51" s="5"/>
      <c r="R51" s="1"/>
      <c r="S51" s="5"/>
      <c r="T51" s="5">
        <f t="shared" si="4"/>
        <v>2144</v>
      </c>
      <c r="U51" s="5">
        <f t="shared" si="5"/>
        <v>0</v>
      </c>
      <c r="V51" s="5">
        <f>Table14[[#This Row],[Enrolment S.Y. 2025-2026 ]]*8</f>
        <v>2144</v>
      </c>
      <c r="W51" s="5"/>
      <c r="X51" s="1"/>
      <c r="Y51" s="5"/>
      <c r="Z51" s="5">
        <f t="shared" si="6"/>
        <v>2144</v>
      </c>
      <c r="AA51" s="5">
        <f t="shared" si="7"/>
        <v>0</v>
      </c>
    </row>
    <row r="52" spans="1:27" ht="19.5">
      <c r="A52" s="1">
        <v>5</v>
      </c>
      <c r="B52" s="9" t="s">
        <v>19</v>
      </c>
      <c r="C52" s="1">
        <v>268</v>
      </c>
      <c r="D52" s="5">
        <f>Table14[[#This Row],[Enrolment S.Y. 2025-2026 ]]*8</f>
        <v>2144</v>
      </c>
      <c r="E52" s="5"/>
      <c r="F52" s="1"/>
      <c r="G52" s="5"/>
      <c r="H52" s="5">
        <f t="shared" si="0"/>
        <v>2144</v>
      </c>
      <c r="I52" s="5">
        <f t="shared" si="1"/>
        <v>0</v>
      </c>
      <c r="J52" s="5">
        <f>Table14[[#This Row],[Enrolment S.Y. 2025-2026 ]]*8</f>
        <v>2144</v>
      </c>
      <c r="K52" s="5"/>
      <c r="L52" s="1"/>
      <c r="M52" s="5"/>
      <c r="N52" s="5">
        <f t="shared" si="10"/>
        <v>2144</v>
      </c>
      <c r="O52" s="5">
        <f t="shared" si="11"/>
        <v>0</v>
      </c>
      <c r="P52" s="5">
        <f>Table14[[#This Row],[Enrolment S.Y. 2025-2026 ]]*8</f>
        <v>2144</v>
      </c>
      <c r="Q52" s="5"/>
      <c r="R52" s="1"/>
      <c r="S52" s="5"/>
      <c r="T52" s="5">
        <f t="shared" si="4"/>
        <v>2144</v>
      </c>
      <c r="U52" s="5">
        <f t="shared" si="5"/>
        <v>0</v>
      </c>
      <c r="V52" s="5">
        <f>Table14[[#This Row],[Enrolment S.Y. 2025-2026 ]]*8</f>
        <v>2144</v>
      </c>
      <c r="W52" s="5"/>
      <c r="X52" s="1"/>
      <c r="Y52" s="5"/>
      <c r="Z52" s="5">
        <f t="shared" si="6"/>
        <v>2144</v>
      </c>
      <c r="AA52" s="5">
        <f t="shared" si="7"/>
        <v>0</v>
      </c>
    </row>
    <row r="53" spans="1:27" ht="19.5">
      <c r="A53" s="37">
        <v>5</v>
      </c>
      <c r="B53" s="9" t="s">
        <v>92</v>
      </c>
      <c r="C53" s="1">
        <v>268</v>
      </c>
      <c r="D53" s="5">
        <f>Table14[[#This Row],[Enrolment S.Y. 2025-2026 ]]*8</f>
        <v>2144</v>
      </c>
      <c r="E53" s="5"/>
      <c r="F53" s="1"/>
      <c r="G53" s="5"/>
      <c r="H53" s="5">
        <f>IF((D53-E53)&lt;0,0,(D53-E53))</f>
        <v>2144</v>
      </c>
      <c r="I53" s="5">
        <f>IF((E53-D53)&lt;0,0,(E53-D53))</f>
        <v>0</v>
      </c>
      <c r="J53" s="5">
        <f>Table14[[#This Row],[Enrolment S.Y. 2025-2026 ]]*8</f>
        <v>2144</v>
      </c>
      <c r="K53" s="5"/>
      <c r="L53" s="1"/>
      <c r="M53" s="5"/>
      <c r="N53" s="5">
        <f t="shared" si="10"/>
        <v>2144</v>
      </c>
      <c r="O53" s="5">
        <f t="shared" si="11"/>
        <v>0</v>
      </c>
      <c r="P53" s="5">
        <f>Table14[[#This Row],[Enrolment S.Y. 2025-2026 ]]*8</f>
        <v>2144</v>
      </c>
      <c r="Q53" s="5"/>
      <c r="R53" s="1"/>
      <c r="S53" s="5"/>
      <c r="T53" s="5">
        <f>IF((P53-Q53)&lt;0,0,(P53-Q53))</f>
        <v>2144</v>
      </c>
      <c r="U53" s="5">
        <f>IF((Q53-P53)&lt;0,0,(Q53-P53))</f>
        <v>0</v>
      </c>
      <c r="V53" s="5">
        <f>Table14[[#This Row],[Enrolment S.Y. 2025-2026 ]]*8</f>
        <v>2144</v>
      </c>
      <c r="W53" s="5"/>
      <c r="X53" s="1"/>
      <c r="Y53" s="5"/>
      <c r="Z53" s="5">
        <f>IF((V53-W53)&lt;0,0,(V53-W53))</f>
        <v>2144</v>
      </c>
      <c r="AA53" s="5">
        <f>IF((W53-V53)&lt;0,0,(W53-V53))</f>
        <v>0</v>
      </c>
    </row>
    <row r="54" spans="1:27" ht="19.5">
      <c r="A54" s="1">
        <v>5</v>
      </c>
      <c r="B54" s="9" t="s">
        <v>93</v>
      </c>
      <c r="C54" s="1">
        <v>268</v>
      </c>
      <c r="D54" s="5">
        <f>Table14[[#This Row],[Enrolment S.Y. 2025-2026 ]]*8</f>
        <v>2144</v>
      </c>
      <c r="E54" s="5"/>
      <c r="F54" s="1"/>
      <c r="G54" s="5"/>
      <c r="H54" s="5">
        <f t="shared" si="0"/>
        <v>2144</v>
      </c>
      <c r="I54" s="5">
        <f t="shared" si="1"/>
        <v>0</v>
      </c>
      <c r="J54" s="5">
        <f>Table14[[#This Row],[Enrolment S.Y. 2025-2026 ]]*8</f>
        <v>2144</v>
      </c>
      <c r="K54" s="5"/>
      <c r="L54" s="1"/>
      <c r="M54" s="5"/>
      <c r="N54" s="5">
        <f t="shared" si="10"/>
        <v>2144</v>
      </c>
      <c r="O54" s="5">
        <f t="shared" si="11"/>
        <v>0</v>
      </c>
      <c r="P54" s="5">
        <f>Table14[[#This Row],[Enrolment S.Y. 2025-2026 ]]*8</f>
        <v>2144</v>
      </c>
      <c r="Q54" s="5"/>
      <c r="R54" s="1"/>
      <c r="S54" s="5"/>
      <c r="T54" s="5">
        <f t="shared" si="4"/>
        <v>2144</v>
      </c>
      <c r="U54" s="5">
        <f t="shared" si="5"/>
        <v>0</v>
      </c>
      <c r="V54" s="5">
        <f>Table14[[#This Row],[Enrolment S.Y. 2025-2026 ]]*8</f>
        <v>2144</v>
      </c>
      <c r="W54" s="5"/>
      <c r="X54" s="1"/>
      <c r="Y54" s="5"/>
      <c r="Z54" s="5">
        <f t="shared" si="6"/>
        <v>2144</v>
      </c>
      <c r="AA54" s="5">
        <f t="shared" si="7"/>
        <v>0</v>
      </c>
    </row>
    <row r="55" spans="1:27" s="7" customFormat="1"/>
    <row r="56" spans="1:27" ht="19.5">
      <c r="A56" s="1">
        <v>6</v>
      </c>
      <c r="B56" s="9" t="s">
        <v>15</v>
      </c>
      <c r="C56" s="1">
        <v>280</v>
      </c>
      <c r="D56" s="5">
        <f>Table14[[#This Row],[Enrolment S.Y. 2025-2026 ]]*8</f>
        <v>2240</v>
      </c>
      <c r="E56" s="5">
        <f>75*3</f>
        <v>225</v>
      </c>
      <c r="F56" s="1">
        <v>2025</v>
      </c>
      <c r="G56" s="5" t="s">
        <v>63</v>
      </c>
      <c r="H56" s="5">
        <f t="shared" si="0"/>
        <v>2015</v>
      </c>
      <c r="I56" s="5">
        <f t="shared" si="1"/>
        <v>0</v>
      </c>
      <c r="J56" s="5">
        <f>Table14[[#This Row],[Enrolment S.Y. 2025-2026 ]]*8</f>
        <v>2240</v>
      </c>
      <c r="K56" s="5">
        <f>50*3</f>
        <v>150</v>
      </c>
      <c r="L56" s="1">
        <v>2025</v>
      </c>
      <c r="M56" s="5" t="s">
        <v>63</v>
      </c>
      <c r="N56" s="5">
        <f t="shared" si="2"/>
        <v>2090</v>
      </c>
      <c r="O56" s="5">
        <f t="shared" si="3"/>
        <v>0</v>
      </c>
      <c r="P56" s="5">
        <f>Table14[[#This Row],[Enrolment S.Y. 2025-2026 ]]*8</f>
        <v>2240</v>
      </c>
      <c r="Q56" s="5">
        <f>50*2</f>
        <v>100</v>
      </c>
      <c r="R56" s="1">
        <v>2025</v>
      </c>
      <c r="S56" s="5" t="s">
        <v>63</v>
      </c>
      <c r="T56" s="5">
        <f t="shared" si="4"/>
        <v>2140</v>
      </c>
      <c r="U56" s="5">
        <f t="shared" si="5"/>
        <v>0</v>
      </c>
      <c r="V56" s="5">
        <f>Table14[[#This Row],[Enrolment S.Y. 2025-2026 ]]*8</f>
        <v>2240</v>
      </c>
      <c r="W56" s="5">
        <v>350</v>
      </c>
      <c r="X56" s="1">
        <v>2025</v>
      </c>
      <c r="Y56" s="5" t="s">
        <v>63</v>
      </c>
      <c r="Z56" s="5">
        <f t="shared" si="6"/>
        <v>1890</v>
      </c>
      <c r="AA56" s="5">
        <f t="shared" si="7"/>
        <v>0</v>
      </c>
    </row>
    <row r="57" spans="1:27" ht="19.5">
      <c r="A57" s="1">
        <v>6</v>
      </c>
      <c r="B57" s="9" t="s">
        <v>16</v>
      </c>
      <c r="C57" s="1">
        <v>280</v>
      </c>
      <c r="D57" s="5">
        <f>Table14[[#This Row],[Enrolment S.Y. 2025-2026 ]]*8</f>
        <v>2240</v>
      </c>
      <c r="E57" s="5">
        <f>75*14</f>
        <v>1050</v>
      </c>
      <c r="F57" s="1">
        <v>2025</v>
      </c>
      <c r="G57" s="5" t="s">
        <v>63</v>
      </c>
      <c r="H57" s="5">
        <f t="shared" si="0"/>
        <v>1190</v>
      </c>
      <c r="I57" s="5">
        <f t="shared" si="1"/>
        <v>0</v>
      </c>
      <c r="J57" s="5">
        <f>Table14[[#This Row],[Enrolment S.Y. 2025-2026 ]]*8</f>
        <v>2240</v>
      </c>
      <c r="K57" s="5">
        <f>50*14</f>
        <v>700</v>
      </c>
      <c r="L57" s="1">
        <v>2025</v>
      </c>
      <c r="M57" s="5" t="s">
        <v>63</v>
      </c>
      <c r="N57" s="5">
        <f t="shared" si="2"/>
        <v>1540</v>
      </c>
      <c r="O57" s="5">
        <f t="shared" si="3"/>
        <v>0</v>
      </c>
      <c r="P57" s="5">
        <f>Table14[[#This Row],[Enrolment S.Y. 2025-2026 ]]*8</f>
        <v>2240</v>
      </c>
      <c r="Q57" s="5">
        <f>50*6</f>
        <v>300</v>
      </c>
      <c r="R57" s="1">
        <v>2025</v>
      </c>
      <c r="S57" s="5" t="s">
        <v>63</v>
      </c>
      <c r="T57" s="5">
        <f t="shared" si="4"/>
        <v>1940</v>
      </c>
      <c r="U57" s="5">
        <f t="shared" si="5"/>
        <v>0</v>
      </c>
      <c r="V57" s="5">
        <f>Table14[[#This Row],[Enrolment S.Y. 2025-2026 ]]*8</f>
        <v>2240</v>
      </c>
      <c r="W57" s="5">
        <v>250</v>
      </c>
      <c r="X57" s="1">
        <v>2025</v>
      </c>
      <c r="Y57" s="5" t="s">
        <v>63</v>
      </c>
      <c r="Z57" s="5">
        <f t="shared" si="6"/>
        <v>1990</v>
      </c>
      <c r="AA57" s="5">
        <f t="shared" si="7"/>
        <v>0</v>
      </c>
    </row>
    <row r="58" spans="1:27" ht="19.5">
      <c r="A58" s="1">
        <v>6</v>
      </c>
      <c r="B58" s="9" t="s">
        <v>13</v>
      </c>
      <c r="C58" s="1">
        <v>280</v>
      </c>
      <c r="D58" s="5">
        <f>Table14[[#This Row],[Enrolment S.Y. 2025-2026 ]]*8</f>
        <v>2240</v>
      </c>
      <c r="E58" s="5">
        <f>75*11</f>
        <v>825</v>
      </c>
      <c r="F58" s="1">
        <v>2025</v>
      </c>
      <c r="G58" s="5" t="s">
        <v>63</v>
      </c>
      <c r="H58" s="5">
        <f t="shared" si="0"/>
        <v>1415</v>
      </c>
      <c r="I58" s="5">
        <f t="shared" si="1"/>
        <v>0</v>
      </c>
      <c r="J58" s="5">
        <f>Table14[[#This Row],[Enrolment S.Y. 2025-2026 ]]*8</f>
        <v>2240</v>
      </c>
      <c r="K58" s="5">
        <f>50*14</f>
        <v>700</v>
      </c>
      <c r="L58" s="1">
        <v>2025</v>
      </c>
      <c r="M58" s="5" t="s">
        <v>63</v>
      </c>
      <c r="N58" s="5">
        <f t="shared" si="2"/>
        <v>1540</v>
      </c>
      <c r="O58" s="5">
        <f t="shared" si="3"/>
        <v>0</v>
      </c>
      <c r="P58" s="5">
        <f>Table14[[#This Row],[Enrolment S.Y. 2025-2026 ]]*8</f>
        <v>2240</v>
      </c>
      <c r="Q58" s="5">
        <f>50*9</f>
        <v>450</v>
      </c>
      <c r="R58" s="1">
        <v>2025</v>
      </c>
      <c r="S58" s="5" t="s">
        <v>63</v>
      </c>
      <c r="T58" s="5">
        <f t="shared" si="4"/>
        <v>1790</v>
      </c>
      <c r="U58" s="5">
        <f t="shared" si="5"/>
        <v>0</v>
      </c>
      <c r="V58" s="5">
        <f>Table14[[#This Row],[Enrolment S.Y. 2025-2026 ]]*8</f>
        <v>2240</v>
      </c>
      <c r="W58" s="5">
        <v>450</v>
      </c>
      <c r="X58" s="1">
        <v>2025</v>
      </c>
      <c r="Y58" s="5" t="s">
        <v>63</v>
      </c>
      <c r="Z58" s="5">
        <f t="shared" si="6"/>
        <v>1790</v>
      </c>
      <c r="AA58" s="5">
        <f t="shared" si="7"/>
        <v>0</v>
      </c>
    </row>
    <row r="59" spans="1:27" ht="19.5">
      <c r="A59" s="1">
        <v>6</v>
      </c>
      <c r="B59" s="9" t="s">
        <v>11</v>
      </c>
      <c r="C59" s="1">
        <v>280</v>
      </c>
      <c r="D59" s="5">
        <f>Table14[[#This Row],[Enrolment S.Y. 2025-2026 ]]*8</f>
        <v>2240</v>
      </c>
      <c r="E59" s="5"/>
      <c r="F59" s="1"/>
      <c r="G59" s="5"/>
      <c r="H59" s="5">
        <f t="shared" si="0"/>
        <v>2240</v>
      </c>
      <c r="I59" s="5">
        <f t="shared" si="1"/>
        <v>0</v>
      </c>
      <c r="J59" s="5">
        <f>Table14[[#This Row],[Enrolment S.Y. 2025-2026 ]]*8</f>
        <v>2240</v>
      </c>
      <c r="K59" s="5"/>
      <c r="L59" s="1"/>
      <c r="M59" s="5"/>
      <c r="N59" s="5">
        <f t="shared" si="2"/>
        <v>2240</v>
      </c>
      <c r="O59" s="5">
        <f t="shared" si="3"/>
        <v>0</v>
      </c>
      <c r="P59" s="5">
        <f>Table14[[#This Row],[Enrolment S.Y. 2025-2026 ]]*8</f>
        <v>2240</v>
      </c>
      <c r="Q59" s="5"/>
      <c r="R59" s="1"/>
      <c r="S59" s="5"/>
      <c r="T59" s="5">
        <f t="shared" si="4"/>
        <v>2240</v>
      </c>
      <c r="U59" s="5">
        <f t="shared" si="5"/>
        <v>0</v>
      </c>
      <c r="V59" s="5">
        <f>Table14[[#This Row],[Enrolment S.Y. 2025-2026 ]]*8</f>
        <v>2240</v>
      </c>
      <c r="W59" s="5"/>
      <c r="X59" s="1"/>
      <c r="Y59" s="5"/>
      <c r="Z59" s="5">
        <f t="shared" si="6"/>
        <v>2240</v>
      </c>
      <c r="AA59" s="5">
        <f t="shared" si="7"/>
        <v>0</v>
      </c>
    </row>
    <row r="60" spans="1:27" ht="39">
      <c r="A60" s="1">
        <v>6</v>
      </c>
      <c r="B60" s="9" t="s">
        <v>17</v>
      </c>
      <c r="C60" s="1">
        <v>280</v>
      </c>
      <c r="D60" s="5">
        <f>Table14[[#This Row],[Enrolment S.Y. 2025-2026 ]]*8</f>
        <v>2240</v>
      </c>
      <c r="E60" s="5"/>
      <c r="F60" s="1"/>
      <c r="G60" s="5"/>
      <c r="H60" s="5">
        <f t="shared" si="0"/>
        <v>2240</v>
      </c>
      <c r="I60" s="5">
        <f t="shared" si="1"/>
        <v>0</v>
      </c>
      <c r="J60" s="5">
        <f>Table14[[#This Row],[Enrolment S.Y. 2025-2026 ]]*8</f>
        <v>2240</v>
      </c>
      <c r="K60" s="5"/>
      <c r="L60" s="1"/>
      <c r="M60" s="5"/>
      <c r="N60" s="5">
        <f t="shared" si="2"/>
        <v>2240</v>
      </c>
      <c r="O60" s="5">
        <f t="shared" si="3"/>
        <v>0</v>
      </c>
      <c r="P60" s="5">
        <f>Table14[[#This Row],[Enrolment S.Y. 2025-2026 ]]*8</f>
        <v>2240</v>
      </c>
      <c r="Q60" s="5">
        <f>50*6</f>
        <v>300</v>
      </c>
      <c r="R60" s="1">
        <v>2025</v>
      </c>
      <c r="S60" s="5" t="s">
        <v>63</v>
      </c>
      <c r="T60" s="5">
        <f t="shared" si="4"/>
        <v>1940</v>
      </c>
      <c r="U60" s="5">
        <f t="shared" si="5"/>
        <v>0</v>
      </c>
      <c r="V60" s="5">
        <f>Table14[[#This Row],[Enrolment S.Y. 2025-2026 ]]*8</f>
        <v>2240</v>
      </c>
      <c r="W60" s="5">
        <v>350</v>
      </c>
      <c r="X60" s="1">
        <v>2025</v>
      </c>
      <c r="Y60" s="5" t="s">
        <v>63</v>
      </c>
      <c r="Z60" s="5">
        <f t="shared" si="6"/>
        <v>1890</v>
      </c>
      <c r="AA60" s="5">
        <f t="shared" si="7"/>
        <v>0</v>
      </c>
    </row>
    <row r="61" spans="1:27" ht="19.5">
      <c r="A61" s="1">
        <v>6</v>
      </c>
      <c r="B61" s="9" t="s">
        <v>14</v>
      </c>
      <c r="C61" s="1">
        <v>280</v>
      </c>
      <c r="D61" s="5">
        <f>Table14[[#This Row],[Enrolment S.Y. 2025-2026 ]]*8</f>
        <v>2240</v>
      </c>
      <c r="E61" s="5"/>
      <c r="F61" s="1"/>
      <c r="G61" s="5"/>
      <c r="H61" s="5">
        <f t="shared" si="0"/>
        <v>2240</v>
      </c>
      <c r="I61" s="5">
        <f t="shared" si="1"/>
        <v>0</v>
      </c>
      <c r="J61" s="5">
        <f>Table14[[#This Row],[Enrolment S.Y. 2025-2026 ]]*8</f>
        <v>2240</v>
      </c>
      <c r="K61" s="5"/>
      <c r="L61" s="1"/>
      <c r="M61" s="5"/>
      <c r="N61" s="5">
        <f t="shared" si="2"/>
        <v>2240</v>
      </c>
      <c r="O61" s="5">
        <f t="shared" si="3"/>
        <v>0</v>
      </c>
      <c r="P61" s="5">
        <f>Table14[[#This Row],[Enrolment S.Y. 2025-2026 ]]*8</f>
        <v>2240</v>
      </c>
      <c r="Q61" s="5">
        <f>4*50</f>
        <v>200</v>
      </c>
      <c r="R61" s="1">
        <v>2025</v>
      </c>
      <c r="S61" s="5" t="s">
        <v>63</v>
      </c>
      <c r="T61" s="5">
        <f t="shared" si="4"/>
        <v>2040</v>
      </c>
      <c r="U61" s="5">
        <f t="shared" si="5"/>
        <v>0</v>
      </c>
      <c r="V61" s="5">
        <f>Table14[[#This Row],[Enrolment S.Y. 2025-2026 ]]*8</f>
        <v>2240</v>
      </c>
      <c r="W61" s="5">
        <v>400</v>
      </c>
      <c r="X61" s="1">
        <v>2025</v>
      </c>
      <c r="Y61" s="5" t="s">
        <v>63</v>
      </c>
      <c r="Z61" s="5">
        <f t="shared" si="6"/>
        <v>1840</v>
      </c>
      <c r="AA61" s="5">
        <f t="shared" si="7"/>
        <v>0</v>
      </c>
    </row>
    <row r="62" spans="1:27" ht="19.5">
      <c r="A62" s="37">
        <v>6</v>
      </c>
      <c r="B62" s="9" t="s">
        <v>90</v>
      </c>
      <c r="C62" s="1">
        <v>280</v>
      </c>
      <c r="D62" s="5">
        <f>Table14[[#This Row],[Enrolment S.Y. 2025-2026 ]]*8</f>
        <v>2240</v>
      </c>
      <c r="E62" s="5"/>
      <c r="F62" s="1"/>
      <c r="G62" s="5"/>
      <c r="H62" s="5">
        <f>IF((D62-E62)&lt;0,0,(D62-E62))</f>
        <v>2240</v>
      </c>
      <c r="I62" s="5">
        <f>IF((E62-D62)&lt;0,0,(E62-D62))</f>
        <v>0</v>
      </c>
      <c r="J62" s="5">
        <f>Table14[[#This Row],[Enrolment S.Y. 2025-2026 ]]*8</f>
        <v>2240</v>
      </c>
      <c r="K62" s="5"/>
      <c r="L62" s="1"/>
      <c r="M62" s="5"/>
      <c r="N62" s="5">
        <f t="shared" ref="N62:N67" si="12">IF((J62-K62)&lt;0,0,(J62-K62))</f>
        <v>2240</v>
      </c>
      <c r="O62" s="5">
        <f t="shared" ref="O62:O66" si="13">IF((K62-J62)&lt;0,0,(K62-J62))</f>
        <v>0</v>
      </c>
      <c r="P62" s="5">
        <f>Table14[[#This Row],[Enrolment S.Y. 2025-2026 ]]*8</f>
        <v>2240</v>
      </c>
      <c r="Q62" s="5">
        <f>50*4</f>
        <v>200</v>
      </c>
      <c r="R62" s="1">
        <v>2025</v>
      </c>
      <c r="S62" s="5" t="s">
        <v>63</v>
      </c>
      <c r="T62" s="5">
        <f>IF((P62-Q62)&lt;0,0,(P62-Q62))</f>
        <v>2040</v>
      </c>
      <c r="U62" s="5">
        <f>IF((Q62-P62)&lt;0,0,(Q62-P62))</f>
        <v>0</v>
      </c>
      <c r="V62" s="5">
        <f>Table14[[#This Row],[Enrolment S.Y. 2025-2026 ]]*8</f>
        <v>2240</v>
      </c>
      <c r="W62" s="5">
        <v>150</v>
      </c>
      <c r="X62" s="1">
        <v>2025</v>
      </c>
      <c r="Y62" s="5" t="s">
        <v>63</v>
      </c>
      <c r="Z62" s="5">
        <f>IF((V62-W62)&lt;0,0,(V62-W62))</f>
        <v>2090</v>
      </c>
      <c r="AA62" s="5">
        <f>IF((W62-V62)&lt;0,0,(W62-V62))</f>
        <v>0</v>
      </c>
    </row>
    <row r="63" spans="1:27" ht="19.5">
      <c r="A63" s="1">
        <v>6</v>
      </c>
      <c r="B63" s="9" t="s">
        <v>91</v>
      </c>
      <c r="C63" s="1">
        <v>280</v>
      </c>
      <c r="D63" s="5">
        <f>Table14[[#This Row],[Enrolment S.Y. 2025-2026 ]]*8</f>
        <v>2240</v>
      </c>
      <c r="E63" s="5"/>
      <c r="F63" s="1"/>
      <c r="G63" s="5"/>
      <c r="H63" s="5">
        <f t="shared" si="0"/>
        <v>2240</v>
      </c>
      <c r="I63" s="5">
        <f t="shared" si="1"/>
        <v>0</v>
      </c>
      <c r="J63" s="5">
        <f>Table14[[#This Row],[Enrolment S.Y. 2025-2026 ]]*8</f>
        <v>2240</v>
      </c>
      <c r="K63" s="5"/>
      <c r="L63" s="1"/>
      <c r="M63" s="5"/>
      <c r="N63" s="5">
        <f t="shared" si="12"/>
        <v>2240</v>
      </c>
      <c r="O63" s="5">
        <f t="shared" si="13"/>
        <v>0</v>
      </c>
      <c r="P63" s="5">
        <f>Table14[[#This Row],[Enrolment S.Y. 2025-2026 ]]*8</f>
        <v>2240</v>
      </c>
      <c r="Q63" s="5">
        <f>50*7</f>
        <v>350</v>
      </c>
      <c r="R63" s="1">
        <v>2025</v>
      </c>
      <c r="S63" s="5" t="s">
        <v>63</v>
      </c>
      <c r="T63" s="5">
        <f t="shared" si="4"/>
        <v>1890</v>
      </c>
      <c r="U63" s="5">
        <f t="shared" si="5"/>
        <v>0</v>
      </c>
      <c r="V63" s="5">
        <f>Table14[[#This Row],[Enrolment S.Y. 2025-2026 ]]*8</f>
        <v>2240</v>
      </c>
      <c r="W63" s="5">
        <f>50*9</f>
        <v>450</v>
      </c>
      <c r="X63" s="1">
        <v>2025</v>
      </c>
      <c r="Y63" s="5" t="s">
        <v>63</v>
      </c>
      <c r="Z63" s="5">
        <f t="shared" si="6"/>
        <v>1790</v>
      </c>
      <c r="AA63" s="5">
        <f t="shared" si="7"/>
        <v>0</v>
      </c>
    </row>
    <row r="64" spans="1:27" ht="19.5">
      <c r="A64" s="1">
        <v>6</v>
      </c>
      <c r="B64" s="9" t="s">
        <v>19</v>
      </c>
      <c r="C64" s="1">
        <v>280</v>
      </c>
      <c r="D64" s="5">
        <f>Table14[[#This Row],[Enrolment S.Y. 2025-2026 ]]*8</f>
        <v>2240</v>
      </c>
      <c r="E64" s="5"/>
      <c r="F64" s="1"/>
      <c r="G64" s="5"/>
      <c r="H64" s="5">
        <f t="shared" si="0"/>
        <v>2240</v>
      </c>
      <c r="I64" s="5">
        <f t="shared" si="1"/>
        <v>0</v>
      </c>
      <c r="J64" s="5">
        <f>Table14[[#This Row],[Enrolment S.Y. 2025-2026 ]]*8</f>
        <v>2240</v>
      </c>
      <c r="K64" s="5"/>
      <c r="L64" s="1"/>
      <c r="M64" s="5"/>
      <c r="N64" s="5">
        <f t="shared" si="12"/>
        <v>2240</v>
      </c>
      <c r="O64" s="5">
        <f t="shared" si="13"/>
        <v>0</v>
      </c>
      <c r="P64" s="5">
        <f>Table14[[#This Row],[Enrolment S.Y. 2025-2026 ]]*8</f>
        <v>2240</v>
      </c>
      <c r="Q64" s="5"/>
      <c r="R64" s="1"/>
      <c r="S64" s="5"/>
      <c r="T64" s="5">
        <f t="shared" si="4"/>
        <v>2240</v>
      </c>
      <c r="U64" s="5">
        <f t="shared" si="5"/>
        <v>0</v>
      </c>
      <c r="V64" s="5">
        <f>Table14[[#This Row],[Enrolment S.Y. 2025-2026 ]]*8</f>
        <v>2240</v>
      </c>
      <c r="W64" s="5"/>
      <c r="X64" s="1"/>
      <c r="Y64" s="5"/>
      <c r="Z64" s="5">
        <f t="shared" si="6"/>
        <v>2240</v>
      </c>
      <c r="AA64" s="5">
        <f t="shared" si="7"/>
        <v>0</v>
      </c>
    </row>
    <row r="65" spans="1:27" ht="19.5">
      <c r="A65" s="37">
        <v>6</v>
      </c>
      <c r="B65" s="9" t="s">
        <v>92</v>
      </c>
      <c r="C65" s="1">
        <v>280</v>
      </c>
      <c r="D65" s="5">
        <f>Table14[[#This Row],[Enrolment S.Y. 2025-2026 ]]*8</f>
        <v>2240</v>
      </c>
      <c r="E65" s="5"/>
      <c r="F65" s="1"/>
      <c r="G65" s="5"/>
      <c r="H65" s="5">
        <f>IF((D65-E65)&lt;0,0,(D65-E65))</f>
        <v>2240</v>
      </c>
      <c r="I65" s="5">
        <f>IF((E65-D65)&lt;0,0,(E65-D65))</f>
        <v>0</v>
      </c>
      <c r="J65" s="5">
        <f>Table14[[#This Row],[Enrolment S.Y. 2025-2026 ]]*8</f>
        <v>2240</v>
      </c>
      <c r="K65" s="5"/>
      <c r="L65" s="1"/>
      <c r="M65" s="5"/>
      <c r="N65" s="5">
        <f t="shared" si="12"/>
        <v>2240</v>
      </c>
      <c r="O65" s="5">
        <f t="shared" si="13"/>
        <v>0</v>
      </c>
      <c r="P65" s="5">
        <f>Table14[[#This Row],[Enrolment S.Y. 2025-2026 ]]*8</f>
        <v>2240</v>
      </c>
      <c r="Q65" s="5">
        <f>50*3</f>
        <v>150</v>
      </c>
      <c r="R65" s="1">
        <v>2025</v>
      </c>
      <c r="S65" s="5" t="s">
        <v>63</v>
      </c>
      <c r="T65" s="5">
        <f>IF((P65-Q65)&lt;0,0,(P65-Q65))</f>
        <v>2090</v>
      </c>
      <c r="U65" s="5">
        <f>IF((Q65-P65)&lt;0,0,(Q65-P65))</f>
        <v>0</v>
      </c>
      <c r="V65" s="5">
        <f>Table14[[#This Row],[Enrolment S.Y. 2025-2026 ]]*8</f>
        <v>2240</v>
      </c>
      <c r="W65" s="5">
        <v>150</v>
      </c>
      <c r="X65" s="1">
        <v>2025</v>
      </c>
      <c r="Y65" s="5" t="s">
        <v>63</v>
      </c>
      <c r="Z65" s="5">
        <f>IF((V65-W65)&lt;0,0,(V65-W65))</f>
        <v>2090</v>
      </c>
      <c r="AA65" s="5">
        <f>IF((W65-V65)&lt;0,0,(W65-V65))</f>
        <v>0</v>
      </c>
    </row>
    <row r="66" spans="1:27" ht="19.5">
      <c r="A66" s="1">
        <v>6</v>
      </c>
      <c r="B66" s="9" t="s">
        <v>93</v>
      </c>
      <c r="C66" s="1">
        <v>280</v>
      </c>
      <c r="D66" s="5">
        <f>Table14[[#This Row],[Enrolment S.Y. 2025-2026 ]]*8</f>
        <v>2240</v>
      </c>
      <c r="E66" s="5"/>
      <c r="F66" s="1"/>
      <c r="G66" s="5"/>
      <c r="H66" s="5">
        <f t="shared" si="0"/>
        <v>2240</v>
      </c>
      <c r="I66" s="5">
        <f t="shared" si="1"/>
        <v>0</v>
      </c>
      <c r="J66" s="5">
        <f>Table14[[#This Row],[Enrolment S.Y. 2025-2026 ]]*8</f>
        <v>2240</v>
      </c>
      <c r="K66" s="5"/>
      <c r="L66" s="1"/>
      <c r="M66" s="5"/>
      <c r="N66" s="5">
        <f t="shared" si="12"/>
        <v>2240</v>
      </c>
      <c r="O66" s="5">
        <f t="shared" si="13"/>
        <v>0</v>
      </c>
      <c r="P66" s="5">
        <f>Table14[[#This Row],[Enrolment S.Y. 2025-2026 ]]*8</f>
        <v>2240</v>
      </c>
      <c r="Q66" s="5">
        <f>50*3</f>
        <v>150</v>
      </c>
      <c r="R66" s="1">
        <v>2025</v>
      </c>
      <c r="S66" s="5" t="s">
        <v>63</v>
      </c>
      <c r="T66" s="5">
        <f t="shared" si="4"/>
        <v>2090</v>
      </c>
      <c r="U66" s="5">
        <f t="shared" si="5"/>
        <v>0</v>
      </c>
      <c r="V66" s="5">
        <f>Table14[[#This Row],[Enrolment S.Y. 2025-2026 ]]*8</f>
        <v>2240</v>
      </c>
      <c r="W66" s="5">
        <v>400</v>
      </c>
      <c r="X66" s="1">
        <v>2025</v>
      </c>
      <c r="Y66" s="5" t="s">
        <v>63</v>
      </c>
      <c r="Z66" s="5">
        <f t="shared" si="6"/>
        <v>1840</v>
      </c>
      <c r="AA66" s="5">
        <f t="shared" si="7"/>
        <v>0</v>
      </c>
    </row>
    <row r="67" spans="1:27" ht="19.5">
      <c r="A67" s="42">
        <v>6</v>
      </c>
      <c r="B67" s="33" t="s">
        <v>94</v>
      </c>
      <c r="C67" s="34">
        <v>280</v>
      </c>
      <c r="D67" s="34">
        <f>Table14[[#This Row],[Enrolment S.Y. 2025-2026 ]]*8</f>
        <v>2240</v>
      </c>
      <c r="E67" s="34"/>
      <c r="F67" s="32"/>
      <c r="G67" s="34"/>
      <c r="H67" s="34">
        <f>IF((D67-E67)&lt;0,0,(D67-E67))</f>
        <v>2240</v>
      </c>
      <c r="I67" s="34">
        <f>IF((E67-D67)&lt;0,0,(E67-D67))</f>
        <v>0</v>
      </c>
      <c r="J67" s="34">
        <f>Table14[[#This Row],[Enrolment S.Y. 2025-2026 ]]*8</f>
        <v>2240</v>
      </c>
      <c r="K67" s="34"/>
      <c r="L67" s="32"/>
      <c r="M67" s="34"/>
      <c r="N67" s="5">
        <f t="shared" si="12"/>
        <v>2240</v>
      </c>
      <c r="O67" s="34"/>
      <c r="P67" s="5">
        <f>Table14[[#This Row],[Enrolment S.Y. 2025-2026 ]]*8</f>
        <v>2240</v>
      </c>
      <c r="Q67" s="34"/>
      <c r="R67" s="32"/>
      <c r="S67" s="34"/>
      <c r="T67" s="34">
        <f>IF((P67-Q67)&lt;0,0,(P67-Q67))</f>
        <v>2240</v>
      </c>
      <c r="U67" s="34">
        <f>IF((Q67-P67)&lt;0,0,(Q67-P67))</f>
        <v>0</v>
      </c>
      <c r="V67" s="34">
        <f>Table14[[#This Row],[Enrolment S.Y. 2025-2026 ]]*8</f>
        <v>2240</v>
      </c>
      <c r="W67" s="34">
        <v>100</v>
      </c>
      <c r="X67" s="32">
        <v>2025</v>
      </c>
      <c r="Y67" s="34" t="s">
        <v>63</v>
      </c>
      <c r="Z67" s="34">
        <f>IF((V67-W67)&lt;0,0,(V67-W67))</f>
        <v>2140</v>
      </c>
      <c r="AA67" s="34">
        <f>IF((W67-V67)&lt;0,0,(W67-V67))</f>
        <v>0</v>
      </c>
    </row>
    <row r="68" spans="1:27" s="7" customFormat="1"/>
    <row r="69" spans="1:27" ht="19.5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16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5">
      <c r="A71" s="10">
        <v>7</v>
      </c>
      <c r="B71" s="11" t="s">
        <v>13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si="2"/>
        <v>0</v>
      </c>
      <c r="O71" s="12">
        <f t="shared" si="3"/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21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2"/>
        <v>0</v>
      </c>
      <c r="O72" s="12">
        <f t="shared" si="3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39">
      <c r="A73" s="10">
        <v>7</v>
      </c>
      <c r="B73" s="11" t="s">
        <v>17</v>
      </c>
      <c r="C73" s="10"/>
      <c r="D73" s="12">
        <f>Table14[[#This Row],[Enrolment S.Y. 2025-2026 ]]*8</f>
        <v>0</v>
      </c>
      <c r="E73" s="12"/>
      <c r="F73" s="10"/>
      <c r="G73" s="12"/>
      <c r="H73" s="12">
        <f t="shared" si="0"/>
        <v>0</v>
      </c>
      <c r="I73" s="12">
        <f t="shared" si="1"/>
        <v>0</v>
      </c>
      <c r="J73" s="12">
        <f>Table14[[#This Row],[Enrolment S.Y. 2025-2026 ]]*8</f>
        <v>0</v>
      </c>
      <c r="K73" s="12"/>
      <c r="L73" s="10"/>
      <c r="M73" s="12"/>
      <c r="N73" s="12">
        <f t="shared" ref="N73:N79" si="14">IF((J73-K73)&lt;0,0,(J73-K73))</f>
        <v>0</v>
      </c>
      <c r="O73" s="12">
        <f t="shared" ref="O73:O79" si="15">IF((K73-J73)&lt;0,0,(K73-J73))</f>
        <v>0</v>
      </c>
      <c r="P73" s="12">
        <f>Table14[[#This Row],[Enrolment S.Y. 2025-2026 ]]*8</f>
        <v>0</v>
      </c>
      <c r="Q73" s="12"/>
      <c r="R73" s="10"/>
      <c r="S73" s="12"/>
      <c r="T73" s="12">
        <f t="shared" si="4"/>
        <v>0</v>
      </c>
      <c r="U73" s="12">
        <f t="shared" si="5"/>
        <v>0</v>
      </c>
      <c r="V73" s="12">
        <f>Table14[[#This Row],[Enrolment S.Y. 2025-2026 ]]*8</f>
        <v>0</v>
      </c>
      <c r="W73" s="12"/>
      <c r="X73" s="10"/>
      <c r="Y73" s="12"/>
      <c r="Z73" s="12">
        <f t="shared" si="6"/>
        <v>0</v>
      </c>
      <c r="AA73" s="12">
        <f t="shared" si="7"/>
        <v>0</v>
      </c>
    </row>
    <row r="74" spans="1:27" ht="19.5">
      <c r="A74" s="10">
        <v>7</v>
      </c>
      <c r="B74" s="11" t="s">
        <v>14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si="4"/>
        <v>0</v>
      </c>
      <c r="U74" s="12">
        <f t="shared" si="5"/>
        <v>0</v>
      </c>
      <c r="V74" s="12">
        <f>Table14[[#This Row],[Enrolment S.Y. 2025-2026 ]]*8</f>
        <v>0</v>
      </c>
      <c r="W74" s="12"/>
      <c r="X74" s="10"/>
      <c r="Y74" s="12"/>
      <c r="Z74" s="12">
        <f t="shared" si="6"/>
        <v>0</v>
      </c>
      <c r="AA74" s="12">
        <f t="shared" si="7"/>
        <v>0</v>
      </c>
    </row>
    <row r="75" spans="1:27" ht="19.5">
      <c r="A75" s="38">
        <v>7</v>
      </c>
      <c r="B75" s="11" t="s">
        <v>90</v>
      </c>
      <c r="C75" s="12"/>
      <c r="D75" s="12">
        <f>Table14[[#This Row],[Enrolment S.Y. 2025-2026 ]]*8</f>
        <v>0</v>
      </c>
      <c r="E75" s="12"/>
      <c r="F75" s="10"/>
      <c r="G75" s="12"/>
      <c r="H75" s="12">
        <f>IF((D75-E75)&lt;0,0,(D75-E75))</f>
        <v>0</v>
      </c>
      <c r="I75" s="12">
        <f>IF((E75-D75)&lt;0,0,(E75-D75))</f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>IF((P75-Q75)&lt;0,0,(P75-Q75))</f>
        <v>0</v>
      </c>
      <c r="U75" s="12">
        <f>IF((Q75-P75)&lt;0,0,(Q75-P75))</f>
        <v>0</v>
      </c>
      <c r="V75" s="12">
        <f>Table14[[#This Row],[Enrolment S.Y. 2025-2026 ]]*8</f>
        <v>0</v>
      </c>
      <c r="W75" s="12"/>
      <c r="X75" s="10"/>
      <c r="Y75" s="12"/>
      <c r="Z75" s="12">
        <f>IF((V75-W75)&lt;0,0,(V75-W75))</f>
        <v>0</v>
      </c>
      <c r="AA75" s="12">
        <f>IF((W75-V75)&lt;0,0,(W75-V75))</f>
        <v>0</v>
      </c>
    </row>
    <row r="76" spans="1:27" ht="19.5">
      <c r="A76" s="10">
        <v>7</v>
      </c>
      <c r="B76" s="11" t="s">
        <v>91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si="0"/>
        <v>0</v>
      </c>
      <c r="I76" s="12">
        <f t="shared" si="1"/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 t="shared" ref="T76:T124" si="16">IF((P76-Q76)&lt;0,0,(P76-Q76))</f>
        <v>0</v>
      </c>
      <c r="U76" s="12">
        <f t="shared" ref="U76:U124" si="17"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 t="shared" ref="Z76:Z124" si="18">IF((V76-W76)&lt;0,0,(V76-W76))</f>
        <v>0</v>
      </c>
      <c r="AA76" s="12">
        <f t="shared" ref="AA76:AA124" si="19">IF((W76-V76)&lt;0,0,(W76-V76))</f>
        <v>0</v>
      </c>
    </row>
    <row r="77" spans="1:27" ht="19.5">
      <c r="A77" s="10">
        <v>7</v>
      </c>
      <c r="B77" s="11" t="s">
        <v>22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ht="19.5">
      <c r="A78" s="38">
        <v>7</v>
      </c>
      <c r="B78" s="11" t="s">
        <v>92</v>
      </c>
      <c r="C78" s="12"/>
      <c r="D78" s="12">
        <f>Table14[[#This Row],[Enrolment S.Y. 2025-2026 ]]*8</f>
        <v>0</v>
      </c>
      <c r="E78" s="12"/>
      <c r="F78" s="10"/>
      <c r="G78" s="12"/>
      <c r="H78" s="12">
        <f>IF((D78-E78)&lt;0,0,(D78-E78))</f>
        <v>0</v>
      </c>
      <c r="I78" s="12">
        <f>IF((E78-D78)&lt;0,0,(E78-D78))</f>
        <v>0</v>
      </c>
      <c r="J78" s="12">
        <f>Table14[[#This Row],[Enrolment S.Y. 2025-2026 ]]*8</f>
        <v>0</v>
      </c>
      <c r="K78" s="12"/>
      <c r="L78" s="10"/>
      <c r="M78" s="12"/>
      <c r="N78" s="12">
        <f t="shared" si="14"/>
        <v>0</v>
      </c>
      <c r="O78" s="12">
        <f t="shared" si="15"/>
        <v>0</v>
      </c>
      <c r="P78" s="12">
        <f>Table14[[#This Row],[Enrolment S.Y. 2025-2026 ]]*8</f>
        <v>0</v>
      </c>
      <c r="Q78" s="12"/>
      <c r="R78" s="10"/>
      <c r="S78" s="12"/>
      <c r="T78" s="12">
        <f>IF((P78-Q78)&lt;0,0,(P78-Q78))</f>
        <v>0</v>
      </c>
      <c r="U78" s="12">
        <f>IF((Q78-P78)&lt;0,0,(Q78-P78))</f>
        <v>0</v>
      </c>
      <c r="V78" s="12">
        <f>Table14[[#This Row],[Enrolment S.Y. 2025-2026 ]]*8</f>
        <v>0</v>
      </c>
      <c r="W78" s="12"/>
      <c r="X78" s="10"/>
      <c r="Y78" s="12"/>
      <c r="Z78" s="12">
        <f>IF((V78-W78)&lt;0,0,(V78-W78))</f>
        <v>0</v>
      </c>
      <c r="AA78" s="12">
        <f>IF((W78-V78)&lt;0,0,(W78-V78))</f>
        <v>0</v>
      </c>
    </row>
    <row r="79" spans="1:27" ht="19.5">
      <c r="A79" s="10">
        <v>7</v>
      </c>
      <c r="B79" s="11" t="s">
        <v>93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si="14"/>
        <v>0</v>
      </c>
      <c r="O79" s="12">
        <f t="shared" si="15"/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s="7" customFormat="1"/>
    <row r="81" spans="1:27" ht="19.5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ref="N81:N124" si="20">IF((J81-K81)&lt;0,0,(J81-K81))</f>
        <v>0</v>
      </c>
      <c r="O81" s="12">
        <f t="shared" ref="O81:O124" si="21">IF((K81-J81)&lt;0,0,(K81-J81))</f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16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13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21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si="0"/>
        <v>0</v>
      </c>
      <c r="I84" s="12">
        <f t="shared" si="1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0"/>
        <v>0</v>
      </c>
      <c r="O84" s="12">
        <f t="shared" si="21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10">
        <v>8</v>
      </c>
      <c r="B85" s="11" t="s">
        <v>23</v>
      </c>
      <c r="C85" s="10"/>
      <c r="D85" s="12">
        <f>Table14[[#This Row],[Enrolment S.Y. 2025-2026 ]]*8</f>
        <v>0</v>
      </c>
      <c r="E85" s="12"/>
      <c r="F85" s="10"/>
      <c r="G85" s="12"/>
      <c r="H85" s="12">
        <f t="shared" si="0"/>
        <v>0</v>
      </c>
      <c r="I85" s="12">
        <f t="shared" si="1"/>
        <v>0</v>
      </c>
      <c r="J85" s="12">
        <f>Table14[[#This Row],[Enrolment S.Y. 2025-2026 ]]*8</f>
        <v>0</v>
      </c>
      <c r="K85" s="12"/>
      <c r="L85" s="10"/>
      <c r="M85" s="12"/>
      <c r="N85" s="12">
        <f t="shared" si="20"/>
        <v>0</v>
      </c>
      <c r="O85" s="12">
        <f t="shared" si="21"/>
        <v>0</v>
      </c>
      <c r="P85" s="12">
        <f>Table14[[#This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Table14[[#This Row],[Enrolment S.Y. 2025-2026 ]]*8</f>
        <v>0</v>
      </c>
      <c r="W85" s="12"/>
      <c r="X85" s="10"/>
      <c r="Y85" s="12"/>
      <c r="Z85" s="12">
        <f t="shared" si="18"/>
        <v>0</v>
      </c>
      <c r="AA85" s="12">
        <f t="shared" si="19"/>
        <v>0</v>
      </c>
    </row>
    <row r="86" spans="1:27" ht="19.5">
      <c r="A86" s="10">
        <v>8</v>
      </c>
      <c r="B86" s="11" t="s">
        <v>14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ref="H86:H124" si="22">IF((D86-E86)&lt;0,0,(D86-E86))</f>
        <v>0</v>
      </c>
      <c r="I86" s="12">
        <f t="shared" ref="I86:I124" si="23">IF((E86-D86)&lt;0,0,(E86-D86))</f>
        <v>0</v>
      </c>
      <c r="J86" s="12">
        <f>Table14[[#This Row],[Enrolment S.Y. 2025-2026 ]]*8</f>
        <v>0</v>
      </c>
      <c r="K86" s="12"/>
      <c r="L86" s="10"/>
      <c r="M86" s="12"/>
      <c r="N86" s="12">
        <f t="shared" ref="N86:N91" si="24">IF((J86-K86)&lt;0,0,(J86-K86))</f>
        <v>0</v>
      </c>
      <c r="O86" s="12">
        <f t="shared" ref="O86:O91" si="25">IF((K86-J86)&lt;0,0,(K86-J86))</f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38">
        <v>8</v>
      </c>
      <c r="B87" s="11" t="s">
        <v>90</v>
      </c>
      <c r="C87" s="12"/>
      <c r="D87" s="12">
        <f>Table14[[#This Row],[Enrolment S.Y. 2025-2026 ]]*8</f>
        <v>0</v>
      </c>
      <c r="E87" s="12"/>
      <c r="F87" s="10"/>
      <c r="G87" s="12"/>
      <c r="H87" s="12">
        <f>IF((D87-E87)&lt;0,0,(D87-E87))</f>
        <v>0</v>
      </c>
      <c r="I87" s="12">
        <f>IF((E87-D87)&lt;0,0,(E87-D87))</f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>IF((P87-Q87)&lt;0,0,(P87-Q87))</f>
        <v>0</v>
      </c>
      <c r="U87" s="12">
        <f>IF((Q87-P87)&lt;0,0,(Q87-P87))</f>
        <v>0</v>
      </c>
      <c r="V87" s="12">
        <f>Table14[[#This Row],[Enrolment S.Y. 2025-2026 ]]*8</f>
        <v>0</v>
      </c>
      <c r="W87" s="12"/>
      <c r="X87" s="10"/>
      <c r="Y87" s="12"/>
      <c r="Z87" s="12">
        <f>IF((V87-W87)&lt;0,0,(V87-W87))</f>
        <v>0</v>
      </c>
      <c r="AA87" s="12">
        <f>IF((W87-V87)&lt;0,0,(W87-V87))</f>
        <v>0</v>
      </c>
    </row>
    <row r="88" spans="1:27" ht="19.5">
      <c r="A88" s="10">
        <v>8</v>
      </c>
      <c r="B88" s="11" t="s">
        <v>91</v>
      </c>
      <c r="C88" s="10"/>
      <c r="D88" s="12">
        <f>Table14[[#This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16"/>
        <v>0</v>
      </c>
      <c r="U88" s="12">
        <f t="shared" si="17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18"/>
        <v>0</v>
      </c>
      <c r="AA88" s="12">
        <f t="shared" si="19"/>
        <v>0</v>
      </c>
    </row>
    <row r="89" spans="1:27" ht="19.5">
      <c r="A89" s="10">
        <v>8</v>
      </c>
      <c r="B89" s="11" t="s">
        <v>22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ht="19.5">
      <c r="A90" s="38">
        <v>8</v>
      </c>
      <c r="B90" s="11" t="s">
        <v>92</v>
      </c>
      <c r="C90" s="12"/>
      <c r="D90" s="12">
        <f>Table14[[#This Row],[Enrolment S.Y. 2025-2026 ]]*8</f>
        <v>0</v>
      </c>
      <c r="E90" s="12"/>
      <c r="F90" s="10"/>
      <c r="G90" s="12"/>
      <c r="H90" s="12">
        <f>IF((D90-E90)&lt;0,0,(D90-E90))</f>
        <v>0</v>
      </c>
      <c r="I90" s="12">
        <f>IF((E90-D90)&lt;0,0,(E90-D90))</f>
        <v>0</v>
      </c>
      <c r="J90" s="12">
        <f>Table14[[#This Row],[Enrolment S.Y. 2025-2026 ]]*8</f>
        <v>0</v>
      </c>
      <c r="K90" s="12"/>
      <c r="L90" s="10"/>
      <c r="M90" s="12"/>
      <c r="N90" s="12">
        <f t="shared" si="24"/>
        <v>0</v>
      </c>
      <c r="O90" s="12">
        <f t="shared" si="25"/>
        <v>0</v>
      </c>
      <c r="P90" s="12">
        <f>Table14[[#This Row],[Enrolment S.Y. 2025-2026 ]]*8</f>
        <v>0</v>
      </c>
      <c r="Q90" s="12"/>
      <c r="R90" s="10"/>
      <c r="S90" s="12"/>
      <c r="T90" s="12">
        <f>IF((P90-Q90)&lt;0,0,(P90-Q90))</f>
        <v>0</v>
      </c>
      <c r="U90" s="12">
        <f>IF((Q90-P90)&lt;0,0,(Q90-P90))</f>
        <v>0</v>
      </c>
      <c r="V90" s="12">
        <f>Table14[[#This Row],[Enrolment S.Y. 2025-2026 ]]*8</f>
        <v>0</v>
      </c>
      <c r="W90" s="12"/>
      <c r="X90" s="10"/>
      <c r="Y90" s="12"/>
      <c r="Z90" s="12">
        <f>IF((V90-W90)&lt;0,0,(V90-W90))</f>
        <v>0</v>
      </c>
      <c r="AA90" s="12">
        <f>IF((W90-V90)&lt;0,0,(W90-V90))</f>
        <v>0</v>
      </c>
    </row>
    <row r="91" spans="1:27" ht="19.5">
      <c r="A91" s="10">
        <v>8</v>
      </c>
      <c r="B91" s="11" t="s">
        <v>93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4"/>
        <v>0</v>
      </c>
      <c r="O91" s="12">
        <f t="shared" si="25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s="7" customFormat="1"/>
    <row r="93" spans="1:27" ht="19.5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16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13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21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10">
        <v>9</v>
      </c>
      <c r="B97" s="11" t="s">
        <v>23</v>
      </c>
      <c r="C97" s="10"/>
      <c r="D97" s="12">
        <f>Table14[[#This Row],[Enrolment S.Y. 2025-2026 ]]*8</f>
        <v>0</v>
      </c>
      <c r="E97" s="12"/>
      <c r="F97" s="10"/>
      <c r="G97" s="12"/>
      <c r="H97" s="12">
        <f t="shared" si="22"/>
        <v>0</v>
      </c>
      <c r="I97" s="12">
        <f t="shared" si="23"/>
        <v>0</v>
      </c>
      <c r="J97" s="12">
        <f>Table14[[#This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0</v>
      </c>
      <c r="Q97" s="12"/>
      <c r="R97" s="10"/>
      <c r="S97" s="12"/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/>
      <c r="Y97" s="12"/>
      <c r="Z97" s="12">
        <f t="shared" si="18"/>
        <v>0</v>
      </c>
      <c r="AA97" s="12">
        <f t="shared" si="19"/>
        <v>0</v>
      </c>
    </row>
    <row r="98" spans="1:27" ht="19.5">
      <c r="A98" s="10">
        <v>9</v>
      </c>
      <c r="B98" s="11" t="s">
        <v>14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0"/>
        <v>0</v>
      </c>
      <c r="O98" s="12">
        <f t="shared" si="21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38">
        <v>9</v>
      </c>
      <c r="B99" s="11" t="s">
        <v>90</v>
      </c>
      <c r="C99" s="10"/>
      <c r="D99" s="12">
        <f>Table14[[#This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Table14[[#This Row],[Enrolment S.Y. 2025-2026 ]]*8</f>
        <v>0</v>
      </c>
      <c r="K99" s="12"/>
      <c r="L99" s="10"/>
      <c r="M99" s="12"/>
      <c r="N99" s="12">
        <f t="shared" ref="N99:N103" si="26">IF((J99-K99)&lt;0,0,(J99-K99))</f>
        <v>0</v>
      </c>
      <c r="O99" s="12">
        <f t="shared" ref="O99:O103" si="27">IF((K99-J99)&lt;0,0,(K99-J99))</f>
        <v>0</v>
      </c>
      <c r="P99" s="12">
        <f>Table14[[#This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Table14[[#This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 t="shared" si="22"/>
        <v>0</v>
      </c>
      <c r="I100" s="12">
        <f t="shared" si="23"/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18"/>
        <v>0</v>
      </c>
      <c r="AA100" s="12">
        <f t="shared" si="19"/>
        <v>0</v>
      </c>
    </row>
    <row r="101" spans="1:27" ht="19.5">
      <c r="A101" s="10">
        <v>9</v>
      </c>
      <c r="B101" s="11" t="s">
        <v>22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ht="19.5">
      <c r="A102" s="38">
        <v>9</v>
      </c>
      <c r="B102" s="11" t="s">
        <v>92</v>
      </c>
      <c r="C102" s="10"/>
      <c r="D102" s="12">
        <f>Table14[[#This Row],[Enrolment S.Y. 2025-2026 ]]*8</f>
        <v>0</v>
      </c>
      <c r="E102" s="12"/>
      <c r="F102" s="10"/>
      <c r="G102" s="12"/>
      <c r="H102" s="12">
        <f>IF((D102-E102)&lt;0,0,(D102-E102))</f>
        <v>0</v>
      </c>
      <c r="I102" s="12">
        <f>IF((E102-D102)&lt;0,0,(E102-D102))</f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6"/>
        <v>0</v>
      </c>
      <c r="O102" s="12">
        <f t="shared" si="27"/>
        <v>0</v>
      </c>
      <c r="P102" s="12">
        <f>Table14[[#This Row],[Enrolment S.Y. 2025-2026 ]]*8</f>
        <v>0</v>
      </c>
      <c r="Q102" s="12"/>
      <c r="R102" s="10"/>
      <c r="S102" s="12"/>
      <c r="T102" s="12">
        <f>IF((P102-Q102)&lt;0,0,(P102-Q102))</f>
        <v>0</v>
      </c>
      <c r="U102" s="12">
        <f>IF((Q102-P102)&lt;0,0,(Q102-P102))</f>
        <v>0</v>
      </c>
      <c r="V102" s="12">
        <f>Table14[[#This Row],[Enrolment S.Y. 2025-2026 ]]*8</f>
        <v>0</v>
      </c>
      <c r="W102" s="12"/>
      <c r="X102" s="10"/>
      <c r="Y102" s="12"/>
      <c r="Z102" s="12">
        <f>IF((V102-W102)&lt;0,0,(V102-W102))</f>
        <v>0</v>
      </c>
      <c r="AA102" s="12">
        <f>IF((W102-V102)&lt;0,0,(W102-V102))</f>
        <v>0</v>
      </c>
    </row>
    <row r="103" spans="1:27" ht="19.5">
      <c r="A103" s="10">
        <v>9</v>
      </c>
      <c r="B103" s="11" t="s">
        <v>93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6"/>
        <v>0</v>
      </c>
      <c r="O103" s="12">
        <f t="shared" si="27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s="7" customFormat="1"/>
    <row r="105" spans="1:27" ht="19.5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16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13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21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10">
        <v>10</v>
      </c>
      <c r="B109" s="11" t="s">
        <v>23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 t="shared" si="22"/>
        <v>0</v>
      </c>
      <c r="I109" s="12">
        <f t="shared" si="23"/>
        <v>0</v>
      </c>
      <c r="J109" s="12">
        <f>Table14[[#This Row],[Enrolment S.Y. 2025-2026 ]]*8</f>
        <v>0</v>
      </c>
      <c r="K109" s="12"/>
      <c r="L109" s="10"/>
      <c r="M109" s="12"/>
      <c r="N109" s="12">
        <f t="shared" si="20"/>
        <v>0</v>
      </c>
      <c r="O109" s="12">
        <f t="shared" si="21"/>
        <v>0</v>
      </c>
      <c r="P109" s="12">
        <f>Table14[[#This Row],[Enrolment S.Y. 2025-2026 ]]*8</f>
        <v>0</v>
      </c>
      <c r="Q109" s="12"/>
      <c r="R109" s="10"/>
      <c r="S109" s="12"/>
      <c r="T109" s="12">
        <f t="shared" si="16"/>
        <v>0</v>
      </c>
      <c r="U109" s="12">
        <f t="shared" si="17"/>
        <v>0</v>
      </c>
      <c r="V109" s="12">
        <f>Table14[[#This Row],[Enrolment S.Y. 2025-2026 ]]*8</f>
        <v>0</v>
      </c>
      <c r="W109" s="12"/>
      <c r="X109" s="10"/>
      <c r="Y109" s="12"/>
      <c r="Z109" s="12">
        <f t="shared" si="18"/>
        <v>0</v>
      </c>
      <c r="AA109" s="12">
        <f t="shared" si="19"/>
        <v>0</v>
      </c>
    </row>
    <row r="110" spans="1:27" ht="19.5">
      <c r="A110" s="10">
        <v>10</v>
      </c>
      <c r="B110" s="11" t="s">
        <v>14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0"/>
        <v>0</v>
      </c>
      <c r="O110" s="12">
        <f t="shared" si="21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38">
        <v>10</v>
      </c>
      <c r="B111" s="11" t="s">
        <v>90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>IF((D111-E111)&lt;0,0,(D111-E111))</f>
        <v>0</v>
      </c>
      <c r="I111" s="12">
        <f>IF((E111-D111)&lt;0,0,(E111-D111))</f>
        <v>0</v>
      </c>
      <c r="J111" s="12">
        <f>Table14[[#This Row],[Enrolment S.Y. 2025-2026 ]]*8</f>
        <v>0</v>
      </c>
      <c r="K111" s="12"/>
      <c r="L111" s="10"/>
      <c r="M111" s="12"/>
      <c r="N111" s="12">
        <f t="shared" ref="N111:N115" si="28">IF((J111-K111)&lt;0,0,(J111-K111))</f>
        <v>0</v>
      </c>
      <c r="O111" s="12">
        <f t="shared" ref="O111:O115" si="29">IF((K111-J111)&lt;0,0,(K111-J111))</f>
        <v>0</v>
      </c>
      <c r="P111" s="12">
        <f>Table14[[#This Row],[Enrolment S.Y. 2025-2026 ]]*8</f>
        <v>0</v>
      </c>
      <c r="Q111" s="12"/>
      <c r="R111" s="10"/>
      <c r="S111" s="12"/>
      <c r="T111" s="12">
        <f>IF((P111-Q111)&lt;0,0,(P111-Q111))</f>
        <v>0</v>
      </c>
      <c r="U111" s="12">
        <f>IF((Q111-P111)&lt;0,0,(Q111-P111))</f>
        <v>0</v>
      </c>
      <c r="V111" s="12">
        <f>Table14[[#This Row],[Enrolment S.Y. 2025-2026 ]]*8</f>
        <v>0</v>
      </c>
      <c r="W111" s="12"/>
      <c r="X111" s="10"/>
      <c r="Y111" s="12"/>
      <c r="Z111" s="12">
        <f>IF((V111-W111)&lt;0,0,(V111-W111))</f>
        <v>0</v>
      </c>
      <c r="AA111" s="12">
        <f>IF((W111-V111)&lt;0,0,(W111-V111))</f>
        <v>0</v>
      </c>
    </row>
    <row r="112" spans="1:27" ht="19.5">
      <c r="A112" s="10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 t="shared" si="22"/>
        <v>0</v>
      </c>
      <c r="I112" s="12">
        <f t="shared" si="23"/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 t="shared" si="16"/>
        <v>0</v>
      </c>
      <c r="U112" s="12">
        <f t="shared" si="17"/>
        <v>0</v>
      </c>
      <c r="V112" s="12">
        <f>Table14[[#This Row],[Enrolment S.Y. 2025-2026 ]]*8</f>
        <v>0</v>
      </c>
      <c r="W112" s="12"/>
      <c r="X112" s="10"/>
      <c r="Y112" s="12"/>
      <c r="Z112" s="12">
        <f t="shared" si="18"/>
        <v>0</v>
      </c>
      <c r="AA112" s="12">
        <f t="shared" si="19"/>
        <v>0</v>
      </c>
    </row>
    <row r="113" spans="1:28" ht="19.5">
      <c r="A113" s="10">
        <v>10</v>
      </c>
      <c r="B113" s="11" t="s">
        <v>22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ht="19.5">
      <c r="A114" s="38">
        <v>10</v>
      </c>
      <c r="B114" s="11" t="s">
        <v>92</v>
      </c>
      <c r="C114" s="10"/>
      <c r="D114" s="12">
        <f>Table14[[#This Row],[Enrolment S.Y. 2025-2026 ]]*8</f>
        <v>0</v>
      </c>
      <c r="E114" s="12"/>
      <c r="F114" s="10"/>
      <c r="G114" s="12"/>
      <c r="H114" s="12">
        <f>IF((D114-E114)&lt;0,0,(D114-E114))</f>
        <v>0</v>
      </c>
      <c r="I114" s="12">
        <f>IF((E114-D114)&lt;0,0,(E114-D114))</f>
        <v>0</v>
      </c>
      <c r="J114" s="12">
        <f>Table14[[#This Row],[Enrolment S.Y. 2025-2026 ]]*8</f>
        <v>0</v>
      </c>
      <c r="K114" s="12"/>
      <c r="L114" s="10"/>
      <c r="M114" s="12"/>
      <c r="N114" s="12">
        <f t="shared" si="28"/>
        <v>0</v>
      </c>
      <c r="O114" s="12">
        <f t="shared" si="29"/>
        <v>0</v>
      </c>
      <c r="P114" s="12">
        <f>Table14[[#This Row],[Enrolment S.Y. 2025-2026 ]]*8</f>
        <v>0</v>
      </c>
      <c r="Q114" s="12"/>
      <c r="R114" s="10"/>
      <c r="S114" s="12"/>
      <c r="T114" s="12">
        <f>IF((P114-Q114)&lt;0,0,(P114-Q114))</f>
        <v>0</v>
      </c>
      <c r="U114" s="12">
        <f>IF((Q114-P114)&lt;0,0,(Q114-P114))</f>
        <v>0</v>
      </c>
      <c r="V114" s="12">
        <f>Table14[[#This Row],[Enrolment S.Y. 2025-2026 ]]*8</f>
        <v>0</v>
      </c>
      <c r="W114" s="12"/>
      <c r="X114" s="10"/>
      <c r="Y114" s="12"/>
      <c r="Z114" s="12">
        <f>IF((V114-W114)&lt;0,0,(V114-W114))</f>
        <v>0</v>
      </c>
      <c r="AA114" s="12">
        <f>IF((W114-V114)&lt;0,0,(W114-V114))</f>
        <v>0</v>
      </c>
    </row>
    <row r="115" spans="1:28" ht="19.5">
      <c r="A115" s="10">
        <v>10</v>
      </c>
      <c r="B115" s="11" t="s">
        <v>93</v>
      </c>
      <c r="C115" s="10"/>
      <c r="D115" s="12">
        <f>Table14[[#This Row],[Enrolment S.Y. 2025-2026 ]]*8</f>
        <v>0</v>
      </c>
      <c r="E115" s="12"/>
      <c r="F115" s="10"/>
      <c r="G115" s="12"/>
      <c r="H115" s="12">
        <f t="shared" si="22"/>
        <v>0</v>
      </c>
      <c r="I115" s="12">
        <f t="shared" si="23"/>
        <v>0</v>
      </c>
      <c r="J115" s="12">
        <f>Table14[[#This Row],[Enrolment S.Y. 2025-2026 ]]*8</f>
        <v>0</v>
      </c>
      <c r="K115" s="12"/>
      <c r="L115" s="10"/>
      <c r="M115" s="12"/>
      <c r="N115" s="12">
        <f t="shared" si="28"/>
        <v>0</v>
      </c>
      <c r="O115" s="12">
        <f t="shared" si="29"/>
        <v>0</v>
      </c>
      <c r="P115" s="12">
        <f>Table14[[#This Row],[Enrolment S.Y. 2025-2026 ]]*8</f>
        <v>0</v>
      </c>
      <c r="Q115" s="12"/>
      <c r="R115" s="10"/>
      <c r="S115" s="12"/>
      <c r="T115" s="12">
        <f t="shared" si="16"/>
        <v>0</v>
      </c>
      <c r="U115" s="12">
        <f t="shared" si="17"/>
        <v>0</v>
      </c>
      <c r="V115" s="12">
        <f>Table14[[#This Row],[Enrolment S.Y. 2025-2026 ]]*8</f>
        <v>0</v>
      </c>
      <c r="W115" s="12"/>
      <c r="X115" s="10"/>
      <c r="Y115" s="12"/>
      <c r="Z115" s="12">
        <f t="shared" si="18"/>
        <v>0</v>
      </c>
      <c r="AA115" s="12">
        <f t="shared" si="19"/>
        <v>0</v>
      </c>
    </row>
    <row r="116" spans="1:28" s="7" customFormat="1"/>
    <row r="117" spans="1:28" ht="39">
      <c r="A117" s="1" t="s">
        <v>24</v>
      </c>
      <c r="B117" s="9" t="s">
        <v>25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26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19.5">
      <c r="A119" s="1" t="s">
        <v>24</v>
      </c>
      <c r="B119" s="9" t="s">
        <v>27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5">
      <c r="A120" s="1" t="s">
        <v>24</v>
      </c>
      <c r="B120" s="9" t="s">
        <v>28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9">
      <c r="A121" s="1" t="s">
        <v>24</v>
      </c>
      <c r="B121" s="9" t="s">
        <v>29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30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ht="58.5">
      <c r="A123" s="1" t="s">
        <v>24</v>
      </c>
      <c r="B123" s="9" t="s">
        <v>31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0"/>
        <v>0</v>
      </c>
      <c r="O123" s="5">
        <f t="shared" si="21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8" ht="39">
      <c r="A124" s="1" t="s">
        <v>24</v>
      </c>
      <c r="B124" s="9" t="s">
        <v>32</v>
      </c>
      <c r="C124" s="1"/>
      <c r="D124" s="5">
        <f>Table14[[#This Row],[Enrolment S.Y. 2025-2026 ]]*8</f>
        <v>0</v>
      </c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Table14[[#This Row],[Enrolment S.Y. 2025-2026 ]]*8</f>
        <v>0</v>
      </c>
      <c r="K124" s="5"/>
      <c r="L124" s="1"/>
      <c r="M124" s="5"/>
      <c r="N124" s="5">
        <f t="shared" si="20"/>
        <v>0</v>
      </c>
      <c r="O124" s="5">
        <f t="shared" si="21"/>
        <v>0</v>
      </c>
      <c r="P124" s="5">
        <f>Table14[[#This Row],[Enrolment S.Y. 2025-2026 ]]*8</f>
        <v>0</v>
      </c>
      <c r="Q124" s="5"/>
      <c r="R124" s="1"/>
      <c r="S124" s="5"/>
      <c r="T124" s="5">
        <f t="shared" si="16"/>
        <v>0</v>
      </c>
      <c r="U124" s="5">
        <f t="shared" si="17"/>
        <v>0</v>
      </c>
      <c r="V124" s="5">
        <f>Table14[[#This Row],[Enrolment S.Y. 2025-2026 ]]*8</f>
        <v>0</v>
      </c>
      <c r="W124" s="5"/>
      <c r="X124" s="1"/>
      <c r="Y124" s="5"/>
      <c r="Z124" s="5">
        <f t="shared" si="18"/>
        <v>0</v>
      </c>
      <c r="AA124" s="5">
        <f t="shared" si="19"/>
        <v>0</v>
      </c>
    </row>
    <row r="125" spans="1:28" s="7" customFormat="1"/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>
      <c r="J171" t="e">
        <f>#REF!*8</f>
        <v>#REF!</v>
      </c>
    </row>
    <row r="172" spans="10:10">
      <c r="J172" t="e">
        <f>#REF!*8</f>
        <v>#REF!</v>
      </c>
    </row>
  </sheetData>
  <protectedRanges>
    <protectedRange sqref="C69:C79 C81:C91 C117:C124 C105:C115 C93:C103 C2:C10 C12:C19 C21:C30 C32:C42 C44:C54 C56:C67" name="Textbooks"/>
    <protectedRange sqref="J2:L2 D2:F10 D12:F19 D21:F30 D32:F42 D44:F54 D56:F67 D69:F79 D81:F91 D93:F103 D117:F124 P2:R10 N3:O10 V2:X10 T3:U10 N12:R19 T12:X19 H3:L10 Z3:AA10 Z12:AA19 H12:L19 T21:X30 Z21:AA30 H21:L30 T32:X42 Z32:AA42 H32:L42 T44:X54 Z44:AA54 H44:L54 T56:X67 Z56:AA67 H56:L67 T69:X79 Z69:AA79 H69:L79 T81:X91 Z81:AA91 H81:L91 T93:X103 Z93:AA103 H93:L103 T105:X115 Z105:AA115 H105:L115 N117:R124 T117:X124 Z117:AA124 H117:L124 D105:F115 N32:R42 N44:R54 N69:R79 N81:R91 N93:R103 N105:R115 N56:R67 N21:R30" name="LAS"/>
    <protectedRange sqref="G2:I2 M2:O2 S2:U2 Y2:AA2 G3:G10 M3:M10 S3:S10 Y3:Y10 Y12:Y19 G12:G19 M12:M19 S12:S19 Y21:Y30 G21:G30 M21:M30 S21:S30 Y32:Y42 G32:G42 M32:M42 S32:S42 Y44:Y54 G44:G54 M44:M54 S44:S54 Y56:Y67 G56:G67 M56:M67 Y69:Y79 G69:G79 M69:M79 S69:S79 Y81:Y91 G81:G91 M81:M91 S81:S91 Y93:Y103 G93:G103 M93:M103 S93:S103 Y105:Y115 G105:G115 M105:M115 S105:S115 Y117:Y124 G117:G124 M117:M124 S117:S124 S56:S67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7:S124 Y117:Y124 G117:G124 Y3:Y10 S3:S10 M3:M10 G3:G10 G12:G19 Y12:Y19 S12:S19 M12:M19 M21:M30 G21:G30 Y21:Y30 S21:S30 S32:S42 M32:M42 G32:G42 Y32:Y42 Y44:Y54 S44:S54 M44:M54 G44:G54 G56:G67 Y56:Y67 M117:M124 M56:M67 M69:M79 G69:G79 Y69:Y79 S69:S79 S81:S91 M81:M91 G81:G91 Y81:Y91 Y93:Y103 S93:S103 M93:M103 G93:G103 G105:G115 Y105:Y115 S105:S115 M105:M115 S56:S67" xr:uid="{CBD486C7-A5DB-48F1-B496-5027CC51E830}">
      <formula1>"CO,RO,SDO,LGU,SCHOOL"</formula1>
    </dataValidation>
    <dataValidation type="list" allowBlank="1" showInputMessage="1" showErrorMessage="1" sqref="X21:X30 X32:X42 X44:X54 X69:X79 X81:X91 X56:X67 X93:X103 X105:X115 X12:X19 X3:X10 L21:L30 L32:L42 L44:L54 L69:L79 L81:L91 L56:L67 L93:L103 L105:L115 L12:L19 L3:L10 R21:R30 R32:R42 R44:R54 R69:R79 R81:R91 F105:F115 R93:R103 R105:R115 R12:R19 R3:R10 F21:F30 F32:F42 F44:F54 F69:F79 F81:F91 F56:F67 F3:F10 F93:F103 X117:X124 F12:F19 F117:F124 R117:R124 L117:L124 R56:R67" xr:uid="{77F72D89-8371-4D0C-A323-BD25723C617C}">
      <formula1>"2024,2025"</formula1>
    </dataValidation>
  </dataValidations>
  <printOptions horizontalCentered="1"/>
  <pageMargins left="0.7" right="0.7" top="0.75" bottom="0.75" header="0.3" footer="0.3"/>
  <pageSetup paperSize="9" scale="70" fitToWidth="0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Fairouza Mae Hadjier</cp:lastModifiedBy>
  <cp:revision/>
  <dcterms:created xsi:type="dcterms:W3CDTF">2025-11-19T20:48:15Z</dcterms:created>
  <dcterms:modified xsi:type="dcterms:W3CDTF">2026-03-09T09:25:45Z</dcterms:modified>
  <cp:category/>
  <cp:contentStatus/>
</cp:coreProperties>
</file>