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0" documentId="13_ncr:1_{BFB59F67-F0DC-4675-A682-EB0734A8026A}" xr6:coauthVersionLast="47" xr6:coauthVersionMax="47" xr10:uidLastSave="{B26FA893-ED77-4319-BFAC-0496B94E58E7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G31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<sst xmlns="http://schemas.openxmlformats.org/spreadsheetml/2006/main" count="390" uniqueCount="91">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</sst>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3" fillId="8" borderId="11" xfId="0" applyFont="1" applyFill="1" applyBorder="1"/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1" activePane="topRight" state="frozen"/>
      <selection pane="topRight" activeCell="C50" sqref="C50:D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572</v>
      </c>
      <c r="E2" s="1">
        <v>2025</v>
      </c>
      <c r="F2" s="5"/>
      <c r="G2" s="3">
        <f>IF((C2-D2)&lt;0,0,C2-D2)</f>
        <v>0</v>
      </c>
      <c r="H2" s="4">
        <f>IF((D2-C2)&lt;0,0,D2-C2)</f>
        <v>572</v>
      </c>
    </row>
    <row r="3" spans="1:8" ht="29.25" customHeight="1">
      <c r="A3" s="1">
        <v>1</v>
      </c>
      <c r="B3" s="2" t="s">
        <v>9</v>
      </c>
      <c r="C3" s="1"/>
      <c r="D3" s="1">
        <v>572</v>
      </c>
      <c r="E3" s="1">
        <v>2025</v>
      </c>
      <c r="F3" s="5"/>
      <c r="G3" s="3">
        <f>IF((C3-D3)&lt;0,0,C3-D3)</f>
        <v>0</v>
      </c>
      <c r="H3" s="4">
        <f>IF((D3-C3)&lt;0,0,D3-C3)</f>
        <v>572</v>
      </c>
    </row>
    <row r="4" spans="1:8" ht="21" customHeight="1">
      <c r="A4" s="1">
        <v>1</v>
      </c>
      <c r="B4" s="2" t="s">
        <v>10</v>
      </c>
      <c r="C4" s="1"/>
      <c r="D4" s="1">
        <v>572</v>
      </c>
      <c r="E4" s="1">
        <v>2025</v>
      </c>
      <c r="F4" s="5"/>
      <c r="G4" s="3">
        <f>IF((C4-D4)&lt;0,0,C4-D4)</f>
        <v>0</v>
      </c>
      <c r="H4" s="4">
        <f>IF((D4-C4)&lt;0,0,D4-C4)</f>
        <v>572</v>
      </c>
    </row>
    <row r="5" spans="1:8" ht="25.5" customHeight="1">
      <c r="A5" s="1">
        <v>1</v>
      </c>
      <c r="B5" s="2" t="s">
        <v>11</v>
      </c>
      <c r="C5" s="1"/>
      <c r="D5" s="1">
        <v>572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572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>
        <v>333</v>
      </c>
      <c r="E22" s="1">
        <v>2025</v>
      </c>
      <c r="F22" s="5"/>
      <c r="G22" s="3">
        <f t="shared" si="4"/>
        <v>0</v>
      </c>
      <c r="H22" s="4">
        <f t="shared" si="5"/>
        <v>333</v>
      </c>
    </row>
    <row r="23" spans="1:8" ht="19.5">
      <c r="A23" s="1">
        <v>4</v>
      </c>
      <c r="B23" s="9" t="s">
        <v>12</v>
      </c>
      <c r="C23" s="1"/>
      <c r="D23" s="1">
        <v>333</v>
      </c>
      <c r="E23" s="1">
        <v>2025</v>
      </c>
      <c r="F23" s="5"/>
      <c r="G23" s="3">
        <f t="shared" si="4"/>
        <v>0</v>
      </c>
      <c r="H23" s="4">
        <f t="shared" si="5"/>
        <v>333</v>
      </c>
    </row>
    <row r="24" spans="1:8" ht="27" customHeight="1">
      <c r="A24" s="1">
        <v>4</v>
      </c>
      <c r="B24" s="9" t="s">
        <v>10</v>
      </c>
      <c r="C24" s="1"/>
      <c r="D24" s="1">
        <v>333</v>
      </c>
      <c r="E24" s="1">
        <v>2025</v>
      </c>
      <c r="F24" s="5"/>
      <c r="G24" s="3">
        <f t="shared" si="4"/>
        <v>0</v>
      </c>
      <c r="H24" s="4">
        <f t="shared" si="5"/>
        <v>333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>
        <v>350</v>
      </c>
      <c r="E31" s="1">
        <v>2025</v>
      </c>
      <c r="F31" s="5" t="s">
        <v>20</v>
      </c>
      <c r="G31" s="3">
        <f>IF((C31-D31)&lt;0,0,C31-D31)</f>
        <v>0</v>
      </c>
      <c r="H31" s="4">
        <f t="shared" ref="H31:H39" si="6">IF((D31-C31)&lt;0,0,D31-C31)</f>
        <v>350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ref="G31:G39" si="7">IF((C32-D32)&lt;0,0,C32-D32)</f>
        <v>0</v>
      </c>
      <c r="H32" s="4">
        <f t="shared" si="6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7"/>
        <v>0</v>
      </c>
      <c r="H33" s="4">
        <f t="shared" si="6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7"/>
        <v>0</v>
      </c>
      <c r="H34" s="4">
        <f t="shared" si="6"/>
        <v>0</v>
      </c>
    </row>
    <row r="35" spans="1:8" ht="39" customHeight="1">
      <c r="A35" s="1">
        <v>5</v>
      </c>
      <c r="B35" s="9" t="s">
        <v>16</v>
      </c>
      <c r="C35" s="1"/>
      <c r="D35" s="1">
        <v>350</v>
      </c>
      <c r="E35" s="1">
        <v>2025</v>
      </c>
      <c r="F35" s="5"/>
      <c r="G35" s="3">
        <f t="shared" si="7"/>
        <v>0</v>
      </c>
      <c r="H35" s="4">
        <f t="shared" si="6"/>
        <v>350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7"/>
        <v>0</v>
      </c>
      <c r="H36" s="4">
        <f t="shared" si="6"/>
        <v>0</v>
      </c>
    </row>
    <row r="37" spans="1:8" ht="27.75" customHeight="1">
      <c r="A37" s="1">
        <v>5</v>
      </c>
      <c r="B37" s="9" t="s">
        <v>17</v>
      </c>
      <c r="C37" s="1"/>
      <c r="D37" s="1">
        <v>350</v>
      </c>
      <c r="E37" s="1">
        <v>2025</v>
      </c>
      <c r="F37" s="5" t="s">
        <v>20</v>
      </c>
      <c r="G37" s="3">
        <f t="shared" si="7"/>
        <v>0</v>
      </c>
      <c r="H37" s="4">
        <f t="shared" si="6"/>
        <v>350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7"/>
        <v>0</v>
      </c>
      <c r="H38" s="4">
        <f t="shared" si="6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7"/>
        <v>0</v>
      </c>
      <c r="H39" s="4">
        <f t="shared" si="6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47">
        <f>C2+C8+C14+C21+C31+C41</f>
        <v>0</v>
      </c>
      <c r="D50" s="47">
        <f>SUM(D2:D49)</f>
        <v>4337</v>
      </c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49 C51:E98 E50" name="Textbooks"/>
    <protectedRange sqref="F1:F98" name="SOURCE"/>
    <protectedRange sqref="C50:D50" name="Textbooks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1" zoomScale="70" zoomScaleNormal="70" workbookViewId="0">
      <selection activeCell="E18" sqref="E1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>
        <v>1309</v>
      </c>
      <c r="L17" s="1">
        <v>2025</v>
      </c>
      <c r="M17" s="5"/>
      <c r="N17" s="5">
        <f t="shared" si="10"/>
        <v>0</v>
      </c>
      <c r="O17" s="5">
        <f t="shared" si="11"/>
        <v>1309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>
        <v>114</v>
      </c>
      <c r="F18" s="1">
        <v>2025</v>
      </c>
      <c r="G18" s="5"/>
      <c r="H18" s="5">
        <f t="shared" si="2"/>
        <v>0</v>
      </c>
      <c r="I18" s="5">
        <f t="shared" si="3"/>
        <v>114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>
        <v>1309</v>
      </c>
      <c r="L19" s="1">
        <v>2025</v>
      </c>
      <c r="M19" s="5"/>
      <c r="N19" s="5">
        <f t="shared" si="10"/>
        <v>0</v>
      </c>
      <c r="O19" s="5">
        <f t="shared" si="11"/>
        <v>1309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>
        <v>252</v>
      </c>
      <c r="F25" s="1">
        <v>2025</v>
      </c>
      <c r="G25" s="5"/>
      <c r="H25" s="5">
        <f t="shared" si="2"/>
        <v>0</v>
      </c>
      <c r="I25" s="5">
        <f t="shared" si="3"/>
        <v>252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>
        <v>252</v>
      </c>
      <c r="F26" s="1">
        <v>2025</v>
      </c>
      <c r="G26" s="5"/>
      <c r="H26" s="5">
        <f t="shared" si="2"/>
        <v>0</v>
      </c>
      <c r="I26" s="5">
        <f t="shared" si="3"/>
        <v>252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>
        <v>252</v>
      </c>
      <c r="F27" s="1">
        <v>2025</v>
      </c>
      <c r="G27" s="5"/>
      <c r="H27" s="5">
        <f t="shared" si="2"/>
        <v>0</v>
      </c>
      <c r="I27" s="5">
        <f t="shared" si="3"/>
        <v>252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>
        <v>252</v>
      </c>
      <c r="F28" s="1">
        <v>2025</v>
      </c>
      <c r="G28" s="5"/>
      <c r="H28" s="5">
        <f t="shared" si="2"/>
        <v>0</v>
      </c>
      <c r="I28" s="5">
        <f t="shared" si="3"/>
        <v>252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>
        <v>252</v>
      </c>
      <c r="F29" s="1">
        <v>2025</v>
      </c>
      <c r="G29" s="5"/>
      <c r="H29" s="5">
        <f>IF((D29-E29)&lt;0,0,(D29-E29))</f>
        <v>0</v>
      </c>
      <c r="I29" s="5">
        <f>IF((E29-D29)&lt;0,0,(E29-D29))</f>
        <v>252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>
        <v>252</v>
      </c>
      <c r="F30" s="1">
        <v>2025</v>
      </c>
      <c r="G30" s="5"/>
      <c r="H30" s="5">
        <f>IF((D30-E30)&lt;0,0,(D30-E30))</f>
        <v>0</v>
      </c>
      <c r="I30" s="5">
        <f>IF((E30-D30)&lt;0,0,(E30-D30))</f>
        <v>252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>
        <v>114</v>
      </c>
      <c r="F43" s="1">
        <v>2025</v>
      </c>
      <c r="G43" s="5"/>
      <c r="H43" s="5">
        <f t="shared" si="2"/>
        <v>0</v>
      </c>
      <c r="I43" s="5">
        <f t="shared" si="3"/>
        <v>114</v>
      </c>
      <c r="J43" s="5">
        <f>Table1[[#This Row],[Enrolment S.Y. 2025-2026 ]]*8</f>
        <v>0</v>
      </c>
      <c r="K43" s="5">
        <v>335</v>
      </c>
      <c r="L43" s="1">
        <v>2025</v>
      </c>
      <c r="M43" s="5"/>
      <c r="N43" s="5">
        <f t="shared" si="10"/>
        <v>0</v>
      </c>
      <c r="O43" s="5">
        <f t="shared" si="11"/>
        <v>335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>
        <v>114</v>
      </c>
      <c r="F44" s="1">
        <v>2025</v>
      </c>
      <c r="G44" s="5"/>
      <c r="H44" s="5">
        <f t="shared" si="2"/>
        <v>0</v>
      </c>
      <c r="I44" s="5">
        <f t="shared" si="3"/>
        <v>114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114</v>
      </c>
      <c r="F45" s="1">
        <v>2025</v>
      </c>
      <c r="G45" s="5"/>
      <c r="H45" s="5">
        <f t="shared" si="2"/>
        <v>0</v>
      </c>
      <c r="I45" s="5">
        <f t="shared" si="3"/>
        <v>114</v>
      </c>
      <c r="J45" s="5">
        <f>Table1[[#This Row],[Enrolment S.Y. 2025-2026 ]]*8</f>
        <v>0</v>
      </c>
      <c r="K45" s="5">
        <v>335</v>
      </c>
      <c r="L45" s="1">
        <v>2025</v>
      </c>
      <c r="M45" s="5"/>
      <c r="N45" s="5">
        <f t="shared" si="10"/>
        <v>0</v>
      </c>
      <c r="O45" s="5">
        <f t="shared" si="11"/>
        <v>335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>
        <v>114</v>
      </c>
      <c r="F46" s="1">
        <v>2025</v>
      </c>
      <c r="G46" s="5"/>
      <c r="H46" s="5">
        <f t="shared" si="2"/>
        <v>0</v>
      </c>
      <c r="I46" s="5">
        <f t="shared" si="3"/>
        <v>114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>
        <v>114</v>
      </c>
      <c r="F47" s="1">
        <v>2025</v>
      </c>
      <c r="G47" s="5"/>
      <c r="H47" s="5">
        <f t="shared" si="2"/>
        <v>0</v>
      </c>
      <c r="I47" s="5">
        <f t="shared" si="3"/>
        <v>114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>
        <v>114</v>
      </c>
      <c r="F48" s="1">
        <v>2025</v>
      </c>
      <c r="G48" s="5"/>
      <c r="H48" s="5">
        <f t="shared" si="2"/>
        <v>0</v>
      </c>
      <c r="I48" s="5">
        <f t="shared" si="3"/>
        <v>114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>
        <v>114</v>
      </c>
      <c r="F49" s="1">
        <v>2025</v>
      </c>
      <c r="G49" s="5"/>
      <c r="H49" s="5">
        <f t="shared" si="2"/>
        <v>0</v>
      </c>
      <c r="I49" s="5">
        <f t="shared" si="3"/>
        <v>114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>
        <v>114</v>
      </c>
      <c r="F50" s="1">
        <v>2025</v>
      </c>
      <c r="G50" s="5"/>
      <c r="H50" s="5">
        <f t="shared" si="2"/>
        <v>0</v>
      </c>
      <c r="I50" s="5">
        <f t="shared" si="3"/>
        <v>114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>
        <v>114</v>
      </c>
      <c r="F51" s="1">
        <v>2025</v>
      </c>
      <c r="G51" s="5"/>
      <c r="H51" s="5">
        <f t="shared" si="2"/>
        <v>0</v>
      </c>
      <c r="I51" s="5">
        <f t="shared" si="3"/>
        <v>114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>
        <v>150</v>
      </c>
      <c r="L53" s="1">
        <v>2025</v>
      </c>
      <c r="M53" s="5"/>
      <c r="N53" s="5">
        <f t="shared" si="10"/>
        <v>0</v>
      </c>
      <c r="O53" s="5">
        <f t="shared" si="11"/>
        <v>150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>
        <v>700</v>
      </c>
      <c r="L54" s="1">
        <v>2025</v>
      </c>
      <c r="M54" s="5"/>
      <c r="N54" s="5">
        <f t="shared" si="10"/>
        <v>0</v>
      </c>
      <c r="O54" s="5">
        <f t="shared" si="11"/>
        <v>700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>
        <v>700</v>
      </c>
      <c r="L55" s="1">
        <v>2025</v>
      </c>
      <c r="M55" s="5"/>
      <c r="N55" s="5">
        <f t="shared" si="10"/>
        <v>0</v>
      </c>
      <c r="O55" s="5">
        <f t="shared" si="11"/>
        <v>700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7" zoomScale="55" zoomScaleNormal="55" workbookViewId="0">
      <selection activeCell="E18" sqref="E1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42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>
        <v>354</v>
      </c>
      <c r="F14" s="1">
        <v>2025</v>
      </c>
      <c r="G14" s="5"/>
      <c r="H14" s="5">
        <f t="shared" si="0"/>
        <v>0</v>
      </c>
      <c r="I14" s="5">
        <f t="shared" si="1"/>
        <v>354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>
        <v>354</v>
      </c>
      <c r="F16" s="1">
        <v>2025</v>
      </c>
      <c r="G16" s="5"/>
      <c r="H16" s="5">
        <f t="shared" si="0"/>
        <v>0</v>
      </c>
      <c r="I16" s="5">
        <f t="shared" si="1"/>
        <v>354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>
        <v>354</v>
      </c>
      <c r="F17" s="1">
        <v>2025</v>
      </c>
      <c r="G17" s="5"/>
      <c r="H17" s="5">
        <f>IF((D17-E17)&lt;0,0,(D17-E17))</f>
        <v>0</v>
      </c>
      <c r="I17" s="5">
        <f>IF((E17-D17)&lt;0,0,(E17-D17))</f>
        <v>354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>
        <v>354</v>
      </c>
      <c r="F18" s="1">
        <v>2025</v>
      </c>
      <c r="G18" s="5"/>
      <c r="H18" s="5">
        <f>IF((D18-E18)&lt;0,0,(D18-E18))</f>
        <v>0</v>
      </c>
      <c r="I18" s="5">
        <f>IF((E18-D18)&lt;0,0,(E18-D18))</f>
        <v>354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>
        <v>120</v>
      </c>
      <c r="R55" s="1"/>
      <c r="S55" s="5"/>
      <c r="T55" s="5">
        <f t="shared" si="4"/>
        <v>0</v>
      </c>
      <c r="U55" s="5">
        <f t="shared" si="5"/>
        <v>120</v>
      </c>
      <c r="V55" s="5">
        <f>Table14[[#This Row],[Enrolment S.Y. 2025-2026 ]]*8</f>
        <v>0</v>
      </c>
      <c r="W55" s="5">
        <v>350</v>
      </c>
      <c r="X55" s="1">
        <v>2025</v>
      </c>
      <c r="Y55" s="5"/>
      <c r="Z55" s="5">
        <f t="shared" si="6"/>
        <v>0</v>
      </c>
      <c r="AA55" s="5">
        <f t="shared" si="7"/>
        <v>350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>
        <v>360</v>
      </c>
      <c r="R56" s="1"/>
      <c r="S56" s="5"/>
      <c r="T56" s="5">
        <f t="shared" si="4"/>
        <v>0</v>
      </c>
      <c r="U56" s="5">
        <f t="shared" si="5"/>
        <v>360</v>
      </c>
      <c r="V56" s="5">
        <f>Table14[[#This Row],[Enrolment S.Y. 2025-2026 ]]*8</f>
        <v>0</v>
      </c>
      <c r="W56" s="5">
        <v>250</v>
      </c>
      <c r="X56" s="1">
        <v>2025</v>
      </c>
      <c r="Y56" s="5"/>
      <c r="Z56" s="5">
        <f t="shared" si="6"/>
        <v>0</v>
      </c>
      <c r="AA56" s="5">
        <f t="shared" si="7"/>
        <v>250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>
        <v>540</v>
      </c>
      <c r="R57" s="1"/>
      <c r="S57" s="5"/>
      <c r="T57" s="5">
        <f t="shared" si="4"/>
        <v>0</v>
      </c>
      <c r="U57" s="5">
        <f t="shared" si="5"/>
        <v>540</v>
      </c>
      <c r="V57" s="5">
        <f>Table14[[#This Row],[Enrolment S.Y. 2025-2026 ]]*8</f>
        <v>0</v>
      </c>
      <c r="W57" s="5">
        <v>450</v>
      </c>
      <c r="X57" s="1">
        <v>2025</v>
      </c>
      <c r="Y57" s="5"/>
      <c r="Z57" s="5">
        <f t="shared" si="6"/>
        <v>0</v>
      </c>
      <c r="AA57" s="5">
        <f t="shared" si="7"/>
        <v>450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v>240</v>
      </c>
      <c r="R58" s="1"/>
      <c r="S58" s="5"/>
      <c r="T58" s="5">
        <f t="shared" si="4"/>
        <v>0</v>
      </c>
      <c r="U58" s="5">
        <f t="shared" si="5"/>
        <v>240</v>
      </c>
      <c r="V58" s="5">
        <f>Table14[[#This Row],[Enrolment S.Y. 2025-2026 ]]*8</f>
        <v>0</v>
      </c>
      <c r="W58" s="5">
        <v>100</v>
      </c>
      <c r="X58" s="1">
        <v>2025</v>
      </c>
      <c r="Y58" s="5"/>
      <c r="Z58" s="5">
        <f t="shared" si="6"/>
        <v>0</v>
      </c>
      <c r="AA58" s="5">
        <f t="shared" si="7"/>
        <v>100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360</v>
      </c>
      <c r="R59" s="1"/>
      <c r="S59" s="5"/>
      <c r="T59" s="5">
        <f t="shared" si="4"/>
        <v>0</v>
      </c>
      <c r="U59" s="5">
        <f t="shared" si="5"/>
        <v>360</v>
      </c>
      <c r="V59" s="5">
        <f>Table14[[#This Row],[Enrolment S.Y. 2025-2026 ]]*8</f>
        <v>0</v>
      </c>
      <c r="W59" s="5">
        <v>350</v>
      </c>
      <c r="X59" s="1">
        <v>2025</v>
      </c>
      <c r="Y59" s="5"/>
      <c r="Z59" s="5">
        <f t="shared" si="6"/>
        <v>0</v>
      </c>
      <c r="AA59" s="5">
        <f t="shared" si="7"/>
        <v>350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240</v>
      </c>
      <c r="R60" s="1"/>
      <c r="S60" s="5"/>
      <c r="T60" s="5">
        <f t="shared" si="4"/>
        <v>0</v>
      </c>
      <c r="U60" s="5">
        <f t="shared" si="5"/>
        <v>240</v>
      </c>
      <c r="V60" s="5">
        <f>Table14[[#This Row],[Enrolment S.Y. 2025-2026 ]]*8</f>
        <v>0</v>
      </c>
      <c r="W60" s="5">
        <v>400</v>
      </c>
      <c r="X60" s="1">
        <v>2025</v>
      </c>
      <c r="Y60" s="5"/>
      <c r="Z60" s="5">
        <f t="shared" si="6"/>
        <v>0</v>
      </c>
      <c r="AA60" s="5">
        <f t="shared" si="7"/>
        <v>400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240</v>
      </c>
      <c r="R61" s="1"/>
      <c r="S61" s="5"/>
      <c r="T61" s="5">
        <f>IF((P61-Q61)&lt;0,0,(P61-Q61))</f>
        <v>0</v>
      </c>
      <c r="U61" s="5">
        <f>IF((Q61-P61)&lt;0,0,(Q61-P61))</f>
        <v>240</v>
      </c>
      <c r="V61" s="5">
        <f>Table14[[#This Row],[Enrolment S.Y. 2025-2026 ]]*8</f>
        <v>0</v>
      </c>
      <c r="W61" s="5">
        <v>150</v>
      </c>
      <c r="X61" s="1">
        <v>2025</v>
      </c>
      <c r="Y61" s="5"/>
      <c r="Z61" s="5">
        <f>IF((V61-W61)&lt;0,0,(V61-W61))</f>
        <v>0</v>
      </c>
      <c r="AA61" s="5">
        <f>IF((W61-V61)&lt;0,0,(W61-V61))</f>
        <v>150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420</v>
      </c>
      <c r="R62" s="1"/>
      <c r="S62" s="5"/>
      <c r="T62" s="5">
        <f t="shared" si="4"/>
        <v>0</v>
      </c>
      <c r="U62" s="5">
        <f t="shared" si="5"/>
        <v>420</v>
      </c>
      <c r="V62" s="5">
        <f>Table14[[#This Row],[Enrolment S.Y. 2025-2026 ]]*8</f>
        <v>0</v>
      </c>
      <c r="W62" s="5">
        <v>450</v>
      </c>
      <c r="X62" s="1">
        <v>2025</v>
      </c>
      <c r="Y62" s="5"/>
      <c r="Z62" s="5">
        <f t="shared" si="6"/>
        <v>0</v>
      </c>
      <c r="AA62" s="5">
        <f t="shared" si="7"/>
        <v>450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180</v>
      </c>
      <c r="R64" s="1"/>
      <c r="S64" s="5"/>
      <c r="T64" s="5">
        <f>IF((P64-Q64)&lt;0,0,(P64-Q64))</f>
        <v>0</v>
      </c>
      <c r="U64" s="5">
        <f>IF((Q64-P64)&lt;0,0,(Q64-P64))</f>
        <v>180</v>
      </c>
      <c r="V64" s="5">
        <f>Table14[[#This Row],[Enrolment S.Y. 2025-2026 ]]*8</f>
        <v>0</v>
      </c>
      <c r="W64" s="5">
        <v>150</v>
      </c>
      <c r="X64" s="1">
        <v>2025</v>
      </c>
      <c r="Y64" s="5"/>
      <c r="Z64" s="5">
        <f>IF((V64-W64)&lt;0,0,(V64-W64))</f>
        <v>0</v>
      </c>
      <c r="AA64" s="5">
        <f>IF((W64-V64)&lt;0,0,(W64-V64))</f>
        <v>150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180</v>
      </c>
      <c r="R65" s="1"/>
      <c r="S65" s="5"/>
      <c r="T65" s="5">
        <f t="shared" si="4"/>
        <v>0</v>
      </c>
      <c r="U65" s="5">
        <f t="shared" si="5"/>
        <v>180</v>
      </c>
      <c r="V65" s="5">
        <f>Table14[[#This Row],[Enrolment S.Y. 2025-2026 ]]*8</f>
        <v>0</v>
      </c>
      <c r="W65" s="5">
        <v>400</v>
      </c>
      <c r="X65" s="1">
        <v>2025</v>
      </c>
      <c r="Y65" s="5"/>
      <c r="Z65" s="5">
        <f t="shared" si="6"/>
        <v>0</v>
      </c>
      <c r="AA65" s="5">
        <f t="shared" si="7"/>
        <v>400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3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P2 R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Q2" name="LA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2025-12-16T00:52:11Z</dcterms:modified>
  <cp:category/>
  <cp:contentStatus/>
</cp:coreProperties>
</file>