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04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86" documentId="13_ncr:1_{BFB59F67-F0DC-4675-A682-EB0734A8026A}" xr6:coauthVersionLast="47" xr6:coauthVersionMax="47" xr10:uidLastSave="{29517713-82C8-446F-A3EC-D219225304F2}"/>
  <bookViews>
    <workbookView xWindow="-108" yWindow="-108" windowWidth="23256" windowHeight="12456" firstSheet="2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9" i="5" l="1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J157" i="4"/>
  <c r="J156" i="4"/>
  <c r="J155" i="4"/>
  <c r="J154" i="4"/>
  <c r="J153" i="4"/>
  <c r="J152" i="4"/>
  <c r="J151" i="4"/>
  <c r="J150" i="4"/>
  <c r="J149" i="4"/>
  <c r="J148" i="4"/>
  <c r="J147" i="4"/>
  <c r="J146" i="4"/>
  <c r="J145" i="4"/>
  <c r="J144" i="4"/>
  <c r="J143" i="4"/>
  <c r="J142" i="4"/>
  <c r="J141" i="4"/>
  <c r="J140" i="4"/>
  <c r="J139" i="4"/>
  <c r="J138" i="4"/>
  <c r="J137" i="4"/>
  <c r="J136" i="4"/>
  <c r="J135" i="4"/>
  <c r="J134" i="4"/>
  <c r="J133" i="4"/>
  <c r="J132" i="4"/>
  <c r="J131" i="4"/>
  <c r="J130" i="4"/>
  <c r="J129" i="4"/>
  <c r="J128" i="4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3" i="4"/>
  <c r="N3" i="4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<sst xmlns="http://schemas.openxmlformats.org/spreadsheetml/2006/main" count="399" uniqueCount="93">
  <si>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</si>
  <si>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</si>
  <si>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</si>
  <si>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</si>
  <si>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</si>
  <si>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</si>
  <si>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</si>
  <si>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</si>
  <si>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</si>
  <si>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</si>
  <si>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</si>
  <si>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</si>
  <si>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</si>
  <si>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</si>
  <si>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</si>
  <si>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</si>
  <si>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</si>
  <si>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</si>
  <si>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</si>
  <si>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</si>
  <si>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</si>
  <si>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</si>
  <si>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</si>
  <si>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</si>
  <si>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</si>
  <si>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RO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</si>
  <si>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</si>
  <si>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</si>
  <si>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</si>
  <si>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</si>
  <si>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</si>
  <si>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</si>
  <si>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</si>
  <si>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SHS-TIS</t>
  </si>
  <si>
    <t>HUMANITIES AND SOCIAL SCIENCES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</si>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</sst>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>
    <filterColumn colId="0">
      <filters>
        <filter val="SHS"/>
      </filters>
    </filterColumn>
  </autoFilter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>
    <filterColumn colId="0">
      <filters>
        <filter val="SHS"/>
      </filters>
    </filterColumn>
  </autoFilter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>
    <filterColumn colId="0">
      <filters>
        <filter val="SHS"/>
      </filters>
    </filterColumn>
  </autoFilter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5"/>
  <sheetViews>
    <sheetView zoomScale="85" zoomScaleNormal="85" workbookViewId="0">
      <pane xSplit="2" topLeftCell="E91" activePane="topRight" state="frozen"/>
      <selection pane="topRight" activeCell="E98" sqref="E98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hidden="1" customHeight="1">
      <c r="A2" s="1">
        <v>1</v>
      </c>
      <c r="B2" s="2" t="s">
        <v>8</v>
      </c>
      <c r="C2" s="1"/>
      <c r="D2" s="1"/>
      <c r="E2" s="1"/>
      <c r="F2" s="5"/>
      <c r="G2" s="3">
        <f>IF((C2-D2)&lt;0,0,C2-D2)</f>
        <v>0</v>
      </c>
      <c r="H2" s="4">
        <f>IF((D2-C2)&lt;0,0,D2-C2)</f>
        <v>0</v>
      </c>
    </row>
    <row r="3" spans="1:8" ht="29.25" hidden="1" customHeight="1">
      <c r="A3" s="1">
        <v>1</v>
      </c>
      <c r="B3" s="2" t="s">
        <v>9</v>
      </c>
      <c r="C3" s="1"/>
      <c r="D3" s="1"/>
      <c r="E3" s="1"/>
      <c r="F3" s="5"/>
      <c r="G3" s="3">
        <f>IF((C3-D3)&lt;0,0,C3-D3)</f>
        <v>0</v>
      </c>
      <c r="H3" s="4">
        <f>IF((D3-C3)&lt;0,0,D3-C3)</f>
        <v>0</v>
      </c>
    </row>
    <row r="4" spans="1:8" ht="21" hidden="1" customHeight="1">
      <c r="A4" s="1">
        <v>1</v>
      </c>
      <c r="B4" s="2" t="s">
        <v>10</v>
      </c>
      <c r="C4" s="1"/>
      <c r="D4" s="1"/>
      <c r="E4" s="1"/>
      <c r="F4" s="5"/>
      <c r="G4" s="3">
        <f>IF((C4-D4)&lt;0,0,C4-D4)</f>
        <v>0</v>
      </c>
      <c r="H4" s="4">
        <f>IF((D4-C4)&lt;0,0,D4-C4)</f>
        <v>0</v>
      </c>
    </row>
    <row r="5" spans="1:8" ht="25.5" hidden="1" customHeight="1">
      <c r="A5" s="1">
        <v>1</v>
      </c>
      <c r="B5" s="2" t="s">
        <v>11</v>
      </c>
      <c r="C5" s="1"/>
      <c r="D5" s="1"/>
      <c r="E5" s="1"/>
      <c r="F5" s="5"/>
      <c r="G5" s="3">
        <f t="shared" ref="G5:G6" si="0">IF((C5-D5)&lt;0,0,C5-D5)</f>
        <v>0</v>
      </c>
      <c r="H5" s="4">
        <f t="shared" ref="H5:H6" si="1">IF((D5-C5)&lt;0,0,D5-C5)</f>
        <v>0</v>
      </c>
    </row>
    <row r="6" spans="1:8" ht="19.149999999999999" hidden="1">
      <c r="A6" s="1">
        <v>1</v>
      </c>
      <c r="B6" s="2" t="s">
        <v>12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 hidden="1">
      <c r="C7" s="6"/>
      <c r="D7" s="6"/>
      <c r="E7" s="6"/>
    </row>
    <row r="8" spans="1:8" ht="39.75" hidden="1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hidden="1" customHeight="1">
      <c r="A9" s="1">
        <v>2</v>
      </c>
      <c r="B9" s="2" t="s">
        <v>9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hidden="1" customHeight="1">
      <c r="A10" s="1">
        <v>2</v>
      </c>
      <c r="B10" s="2" t="s">
        <v>10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hidden="1" customHeight="1">
      <c r="A11" s="1">
        <v>2</v>
      </c>
      <c r="B11" s="2" t="s">
        <v>11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149999999999999" hidden="1">
      <c r="A12" s="1">
        <v>2</v>
      </c>
      <c r="B12" s="2" t="s">
        <v>12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 hidden="1">
      <c r="C13" s="6"/>
      <c r="D13" s="6"/>
      <c r="E13" s="6"/>
    </row>
    <row r="14" spans="1:8" ht="49.5" hidden="1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hidden="1" customHeight="1">
      <c r="A15" s="1">
        <v>3</v>
      </c>
      <c r="B15" s="2" t="s">
        <v>9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hidden="1" customHeight="1">
      <c r="A16" s="1">
        <v>3</v>
      </c>
      <c r="B16" s="2" t="s">
        <v>10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hidden="1" customHeight="1">
      <c r="A17" s="1">
        <v>3</v>
      </c>
      <c r="B17" s="2" t="s">
        <v>13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hidden="1" customHeight="1">
      <c r="A18" s="1">
        <v>3</v>
      </c>
      <c r="B18" s="2" t="s">
        <v>11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149999999999999" hidden="1">
      <c r="A19" s="1">
        <v>3</v>
      </c>
      <c r="B19" s="2" t="s">
        <v>12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 hidden="1">
      <c r="A20" s="7"/>
      <c r="B20" s="7"/>
      <c r="C20" s="8"/>
      <c r="D20" s="8"/>
      <c r="E20" s="8"/>
      <c r="F20" s="7"/>
      <c r="G20" s="7"/>
      <c r="H20" s="7"/>
    </row>
    <row r="21" spans="1:8" ht="28.5" hidden="1" customHeight="1">
      <c r="A21" s="1">
        <v>4</v>
      </c>
      <c r="B21" s="9" t="s">
        <v>14</v>
      </c>
      <c r="C21" s="1"/>
      <c r="D21" s="1"/>
      <c r="E21" s="1"/>
      <c r="F21" s="5"/>
      <c r="G21" s="3">
        <f t="shared" ref="G21:G29" si="4">IF((C21-D21)&lt;0,0,C21-D21)</f>
        <v>0</v>
      </c>
      <c r="H21" s="4">
        <f t="shared" ref="H21:H29" si="5">IF((D21-C21)&lt;0,0,D21-C21)</f>
        <v>0</v>
      </c>
    </row>
    <row r="22" spans="1:8" ht="24" hidden="1" customHeight="1">
      <c r="A22" s="1">
        <v>4</v>
      </c>
      <c r="B22" s="9" t="s">
        <v>15</v>
      </c>
      <c r="C22" s="1"/>
      <c r="D22" s="1"/>
      <c r="E22" s="1"/>
      <c r="F22" s="5"/>
      <c r="G22" s="3">
        <f t="shared" si="4"/>
        <v>0</v>
      </c>
      <c r="H22" s="4">
        <f t="shared" si="5"/>
        <v>0</v>
      </c>
    </row>
    <row r="23" spans="1:8" ht="19.149999999999999" hidden="1">
      <c r="A23" s="1">
        <v>4</v>
      </c>
      <c r="B23" s="9" t="s">
        <v>12</v>
      </c>
      <c r="C23" s="1"/>
      <c r="D23" s="1"/>
      <c r="E23" s="1"/>
      <c r="F23" s="5"/>
      <c r="G23" s="3">
        <f t="shared" si="4"/>
        <v>0</v>
      </c>
      <c r="H23" s="4">
        <f t="shared" si="5"/>
        <v>0</v>
      </c>
    </row>
    <row r="24" spans="1:8" ht="27" hidden="1" customHeight="1">
      <c r="A24" s="1">
        <v>4</v>
      </c>
      <c r="B24" s="9" t="s">
        <v>10</v>
      </c>
      <c r="C24" s="1"/>
      <c r="D24" s="1"/>
      <c r="E24" s="1"/>
      <c r="F24" s="5"/>
      <c r="G24" s="3">
        <f t="shared" si="4"/>
        <v>0</v>
      </c>
      <c r="H24" s="4">
        <f t="shared" si="5"/>
        <v>0</v>
      </c>
    </row>
    <row r="25" spans="1:8" ht="33.75" hidden="1" customHeight="1">
      <c r="A25" s="1">
        <v>4</v>
      </c>
      <c r="B25" s="9" t="s">
        <v>16</v>
      </c>
      <c r="C25" s="1"/>
      <c r="D25" s="1"/>
      <c r="E25" s="1"/>
      <c r="F25" s="5"/>
      <c r="G25" s="3">
        <f t="shared" si="4"/>
        <v>0</v>
      </c>
      <c r="H25" s="4">
        <f t="shared" si="5"/>
        <v>0</v>
      </c>
    </row>
    <row r="26" spans="1:8" ht="33.75" hidden="1" customHeight="1">
      <c r="A26" s="1">
        <v>4</v>
      </c>
      <c r="B26" s="9" t="s">
        <v>13</v>
      </c>
      <c r="C26" s="1"/>
      <c r="D26" s="1"/>
      <c r="E26" s="1"/>
      <c r="F26" s="5"/>
      <c r="G26" s="3">
        <f t="shared" si="4"/>
        <v>0</v>
      </c>
      <c r="H26" s="4">
        <f t="shared" si="5"/>
        <v>0</v>
      </c>
    </row>
    <row r="27" spans="1:8" ht="33.75" hidden="1" customHeight="1">
      <c r="A27" s="1">
        <v>4</v>
      </c>
      <c r="B27" s="9" t="s">
        <v>17</v>
      </c>
      <c r="C27" s="1"/>
      <c r="D27" s="1"/>
      <c r="E27" s="1"/>
      <c r="F27" s="5"/>
      <c r="G27" s="3">
        <f t="shared" si="4"/>
        <v>0</v>
      </c>
      <c r="H27" s="4">
        <f t="shared" si="5"/>
        <v>0</v>
      </c>
    </row>
    <row r="28" spans="1:8" ht="27.75" hidden="1" customHeight="1">
      <c r="A28" s="1">
        <v>4</v>
      </c>
      <c r="B28" s="9" t="s">
        <v>18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hidden="1" customHeight="1">
      <c r="A29" s="1">
        <v>4</v>
      </c>
      <c r="B29" s="9" t="s">
        <v>19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hidden="1" customHeight="1">
      <c r="A30" s="7"/>
      <c r="B30" s="7"/>
      <c r="C30" s="8"/>
      <c r="D30" s="8"/>
      <c r="E30" s="8"/>
      <c r="F30" s="7"/>
      <c r="G30" s="7"/>
      <c r="H30" s="7"/>
    </row>
    <row r="31" spans="1:8" ht="27.75" hidden="1" customHeight="1">
      <c r="A31" s="1">
        <v>5</v>
      </c>
      <c r="B31" s="9" t="s">
        <v>14</v>
      </c>
      <c r="C31" s="1"/>
      <c r="D31" s="1"/>
      <c r="E31" s="1"/>
      <c r="F31" s="5"/>
      <c r="G31" s="3">
        <f t="shared" ref="G31:G39" si="6">IF((C31-D31)&lt;0,0,C31-D31)</f>
        <v>0</v>
      </c>
      <c r="H31" s="4">
        <f t="shared" ref="H31:H39" si="7">IF((D31-C31)&lt;0,0,D31-C31)</f>
        <v>0</v>
      </c>
    </row>
    <row r="32" spans="1:8" ht="27.75" hidden="1" customHeight="1">
      <c r="A32" s="1">
        <v>5</v>
      </c>
      <c r="B32" s="9" t="s">
        <v>15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8" ht="27.75" hidden="1" customHeight="1">
      <c r="A33" s="1">
        <v>5</v>
      </c>
      <c r="B33" s="9" t="s">
        <v>12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hidden="1" customHeight="1">
      <c r="A34" s="1">
        <v>5</v>
      </c>
      <c r="B34" s="9" t="s">
        <v>10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39" hidden="1" customHeight="1">
      <c r="A35" s="1">
        <v>5</v>
      </c>
      <c r="B35" s="9" t="s">
        <v>16</v>
      </c>
      <c r="C35" s="1"/>
      <c r="D35" s="1"/>
      <c r="E35" s="1"/>
      <c r="F35" s="5"/>
      <c r="G35" s="3">
        <f t="shared" si="6"/>
        <v>0</v>
      </c>
      <c r="H35" s="4">
        <f t="shared" si="7"/>
        <v>0</v>
      </c>
    </row>
    <row r="36" spans="1:8" ht="27.75" hidden="1" customHeight="1">
      <c r="A36" s="1">
        <v>5</v>
      </c>
      <c r="B36" s="9" t="s">
        <v>13</v>
      </c>
      <c r="C36" s="1"/>
      <c r="D36" s="1"/>
      <c r="E36" s="1"/>
      <c r="F36" s="5"/>
      <c r="G36" s="3">
        <f t="shared" si="6"/>
        <v>0</v>
      </c>
      <c r="H36" s="4">
        <f t="shared" si="7"/>
        <v>0</v>
      </c>
    </row>
    <row r="37" spans="1:8" ht="27.75" hidden="1" customHeight="1">
      <c r="A37" s="1">
        <v>5</v>
      </c>
      <c r="B37" s="9" t="s">
        <v>17</v>
      </c>
      <c r="C37" s="1"/>
      <c r="D37" s="1"/>
      <c r="E37" s="1"/>
      <c r="F37" s="5"/>
      <c r="G37" s="3">
        <f t="shared" si="6"/>
        <v>0</v>
      </c>
      <c r="H37" s="4">
        <f t="shared" si="7"/>
        <v>0</v>
      </c>
    </row>
    <row r="38" spans="1:8" ht="27.75" hidden="1" customHeight="1">
      <c r="A38" s="1">
        <v>5</v>
      </c>
      <c r="B38" s="9" t="s">
        <v>18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8" ht="27.75" hidden="1" customHeight="1">
      <c r="A39" s="1">
        <v>5</v>
      </c>
      <c r="B39" s="9" t="s">
        <v>19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hidden="1" customHeight="1">
      <c r="A40" s="7"/>
      <c r="B40" s="7"/>
      <c r="C40" s="8"/>
      <c r="D40" s="8"/>
      <c r="E40" s="8"/>
      <c r="F40" s="7"/>
      <c r="G40" s="7"/>
      <c r="H40" s="7"/>
    </row>
    <row r="41" spans="1:8" ht="27.75" hidden="1" customHeight="1">
      <c r="A41" s="1">
        <v>6</v>
      </c>
      <c r="B41" s="9" t="s">
        <v>14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hidden="1" customHeight="1">
      <c r="A42" s="1">
        <v>6</v>
      </c>
      <c r="B42" s="9" t="s">
        <v>15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hidden="1" customHeight="1">
      <c r="A43" s="1">
        <v>6</v>
      </c>
      <c r="B43" s="9" t="s">
        <v>12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hidden="1" customHeight="1">
      <c r="A44" s="1">
        <v>6</v>
      </c>
      <c r="B44" s="9" t="s">
        <v>10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hidden="1" customHeight="1">
      <c r="A45" s="1">
        <v>6</v>
      </c>
      <c r="B45" s="9" t="s">
        <v>16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hidden="1" customHeight="1">
      <c r="A46" s="1">
        <v>6</v>
      </c>
      <c r="B46" s="9" t="s">
        <v>13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hidden="1" customHeight="1">
      <c r="A47" s="1">
        <v>6</v>
      </c>
      <c r="B47" s="9" t="s">
        <v>17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hidden="1" customHeight="1">
      <c r="A48" s="1">
        <v>6</v>
      </c>
      <c r="B48" s="9" t="s">
        <v>18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hidden="1" customHeight="1">
      <c r="A49" s="1">
        <v>6</v>
      </c>
      <c r="B49" s="9" t="s">
        <v>19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hidden="1" customHeight="1">
      <c r="A50" s="7"/>
      <c r="B50" s="7"/>
      <c r="C50" s="8"/>
      <c r="D50" s="8"/>
      <c r="E50" s="8"/>
      <c r="F50" s="7"/>
      <c r="G50" s="7"/>
      <c r="H50" s="7"/>
    </row>
    <row r="51" spans="1:8" ht="27.75" hidden="1" customHeight="1">
      <c r="A51" s="10">
        <v>7</v>
      </c>
      <c r="B51" s="11" t="s">
        <v>14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hidden="1" customHeight="1">
      <c r="A52" s="10">
        <v>7</v>
      </c>
      <c r="B52" s="11" t="s">
        <v>15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hidden="1" customHeight="1">
      <c r="A53" s="10">
        <v>7</v>
      </c>
      <c r="B53" s="11" t="s">
        <v>12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hidden="1" customHeight="1">
      <c r="A54" s="10">
        <v>7</v>
      </c>
      <c r="B54" s="11" t="s">
        <v>20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hidden="1" customHeight="1">
      <c r="A55" s="10">
        <v>7</v>
      </c>
      <c r="B55" s="11" t="s">
        <v>16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hidden="1" customHeight="1">
      <c r="A56" s="10">
        <v>7</v>
      </c>
      <c r="B56" s="11" t="s">
        <v>13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hidden="1" customHeight="1">
      <c r="A57" s="10">
        <v>7</v>
      </c>
      <c r="B57" s="11" t="s">
        <v>17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hidden="1" customHeight="1">
      <c r="A58" s="10">
        <v>7</v>
      </c>
      <c r="B58" s="11" t="s">
        <v>21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hidden="1" customHeight="1">
      <c r="A59" s="10">
        <v>7</v>
      </c>
      <c r="B59" s="11" t="s">
        <v>19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hidden="1" customHeight="1">
      <c r="A60" s="7"/>
      <c r="B60" s="7"/>
      <c r="C60" s="8"/>
      <c r="D60" s="8"/>
      <c r="E60" s="8"/>
      <c r="F60" s="7"/>
      <c r="G60" s="7"/>
      <c r="H60" s="7"/>
    </row>
    <row r="61" spans="1:8" ht="27.75" hidden="1" customHeight="1">
      <c r="A61" s="10">
        <v>8</v>
      </c>
      <c r="B61" s="11" t="s">
        <v>14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hidden="1" customHeight="1">
      <c r="A62" s="10">
        <v>8</v>
      </c>
      <c r="B62" s="11" t="s">
        <v>15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hidden="1" customHeight="1">
      <c r="A63" s="10">
        <v>8</v>
      </c>
      <c r="B63" s="11" t="s">
        <v>12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hidden="1" customHeight="1">
      <c r="A64" s="10">
        <v>8</v>
      </c>
      <c r="B64" s="11" t="s">
        <v>20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hidden="1" customHeight="1">
      <c r="A65" s="10">
        <v>8</v>
      </c>
      <c r="B65" s="11" t="s">
        <v>22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hidden="1" customHeight="1">
      <c r="A66" s="10">
        <v>8</v>
      </c>
      <c r="B66" s="11" t="s">
        <v>13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hidden="1" customHeight="1">
      <c r="A67" s="10">
        <v>8</v>
      </c>
      <c r="B67" s="11" t="s">
        <v>17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hidden="1" customHeight="1">
      <c r="A68" s="10">
        <v>8</v>
      </c>
      <c r="B68" s="11" t="s">
        <v>21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hidden="1" customHeight="1">
      <c r="A69" s="10">
        <v>8</v>
      </c>
      <c r="B69" s="11" t="s">
        <v>19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hidden="1" customHeight="1">
      <c r="A70" s="7"/>
      <c r="B70" s="7"/>
      <c r="C70" s="8"/>
      <c r="D70" s="8"/>
      <c r="E70" s="8"/>
      <c r="F70" s="7"/>
      <c r="G70" s="7"/>
      <c r="H70" s="7"/>
    </row>
    <row r="71" spans="1:8" ht="27.75" hidden="1" customHeight="1">
      <c r="A71" s="10">
        <v>9</v>
      </c>
      <c r="B71" s="11" t="s">
        <v>14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hidden="1" customHeight="1">
      <c r="A72" s="10">
        <v>9</v>
      </c>
      <c r="B72" s="11" t="s">
        <v>15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hidden="1" customHeight="1">
      <c r="A73" s="10">
        <v>9</v>
      </c>
      <c r="B73" s="11" t="s">
        <v>12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hidden="1" customHeight="1">
      <c r="A74" s="10">
        <v>9</v>
      </c>
      <c r="B74" s="11" t="s">
        <v>20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hidden="1" customHeight="1">
      <c r="A75" s="10">
        <v>9</v>
      </c>
      <c r="B75" s="11" t="s">
        <v>22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hidden="1" customHeight="1">
      <c r="A76" s="10">
        <v>9</v>
      </c>
      <c r="B76" s="11" t="s">
        <v>13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hidden="1" customHeight="1">
      <c r="A77" s="10">
        <v>9</v>
      </c>
      <c r="B77" s="11" t="s">
        <v>17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hidden="1" customHeight="1">
      <c r="A78" s="10">
        <v>9</v>
      </c>
      <c r="B78" s="11" t="s">
        <v>21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hidden="1" customHeight="1">
      <c r="A79" s="10">
        <v>9</v>
      </c>
      <c r="B79" s="11" t="s">
        <v>19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hidden="1" customHeight="1">
      <c r="A80" s="7"/>
      <c r="B80" s="8"/>
      <c r="C80" s="8"/>
      <c r="D80" s="8"/>
      <c r="E80" s="8"/>
      <c r="F80" s="7"/>
      <c r="G80" s="7"/>
      <c r="H80" s="7"/>
    </row>
    <row r="81" spans="1:8" ht="27.75" hidden="1" customHeight="1">
      <c r="A81" s="10">
        <v>10</v>
      </c>
      <c r="B81" s="11" t="s">
        <v>14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hidden="1" customHeight="1">
      <c r="A82" s="10">
        <v>10</v>
      </c>
      <c r="B82" s="11" t="s">
        <v>15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hidden="1" customHeight="1">
      <c r="A83" s="10">
        <v>10</v>
      </c>
      <c r="B83" s="11" t="s">
        <v>12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hidden="1" customHeight="1">
      <c r="A84" s="10">
        <v>10</v>
      </c>
      <c r="B84" s="11" t="s">
        <v>20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hidden="1" customHeight="1">
      <c r="A85" s="10">
        <v>10</v>
      </c>
      <c r="B85" s="11" t="s">
        <v>22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hidden="1" customHeight="1">
      <c r="A86" s="10">
        <v>10</v>
      </c>
      <c r="B86" s="11" t="s">
        <v>13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hidden="1" customHeight="1">
      <c r="A87" s="10">
        <v>10</v>
      </c>
      <c r="B87" s="11" t="s">
        <v>17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hidden="1" customHeight="1">
      <c r="A88" s="10">
        <v>10</v>
      </c>
      <c r="B88" s="11" t="s">
        <v>21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hidden="1" customHeight="1">
      <c r="A89" s="10">
        <v>10</v>
      </c>
      <c r="B89" s="11" t="s">
        <v>19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hidden="1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23</v>
      </c>
      <c r="B91" s="9" t="s">
        <v>24</v>
      </c>
      <c r="C91" s="1">
        <v>1186</v>
      </c>
      <c r="D91" s="1">
        <v>494</v>
      </c>
      <c r="E91" s="1">
        <v>2024</v>
      </c>
      <c r="F91" s="5" t="s">
        <v>25</v>
      </c>
      <c r="G91" s="3">
        <f t="shared" ref="G91:G98" si="18">IF((C91-D91)&lt;0,0,C91-D91)</f>
        <v>692</v>
      </c>
      <c r="H91" s="4">
        <f t="shared" ref="H91:H98" si="19">IF((D91-C91)&lt;0,0,D91-C91)</f>
        <v>0</v>
      </c>
    </row>
    <row r="92" spans="1:8" ht="27.75" customHeight="1">
      <c r="A92" s="1" t="s">
        <v>23</v>
      </c>
      <c r="B92" s="9" t="s">
        <v>26</v>
      </c>
      <c r="C92" s="1"/>
      <c r="D92" s="1">
        <v>494</v>
      </c>
      <c r="E92" s="1">
        <v>2024</v>
      </c>
      <c r="F92" s="5"/>
      <c r="G92" s="3">
        <f t="shared" si="18"/>
        <v>0</v>
      </c>
      <c r="H92" s="4">
        <f t="shared" si="19"/>
        <v>494</v>
      </c>
    </row>
    <row r="93" spans="1:8" ht="27.75" customHeight="1">
      <c r="A93" s="1" t="s">
        <v>23</v>
      </c>
      <c r="B93" s="9" t="s">
        <v>27</v>
      </c>
      <c r="C93" s="1"/>
      <c r="D93" s="1">
        <v>494</v>
      </c>
      <c r="E93" s="1">
        <v>2024</v>
      </c>
      <c r="F93" s="5"/>
      <c r="G93" s="3">
        <f t="shared" si="18"/>
        <v>0</v>
      </c>
      <c r="H93" s="4">
        <f t="shared" si="19"/>
        <v>494</v>
      </c>
    </row>
    <row r="94" spans="1:8" ht="27.75" customHeight="1">
      <c r="A94" s="1" t="s">
        <v>23</v>
      </c>
      <c r="B94" s="9" t="s">
        <v>28</v>
      </c>
      <c r="C94" s="1"/>
      <c r="D94" s="1">
        <v>494</v>
      </c>
      <c r="E94" s="1">
        <v>2025</v>
      </c>
      <c r="F94" s="5"/>
      <c r="G94" s="3">
        <f t="shared" si="18"/>
        <v>0</v>
      </c>
      <c r="H94" s="4">
        <f t="shared" si="19"/>
        <v>494</v>
      </c>
    </row>
    <row r="95" spans="1:8" ht="40.5" customHeight="1">
      <c r="A95" s="1" t="s">
        <v>23</v>
      </c>
      <c r="B95" s="9" t="s">
        <v>29</v>
      </c>
      <c r="C95" s="1"/>
      <c r="D95" s="1">
        <v>494</v>
      </c>
      <c r="E95" s="1">
        <v>2025</v>
      </c>
      <c r="F95" s="5"/>
      <c r="G95" s="3">
        <f t="shared" si="18"/>
        <v>0</v>
      </c>
      <c r="H95" s="4">
        <f t="shared" si="19"/>
        <v>494</v>
      </c>
    </row>
    <row r="96" spans="1:8" ht="38.25" customHeight="1">
      <c r="A96" s="1" t="s">
        <v>23</v>
      </c>
      <c r="B96" s="9" t="s">
        <v>30</v>
      </c>
      <c r="C96" s="1"/>
      <c r="D96" s="1">
        <v>494</v>
      </c>
      <c r="E96" s="1">
        <v>2024</v>
      </c>
      <c r="F96" s="5"/>
      <c r="G96" s="3">
        <f t="shared" si="18"/>
        <v>0</v>
      </c>
      <c r="H96" s="4">
        <f t="shared" si="19"/>
        <v>494</v>
      </c>
    </row>
    <row r="97" spans="1:8" ht="27.75" customHeight="1">
      <c r="A97" s="1" t="s">
        <v>23</v>
      </c>
      <c r="B97" s="9" t="s">
        <v>31</v>
      </c>
      <c r="C97" s="1"/>
      <c r="D97" s="1">
        <v>494</v>
      </c>
      <c r="E97" s="1">
        <v>2025</v>
      </c>
      <c r="F97" s="5"/>
      <c r="G97" s="3">
        <f t="shared" si="18"/>
        <v>0</v>
      </c>
      <c r="H97" s="4">
        <f t="shared" si="19"/>
        <v>494</v>
      </c>
    </row>
    <row r="98" spans="1:8" ht="47.25" customHeight="1">
      <c r="A98" s="1" t="s">
        <v>23</v>
      </c>
      <c r="B98" s="9" t="s">
        <v>32</v>
      </c>
      <c r="C98" s="1"/>
      <c r="D98" s="1">
        <v>494</v>
      </c>
      <c r="E98" s="1">
        <v>2025</v>
      </c>
      <c r="F98" s="5"/>
      <c r="G98" s="3">
        <f t="shared" si="18"/>
        <v>0</v>
      </c>
      <c r="H98" s="4">
        <f t="shared" si="19"/>
        <v>494</v>
      </c>
    </row>
    <row r="99" spans="1:8" hidden="1"/>
    <row r="100" spans="1:8" hidden="1"/>
    <row r="101" spans="1:8" hidden="1"/>
    <row r="102" spans="1:8" hidden="1"/>
    <row r="103" spans="1:8" hidden="1"/>
    <row r="104" spans="1:8" hidden="1"/>
    <row r="105" spans="1:8" hidden="1"/>
    <row r="106" spans="1:8" hidden="1"/>
    <row r="107" spans="1:8" hidden="1"/>
    <row r="108" spans="1:8" hidden="1"/>
    <row r="109" spans="1:8" hidden="1"/>
    <row r="110" spans="1:8" hidden="1"/>
    <row r="111" spans="1:8" hidden="1"/>
    <row r="112" spans="1:8" hidden="1">
      <c r="A112" t="s">
        <v>33</v>
      </c>
      <c r="B112" t="s">
        <v>34</v>
      </c>
    </row>
    <row r="113" hidden="1"/>
    <row r="114" hidden="1"/>
    <row r="115" hidden="1"/>
    <row r="116" hidden="1"/>
    <row r="117" hidden="1"/>
    <row r="118" hidden="1"/>
    <row r="119" hidden="1"/>
    <row r="120" hidden="1"/>
    <row r="121" hidden="1"/>
    <row r="122" hidden="1"/>
    <row r="123" hidden="1"/>
    <row r="124" hidden="1"/>
    <row r="125" hidden="1"/>
    <row r="126" hidden="1"/>
    <row r="127" hidden="1"/>
    <row r="128" hidden="1"/>
    <row r="129" hidden="1"/>
    <row r="130" hidden="1"/>
    <row r="131" hidden="1"/>
    <row r="132" hidden="1"/>
    <row r="133" hidden="1"/>
    <row r="134" hidden="1"/>
    <row r="135" hidden="1"/>
    <row r="136" hidden="1"/>
    <row r="137" hidden="1"/>
    <row r="138" hidden="1"/>
    <row r="139" hidden="1"/>
    <row r="140" hidden="1"/>
    <row r="141" hidden="1"/>
    <row r="142" hidden="1"/>
    <row r="143" hidden="1"/>
    <row r="144" hidden="1"/>
    <row r="145" hidden="1"/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14:E19 E21:E29 E31:E39 E51:E59 E61:E69 E41:E49 E2:E6 E71:E79 E81:E89 E8:E12 E91:E98" xr:uid="{B46E7B13-721E-4D49-837E-C02BF9777D48}">
      <formula1>"2024,2025"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57"/>
  <sheetViews>
    <sheetView topLeftCell="A108" zoomScale="70" zoomScaleNormal="70" workbookViewId="0">
      <selection activeCell="A110" sqref="A110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2" t="s">
        <v>35</v>
      </c>
      <c r="E1" s="42"/>
      <c r="F1" s="42"/>
      <c r="G1" s="42"/>
      <c r="H1" s="42"/>
      <c r="I1" s="42"/>
      <c r="J1" s="43" t="s">
        <v>36</v>
      </c>
      <c r="K1" s="43"/>
      <c r="L1" s="43"/>
      <c r="M1" s="43"/>
      <c r="N1" s="43"/>
      <c r="O1" s="43"/>
      <c r="P1" s="44" t="s">
        <v>37</v>
      </c>
      <c r="Q1" s="44"/>
      <c r="R1" s="44"/>
      <c r="S1" s="44"/>
      <c r="T1" s="44"/>
      <c r="U1" s="44"/>
      <c r="V1" s="45" t="s">
        <v>38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39</v>
      </c>
      <c r="E2" s="20" t="s">
        <v>40</v>
      </c>
      <c r="F2" s="21" t="s">
        <v>41</v>
      </c>
      <c r="G2" s="24" t="s">
        <v>42</v>
      </c>
      <c r="H2" s="17" t="s">
        <v>43</v>
      </c>
      <c r="I2" s="24" t="s">
        <v>44</v>
      </c>
      <c r="J2" s="22" t="s">
        <v>45</v>
      </c>
      <c r="K2" s="22" t="s">
        <v>46</v>
      </c>
      <c r="L2" s="23" t="s">
        <v>47</v>
      </c>
      <c r="M2" s="40" t="s">
        <v>48</v>
      </c>
      <c r="N2" s="40" t="s">
        <v>49</v>
      </c>
      <c r="O2" s="22" t="s">
        <v>50</v>
      </c>
      <c r="P2" s="24" t="s">
        <v>51</v>
      </c>
      <c r="Q2" s="24" t="s">
        <v>52</v>
      </c>
      <c r="R2" s="25" t="s">
        <v>53</v>
      </c>
      <c r="S2" s="17" t="s">
        <v>54</v>
      </c>
      <c r="T2" s="17" t="s">
        <v>55</v>
      </c>
      <c r="U2" s="24" t="s">
        <v>56</v>
      </c>
      <c r="V2" s="26" t="s">
        <v>57</v>
      </c>
      <c r="W2" s="26" t="s">
        <v>58</v>
      </c>
      <c r="X2" s="27" t="s">
        <v>59</v>
      </c>
      <c r="Y2" s="41" t="s">
        <v>60</v>
      </c>
      <c r="Z2" s="41" t="s">
        <v>61</v>
      </c>
      <c r="AA2" s="26" t="s">
        <v>62</v>
      </c>
    </row>
    <row r="3" spans="1:27" ht="30.6" hidden="1" customHeight="1">
      <c r="A3" s="39" t="s">
        <v>63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 hidden="1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19.149999999999999" hidden="1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77" si="2">IF((D5-E5)&lt;0,0,(D5-E5))</f>
        <v>0</v>
      </c>
      <c r="I5" s="5">
        <f t="shared" ref="I5:I77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149999999999999" hidden="1">
      <c r="A6" s="1">
        <v>1</v>
      </c>
      <c r="B6" s="2" t="s">
        <v>9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9" si="10">IF((J6-K6)&lt;0,0,(J6-K6))</f>
        <v>0</v>
      </c>
      <c r="O6" s="5">
        <f t="shared" ref="O6:O69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9" si="12">IF((P6-Q6)&lt;0,0,(P6-Q6))</f>
        <v>0</v>
      </c>
      <c r="U6" s="5">
        <f t="shared" ref="U6:U69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9" si="14">IF((V6-W6)&lt;0,0,(V6-W6))</f>
        <v>0</v>
      </c>
      <c r="AA6" s="5">
        <f t="shared" ref="AA6:AA69" si="15">IF((W6-V6)&lt;0,0,(W6-V6))</f>
        <v>0</v>
      </c>
    </row>
    <row r="7" spans="1:27" ht="19.149999999999999" hidden="1">
      <c r="A7" s="1">
        <v>1</v>
      </c>
      <c r="B7" s="2" t="s">
        <v>10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149999999999999" hidden="1">
      <c r="A8" s="1">
        <v>1</v>
      </c>
      <c r="B8" s="2" t="s">
        <v>11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149999999999999" hidden="1">
      <c r="A9" s="1">
        <v>1</v>
      </c>
      <c r="B9" s="2" t="s">
        <v>12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149999999999999" hidden="1">
      <c r="A10" s="1">
        <v>1</v>
      </c>
      <c r="B10" s="9" t="s">
        <v>14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149999999999999" hidden="1">
      <c r="A11" s="1">
        <v>1</v>
      </c>
      <c r="B11" s="9" t="s">
        <v>15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149999999999999" hidden="1">
      <c r="A12" s="1">
        <v>1</v>
      </c>
      <c r="B12" s="9" t="s">
        <v>64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 hidden="1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19.149999999999999" hidden="1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149999999999999" hidden="1">
      <c r="A15" s="1">
        <v>2</v>
      </c>
      <c r="B15" s="2" t="s">
        <v>9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149999999999999" hidden="1">
      <c r="A16" s="1">
        <v>2</v>
      </c>
      <c r="B16" s="2" t="s">
        <v>10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149999999999999" hidden="1">
      <c r="A17" s="1">
        <v>2</v>
      </c>
      <c r="B17" s="2" t="s">
        <v>11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149999999999999" hidden="1">
      <c r="A18" s="1">
        <v>2</v>
      </c>
      <c r="B18" s="2" t="s">
        <v>12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149999999999999" hidden="1">
      <c r="A19" s="1">
        <v>2</v>
      </c>
      <c r="B19" s="9" t="s">
        <v>15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149999999999999" hidden="1">
      <c r="A20" s="1">
        <v>2</v>
      </c>
      <c r="B20" s="9" t="s">
        <v>14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149999999999999" hidden="1">
      <c r="A21" s="1">
        <v>2</v>
      </c>
      <c r="B21" s="9" t="s">
        <v>64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149999999999999" hidden="1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19.149999999999999" hidden="1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149999999999999" hidden="1">
      <c r="A24" s="1">
        <v>3</v>
      </c>
      <c r="B24" s="2" t="s">
        <v>9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149999999999999" hidden="1">
      <c r="A25" s="1">
        <v>3</v>
      </c>
      <c r="B25" s="2" t="s">
        <v>10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149999999999999" hidden="1">
      <c r="A26" s="1">
        <v>3</v>
      </c>
      <c r="B26" s="2" t="s">
        <v>13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149999999999999" hidden="1">
      <c r="A27" s="1">
        <v>3</v>
      </c>
      <c r="B27" s="2" t="s">
        <v>11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149999999999999" hidden="1">
      <c r="A28" s="1">
        <v>3</v>
      </c>
      <c r="B28" s="2" t="s">
        <v>12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149999999999999" hidden="1">
      <c r="A29" s="1">
        <v>3</v>
      </c>
      <c r="B29" s="9" t="s">
        <v>14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149999999999999" hidden="1">
      <c r="A30" s="1">
        <v>3</v>
      </c>
      <c r="B30" s="9" t="s">
        <v>15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149999999999999" hidden="1">
      <c r="A31" s="1">
        <v>3</v>
      </c>
      <c r="B31" s="9" t="s">
        <v>64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 hidden="1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149999999999999" hidden="1">
      <c r="A33" s="1">
        <v>4</v>
      </c>
      <c r="B33" s="9" t="s">
        <v>14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149999999999999" hidden="1">
      <c r="A34" s="1">
        <v>4</v>
      </c>
      <c r="B34" s="9" t="s">
        <v>15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149999999999999" hidden="1">
      <c r="A35" s="1">
        <v>4</v>
      </c>
      <c r="B35" s="9" t="s">
        <v>12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149999999999999" hidden="1">
      <c r="A36" s="1">
        <v>4</v>
      </c>
      <c r="B36" s="9" t="s">
        <v>10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19.149999999999999" hidden="1">
      <c r="A37" s="1">
        <v>4</v>
      </c>
      <c r="B37" s="9" t="s">
        <v>16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149999999999999" hidden="1">
      <c r="A38" s="1">
        <v>4</v>
      </c>
      <c r="B38" s="9" t="s">
        <v>13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149999999999999" hidden="1">
      <c r="A39" s="1">
        <v>4</v>
      </c>
      <c r="B39" s="9" t="s">
        <v>17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149999999999999" hidden="1">
      <c r="A40" s="1">
        <v>4</v>
      </c>
      <c r="B40" s="9" t="s">
        <v>18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149999999999999" hidden="1">
      <c r="A41" s="1">
        <v>4</v>
      </c>
      <c r="B41" s="9" t="s">
        <v>19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149999999999999" hidden="1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149999999999999" hidden="1">
      <c r="A43" s="1">
        <v>5</v>
      </c>
      <c r="B43" s="9" t="s">
        <v>14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149999999999999" hidden="1">
      <c r="A44" s="1">
        <v>5</v>
      </c>
      <c r="B44" s="9" t="s">
        <v>15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149999999999999" hidden="1">
      <c r="A45" s="1">
        <v>5</v>
      </c>
      <c r="B45" s="9" t="s">
        <v>12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149999999999999" hidden="1">
      <c r="A46" s="1">
        <v>5</v>
      </c>
      <c r="B46" s="9" t="s">
        <v>10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19.149999999999999" hidden="1">
      <c r="A47" s="1">
        <v>5</v>
      </c>
      <c r="B47" s="9" t="s">
        <v>16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149999999999999" hidden="1">
      <c r="A48" s="1">
        <v>5</v>
      </c>
      <c r="B48" s="9" t="s">
        <v>13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149999999999999" hidden="1">
      <c r="A49" s="1">
        <v>5</v>
      </c>
      <c r="B49" s="9" t="s">
        <v>17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149999999999999" hidden="1">
      <c r="A50" s="1">
        <v>5</v>
      </c>
      <c r="B50" s="9" t="s">
        <v>18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149999999999999" hidden="1">
      <c r="A51" s="1">
        <v>5</v>
      </c>
      <c r="B51" s="9" t="s">
        <v>19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149999999999999" hidden="1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149999999999999" hidden="1">
      <c r="A53" s="1">
        <v>6</v>
      </c>
      <c r="B53" s="9" t="s">
        <v>14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149999999999999" hidden="1">
      <c r="A54" s="1">
        <v>6</v>
      </c>
      <c r="B54" s="9" t="s">
        <v>15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149999999999999" hidden="1">
      <c r="A55" s="1">
        <v>6</v>
      </c>
      <c r="B55" s="9" t="s">
        <v>12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149999999999999" hidden="1">
      <c r="A56" s="1">
        <v>6</v>
      </c>
      <c r="B56" s="9" t="s">
        <v>10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19.149999999999999" hidden="1">
      <c r="A57" s="1">
        <v>6</v>
      </c>
      <c r="B57" s="9" t="s">
        <v>16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149999999999999" hidden="1">
      <c r="A58" s="1">
        <v>6</v>
      </c>
      <c r="B58" s="9" t="s">
        <v>13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149999999999999" hidden="1">
      <c r="A59" s="1">
        <v>6</v>
      </c>
      <c r="B59" s="9" t="s">
        <v>17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149999999999999" hidden="1">
      <c r="A60" s="1">
        <v>6</v>
      </c>
      <c r="B60" s="9" t="s">
        <v>18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149999999999999" hidden="1">
      <c r="A61" s="1">
        <v>6</v>
      </c>
      <c r="B61" s="9" t="s">
        <v>19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149999999999999" hidden="1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 hidden="1">
      <c r="A63" s="10">
        <v>7</v>
      </c>
      <c r="B63" s="11" t="s">
        <v>14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 hidden="1">
      <c r="A64" s="10">
        <v>7</v>
      </c>
      <c r="B64" s="11" t="s">
        <v>15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 hidden="1">
      <c r="A65" s="10">
        <v>7</v>
      </c>
      <c r="B65" s="11" t="s">
        <v>12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 hidden="1">
      <c r="A66" s="10">
        <v>7</v>
      </c>
      <c r="B66" s="11" t="s">
        <v>20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 hidden="1">
      <c r="A67" s="10">
        <v>7</v>
      </c>
      <c r="B67" s="11" t="s">
        <v>16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 hidden="1">
      <c r="A68" s="10">
        <v>7</v>
      </c>
      <c r="B68" s="11" t="s">
        <v>13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 hidden="1">
      <c r="A69" s="10">
        <v>7</v>
      </c>
      <c r="B69" s="11" t="s">
        <v>17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 hidden="1">
      <c r="A70" s="10">
        <v>7</v>
      </c>
      <c r="B70" s="11" t="s">
        <v>21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 hidden="1">
      <c r="A71" s="10">
        <v>7</v>
      </c>
      <c r="B71" s="11" t="s">
        <v>19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 hidden="1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 hidden="1">
      <c r="A73" s="10">
        <v>8</v>
      </c>
      <c r="B73" s="11" t="s">
        <v>14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 hidden="1">
      <c r="A74" s="10">
        <v>8</v>
      </c>
      <c r="B74" s="11" t="s">
        <v>15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 hidden="1">
      <c r="A75" s="10">
        <v>8</v>
      </c>
      <c r="B75" s="11" t="s">
        <v>12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 hidden="1">
      <c r="A76" s="10">
        <v>8</v>
      </c>
      <c r="B76" s="11" t="s">
        <v>20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 hidden="1">
      <c r="A77" s="10">
        <v>8</v>
      </c>
      <c r="B77" s="11" t="s">
        <v>22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 hidden="1">
      <c r="A78" s="10">
        <v>8</v>
      </c>
      <c r="B78" s="11" t="s">
        <v>13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 hidden="1">
      <c r="A79" s="10">
        <v>8</v>
      </c>
      <c r="B79" s="11" t="s">
        <v>17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 hidden="1">
      <c r="A80" s="10">
        <v>8</v>
      </c>
      <c r="B80" s="11" t="s">
        <v>21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 hidden="1">
      <c r="A81" s="10">
        <v>8</v>
      </c>
      <c r="B81" s="11" t="s">
        <v>19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 hidden="1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 hidden="1">
      <c r="A83" s="10">
        <v>9</v>
      </c>
      <c r="B83" s="11" t="s">
        <v>14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 hidden="1">
      <c r="A84" s="10">
        <v>9</v>
      </c>
      <c r="B84" s="11" t="s">
        <v>15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 hidden="1">
      <c r="A85" s="10">
        <v>9</v>
      </c>
      <c r="B85" s="11" t="s">
        <v>12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 hidden="1">
      <c r="A86" s="10">
        <v>9</v>
      </c>
      <c r="B86" s="11" t="s">
        <v>20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 hidden="1">
      <c r="A87" s="10">
        <v>9</v>
      </c>
      <c r="B87" s="11" t="s">
        <v>22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 hidden="1">
      <c r="A88" s="10">
        <v>9</v>
      </c>
      <c r="B88" s="11" t="s">
        <v>13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 hidden="1">
      <c r="A89" s="10">
        <v>9</v>
      </c>
      <c r="B89" s="11" t="s">
        <v>17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 hidden="1">
      <c r="A90" s="10">
        <v>9</v>
      </c>
      <c r="B90" s="11" t="s">
        <v>21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 hidden="1">
      <c r="A91" s="10">
        <v>9</v>
      </c>
      <c r="B91" s="11" t="s">
        <v>19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 hidden="1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 hidden="1">
      <c r="A93" s="10">
        <v>10</v>
      </c>
      <c r="B93" s="11" t="s">
        <v>14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 hidden="1">
      <c r="A94" s="10">
        <v>10</v>
      </c>
      <c r="B94" s="11" t="s">
        <v>15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 hidden="1">
      <c r="A95" s="10">
        <v>10</v>
      </c>
      <c r="B95" s="11" t="s">
        <v>12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 hidden="1">
      <c r="A96" s="10">
        <v>10</v>
      </c>
      <c r="B96" s="11" t="s">
        <v>20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 hidden="1">
      <c r="A97" s="10">
        <v>10</v>
      </c>
      <c r="B97" s="11" t="s">
        <v>22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 hidden="1">
      <c r="A98" s="10">
        <v>10</v>
      </c>
      <c r="B98" s="11" t="s">
        <v>13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 hidden="1">
      <c r="A99" s="10">
        <v>10</v>
      </c>
      <c r="B99" s="11" t="s">
        <v>17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 hidden="1">
      <c r="A100" s="10">
        <v>10</v>
      </c>
      <c r="B100" s="11" t="s">
        <v>21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 hidden="1">
      <c r="A101" s="10">
        <v>10</v>
      </c>
      <c r="B101" s="11" t="s">
        <v>19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 hidden="1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25">
      <c r="A103" s="1" t="s">
        <v>23</v>
      </c>
      <c r="B103" s="9" t="s">
        <v>24</v>
      </c>
      <c r="C103" s="1">
        <v>494</v>
      </c>
      <c r="D103" s="5">
        <f>Table1[[#This Row],[Enrolment S.Y. 2025-2026 ]]*8</f>
        <v>3952</v>
      </c>
      <c r="E103" s="5"/>
      <c r="F103" s="1">
        <v>2024</v>
      </c>
      <c r="G103" s="5"/>
      <c r="H103" s="5">
        <f t="shared" si="22"/>
        <v>3952</v>
      </c>
      <c r="I103" s="5">
        <f t="shared" si="23"/>
        <v>0</v>
      </c>
      <c r="J103" s="5">
        <f>Table1[[#This Row],[Enrolment S.Y. 2025-2026 ]]*8</f>
        <v>3952</v>
      </c>
      <c r="K103" s="5"/>
      <c r="L103" s="1"/>
      <c r="M103" s="5"/>
      <c r="N103" s="5">
        <f t="shared" si="16"/>
        <v>3952</v>
      </c>
      <c r="O103" s="5">
        <f t="shared" si="17"/>
        <v>0</v>
      </c>
      <c r="P103" s="5">
        <f>Table1[[#This Row],[Enrolment S.Y. 2025-2026 ]]*8</f>
        <v>3952</v>
      </c>
      <c r="Q103" s="5"/>
      <c r="R103" s="1"/>
      <c r="S103" s="5"/>
      <c r="T103" s="5">
        <f t="shared" si="18"/>
        <v>3952</v>
      </c>
      <c r="U103" s="5">
        <f t="shared" si="19"/>
        <v>0</v>
      </c>
      <c r="V103" s="5">
        <f>Table1[[#This Row],[Enrolment S.Y. 2025-2026 ]]*8</f>
        <v>3952</v>
      </c>
      <c r="W103" s="5"/>
      <c r="X103" s="1"/>
      <c r="Y103" s="5"/>
      <c r="Z103" s="5">
        <f t="shared" si="20"/>
        <v>3952</v>
      </c>
      <c r="AA103" s="5">
        <f t="shared" si="21"/>
        <v>0</v>
      </c>
    </row>
    <row r="104" spans="1:27" ht="19.5">
      <c r="A104" s="1" t="s">
        <v>23</v>
      </c>
      <c r="B104" s="9" t="s">
        <v>26</v>
      </c>
      <c r="C104" s="1">
        <v>494</v>
      </c>
      <c r="D104" s="5">
        <f>Table1[[#This Row],[Enrolment S.Y. 2025-2026 ]]*8</f>
        <v>3952</v>
      </c>
      <c r="E104" s="5"/>
      <c r="F104" s="1">
        <v>2024</v>
      </c>
      <c r="G104" s="5"/>
      <c r="H104" s="5">
        <f t="shared" si="22"/>
        <v>3952</v>
      </c>
      <c r="I104" s="5">
        <f t="shared" si="23"/>
        <v>0</v>
      </c>
      <c r="J104" s="5">
        <f>Table1[[#This Row],[Enrolment S.Y. 2025-2026 ]]*8</f>
        <v>3952</v>
      </c>
      <c r="K104" s="5"/>
      <c r="L104" s="1"/>
      <c r="M104" s="5"/>
      <c r="N104" s="5">
        <f t="shared" si="16"/>
        <v>3952</v>
      </c>
      <c r="O104" s="5">
        <f t="shared" si="17"/>
        <v>0</v>
      </c>
      <c r="P104" s="5">
        <f>Table1[[#This Row],[Enrolment S.Y. 2025-2026 ]]*8</f>
        <v>3952</v>
      </c>
      <c r="Q104" s="5"/>
      <c r="R104" s="1"/>
      <c r="S104" s="5"/>
      <c r="T104" s="5">
        <f t="shared" si="18"/>
        <v>3952</v>
      </c>
      <c r="U104" s="5">
        <f t="shared" si="19"/>
        <v>0</v>
      </c>
      <c r="V104" s="5">
        <f>Table1[[#This Row],[Enrolment S.Y. 2025-2026 ]]*8</f>
        <v>3952</v>
      </c>
      <c r="W104" s="5"/>
      <c r="X104" s="1"/>
      <c r="Y104" s="5"/>
      <c r="Z104" s="5">
        <f t="shared" si="20"/>
        <v>3952</v>
      </c>
      <c r="AA104" s="5">
        <f t="shared" si="21"/>
        <v>0</v>
      </c>
    </row>
    <row r="105" spans="1:27" ht="19.5">
      <c r="A105" s="1" t="s">
        <v>23</v>
      </c>
      <c r="B105" s="9" t="s">
        <v>27</v>
      </c>
      <c r="C105" s="1">
        <v>494</v>
      </c>
      <c r="D105" s="5">
        <f>Table1[[#This Row],[Enrolment S.Y. 2025-2026 ]]*8</f>
        <v>3952</v>
      </c>
      <c r="E105" s="5"/>
      <c r="F105" s="1">
        <v>2025</v>
      </c>
      <c r="G105" s="5"/>
      <c r="H105" s="5">
        <f t="shared" si="22"/>
        <v>3952</v>
      </c>
      <c r="I105" s="5">
        <f t="shared" si="23"/>
        <v>0</v>
      </c>
      <c r="J105" s="5">
        <f>Table1[[#This Row],[Enrolment S.Y. 2025-2026 ]]*8</f>
        <v>3952</v>
      </c>
      <c r="K105" s="5"/>
      <c r="L105" s="1"/>
      <c r="M105" s="5"/>
      <c r="N105" s="5">
        <f t="shared" si="16"/>
        <v>3952</v>
      </c>
      <c r="O105" s="5">
        <f t="shared" si="17"/>
        <v>0</v>
      </c>
      <c r="P105" s="5">
        <f>Table1[[#This Row],[Enrolment S.Y. 2025-2026 ]]*8</f>
        <v>3952</v>
      </c>
      <c r="Q105" s="5"/>
      <c r="R105" s="1"/>
      <c r="S105" s="5"/>
      <c r="T105" s="5">
        <f t="shared" si="18"/>
        <v>3952</v>
      </c>
      <c r="U105" s="5">
        <f t="shared" si="19"/>
        <v>0</v>
      </c>
      <c r="V105" s="5">
        <f>Table1[[#This Row],[Enrolment S.Y. 2025-2026 ]]*8</f>
        <v>3952</v>
      </c>
      <c r="W105" s="5"/>
      <c r="X105" s="1"/>
      <c r="Y105" s="5"/>
      <c r="Z105" s="5">
        <f t="shared" si="20"/>
        <v>3952</v>
      </c>
      <c r="AA105" s="5">
        <f t="shared" si="21"/>
        <v>0</v>
      </c>
    </row>
    <row r="106" spans="1:27" ht="19.5">
      <c r="A106" s="1" t="s">
        <v>23</v>
      </c>
      <c r="B106" s="9" t="s">
        <v>28</v>
      </c>
      <c r="C106" s="1">
        <v>494</v>
      </c>
      <c r="D106" s="5">
        <f>Table1[[#This Row],[Enrolment S.Y. 2025-2026 ]]*8</f>
        <v>3952</v>
      </c>
      <c r="E106" s="5"/>
      <c r="F106" s="1">
        <v>2025</v>
      </c>
      <c r="G106" s="5"/>
      <c r="H106" s="5">
        <f t="shared" si="22"/>
        <v>3952</v>
      </c>
      <c r="I106" s="5">
        <f t="shared" si="23"/>
        <v>0</v>
      </c>
      <c r="J106" s="5">
        <f>Table1[[#This Row],[Enrolment S.Y. 2025-2026 ]]*8</f>
        <v>3952</v>
      </c>
      <c r="K106" s="5"/>
      <c r="L106" s="1"/>
      <c r="M106" s="5"/>
      <c r="N106" s="5">
        <f t="shared" si="16"/>
        <v>3952</v>
      </c>
      <c r="O106" s="5">
        <f t="shared" si="17"/>
        <v>0</v>
      </c>
      <c r="P106" s="5">
        <f>Table1[[#This Row],[Enrolment S.Y. 2025-2026 ]]*8</f>
        <v>3952</v>
      </c>
      <c r="Q106" s="5"/>
      <c r="R106" s="1"/>
      <c r="S106" s="5"/>
      <c r="T106" s="5">
        <f t="shared" si="18"/>
        <v>3952</v>
      </c>
      <c r="U106" s="5">
        <f t="shared" si="19"/>
        <v>0</v>
      </c>
      <c r="V106" s="5">
        <f>Table1[[#This Row],[Enrolment S.Y. 2025-2026 ]]*8</f>
        <v>3952</v>
      </c>
      <c r="W106" s="5"/>
      <c r="X106" s="1"/>
      <c r="Y106" s="5"/>
      <c r="Z106" s="5">
        <f t="shared" si="20"/>
        <v>3952</v>
      </c>
      <c r="AA106" s="5">
        <f t="shared" si="21"/>
        <v>0</v>
      </c>
    </row>
    <row r="107" spans="1:27" ht="38.25">
      <c r="A107" s="1" t="s">
        <v>23</v>
      </c>
      <c r="B107" s="9" t="s">
        <v>29</v>
      </c>
      <c r="C107" s="1">
        <v>494</v>
      </c>
      <c r="D107" s="5">
        <f>Table1[[#This Row],[Enrolment S.Y. 2025-2026 ]]*8</f>
        <v>3952</v>
      </c>
      <c r="E107" s="5"/>
      <c r="F107" s="1">
        <v>2025</v>
      </c>
      <c r="G107" s="5"/>
      <c r="H107" s="5">
        <f t="shared" si="22"/>
        <v>3952</v>
      </c>
      <c r="I107" s="5">
        <f t="shared" si="23"/>
        <v>0</v>
      </c>
      <c r="J107" s="5">
        <f>Table1[[#This Row],[Enrolment S.Y. 2025-2026 ]]*8</f>
        <v>3952</v>
      </c>
      <c r="K107" s="5"/>
      <c r="L107" s="1"/>
      <c r="M107" s="5"/>
      <c r="N107" s="5">
        <f t="shared" si="16"/>
        <v>3952</v>
      </c>
      <c r="O107" s="5">
        <f t="shared" si="17"/>
        <v>0</v>
      </c>
      <c r="P107" s="5">
        <f>Table1[[#This Row],[Enrolment S.Y. 2025-2026 ]]*8</f>
        <v>3952</v>
      </c>
      <c r="Q107" s="5"/>
      <c r="R107" s="1"/>
      <c r="S107" s="5"/>
      <c r="T107" s="5">
        <f t="shared" si="18"/>
        <v>3952</v>
      </c>
      <c r="U107" s="5">
        <f t="shared" si="19"/>
        <v>0</v>
      </c>
      <c r="V107" s="5">
        <f>Table1[[#This Row],[Enrolment S.Y. 2025-2026 ]]*8</f>
        <v>3952</v>
      </c>
      <c r="W107" s="5"/>
      <c r="X107" s="1"/>
      <c r="Y107" s="5"/>
      <c r="Z107" s="5">
        <f t="shared" si="20"/>
        <v>3952</v>
      </c>
      <c r="AA107" s="5">
        <f t="shared" si="21"/>
        <v>0</v>
      </c>
    </row>
    <row r="108" spans="1:27" ht="38.25">
      <c r="A108" s="1" t="s">
        <v>23</v>
      </c>
      <c r="B108" s="9" t="s">
        <v>30</v>
      </c>
      <c r="C108" s="1">
        <v>494</v>
      </c>
      <c r="D108" s="5">
        <f>Table1[[#This Row],[Enrolment S.Y. 2025-2026 ]]*8</f>
        <v>3952</v>
      </c>
      <c r="E108" s="5"/>
      <c r="F108" s="1">
        <v>2025</v>
      </c>
      <c r="G108" s="5"/>
      <c r="H108" s="5">
        <f t="shared" si="22"/>
        <v>3952</v>
      </c>
      <c r="I108" s="5">
        <f t="shared" si="23"/>
        <v>0</v>
      </c>
      <c r="J108" s="5">
        <f>Table1[[#This Row],[Enrolment S.Y. 2025-2026 ]]*8</f>
        <v>3952</v>
      </c>
      <c r="K108" s="5"/>
      <c r="L108" s="1"/>
      <c r="M108" s="5"/>
      <c r="N108" s="5">
        <f t="shared" si="16"/>
        <v>3952</v>
      </c>
      <c r="O108" s="5">
        <f t="shared" si="17"/>
        <v>0</v>
      </c>
      <c r="P108" s="5">
        <f>Table1[[#This Row],[Enrolment S.Y. 2025-2026 ]]*8</f>
        <v>3952</v>
      </c>
      <c r="Q108" s="5"/>
      <c r="R108" s="1"/>
      <c r="S108" s="5"/>
      <c r="T108" s="5">
        <f t="shared" si="18"/>
        <v>3952</v>
      </c>
      <c r="U108" s="5">
        <f t="shared" si="19"/>
        <v>0</v>
      </c>
      <c r="V108" s="5">
        <f>Table1[[#This Row],[Enrolment S.Y. 2025-2026 ]]*8</f>
        <v>3952</v>
      </c>
      <c r="W108" s="5"/>
      <c r="X108" s="1"/>
      <c r="Y108" s="5"/>
      <c r="Z108" s="5">
        <f t="shared" si="20"/>
        <v>3952</v>
      </c>
      <c r="AA108" s="5">
        <f t="shared" si="21"/>
        <v>0</v>
      </c>
    </row>
    <row r="109" spans="1:27" ht="57.75">
      <c r="A109" s="1" t="s">
        <v>23</v>
      </c>
      <c r="B109" s="9" t="s">
        <v>31</v>
      </c>
      <c r="C109" s="1">
        <v>494</v>
      </c>
      <c r="D109" s="5">
        <f>Table1[[#This Row],[Enrolment S.Y. 2025-2026 ]]*8</f>
        <v>3952</v>
      </c>
      <c r="E109" s="5"/>
      <c r="F109" s="1"/>
      <c r="G109" s="5"/>
      <c r="H109" s="5">
        <f t="shared" si="22"/>
        <v>3952</v>
      </c>
      <c r="I109" s="5">
        <f t="shared" si="23"/>
        <v>0</v>
      </c>
      <c r="J109" s="5">
        <f>Table1[[#This Row],[Enrolment S.Y. 2025-2026 ]]*8</f>
        <v>3952</v>
      </c>
      <c r="K109" s="5"/>
      <c r="L109" s="1"/>
      <c r="M109" s="5"/>
      <c r="N109" s="5">
        <f t="shared" si="16"/>
        <v>3952</v>
      </c>
      <c r="O109" s="5">
        <f t="shared" si="17"/>
        <v>0</v>
      </c>
      <c r="P109" s="5">
        <f>Table1[[#This Row],[Enrolment S.Y. 2025-2026 ]]*8</f>
        <v>3952</v>
      </c>
      <c r="Q109" s="5"/>
      <c r="R109" s="1"/>
      <c r="S109" s="5"/>
      <c r="T109" s="5">
        <f t="shared" si="18"/>
        <v>3952</v>
      </c>
      <c r="U109" s="5">
        <f t="shared" si="19"/>
        <v>0</v>
      </c>
      <c r="V109" s="5">
        <f>Table1[[#This Row],[Enrolment S.Y. 2025-2026 ]]*8</f>
        <v>3952</v>
      </c>
      <c r="W109" s="5"/>
      <c r="X109" s="1"/>
      <c r="Y109" s="5"/>
      <c r="Z109" s="5">
        <f t="shared" si="20"/>
        <v>3952</v>
      </c>
      <c r="AA109" s="5">
        <f t="shared" si="21"/>
        <v>0</v>
      </c>
    </row>
    <row r="110" spans="1:27" ht="38.25">
      <c r="A110" s="1" t="s">
        <v>23</v>
      </c>
      <c r="B110" s="9" t="s">
        <v>32</v>
      </c>
      <c r="C110" s="1">
        <v>494</v>
      </c>
      <c r="D110" s="5">
        <f>Table1[[#This Row],[Enrolment S.Y. 2025-2026 ]]*8</f>
        <v>3952</v>
      </c>
      <c r="E110" s="5"/>
      <c r="F110" s="1"/>
      <c r="G110" s="5"/>
      <c r="H110" s="5">
        <f t="shared" si="22"/>
        <v>3952</v>
      </c>
      <c r="I110" s="5">
        <f t="shared" si="23"/>
        <v>0</v>
      </c>
      <c r="J110" s="5">
        <f>Table1[[#This Row],[Enrolment S.Y. 2025-2026 ]]*8</f>
        <v>3952</v>
      </c>
      <c r="K110" s="5"/>
      <c r="L110" s="1"/>
      <c r="M110" s="5"/>
      <c r="N110" s="5">
        <f t="shared" si="16"/>
        <v>3952</v>
      </c>
      <c r="O110" s="5">
        <f t="shared" si="17"/>
        <v>0</v>
      </c>
      <c r="P110" s="5">
        <f>Table1[[#This Row],[Enrolment S.Y. 2025-2026 ]]*8</f>
        <v>3952</v>
      </c>
      <c r="Q110" s="5"/>
      <c r="R110" s="1"/>
      <c r="S110" s="5"/>
      <c r="T110" s="5">
        <f t="shared" si="18"/>
        <v>3952</v>
      </c>
      <c r="U110" s="5">
        <f t="shared" si="19"/>
        <v>0</v>
      </c>
      <c r="V110" s="5">
        <f>Table1[[#This Row],[Enrolment S.Y. 2025-2026 ]]*8</f>
        <v>3952</v>
      </c>
      <c r="W110" s="5"/>
      <c r="X110" s="1"/>
      <c r="Y110" s="5"/>
      <c r="Z110" s="5">
        <f t="shared" si="20"/>
        <v>3952</v>
      </c>
      <c r="AA110" s="5">
        <f t="shared" si="21"/>
        <v>0</v>
      </c>
    </row>
    <row r="111" spans="1:27" s="7" customFormat="1" ht="19.149999999999999" hidden="1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 hidden="1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 hidden="1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 hidden="1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 hidden="1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 hidden="1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 hidden="1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 hidden="1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 hidden="1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 hidden="1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 hidden="1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 hidden="1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 hidden="1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 hidden="1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 hidden="1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 hidden="1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 hidden="1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  <row r="128" spans="1:27">
      <c r="J128" t="e">
        <f>#REF!*8</f>
        <v>#REF!</v>
      </c>
    </row>
    <row r="129" spans="10:10">
      <c r="J129" t="e">
        <f>#REF!*8</f>
        <v>#REF!</v>
      </c>
    </row>
    <row r="130" spans="10:10">
      <c r="J130" t="e">
        <f>#REF!*8</f>
        <v>#REF!</v>
      </c>
    </row>
    <row r="131" spans="10:10">
      <c r="J131" t="e">
        <f>#REF!*8</f>
        <v>#REF!</v>
      </c>
    </row>
    <row r="132" spans="10:10">
      <c r="J132" t="e">
        <f>#REF!*8</f>
        <v>#REF!</v>
      </c>
    </row>
    <row r="133" spans="10:10">
      <c r="J133" t="e">
        <f>#REF!*8</f>
        <v>#REF!</v>
      </c>
    </row>
    <row r="134" spans="10:10">
      <c r="J134" t="e">
        <f>#REF!*8</f>
        <v>#REF!</v>
      </c>
    </row>
    <row r="135" spans="10:10">
      <c r="J135" t="e">
        <f>#REF!*8</f>
        <v>#REF!</v>
      </c>
    </row>
    <row r="136" spans="10:10">
      <c r="J136" t="e">
        <f>#REF!*8</f>
        <v>#REF!</v>
      </c>
    </row>
    <row r="137" spans="10:10">
      <c r="J137" t="e">
        <f>#REF!*8</f>
        <v>#REF!</v>
      </c>
    </row>
    <row r="138" spans="10:10">
      <c r="J138" t="e">
        <f>#REF!*8</f>
        <v>#REF!</v>
      </c>
    </row>
    <row r="139" spans="10:10">
      <c r="J139" t="e">
        <f>#REF!*8</f>
        <v>#REF!</v>
      </c>
    </row>
    <row r="140" spans="10:10">
      <c r="J140" t="e">
        <f>#REF!*8</f>
        <v>#REF!</v>
      </c>
    </row>
    <row r="141" spans="10:10">
      <c r="J141" t="e">
        <f>#REF!*8</f>
        <v>#REF!</v>
      </c>
    </row>
    <row r="142" spans="10:10">
      <c r="J142" t="e">
        <f>#REF!*8</f>
        <v>#REF!</v>
      </c>
    </row>
    <row r="143" spans="10:10">
      <c r="J143" t="e">
        <f>#REF!*8</f>
        <v>#REF!</v>
      </c>
    </row>
    <row r="144" spans="10:10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</sheetData>
  <protectedRanges>
    <protectedRange sqref="C2:C3 C14:C21 C23:C31 C33:C41 C43:C51 C53:C61 C63:C71 C73:C81 C83:C91 C93:C101 C103:C110 C112:C127 C5:C12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23:X31 X33:X41 X43:X51 X63:X71 X73:X81 X53:X61 L112:L127 X83:X91 X93:X101 X14:X21 X5:X12 L23:L31 L33:L41 L43:L51 L63:L71 L73:L81 L53:L61 R112:R127 L83:L91 L93:L101 L14:L21 L5:L12 R23:R31 R33:R41 R43:R51 R63:R71 R73:R81 R53:R61 F112:F127 R83:R91 R93:R101 R14:R21 R5:R12 F23:F31 F33:F41 F43:F51 F63:F71 F73:F81 F53:F61 F5:F12 F83:F91 F93:F101 F14:F21 F103:F110 R103:R110 L103:L110 X103:X110 X112:X127" xr:uid="{4ECCD083-8EC4-42EE-B46C-B614411F330D}">
      <formula1>"2024,2025"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70"/>
  <sheetViews>
    <sheetView tabSelected="1" zoomScale="55" zoomScaleNormal="55" workbookViewId="0">
      <selection activeCell="F119" sqref="F119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2" t="s">
        <v>35</v>
      </c>
      <c r="E1" s="42"/>
      <c r="F1" s="42"/>
      <c r="G1" s="42"/>
      <c r="H1" s="42"/>
      <c r="I1" s="42"/>
      <c r="J1" s="43" t="s">
        <v>36</v>
      </c>
      <c r="K1" s="43"/>
      <c r="L1" s="43"/>
      <c r="M1" s="43"/>
      <c r="N1" s="43"/>
      <c r="O1" s="43"/>
      <c r="P1" s="44" t="s">
        <v>37</v>
      </c>
      <c r="Q1" s="44"/>
      <c r="R1" s="44"/>
      <c r="S1" s="44"/>
      <c r="T1" s="44"/>
      <c r="U1" s="44"/>
      <c r="V1" s="45" t="s">
        <v>38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65</v>
      </c>
      <c r="E2" s="20" t="s">
        <v>66</v>
      </c>
      <c r="F2" s="21" t="s">
        <v>67</v>
      </c>
      <c r="G2" s="24" t="s">
        <v>68</v>
      </c>
      <c r="H2" s="17" t="s">
        <v>69</v>
      </c>
      <c r="I2" s="24" t="s">
        <v>70</v>
      </c>
      <c r="J2" s="22" t="s">
        <v>71</v>
      </c>
      <c r="K2" s="22" t="s">
        <v>72</v>
      </c>
      <c r="L2" s="23" t="s">
        <v>73</v>
      </c>
      <c r="M2" s="40" t="s">
        <v>74</v>
      </c>
      <c r="N2" s="40" t="s">
        <v>75</v>
      </c>
      <c r="O2" s="22" t="s">
        <v>76</v>
      </c>
      <c r="P2" s="24" t="s">
        <v>77</v>
      </c>
      <c r="Q2" s="24" t="s">
        <v>78</v>
      </c>
      <c r="R2" s="25" t="s">
        <v>79</v>
      </c>
      <c r="S2" s="17" t="s">
        <v>80</v>
      </c>
      <c r="T2" s="17" t="s">
        <v>81</v>
      </c>
      <c r="U2" s="24" t="s">
        <v>82</v>
      </c>
      <c r="V2" s="26" t="s">
        <v>83</v>
      </c>
      <c r="W2" s="26" t="s">
        <v>84</v>
      </c>
      <c r="X2" s="27" t="s">
        <v>85</v>
      </c>
      <c r="Y2" s="41" t="s">
        <v>86</v>
      </c>
      <c r="Z2" s="41" t="s">
        <v>87</v>
      </c>
      <c r="AA2" s="26" t="s">
        <v>88</v>
      </c>
    </row>
    <row r="3" spans="1:27" ht="19.149999999999999" hidden="1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2" si="2">IF((J3-K3)&lt;0,0,(J3-K3))</f>
        <v>0</v>
      </c>
      <c r="O3" s="5">
        <f t="shared" ref="O3:O72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19.149999999999999" hidden="1">
      <c r="A4" s="1">
        <v>1</v>
      </c>
      <c r="B4" s="2" t="s">
        <v>9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149999999999999" hidden="1">
      <c r="A5" s="1">
        <v>1</v>
      </c>
      <c r="B5" s="2" t="s">
        <v>10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149999999999999" hidden="1">
      <c r="A6" s="1">
        <v>1</v>
      </c>
      <c r="B6" s="2" t="s">
        <v>11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149999999999999" hidden="1">
      <c r="A7" s="1">
        <v>1</v>
      </c>
      <c r="B7" s="2" t="s">
        <v>12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149999999999999" hidden="1">
      <c r="A8" s="1">
        <v>1</v>
      </c>
      <c r="B8" s="9" t="s">
        <v>14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149999999999999" hidden="1">
      <c r="A9" s="1">
        <v>1</v>
      </c>
      <c r="B9" s="9" t="s">
        <v>15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149999999999999" hidden="1">
      <c r="A10" s="1">
        <v>1</v>
      </c>
      <c r="B10" s="9" t="s">
        <v>64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 hidden="1"/>
    <row r="12" spans="1:27" ht="19.149999999999999" hidden="1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149999999999999" hidden="1">
      <c r="A13" s="1">
        <v>2</v>
      </c>
      <c r="B13" s="2" t="s">
        <v>9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149999999999999" hidden="1">
      <c r="A14" s="1">
        <v>2</v>
      </c>
      <c r="B14" s="2" t="s">
        <v>10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149999999999999" hidden="1">
      <c r="A15" s="1">
        <v>2</v>
      </c>
      <c r="B15" s="2" t="s">
        <v>11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149999999999999" hidden="1">
      <c r="A16" s="1">
        <v>2</v>
      </c>
      <c r="B16" s="2" t="s">
        <v>12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149999999999999" hidden="1">
      <c r="A17" s="1">
        <v>2</v>
      </c>
      <c r="B17" s="9" t="s">
        <v>15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149999999999999" hidden="1">
      <c r="A18" s="1">
        <v>2</v>
      </c>
      <c r="B18" s="9" t="s">
        <v>14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149999999999999" hidden="1">
      <c r="A19" s="1">
        <v>2</v>
      </c>
      <c r="B19" s="9" t="s">
        <v>64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 hidden="1"/>
    <row r="21" spans="1:27" ht="19.149999999999999" hidden="1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149999999999999" hidden="1">
      <c r="A22" s="1">
        <v>3</v>
      </c>
      <c r="B22" s="2" t="s">
        <v>9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149999999999999" hidden="1">
      <c r="A23" s="1">
        <v>3</v>
      </c>
      <c r="B23" s="2" t="s">
        <v>10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149999999999999" hidden="1">
      <c r="A24" s="1">
        <v>3</v>
      </c>
      <c r="B24" s="2" t="s">
        <v>13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149999999999999" hidden="1">
      <c r="A25" s="1">
        <v>3</v>
      </c>
      <c r="B25" s="2" t="s">
        <v>11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149999999999999" hidden="1">
      <c r="A26" s="1">
        <v>3</v>
      </c>
      <c r="B26" s="2" t="s">
        <v>12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149999999999999" hidden="1">
      <c r="A27" s="1">
        <v>3</v>
      </c>
      <c r="B27" s="9" t="s">
        <v>14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149999999999999" hidden="1">
      <c r="A28" s="1">
        <v>3</v>
      </c>
      <c r="B28" s="9" t="s">
        <v>15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149999999999999" hidden="1">
      <c r="A29" s="1">
        <v>3</v>
      </c>
      <c r="B29" s="9" t="s">
        <v>64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 hidden="1"/>
    <row r="31" spans="1:27" ht="19.149999999999999" hidden="1">
      <c r="A31" s="1">
        <v>4</v>
      </c>
      <c r="B31" s="9" t="s">
        <v>14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149999999999999" hidden="1">
      <c r="A32" s="1">
        <v>4</v>
      </c>
      <c r="B32" s="9" t="s">
        <v>15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149999999999999" hidden="1">
      <c r="A33" s="1">
        <v>4</v>
      </c>
      <c r="B33" s="9" t="s">
        <v>12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149999999999999" hidden="1">
      <c r="A34" s="1">
        <v>4</v>
      </c>
      <c r="B34" s="9" t="s">
        <v>10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19.149999999999999" hidden="1">
      <c r="A35" s="1">
        <v>4</v>
      </c>
      <c r="B35" s="9" t="s">
        <v>16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149999999999999" hidden="1">
      <c r="A36" s="1">
        <v>4</v>
      </c>
      <c r="B36" s="9" t="s">
        <v>13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149999999999999" hidden="1">
      <c r="A37" s="37">
        <v>4</v>
      </c>
      <c r="B37" s="9" t="s">
        <v>89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149999999999999" hidden="1">
      <c r="A38" s="1">
        <v>4</v>
      </c>
      <c r="B38" s="9" t="s">
        <v>90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149999999999999" hidden="1">
      <c r="A39" s="1">
        <v>4</v>
      </c>
      <c r="B39" s="9" t="s">
        <v>18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 hidden="1">
      <c r="A40" s="37">
        <v>4</v>
      </c>
      <c r="B40" s="9" t="s">
        <v>91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149999999999999" hidden="1">
      <c r="A41" s="1">
        <v>4</v>
      </c>
      <c r="B41" s="9" t="s">
        <v>92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 hidden="1"/>
    <row r="43" spans="1:27" ht="19.149999999999999" hidden="1">
      <c r="A43" s="1">
        <v>5</v>
      </c>
      <c r="B43" s="9" t="s">
        <v>14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149999999999999" hidden="1">
      <c r="A44" s="1">
        <v>5</v>
      </c>
      <c r="B44" s="9" t="s">
        <v>15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149999999999999" hidden="1">
      <c r="A45" s="1">
        <v>5</v>
      </c>
      <c r="B45" s="9" t="s">
        <v>12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149999999999999" hidden="1">
      <c r="A46" s="1">
        <v>5</v>
      </c>
      <c r="B46" s="9" t="s">
        <v>10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19.149999999999999" hidden="1">
      <c r="A47" s="1">
        <v>5</v>
      </c>
      <c r="B47" s="9" t="s">
        <v>16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149999999999999" hidden="1">
      <c r="A48" s="1">
        <v>5</v>
      </c>
      <c r="B48" s="9" t="s">
        <v>13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149999999999999" hidden="1">
      <c r="A49" s="37">
        <v>5</v>
      </c>
      <c r="B49" s="9" t="s">
        <v>89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149999999999999" hidden="1">
      <c r="A50" s="1">
        <v>5</v>
      </c>
      <c r="B50" s="9" t="s">
        <v>90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149999999999999" hidden="1">
      <c r="A51" s="1">
        <v>5</v>
      </c>
      <c r="B51" s="9" t="s">
        <v>18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149999999999999" hidden="1">
      <c r="A52" s="37">
        <v>5</v>
      </c>
      <c r="B52" s="9" t="s">
        <v>91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149999999999999" hidden="1">
      <c r="A53" s="1">
        <v>5</v>
      </c>
      <c r="B53" s="9" t="s">
        <v>92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 hidden="1"/>
    <row r="55" spans="1:27" ht="19.149999999999999" hidden="1">
      <c r="A55" s="1">
        <v>6</v>
      </c>
      <c r="B55" s="9" t="s">
        <v>14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149999999999999" hidden="1">
      <c r="A56" s="1">
        <v>6</v>
      </c>
      <c r="B56" s="9" t="s">
        <v>15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149999999999999" hidden="1">
      <c r="A57" s="1">
        <v>6</v>
      </c>
      <c r="B57" s="9" t="s">
        <v>12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149999999999999" hidden="1">
      <c r="A58" s="1">
        <v>6</v>
      </c>
      <c r="B58" s="9" t="s">
        <v>10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19.149999999999999" hidden="1">
      <c r="A59" s="1">
        <v>6</v>
      </c>
      <c r="B59" s="9" t="s">
        <v>16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149999999999999" hidden="1">
      <c r="A60" s="1">
        <v>6</v>
      </c>
      <c r="B60" s="9" t="s">
        <v>13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149999999999999" hidden="1">
      <c r="A61" s="37">
        <v>6</v>
      </c>
      <c r="B61" s="9" t="s">
        <v>89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149999999999999" hidden="1">
      <c r="A62" s="1">
        <v>6</v>
      </c>
      <c r="B62" s="9" t="s">
        <v>90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149999999999999" hidden="1">
      <c r="A63" s="1">
        <v>6</v>
      </c>
      <c r="B63" s="9" t="s">
        <v>18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149999999999999" hidden="1">
      <c r="A64" s="37">
        <v>6</v>
      </c>
      <c r="B64" s="9" t="s">
        <v>91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149999999999999" hidden="1">
      <c r="A65" s="1">
        <v>6</v>
      </c>
      <c r="B65" s="9" t="s">
        <v>92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 hidden="1"/>
    <row r="67" spans="1:27" ht="19.149999999999999" hidden="1">
      <c r="A67" s="10">
        <v>7</v>
      </c>
      <c r="B67" s="11" t="s">
        <v>14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 hidden="1">
      <c r="A68" s="10">
        <v>7</v>
      </c>
      <c r="B68" s="11" t="s">
        <v>15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 hidden="1">
      <c r="A69" s="10">
        <v>7</v>
      </c>
      <c r="B69" s="11" t="s">
        <v>12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 hidden="1">
      <c r="A70" s="10">
        <v>7</v>
      </c>
      <c r="B70" s="11" t="s">
        <v>20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 hidden="1">
      <c r="A71" s="10">
        <v>7</v>
      </c>
      <c r="B71" s="11" t="s">
        <v>16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 hidden="1">
      <c r="A72" s="10">
        <v>7</v>
      </c>
      <c r="B72" s="11" t="s">
        <v>13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 hidden="1">
      <c r="A73" s="38">
        <v>7</v>
      </c>
      <c r="B73" s="11" t="s">
        <v>89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 hidden="1">
      <c r="A74" s="10">
        <v>7</v>
      </c>
      <c r="B74" s="11" t="s">
        <v>90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 hidden="1">
      <c r="A75" s="10">
        <v>7</v>
      </c>
      <c r="B75" s="11" t="s">
        <v>21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 hidden="1">
      <c r="A76" s="38">
        <v>7</v>
      </c>
      <c r="B76" s="11" t="s">
        <v>91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 hidden="1">
      <c r="A77" s="10">
        <v>7</v>
      </c>
      <c r="B77" s="11" t="s">
        <v>92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 hidden="1"/>
    <row r="79" spans="1:27" ht="19.149999999999999" hidden="1">
      <c r="A79" s="10">
        <v>8</v>
      </c>
      <c r="B79" s="11" t="s">
        <v>14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 hidden="1">
      <c r="A80" s="10">
        <v>8</v>
      </c>
      <c r="B80" s="11" t="s">
        <v>15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 hidden="1">
      <c r="A81" s="10">
        <v>8</v>
      </c>
      <c r="B81" s="11" t="s">
        <v>12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 hidden="1">
      <c r="A82" s="10">
        <v>8</v>
      </c>
      <c r="B82" s="11" t="s">
        <v>20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 hidden="1">
      <c r="A83" s="10">
        <v>8</v>
      </c>
      <c r="B83" s="11" t="s">
        <v>22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 hidden="1">
      <c r="A84" s="10">
        <v>8</v>
      </c>
      <c r="B84" s="11" t="s">
        <v>13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 hidden="1">
      <c r="A85" s="38">
        <v>8</v>
      </c>
      <c r="B85" s="11" t="s">
        <v>89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 hidden="1">
      <c r="A86" s="10">
        <v>8</v>
      </c>
      <c r="B86" s="11" t="s">
        <v>90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 hidden="1">
      <c r="A87" s="10">
        <v>8</v>
      </c>
      <c r="B87" s="11" t="s">
        <v>21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 hidden="1">
      <c r="A88" s="38">
        <v>8</v>
      </c>
      <c r="B88" s="11" t="s">
        <v>91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 hidden="1">
      <c r="A89" s="10">
        <v>8</v>
      </c>
      <c r="B89" s="11" t="s">
        <v>92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 hidden="1"/>
    <row r="91" spans="1:27" ht="19.149999999999999" hidden="1">
      <c r="A91" s="10">
        <v>9</v>
      </c>
      <c r="B91" s="11" t="s">
        <v>14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 hidden="1">
      <c r="A92" s="10">
        <v>9</v>
      </c>
      <c r="B92" s="11" t="s">
        <v>15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 hidden="1">
      <c r="A93" s="10">
        <v>9</v>
      </c>
      <c r="B93" s="11" t="s">
        <v>12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 hidden="1">
      <c r="A94" s="10">
        <v>9</v>
      </c>
      <c r="B94" s="11" t="s">
        <v>20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 hidden="1">
      <c r="A95" s="10">
        <v>9</v>
      </c>
      <c r="B95" s="11" t="s">
        <v>22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 hidden="1">
      <c r="A96" s="10">
        <v>9</v>
      </c>
      <c r="B96" s="11" t="s">
        <v>13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 hidden="1">
      <c r="A97" s="38">
        <v>9</v>
      </c>
      <c r="B97" s="11" t="s">
        <v>89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 hidden="1">
      <c r="A98" s="10">
        <v>9</v>
      </c>
      <c r="B98" s="11" t="s">
        <v>90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 hidden="1">
      <c r="A99" s="10">
        <v>9</v>
      </c>
      <c r="B99" s="11" t="s">
        <v>21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 hidden="1">
      <c r="A100" s="38">
        <v>9</v>
      </c>
      <c r="B100" s="11" t="s">
        <v>91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 hidden="1">
      <c r="A101" s="10">
        <v>9</v>
      </c>
      <c r="B101" s="11" t="s">
        <v>92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 hidden="1"/>
    <row r="103" spans="1:27" ht="19.149999999999999" hidden="1">
      <c r="A103" s="10">
        <v>10</v>
      </c>
      <c r="B103" s="11" t="s">
        <v>14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 hidden="1">
      <c r="A104" s="10">
        <v>10</v>
      </c>
      <c r="B104" s="11" t="s">
        <v>15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 hidden="1">
      <c r="A105" s="10">
        <v>10</v>
      </c>
      <c r="B105" s="11" t="s">
        <v>12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 hidden="1">
      <c r="A106" s="10">
        <v>10</v>
      </c>
      <c r="B106" s="11" t="s">
        <v>20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 hidden="1">
      <c r="A107" s="10">
        <v>10</v>
      </c>
      <c r="B107" s="11" t="s">
        <v>22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 hidden="1">
      <c r="A108" s="10">
        <v>10</v>
      </c>
      <c r="B108" s="11" t="s">
        <v>13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 hidden="1">
      <c r="A109" s="38">
        <v>10</v>
      </c>
      <c r="B109" s="11" t="s">
        <v>89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 hidden="1">
      <c r="A110" s="10">
        <v>10</v>
      </c>
      <c r="B110" s="11" t="s">
        <v>90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 hidden="1">
      <c r="A111" s="10">
        <v>10</v>
      </c>
      <c r="B111" s="11" t="s">
        <v>21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 hidden="1">
      <c r="A112" s="38">
        <v>10</v>
      </c>
      <c r="B112" s="11" t="s">
        <v>91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 hidden="1">
      <c r="A113" s="10">
        <v>10</v>
      </c>
      <c r="B113" s="11" t="s">
        <v>92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 hidden="1"/>
    <row r="115" spans="1:28" ht="38.25">
      <c r="A115" s="1" t="s">
        <v>23</v>
      </c>
      <c r="B115" s="9" t="s">
        <v>24</v>
      </c>
      <c r="C115" s="1">
        <v>494</v>
      </c>
      <c r="D115" s="5">
        <f>Table14[[#This Row],[Enrolment S.Y. 2025-2026 ]]*8</f>
        <v>3952</v>
      </c>
      <c r="E115" s="5">
        <v>494</v>
      </c>
      <c r="F115" s="1">
        <v>2024</v>
      </c>
      <c r="G115" s="5" t="s">
        <v>25</v>
      </c>
      <c r="H115" s="5">
        <f t="shared" si="22"/>
        <v>3458</v>
      </c>
      <c r="I115" s="5">
        <v>490</v>
      </c>
      <c r="J115" s="5">
        <f>Table14[[#This Row],[Enrolment S.Y. 2025-2026 ]]*8</f>
        <v>3952</v>
      </c>
      <c r="K115" s="5"/>
      <c r="L115" s="1">
        <v>2024</v>
      </c>
      <c r="M115" s="5"/>
      <c r="N115" s="5">
        <f t="shared" si="20"/>
        <v>3952</v>
      </c>
      <c r="O115" s="5">
        <f t="shared" si="21"/>
        <v>0</v>
      </c>
      <c r="P115" s="5">
        <f>Table14[[#This Row],[Enrolment S.Y. 2025-2026 ]]*8</f>
        <v>3952</v>
      </c>
      <c r="Q115" s="5"/>
      <c r="R115" s="1"/>
      <c r="S115" s="5"/>
      <c r="T115" s="5">
        <f t="shared" si="16"/>
        <v>3952</v>
      </c>
      <c r="U115" s="5">
        <f t="shared" si="17"/>
        <v>0</v>
      </c>
      <c r="V115" s="5">
        <f>Table14[[#This Row],[Enrolment S.Y. 2025-2026 ]]*8</f>
        <v>3952</v>
      </c>
      <c r="W115" s="5"/>
      <c r="X115" s="1"/>
      <c r="Y115" s="5"/>
      <c r="Z115" s="5">
        <f t="shared" si="18"/>
        <v>3952</v>
      </c>
      <c r="AA115" s="5">
        <f t="shared" si="19"/>
        <v>0</v>
      </c>
    </row>
    <row r="116" spans="1:28" ht="19.5">
      <c r="A116" s="1" t="s">
        <v>23</v>
      </c>
      <c r="B116" s="9" t="s">
        <v>26</v>
      </c>
      <c r="C116" s="1">
        <v>494</v>
      </c>
      <c r="D116" s="5">
        <f>Table14[[#This Row],[Enrolment S.Y. 2025-2026 ]]*8</f>
        <v>3952</v>
      </c>
      <c r="E116" s="5">
        <v>494</v>
      </c>
      <c r="F116" s="1">
        <v>2024</v>
      </c>
      <c r="G116" s="5" t="s">
        <v>25</v>
      </c>
      <c r="H116" s="5">
        <f t="shared" si="22"/>
        <v>3458</v>
      </c>
      <c r="I116" s="5">
        <f t="shared" si="23"/>
        <v>0</v>
      </c>
      <c r="J116" s="5">
        <f>Table14[[#This Row],[Enrolment S.Y. 2025-2026 ]]*8</f>
        <v>3952</v>
      </c>
      <c r="K116" s="5"/>
      <c r="L116" s="1">
        <v>2024</v>
      </c>
      <c r="M116" s="5"/>
      <c r="N116" s="5">
        <f t="shared" si="20"/>
        <v>3952</v>
      </c>
      <c r="O116" s="5">
        <f t="shared" si="21"/>
        <v>0</v>
      </c>
      <c r="P116" s="5">
        <f>Table14[[#This Row],[Enrolment S.Y. 2025-2026 ]]*8</f>
        <v>3952</v>
      </c>
      <c r="Q116" s="5"/>
      <c r="R116" s="1"/>
      <c r="S116" s="5"/>
      <c r="T116" s="5">
        <f t="shared" si="16"/>
        <v>3952</v>
      </c>
      <c r="U116" s="5">
        <f t="shared" si="17"/>
        <v>0</v>
      </c>
      <c r="V116" s="5">
        <f>Table14[[#This Row],[Enrolment S.Y. 2025-2026 ]]*8</f>
        <v>3952</v>
      </c>
      <c r="W116" s="5"/>
      <c r="X116" s="1"/>
      <c r="Y116" s="5"/>
      <c r="Z116" s="5">
        <f t="shared" si="18"/>
        <v>3952</v>
      </c>
      <c r="AA116" s="5">
        <f t="shared" si="19"/>
        <v>0</v>
      </c>
    </row>
    <row r="117" spans="1:28" ht="19.5">
      <c r="A117" s="1" t="s">
        <v>23</v>
      </c>
      <c r="B117" s="9" t="s">
        <v>27</v>
      </c>
      <c r="C117" s="1">
        <v>494</v>
      </c>
      <c r="D117" s="5">
        <f>Table14[[#This Row],[Enrolment S.Y. 2025-2026 ]]*8</f>
        <v>3952</v>
      </c>
      <c r="E117" s="5">
        <v>494</v>
      </c>
      <c r="F117" s="1">
        <v>2024</v>
      </c>
      <c r="G117" s="5" t="s">
        <v>25</v>
      </c>
      <c r="H117" s="5">
        <f t="shared" si="22"/>
        <v>3458</v>
      </c>
      <c r="I117" s="5">
        <f t="shared" si="23"/>
        <v>0</v>
      </c>
      <c r="J117" s="5">
        <f>Table14[[#This Row],[Enrolment S.Y. 2025-2026 ]]*8</f>
        <v>3952</v>
      </c>
      <c r="K117" s="5"/>
      <c r="L117" s="1">
        <v>2024</v>
      </c>
      <c r="M117" s="5"/>
      <c r="N117" s="5">
        <f t="shared" si="20"/>
        <v>3952</v>
      </c>
      <c r="O117" s="5">
        <f t="shared" si="21"/>
        <v>0</v>
      </c>
      <c r="P117" s="5">
        <f>Table14[[#This Row],[Enrolment S.Y. 2025-2026 ]]*8</f>
        <v>3952</v>
      </c>
      <c r="Q117" s="5"/>
      <c r="R117" s="1"/>
      <c r="S117" s="5"/>
      <c r="T117" s="5">
        <f t="shared" si="16"/>
        <v>3952</v>
      </c>
      <c r="U117" s="5">
        <f t="shared" si="17"/>
        <v>0</v>
      </c>
      <c r="V117" s="5">
        <f>Table14[[#This Row],[Enrolment S.Y. 2025-2026 ]]*8</f>
        <v>3952</v>
      </c>
      <c r="W117" s="5"/>
      <c r="X117" s="1"/>
      <c r="Y117" s="5"/>
      <c r="Z117" s="5">
        <f t="shared" si="18"/>
        <v>3952</v>
      </c>
      <c r="AA117" s="5">
        <f t="shared" si="19"/>
        <v>0</v>
      </c>
    </row>
    <row r="118" spans="1:28" ht="19.5">
      <c r="A118" s="1" t="s">
        <v>23</v>
      </c>
      <c r="B118" s="9" t="s">
        <v>28</v>
      </c>
      <c r="C118" s="1">
        <v>494</v>
      </c>
      <c r="D118" s="5">
        <f>Table14[[#This Row],[Enrolment S.Y. 2025-2026 ]]*8</f>
        <v>3952</v>
      </c>
      <c r="E118" s="5">
        <v>494</v>
      </c>
      <c r="F118" s="1">
        <v>2025</v>
      </c>
      <c r="G118" s="5" t="s">
        <v>25</v>
      </c>
      <c r="H118" s="5">
        <f t="shared" si="22"/>
        <v>3458</v>
      </c>
      <c r="I118" s="5">
        <f t="shared" si="23"/>
        <v>0</v>
      </c>
      <c r="J118" s="5">
        <f>Table14[[#This Row],[Enrolment S.Y. 2025-2026 ]]*8</f>
        <v>3952</v>
      </c>
      <c r="K118" s="5"/>
      <c r="L118" s="1">
        <v>2024</v>
      </c>
      <c r="M118" s="5"/>
      <c r="N118" s="5">
        <f t="shared" si="20"/>
        <v>3952</v>
      </c>
      <c r="O118" s="5">
        <f t="shared" si="21"/>
        <v>0</v>
      </c>
      <c r="P118" s="5">
        <f>Table14[[#This Row],[Enrolment S.Y. 2025-2026 ]]*8</f>
        <v>3952</v>
      </c>
      <c r="Q118" s="5"/>
      <c r="R118" s="1"/>
      <c r="S118" s="5"/>
      <c r="T118" s="5">
        <f t="shared" si="16"/>
        <v>3952</v>
      </c>
      <c r="U118" s="5">
        <f t="shared" si="17"/>
        <v>0</v>
      </c>
      <c r="V118" s="5">
        <f>Table14[[#This Row],[Enrolment S.Y. 2025-2026 ]]*8</f>
        <v>3952</v>
      </c>
      <c r="W118" s="5"/>
      <c r="X118" s="1"/>
      <c r="Y118" s="5"/>
      <c r="Z118" s="5">
        <f t="shared" si="18"/>
        <v>3952</v>
      </c>
      <c r="AA118" s="5">
        <f t="shared" si="19"/>
        <v>0</v>
      </c>
    </row>
    <row r="119" spans="1:28" ht="41.25" customHeight="1">
      <c r="A119" s="1" t="s">
        <v>23</v>
      </c>
      <c r="B119" s="9" t="s">
        <v>29</v>
      </c>
      <c r="C119" s="1">
        <v>494</v>
      </c>
      <c r="D119" s="5">
        <f>Table14[[#This Row],[Enrolment S.Y. 2025-2026 ]]*8</f>
        <v>3952</v>
      </c>
      <c r="E119" s="5">
        <v>494</v>
      </c>
      <c r="F119" s="1">
        <v>2025</v>
      </c>
      <c r="G119" s="5" t="s">
        <v>25</v>
      </c>
      <c r="H119" s="5">
        <f t="shared" si="22"/>
        <v>3458</v>
      </c>
      <c r="I119" s="5">
        <f t="shared" si="23"/>
        <v>0</v>
      </c>
      <c r="J119" s="5">
        <f>Table14[[#This Row],[Enrolment S.Y. 2025-2026 ]]*8</f>
        <v>3952</v>
      </c>
      <c r="K119" s="5"/>
      <c r="L119" s="1">
        <v>2024</v>
      </c>
      <c r="M119" s="5"/>
      <c r="N119" s="5">
        <f t="shared" si="20"/>
        <v>3952</v>
      </c>
      <c r="O119" s="5">
        <f t="shared" si="21"/>
        <v>0</v>
      </c>
      <c r="P119" s="5">
        <f>Table14[[#This Row],[Enrolment S.Y. 2025-2026 ]]*8</f>
        <v>3952</v>
      </c>
      <c r="Q119" s="5"/>
      <c r="R119" s="1"/>
      <c r="S119" s="5"/>
      <c r="T119" s="5">
        <f t="shared" si="16"/>
        <v>3952</v>
      </c>
      <c r="U119" s="5">
        <f t="shared" si="17"/>
        <v>0</v>
      </c>
      <c r="V119" s="5">
        <f>Table14[[#This Row],[Enrolment S.Y. 2025-2026 ]]*8</f>
        <v>3952</v>
      </c>
      <c r="W119" s="5"/>
      <c r="X119" s="1"/>
      <c r="Y119" s="5"/>
      <c r="Z119" s="5">
        <f t="shared" si="18"/>
        <v>3952</v>
      </c>
      <c r="AA119" s="5">
        <f t="shared" si="19"/>
        <v>0</v>
      </c>
    </row>
    <row r="120" spans="1:28" ht="27.75" customHeight="1">
      <c r="A120" s="1" t="s">
        <v>23</v>
      </c>
      <c r="B120" s="9" t="s">
        <v>30</v>
      </c>
      <c r="C120" s="1">
        <v>494</v>
      </c>
      <c r="D120" s="5">
        <f>Table14[[#This Row],[Enrolment S.Y. 2025-2026 ]]*8</f>
        <v>3952</v>
      </c>
      <c r="E120" s="5">
        <v>494</v>
      </c>
      <c r="F120" s="1">
        <v>2025</v>
      </c>
      <c r="G120" s="5" t="s">
        <v>25</v>
      </c>
      <c r="H120" s="5">
        <f t="shared" si="22"/>
        <v>3458</v>
      </c>
      <c r="I120" s="5">
        <f t="shared" si="23"/>
        <v>0</v>
      </c>
      <c r="J120" s="5">
        <f>Table14[[#This Row],[Enrolment S.Y. 2025-2026 ]]*8</f>
        <v>3952</v>
      </c>
      <c r="K120" s="5"/>
      <c r="L120" s="1">
        <v>2024</v>
      </c>
      <c r="M120" s="5"/>
      <c r="N120" s="5">
        <f t="shared" si="20"/>
        <v>3952</v>
      </c>
      <c r="O120" s="5">
        <f t="shared" si="21"/>
        <v>0</v>
      </c>
      <c r="P120" s="5">
        <f>Table14[[#This Row],[Enrolment S.Y. 2025-2026 ]]*8</f>
        <v>3952</v>
      </c>
      <c r="Q120" s="5"/>
      <c r="R120" s="1"/>
      <c r="S120" s="5"/>
      <c r="T120" s="5">
        <f t="shared" si="16"/>
        <v>3952</v>
      </c>
      <c r="U120" s="5">
        <f t="shared" si="17"/>
        <v>0</v>
      </c>
      <c r="V120" s="5">
        <f>Table14[[#This Row],[Enrolment S.Y. 2025-2026 ]]*8</f>
        <v>3952</v>
      </c>
      <c r="W120" s="5"/>
      <c r="X120" s="1"/>
      <c r="Y120" s="5"/>
      <c r="Z120" s="5">
        <f t="shared" si="18"/>
        <v>3952</v>
      </c>
      <c r="AA120" s="5">
        <f t="shared" si="19"/>
        <v>0</v>
      </c>
    </row>
    <row r="121" spans="1:28" ht="57.75">
      <c r="A121" s="1" t="s">
        <v>23</v>
      </c>
      <c r="B121" s="9" t="s">
        <v>31</v>
      </c>
      <c r="C121" s="1">
        <v>494</v>
      </c>
      <c r="D121" s="5">
        <f>Table14[[#This Row],[Enrolment S.Y. 2025-2026 ]]*8</f>
        <v>3952</v>
      </c>
      <c r="E121" s="5">
        <v>494</v>
      </c>
      <c r="F121" s="1">
        <v>2025</v>
      </c>
      <c r="G121" s="5" t="s">
        <v>25</v>
      </c>
      <c r="H121" s="5">
        <f t="shared" si="22"/>
        <v>3458</v>
      </c>
      <c r="I121" s="5">
        <f t="shared" si="23"/>
        <v>0</v>
      </c>
      <c r="J121" s="5">
        <f>Table14[[#This Row],[Enrolment S.Y. 2025-2026 ]]*8</f>
        <v>3952</v>
      </c>
      <c r="K121" s="5"/>
      <c r="L121" s="1"/>
      <c r="M121" s="5"/>
      <c r="N121" s="5">
        <f t="shared" si="20"/>
        <v>3952</v>
      </c>
      <c r="O121" s="5">
        <f t="shared" si="21"/>
        <v>0</v>
      </c>
      <c r="P121" s="5">
        <f>Table14[[#This Row],[Enrolment S.Y. 2025-2026 ]]*8</f>
        <v>3952</v>
      </c>
      <c r="Q121" s="5"/>
      <c r="R121" s="1"/>
      <c r="S121" s="5"/>
      <c r="T121" s="5">
        <f t="shared" si="16"/>
        <v>3952</v>
      </c>
      <c r="U121" s="5">
        <f t="shared" si="17"/>
        <v>0</v>
      </c>
      <c r="V121" s="5">
        <f>Table14[[#This Row],[Enrolment S.Y. 2025-2026 ]]*8</f>
        <v>3952</v>
      </c>
      <c r="W121" s="5"/>
      <c r="X121" s="1"/>
      <c r="Y121" s="5"/>
      <c r="Z121" s="5">
        <f t="shared" si="18"/>
        <v>3952</v>
      </c>
      <c r="AA121" s="5">
        <f t="shared" si="19"/>
        <v>0</v>
      </c>
    </row>
    <row r="122" spans="1:28" ht="38.25">
      <c r="A122" s="1" t="s">
        <v>23</v>
      </c>
      <c r="B122" s="9" t="s">
        <v>32</v>
      </c>
      <c r="C122" s="1">
        <v>494</v>
      </c>
      <c r="D122" s="5">
        <f>Table14[[#This Row],[Enrolment S.Y. 2025-2026 ]]*8</f>
        <v>3952</v>
      </c>
      <c r="E122" s="5">
        <v>494</v>
      </c>
      <c r="F122" s="1">
        <v>2025</v>
      </c>
      <c r="G122" s="5" t="s">
        <v>25</v>
      </c>
      <c r="H122" s="5">
        <f t="shared" si="22"/>
        <v>3458</v>
      </c>
      <c r="I122" s="5">
        <f t="shared" si="23"/>
        <v>0</v>
      </c>
      <c r="J122" s="5">
        <f>Table14[[#This Row],[Enrolment S.Y. 2025-2026 ]]*8</f>
        <v>3952</v>
      </c>
      <c r="K122" s="5"/>
      <c r="L122" s="1">
        <v>2025</v>
      </c>
      <c r="M122" s="5"/>
      <c r="N122" s="5">
        <f t="shared" si="20"/>
        <v>3952</v>
      </c>
      <c r="O122" s="5">
        <f t="shared" si="21"/>
        <v>0</v>
      </c>
      <c r="P122" s="5">
        <f>Table14[[#This Row],[Enrolment S.Y. 2025-2026 ]]*8</f>
        <v>3952</v>
      </c>
      <c r="Q122" s="5"/>
      <c r="R122" s="1"/>
      <c r="S122" s="5"/>
      <c r="T122" s="5">
        <f t="shared" si="16"/>
        <v>3952</v>
      </c>
      <c r="U122" s="5">
        <f t="shared" si="17"/>
        <v>0</v>
      </c>
      <c r="V122" s="5">
        <f>Table14[[#This Row],[Enrolment S.Y. 2025-2026 ]]*8</f>
        <v>3952</v>
      </c>
      <c r="W122" s="5"/>
      <c r="X122" s="1"/>
      <c r="Y122" s="5"/>
      <c r="Z122" s="5">
        <f t="shared" si="18"/>
        <v>3952</v>
      </c>
      <c r="AA122" s="5">
        <f t="shared" si="19"/>
        <v>0</v>
      </c>
    </row>
    <row r="123" spans="1:28" s="7" customFormat="1" hidden="1"/>
    <row r="124" spans="1:28" hidden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 hidden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 hidden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 hidden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 hidden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 hidden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 hidden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 hidden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 hidden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 hidden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 hidden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 hidden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 hidden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 hidden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 hidden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 hidden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 hidden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>
      <c r="J141" t="e">
        <f>#REF!*8</f>
        <v>#REF!</v>
      </c>
    </row>
    <row r="142" spans="1:28">
      <c r="J142" t="e">
        <f>#REF!*8</f>
        <v>#REF!</v>
      </c>
    </row>
    <row r="143" spans="1:28">
      <c r="J143" t="e">
        <f>#REF!*8</f>
        <v>#REF!</v>
      </c>
    </row>
    <row r="144" spans="1:28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  <row r="158" spans="10:10">
      <c r="J158" t="e">
        <f>#REF!*8</f>
        <v>#REF!</v>
      </c>
    </row>
    <row r="159" spans="10:10">
      <c r="J159" t="e">
        <f>#REF!*8</f>
        <v>#REF!</v>
      </c>
    </row>
    <row r="160" spans="10:10">
      <c r="J160" t="e">
        <f>#REF!*8</f>
        <v>#REF!</v>
      </c>
    </row>
    <row r="161" spans="10:10">
      <c r="J161" t="e">
        <f>#REF!*8</f>
        <v>#REF!</v>
      </c>
    </row>
    <row r="162" spans="10:10">
      <c r="J162" t="e">
        <f>#REF!*8</f>
        <v>#REF!</v>
      </c>
    </row>
    <row r="163" spans="10:10">
      <c r="J163" t="e">
        <f>#REF!*8</f>
        <v>#REF!</v>
      </c>
    </row>
    <row r="164" spans="10:10">
      <c r="J164" t="e">
        <f>#REF!*8</f>
        <v>#REF!</v>
      </c>
    </row>
    <row r="165" spans="10:10">
      <c r="J165" t="e">
        <f>#REF!*8</f>
        <v>#REF!</v>
      </c>
    </row>
    <row r="166" spans="10:10">
      <c r="J166" t="e">
        <f>#REF!*8</f>
        <v>#REF!</v>
      </c>
    </row>
    <row r="167" spans="10:10">
      <c r="J167" t="e">
        <f>#REF!*8</f>
        <v>#REF!</v>
      </c>
    </row>
    <row r="168" spans="10:10">
      <c r="J168" t="e">
        <f>#REF!*8</f>
        <v>#REF!</v>
      </c>
    </row>
    <row r="169" spans="10:10">
      <c r="J169" t="e">
        <f>#REF!*8</f>
        <v>#REF!</v>
      </c>
    </row>
    <row r="170" spans="10:10">
      <c r="J170" t="e">
        <f>#REF!*8</f>
        <v>#REF!</v>
      </c>
    </row>
  </sheetData>
  <protectedRanges>
    <protectedRange sqref="C2:C10 C12:C19 C21:C29 C31:C41 C43:C53 C55:C65 C67:C77 C79:C89 C115:C122 C103:C113 C91:C101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X21:X29 X31:X41 X43:X53 X67:X77 X79:X89 X55:X65 X91:X101 X103:X113 X12:X19 X3:X10 L21:L29 L31:L41 L43:L53 L67:L77 L79:L89 L55:L65 L91:L101 L103:L113 L12:L19 L3:L10 R21:R29 R31:R41 R43:R53 R67:R77 R79:R89 R55:R65 R91:R101 R103:R113 R12:R19 R3:R10 F21:F29 F31:F41 F43:F53 F67:F77 F79:F89 F55:F65 F3:F10 F91:F101 X115:X122 F12:F19 F115:F122 R115:R122 L115:L122 F103:F113" xr:uid="{77F72D89-8371-4D0C-A323-BD25723C617C}">
      <formula1>"2024,2025"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Guest User</cp:lastModifiedBy>
  <cp:revision/>
  <dcterms:created xsi:type="dcterms:W3CDTF">2025-11-19T20:48:15Z</dcterms:created>
  <dcterms:modified xsi:type="dcterms:W3CDTF">2026-01-12T07:28:40Z</dcterms:modified>
  <cp:category/>
  <cp:contentStatus/>
</cp:coreProperties>
</file>