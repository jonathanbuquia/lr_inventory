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34" documentId="13_ncr:1_{BFB59F67-F0DC-4675-A682-EB0734A8026A}" xr6:coauthVersionLast="47" xr6:coauthVersionMax="47" xr10:uidLastSave="{41C42F6F-8177-4C69-8BF2-210D966ABD3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H2" i="1"/>
  <c r="G3" i="1"/>
  <c r="H3" i="1"/>
  <c r="G4" i="1"/>
  <c r="H4" i="1"/>
  <c r="G5" i="1"/>
  <c r="H5" i="1"/>
  <c r="G6" i="1"/>
  <c r="H6" i="1"/>
  <c r="G7" i="1"/>
  <c r="H7" i="1"/>
  <c r="G10" i="1"/>
  <c r="H10" i="1"/>
  <c r="G11" i="1"/>
  <c r="H11" i="1"/>
  <c r="G12" i="1"/>
  <c r="H12" i="1"/>
  <c r="G13" i="1"/>
  <c r="H13" i="1"/>
  <c r="G14" i="1"/>
  <c r="H14" i="1"/>
  <c r="G16" i="1"/>
  <c r="H16" i="1"/>
  <c r="G17" i="1"/>
  <c r="H17" i="1"/>
  <c r="G18" i="1"/>
  <c r="H18" i="1"/>
  <c r="G19" i="1"/>
  <c r="H19" i="1"/>
  <c r="G20" i="1"/>
  <c r="H20" i="1"/>
  <c r="G21" i="1"/>
  <c r="H21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D43" i="5"/>
  <c r="D44" i="5"/>
  <c r="D45" i="5"/>
  <c r="D46" i="5"/>
  <c r="D47" i="5"/>
  <c r="D48" i="5"/>
  <c r="D49" i="5"/>
  <c r="D50" i="5"/>
  <c r="D51" i="5"/>
  <c r="D52" i="5"/>
  <c r="D53" i="5"/>
  <c r="D23" i="4"/>
  <c r="D24" i="4"/>
  <c r="D25" i="4"/>
  <c r="D26" i="4"/>
  <c r="D27" i="4"/>
  <c r="D28" i="4"/>
  <c r="D29" i="4"/>
  <c r="D30" i="4"/>
  <c r="D31" i="4"/>
  <c r="D13" i="5"/>
  <c r="D14" i="5"/>
  <c r="D15" i="5"/>
  <c r="D16" i="5"/>
  <c r="D17" i="5"/>
  <c r="D18" i="5"/>
  <c r="D19" i="5"/>
  <c r="D10" i="5"/>
  <c r="D3" i="4"/>
  <c r="V65" i="5"/>
  <c r="P65" i="5"/>
  <c r="J65" i="5"/>
  <c r="D65" i="5"/>
  <c r="P61" i="5"/>
  <c r="T61" i="5" s="1"/>
  <c r="P62" i="5"/>
  <c r="P63" i="5"/>
  <c r="P64" i="5"/>
  <c r="P66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H52" i="5"/>
  <c r="J52" i="5"/>
  <c r="V52" i="5"/>
  <c r="Z52" i="5" s="1"/>
  <c r="H49" i="5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V3" i="4"/>
  <c r="Z3" i="4" s="1"/>
  <c r="V66" i="5"/>
  <c r="Z66" i="5" s="1"/>
  <c r="U66" i="5"/>
  <c r="J66" i="5"/>
  <c r="D66" i="5"/>
  <c r="I66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V55" i="5"/>
  <c r="AA55" i="5" s="1"/>
  <c r="P55" i="5"/>
  <c r="U55" i="5" s="1"/>
  <c r="J55" i="5"/>
  <c r="D55" i="5"/>
  <c r="V53" i="5"/>
  <c r="AA53" i="5" s="1"/>
  <c r="U53" i="5"/>
  <c r="J53" i="5"/>
  <c r="I53" i="5"/>
  <c r="V51" i="5"/>
  <c r="AA51" i="5" s="1"/>
  <c r="U51" i="5"/>
  <c r="J51" i="5"/>
  <c r="I51" i="5"/>
  <c r="V50" i="5"/>
  <c r="AA50" i="5" s="1"/>
  <c r="U50" i="5"/>
  <c r="J50" i="5"/>
  <c r="I50" i="5"/>
  <c r="V48" i="5"/>
  <c r="AA48" i="5" s="1"/>
  <c r="U48" i="5"/>
  <c r="J48" i="5"/>
  <c r="I48" i="5"/>
  <c r="V47" i="5"/>
  <c r="AA47" i="5" s="1"/>
  <c r="P47" i="5"/>
  <c r="U47" i="5" s="1"/>
  <c r="J47" i="5"/>
  <c r="N47" i="5" s="1"/>
  <c r="I47" i="5"/>
  <c r="V46" i="5"/>
  <c r="AA46" i="5" s="1"/>
  <c r="P46" i="5"/>
  <c r="U46" i="5" s="1"/>
  <c r="J46" i="5"/>
  <c r="I46" i="5"/>
  <c r="V45" i="5"/>
  <c r="AA45" i="5" s="1"/>
  <c r="P45" i="5"/>
  <c r="U45" i="5" s="1"/>
  <c r="J45" i="5"/>
  <c r="N45" i="5" s="1"/>
  <c r="H45" i="5"/>
  <c r="V44" i="5"/>
  <c r="AA44" i="5" s="1"/>
  <c r="P44" i="5"/>
  <c r="U44" i="5" s="1"/>
  <c r="J44" i="5"/>
  <c r="H44" i="5"/>
  <c r="V43" i="5"/>
  <c r="AA43" i="5" s="1"/>
  <c r="P43" i="5"/>
  <c r="U43" i="5" s="1"/>
  <c r="J43" i="5"/>
  <c r="N43" i="5" s="1"/>
  <c r="H43" i="5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V27" i="5"/>
  <c r="Z27" i="5" s="1"/>
  <c r="P27" i="5"/>
  <c r="U27" i="5" s="1"/>
  <c r="J27" i="5"/>
  <c r="O27" i="5" s="1"/>
  <c r="D27" i="5"/>
  <c r="V26" i="5"/>
  <c r="AA26" i="5" s="1"/>
  <c r="P26" i="5"/>
  <c r="U26" i="5" s="1"/>
  <c r="J26" i="5"/>
  <c r="N26" i="5" s="1"/>
  <c r="D26" i="5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I19" i="5"/>
  <c r="V18" i="5"/>
  <c r="AA18" i="5" s="1"/>
  <c r="P18" i="5"/>
  <c r="U18" i="5" s="1"/>
  <c r="J18" i="5"/>
  <c r="O18" i="5" s="1"/>
  <c r="I18" i="5"/>
  <c r="V17" i="5"/>
  <c r="AA17" i="5" s="1"/>
  <c r="P17" i="5"/>
  <c r="U17" i="5" s="1"/>
  <c r="J17" i="5"/>
  <c r="N17" i="5" s="1"/>
  <c r="I17" i="5"/>
  <c r="V16" i="5"/>
  <c r="AA16" i="5" s="1"/>
  <c r="P16" i="5"/>
  <c r="U16" i="5" s="1"/>
  <c r="J16" i="5"/>
  <c r="O16" i="5" s="1"/>
  <c r="I16" i="5"/>
  <c r="V15" i="5"/>
  <c r="AA15" i="5" s="1"/>
  <c r="P15" i="5"/>
  <c r="U15" i="5" s="1"/>
  <c r="J15" i="5"/>
  <c r="N15" i="5" s="1"/>
  <c r="I15" i="5"/>
  <c r="V14" i="5"/>
  <c r="AA14" i="5" s="1"/>
  <c r="P14" i="5"/>
  <c r="U14" i="5" s="1"/>
  <c r="J14" i="5"/>
  <c r="O14" i="5" s="1"/>
  <c r="H14" i="5"/>
  <c r="V13" i="5"/>
  <c r="AA13" i="5" s="1"/>
  <c r="P13" i="5"/>
  <c r="U13" i="5" s="1"/>
  <c r="J13" i="5"/>
  <c r="N13" i="5" s="1"/>
  <c r="I13" i="5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I10" i="5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H31" i="4"/>
  <c r="D21" i="4"/>
  <c r="H21" i="4" s="1"/>
  <c r="D12" i="4"/>
  <c r="H12" i="4" s="1"/>
  <c r="H29" i="4"/>
  <c r="H30" i="4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H23" i="4"/>
  <c r="H24" i="4"/>
  <c r="I27" i="4"/>
  <c r="I28" i="4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I55" i="5" l="1"/>
  <c r="H55" i="5"/>
  <c r="I56" i="5"/>
  <c r="H56" i="5"/>
  <c r="I65" i="5"/>
  <c r="H65" i="5"/>
  <c r="O65" i="5"/>
  <c r="N65" i="5"/>
  <c r="U65" i="5"/>
  <c r="T65" i="5"/>
  <c r="AA65" i="5"/>
  <c r="Z65" i="5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6" i="5"/>
  <c r="O66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6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66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6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<sst xmlns="http://schemas.openxmlformats.org/spreadsheetml/2006/main" count="294" uniqueCount="83">
  <si>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</si>
  <si>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</si>
  <si>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</si>
  <si>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</si>
  <si>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</si>
  <si>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</si>
  <si>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</si>
  <si>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</si>
  <si>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</si>
  <si>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</si>
  <si>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</si>
  <si>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</si>
  <si>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</si>
  <si>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Wika</t>
  </si>
  <si>
    <t>Math</t>
  </si>
  <si>
    <t>Science</t>
  </si>
  <si>
    <t>English</t>
  </si>
  <si>
    <t>Filipino</t>
  </si>
  <si>
    <t>SDO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</si>
  <si>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</si>
  <si>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</si>
  <si>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</si>
  <si>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</si>
  <si>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</si>
  <si>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</si>
  <si>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</si>
  <si>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</si>
  <si>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</si>
  <si>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</si>
  <si>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</si>
  <si>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</si>
  <si>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</si>
  <si>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</si>
  <si>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</si>
  <si>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</si>
  <si>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</si>
  <si>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</si>
  <si>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</si>
  <si>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</si>
  <si>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</si>
  <si>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</si>
  <si>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</si>
  <si>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</si>
  <si>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</si>
  <si>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</si>
  <si>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</si>
  <si>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</si>
  <si>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</si>
  <si>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</si>
  <si>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</si>
  <si>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</si>
  <si>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</si>
  <si>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</si>
  <si>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</si>
  <si>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</si>
  <si>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</si>
  <si>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</si>
  <si>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</si>
  <si>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</si>
  <si>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</si>
  <si>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</si>
  <si>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</si>
  <si>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</si>
  <si>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</si>
  <si>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</si>
  <si>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</si>
  <si>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</si>
  <si>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</si>
  <si>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</si>
  <si>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</si>
  <si>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</si>
  <si>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</si>
  <si>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</si>
  <si>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</si>
  <si>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</si>
  <si>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</si>
  <si>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</si>
  <si>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</si>
  <si>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</si>
  <si>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</si>
  <si>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</si>
  <si>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CO</t>
  </si>
  <si>
    <t>ESP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</si>
</sst>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family val="1"/>
    </font>
    <font>
      <b/>
      <sz val="11"/>
      <color theme="0"/>
      <name val="Bookman Old Style"/>
      <family val="1"/>
      <charset val="134"/>
    </font>
    <font>
      <sz val="11"/>
      <color theme="0"/>
      <name val="Aptos Narrow"/>
      <family val="2"/>
      <scheme val="minor"/>
    </font>
    <font>
      <b/>
      <sz val="11"/>
      <color theme="1"/>
      <name val="Bookman Old Style"/>
      <family val="1"/>
      <charset val="134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left" vertical="center" wrapText="1"/>
    </xf>
    <xf numFmtId="0" fontId="2" fillId="7" borderId="9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vertical="center" wrapText="1"/>
    </xf>
    <xf numFmtId="0" fontId="0" fillId="7" borderId="0" xfId="0" applyFill="1"/>
    <xf numFmtId="0" fontId="17" fillId="8" borderId="0" xfId="0" applyFont="1" applyFill="1"/>
    <xf numFmtId="0" fontId="1" fillId="12" borderId="3" xfId="0" applyFont="1" applyFill="1" applyBorder="1" applyAlignment="1">
      <alignment horizontal="center" vertical="center" wrapText="1"/>
    </xf>
    <xf numFmtId="0" fontId="0" fillId="12" borderId="0" xfId="0" applyFill="1"/>
    <xf numFmtId="0" fontId="18" fillId="6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1" fillId="12" borderId="3" xfId="0" applyFont="1" applyFill="1" applyBorder="1" applyAlignment="1">
      <alignment horizontal="center" vertical="center" wrapText="1"/>
    </xf>
    <xf numFmtId="0" fontId="0" fillId="13" borderId="0" xfId="0" applyFill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3" totalsRowShown="0" headerRowDxfId="62" headerRowBorderDxfId="60" tableBorderDxfId="61">
  <autoFilter ref="A1:H53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5" totalsRowShown="0" dataDxfId="29" headerRowBorderDxfId="27" tableBorderDxfId="28">
  <autoFilter ref="A2:AA8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zoomScale="85" zoomScaleNormal="85" workbookViewId="0">
      <pane xSplit="2" topLeftCell="C35" activePane="topRight" state="frozen"/>
      <selection pane="topRight" activeCell="A53" sqref="A53:H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26">
        <v>658</v>
      </c>
      <c r="D2" s="26">
        <v>522</v>
      </c>
      <c r="E2" s="26">
        <v>2024</v>
      </c>
      <c r="F2" s="27" t="s">
        <v>9</v>
      </c>
      <c r="G2" s="3">
        <f>IF((C2-D2)&lt;0,0,C2-D2)</f>
        <v>136</v>
      </c>
      <c r="H2" s="4">
        <f>IF((D2-C2)&lt;0,0,D2-C2)</f>
        <v>0</v>
      </c>
    </row>
    <row r="3" spans="1:8" ht="29.25" customHeight="1">
      <c r="A3" s="1">
        <v>1</v>
      </c>
      <c r="B3" s="39" t="s">
        <v>10</v>
      </c>
      <c r="C3" s="26">
        <v>658</v>
      </c>
      <c r="D3" s="1">
        <v>0</v>
      </c>
      <c r="E3" s="1"/>
      <c r="F3" s="1"/>
      <c r="G3" s="10">
        <f>IF((C3-D3)&lt;0,0,C3-D3)</f>
        <v>658</v>
      </c>
      <c r="H3" s="4">
        <f>IF((D3-C3)&lt;0,0,D3-C3)</f>
        <v>0</v>
      </c>
    </row>
    <row r="4" spans="1:8" ht="21" customHeight="1">
      <c r="A4" s="1">
        <v>1</v>
      </c>
      <c r="B4" s="39" t="s">
        <v>11</v>
      </c>
      <c r="C4" s="26">
        <v>658</v>
      </c>
      <c r="D4" s="1">
        <v>522</v>
      </c>
      <c r="E4" s="1">
        <v>2024</v>
      </c>
      <c r="F4" s="1" t="s">
        <v>9</v>
      </c>
      <c r="G4" s="10">
        <f>IF((C4-D4)&lt;0,0,C4-D4)</f>
        <v>136</v>
      </c>
      <c r="H4" s="4">
        <f>IF((D4-C4)&lt;0,0,D4-C4)</f>
        <v>0</v>
      </c>
    </row>
    <row r="5" spans="1:8" ht="25.5" customHeight="1">
      <c r="A5" s="1">
        <v>1</v>
      </c>
      <c r="B5" s="39" t="s">
        <v>12</v>
      </c>
      <c r="C5" s="26">
        <v>658</v>
      </c>
      <c r="D5" s="1">
        <v>522</v>
      </c>
      <c r="E5" s="1">
        <v>2025</v>
      </c>
      <c r="F5" s="1" t="s">
        <v>9</v>
      </c>
      <c r="G5" s="10">
        <f t="shared" ref="G5:G7" si="0">IF((C5-D5)&lt;0,0,C5-D5)</f>
        <v>136</v>
      </c>
      <c r="H5" s="4">
        <f t="shared" ref="H5:H7" si="1">IF((D5-C5)&lt;0,0,D5-C5)</f>
        <v>0</v>
      </c>
    </row>
    <row r="6" spans="1:8" ht="25.5" customHeight="1">
      <c r="A6" s="37">
        <v>1</v>
      </c>
      <c r="B6" s="38" t="s">
        <v>13</v>
      </c>
      <c r="C6" s="26">
        <v>658</v>
      </c>
      <c r="D6" s="1">
        <v>522</v>
      </c>
      <c r="E6" s="1">
        <v>2025</v>
      </c>
      <c r="F6" s="1" t="s">
        <v>9</v>
      </c>
      <c r="G6" s="10">
        <f>IF((C6-D6)&lt;0,0,C6-D6)</f>
        <v>136</v>
      </c>
      <c r="H6" s="4">
        <f>IF((D6-C6)&lt;0,0,D6-C6)</f>
        <v>0</v>
      </c>
    </row>
    <row r="7" spans="1:8" ht="19.5">
      <c r="A7" s="1">
        <v>1</v>
      </c>
      <c r="B7" s="39" t="s">
        <v>14</v>
      </c>
      <c r="C7" s="26">
        <v>658</v>
      </c>
      <c r="D7" s="1">
        <v>922</v>
      </c>
      <c r="E7" s="1"/>
      <c r="F7" s="1"/>
      <c r="G7" s="10">
        <f t="shared" si="0"/>
        <v>0</v>
      </c>
      <c r="H7" s="4">
        <f t="shared" si="1"/>
        <v>264</v>
      </c>
    </row>
    <row r="8" spans="1:8" ht="15"/>
    <row r="9" spans="1:8" ht="15">
      <c r="C9" s="6"/>
      <c r="D9" s="6"/>
      <c r="E9" s="6"/>
    </row>
    <row r="10" spans="1:8" ht="39.75" customHeight="1">
      <c r="A10" s="1">
        <v>2</v>
      </c>
      <c r="B10" s="2" t="s">
        <v>8</v>
      </c>
      <c r="C10" s="1">
        <v>731</v>
      </c>
      <c r="D10" s="1">
        <v>0</v>
      </c>
      <c r="E10" s="1"/>
      <c r="F10" s="5"/>
      <c r="G10" s="3">
        <f>IF((C10-D10)&lt;0,0,C10-D10)</f>
        <v>731</v>
      </c>
      <c r="H10" s="4">
        <f>IF((D10-C10)&lt;0,0,D10-C10)</f>
        <v>0</v>
      </c>
    </row>
    <row r="11" spans="1:8" ht="29.25" customHeight="1">
      <c r="A11" s="1">
        <v>2</v>
      </c>
      <c r="B11" s="2" t="s">
        <v>10</v>
      </c>
      <c r="C11" s="1">
        <v>731</v>
      </c>
      <c r="D11" s="1">
        <v>0</v>
      </c>
      <c r="E11" s="1"/>
      <c r="F11" s="5"/>
      <c r="G11" s="3">
        <f>IF((C11-D11)&lt;0,0,C11-D11)</f>
        <v>731</v>
      </c>
      <c r="H11" s="4">
        <f>IF((D11-C11)&lt;0,0,D11-C11)</f>
        <v>0</v>
      </c>
    </row>
    <row r="12" spans="1:8" ht="28.5" customHeight="1">
      <c r="A12" s="1">
        <v>2</v>
      </c>
      <c r="B12" s="2" t="s">
        <v>11</v>
      </c>
      <c r="C12" s="1">
        <v>731</v>
      </c>
      <c r="D12" s="1">
        <v>0</v>
      </c>
      <c r="E12" s="1"/>
      <c r="F12" s="5"/>
      <c r="G12" s="3">
        <f>IF((C12-D12)&lt;0,0,C12-D12)</f>
        <v>731</v>
      </c>
      <c r="H12" s="4">
        <f>IF((D12-C12)&lt;0,0,D12-C12)</f>
        <v>0</v>
      </c>
    </row>
    <row r="13" spans="1:8" ht="24" customHeight="1">
      <c r="A13" s="1">
        <v>2</v>
      </c>
      <c r="B13" s="2" t="s">
        <v>12</v>
      </c>
      <c r="C13" s="1">
        <v>731</v>
      </c>
      <c r="D13" s="1">
        <v>0</v>
      </c>
      <c r="E13" s="1"/>
      <c r="F13" s="5"/>
      <c r="G13" s="3">
        <f>IF((C13-D13)&lt;0,0,C13-D13)</f>
        <v>731</v>
      </c>
      <c r="H13" s="4">
        <f>IF((D13-C13)&lt;0,0,D13-C13)</f>
        <v>0</v>
      </c>
    </row>
    <row r="14" spans="1:8" ht="19.5">
      <c r="A14" s="1">
        <v>2</v>
      </c>
      <c r="B14" s="2" t="s">
        <v>14</v>
      </c>
      <c r="C14" s="1">
        <v>731</v>
      </c>
      <c r="D14" s="1">
        <v>0</v>
      </c>
      <c r="E14" s="1"/>
      <c r="F14" s="5"/>
      <c r="G14" s="3">
        <f>IF((C14-D14)&lt;0,0,C14-D14)</f>
        <v>731</v>
      </c>
      <c r="H14" s="4">
        <f>IF((D14-C14)&lt;0,0,D14-C14)</f>
        <v>0</v>
      </c>
    </row>
    <row r="15" spans="1:8" ht="15">
      <c r="C15" s="6"/>
      <c r="D15" s="6"/>
      <c r="E15" s="6"/>
    </row>
    <row r="16" spans="1:8" ht="49.5" customHeight="1">
      <c r="A16" s="1">
        <v>3</v>
      </c>
      <c r="B16" s="2" t="s">
        <v>8</v>
      </c>
      <c r="C16" s="1">
        <v>739</v>
      </c>
      <c r="D16" s="1">
        <v>0</v>
      </c>
      <c r="E16" s="1"/>
      <c r="F16" s="5"/>
      <c r="G16" s="3">
        <f t="shared" ref="G16:G21" si="2">IF((C16-D16)&lt;0,0,C16-D16)</f>
        <v>739</v>
      </c>
      <c r="H16" s="4">
        <f t="shared" ref="H16:H21" si="3">IF((D16-C16)&lt;0,0,D16-C16)</f>
        <v>0</v>
      </c>
    </row>
    <row r="17" spans="1:8" ht="29.25" customHeight="1">
      <c r="A17" s="1">
        <v>3</v>
      </c>
      <c r="B17" s="2" t="s">
        <v>10</v>
      </c>
      <c r="C17" s="1">
        <v>739</v>
      </c>
      <c r="D17" s="1">
        <v>700</v>
      </c>
      <c r="E17" s="1"/>
      <c r="F17" s="5"/>
      <c r="G17" s="3">
        <f t="shared" si="2"/>
        <v>39</v>
      </c>
      <c r="H17" s="4">
        <f t="shared" si="3"/>
        <v>0</v>
      </c>
    </row>
    <row r="18" spans="1:8" ht="27" customHeight="1">
      <c r="A18" s="1">
        <v>3</v>
      </c>
      <c r="B18" s="2" t="s">
        <v>11</v>
      </c>
      <c r="C18" s="1">
        <v>739</v>
      </c>
      <c r="D18" s="1">
        <v>888</v>
      </c>
      <c r="E18" s="1"/>
      <c r="F18" s="5"/>
      <c r="G18" s="3">
        <f t="shared" si="2"/>
        <v>0</v>
      </c>
      <c r="H18" s="4">
        <f t="shared" si="3"/>
        <v>149</v>
      </c>
    </row>
    <row r="19" spans="1:8" ht="23.25" customHeight="1">
      <c r="A19" s="1">
        <v>3</v>
      </c>
      <c r="B19" s="2" t="s">
        <v>15</v>
      </c>
      <c r="C19" s="1">
        <v>739</v>
      </c>
      <c r="D19" s="1">
        <v>792</v>
      </c>
      <c r="E19" s="1"/>
      <c r="F19" s="5"/>
      <c r="G19" s="3">
        <f t="shared" si="2"/>
        <v>0</v>
      </c>
      <c r="H19" s="4">
        <f t="shared" si="3"/>
        <v>53</v>
      </c>
    </row>
    <row r="20" spans="1:8" ht="21" customHeight="1">
      <c r="A20" s="1">
        <v>3</v>
      </c>
      <c r="B20" s="2" t="s">
        <v>12</v>
      </c>
      <c r="C20" s="1">
        <v>739</v>
      </c>
      <c r="D20" s="1">
        <v>835</v>
      </c>
      <c r="E20" s="1"/>
      <c r="F20" s="5"/>
      <c r="G20" s="3">
        <f t="shared" si="2"/>
        <v>0</v>
      </c>
      <c r="H20" s="4">
        <f t="shared" si="3"/>
        <v>96</v>
      </c>
    </row>
    <row r="21" spans="1:8" ht="19.5">
      <c r="A21" s="1">
        <v>3</v>
      </c>
      <c r="B21" s="2" t="s">
        <v>14</v>
      </c>
      <c r="C21" s="1">
        <v>739</v>
      </c>
      <c r="D21" s="1">
        <v>700</v>
      </c>
      <c r="E21" s="1"/>
      <c r="F21" s="5"/>
      <c r="G21" s="3">
        <f t="shared" si="2"/>
        <v>39</v>
      </c>
      <c r="H21" s="4">
        <f t="shared" si="3"/>
        <v>0</v>
      </c>
    </row>
    <row r="22" spans="1:8" ht="15">
      <c r="A22" s="7"/>
      <c r="B22" s="7"/>
      <c r="C22" s="8"/>
      <c r="D22" s="8"/>
      <c r="E22" s="8"/>
      <c r="F22" s="7"/>
      <c r="G22" s="7"/>
      <c r="H22" s="7"/>
    </row>
    <row r="23" spans="1:8" ht="28.5" customHeight="1">
      <c r="A23" s="1">
        <v>4</v>
      </c>
      <c r="B23" s="9" t="s">
        <v>16</v>
      </c>
      <c r="C23" s="1">
        <v>729</v>
      </c>
      <c r="D23" s="1">
        <v>533</v>
      </c>
      <c r="E23" s="1"/>
      <c r="F23" s="5"/>
      <c r="G23" s="3">
        <f t="shared" ref="G23:G31" si="4">IF((C23-D23)&lt;0,0,C23-D23)</f>
        <v>196</v>
      </c>
      <c r="H23" s="4">
        <f t="shared" ref="H23:H31" si="5">IF((D23-C23)&lt;0,0,D23-C23)</f>
        <v>0</v>
      </c>
    </row>
    <row r="24" spans="1:8" ht="24" customHeight="1">
      <c r="A24" s="1">
        <v>4</v>
      </c>
      <c r="B24" s="9" t="s">
        <v>17</v>
      </c>
      <c r="C24" s="1">
        <v>729</v>
      </c>
      <c r="D24" s="1">
        <v>725</v>
      </c>
      <c r="E24" s="1">
        <v>2024</v>
      </c>
      <c r="F24" s="5" t="s">
        <v>18</v>
      </c>
      <c r="G24" s="3">
        <f t="shared" si="4"/>
        <v>4</v>
      </c>
      <c r="H24" s="4">
        <f t="shared" si="5"/>
        <v>0</v>
      </c>
    </row>
    <row r="25" spans="1:8" ht="19.5">
      <c r="A25" s="1">
        <v>4</v>
      </c>
      <c r="B25" s="9" t="s">
        <v>14</v>
      </c>
      <c r="C25" s="1">
        <v>729</v>
      </c>
      <c r="D25" s="1">
        <v>725</v>
      </c>
      <c r="E25" s="1">
        <v>2025</v>
      </c>
      <c r="F25" s="5" t="s">
        <v>18</v>
      </c>
      <c r="G25" s="3">
        <f t="shared" si="4"/>
        <v>4</v>
      </c>
      <c r="H25" s="4">
        <f t="shared" si="5"/>
        <v>0</v>
      </c>
    </row>
    <row r="26" spans="1:8" ht="27" customHeight="1">
      <c r="A26" s="1">
        <v>4</v>
      </c>
      <c r="B26" s="9" t="s">
        <v>11</v>
      </c>
      <c r="C26" s="1">
        <v>729</v>
      </c>
      <c r="D26" s="1">
        <v>612</v>
      </c>
      <c r="E26" s="1"/>
      <c r="F26" s="5"/>
      <c r="G26" s="3">
        <f t="shared" si="4"/>
        <v>117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729</v>
      </c>
      <c r="D27" s="1">
        <v>725</v>
      </c>
      <c r="E27" s="1">
        <v>2024</v>
      </c>
      <c r="F27" s="5" t="s">
        <v>18</v>
      </c>
      <c r="G27" s="3">
        <f t="shared" si="4"/>
        <v>4</v>
      </c>
      <c r="H27" s="4">
        <f t="shared" si="5"/>
        <v>0</v>
      </c>
    </row>
    <row r="28" spans="1:8" ht="33.75" customHeight="1">
      <c r="A28" s="1">
        <v>4</v>
      </c>
      <c r="B28" s="9" t="s">
        <v>15</v>
      </c>
      <c r="C28" s="1">
        <v>729</v>
      </c>
      <c r="D28" s="1">
        <v>725</v>
      </c>
      <c r="E28" s="1">
        <v>2024</v>
      </c>
      <c r="F28" s="5" t="s">
        <v>18</v>
      </c>
      <c r="G28" s="3">
        <f t="shared" si="4"/>
        <v>4</v>
      </c>
      <c r="H28" s="4">
        <f t="shared" si="5"/>
        <v>0</v>
      </c>
    </row>
    <row r="29" spans="1:8" ht="33.75" customHeight="1">
      <c r="A29" s="1">
        <v>4</v>
      </c>
      <c r="B29" s="9" t="s">
        <v>20</v>
      </c>
      <c r="C29" s="1">
        <v>729</v>
      </c>
      <c r="D29" s="1">
        <v>725</v>
      </c>
      <c r="E29" s="1">
        <v>2024</v>
      </c>
      <c r="F29" s="5" t="s">
        <v>18</v>
      </c>
      <c r="G29" s="3">
        <f t="shared" si="4"/>
        <v>4</v>
      </c>
      <c r="H29" s="4">
        <f t="shared" si="5"/>
        <v>0</v>
      </c>
    </row>
    <row r="30" spans="1:8" ht="27.75" customHeight="1">
      <c r="A30" s="1">
        <v>4</v>
      </c>
      <c r="B30" s="9" t="s">
        <v>21</v>
      </c>
      <c r="C30" s="1">
        <v>729</v>
      </c>
      <c r="D30" s="1">
        <v>612</v>
      </c>
      <c r="E30" s="1"/>
      <c r="F30" s="5"/>
      <c r="G30" s="3">
        <f t="shared" si="4"/>
        <v>117</v>
      </c>
      <c r="H30" s="4">
        <f t="shared" si="5"/>
        <v>0</v>
      </c>
    </row>
    <row r="31" spans="1:8" ht="27.75" customHeight="1">
      <c r="A31" s="1">
        <v>4</v>
      </c>
      <c r="B31" s="9" t="s">
        <v>22</v>
      </c>
      <c r="C31" s="1">
        <v>729</v>
      </c>
      <c r="D31" s="1">
        <v>0</v>
      </c>
      <c r="E31" s="1"/>
      <c r="F31" s="5"/>
      <c r="G31" s="3">
        <f t="shared" si="4"/>
        <v>729</v>
      </c>
      <c r="H31" s="4">
        <f t="shared" si="5"/>
        <v>0</v>
      </c>
    </row>
    <row r="32" spans="1:8" ht="27.75" customHeight="1">
      <c r="A32" s="7"/>
      <c r="B32" s="7"/>
      <c r="C32" s="8"/>
      <c r="D32" s="8"/>
      <c r="E32" s="8"/>
      <c r="F32" s="7"/>
      <c r="G32" s="7"/>
      <c r="H32" s="7"/>
    </row>
    <row r="33" spans="1:8" ht="27.75" customHeight="1">
      <c r="A33" s="1">
        <v>5</v>
      </c>
      <c r="B33" s="9" t="s">
        <v>16</v>
      </c>
      <c r="C33" s="1">
        <v>733</v>
      </c>
      <c r="D33" s="1">
        <v>790</v>
      </c>
      <c r="E33" s="1"/>
      <c r="F33" s="5"/>
      <c r="G33" s="3">
        <f t="shared" ref="G33:G41" si="6">IF((C33-D33)&lt;0,0,C33-D33)</f>
        <v>0</v>
      </c>
      <c r="H33" s="4">
        <f t="shared" ref="H33:H41" si="7">IF((D33-C33)&lt;0,0,D33-C33)</f>
        <v>57</v>
      </c>
    </row>
    <row r="34" spans="1:8" ht="27.75" customHeight="1">
      <c r="A34" s="1">
        <v>5</v>
      </c>
      <c r="B34" s="9" t="s">
        <v>17</v>
      </c>
      <c r="C34" s="1">
        <v>733</v>
      </c>
      <c r="D34" s="1">
        <v>720</v>
      </c>
      <c r="E34" s="1"/>
      <c r="F34" s="5"/>
      <c r="G34" s="3">
        <f t="shared" si="6"/>
        <v>13</v>
      </c>
      <c r="H34" s="4">
        <f t="shared" si="7"/>
        <v>0</v>
      </c>
    </row>
    <row r="35" spans="1:8" ht="27.75" customHeight="1">
      <c r="A35" s="1">
        <v>5</v>
      </c>
      <c r="B35" s="9" t="s">
        <v>14</v>
      </c>
      <c r="C35" s="1">
        <v>733</v>
      </c>
      <c r="D35" s="1">
        <v>792</v>
      </c>
      <c r="E35" s="1"/>
      <c r="F35" s="5"/>
      <c r="G35" s="3">
        <f t="shared" si="6"/>
        <v>0</v>
      </c>
      <c r="H35" s="4">
        <f t="shared" si="7"/>
        <v>59</v>
      </c>
    </row>
    <row r="36" spans="1:8" ht="27.75" customHeight="1">
      <c r="A36" s="1">
        <v>5</v>
      </c>
      <c r="B36" s="9" t="s">
        <v>11</v>
      </c>
      <c r="C36" s="1">
        <v>733</v>
      </c>
      <c r="D36" s="1">
        <v>780</v>
      </c>
      <c r="E36" s="1"/>
      <c r="F36" s="5"/>
      <c r="G36" s="3">
        <f t="shared" si="6"/>
        <v>0</v>
      </c>
      <c r="H36" s="4">
        <f t="shared" si="7"/>
        <v>47</v>
      </c>
    </row>
    <row r="37" spans="1:8" ht="39" customHeight="1">
      <c r="A37" s="1">
        <v>5</v>
      </c>
      <c r="B37" s="9" t="s">
        <v>19</v>
      </c>
      <c r="C37" s="1">
        <v>733</v>
      </c>
      <c r="D37" s="1">
        <v>720</v>
      </c>
      <c r="E37" s="1">
        <v>2025</v>
      </c>
      <c r="F37" s="5" t="s">
        <v>18</v>
      </c>
      <c r="G37" s="3">
        <f t="shared" si="6"/>
        <v>13</v>
      </c>
      <c r="H37" s="4">
        <f t="shared" si="7"/>
        <v>0</v>
      </c>
    </row>
    <row r="38" spans="1:8" ht="27.75" customHeight="1">
      <c r="A38" s="1">
        <v>5</v>
      </c>
      <c r="B38" s="9" t="s">
        <v>15</v>
      </c>
      <c r="C38" s="1">
        <v>733</v>
      </c>
      <c r="D38" s="1">
        <v>720</v>
      </c>
      <c r="E38" s="1"/>
      <c r="F38" s="5"/>
      <c r="G38" s="3">
        <f t="shared" si="6"/>
        <v>13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733</v>
      </c>
      <c r="D39" s="1">
        <v>700</v>
      </c>
      <c r="E39" s="1">
        <v>2025</v>
      </c>
      <c r="F39" s="5" t="s">
        <v>18</v>
      </c>
      <c r="G39" s="3">
        <f t="shared" si="6"/>
        <v>33</v>
      </c>
      <c r="H39" s="4">
        <f t="shared" si="7"/>
        <v>0</v>
      </c>
    </row>
    <row r="40" spans="1:8" ht="27.75" customHeight="1">
      <c r="A40" s="1">
        <v>5</v>
      </c>
      <c r="B40" s="9" t="s">
        <v>21</v>
      </c>
      <c r="C40" s="1">
        <v>733</v>
      </c>
      <c r="D40" s="1">
        <v>720</v>
      </c>
      <c r="E40" s="1"/>
      <c r="F40" s="5"/>
      <c r="G40" s="3">
        <f t="shared" si="6"/>
        <v>13</v>
      </c>
      <c r="H40" s="4">
        <f t="shared" si="7"/>
        <v>0</v>
      </c>
    </row>
    <row r="41" spans="1:8" ht="27.75" customHeight="1">
      <c r="A41" s="1">
        <v>5</v>
      </c>
      <c r="B41" s="9" t="s">
        <v>22</v>
      </c>
      <c r="C41" s="1">
        <v>733</v>
      </c>
      <c r="D41" s="1">
        <v>792</v>
      </c>
      <c r="E41" s="1"/>
      <c r="F41" s="5"/>
      <c r="G41" s="3">
        <f t="shared" si="6"/>
        <v>0</v>
      </c>
      <c r="H41" s="4">
        <f t="shared" si="7"/>
        <v>59</v>
      </c>
    </row>
    <row r="42" spans="1:8" ht="27.75" customHeight="1">
      <c r="A42" s="7"/>
      <c r="B42" s="7"/>
      <c r="C42" s="8"/>
      <c r="D42" s="8"/>
      <c r="E42" s="8"/>
      <c r="F42" s="7"/>
      <c r="G42" s="7"/>
      <c r="H42" s="7"/>
    </row>
    <row r="43" spans="1:8" ht="27.75" customHeight="1">
      <c r="A43" s="1">
        <v>6</v>
      </c>
      <c r="B43" s="9" t="s">
        <v>16</v>
      </c>
      <c r="C43" s="1">
        <v>716</v>
      </c>
      <c r="D43" s="1">
        <v>780</v>
      </c>
      <c r="E43" s="1"/>
      <c r="F43" s="5"/>
      <c r="G43" s="3">
        <f t="shared" ref="G43:G51" si="8">IF((C43-D43)&lt;0,0,C43-D43)</f>
        <v>0</v>
      </c>
      <c r="H43" s="4">
        <f t="shared" ref="H43:H51" si="9">IF((D43-C43)&lt;0,0,D43-C43)</f>
        <v>64</v>
      </c>
    </row>
    <row r="44" spans="1:8" ht="27.75" customHeight="1">
      <c r="A44" s="1">
        <v>6</v>
      </c>
      <c r="B44" s="9" t="s">
        <v>17</v>
      </c>
      <c r="C44" s="1">
        <v>716</v>
      </c>
      <c r="D44" s="1">
        <v>780</v>
      </c>
      <c r="E44" s="1"/>
      <c r="F44" s="5"/>
      <c r="G44" s="3">
        <f t="shared" si="8"/>
        <v>0</v>
      </c>
      <c r="H44" s="4">
        <f t="shared" si="9"/>
        <v>64</v>
      </c>
    </row>
    <row r="45" spans="1:8" ht="27.75" customHeight="1">
      <c r="A45" s="1">
        <v>6</v>
      </c>
      <c r="B45" s="9" t="s">
        <v>14</v>
      </c>
      <c r="C45" s="1">
        <v>716</v>
      </c>
      <c r="D45" s="1">
        <v>576</v>
      </c>
      <c r="E45" s="1"/>
      <c r="F45" s="5"/>
      <c r="G45" s="3">
        <f t="shared" si="8"/>
        <v>140</v>
      </c>
      <c r="H45" s="4">
        <f t="shared" si="9"/>
        <v>0</v>
      </c>
    </row>
    <row r="46" spans="1:8" ht="27.75" customHeight="1">
      <c r="A46" s="1">
        <v>6</v>
      </c>
      <c r="B46" s="9" t="s">
        <v>11</v>
      </c>
      <c r="C46" s="1">
        <v>716</v>
      </c>
      <c r="D46" s="1">
        <v>800</v>
      </c>
      <c r="E46" s="1"/>
      <c r="F46" s="5"/>
      <c r="G46" s="3">
        <f t="shared" si="8"/>
        <v>0</v>
      </c>
      <c r="H46" s="4">
        <f t="shared" si="9"/>
        <v>84</v>
      </c>
    </row>
    <row r="47" spans="1:8" ht="36.75" customHeight="1">
      <c r="A47" s="1">
        <v>6</v>
      </c>
      <c r="B47" s="9" t="s">
        <v>19</v>
      </c>
      <c r="C47" s="1">
        <v>716</v>
      </c>
      <c r="D47" s="1">
        <v>0</v>
      </c>
      <c r="E47" s="1"/>
      <c r="F47" s="5"/>
      <c r="G47" s="3">
        <f t="shared" si="8"/>
        <v>716</v>
      </c>
      <c r="H47" s="4">
        <f t="shared" si="9"/>
        <v>0</v>
      </c>
    </row>
    <row r="48" spans="1:8" ht="27.75" customHeight="1">
      <c r="A48" s="1">
        <v>6</v>
      </c>
      <c r="B48" s="9" t="s">
        <v>15</v>
      </c>
      <c r="C48" s="1">
        <v>716</v>
      </c>
      <c r="D48" s="1">
        <v>780</v>
      </c>
      <c r="E48" s="1"/>
      <c r="F48" s="5"/>
      <c r="G48" s="3">
        <f t="shared" si="8"/>
        <v>0</v>
      </c>
      <c r="H48" s="4">
        <f t="shared" si="9"/>
        <v>64</v>
      </c>
    </row>
    <row r="49" spans="1:8" ht="27.75" customHeight="1">
      <c r="A49" s="1">
        <v>6</v>
      </c>
      <c r="B49" s="9" t="s">
        <v>20</v>
      </c>
      <c r="C49" s="1">
        <v>716</v>
      </c>
      <c r="D49" s="1">
        <v>780</v>
      </c>
      <c r="E49" s="1"/>
      <c r="F49" s="5"/>
      <c r="G49" s="3">
        <f t="shared" si="8"/>
        <v>0</v>
      </c>
      <c r="H49" s="4">
        <f t="shared" si="9"/>
        <v>64</v>
      </c>
    </row>
    <row r="50" spans="1:8" ht="27.75" customHeight="1">
      <c r="A50" s="1">
        <v>6</v>
      </c>
      <c r="B50" s="9" t="s">
        <v>21</v>
      </c>
      <c r="C50" s="1">
        <v>716</v>
      </c>
      <c r="D50" s="1">
        <v>720</v>
      </c>
      <c r="E50" s="1"/>
      <c r="F50" s="5"/>
      <c r="G50" s="3">
        <f t="shared" si="8"/>
        <v>0</v>
      </c>
      <c r="H50" s="4">
        <f t="shared" si="9"/>
        <v>4</v>
      </c>
    </row>
    <row r="51" spans="1:8" ht="27.75" customHeight="1">
      <c r="A51" s="1">
        <v>6</v>
      </c>
      <c r="B51" s="9" t="s">
        <v>22</v>
      </c>
      <c r="C51" s="1">
        <v>716</v>
      </c>
      <c r="D51" s="1">
        <v>720</v>
      </c>
      <c r="E51" s="1"/>
      <c r="F51" s="5"/>
      <c r="G51" s="3">
        <f t="shared" si="8"/>
        <v>0</v>
      </c>
      <c r="H51" s="4">
        <f t="shared" si="9"/>
        <v>4</v>
      </c>
    </row>
    <row r="52" spans="1:8" ht="27.75" customHeight="1">
      <c r="A52" s="7"/>
      <c r="B52" s="7"/>
      <c r="C52" s="8"/>
      <c r="D52" s="8"/>
      <c r="E52" s="8"/>
      <c r="F52" s="7"/>
      <c r="G52" s="7"/>
      <c r="H52" s="7"/>
    </row>
    <row r="53" spans="1:8" ht="27.75" customHeight="1"/>
    <row r="54" spans="1:8" ht="27.75" customHeight="1"/>
    <row r="55" spans="1:8" ht="27.75" customHeight="1"/>
    <row r="56" spans="1:8" ht="27.75" customHeight="1"/>
    <row r="57" spans="1:8" ht="39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27.75" customHeight="1"/>
    <row r="92" ht="27.75" customHeight="1"/>
    <row r="93" ht="39.75" customHeight="1"/>
    <row r="94" ht="27.75" customHeight="1"/>
    <row r="95" ht="27.75" customHeight="1"/>
    <row r="96" ht="27.75" customHeight="1"/>
    <row r="97" ht="40.5" customHeight="1"/>
    <row r="98" ht="38.25" customHeight="1"/>
    <row r="99" ht="27.75" customHeight="1"/>
    <row r="100" ht="47.25" customHeight="1"/>
  </sheetData>
  <protectedRanges>
    <protectedRange sqref="C1:E7 C9:E52" name="Textbooks"/>
    <protectedRange sqref="F1:F7 F9:F52" name="SOURCE"/>
  </protectedRanges>
  <phoneticPr fontId="8" type="noConversion"/>
  <dataValidations count="2">
    <dataValidation type="list" allowBlank="1" showInputMessage="1" showErrorMessage="1" sqref="E43:E51 E33:E41 E23:E31 E16:E21 E10:E14 E2:E7" xr:uid="{B46E7B13-721E-4D49-837E-C02BF9777D48}">
      <formula1>"2024,2025,2026"</formula1>
    </dataValidation>
    <dataValidation type="list" allowBlank="1" showInputMessage="1" showErrorMessage="1" sqref="F16:F21 F23:F31 F33:F41 F43:F51 F10:F14 F2:F7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0" zoomScale="70" zoomScaleNormal="70" workbookViewId="0">
      <selection activeCell="E62" sqref="E62:E230"/>
    </sheetView>
  </sheetViews>
  <sheetFormatPr defaultRowHeight="13.9"/>
  <cols>
    <col min="1" max="1" width="9.42578125" customWidth="1"/>
    <col min="2" max="2" width="24.140625" customWidth="1"/>
    <col min="3" max="3" width="14.140625" customWidth="1"/>
    <col min="4" max="4" width="16.42578125" customWidth="1"/>
    <col min="5" max="5" width="17" style="41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style="44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49" t="s">
        <v>23</v>
      </c>
      <c r="E1" s="49"/>
      <c r="F1" s="49"/>
      <c r="G1" s="49"/>
      <c r="H1" s="49"/>
      <c r="I1" s="49"/>
      <c r="J1" s="50" t="s">
        <v>24</v>
      </c>
      <c r="K1" s="50"/>
      <c r="L1" s="50"/>
      <c r="M1" s="50"/>
      <c r="N1" s="50"/>
      <c r="O1" s="50"/>
      <c r="P1" s="51" t="s">
        <v>25</v>
      </c>
      <c r="Q1" s="51"/>
      <c r="R1" s="51"/>
      <c r="S1" s="51"/>
      <c r="T1" s="51"/>
      <c r="U1" s="51"/>
      <c r="V1" s="52" t="s">
        <v>26</v>
      </c>
      <c r="W1" s="52"/>
      <c r="X1" s="52"/>
      <c r="Y1" s="52"/>
      <c r="Z1" s="52"/>
      <c r="AA1" s="52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27</v>
      </c>
      <c r="E2" s="46" t="s">
        <v>28</v>
      </c>
      <c r="F2" s="18" t="s">
        <v>29</v>
      </c>
      <c r="G2" s="21" t="s">
        <v>30</v>
      </c>
      <c r="H2" s="14" t="s">
        <v>31</v>
      </c>
      <c r="I2" s="21" t="s">
        <v>32</v>
      </c>
      <c r="J2" s="19" t="s">
        <v>33</v>
      </c>
      <c r="K2" s="19" t="s">
        <v>34</v>
      </c>
      <c r="L2" s="20" t="s">
        <v>35</v>
      </c>
      <c r="M2" s="35" t="s">
        <v>36</v>
      </c>
      <c r="N2" s="35" t="s">
        <v>37</v>
      </c>
      <c r="O2" s="19" t="s">
        <v>38</v>
      </c>
      <c r="P2" s="21" t="s">
        <v>39</v>
      </c>
      <c r="Q2" s="21" t="s">
        <v>40</v>
      </c>
      <c r="R2" s="22" t="s">
        <v>41</v>
      </c>
      <c r="S2" s="14" t="s">
        <v>42</v>
      </c>
      <c r="T2" s="14" t="s">
        <v>43</v>
      </c>
      <c r="U2" s="21" t="s">
        <v>44</v>
      </c>
      <c r="V2" s="23" t="s">
        <v>45</v>
      </c>
      <c r="W2" s="23" t="s">
        <v>46</v>
      </c>
      <c r="X2" s="24" t="s">
        <v>47</v>
      </c>
      <c r="Y2" s="36" t="s">
        <v>48</v>
      </c>
      <c r="Z2" s="36" t="s">
        <v>49</v>
      </c>
      <c r="AA2" s="23" t="s">
        <v>50</v>
      </c>
    </row>
    <row r="3" spans="1:27" ht="30.6" customHeight="1">
      <c r="A3" s="34" t="s">
        <v>51</v>
      </c>
      <c r="B3" s="29"/>
      <c r="C3" s="28">
        <v>736</v>
      </c>
      <c r="D3" s="5">
        <f>Table1[[#This Row],[Enrolment S.Y. 2025-2026 ]]*8</f>
        <v>5888</v>
      </c>
      <c r="E3" s="30"/>
      <c r="F3" s="28">
        <v>2025</v>
      </c>
      <c r="G3" s="30"/>
      <c r="H3" s="30">
        <v>0</v>
      </c>
      <c r="I3" s="30">
        <f>IF((E3-D3)&lt;0,0,(E3-D3))</f>
        <v>0</v>
      </c>
      <c r="J3" s="30">
        <v>0</v>
      </c>
      <c r="K3" s="47"/>
      <c r="L3" s="28"/>
      <c r="M3" s="30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5888</v>
      </c>
      <c r="Q3" s="30"/>
      <c r="R3" s="28"/>
      <c r="S3" s="30"/>
      <c r="T3" s="30">
        <f>IF((P3-Q3)&lt;0,0,(P3-Q3))</f>
        <v>5888</v>
      </c>
      <c r="U3" s="30">
        <f>IF((Q3-P3)&lt;0,0,(Q3-P3))</f>
        <v>0</v>
      </c>
      <c r="V3" s="30">
        <f>Table1[[#This Row],[Enrolment S.Y. 2025-2026 ]]*8</f>
        <v>5888</v>
      </c>
      <c r="W3" s="30"/>
      <c r="X3" s="28"/>
      <c r="Y3" s="30"/>
      <c r="Z3" s="30">
        <f>IF((V3-W3)&lt;0,0,(V3-W3))</f>
        <v>5888</v>
      </c>
      <c r="AA3" s="30">
        <f>IF((W3-V3)&lt;0,0,(W3-V3))</f>
        <v>0</v>
      </c>
    </row>
    <row r="4" spans="1:27" s="7" customFormat="1" ht="19.5">
      <c r="D4" s="5"/>
      <c r="F4" s="42"/>
      <c r="J4" s="10"/>
      <c r="N4" s="10"/>
      <c r="O4" s="10"/>
      <c r="P4" s="10"/>
      <c r="S4" s="10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658</v>
      </c>
      <c r="D5" s="5">
        <f>Table1[[#This Row],[Enrolment S.Y. 2025-2026 ]]*8</f>
        <v>5264</v>
      </c>
      <c r="E5" s="5">
        <v>100</v>
      </c>
      <c r="F5" s="1">
        <v>2025</v>
      </c>
      <c r="G5" s="5" t="s">
        <v>18</v>
      </c>
      <c r="H5" s="5">
        <f t="shared" ref="H5:H61" si="2">IF((D5-E5)&lt;0,0,(D5-E5))</f>
        <v>5164</v>
      </c>
      <c r="I5" s="5">
        <f t="shared" ref="I5:I61" si="3">IF((E5-D5)&lt;0,0,(E5-D5))</f>
        <v>0</v>
      </c>
      <c r="J5" s="5">
        <f>Table1[[#This Row],[Enrolment S.Y. 2025-2026 ]]*8</f>
        <v>5264</v>
      </c>
      <c r="K5" s="43">
        <v>0</v>
      </c>
      <c r="L5" s="1"/>
      <c r="M5" s="5"/>
      <c r="N5" s="5">
        <f t="shared" ref="N5" si="4">IF((J5-K5)&lt;0,0,(J5-K5))</f>
        <v>5264</v>
      </c>
      <c r="O5" s="5">
        <f t="shared" ref="O5" si="5">IF((K5-J5)&lt;0,0,(K5-J5))</f>
        <v>0</v>
      </c>
      <c r="P5" s="5">
        <f>Table1[[#This Row],[Enrolment S.Y. 2025-2026 ]]*8</f>
        <v>5264</v>
      </c>
      <c r="Q5" s="5">
        <v>0</v>
      </c>
      <c r="R5" s="1"/>
      <c r="S5" s="5"/>
      <c r="T5" s="5">
        <f t="shared" ref="T5" si="6">IF((P5-Q5)&lt;0,0,(P5-Q5))</f>
        <v>5264</v>
      </c>
      <c r="U5" s="5">
        <f t="shared" ref="U5" si="7">IF((Q5-P5)&lt;0,0,(Q5-P5))</f>
        <v>0</v>
      </c>
      <c r="V5" s="5">
        <f>Table1[[#This Row],[Enrolment S.Y. 2025-2026 ]]*8</f>
        <v>5264</v>
      </c>
      <c r="W5" s="5">
        <v>0</v>
      </c>
      <c r="X5" s="1"/>
      <c r="Y5" s="5"/>
      <c r="Z5" s="5">
        <f t="shared" ref="Z5" si="8">IF((V5-W5)&lt;0,0,(V5-W5))</f>
        <v>5264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658</v>
      </c>
      <c r="D6" s="5">
        <f>Table1[[#This Row],[Enrolment S.Y. 2025-2026 ]]*8</f>
        <v>5264</v>
      </c>
      <c r="E6" s="5">
        <v>100</v>
      </c>
      <c r="F6" s="1">
        <v>2025</v>
      </c>
      <c r="G6" s="5" t="s">
        <v>18</v>
      </c>
      <c r="H6" s="5">
        <f t="shared" si="2"/>
        <v>5164</v>
      </c>
      <c r="I6" s="5">
        <f t="shared" si="3"/>
        <v>0</v>
      </c>
      <c r="J6" s="5">
        <f>Table1[[#This Row],[Enrolment S.Y. 2025-2026 ]]*8</f>
        <v>5264</v>
      </c>
      <c r="K6" s="43">
        <v>0</v>
      </c>
      <c r="L6" s="1"/>
      <c r="M6" s="5"/>
      <c r="N6" s="5">
        <f t="shared" ref="N6:N61" si="10">IF((J6-K6)&lt;0,0,(J6-K6))</f>
        <v>5264</v>
      </c>
      <c r="O6" s="5">
        <f t="shared" ref="O6:O61" si="11">IF((K6-J6)&lt;0,0,(K6-J6))</f>
        <v>0</v>
      </c>
      <c r="P6" s="5">
        <f>Table1[[#This Row],[Enrolment S.Y. 2025-2026 ]]*8</f>
        <v>5264</v>
      </c>
      <c r="Q6" s="5">
        <v>0</v>
      </c>
      <c r="R6" s="1"/>
      <c r="S6" s="5"/>
      <c r="T6" s="5">
        <f t="shared" ref="T6:T61" si="12">IF((P6-Q6)&lt;0,0,(P6-Q6))</f>
        <v>5264</v>
      </c>
      <c r="U6" s="5">
        <f t="shared" ref="U6:U61" si="13">IF((Q6-P6)&lt;0,0,(Q6-P6))</f>
        <v>0</v>
      </c>
      <c r="V6" s="5">
        <f>Table1[[#This Row],[Enrolment S.Y. 2025-2026 ]]*8</f>
        <v>5264</v>
      </c>
      <c r="W6" s="5">
        <v>0</v>
      </c>
      <c r="X6" s="1"/>
      <c r="Y6" s="5"/>
      <c r="Z6" s="5">
        <f t="shared" ref="Z6:Z61" si="14">IF((V6-W6)&lt;0,0,(V6-W6))</f>
        <v>5264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658</v>
      </c>
      <c r="D7" s="5">
        <f>Table1[[#This Row],[Enrolment S.Y. 2025-2026 ]]*8</f>
        <v>5264</v>
      </c>
      <c r="E7" s="5">
        <v>0</v>
      </c>
      <c r="F7" s="1"/>
      <c r="G7" s="5"/>
      <c r="H7" s="5">
        <f t="shared" si="2"/>
        <v>5264</v>
      </c>
      <c r="I7" s="5">
        <f t="shared" si="3"/>
        <v>0</v>
      </c>
      <c r="J7" s="5">
        <f>Table1[[#This Row],[Enrolment S.Y. 2025-2026 ]]*8</f>
        <v>5264</v>
      </c>
      <c r="K7" s="43">
        <v>0</v>
      </c>
      <c r="L7" s="1"/>
      <c r="M7" s="5"/>
      <c r="N7" s="5">
        <f t="shared" si="10"/>
        <v>5264</v>
      </c>
      <c r="O7" s="5">
        <f t="shared" si="11"/>
        <v>0</v>
      </c>
      <c r="P7" s="5">
        <f>Table1[[#This Row],[Enrolment S.Y. 2025-2026 ]]*8</f>
        <v>5264</v>
      </c>
      <c r="Q7" s="5">
        <v>0</v>
      </c>
      <c r="R7" s="1"/>
      <c r="S7" s="5"/>
      <c r="T7" s="5">
        <f t="shared" si="12"/>
        <v>5264</v>
      </c>
      <c r="U7" s="5">
        <f t="shared" si="13"/>
        <v>0</v>
      </c>
      <c r="V7" s="5">
        <f>Table1[[#This Row],[Enrolment S.Y. 2025-2026 ]]*8</f>
        <v>5264</v>
      </c>
      <c r="W7" s="5">
        <v>0</v>
      </c>
      <c r="X7" s="1"/>
      <c r="Y7" s="5"/>
      <c r="Z7" s="5">
        <f t="shared" si="14"/>
        <v>5264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658</v>
      </c>
      <c r="D8" s="5">
        <f>Table1[[#This Row],[Enrolment S.Y. 2025-2026 ]]*8</f>
        <v>5264</v>
      </c>
      <c r="E8" s="5">
        <v>0</v>
      </c>
      <c r="F8" s="1"/>
      <c r="G8" s="5"/>
      <c r="H8" s="5">
        <f t="shared" si="2"/>
        <v>5264</v>
      </c>
      <c r="I8" s="5">
        <f t="shared" si="3"/>
        <v>0</v>
      </c>
      <c r="J8" s="5">
        <f>Table1[[#This Row],[Enrolment S.Y. 2025-2026 ]]*8</f>
        <v>5264</v>
      </c>
      <c r="K8" s="43">
        <v>0</v>
      </c>
      <c r="L8" s="1"/>
      <c r="M8" s="5"/>
      <c r="N8" s="5">
        <f t="shared" si="10"/>
        <v>5264</v>
      </c>
      <c r="O8" s="5">
        <f t="shared" si="11"/>
        <v>0</v>
      </c>
      <c r="P8" s="5">
        <f>Table1[[#This Row],[Enrolment S.Y. 2025-2026 ]]*8</f>
        <v>5264</v>
      </c>
      <c r="Q8" s="5">
        <v>0</v>
      </c>
      <c r="R8" s="1"/>
      <c r="S8" s="5"/>
      <c r="T8" s="5">
        <f t="shared" si="12"/>
        <v>5264</v>
      </c>
      <c r="U8" s="5">
        <f t="shared" si="13"/>
        <v>0</v>
      </c>
      <c r="V8" s="5">
        <f>Table1[[#This Row],[Enrolment S.Y. 2025-2026 ]]*8</f>
        <v>5264</v>
      </c>
      <c r="W8" s="5">
        <v>0</v>
      </c>
      <c r="X8" s="1"/>
      <c r="Y8" s="5"/>
      <c r="Z8" s="5">
        <f t="shared" si="14"/>
        <v>5264</v>
      </c>
      <c r="AA8" s="5">
        <f t="shared" si="15"/>
        <v>0</v>
      </c>
    </row>
    <row r="9" spans="1:27" ht="19.5">
      <c r="A9" s="1">
        <v>1</v>
      </c>
      <c r="B9" s="2" t="s">
        <v>14</v>
      </c>
      <c r="C9" s="1">
        <v>658</v>
      </c>
      <c r="D9" s="5">
        <f>Table1[[#This Row],[Enrolment S.Y. 2025-2026 ]]*8</f>
        <v>5264</v>
      </c>
      <c r="E9" s="5">
        <v>0</v>
      </c>
      <c r="F9" s="1"/>
      <c r="G9" s="5"/>
      <c r="H9" s="5">
        <f t="shared" si="2"/>
        <v>5264</v>
      </c>
      <c r="I9" s="5">
        <f t="shared" si="3"/>
        <v>0</v>
      </c>
      <c r="J9" s="5">
        <f>Table1[[#This Row],[Enrolment S.Y. 2025-2026 ]]*8</f>
        <v>5264</v>
      </c>
      <c r="K9" s="43">
        <v>0</v>
      </c>
      <c r="L9" s="1"/>
      <c r="M9" s="5"/>
      <c r="N9" s="5">
        <f t="shared" si="10"/>
        <v>5264</v>
      </c>
      <c r="O9" s="5">
        <f t="shared" si="11"/>
        <v>0</v>
      </c>
      <c r="P9" s="5">
        <f>Table1[[#This Row],[Enrolment S.Y. 2025-2026 ]]*8</f>
        <v>5264</v>
      </c>
      <c r="Q9" s="5">
        <v>0</v>
      </c>
      <c r="R9" s="1"/>
      <c r="S9" s="5"/>
      <c r="T9" s="5">
        <f t="shared" si="12"/>
        <v>5264</v>
      </c>
      <c r="U9" s="5">
        <f t="shared" si="13"/>
        <v>0</v>
      </c>
      <c r="V9" s="5">
        <f>Table1[[#This Row],[Enrolment S.Y. 2025-2026 ]]*8</f>
        <v>5264</v>
      </c>
      <c r="W9" s="5">
        <v>0</v>
      </c>
      <c r="X9" s="1"/>
      <c r="Y9" s="5"/>
      <c r="Z9" s="5">
        <f t="shared" si="14"/>
        <v>5264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658</v>
      </c>
      <c r="D10" s="5">
        <f>Table1[[#This Row],[Enrolment S.Y. 2025-2026 ]]*8</f>
        <v>5264</v>
      </c>
      <c r="E10" s="5">
        <v>0</v>
      </c>
      <c r="F10" s="1"/>
      <c r="G10" s="5"/>
      <c r="H10" s="5">
        <f>IF((D10-E10)&lt;0,0,(D10-E10))</f>
        <v>5264</v>
      </c>
      <c r="I10" s="5">
        <f>IF((E10-D10)&lt;0,0,(E10-D10))</f>
        <v>0</v>
      </c>
      <c r="J10" s="5">
        <f>Table1[[#This Row],[Enrolment S.Y. 2025-2026 ]]*8</f>
        <v>5264</v>
      </c>
      <c r="K10" s="43">
        <v>0</v>
      </c>
      <c r="L10" s="1"/>
      <c r="M10" s="5"/>
      <c r="N10" s="5">
        <f t="shared" si="10"/>
        <v>5264</v>
      </c>
      <c r="O10" s="5">
        <f t="shared" si="11"/>
        <v>0</v>
      </c>
      <c r="P10" s="5">
        <f>Table1[[#This Row],[Enrolment S.Y. 2025-2026 ]]*8</f>
        <v>5264</v>
      </c>
      <c r="Q10" s="5">
        <v>0</v>
      </c>
      <c r="R10" s="1"/>
      <c r="S10" s="5"/>
      <c r="T10" s="5">
        <f t="shared" si="12"/>
        <v>5264</v>
      </c>
      <c r="U10" s="5">
        <f t="shared" si="13"/>
        <v>0</v>
      </c>
      <c r="V10" s="5">
        <f>Table1[[#This Row],[Enrolment S.Y. 2025-2026 ]]*8</f>
        <v>5264</v>
      </c>
      <c r="W10" s="5">
        <v>0</v>
      </c>
      <c r="X10" s="1"/>
      <c r="Y10" s="5"/>
      <c r="Z10" s="5">
        <f t="shared" si="14"/>
        <v>5264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658</v>
      </c>
      <c r="D11" s="5">
        <f>Table1[[#This Row],[Enrolment S.Y. 2025-2026 ]]*8</f>
        <v>5264</v>
      </c>
      <c r="E11" s="5">
        <v>0</v>
      </c>
      <c r="F11" s="1"/>
      <c r="G11" s="5"/>
      <c r="H11" s="5">
        <f>IF((D11-E11)&lt;0,0,(D11-E11))</f>
        <v>5264</v>
      </c>
      <c r="I11" s="5">
        <f>IF((E11-D11)&lt;0,0,(E11-D11))</f>
        <v>0</v>
      </c>
      <c r="J11" s="5">
        <f>Table1[[#This Row],[Enrolment S.Y. 2025-2026 ]]*8</f>
        <v>5264</v>
      </c>
      <c r="K11" s="43">
        <v>0</v>
      </c>
      <c r="L11" s="1"/>
      <c r="M11" s="5"/>
      <c r="N11" s="5">
        <f t="shared" si="10"/>
        <v>5264</v>
      </c>
      <c r="O11" s="5">
        <f t="shared" si="11"/>
        <v>0</v>
      </c>
      <c r="P11" s="5">
        <f>Table1[[#This Row],[Enrolment S.Y. 2025-2026 ]]*8</f>
        <v>5264</v>
      </c>
      <c r="Q11" s="5">
        <v>0</v>
      </c>
      <c r="R11" s="1"/>
      <c r="S11" s="5"/>
      <c r="T11" s="5">
        <f t="shared" si="12"/>
        <v>5264</v>
      </c>
      <c r="U11" s="5">
        <f t="shared" si="13"/>
        <v>0</v>
      </c>
      <c r="V11" s="5">
        <f>Table1[[#This Row],[Enrolment S.Y. 2025-2026 ]]*8</f>
        <v>5264</v>
      </c>
      <c r="W11" s="5">
        <v>0</v>
      </c>
      <c r="X11" s="1"/>
      <c r="Y11" s="5"/>
      <c r="Z11" s="5">
        <f t="shared" si="14"/>
        <v>5264</v>
      </c>
      <c r="AA11" s="5">
        <f t="shared" si="15"/>
        <v>0</v>
      </c>
    </row>
    <row r="12" spans="1:27" ht="19.5">
      <c r="A12" s="1">
        <v>1</v>
      </c>
      <c r="B12" s="9" t="s">
        <v>52</v>
      </c>
      <c r="C12" s="1">
        <v>658</v>
      </c>
      <c r="D12" s="5">
        <f>Table1[[#This Row],[Enrolment S.Y. 2025-2026 ]]*8</f>
        <v>5264</v>
      </c>
      <c r="E12" s="5">
        <v>0</v>
      </c>
      <c r="F12" s="1"/>
      <c r="G12" s="5"/>
      <c r="H12" s="5">
        <f>IF((D12-E12)&lt;0,0,(D12-E12))</f>
        <v>5264</v>
      </c>
      <c r="I12" s="5">
        <f>IF((E12-D12)&lt;0,0,(E12-D12))</f>
        <v>0</v>
      </c>
      <c r="J12" s="5">
        <f>Table1[[#This Row],[Enrolment S.Y. 2025-2026 ]]*8</f>
        <v>5264</v>
      </c>
      <c r="K12" s="43">
        <v>0</v>
      </c>
      <c r="L12" s="1"/>
      <c r="M12" s="5"/>
      <c r="N12" s="5">
        <f t="shared" si="10"/>
        <v>5264</v>
      </c>
      <c r="O12" s="5">
        <f t="shared" si="11"/>
        <v>0</v>
      </c>
      <c r="P12" s="5">
        <f>Table1[[#This Row],[Enrolment S.Y. 2025-2026 ]]*8</f>
        <v>5264</v>
      </c>
      <c r="Q12" s="5">
        <v>0</v>
      </c>
      <c r="R12" s="1"/>
      <c r="S12" s="5"/>
      <c r="T12" s="5">
        <f t="shared" si="12"/>
        <v>5264</v>
      </c>
      <c r="U12" s="5">
        <f t="shared" si="13"/>
        <v>0</v>
      </c>
      <c r="V12" s="5">
        <f>Table1[[#This Row],[Enrolment S.Y. 2025-2026 ]]*8</f>
        <v>5264</v>
      </c>
      <c r="W12" s="5">
        <v>0</v>
      </c>
      <c r="X12" s="1"/>
      <c r="Y12" s="5"/>
      <c r="Z12" s="5">
        <f t="shared" si="14"/>
        <v>5264</v>
      </c>
      <c r="AA12" s="5">
        <f t="shared" si="15"/>
        <v>0</v>
      </c>
    </row>
    <row r="13" spans="1:27" s="7" customFormat="1" ht="19.149999999999999">
      <c r="E13" s="41"/>
      <c r="J13" s="10"/>
      <c r="K13" s="44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731</v>
      </c>
      <c r="D14" s="5">
        <f>Table1[[#This Row],[Enrolment S.Y. 2025-2026 ]]*8</f>
        <v>5848</v>
      </c>
      <c r="E14" s="5"/>
      <c r="F14" s="1">
        <v>2025</v>
      </c>
      <c r="G14" s="5"/>
      <c r="H14" s="5">
        <f t="shared" si="2"/>
        <v>5848</v>
      </c>
      <c r="I14" s="5">
        <f t="shared" si="3"/>
        <v>0</v>
      </c>
      <c r="J14" s="5">
        <f>Table1[[#This Row],[Enrolment S.Y. 2025-2026 ]]*8</f>
        <v>5848</v>
      </c>
      <c r="K14" s="43"/>
      <c r="L14" s="1"/>
      <c r="M14" s="5"/>
      <c r="N14" s="5">
        <f t="shared" si="10"/>
        <v>5848</v>
      </c>
      <c r="O14" s="5">
        <f t="shared" si="11"/>
        <v>0</v>
      </c>
      <c r="P14" s="5">
        <f>Table1[[#This Row],[Enrolment S.Y. 2025-2026 ]]*8</f>
        <v>5848</v>
      </c>
      <c r="Q14" s="5">
        <v>0</v>
      </c>
      <c r="R14" s="1"/>
      <c r="S14" s="5"/>
      <c r="T14" s="5">
        <f t="shared" si="12"/>
        <v>5848</v>
      </c>
      <c r="U14" s="5">
        <f t="shared" si="13"/>
        <v>0</v>
      </c>
      <c r="V14" s="5">
        <f>Table1[[#This Row],[Enrolment S.Y. 2025-2026 ]]*8</f>
        <v>5848</v>
      </c>
      <c r="W14" s="5">
        <v>0</v>
      </c>
      <c r="X14" s="1"/>
      <c r="Y14" s="5"/>
      <c r="Z14" s="5">
        <f t="shared" si="14"/>
        <v>5848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731</v>
      </c>
      <c r="D15" s="5">
        <f>Table1[[#This Row],[Enrolment S.Y. 2025-2026 ]]*8</f>
        <v>5848</v>
      </c>
      <c r="E15" s="5"/>
      <c r="F15" s="1">
        <v>2025</v>
      </c>
      <c r="G15" s="5"/>
      <c r="H15" s="5">
        <f t="shared" si="2"/>
        <v>5848</v>
      </c>
      <c r="I15" s="5">
        <f t="shared" si="3"/>
        <v>0</v>
      </c>
      <c r="J15" s="5">
        <f>Table1[[#This Row],[Enrolment S.Y. 2025-2026 ]]*8</f>
        <v>5848</v>
      </c>
      <c r="K15" s="43">
        <v>0</v>
      </c>
      <c r="L15" s="1"/>
      <c r="M15" s="5"/>
      <c r="N15" s="5">
        <f t="shared" si="10"/>
        <v>5848</v>
      </c>
      <c r="O15" s="5">
        <f t="shared" si="11"/>
        <v>0</v>
      </c>
      <c r="P15" s="5">
        <f>Table1[[#This Row],[Enrolment S.Y. 2025-2026 ]]*8</f>
        <v>5848</v>
      </c>
      <c r="Q15" s="5">
        <v>0</v>
      </c>
      <c r="R15" s="1"/>
      <c r="S15" s="5"/>
      <c r="T15" s="5">
        <f t="shared" si="12"/>
        <v>5848</v>
      </c>
      <c r="U15" s="5">
        <f t="shared" si="13"/>
        <v>0</v>
      </c>
      <c r="V15" s="5">
        <f>Table1[[#This Row],[Enrolment S.Y. 2025-2026 ]]*8</f>
        <v>5848</v>
      </c>
      <c r="W15" s="5">
        <v>0</v>
      </c>
      <c r="X15" s="1"/>
      <c r="Y15" s="5"/>
      <c r="Z15" s="5">
        <f t="shared" si="14"/>
        <v>5848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731</v>
      </c>
      <c r="D16" s="5">
        <f>Table1[[#This Row],[Enrolment S.Y. 2025-2026 ]]*8</f>
        <v>5848</v>
      </c>
      <c r="E16" s="5">
        <v>633</v>
      </c>
      <c r="F16" s="1">
        <v>2025</v>
      </c>
      <c r="G16" s="5" t="s">
        <v>18</v>
      </c>
      <c r="H16" s="5">
        <f t="shared" si="2"/>
        <v>5215</v>
      </c>
      <c r="I16" s="5">
        <f t="shared" si="3"/>
        <v>0</v>
      </c>
      <c r="J16" s="5">
        <f>Table1[[#This Row],[Enrolment S.Y. 2025-2026 ]]*8</f>
        <v>5848</v>
      </c>
      <c r="K16" s="43">
        <v>0</v>
      </c>
      <c r="L16" s="1"/>
      <c r="M16" s="5"/>
      <c r="N16" s="5">
        <f t="shared" si="10"/>
        <v>5848</v>
      </c>
      <c r="O16" s="5">
        <f t="shared" si="11"/>
        <v>0</v>
      </c>
      <c r="P16" s="5">
        <f>Table1[[#This Row],[Enrolment S.Y. 2025-2026 ]]*8</f>
        <v>5848</v>
      </c>
      <c r="Q16" s="5">
        <v>0</v>
      </c>
      <c r="R16" s="1"/>
      <c r="S16" s="5"/>
      <c r="T16" s="5">
        <f t="shared" si="12"/>
        <v>5848</v>
      </c>
      <c r="U16" s="5">
        <f t="shared" si="13"/>
        <v>0</v>
      </c>
      <c r="V16" s="5">
        <f>Table1[[#This Row],[Enrolment S.Y. 2025-2026 ]]*8</f>
        <v>5848</v>
      </c>
      <c r="W16" s="5">
        <v>0</v>
      </c>
      <c r="X16" s="1"/>
      <c r="Y16" s="5"/>
      <c r="Z16" s="5">
        <f t="shared" si="14"/>
        <v>5848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731</v>
      </c>
      <c r="D17" s="5">
        <f>Table1[[#This Row],[Enrolment S.Y. 2025-2026 ]]*8</f>
        <v>5848</v>
      </c>
      <c r="E17" s="5">
        <v>633</v>
      </c>
      <c r="F17" s="1">
        <v>2025</v>
      </c>
      <c r="G17" s="5" t="s">
        <v>18</v>
      </c>
      <c r="H17" s="5">
        <f t="shared" si="2"/>
        <v>5215</v>
      </c>
      <c r="I17" s="5">
        <f t="shared" si="3"/>
        <v>0</v>
      </c>
      <c r="J17" s="5">
        <f>Table1[[#This Row],[Enrolment S.Y. 2025-2026 ]]*8</f>
        <v>5848</v>
      </c>
      <c r="K17" s="43">
        <v>730</v>
      </c>
      <c r="L17" s="1">
        <v>2025</v>
      </c>
      <c r="M17" s="5" t="s">
        <v>18</v>
      </c>
      <c r="N17" s="5">
        <f t="shared" si="10"/>
        <v>5118</v>
      </c>
      <c r="O17" s="5">
        <f t="shared" si="11"/>
        <v>0</v>
      </c>
      <c r="P17" s="5">
        <f>Table1[[#This Row],[Enrolment S.Y. 2025-2026 ]]*8</f>
        <v>5848</v>
      </c>
      <c r="Q17" s="5">
        <v>0</v>
      </c>
      <c r="R17" s="1"/>
      <c r="S17" s="5"/>
      <c r="T17" s="5">
        <f t="shared" si="12"/>
        <v>5848</v>
      </c>
      <c r="U17" s="5">
        <f t="shared" si="13"/>
        <v>0</v>
      </c>
      <c r="V17" s="5">
        <f>Table1[[#This Row],[Enrolment S.Y. 2025-2026 ]]*8</f>
        <v>5848</v>
      </c>
      <c r="W17" s="5">
        <v>0</v>
      </c>
      <c r="X17" s="1"/>
      <c r="Y17" s="5"/>
      <c r="Z17" s="5">
        <f t="shared" si="14"/>
        <v>5848</v>
      </c>
      <c r="AA17" s="5">
        <f t="shared" si="15"/>
        <v>0</v>
      </c>
    </row>
    <row r="18" spans="1:27" ht="19.5">
      <c r="A18" s="1">
        <v>2</v>
      </c>
      <c r="B18" s="2" t="s">
        <v>14</v>
      </c>
      <c r="C18" s="1">
        <v>731</v>
      </c>
      <c r="D18" s="5">
        <f>Table1[[#This Row],[Enrolment S.Y. 2025-2026 ]]*8</f>
        <v>5848</v>
      </c>
      <c r="E18" s="5">
        <v>633</v>
      </c>
      <c r="F18" s="1">
        <v>2025</v>
      </c>
      <c r="G18" s="5" t="s">
        <v>18</v>
      </c>
      <c r="H18" s="5">
        <f t="shared" si="2"/>
        <v>5215</v>
      </c>
      <c r="I18" s="5">
        <f t="shared" si="3"/>
        <v>0</v>
      </c>
      <c r="J18" s="5">
        <f>Table1[[#This Row],[Enrolment S.Y. 2025-2026 ]]*8</f>
        <v>5848</v>
      </c>
      <c r="K18" s="43">
        <v>0</v>
      </c>
      <c r="L18" s="1"/>
      <c r="M18" s="5"/>
      <c r="N18" s="5">
        <f t="shared" si="10"/>
        <v>5848</v>
      </c>
      <c r="O18" s="5">
        <f t="shared" si="11"/>
        <v>0</v>
      </c>
      <c r="P18" s="5">
        <f>Table1[[#This Row],[Enrolment S.Y. 2025-2026 ]]*8</f>
        <v>5848</v>
      </c>
      <c r="Q18" s="5">
        <v>0</v>
      </c>
      <c r="R18" s="1"/>
      <c r="S18" s="5"/>
      <c r="T18" s="5">
        <f t="shared" si="12"/>
        <v>5848</v>
      </c>
      <c r="U18" s="5">
        <f t="shared" si="13"/>
        <v>0</v>
      </c>
      <c r="V18" s="5">
        <f>Table1[[#This Row],[Enrolment S.Y. 2025-2026 ]]*8</f>
        <v>5848</v>
      </c>
      <c r="W18" s="5">
        <v>0</v>
      </c>
      <c r="X18" s="1"/>
      <c r="Y18" s="5"/>
      <c r="Z18" s="5">
        <f t="shared" si="14"/>
        <v>5848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731</v>
      </c>
      <c r="D19" s="5">
        <f>Table1[[#This Row],[Enrolment S.Y. 2025-2026 ]]*8</f>
        <v>5848</v>
      </c>
      <c r="E19" s="5">
        <v>633</v>
      </c>
      <c r="F19" s="1">
        <v>2025</v>
      </c>
      <c r="G19" s="5" t="s">
        <v>18</v>
      </c>
      <c r="H19" s="5">
        <f>IF((D19-E19)&lt;0,0,(D19-E19))</f>
        <v>5215</v>
      </c>
      <c r="I19" s="5">
        <f>IF((E19-D19)&lt;0,0,(E19-D19))</f>
        <v>0</v>
      </c>
      <c r="J19" s="5">
        <f>Table1[[#This Row],[Enrolment S.Y. 2025-2026 ]]*8</f>
        <v>5848</v>
      </c>
      <c r="K19" s="43">
        <v>730</v>
      </c>
      <c r="L19" s="1">
        <v>2025</v>
      </c>
      <c r="M19" s="5" t="s">
        <v>18</v>
      </c>
      <c r="N19" s="5">
        <f t="shared" si="10"/>
        <v>5118</v>
      </c>
      <c r="O19" s="5">
        <f t="shared" si="11"/>
        <v>0</v>
      </c>
      <c r="P19" s="5">
        <f>Table1[[#This Row],[Enrolment S.Y. 2025-2026 ]]*8</f>
        <v>5848</v>
      </c>
      <c r="Q19" s="5">
        <v>0</v>
      </c>
      <c r="R19" s="1"/>
      <c r="S19" s="5"/>
      <c r="T19" s="5">
        <f t="shared" si="12"/>
        <v>5848</v>
      </c>
      <c r="U19" s="5">
        <f t="shared" si="13"/>
        <v>0</v>
      </c>
      <c r="V19" s="5">
        <f>Table1[[#This Row],[Enrolment S.Y. 2025-2026 ]]*8</f>
        <v>5848</v>
      </c>
      <c r="W19" s="5">
        <v>0</v>
      </c>
      <c r="X19" s="1"/>
      <c r="Y19" s="5"/>
      <c r="Z19" s="5">
        <f t="shared" si="14"/>
        <v>5848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731</v>
      </c>
      <c r="D20" s="5">
        <f>Table1[[#This Row],[Enrolment S.Y. 2025-2026 ]]*8</f>
        <v>5848</v>
      </c>
      <c r="E20" s="5">
        <v>633</v>
      </c>
      <c r="F20" s="1">
        <v>2025</v>
      </c>
      <c r="G20" s="5" t="s">
        <v>18</v>
      </c>
      <c r="H20" s="5">
        <f>IF((D20-E20)&lt;0,0,(D20-E20))</f>
        <v>5215</v>
      </c>
      <c r="I20" s="5">
        <f>IF((E20-D20)&lt;0,0,(E20-D20))</f>
        <v>0</v>
      </c>
      <c r="J20" s="5">
        <f>Table1[[#This Row],[Enrolment S.Y. 2025-2026 ]]*8</f>
        <v>5848</v>
      </c>
      <c r="K20" s="43">
        <v>0</v>
      </c>
      <c r="L20" s="1"/>
      <c r="M20" s="5"/>
      <c r="N20" s="5">
        <f t="shared" si="10"/>
        <v>5848</v>
      </c>
      <c r="O20" s="5">
        <f t="shared" si="11"/>
        <v>0</v>
      </c>
      <c r="P20" s="5">
        <f>Table1[[#This Row],[Enrolment S.Y. 2025-2026 ]]*8</f>
        <v>5848</v>
      </c>
      <c r="Q20" s="5">
        <v>0</v>
      </c>
      <c r="R20" s="1"/>
      <c r="S20" s="5"/>
      <c r="T20" s="5">
        <f t="shared" si="12"/>
        <v>5848</v>
      </c>
      <c r="U20" s="5">
        <f t="shared" si="13"/>
        <v>0</v>
      </c>
      <c r="V20" s="5">
        <f>Table1[[#This Row],[Enrolment S.Y. 2025-2026 ]]*8</f>
        <v>5848</v>
      </c>
      <c r="W20" s="5">
        <v>0</v>
      </c>
      <c r="X20" s="1"/>
      <c r="Y20" s="5"/>
      <c r="Z20" s="5">
        <f t="shared" si="14"/>
        <v>5848</v>
      </c>
      <c r="AA20" s="5">
        <f t="shared" si="15"/>
        <v>0</v>
      </c>
    </row>
    <row r="21" spans="1:27" ht="19.5">
      <c r="A21" s="1">
        <v>2</v>
      </c>
      <c r="B21" s="9" t="s">
        <v>52</v>
      </c>
      <c r="C21" s="1">
        <v>731</v>
      </c>
      <c r="D21" s="5">
        <f>Table1[[#This Row],[Enrolment S.Y. 2025-2026 ]]*8</f>
        <v>5848</v>
      </c>
      <c r="E21" s="5"/>
      <c r="F21" s="1">
        <v>2025</v>
      </c>
      <c r="G21" s="5"/>
      <c r="H21" s="5">
        <f>IF((D21-E21)&lt;0,0,(D21-E21))</f>
        <v>5848</v>
      </c>
      <c r="I21" s="5">
        <f>IF((E21-D21)&lt;0,0,(E21-D21))</f>
        <v>0</v>
      </c>
      <c r="J21" s="5">
        <f>Table1[[#This Row],[Enrolment S.Y. 2025-2026 ]]*8</f>
        <v>5848</v>
      </c>
      <c r="K21" s="43">
        <v>0</v>
      </c>
      <c r="L21" s="1"/>
      <c r="M21" s="5"/>
      <c r="N21" s="5">
        <f t="shared" si="10"/>
        <v>5848</v>
      </c>
      <c r="O21" s="5">
        <f t="shared" si="11"/>
        <v>0</v>
      </c>
      <c r="P21" s="5">
        <f>Table1[[#This Row],[Enrolment S.Y. 2025-2026 ]]*8</f>
        <v>5848</v>
      </c>
      <c r="Q21" s="5">
        <v>0</v>
      </c>
      <c r="R21" s="1"/>
      <c r="S21" s="5"/>
      <c r="T21" s="5">
        <f t="shared" si="12"/>
        <v>5848</v>
      </c>
      <c r="U21" s="5">
        <f t="shared" si="13"/>
        <v>0</v>
      </c>
      <c r="V21" s="5">
        <f>Table1[[#This Row],[Enrolment S.Y. 2025-2026 ]]*8</f>
        <v>5848</v>
      </c>
      <c r="W21" s="5">
        <v>0</v>
      </c>
      <c r="X21" s="1"/>
      <c r="Y21" s="5"/>
      <c r="Z21" s="5">
        <f t="shared" si="14"/>
        <v>5848</v>
      </c>
      <c r="AA21" s="5">
        <f t="shared" si="15"/>
        <v>0</v>
      </c>
    </row>
    <row r="22" spans="1:27" s="7" customFormat="1" ht="19.5">
      <c r="D22" s="10"/>
      <c r="J22" s="10"/>
      <c r="K22" s="44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739</v>
      </c>
      <c r="D23" s="5">
        <f>Table1[[#This Row],[Enrolment S.Y. 2025-2026 ]]*8</f>
        <v>5912</v>
      </c>
      <c r="E23" s="5">
        <v>0</v>
      </c>
      <c r="F23" s="1"/>
      <c r="G23" s="5"/>
      <c r="H23" s="5">
        <f t="shared" si="2"/>
        <v>5912</v>
      </c>
      <c r="I23" s="5">
        <f t="shared" si="3"/>
        <v>0</v>
      </c>
      <c r="J23" s="5">
        <f>Table1[[#This Row],[Enrolment S.Y. 2025-2026 ]]*8</f>
        <v>5912</v>
      </c>
      <c r="K23" s="43">
        <v>0</v>
      </c>
      <c r="L23" s="1"/>
      <c r="M23" s="5"/>
      <c r="N23" s="5">
        <f t="shared" si="10"/>
        <v>5912</v>
      </c>
      <c r="O23" s="5">
        <f t="shared" si="11"/>
        <v>0</v>
      </c>
      <c r="P23" s="5">
        <f>Table1[[#This Row],[Enrolment S.Y. 2025-2026 ]]*8</f>
        <v>5912</v>
      </c>
      <c r="Q23" s="5">
        <v>0</v>
      </c>
      <c r="R23" s="1"/>
      <c r="S23" s="5"/>
      <c r="T23" s="5">
        <f t="shared" si="12"/>
        <v>5912</v>
      </c>
      <c r="U23" s="5">
        <f t="shared" si="13"/>
        <v>0</v>
      </c>
      <c r="V23" s="5">
        <f>Table1[[#This Row],[Enrolment S.Y. 2025-2026 ]]*8</f>
        <v>5912</v>
      </c>
      <c r="W23" s="5">
        <v>0</v>
      </c>
      <c r="X23" s="1"/>
      <c r="Y23" s="5"/>
      <c r="Z23" s="5">
        <f t="shared" si="14"/>
        <v>5912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739</v>
      </c>
      <c r="D24" s="5">
        <f>Table1[[#This Row],[Enrolment S.Y. 2025-2026 ]]*8</f>
        <v>5912</v>
      </c>
      <c r="E24" s="5">
        <v>0</v>
      </c>
      <c r="F24" s="1"/>
      <c r="G24" s="5"/>
      <c r="H24" s="5">
        <f t="shared" si="2"/>
        <v>5912</v>
      </c>
      <c r="I24" s="5">
        <f t="shared" si="3"/>
        <v>0</v>
      </c>
      <c r="J24" s="5">
        <f>Table1[[#This Row],[Enrolment S.Y. 2025-2026 ]]*8</f>
        <v>5912</v>
      </c>
      <c r="K24" s="43">
        <v>0</v>
      </c>
      <c r="L24" s="1"/>
      <c r="M24" s="5"/>
      <c r="N24" s="5">
        <f t="shared" si="10"/>
        <v>5912</v>
      </c>
      <c r="O24" s="5">
        <f t="shared" si="11"/>
        <v>0</v>
      </c>
      <c r="P24" s="5">
        <f>Table1[[#This Row],[Enrolment S.Y. 2025-2026 ]]*8</f>
        <v>5912</v>
      </c>
      <c r="Q24" s="5">
        <v>0</v>
      </c>
      <c r="R24" s="1"/>
      <c r="S24" s="5"/>
      <c r="T24" s="5">
        <f t="shared" si="12"/>
        <v>5912</v>
      </c>
      <c r="U24" s="5">
        <f t="shared" si="13"/>
        <v>0</v>
      </c>
      <c r="V24" s="5">
        <f>Table1[[#This Row],[Enrolment S.Y. 2025-2026 ]]*8</f>
        <v>5912</v>
      </c>
      <c r="W24" s="5">
        <v>0</v>
      </c>
      <c r="X24" s="1"/>
      <c r="Y24" s="5"/>
      <c r="Z24" s="5">
        <f t="shared" si="14"/>
        <v>5912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739</v>
      </c>
      <c r="D25" s="5">
        <f>Table1[[#This Row],[Enrolment S.Y. 2025-2026 ]]*8</f>
        <v>5912</v>
      </c>
      <c r="E25" s="5">
        <v>729</v>
      </c>
      <c r="F25" s="1">
        <v>2025</v>
      </c>
      <c r="G25" s="5" t="s">
        <v>18</v>
      </c>
      <c r="H25" s="5">
        <f t="shared" si="2"/>
        <v>5183</v>
      </c>
      <c r="I25" s="5">
        <f t="shared" si="3"/>
        <v>0</v>
      </c>
      <c r="J25" s="5">
        <f>Table1[[#This Row],[Enrolment S.Y. 2025-2026 ]]*8</f>
        <v>5912</v>
      </c>
      <c r="K25" s="43">
        <v>0</v>
      </c>
      <c r="L25" s="1"/>
      <c r="M25" s="5"/>
      <c r="N25" s="5">
        <f t="shared" si="10"/>
        <v>5912</v>
      </c>
      <c r="O25" s="5">
        <f t="shared" si="11"/>
        <v>0</v>
      </c>
      <c r="P25" s="5">
        <f>Table1[[#This Row],[Enrolment S.Y. 2025-2026 ]]*8</f>
        <v>5912</v>
      </c>
      <c r="Q25" s="5">
        <v>0</v>
      </c>
      <c r="R25" s="1"/>
      <c r="S25" s="5"/>
      <c r="T25" s="5">
        <f t="shared" si="12"/>
        <v>5912</v>
      </c>
      <c r="U25" s="5">
        <f t="shared" si="13"/>
        <v>0</v>
      </c>
      <c r="V25" s="5">
        <f>Table1[[#This Row],[Enrolment S.Y. 2025-2026 ]]*8</f>
        <v>5912</v>
      </c>
      <c r="W25" s="5">
        <v>0</v>
      </c>
      <c r="X25" s="1"/>
      <c r="Y25" s="5"/>
      <c r="Z25" s="5">
        <f t="shared" si="14"/>
        <v>5912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739</v>
      </c>
      <c r="D26" s="5">
        <f>Table1[[#This Row],[Enrolment S.Y. 2025-2026 ]]*8</f>
        <v>5912</v>
      </c>
      <c r="E26" s="5">
        <v>729</v>
      </c>
      <c r="F26" s="1">
        <v>2025</v>
      </c>
      <c r="G26" s="5" t="s">
        <v>18</v>
      </c>
      <c r="H26" s="5">
        <f t="shared" si="2"/>
        <v>5183</v>
      </c>
      <c r="I26" s="5">
        <f t="shared" si="3"/>
        <v>0</v>
      </c>
      <c r="J26" s="5">
        <f>Table1[[#This Row],[Enrolment S.Y. 2025-2026 ]]*8</f>
        <v>5912</v>
      </c>
      <c r="K26" s="43">
        <v>0</v>
      </c>
      <c r="L26" s="1"/>
      <c r="M26" s="5"/>
      <c r="N26" s="5">
        <f t="shared" si="10"/>
        <v>5912</v>
      </c>
      <c r="O26" s="5">
        <f t="shared" si="11"/>
        <v>0</v>
      </c>
      <c r="P26" s="5">
        <f>Table1[[#This Row],[Enrolment S.Y. 2025-2026 ]]*8</f>
        <v>5912</v>
      </c>
      <c r="Q26" s="5">
        <v>0</v>
      </c>
      <c r="R26" s="1"/>
      <c r="S26" s="5"/>
      <c r="T26" s="5">
        <f t="shared" si="12"/>
        <v>5912</v>
      </c>
      <c r="U26" s="5">
        <f t="shared" si="13"/>
        <v>0</v>
      </c>
      <c r="V26" s="5">
        <f>Table1[[#This Row],[Enrolment S.Y. 2025-2026 ]]*8</f>
        <v>5912</v>
      </c>
      <c r="W26" s="5">
        <v>0</v>
      </c>
      <c r="X26" s="1"/>
      <c r="Y26" s="5"/>
      <c r="Z26" s="5">
        <f t="shared" si="14"/>
        <v>5912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739</v>
      </c>
      <c r="D27" s="5">
        <f>Table1[[#This Row],[Enrolment S.Y. 2025-2026 ]]*8</f>
        <v>5912</v>
      </c>
      <c r="E27" s="5">
        <v>729</v>
      </c>
      <c r="F27" s="1">
        <v>2025</v>
      </c>
      <c r="G27" s="5" t="s">
        <v>18</v>
      </c>
      <c r="H27" s="5">
        <f t="shared" si="2"/>
        <v>5183</v>
      </c>
      <c r="I27" s="5">
        <f t="shared" si="3"/>
        <v>0</v>
      </c>
      <c r="J27" s="5">
        <f>Table1[[#This Row],[Enrolment S.Y. 2025-2026 ]]*8</f>
        <v>5912</v>
      </c>
      <c r="K27" s="43">
        <v>0</v>
      </c>
      <c r="L27" s="1"/>
      <c r="M27" s="5"/>
      <c r="N27" s="5">
        <f t="shared" si="10"/>
        <v>5912</v>
      </c>
      <c r="O27" s="5">
        <f t="shared" si="11"/>
        <v>0</v>
      </c>
      <c r="P27" s="5">
        <f>Table1[[#This Row],[Enrolment S.Y. 2025-2026 ]]*8</f>
        <v>5912</v>
      </c>
      <c r="Q27" s="5">
        <v>0</v>
      </c>
      <c r="R27" s="1"/>
      <c r="S27" s="5"/>
      <c r="T27" s="5">
        <f t="shared" si="12"/>
        <v>5912</v>
      </c>
      <c r="U27" s="5">
        <f t="shared" si="13"/>
        <v>0</v>
      </c>
      <c r="V27" s="5">
        <f>Table1[[#This Row],[Enrolment S.Y. 2025-2026 ]]*8</f>
        <v>5912</v>
      </c>
      <c r="W27" s="5">
        <v>0</v>
      </c>
      <c r="X27" s="1"/>
      <c r="Y27" s="5"/>
      <c r="Z27" s="5">
        <f t="shared" si="14"/>
        <v>5912</v>
      </c>
      <c r="AA27" s="5">
        <f t="shared" si="15"/>
        <v>0</v>
      </c>
    </row>
    <row r="28" spans="1:27" ht="19.5">
      <c r="A28" s="1">
        <v>3</v>
      </c>
      <c r="B28" s="2" t="s">
        <v>14</v>
      </c>
      <c r="C28" s="1">
        <v>739</v>
      </c>
      <c r="D28" s="5">
        <f>Table1[[#This Row],[Enrolment S.Y. 2025-2026 ]]*8</f>
        <v>5912</v>
      </c>
      <c r="E28" s="5">
        <v>729</v>
      </c>
      <c r="F28" s="1">
        <v>2025</v>
      </c>
      <c r="G28" s="5" t="s">
        <v>18</v>
      </c>
      <c r="H28" s="5">
        <f t="shared" si="2"/>
        <v>5183</v>
      </c>
      <c r="I28" s="5">
        <f t="shared" si="3"/>
        <v>0</v>
      </c>
      <c r="J28" s="5">
        <f>Table1[[#This Row],[Enrolment S.Y. 2025-2026 ]]*8</f>
        <v>5912</v>
      </c>
      <c r="K28" s="43">
        <v>0</v>
      </c>
      <c r="L28" s="1"/>
      <c r="M28" s="5"/>
      <c r="N28" s="5">
        <f t="shared" si="10"/>
        <v>5912</v>
      </c>
      <c r="O28" s="5">
        <f t="shared" si="11"/>
        <v>0</v>
      </c>
      <c r="P28" s="5">
        <f>Table1[[#This Row],[Enrolment S.Y. 2025-2026 ]]*8</f>
        <v>5912</v>
      </c>
      <c r="Q28" s="5">
        <v>0</v>
      </c>
      <c r="R28" s="1"/>
      <c r="S28" s="5"/>
      <c r="T28" s="5">
        <f t="shared" si="12"/>
        <v>5912</v>
      </c>
      <c r="U28" s="5">
        <f t="shared" si="13"/>
        <v>0</v>
      </c>
      <c r="V28" s="5">
        <f>Table1[[#This Row],[Enrolment S.Y. 2025-2026 ]]*8</f>
        <v>5912</v>
      </c>
      <c r="W28" s="5">
        <v>0</v>
      </c>
      <c r="X28" s="1"/>
      <c r="Y28" s="5"/>
      <c r="Z28" s="5">
        <f t="shared" si="14"/>
        <v>5912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739</v>
      </c>
      <c r="D29" s="5">
        <f>Table1[[#This Row],[Enrolment S.Y. 2025-2026 ]]*8</f>
        <v>5912</v>
      </c>
      <c r="E29" s="5">
        <v>729</v>
      </c>
      <c r="F29" s="1">
        <v>2025</v>
      </c>
      <c r="G29" s="5" t="s">
        <v>18</v>
      </c>
      <c r="H29" s="5">
        <f>IF((D29-E29)&lt;0,0,(D29-E29))</f>
        <v>5183</v>
      </c>
      <c r="I29" s="5">
        <f>IF((E29-D29)&lt;0,0,(E29-D29))</f>
        <v>0</v>
      </c>
      <c r="J29" s="5">
        <f>Table1[[#This Row],[Enrolment S.Y. 2025-2026 ]]*8</f>
        <v>5912</v>
      </c>
      <c r="K29" s="43">
        <v>0</v>
      </c>
      <c r="L29" s="1"/>
      <c r="M29" s="5"/>
      <c r="N29" s="5">
        <f t="shared" si="10"/>
        <v>5912</v>
      </c>
      <c r="O29" s="5">
        <f t="shared" si="11"/>
        <v>0</v>
      </c>
      <c r="P29" s="5">
        <f>Table1[[#This Row],[Enrolment S.Y. 2025-2026 ]]*8</f>
        <v>5912</v>
      </c>
      <c r="Q29" s="5">
        <v>0</v>
      </c>
      <c r="R29" s="1"/>
      <c r="S29" s="5"/>
      <c r="T29" s="5">
        <f t="shared" si="12"/>
        <v>5912</v>
      </c>
      <c r="U29" s="5">
        <f t="shared" si="13"/>
        <v>0</v>
      </c>
      <c r="V29" s="5">
        <f>Table1[[#This Row],[Enrolment S.Y. 2025-2026 ]]*8</f>
        <v>5912</v>
      </c>
      <c r="W29" s="5">
        <v>0</v>
      </c>
      <c r="X29" s="1"/>
      <c r="Y29" s="5"/>
      <c r="Z29" s="5">
        <f t="shared" si="14"/>
        <v>5912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739</v>
      </c>
      <c r="D30" s="5">
        <f>Table1[[#This Row],[Enrolment S.Y. 2025-2026 ]]*8</f>
        <v>5912</v>
      </c>
      <c r="E30" s="5">
        <v>729</v>
      </c>
      <c r="F30" s="1">
        <v>2025</v>
      </c>
      <c r="G30" s="5" t="s">
        <v>18</v>
      </c>
      <c r="H30" s="5">
        <f>IF((D30-E30)&lt;0,0,(D30-E30))</f>
        <v>5183</v>
      </c>
      <c r="I30" s="5">
        <f>IF((E30-D30)&lt;0,0,(E30-D30))</f>
        <v>0</v>
      </c>
      <c r="J30" s="5">
        <f>Table1[[#This Row],[Enrolment S.Y. 2025-2026 ]]*8</f>
        <v>5912</v>
      </c>
      <c r="K30" s="43">
        <v>0</v>
      </c>
      <c r="L30" s="1"/>
      <c r="M30" s="5"/>
      <c r="N30" s="5">
        <f t="shared" si="10"/>
        <v>5912</v>
      </c>
      <c r="O30" s="5">
        <f t="shared" si="11"/>
        <v>0</v>
      </c>
      <c r="P30" s="5">
        <f>Table1[[#This Row],[Enrolment S.Y. 2025-2026 ]]*8</f>
        <v>5912</v>
      </c>
      <c r="Q30" s="5">
        <v>0</v>
      </c>
      <c r="R30" s="1"/>
      <c r="S30" s="5"/>
      <c r="T30" s="5">
        <f t="shared" si="12"/>
        <v>5912</v>
      </c>
      <c r="U30" s="5">
        <f t="shared" si="13"/>
        <v>0</v>
      </c>
      <c r="V30" s="5">
        <f>Table1[[#This Row],[Enrolment S.Y. 2025-2026 ]]*8</f>
        <v>5912</v>
      </c>
      <c r="W30" s="5">
        <v>0</v>
      </c>
      <c r="X30" s="1"/>
      <c r="Y30" s="5"/>
      <c r="Z30" s="5">
        <f t="shared" si="14"/>
        <v>5912</v>
      </c>
      <c r="AA30" s="5">
        <f t="shared" si="15"/>
        <v>0</v>
      </c>
    </row>
    <row r="31" spans="1:27" ht="19.5">
      <c r="A31" s="1">
        <v>3</v>
      </c>
      <c r="B31" s="9" t="s">
        <v>52</v>
      </c>
      <c r="C31" s="1">
        <v>739</v>
      </c>
      <c r="D31" s="5">
        <f>Table1[[#This Row],[Enrolment S.Y. 2025-2026 ]]*8</f>
        <v>5912</v>
      </c>
      <c r="E31" s="5">
        <v>0</v>
      </c>
      <c r="F31" s="1"/>
      <c r="G31" s="5"/>
      <c r="H31" s="5">
        <f>IF((D31-E31)&lt;0,0,(D31-E31))</f>
        <v>5912</v>
      </c>
      <c r="I31" s="5">
        <f>IF((E31-D31)&lt;0,0,(E31-D31))</f>
        <v>0</v>
      </c>
      <c r="J31" s="5">
        <f>Table1[[#This Row],[Enrolment S.Y. 2025-2026 ]]*8</f>
        <v>5912</v>
      </c>
      <c r="K31" s="43">
        <v>0</v>
      </c>
      <c r="L31" s="1"/>
      <c r="M31" s="5"/>
      <c r="N31" s="5">
        <f t="shared" si="10"/>
        <v>5912</v>
      </c>
      <c r="O31" s="5">
        <f t="shared" si="11"/>
        <v>0</v>
      </c>
      <c r="P31" s="5">
        <f>Table1[[#This Row],[Enrolment S.Y. 2025-2026 ]]*8</f>
        <v>5912</v>
      </c>
      <c r="Q31" s="5">
        <v>0</v>
      </c>
      <c r="R31" s="1"/>
      <c r="S31" s="5"/>
      <c r="T31" s="5">
        <f t="shared" si="12"/>
        <v>5912</v>
      </c>
      <c r="U31" s="5">
        <f t="shared" si="13"/>
        <v>0</v>
      </c>
      <c r="V31" s="5">
        <f>Table1[[#This Row],[Enrolment S.Y. 2025-2026 ]]*8</f>
        <v>5912</v>
      </c>
      <c r="W31" s="5">
        <v>0</v>
      </c>
      <c r="X31" s="1"/>
      <c r="Y31" s="5"/>
      <c r="Z31" s="5">
        <f t="shared" si="14"/>
        <v>5912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16</v>
      </c>
      <c r="C33" s="1">
        <v>729</v>
      </c>
      <c r="D33" s="5">
        <f>Table1[[#This Row],[Enrolment S.Y. 2025-2026 ]]*8</f>
        <v>5832</v>
      </c>
      <c r="E33" s="5">
        <v>0</v>
      </c>
      <c r="F33" s="1"/>
      <c r="G33" s="5"/>
      <c r="H33" s="5">
        <f t="shared" si="2"/>
        <v>5832</v>
      </c>
      <c r="I33" s="5">
        <f t="shared" si="3"/>
        <v>0</v>
      </c>
      <c r="J33" s="5">
        <f>Table1[[#This Row],[Enrolment S.Y. 2025-2026 ]]*8</f>
        <v>5832</v>
      </c>
      <c r="K33" s="43">
        <v>0</v>
      </c>
      <c r="L33" s="1"/>
      <c r="M33" s="5"/>
      <c r="N33" s="5">
        <f t="shared" si="10"/>
        <v>5832</v>
      </c>
      <c r="O33" s="5">
        <f t="shared" si="11"/>
        <v>0</v>
      </c>
      <c r="P33" s="5">
        <f>Table1[[#This Row],[Enrolment S.Y. 2025-2026 ]]*8</f>
        <v>5832</v>
      </c>
      <c r="Q33" s="5">
        <v>0</v>
      </c>
      <c r="R33" s="1"/>
      <c r="S33" s="5"/>
      <c r="T33" s="5">
        <f t="shared" si="12"/>
        <v>5832</v>
      </c>
      <c r="U33" s="5">
        <f t="shared" si="13"/>
        <v>0</v>
      </c>
      <c r="V33" s="5">
        <f>Table1[[#This Row],[Enrolment S.Y. 2025-2026 ]]*8</f>
        <v>5832</v>
      </c>
      <c r="W33" s="5">
        <v>0</v>
      </c>
      <c r="X33" s="1"/>
      <c r="Y33" s="5"/>
      <c r="Z33" s="5">
        <f t="shared" si="14"/>
        <v>5832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729</v>
      </c>
      <c r="D34" s="5">
        <f>Table1[[#This Row],[Enrolment S.Y. 2025-2026 ]]*8</f>
        <v>5832</v>
      </c>
      <c r="E34" s="5">
        <v>112</v>
      </c>
      <c r="F34" s="1">
        <v>2025</v>
      </c>
      <c r="G34" s="5" t="s">
        <v>18</v>
      </c>
      <c r="H34" s="5">
        <f t="shared" si="2"/>
        <v>5720</v>
      </c>
      <c r="I34" s="5">
        <f t="shared" si="3"/>
        <v>0</v>
      </c>
      <c r="J34" s="5">
        <f>Table1[[#This Row],[Enrolment S.Y. 2025-2026 ]]*8</f>
        <v>5832</v>
      </c>
      <c r="K34" s="43">
        <v>0</v>
      </c>
      <c r="L34" s="1"/>
      <c r="M34" s="5"/>
      <c r="N34" s="5">
        <f t="shared" si="10"/>
        <v>5832</v>
      </c>
      <c r="O34" s="5">
        <f t="shared" si="11"/>
        <v>0</v>
      </c>
      <c r="P34" s="5">
        <f>Table1[[#This Row],[Enrolment S.Y. 2025-2026 ]]*8</f>
        <v>5832</v>
      </c>
      <c r="Q34" s="5">
        <v>0</v>
      </c>
      <c r="R34" s="1"/>
      <c r="S34" s="5"/>
      <c r="T34" s="5">
        <f t="shared" si="12"/>
        <v>5832</v>
      </c>
      <c r="U34" s="5">
        <f t="shared" si="13"/>
        <v>0</v>
      </c>
      <c r="V34" s="5">
        <f>Table1[[#This Row],[Enrolment S.Y. 2025-2026 ]]*8</f>
        <v>5832</v>
      </c>
      <c r="W34" s="5">
        <v>0</v>
      </c>
      <c r="X34" s="1"/>
      <c r="Y34" s="5"/>
      <c r="Z34" s="5">
        <f t="shared" si="14"/>
        <v>5832</v>
      </c>
      <c r="AA34" s="5">
        <f t="shared" si="15"/>
        <v>0</v>
      </c>
    </row>
    <row r="35" spans="1:27" ht="19.5">
      <c r="A35" s="1">
        <v>4</v>
      </c>
      <c r="B35" s="9" t="s">
        <v>14</v>
      </c>
      <c r="C35" s="1">
        <v>729</v>
      </c>
      <c r="D35" s="5">
        <f>Table1[[#This Row],[Enrolment S.Y. 2025-2026 ]]*8</f>
        <v>5832</v>
      </c>
      <c r="E35" s="5">
        <v>0</v>
      </c>
      <c r="F35" s="1"/>
      <c r="G35" s="5"/>
      <c r="H35" s="5">
        <f t="shared" si="2"/>
        <v>5832</v>
      </c>
      <c r="I35" s="5">
        <f t="shared" si="3"/>
        <v>0</v>
      </c>
      <c r="J35" s="5">
        <f>Table1[[#This Row],[Enrolment S.Y. 2025-2026 ]]*8</f>
        <v>5832</v>
      </c>
      <c r="K35" s="43">
        <v>0</v>
      </c>
      <c r="L35" s="1"/>
      <c r="M35" s="5"/>
      <c r="N35" s="5">
        <f t="shared" si="10"/>
        <v>5832</v>
      </c>
      <c r="O35" s="5">
        <f t="shared" si="11"/>
        <v>0</v>
      </c>
      <c r="P35" s="5">
        <f>Table1[[#This Row],[Enrolment S.Y. 2025-2026 ]]*8</f>
        <v>5832</v>
      </c>
      <c r="Q35" s="5">
        <v>0</v>
      </c>
      <c r="R35" s="1"/>
      <c r="S35" s="5"/>
      <c r="T35" s="5">
        <f t="shared" si="12"/>
        <v>5832</v>
      </c>
      <c r="U35" s="5">
        <f t="shared" si="13"/>
        <v>0</v>
      </c>
      <c r="V35" s="5">
        <f>Table1[[#This Row],[Enrolment S.Y. 2025-2026 ]]*8</f>
        <v>5832</v>
      </c>
      <c r="W35" s="5">
        <v>0</v>
      </c>
      <c r="X35" s="1"/>
      <c r="Y35" s="5"/>
      <c r="Z35" s="5">
        <f t="shared" si="14"/>
        <v>5832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729</v>
      </c>
      <c r="D36" s="5">
        <f>Table1[[#This Row],[Enrolment S.Y. 2025-2026 ]]*8</f>
        <v>5832</v>
      </c>
      <c r="E36" s="5">
        <v>0</v>
      </c>
      <c r="F36" s="1"/>
      <c r="G36" s="5"/>
      <c r="H36" s="5">
        <f t="shared" si="2"/>
        <v>5832</v>
      </c>
      <c r="I36" s="5">
        <f t="shared" si="3"/>
        <v>0</v>
      </c>
      <c r="J36" s="5">
        <f>Table1[[#This Row],[Enrolment S.Y. 2025-2026 ]]*8</f>
        <v>5832</v>
      </c>
      <c r="K36" s="43"/>
      <c r="L36" s="1"/>
      <c r="M36" s="5"/>
      <c r="N36" s="5">
        <f t="shared" si="10"/>
        <v>5832</v>
      </c>
      <c r="O36" s="5">
        <f t="shared" si="11"/>
        <v>0</v>
      </c>
      <c r="P36" s="5">
        <f>Table1[[#This Row],[Enrolment S.Y. 2025-2026 ]]*8</f>
        <v>5832</v>
      </c>
      <c r="Q36" s="5">
        <v>0</v>
      </c>
      <c r="R36" s="1"/>
      <c r="S36" s="5"/>
      <c r="T36" s="5">
        <f t="shared" si="12"/>
        <v>5832</v>
      </c>
      <c r="U36" s="5">
        <f t="shared" si="13"/>
        <v>0</v>
      </c>
      <c r="V36" s="5">
        <f>Table1[[#This Row],[Enrolment S.Y. 2025-2026 ]]*8</f>
        <v>5832</v>
      </c>
      <c r="W36" s="5">
        <v>0</v>
      </c>
      <c r="X36" s="1"/>
      <c r="Y36" s="5"/>
      <c r="Z36" s="5">
        <f t="shared" si="14"/>
        <v>5832</v>
      </c>
      <c r="AA36" s="5">
        <f t="shared" si="15"/>
        <v>0</v>
      </c>
    </row>
    <row r="37" spans="1:27" ht="38.25">
      <c r="A37" s="1">
        <v>4</v>
      </c>
      <c r="B37" s="9" t="s">
        <v>19</v>
      </c>
      <c r="C37" s="1">
        <v>729</v>
      </c>
      <c r="D37" s="5">
        <f>Table1[[#This Row],[Enrolment S.Y. 2025-2026 ]]*8</f>
        <v>5832</v>
      </c>
      <c r="E37" s="5">
        <v>112</v>
      </c>
      <c r="F37" s="1">
        <v>2025</v>
      </c>
      <c r="G37" s="5" t="s">
        <v>18</v>
      </c>
      <c r="H37" s="5">
        <f t="shared" si="2"/>
        <v>5720</v>
      </c>
      <c r="I37" s="5">
        <f t="shared" si="3"/>
        <v>0</v>
      </c>
      <c r="J37" s="5">
        <f>Table1[[#This Row],[Enrolment S.Y. 2025-2026 ]]*8</f>
        <v>5832</v>
      </c>
      <c r="K37" s="43">
        <v>0</v>
      </c>
      <c r="L37" s="1"/>
      <c r="M37" s="5"/>
      <c r="N37" s="5">
        <f t="shared" si="10"/>
        <v>5832</v>
      </c>
      <c r="O37" s="5">
        <f t="shared" si="11"/>
        <v>0</v>
      </c>
      <c r="P37" s="5">
        <f>Table1[[#This Row],[Enrolment S.Y. 2025-2026 ]]*8</f>
        <v>5832</v>
      </c>
      <c r="Q37" s="5"/>
      <c r="R37" s="1"/>
      <c r="S37" s="5"/>
      <c r="T37" s="5">
        <f t="shared" si="12"/>
        <v>5832</v>
      </c>
      <c r="U37" s="5">
        <f t="shared" si="13"/>
        <v>0</v>
      </c>
      <c r="V37" s="5">
        <f>Table1[[#This Row],[Enrolment S.Y. 2025-2026 ]]*8</f>
        <v>5832</v>
      </c>
      <c r="W37" s="5">
        <v>0</v>
      </c>
      <c r="X37" s="1"/>
      <c r="Y37" s="5"/>
      <c r="Z37" s="5">
        <f t="shared" si="14"/>
        <v>5832</v>
      </c>
      <c r="AA37" s="5">
        <f t="shared" si="15"/>
        <v>0</v>
      </c>
    </row>
    <row r="38" spans="1:27" ht="19.5">
      <c r="A38" s="1">
        <v>4</v>
      </c>
      <c r="B38" s="9" t="s">
        <v>15</v>
      </c>
      <c r="C38" s="1">
        <v>729</v>
      </c>
      <c r="D38" s="5">
        <f>Table1[[#This Row],[Enrolment S.Y. 2025-2026 ]]*8</f>
        <v>5832</v>
      </c>
      <c r="E38" s="5">
        <v>0</v>
      </c>
      <c r="F38" s="1"/>
      <c r="G38" s="5"/>
      <c r="H38" s="5">
        <f t="shared" si="2"/>
        <v>5832</v>
      </c>
      <c r="I38" s="5">
        <f t="shared" si="3"/>
        <v>0</v>
      </c>
      <c r="J38" s="5">
        <f>Table1[[#This Row],[Enrolment S.Y. 2025-2026 ]]*8</f>
        <v>5832</v>
      </c>
      <c r="K38" s="43">
        <v>0</v>
      </c>
      <c r="L38" s="1"/>
      <c r="M38" s="5"/>
      <c r="N38" s="5">
        <f t="shared" si="10"/>
        <v>5832</v>
      </c>
      <c r="O38" s="5">
        <f t="shared" si="11"/>
        <v>0</v>
      </c>
      <c r="P38" s="5">
        <f>Table1[[#This Row],[Enrolment S.Y. 2025-2026 ]]*8</f>
        <v>5832</v>
      </c>
      <c r="Q38" s="5">
        <v>0</v>
      </c>
      <c r="R38" s="1"/>
      <c r="S38" s="5"/>
      <c r="T38" s="5">
        <f t="shared" si="12"/>
        <v>5832</v>
      </c>
      <c r="U38" s="5">
        <f t="shared" si="13"/>
        <v>0</v>
      </c>
      <c r="V38" s="5">
        <f>Table1[[#This Row],[Enrolment S.Y. 2025-2026 ]]*8</f>
        <v>5832</v>
      </c>
      <c r="W38" s="5">
        <v>0</v>
      </c>
      <c r="X38" s="1"/>
      <c r="Y38" s="5"/>
      <c r="Z38" s="5">
        <f t="shared" si="14"/>
        <v>5832</v>
      </c>
      <c r="AA38" s="5">
        <f t="shared" si="15"/>
        <v>0</v>
      </c>
    </row>
    <row r="39" spans="1:27" ht="19.5">
      <c r="A39" s="1">
        <v>4</v>
      </c>
      <c r="B39" s="9" t="s">
        <v>20</v>
      </c>
      <c r="C39" s="1">
        <v>729</v>
      </c>
      <c r="D39" s="5">
        <f>Table1[[#This Row],[Enrolment S.Y. 2025-2026 ]]*8</f>
        <v>5832</v>
      </c>
      <c r="E39" s="5">
        <v>112</v>
      </c>
      <c r="F39" s="1">
        <v>2025</v>
      </c>
      <c r="G39" s="5" t="s">
        <v>18</v>
      </c>
      <c r="H39" s="5">
        <f t="shared" si="2"/>
        <v>5720</v>
      </c>
      <c r="I39" s="5">
        <f t="shared" si="3"/>
        <v>0</v>
      </c>
      <c r="J39" s="5">
        <f>Table1[[#This Row],[Enrolment S.Y. 2025-2026 ]]*8</f>
        <v>5832</v>
      </c>
      <c r="K39" s="43">
        <v>0</v>
      </c>
      <c r="L39" s="1"/>
      <c r="M39" s="5"/>
      <c r="N39" s="5">
        <f t="shared" si="10"/>
        <v>5832</v>
      </c>
      <c r="O39" s="5">
        <f t="shared" si="11"/>
        <v>0</v>
      </c>
      <c r="P39" s="5">
        <f>Table1[[#This Row],[Enrolment S.Y. 2025-2026 ]]*8</f>
        <v>5832</v>
      </c>
      <c r="Q39" s="5">
        <v>0</v>
      </c>
      <c r="R39" s="1"/>
      <c r="S39" s="5"/>
      <c r="T39" s="5">
        <f t="shared" si="12"/>
        <v>5832</v>
      </c>
      <c r="U39" s="5">
        <f t="shared" si="13"/>
        <v>0</v>
      </c>
      <c r="V39" s="5">
        <f>Table1[[#This Row],[Enrolment S.Y. 2025-2026 ]]*8</f>
        <v>5832</v>
      </c>
      <c r="W39" s="5">
        <v>0</v>
      </c>
      <c r="X39" s="1"/>
      <c r="Y39" s="5"/>
      <c r="Z39" s="5">
        <f t="shared" si="14"/>
        <v>5832</v>
      </c>
      <c r="AA39" s="5">
        <f t="shared" si="15"/>
        <v>0</v>
      </c>
    </row>
    <row r="40" spans="1:27" ht="19.5">
      <c r="A40" s="1">
        <v>4</v>
      </c>
      <c r="B40" s="9" t="s">
        <v>21</v>
      </c>
      <c r="C40" s="1">
        <v>729</v>
      </c>
      <c r="D40" s="5">
        <f>Table1[[#This Row],[Enrolment S.Y. 2025-2026 ]]*8</f>
        <v>5832</v>
      </c>
      <c r="E40" s="5">
        <v>112</v>
      </c>
      <c r="F40" s="1">
        <v>2025</v>
      </c>
      <c r="G40" s="5" t="s">
        <v>18</v>
      </c>
      <c r="H40" s="5">
        <f t="shared" si="2"/>
        <v>5720</v>
      </c>
      <c r="I40" s="5">
        <f t="shared" si="3"/>
        <v>0</v>
      </c>
      <c r="J40" s="5">
        <f>Table1[[#This Row],[Enrolment S.Y. 2025-2026 ]]*8</f>
        <v>5832</v>
      </c>
      <c r="K40" s="43">
        <v>0</v>
      </c>
      <c r="L40" s="1"/>
      <c r="M40" s="5"/>
      <c r="N40" s="5">
        <f t="shared" si="10"/>
        <v>5832</v>
      </c>
      <c r="O40" s="5">
        <f t="shared" si="11"/>
        <v>0</v>
      </c>
      <c r="P40" s="5">
        <f>Table1[[#This Row],[Enrolment S.Y. 2025-2026 ]]*8</f>
        <v>5832</v>
      </c>
      <c r="Q40" s="5">
        <v>0</v>
      </c>
      <c r="R40" s="1"/>
      <c r="S40" s="5"/>
      <c r="T40" s="5">
        <f t="shared" si="12"/>
        <v>5832</v>
      </c>
      <c r="U40" s="5">
        <f t="shared" si="13"/>
        <v>0</v>
      </c>
      <c r="V40" s="5">
        <f>Table1[[#This Row],[Enrolment S.Y. 2025-2026 ]]*8</f>
        <v>5832</v>
      </c>
      <c r="W40" s="5">
        <v>0</v>
      </c>
      <c r="X40" s="1"/>
      <c r="Y40" s="5"/>
      <c r="Z40" s="5">
        <f t="shared" si="14"/>
        <v>5832</v>
      </c>
      <c r="AA40" s="5">
        <f t="shared" si="15"/>
        <v>0</v>
      </c>
    </row>
    <row r="41" spans="1:27" ht="19.5">
      <c r="A41" s="1">
        <v>4</v>
      </c>
      <c r="B41" s="9" t="s">
        <v>22</v>
      </c>
      <c r="C41" s="1">
        <v>729</v>
      </c>
      <c r="D41" s="5">
        <f>Table1[[#This Row],[Enrolment S.Y. 2025-2026 ]]*8</f>
        <v>5832</v>
      </c>
      <c r="E41" s="5">
        <v>0</v>
      </c>
      <c r="F41" s="1"/>
      <c r="G41" s="5"/>
      <c r="H41" s="5">
        <f t="shared" si="2"/>
        <v>5832</v>
      </c>
      <c r="I41" s="5">
        <f t="shared" si="3"/>
        <v>0</v>
      </c>
      <c r="J41" s="5">
        <f>Table1[[#This Row],[Enrolment S.Y. 2025-2026 ]]*8</f>
        <v>5832</v>
      </c>
      <c r="K41" s="43">
        <v>0</v>
      </c>
      <c r="L41" s="1"/>
      <c r="M41" s="5"/>
      <c r="N41" s="5">
        <f t="shared" si="10"/>
        <v>5832</v>
      </c>
      <c r="O41" s="5">
        <f t="shared" si="11"/>
        <v>0</v>
      </c>
      <c r="P41" s="5">
        <f>Table1[[#This Row],[Enrolment S.Y. 2025-2026 ]]*8</f>
        <v>5832</v>
      </c>
      <c r="Q41" s="5">
        <v>0</v>
      </c>
      <c r="R41" s="1"/>
      <c r="S41" s="5"/>
      <c r="T41" s="5">
        <f t="shared" si="12"/>
        <v>5832</v>
      </c>
      <c r="U41" s="5">
        <f t="shared" si="13"/>
        <v>0</v>
      </c>
      <c r="V41" s="5">
        <f>Table1[[#This Row],[Enrolment S.Y. 2025-2026 ]]*8</f>
        <v>5832</v>
      </c>
      <c r="W41" s="5">
        <v>0</v>
      </c>
      <c r="X41" s="1"/>
      <c r="Y41" s="5"/>
      <c r="Z41" s="5">
        <f t="shared" si="14"/>
        <v>5832</v>
      </c>
      <c r="AA41" s="5">
        <f t="shared" si="15"/>
        <v>0</v>
      </c>
    </row>
    <row r="42" spans="1:27" s="7" customFormat="1" ht="19.149999999999999">
      <c r="J42" s="10"/>
      <c r="M42" s="10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16</v>
      </c>
      <c r="C43" s="1">
        <v>733</v>
      </c>
      <c r="D43" s="5">
        <f>Table1[[#This Row],[Enrolment S.Y. 2025-2026 ]]*8</f>
        <v>5864</v>
      </c>
      <c r="E43" s="5">
        <v>217</v>
      </c>
      <c r="F43" s="1">
        <v>2025</v>
      </c>
      <c r="G43" s="5" t="s">
        <v>18</v>
      </c>
      <c r="H43" s="5">
        <f t="shared" si="2"/>
        <v>5647</v>
      </c>
      <c r="I43" s="5">
        <f t="shared" si="3"/>
        <v>0</v>
      </c>
      <c r="J43" s="5">
        <f>Table1[[#This Row],[Enrolment S.Y. 2025-2026 ]]*8</f>
        <v>5864</v>
      </c>
      <c r="K43" s="43">
        <v>729</v>
      </c>
      <c r="L43" s="1">
        <v>2025</v>
      </c>
      <c r="M43" s="5" t="s">
        <v>18</v>
      </c>
      <c r="N43" s="5">
        <f t="shared" si="10"/>
        <v>5135</v>
      </c>
      <c r="O43" s="5">
        <f t="shared" si="11"/>
        <v>0</v>
      </c>
      <c r="P43" s="5">
        <f>Table1[[#This Row],[Enrolment S.Y. 2025-2026 ]]*8</f>
        <v>5864</v>
      </c>
      <c r="Q43" s="5">
        <v>0</v>
      </c>
      <c r="R43" s="1"/>
      <c r="S43" s="5"/>
      <c r="T43" s="5">
        <f t="shared" si="12"/>
        <v>5864</v>
      </c>
      <c r="U43" s="5">
        <f t="shared" si="13"/>
        <v>0</v>
      </c>
      <c r="V43" s="5">
        <f>Table1[[#This Row],[Enrolment S.Y. 2025-2026 ]]*8</f>
        <v>5864</v>
      </c>
      <c r="W43" s="5">
        <v>0</v>
      </c>
      <c r="X43" s="1"/>
      <c r="Y43" s="5"/>
      <c r="Z43" s="5">
        <f t="shared" si="14"/>
        <v>5864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733</v>
      </c>
      <c r="D44" s="5">
        <f>Table1[[#This Row],[Enrolment S.Y. 2025-2026 ]]*8</f>
        <v>5864</v>
      </c>
      <c r="E44" s="5">
        <v>217</v>
      </c>
      <c r="F44" s="1">
        <v>2025</v>
      </c>
      <c r="G44" s="5" t="s">
        <v>18</v>
      </c>
      <c r="H44" s="5">
        <f t="shared" si="2"/>
        <v>5647</v>
      </c>
      <c r="I44" s="5">
        <f t="shared" si="3"/>
        <v>0</v>
      </c>
      <c r="J44" s="5">
        <f>Table1[[#This Row],[Enrolment S.Y. 2025-2026 ]]*8</f>
        <v>5864</v>
      </c>
      <c r="K44" s="43">
        <v>0</v>
      </c>
      <c r="L44" s="1"/>
      <c r="M44" s="5"/>
      <c r="N44" s="5">
        <f t="shared" si="10"/>
        <v>5864</v>
      </c>
      <c r="O44" s="5">
        <f t="shared" si="11"/>
        <v>0</v>
      </c>
      <c r="P44" s="5">
        <f>Table1[[#This Row],[Enrolment S.Y. 2025-2026 ]]*8</f>
        <v>5864</v>
      </c>
      <c r="Q44" s="5">
        <v>0</v>
      </c>
      <c r="R44" s="1"/>
      <c r="S44" s="5"/>
      <c r="T44" s="5">
        <f t="shared" si="12"/>
        <v>5864</v>
      </c>
      <c r="U44" s="5">
        <f t="shared" si="13"/>
        <v>0</v>
      </c>
      <c r="V44" s="5">
        <f>Table1[[#This Row],[Enrolment S.Y. 2025-2026 ]]*8</f>
        <v>5864</v>
      </c>
      <c r="W44" s="5">
        <v>0</v>
      </c>
      <c r="X44" s="1"/>
      <c r="Y44" s="5"/>
      <c r="Z44" s="5">
        <f t="shared" si="14"/>
        <v>5864</v>
      </c>
      <c r="AA44" s="5">
        <f t="shared" si="15"/>
        <v>0</v>
      </c>
    </row>
    <row r="45" spans="1:27" ht="19.5">
      <c r="A45" s="1">
        <v>5</v>
      </c>
      <c r="B45" s="9" t="s">
        <v>14</v>
      </c>
      <c r="C45" s="1">
        <v>733</v>
      </c>
      <c r="D45" s="5">
        <f>Table1[[#This Row],[Enrolment S.Y. 2025-2026 ]]*8</f>
        <v>5864</v>
      </c>
      <c r="E45" s="5">
        <v>217</v>
      </c>
      <c r="F45" s="1">
        <v>2025</v>
      </c>
      <c r="G45" s="5" t="s">
        <v>18</v>
      </c>
      <c r="H45" s="5">
        <f t="shared" si="2"/>
        <v>5647</v>
      </c>
      <c r="I45" s="5">
        <f t="shared" si="3"/>
        <v>0</v>
      </c>
      <c r="J45" s="5">
        <f>Table1[[#This Row],[Enrolment S.Y. 2025-2026 ]]*8</f>
        <v>5864</v>
      </c>
      <c r="K45" s="43">
        <v>729</v>
      </c>
      <c r="L45" s="1">
        <v>2025</v>
      </c>
      <c r="M45" s="5" t="s">
        <v>18</v>
      </c>
      <c r="N45" s="5">
        <f t="shared" si="10"/>
        <v>5135</v>
      </c>
      <c r="O45" s="5">
        <f t="shared" si="11"/>
        <v>0</v>
      </c>
      <c r="P45" s="5">
        <f>Table1[[#This Row],[Enrolment S.Y. 2025-2026 ]]*8</f>
        <v>5864</v>
      </c>
      <c r="Q45" s="5">
        <v>0</v>
      </c>
      <c r="R45" s="1"/>
      <c r="S45" s="5"/>
      <c r="T45" s="5">
        <f t="shared" si="12"/>
        <v>5864</v>
      </c>
      <c r="U45" s="5">
        <f t="shared" si="13"/>
        <v>0</v>
      </c>
      <c r="V45" s="5">
        <f>Table1[[#This Row],[Enrolment S.Y. 2025-2026 ]]*8</f>
        <v>5864</v>
      </c>
      <c r="W45" s="5">
        <v>0</v>
      </c>
      <c r="X45" s="1"/>
      <c r="Y45" s="5"/>
      <c r="Z45" s="5">
        <f t="shared" si="14"/>
        <v>5864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733</v>
      </c>
      <c r="D46" s="5">
        <f>Table1[[#This Row],[Enrolment S.Y. 2025-2026 ]]*8</f>
        <v>5864</v>
      </c>
      <c r="E46" s="5">
        <v>217</v>
      </c>
      <c r="F46" s="1">
        <v>2025</v>
      </c>
      <c r="G46" s="5" t="s">
        <v>18</v>
      </c>
      <c r="H46" s="5">
        <f t="shared" si="2"/>
        <v>5647</v>
      </c>
      <c r="I46" s="5">
        <f t="shared" si="3"/>
        <v>0</v>
      </c>
      <c r="J46" s="5">
        <f>Table1[[#This Row],[Enrolment S.Y. 2025-2026 ]]*8</f>
        <v>5864</v>
      </c>
      <c r="K46" s="43">
        <v>0</v>
      </c>
      <c r="L46" s="1"/>
      <c r="M46" s="5"/>
      <c r="N46" s="5">
        <f t="shared" si="10"/>
        <v>5864</v>
      </c>
      <c r="O46" s="5">
        <f t="shared" si="11"/>
        <v>0</v>
      </c>
      <c r="P46" s="5">
        <f>Table1[[#This Row],[Enrolment S.Y. 2025-2026 ]]*8</f>
        <v>5864</v>
      </c>
      <c r="Q46" s="5">
        <v>0</v>
      </c>
      <c r="R46" s="1"/>
      <c r="S46" s="5"/>
      <c r="T46" s="5">
        <f t="shared" si="12"/>
        <v>5864</v>
      </c>
      <c r="U46" s="5">
        <f t="shared" si="13"/>
        <v>0</v>
      </c>
      <c r="V46" s="5">
        <f>Table1[[#This Row],[Enrolment S.Y. 2025-2026 ]]*8</f>
        <v>5864</v>
      </c>
      <c r="W46" s="5">
        <v>0</v>
      </c>
      <c r="X46" s="1"/>
      <c r="Y46" s="5"/>
      <c r="Z46" s="5">
        <f t="shared" si="14"/>
        <v>5864</v>
      </c>
      <c r="AA46" s="5">
        <f t="shared" si="15"/>
        <v>0</v>
      </c>
    </row>
    <row r="47" spans="1:27" ht="38.25">
      <c r="A47" s="1">
        <v>5</v>
      </c>
      <c r="B47" s="9" t="s">
        <v>19</v>
      </c>
      <c r="C47" s="1">
        <v>733</v>
      </c>
      <c r="D47" s="5">
        <f>Table1[[#This Row],[Enrolment S.Y. 2025-2026 ]]*8</f>
        <v>5864</v>
      </c>
      <c r="E47" s="5">
        <v>217</v>
      </c>
      <c r="F47" s="1">
        <v>2025</v>
      </c>
      <c r="G47" s="5" t="s">
        <v>18</v>
      </c>
      <c r="H47" s="5">
        <f t="shared" si="2"/>
        <v>5647</v>
      </c>
      <c r="I47" s="5">
        <f t="shared" si="3"/>
        <v>0</v>
      </c>
      <c r="J47" s="5">
        <f>Table1[[#This Row],[Enrolment S.Y. 2025-2026 ]]*8</f>
        <v>5864</v>
      </c>
      <c r="K47" s="43">
        <v>0</v>
      </c>
      <c r="L47" s="1"/>
      <c r="M47" s="5"/>
      <c r="N47" s="5">
        <f t="shared" si="10"/>
        <v>5864</v>
      </c>
      <c r="O47" s="5">
        <f t="shared" si="11"/>
        <v>0</v>
      </c>
      <c r="P47" s="5">
        <f>Table1[[#This Row],[Enrolment S.Y. 2025-2026 ]]*8</f>
        <v>5864</v>
      </c>
      <c r="Q47" s="5">
        <v>0</v>
      </c>
      <c r="R47" s="1"/>
      <c r="S47" s="5"/>
      <c r="T47" s="5">
        <f t="shared" si="12"/>
        <v>5864</v>
      </c>
      <c r="U47" s="5">
        <f t="shared" si="13"/>
        <v>0</v>
      </c>
      <c r="V47" s="5">
        <f>Table1[[#This Row],[Enrolment S.Y. 2025-2026 ]]*8</f>
        <v>5864</v>
      </c>
      <c r="W47" s="5">
        <v>0</v>
      </c>
      <c r="X47" s="1"/>
      <c r="Y47" s="5"/>
      <c r="Z47" s="5">
        <f t="shared" si="14"/>
        <v>5864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733</v>
      </c>
      <c r="D48" s="5">
        <f>Table1[[#This Row],[Enrolment S.Y. 2025-2026 ]]*8</f>
        <v>5864</v>
      </c>
      <c r="E48" s="5">
        <v>217</v>
      </c>
      <c r="F48" s="1">
        <v>2025</v>
      </c>
      <c r="G48" s="5" t="s">
        <v>18</v>
      </c>
      <c r="H48" s="5">
        <f t="shared" si="2"/>
        <v>5647</v>
      </c>
      <c r="I48" s="5">
        <f t="shared" si="3"/>
        <v>0</v>
      </c>
      <c r="J48" s="5">
        <f>Table1[[#This Row],[Enrolment S.Y. 2025-2026 ]]*8</f>
        <v>5864</v>
      </c>
      <c r="K48" s="43">
        <v>0</v>
      </c>
      <c r="L48" s="1"/>
      <c r="M48" s="5"/>
      <c r="N48" s="5">
        <f t="shared" si="10"/>
        <v>5864</v>
      </c>
      <c r="O48" s="5">
        <f t="shared" si="11"/>
        <v>0</v>
      </c>
      <c r="P48" s="5">
        <f>Table1[[#This Row],[Enrolment S.Y. 2025-2026 ]]*8</f>
        <v>5864</v>
      </c>
      <c r="Q48" s="5">
        <v>0</v>
      </c>
      <c r="R48" s="1"/>
      <c r="S48" s="5"/>
      <c r="T48" s="5">
        <f t="shared" si="12"/>
        <v>5864</v>
      </c>
      <c r="U48" s="5">
        <f t="shared" si="13"/>
        <v>0</v>
      </c>
      <c r="V48" s="5">
        <f>Table1[[#This Row],[Enrolment S.Y. 2025-2026 ]]*8</f>
        <v>5864</v>
      </c>
      <c r="W48" s="5">
        <v>0</v>
      </c>
      <c r="X48" s="1"/>
      <c r="Y48" s="5"/>
      <c r="Z48" s="5">
        <f t="shared" si="14"/>
        <v>5864</v>
      </c>
      <c r="AA48" s="5">
        <f t="shared" si="15"/>
        <v>0</v>
      </c>
    </row>
    <row r="49" spans="1:27" ht="19.5">
      <c r="A49" s="1">
        <v>5</v>
      </c>
      <c r="B49" s="9" t="s">
        <v>20</v>
      </c>
      <c r="C49" s="1">
        <v>733</v>
      </c>
      <c r="D49" s="5">
        <f>Table1[[#This Row],[Enrolment S.Y. 2025-2026 ]]*8</f>
        <v>5864</v>
      </c>
      <c r="E49" s="5">
        <v>217</v>
      </c>
      <c r="F49" s="1">
        <v>2025</v>
      </c>
      <c r="G49" s="5" t="s">
        <v>18</v>
      </c>
      <c r="H49" s="5">
        <f t="shared" si="2"/>
        <v>5647</v>
      </c>
      <c r="I49" s="5">
        <f t="shared" si="3"/>
        <v>0</v>
      </c>
      <c r="J49" s="5">
        <f>Table1[[#This Row],[Enrolment S.Y. 2025-2026 ]]*8</f>
        <v>5864</v>
      </c>
      <c r="K49" s="43">
        <v>0</v>
      </c>
      <c r="L49" s="1"/>
      <c r="M49" s="5"/>
      <c r="N49" s="5">
        <f t="shared" si="10"/>
        <v>5864</v>
      </c>
      <c r="O49" s="5">
        <f t="shared" si="11"/>
        <v>0</v>
      </c>
      <c r="P49" s="5">
        <f>Table1[[#This Row],[Enrolment S.Y. 2025-2026 ]]*8</f>
        <v>5864</v>
      </c>
      <c r="Q49" s="5">
        <v>0</v>
      </c>
      <c r="R49" s="1"/>
      <c r="S49" s="5"/>
      <c r="T49" s="5">
        <f t="shared" si="12"/>
        <v>5864</v>
      </c>
      <c r="U49" s="5">
        <f t="shared" si="13"/>
        <v>0</v>
      </c>
      <c r="V49" s="5">
        <f>Table1[[#This Row],[Enrolment S.Y. 2025-2026 ]]*8</f>
        <v>5864</v>
      </c>
      <c r="W49" s="5">
        <v>0</v>
      </c>
      <c r="X49" s="1"/>
      <c r="Y49" s="5"/>
      <c r="Z49" s="5">
        <f t="shared" si="14"/>
        <v>5864</v>
      </c>
      <c r="AA49" s="5">
        <f t="shared" si="15"/>
        <v>0</v>
      </c>
    </row>
    <row r="50" spans="1:27" ht="19.5">
      <c r="A50" s="1">
        <v>5</v>
      </c>
      <c r="B50" s="9" t="s">
        <v>21</v>
      </c>
      <c r="C50" s="1">
        <v>733</v>
      </c>
      <c r="D50" s="5">
        <f>Table1[[#This Row],[Enrolment S.Y. 2025-2026 ]]*8</f>
        <v>5864</v>
      </c>
      <c r="E50" s="5">
        <v>217</v>
      </c>
      <c r="F50" s="1">
        <v>2025</v>
      </c>
      <c r="G50" s="5" t="s">
        <v>18</v>
      </c>
      <c r="H50" s="5">
        <f t="shared" si="2"/>
        <v>5647</v>
      </c>
      <c r="I50" s="5">
        <f t="shared" si="3"/>
        <v>0</v>
      </c>
      <c r="J50" s="5">
        <f>Table1[[#This Row],[Enrolment S.Y. 2025-2026 ]]*8</f>
        <v>5864</v>
      </c>
      <c r="K50" s="43">
        <v>0</v>
      </c>
      <c r="L50" s="1"/>
      <c r="M50" s="5"/>
      <c r="N50" s="5">
        <f t="shared" si="10"/>
        <v>5864</v>
      </c>
      <c r="O50" s="5">
        <f t="shared" si="11"/>
        <v>0</v>
      </c>
      <c r="P50" s="5">
        <f>Table1[[#This Row],[Enrolment S.Y. 2025-2026 ]]*8</f>
        <v>5864</v>
      </c>
      <c r="Q50" s="5">
        <v>0</v>
      </c>
      <c r="R50" s="1"/>
      <c r="S50" s="5"/>
      <c r="T50" s="5">
        <f t="shared" si="12"/>
        <v>5864</v>
      </c>
      <c r="U50" s="5">
        <f t="shared" si="13"/>
        <v>0</v>
      </c>
      <c r="V50" s="5">
        <f>Table1[[#This Row],[Enrolment S.Y. 2025-2026 ]]*8</f>
        <v>5864</v>
      </c>
      <c r="W50" s="5">
        <v>0</v>
      </c>
      <c r="X50" s="1"/>
      <c r="Y50" s="5"/>
      <c r="Z50" s="5">
        <f t="shared" si="14"/>
        <v>5864</v>
      </c>
      <c r="AA50" s="5">
        <f t="shared" si="15"/>
        <v>0</v>
      </c>
    </row>
    <row r="51" spans="1:27" ht="19.5">
      <c r="A51" s="1">
        <v>5</v>
      </c>
      <c r="B51" s="9" t="s">
        <v>22</v>
      </c>
      <c r="C51" s="1">
        <v>733</v>
      </c>
      <c r="D51" s="5">
        <f>Table1[[#This Row],[Enrolment S.Y. 2025-2026 ]]*8</f>
        <v>5864</v>
      </c>
      <c r="E51" s="5">
        <v>217</v>
      </c>
      <c r="F51" s="1">
        <v>2025</v>
      </c>
      <c r="G51" s="5" t="s">
        <v>18</v>
      </c>
      <c r="H51" s="5">
        <f t="shared" si="2"/>
        <v>5647</v>
      </c>
      <c r="I51" s="5">
        <f t="shared" si="3"/>
        <v>0</v>
      </c>
      <c r="J51" s="5">
        <f>Table1[[#This Row],[Enrolment S.Y. 2025-2026 ]]*8</f>
        <v>5864</v>
      </c>
      <c r="K51" s="43">
        <v>0</v>
      </c>
      <c r="L51" s="1"/>
      <c r="M51" s="5"/>
      <c r="N51" s="5">
        <f t="shared" si="10"/>
        <v>5864</v>
      </c>
      <c r="O51" s="5">
        <f t="shared" si="11"/>
        <v>0</v>
      </c>
      <c r="P51" s="5">
        <f>Table1[[#This Row],[Enrolment S.Y. 2025-2026 ]]*8</f>
        <v>5864</v>
      </c>
      <c r="Q51" s="5">
        <v>0</v>
      </c>
      <c r="R51" s="1"/>
      <c r="S51" s="5"/>
      <c r="T51" s="5">
        <f t="shared" si="12"/>
        <v>5864</v>
      </c>
      <c r="U51" s="5">
        <f t="shared" si="13"/>
        <v>0</v>
      </c>
      <c r="V51" s="5">
        <f>Table1[[#This Row],[Enrolment S.Y. 2025-2026 ]]*8</f>
        <v>5864</v>
      </c>
      <c r="W51" s="5">
        <v>0</v>
      </c>
      <c r="X51" s="1"/>
      <c r="Y51" s="5"/>
      <c r="Z51" s="5">
        <f t="shared" si="14"/>
        <v>5864</v>
      </c>
      <c r="AA51" s="5">
        <f t="shared" si="15"/>
        <v>0</v>
      </c>
    </row>
    <row r="52" spans="1:27" s="7" customFormat="1" ht="19.149999999999999">
      <c r="J52" s="10"/>
      <c r="M52" s="10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43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43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14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43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43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5">
      <c r="A57" s="1">
        <v>6</v>
      </c>
      <c r="B57" s="40" t="s">
        <v>19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43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43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20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43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21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43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22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43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E62" s="41"/>
      <c r="J62" s="10"/>
      <c r="K62" s="44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s="48" customFormat="1" ht="15">
      <c r="A63"/>
      <c r="B63"/>
      <c r="C63"/>
      <c r="D63"/>
      <c r="E63" s="41"/>
      <c r="F63"/>
      <c r="G63"/>
      <c r="H63"/>
      <c r="I63"/>
      <c r="J63"/>
      <c r="K63" s="44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</row>
    <row r="64" spans="1:27" s="48" customFormat="1" ht="15">
      <c r="A64"/>
      <c r="B64"/>
      <c r="C64"/>
      <c r="D64"/>
      <c r="E64" s="41"/>
      <c r="F64"/>
      <c r="G64"/>
      <c r="H64"/>
      <c r="I64"/>
      <c r="J64"/>
      <c r="K64" s="4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</row>
    <row r="65" spans="1:27" s="48" customFormat="1" ht="15">
      <c r="A65"/>
      <c r="B65"/>
      <c r="C65"/>
      <c r="D65"/>
      <c r="E65" s="41"/>
      <c r="F65"/>
      <c r="G65"/>
      <c r="H65"/>
      <c r="I65"/>
      <c r="J65"/>
      <c r="K65" s="44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</row>
    <row r="66" spans="1:27" s="48" customFormat="1" ht="15">
      <c r="A66"/>
      <c r="B66"/>
      <c r="C66"/>
      <c r="D66"/>
      <c r="E66" s="41"/>
      <c r="F66"/>
      <c r="G66"/>
      <c r="H66"/>
      <c r="I66"/>
      <c r="J66"/>
      <c r="K66" s="44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s="48" customFormat="1" ht="15">
      <c r="A67"/>
      <c r="B67"/>
      <c r="C67"/>
      <c r="D67"/>
      <c r="E67" s="41"/>
      <c r="F67"/>
      <c r="G67"/>
      <c r="H67"/>
      <c r="I67"/>
      <c r="J67"/>
      <c r="K67" s="44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</row>
    <row r="68" spans="1:27" s="48" customFormat="1" ht="15">
      <c r="A68"/>
      <c r="B68"/>
      <c r="C68"/>
      <c r="D68"/>
      <c r="E68" s="41"/>
      <c r="F68"/>
      <c r="G68"/>
      <c r="H68"/>
      <c r="I68"/>
      <c r="J68"/>
      <c r="K68" s="44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</row>
    <row r="69" spans="1:27" s="48" customFormat="1" ht="15">
      <c r="A69"/>
      <c r="B69"/>
      <c r="C69"/>
      <c r="D69"/>
      <c r="E69" s="41"/>
      <c r="F69"/>
      <c r="G69"/>
      <c r="H69"/>
      <c r="I69"/>
      <c r="J69"/>
      <c r="K69" s="44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</row>
    <row r="70" spans="1:27" s="48" customFormat="1" ht="15">
      <c r="A70"/>
      <c r="B70"/>
      <c r="C70"/>
      <c r="D70"/>
      <c r="E70" s="41"/>
      <c r="F70"/>
      <c r="G70"/>
      <c r="H70"/>
      <c r="I70"/>
      <c r="J70"/>
      <c r="K70" s="44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</row>
    <row r="71" spans="1:27" s="48" customFormat="1" ht="15">
      <c r="A71"/>
      <c r="B71"/>
      <c r="C71"/>
      <c r="D71"/>
      <c r="E71" s="41"/>
      <c r="F71"/>
      <c r="G71"/>
      <c r="H71"/>
      <c r="I71"/>
      <c r="J71"/>
      <c r="K71" s="44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</row>
    <row r="72" spans="1:27" s="48" customFormat="1" ht="15">
      <c r="A72"/>
      <c r="B72"/>
      <c r="C72"/>
      <c r="D72"/>
      <c r="E72" s="41"/>
      <c r="F72"/>
      <c r="G72"/>
      <c r="H72"/>
      <c r="I72"/>
      <c r="J72"/>
      <c r="K72" s="44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s="48" customFormat="1" ht="15">
      <c r="A73"/>
      <c r="B73"/>
      <c r="C73"/>
      <c r="D73"/>
      <c r="E73" s="41"/>
      <c r="F73"/>
      <c r="G73"/>
      <c r="H73"/>
      <c r="I73"/>
      <c r="J73"/>
      <c r="K73" s="44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</row>
    <row r="74" spans="1:27" s="48" customFormat="1" ht="15">
      <c r="A74"/>
      <c r="B74"/>
      <c r="C74"/>
      <c r="D74"/>
      <c r="E74" s="41"/>
      <c r="F74"/>
      <c r="G74"/>
      <c r="H74"/>
      <c r="I74"/>
      <c r="J74"/>
      <c r="K74" s="4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</row>
    <row r="75" spans="1:27" s="48" customFormat="1" ht="15">
      <c r="A75"/>
      <c r="B75"/>
      <c r="C75"/>
      <c r="D75"/>
      <c r="E75" s="41"/>
      <c r="F75"/>
      <c r="G75"/>
      <c r="H75"/>
      <c r="I75"/>
      <c r="J75"/>
      <c r="K75" s="44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</row>
    <row r="76" spans="1:27" s="48" customFormat="1" ht="15">
      <c r="A76"/>
      <c r="B76"/>
      <c r="C76"/>
      <c r="D76"/>
      <c r="E76" s="41"/>
      <c r="F76"/>
      <c r="G76"/>
      <c r="H76"/>
      <c r="I76"/>
      <c r="J76"/>
      <c r="K76" s="44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</row>
    <row r="77" spans="1:27" s="48" customFormat="1" ht="15">
      <c r="A77"/>
      <c r="B77"/>
      <c r="C77"/>
      <c r="D77"/>
      <c r="E77" s="41"/>
      <c r="F77"/>
      <c r="G77"/>
      <c r="H77"/>
      <c r="I77"/>
      <c r="J77"/>
      <c r="K77" s="44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</row>
    <row r="78" spans="1:27" s="48" customFormat="1" ht="15">
      <c r="A78"/>
      <c r="B78"/>
      <c r="C78"/>
      <c r="D78"/>
      <c r="E78" s="41"/>
      <c r="F78"/>
      <c r="G78"/>
      <c r="H78"/>
      <c r="I78"/>
      <c r="J78"/>
      <c r="K78" s="44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s="48" customFormat="1" ht="15">
      <c r="A79"/>
      <c r="B79"/>
      <c r="C79"/>
      <c r="D79"/>
      <c r="E79" s="41"/>
      <c r="F79"/>
      <c r="G79"/>
      <c r="H79"/>
      <c r="I79"/>
      <c r="J79"/>
      <c r="K79" s="44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</row>
    <row r="80" spans="1:27" s="48" customFormat="1" ht="15">
      <c r="A80"/>
      <c r="B80"/>
      <c r="C80"/>
      <c r="D80"/>
      <c r="E80" s="41"/>
      <c r="F80"/>
      <c r="G80"/>
      <c r="H80"/>
      <c r="I80"/>
      <c r="J80"/>
      <c r="K80" s="44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</row>
    <row r="81" spans="1:27" s="48" customFormat="1" ht="15">
      <c r="A81"/>
      <c r="B81"/>
      <c r="C81"/>
      <c r="D81"/>
      <c r="E81" s="41"/>
      <c r="F81"/>
      <c r="G81"/>
      <c r="H81"/>
      <c r="I81"/>
      <c r="J81"/>
      <c r="K81" s="44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</row>
    <row r="82" spans="1:27" s="48" customFormat="1" ht="15">
      <c r="A82"/>
      <c r="B82"/>
      <c r="C82"/>
      <c r="D82"/>
      <c r="E82" s="41"/>
      <c r="F82"/>
      <c r="G82"/>
      <c r="H82"/>
      <c r="I82"/>
      <c r="J82"/>
      <c r="K82" s="44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s="48" customFormat="1" ht="15">
      <c r="A83"/>
      <c r="B83"/>
      <c r="C83"/>
      <c r="D83"/>
      <c r="E83" s="41"/>
      <c r="F83"/>
      <c r="G83"/>
      <c r="H83"/>
      <c r="I83"/>
      <c r="J83"/>
      <c r="K83" s="44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</row>
    <row r="84" spans="1:27" s="48" customFormat="1" ht="15">
      <c r="A84"/>
      <c r="B84"/>
      <c r="C84"/>
      <c r="D84"/>
      <c r="E84" s="41"/>
      <c r="F84"/>
      <c r="G84"/>
      <c r="H84"/>
      <c r="I84"/>
      <c r="J84"/>
      <c r="K84" s="4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</row>
    <row r="85" spans="1:27" s="48" customFormat="1" ht="15">
      <c r="A85"/>
      <c r="B85"/>
      <c r="C85"/>
      <c r="D85"/>
      <c r="E85" s="41"/>
      <c r="F85"/>
      <c r="G85"/>
      <c r="H85"/>
      <c r="I85"/>
      <c r="J85"/>
      <c r="K85" s="44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</row>
    <row r="86" spans="1:27" s="48" customFormat="1" ht="15">
      <c r="A86"/>
      <c r="B86"/>
      <c r="C86"/>
      <c r="D86"/>
      <c r="E86" s="41"/>
      <c r="F86"/>
      <c r="G86"/>
      <c r="H86"/>
      <c r="I86"/>
      <c r="J86"/>
      <c r="K86" s="44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</row>
    <row r="87" spans="1:27" s="48" customFormat="1" ht="15">
      <c r="A87"/>
      <c r="B87"/>
      <c r="C87"/>
      <c r="D87"/>
      <c r="E87" s="41"/>
      <c r="F87"/>
      <c r="G87"/>
      <c r="H87"/>
      <c r="I87"/>
      <c r="J87"/>
      <c r="K87" s="44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</row>
    <row r="88" spans="1:27" s="48" customFormat="1" ht="15">
      <c r="A88"/>
      <c r="B88"/>
      <c r="C88"/>
      <c r="D88"/>
      <c r="E88" s="41"/>
      <c r="F88"/>
      <c r="G88"/>
      <c r="H88"/>
      <c r="I88"/>
      <c r="J88"/>
      <c r="K88" s="44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</row>
    <row r="89" spans="1:27" s="48" customFormat="1" ht="15">
      <c r="A89"/>
      <c r="B89"/>
      <c r="C89"/>
      <c r="D89"/>
      <c r="E89" s="41"/>
      <c r="F89"/>
      <c r="G89"/>
      <c r="H89"/>
      <c r="I89"/>
      <c r="J89"/>
      <c r="K89" s="44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</row>
    <row r="90" spans="1:27" s="48" customFormat="1" ht="15">
      <c r="A90"/>
      <c r="B90"/>
      <c r="C90"/>
      <c r="D90"/>
      <c r="E90" s="41"/>
      <c r="F90"/>
      <c r="G90"/>
      <c r="H90"/>
      <c r="I90"/>
      <c r="J90"/>
      <c r="K90" s="44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s="48" customFormat="1" ht="15">
      <c r="A91"/>
      <c r="B91"/>
      <c r="C91"/>
      <c r="D91"/>
      <c r="E91" s="41"/>
      <c r="F91"/>
      <c r="G91"/>
      <c r="H91"/>
      <c r="I91"/>
      <c r="J91"/>
      <c r="K91" s="44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</row>
    <row r="92" spans="1:27" s="48" customFormat="1" ht="15">
      <c r="A92"/>
      <c r="B92"/>
      <c r="C92"/>
      <c r="D92"/>
      <c r="E92" s="41"/>
      <c r="F92"/>
      <c r="G92"/>
      <c r="H92"/>
      <c r="I92"/>
      <c r="J92"/>
      <c r="K92" s="44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s="48" customFormat="1" ht="15">
      <c r="A93"/>
      <c r="B93"/>
      <c r="C93"/>
      <c r="D93"/>
      <c r="E93" s="41"/>
      <c r="F93"/>
      <c r="G93"/>
      <c r="H93"/>
      <c r="I93"/>
      <c r="J93"/>
      <c r="K93" s="44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</row>
    <row r="94" spans="1:27" s="48" customFormat="1" ht="15">
      <c r="A94"/>
      <c r="B94"/>
      <c r="C94"/>
      <c r="D94"/>
      <c r="E94" s="41"/>
      <c r="F94"/>
      <c r="G94"/>
      <c r="H94"/>
      <c r="I94"/>
      <c r="J94"/>
      <c r="K94" s="4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</row>
    <row r="95" spans="1:27" s="48" customFormat="1" ht="15">
      <c r="A95"/>
      <c r="B95"/>
      <c r="C95"/>
      <c r="D95"/>
      <c r="E95" s="41"/>
      <c r="F95"/>
      <c r="G95"/>
      <c r="H95"/>
      <c r="I95"/>
      <c r="J95"/>
      <c r="K95" s="44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</row>
    <row r="96" spans="1:27" s="48" customFormat="1" ht="15">
      <c r="A96"/>
      <c r="B96"/>
      <c r="C96"/>
      <c r="D96"/>
      <c r="E96" s="41"/>
      <c r="F96"/>
      <c r="G96"/>
      <c r="H96"/>
      <c r="I96"/>
      <c r="J96"/>
      <c r="K96" s="44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</row>
    <row r="97" spans="1:27" s="48" customFormat="1" ht="15">
      <c r="A97"/>
      <c r="B97"/>
      <c r="C97"/>
      <c r="D97"/>
      <c r="E97" s="41"/>
      <c r="F97"/>
      <c r="G97"/>
      <c r="H97"/>
      <c r="I97"/>
      <c r="J97"/>
      <c r="K97" s="44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</row>
    <row r="98" spans="1:27" s="48" customFormat="1" ht="15">
      <c r="A98"/>
      <c r="B98"/>
      <c r="C98"/>
      <c r="D98"/>
      <c r="E98" s="41"/>
      <c r="F98"/>
      <c r="G98"/>
      <c r="H98"/>
      <c r="I98"/>
      <c r="J98"/>
      <c r="K98" s="44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</row>
    <row r="99" spans="1:27" s="48" customFormat="1" ht="15">
      <c r="A99"/>
      <c r="B99"/>
      <c r="C99"/>
      <c r="D99"/>
      <c r="E99" s="41"/>
      <c r="F99"/>
      <c r="G99"/>
      <c r="H99"/>
      <c r="I99"/>
      <c r="J99"/>
      <c r="K99" s="44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</row>
    <row r="100" spans="1:27" s="48" customFormat="1" ht="15">
      <c r="A100"/>
      <c r="B100"/>
      <c r="C100"/>
      <c r="D100"/>
      <c r="E100" s="41"/>
      <c r="F100"/>
      <c r="G100"/>
      <c r="H100"/>
      <c r="I100"/>
      <c r="J100"/>
      <c r="K100" s="44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</row>
    <row r="101" spans="1:27" s="48" customFormat="1" ht="15">
      <c r="A101"/>
      <c r="B101"/>
      <c r="C101"/>
      <c r="D101"/>
      <c r="E101" s="41"/>
      <c r="F101"/>
      <c r="G101"/>
      <c r="H101"/>
      <c r="I101"/>
      <c r="J101"/>
      <c r="K101" s="44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</row>
    <row r="102" spans="1:27" s="7" customFormat="1" ht="15">
      <c r="A102"/>
      <c r="B102"/>
      <c r="C102"/>
      <c r="D102"/>
      <c r="E102" s="41"/>
      <c r="F102"/>
      <c r="G102"/>
      <c r="H102"/>
      <c r="I102"/>
      <c r="J102"/>
      <c r="K102" s="44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 s="41"/>
      <c r="F111"/>
      <c r="G111"/>
      <c r="H111"/>
      <c r="I111"/>
      <c r="J111"/>
      <c r="K111" s="44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3:C61 C43:C51 C5:C12 C14:C21 C33:C41 C23:C31" name="Textbooks"/>
    <protectedRange sqref="J2:L3 D2:F2 H5:L5 Q14:R21 W14:X21 Q23:R31 W23:X31 H33:I41 Q33:R41 W33:X41 H43:I51 Q43:R51 W43:X51 D53:F61 H53:I61 Q53:R61 W53:X61 K14:L21 K43:L51 D5:F12 D33:F41 E3:F3 D3:D4 K23:L31 N13:P62 P2:R2 V2:X3 T13:V62 J6:J62 Z4:AA62 N5:R12 T5:X12 N4:P4 T4:V4 J4 D22:D31 N3:R3 Y13 E23:F31 D43:F51 D14:F21 H14:I21 H23:I31 H6:I12 K6:L12 K33:L41 K53:L61" name="LAS"/>
    <protectedRange sqref="G2:I3 M2:O2 S2:U3 Y2:AA3 G33:G41 G5:G12 M14:M62 S4:S62 M5:M12 Y14:Y62 Y5:Y12 M3 G23:G31 G53:G61 G43:G51 G14:G2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G14:G21 Y14:Y62 S4:S62 M14:M62 M5:M12 Y5:Y12 G43:G51 G23:G31 G5:G12 G53:G61 G33:G4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1"/>
  <sheetViews>
    <sheetView tabSelected="1" zoomScale="55" zoomScaleNormal="55" workbookViewId="0">
      <selection activeCell="A68" sqref="A68:AA123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style="44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style="44" customWidth="1"/>
    <col min="12" max="12" width="18.140625" customWidth="1"/>
    <col min="13" max="15" width="20.85546875" customWidth="1"/>
    <col min="16" max="16" width="21.5703125" customWidth="1"/>
    <col min="17" max="17" width="29.140625" style="41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31"/>
      <c r="D1" s="49" t="s">
        <v>23</v>
      </c>
      <c r="E1" s="49"/>
      <c r="F1" s="49"/>
      <c r="G1" s="49"/>
      <c r="H1" s="49"/>
      <c r="I1" s="49"/>
      <c r="J1" s="50" t="s">
        <v>24</v>
      </c>
      <c r="K1" s="50"/>
      <c r="L1" s="50"/>
      <c r="M1" s="50"/>
      <c r="N1" s="50"/>
      <c r="O1" s="50"/>
      <c r="P1" s="51" t="s">
        <v>25</v>
      </c>
      <c r="Q1" s="51"/>
      <c r="R1" s="51"/>
      <c r="S1" s="51"/>
      <c r="T1" s="51"/>
      <c r="U1" s="51"/>
      <c r="V1" s="52" t="s">
        <v>26</v>
      </c>
      <c r="W1" s="52"/>
      <c r="X1" s="52"/>
      <c r="Y1" s="52"/>
      <c r="Z1" s="52"/>
      <c r="AA1" s="52"/>
    </row>
    <row r="2" spans="1:27" ht="69.599999999999994" customHeight="1">
      <c r="A2" s="12" t="s">
        <v>0</v>
      </c>
      <c r="B2" s="32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5" t="s">
        <v>62</v>
      </c>
      <c r="N2" s="35" t="s">
        <v>63</v>
      </c>
      <c r="O2" s="19" t="s">
        <v>64</v>
      </c>
      <c r="P2" s="21" t="s">
        <v>65</v>
      </c>
      <c r="Q2" s="45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6" t="s">
        <v>74</v>
      </c>
      <c r="Z2" s="36" t="s">
        <v>75</v>
      </c>
      <c r="AA2" s="23" t="s">
        <v>76</v>
      </c>
    </row>
    <row r="3" spans="1:27" ht="38.25">
      <c r="A3" s="1">
        <v>1</v>
      </c>
      <c r="B3" s="2" t="s">
        <v>8</v>
      </c>
      <c r="C3" s="1">
        <v>736</v>
      </c>
      <c r="D3" s="5">
        <f>Table14[[#This Row],[Enrolment S.Y. 2025-2026 ]]*8</f>
        <v>5888</v>
      </c>
      <c r="E3" s="43">
        <v>0</v>
      </c>
      <c r="F3" s="1"/>
      <c r="G3" s="5"/>
      <c r="H3" s="5">
        <f t="shared" ref="H3:H66" si="0">IF((D3-E3)&lt;0,0,(D3-E3))</f>
        <v>5888</v>
      </c>
      <c r="I3" s="5">
        <f t="shared" ref="I3:I66" si="1">IF((E3-D3)&lt;0,0,(E3-D3))</f>
        <v>0</v>
      </c>
      <c r="J3" s="5">
        <f>Table14[[#This Row],[Enrolment S.Y. 2025-2026 ]]*8</f>
        <v>5888</v>
      </c>
      <c r="K3" s="43">
        <v>0</v>
      </c>
      <c r="L3" s="1"/>
      <c r="M3" s="5"/>
      <c r="N3" s="5">
        <f t="shared" ref="N3:N60" si="2">IF((J3-K3)&lt;0,0,(J3-K3))</f>
        <v>5888</v>
      </c>
      <c r="O3" s="5">
        <f t="shared" ref="O3:O60" si="3">IF((K3-J3)&lt;0,0,(K3-J3))</f>
        <v>0</v>
      </c>
      <c r="P3" s="5">
        <f>Table14[[#This Row],[Enrolment S.Y. 2025-2026 ]]*8</f>
        <v>5888</v>
      </c>
      <c r="Q3" s="5">
        <v>0</v>
      </c>
      <c r="R3" s="1"/>
      <c r="S3" s="5"/>
      <c r="T3" s="5">
        <f t="shared" ref="T3:T66" si="4">IF((P3-Q3)&lt;0,0,(P3-Q3))</f>
        <v>5888</v>
      </c>
      <c r="U3" s="5">
        <f t="shared" ref="U3:U66" si="5">IF((Q3-P3)&lt;0,0,(Q3-P3))</f>
        <v>0</v>
      </c>
      <c r="V3" s="5">
        <f>Table14[[#This Row],[Enrolment S.Y. 2025-2026 ]]*8</f>
        <v>5888</v>
      </c>
      <c r="W3" s="5">
        <v>0</v>
      </c>
      <c r="X3" s="1"/>
      <c r="Y3" s="5"/>
      <c r="Z3" s="5">
        <f t="shared" ref="Z3:Z66" si="6">IF((V3-W3)&lt;0,0,(V3-W3))</f>
        <v>5888</v>
      </c>
      <c r="AA3" s="5">
        <f t="shared" ref="AA3:AA66" si="7">IF((W3-V3)&lt;0,0,(W3-V3))</f>
        <v>0</v>
      </c>
    </row>
    <row r="4" spans="1:27" ht="19.5">
      <c r="A4" s="1">
        <v>1</v>
      </c>
      <c r="B4" s="2" t="s">
        <v>10</v>
      </c>
      <c r="C4" s="1">
        <v>736</v>
      </c>
      <c r="D4" s="5">
        <f>Table14[[#This Row],[Enrolment S.Y. 2025-2026 ]]*8</f>
        <v>5888</v>
      </c>
      <c r="E4" s="43">
        <v>0</v>
      </c>
      <c r="F4" s="1"/>
      <c r="G4" s="5"/>
      <c r="H4" s="5">
        <f t="shared" si="0"/>
        <v>5888</v>
      </c>
      <c r="I4" s="5">
        <f t="shared" si="1"/>
        <v>0</v>
      </c>
      <c r="J4" s="5">
        <f>Table14[[#This Row],[Enrolment S.Y. 2025-2026 ]]*8</f>
        <v>5888</v>
      </c>
      <c r="K4" s="43">
        <v>0</v>
      </c>
      <c r="L4" s="1"/>
      <c r="M4" s="5"/>
      <c r="N4" s="5">
        <f t="shared" si="2"/>
        <v>5888</v>
      </c>
      <c r="O4" s="5">
        <f t="shared" si="3"/>
        <v>0</v>
      </c>
      <c r="P4" s="5">
        <f>Table14[[#This Row],[Enrolment S.Y. 2025-2026 ]]*8</f>
        <v>5888</v>
      </c>
      <c r="Q4" s="5">
        <v>0</v>
      </c>
      <c r="R4" s="1"/>
      <c r="S4" s="5"/>
      <c r="T4" s="5">
        <f t="shared" si="4"/>
        <v>5888</v>
      </c>
      <c r="U4" s="5">
        <f t="shared" si="5"/>
        <v>0</v>
      </c>
      <c r="V4" s="5">
        <f>Table14[[#This Row],[Enrolment S.Y. 2025-2026 ]]*8</f>
        <v>5888</v>
      </c>
      <c r="W4" s="5">
        <v>0</v>
      </c>
      <c r="X4" s="1"/>
      <c r="Y4" s="5"/>
      <c r="Z4" s="5">
        <f t="shared" si="6"/>
        <v>5888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736</v>
      </c>
      <c r="D5" s="5">
        <f>Table14[[#This Row],[Enrolment S.Y. 2025-2026 ]]*8</f>
        <v>5888</v>
      </c>
      <c r="E5" s="43">
        <v>0</v>
      </c>
      <c r="F5" s="1"/>
      <c r="G5" s="5"/>
      <c r="H5" s="5">
        <f t="shared" si="0"/>
        <v>5888</v>
      </c>
      <c r="I5" s="5">
        <f t="shared" si="1"/>
        <v>0</v>
      </c>
      <c r="J5" s="5">
        <f>Table14[[#This Row],[Enrolment S.Y. 2025-2026 ]]*8</f>
        <v>5888</v>
      </c>
      <c r="K5" s="43">
        <v>0</v>
      </c>
      <c r="L5" s="1"/>
      <c r="M5" s="5"/>
      <c r="N5" s="5">
        <f t="shared" si="2"/>
        <v>5888</v>
      </c>
      <c r="O5" s="5">
        <f t="shared" si="3"/>
        <v>0</v>
      </c>
      <c r="P5" s="5">
        <f>Table14[[#This Row],[Enrolment S.Y. 2025-2026 ]]*8</f>
        <v>5888</v>
      </c>
      <c r="Q5" s="5">
        <v>0</v>
      </c>
      <c r="R5" s="1"/>
      <c r="S5" s="5"/>
      <c r="T5" s="5">
        <f t="shared" si="4"/>
        <v>5888</v>
      </c>
      <c r="U5" s="5">
        <f t="shared" si="5"/>
        <v>0</v>
      </c>
      <c r="V5" s="5">
        <f>Table14[[#This Row],[Enrolment S.Y. 2025-2026 ]]*8</f>
        <v>5888</v>
      </c>
      <c r="W5" s="5">
        <v>0</v>
      </c>
      <c r="X5" s="1"/>
      <c r="Y5" s="5"/>
      <c r="Z5" s="5">
        <f t="shared" si="6"/>
        <v>5888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736</v>
      </c>
      <c r="D6" s="5">
        <f>Table14[[#This Row],[Enrolment S.Y. 2025-2026 ]]*8</f>
        <v>5888</v>
      </c>
      <c r="E6" s="43">
        <v>0</v>
      </c>
      <c r="F6" s="1"/>
      <c r="G6" s="5"/>
      <c r="H6" s="5">
        <f t="shared" si="0"/>
        <v>5888</v>
      </c>
      <c r="I6" s="5">
        <f t="shared" si="1"/>
        <v>0</v>
      </c>
      <c r="J6" s="5">
        <f>Table14[[#This Row],[Enrolment S.Y. 2025-2026 ]]*8</f>
        <v>5888</v>
      </c>
      <c r="K6" s="43">
        <v>0</v>
      </c>
      <c r="L6" s="1"/>
      <c r="M6" s="5"/>
      <c r="N6" s="5">
        <f t="shared" si="2"/>
        <v>5888</v>
      </c>
      <c r="O6" s="5">
        <f t="shared" si="3"/>
        <v>0</v>
      </c>
      <c r="P6" s="5">
        <f>Table14[[#This Row],[Enrolment S.Y. 2025-2026 ]]*8</f>
        <v>5888</v>
      </c>
      <c r="Q6" s="5">
        <v>0</v>
      </c>
      <c r="R6" s="1"/>
      <c r="S6" s="5"/>
      <c r="T6" s="5">
        <f t="shared" si="4"/>
        <v>5888</v>
      </c>
      <c r="U6" s="5">
        <f t="shared" si="5"/>
        <v>0</v>
      </c>
      <c r="V6" s="5">
        <f>Table14[[#This Row],[Enrolment S.Y. 2025-2026 ]]*8</f>
        <v>5888</v>
      </c>
      <c r="W6" s="5">
        <v>0</v>
      </c>
      <c r="X6" s="1"/>
      <c r="Y6" s="5"/>
      <c r="Z6" s="5">
        <f t="shared" si="6"/>
        <v>5888</v>
      </c>
      <c r="AA6" s="5">
        <f t="shared" si="7"/>
        <v>0</v>
      </c>
    </row>
    <row r="7" spans="1:27" ht="19.5">
      <c r="A7" s="1">
        <v>1</v>
      </c>
      <c r="B7" s="2" t="s">
        <v>14</v>
      </c>
      <c r="C7" s="1">
        <v>736</v>
      </c>
      <c r="D7" s="5">
        <f>Table14[[#This Row],[Enrolment S.Y. 2025-2026 ]]*8</f>
        <v>5888</v>
      </c>
      <c r="E7" s="43">
        <v>0</v>
      </c>
      <c r="F7" s="1"/>
      <c r="G7" s="5"/>
      <c r="H7" s="5">
        <f t="shared" si="0"/>
        <v>5888</v>
      </c>
      <c r="I7" s="5">
        <f t="shared" si="1"/>
        <v>0</v>
      </c>
      <c r="J7" s="5">
        <f>Table14[[#This Row],[Enrolment S.Y. 2025-2026 ]]*8</f>
        <v>5888</v>
      </c>
      <c r="K7" s="43">
        <v>0</v>
      </c>
      <c r="L7" s="1"/>
      <c r="M7" s="5"/>
      <c r="N7" s="5">
        <f t="shared" si="2"/>
        <v>5888</v>
      </c>
      <c r="O7" s="5">
        <f t="shared" si="3"/>
        <v>0</v>
      </c>
      <c r="P7" s="5">
        <f>Table14[[#This Row],[Enrolment S.Y. 2025-2026 ]]*8</f>
        <v>5888</v>
      </c>
      <c r="Q7" s="5">
        <v>0</v>
      </c>
      <c r="R7" s="1"/>
      <c r="S7" s="5"/>
      <c r="T7" s="5">
        <f t="shared" si="4"/>
        <v>5888</v>
      </c>
      <c r="U7" s="5">
        <f t="shared" si="5"/>
        <v>0</v>
      </c>
      <c r="V7" s="5">
        <f>Table14[[#This Row],[Enrolment S.Y. 2025-2026 ]]*8</f>
        <v>5888</v>
      </c>
      <c r="W7" s="5">
        <v>0</v>
      </c>
      <c r="X7" s="1"/>
      <c r="Y7" s="5"/>
      <c r="Z7" s="5">
        <f t="shared" si="6"/>
        <v>5888</v>
      </c>
      <c r="AA7" s="5">
        <f t="shared" si="7"/>
        <v>0</v>
      </c>
    </row>
    <row r="8" spans="1:27" ht="19.5">
      <c r="A8" s="1">
        <v>1</v>
      </c>
      <c r="B8" s="9" t="s">
        <v>16</v>
      </c>
      <c r="C8" s="1">
        <v>736</v>
      </c>
      <c r="D8" s="5">
        <f>Table14[[#This Row],[Enrolment S.Y. 2025-2026 ]]*8</f>
        <v>5888</v>
      </c>
      <c r="E8" s="43">
        <v>0</v>
      </c>
      <c r="F8" s="1"/>
      <c r="G8" s="5"/>
      <c r="H8" s="5">
        <f>IF((D8-E8)&lt;0,0,(D8-E8))</f>
        <v>5888</v>
      </c>
      <c r="I8" s="5">
        <f>IF((E8-D8)&lt;0,0,(E8-D8))</f>
        <v>0</v>
      </c>
      <c r="J8" s="5">
        <f>Table14[[#This Row],[Enrolment S.Y. 2025-2026 ]]*8</f>
        <v>5888</v>
      </c>
      <c r="K8" s="43">
        <v>0</v>
      </c>
      <c r="L8" s="1"/>
      <c r="M8" s="5"/>
      <c r="N8" s="5">
        <f t="shared" si="2"/>
        <v>5888</v>
      </c>
      <c r="O8" s="5">
        <f t="shared" si="3"/>
        <v>0</v>
      </c>
      <c r="P8" s="5">
        <f>Table14[[#This Row],[Enrolment S.Y. 2025-2026 ]]*8</f>
        <v>5888</v>
      </c>
      <c r="Q8" s="5">
        <v>0</v>
      </c>
      <c r="R8" s="1"/>
      <c r="S8" s="5"/>
      <c r="T8" s="5">
        <f t="shared" si="4"/>
        <v>5888</v>
      </c>
      <c r="U8" s="5">
        <f t="shared" si="5"/>
        <v>0</v>
      </c>
      <c r="V8" s="5">
        <f>Table14[[#This Row],[Enrolment S.Y. 2025-2026 ]]*8</f>
        <v>5888</v>
      </c>
      <c r="W8" s="5">
        <v>0</v>
      </c>
      <c r="X8" s="1"/>
      <c r="Y8" s="5"/>
      <c r="Z8" s="5">
        <f t="shared" si="6"/>
        <v>5888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736</v>
      </c>
      <c r="D9" s="5">
        <f>Table14[[#This Row],[Enrolment S.Y. 2025-2026 ]]*8</f>
        <v>5888</v>
      </c>
      <c r="E9" s="43">
        <v>0</v>
      </c>
      <c r="F9" s="1"/>
      <c r="G9" s="5"/>
      <c r="H9" s="5">
        <f>IF((D9-E9)&lt;0,0,(D9-E9))</f>
        <v>5888</v>
      </c>
      <c r="I9" s="5">
        <f>IF((E9-D9)&lt;0,0,(E9-D9))</f>
        <v>0</v>
      </c>
      <c r="J9" s="5">
        <f>Table14[[#This Row],[Enrolment S.Y. 2025-2026 ]]*8</f>
        <v>5888</v>
      </c>
      <c r="K9" s="43">
        <v>0</v>
      </c>
      <c r="L9" s="1"/>
      <c r="M9" s="5"/>
      <c r="N9" s="5">
        <f t="shared" si="2"/>
        <v>5888</v>
      </c>
      <c r="O9" s="5">
        <f t="shared" si="3"/>
        <v>0</v>
      </c>
      <c r="P9" s="5">
        <f>Table14[[#This Row],[Enrolment S.Y. 2025-2026 ]]*8</f>
        <v>5888</v>
      </c>
      <c r="Q9" s="5">
        <v>0</v>
      </c>
      <c r="R9" s="1"/>
      <c r="S9" s="5"/>
      <c r="T9" s="5">
        <f t="shared" si="4"/>
        <v>5888</v>
      </c>
      <c r="U9" s="5">
        <f t="shared" si="5"/>
        <v>0</v>
      </c>
      <c r="V9" s="5">
        <f>Table14[[#This Row],[Enrolment S.Y. 2025-2026 ]]*8</f>
        <v>5888</v>
      </c>
      <c r="W9" s="5">
        <v>0</v>
      </c>
      <c r="X9" s="1"/>
      <c r="Y9" s="5"/>
      <c r="Z9" s="5">
        <f t="shared" si="6"/>
        <v>5888</v>
      </c>
      <c r="AA9" s="5">
        <f t="shared" si="7"/>
        <v>0</v>
      </c>
    </row>
    <row r="10" spans="1:27" ht="19.5">
      <c r="A10" s="1">
        <v>1</v>
      </c>
      <c r="B10" s="9" t="s">
        <v>52</v>
      </c>
      <c r="C10" s="1">
        <v>736</v>
      </c>
      <c r="D10" s="5">
        <f>Table14[[#This Row],[Enrolment S.Y. 2025-2026 ]]*8</f>
        <v>5888</v>
      </c>
      <c r="E10" s="43">
        <v>0</v>
      </c>
      <c r="F10" s="1"/>
      <c r="G10" s="5"/>
      <c r="H10" s="5">
        <f>IF((D10-E10)&lt;0,0,(D10-E10))</f>
        <v>5888</v>
      </c>
      <c r="I10" s="5">
        <f>IF((E10-D10)&lt;0,0,(E10-D10))</f>
        <v>0</v>
      </c>
      <c r="J10" s="5">
        <f>Table14[[#This Row],[Enrolment S.Y. 2025-2026 ]]*8</f>
        <v>5888</v>
      </c>
      <c r="K10" s="43">
        <v>0</v>
      </c>
      <c r="L10" s="1"/>
      <c r="M10" s="5"/>
      <c r="N10" s="5">
        <f t="shared" si="2"/>
        <v>5888</v>
      </c>
      <c r="O10" s="5">
        <f t="shared" si="3"/>
        <v>0</v>
      </c>
      <c r="P10" s="5">
        <f>Table14[[#This Row],[Enrolment S.Y. 2025-2026 ]]*8</f>
        <v>5888</v>
      </c>
      <c r="Q10" s="5">
        <v>0</v>
      </c>
      <c r="R10" s="1"/>
      <c r="S10" s="5"/>
      <c r="T10" s="5">
        <f t="shared" si="4"/>
        <v>5888</v>
      </c>
      <c r="U10" s="5">
        <f t="shared" si="5"/>
        <v>0</v>
      </c>
      <c r="V10" s="5">
        <f>Table14[[#This Row],[Enrolment S.Y. 2025-2026 ]]*8</f>
        <v>5888</v>
      </c>
      <c r="W10" s="5">
        <v>0</v>
      </c>
      <c r="X10" s="1"/>
      <c r="Y10" s="5"/>
      <c r="Z10" s="5">
        <f t="shared" si="6"/>
        <v>5888</v>
      </c>
      <c r="AA10" s="5">
        <f t="shared" si="7"/>
        <v>0</v>
      </c>
    </row>
    <row r="11" spans="1:27" s="7" customFormat="1">
      <c r="E11" s="44"/>
      <c r="K11" s="44"/>
      <c r="Q11" s="41"/>
    </row>
    <row r="12" spans="1:27" ht="36" customHeight="1">
      <c r="A12" s="1">
        <v>2</v>
      </c>
      <c r="B12" s="2" t="s">
        <v>8</v>
      </c>
      <c r="C12" s="1">
        <v>731</v>
      </c>
      <c r="D12" s="5">
        <f>Table14[[#This Row],[Enrolment S.Y. 2025-2026 ]]*8</f>
        <v>5848</v>
      </c>
      <c r="E12" s="43">
        <v>0</v>
      </c>
      <c r="F12" s="1"/>
      <c r="G12" s="5"/>
      <c r="H12" s="5">
        <f t="shared" si="0"/>
        <v>5848</v>
      </c>
      <c r="I12" s="5">
        <f t="shared" si="1"/>
        <v>0</v>
      </c>
      <c r="J12" s="5">
        <f>Table14[[#This Row],[Enrolment S.Y. 2025-2026 ]]*8</f>
        <v>5848</v>
      </c>
      <c r="K12" s="43">
        <v>0</v>
      </c>
      <c r="L12" s="1"/>
      <c r="M12" s="5"/>
      <c r="N12" s="5">
        <f t="shared" si="2"/>
        <v>5848</v>
      </c>
      <c r="O12" s="5">
        <f t="shared" si="3"/>
        <v>0</v>
      </c>
      <c r="P12" s="5">
        <f>Table14[[#This Row],[Enrolment S.Y. 2025-2026 ]]*8</f>
        <v>5848</v>
      </c>
      <c r="Q12" s="5">
        <v>0</v>
      </c>
      <c r="R12" s="1"/>
      <c r="S12" s="5"/>
      <c r="T12" s="5">
        <f t="shared" si="4"/>
        <v>5848</v>
      </c>
      <c r="U12" s="5">
        <f t="shared" si="5"/>
        <v>0</v>
      </c>
      <c r="V12" s="5">
        <f>Table14[[#This Row],[Enrolment S.Y. 2025-2026 ]]*8</f>
        <v>5848</v>
      </c>
      <c r="W12" s="5">
        <v>0</v>
      </c>
      <c r="X12" s="1"/>
      <c r="Y12" s="5"/>
      <c r="Z12" s="5">
        <f t="shared" si="6"/>
        <v>5848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731</v>
      </c>
      <c r="D13" s="5">
        <f>Table14[[#This Row],[Enrolment S.Y. 2025-2026 ]]*8</f>
        <v>5848</v>
      </c>
      <c r="E13" s="43">
        <v>0</v>
      </c>
      <c r="F13" s="1"/>
      <c r="G13" s="5"/>
      <c r="H13" s="5">
        <f t="shared" si="0"/>
        <v>5848</v>
      </c>
      <c r="I13" s="5">
        <f t="shared" si="1"/>
        <v>0</v>
      </c>
      <c r="J13" s="5">
        <f>Table14[[#This Row],[Enrolment S.Y. 2025-2026 ]]*8</f>
        <v>5848</v>
      </c>
      <c r="K13" s="43">
        <v>0</v>
      </c>
      <c r="L13" s="1"/>
      <c r="M13" s="5"/>
      <c r="N13" s="5">
        <f t="shared" si="2"/>
        <v>5848</v>
      </c>
      <c r="O13" s="5">
        <f t="shared" si="3"/>
        <v>0</v>
      </c>
      <c r="P13" s="5">
        <f>Table14[[#This Row],[Enrolment S.Y. 2025-2026 ]]*8</f>
        <v>5848</v>
      </c>
      <c r="Q13" s="5">
        <v>0</v>
      </c>
      <c r="R13" s="1"/>
      <c r="S13" s="5"/>
      <c r="T13" s="5">
        <f t="shared" si="4"/>
        <v>5848</v>
      </c>
      <c r="U13" s="5">
        <f t="shared" si="5"/>
        <v>0</v>
      </c>
      <c r="V13" s="5">
        <f>Table14[[#This Row],[Enrolment S.Y. 2025-2026 ]]*8</f>
        <v>5848</v>
      </c>
      <c r="W13" s="5">
        <v>0</v>
      </c>
      <c r="X13" s="1"/>
      <c r="Y13" s="5"/>
      <c r="Z13" s="5">
        <f t="shared" si="6"/>
        <v>5848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731</v>
      </c>
      <c r="D14" s="5">
        <f>Table14[[#This Row],[Enrolment S.Y. 2025-2026 ]]*8</f>
        <v>5848</v>
      </c>
      <c r="E14" s="43">
        <v>0</v>
      </c>
      <c r="F14" s="1"/>
      <c r="G14" s="5"/>
      <c r="H14" s="5">
        <f t="shared" si="0"/>
        <v>5848</v>
      </c>
      <c r="I14" s="5">
        <f t="shared" si="1"/>
        <v>0</v>
      </c>
      <c r="J14" s="5">
        <f>Table14[[#This Row],[Enrolment S.Y. 2025-2026 ]]*8</f>
        <v>5848</v>
      </c>
      <c r="K14" s="43">
        <v>0</v>
      </c>
      <c r="L14" s="1"/>
      <c r="M14" s="5"/>
      <c r="N14" s="5">
        <f t="shared" si="2"/>
        <v>5848</v>
      </c>
      <c r="O14" s="5">
        <f t="shared" si="3"/>
        <v>0</v>
      </c>
      <c r="P14" s="5">
        <f>Table14[[#This Row],[Enrolment S.Y. 2025-2026 ]]*8</f>
        <v>5848</v>
      </c>
      <c r="Q14" s="5">
        <v>0</v>
      </c>
      <c r="R14" s="1"/>
      <c r="S14" s="5"/>
      <c r="T14" s="5">
        <f t="shared" si="4"/>
        <v>5848</v>
      </c>
      <c r="U14" s="5">
        <f t="shared" si="5"/>
        <v>0</v>
      </c>
      <c r="V14" s="5">
        <f>Table14[[#This Row],[Enrolment S.Y. 2025-2026 ]]*8</f>
        <v>5848</v>
      </c>
      <c r="W14" s="5">
        <v>0</v>
      </c>
      <c r="X14" s="1"/>
      <c r="Y14" s="5"/>
      <c r="Z14" s="5">
        <f t="shared" si="6"/>
        <v>5848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731</v>
      </c>
      <c r="D15" s="5">
        <f>Table14[[#This Row],[Enrolment S.Y. 2025-2026 ]]*8</f>
        <v>5848</v>
      </c>
      <c r="E15" s="43">
        <v>0</v>
      </c>
      <c r="F15" s="1"/>
      <c r="G15" s="5"/>
      <c r="H15" s="5">
        <f t="shared" si="0"/>
        <v>5848</v>
      </c>
      <c r="I15" s="5">
        <f t="shared" si="1"/>
        <v>0</v>
      </c>
      <c r="J15" s="5">
        <f>Table14[[#This Row],[Enrolment S.Y. 2025-2026 ]]*8</f>
        <v>5848</v>
      </c>
      <c r="K15" s="43">
        <v>0</v>
      </c>
      <c r="L15" s="1"/>
      <c r="M15" s="5"/>
      <c r="N15" s="5">
        <f t="shared" si="2"/>
        <v>5848</v>
      </c>
      <c r="O15" s="5">
        <f t="shared" si="3"/>
        <v>0</v>
      </c>
      <c r="P15" s="5">
        <f>Table14[[#This Row],[Enrolment S.Y. 2025-2026 ]]*8</f>
        <v>5848</v>
      </c>
      <c r="Q15" s="5">
        <v>0</v>
      </c>
      <c r="R15" s="1"/>
      <c r="S15" s="5"/>
      <c r="T15" s="5">
        <f t="shared" si="4"/>
        <v>5848</v>
      </c>
      <c r="U15" s="5">
        <f t="shared" si="5"/>
        <v>0</v>
      </c>
      <c r="V15" s="5">
        <f>Table14[[#This Row],[Enrolment S.Y. 2025-2026 ]]*8</f>
        <v>5848</v>
      </c>
      <c r="W15" s="5">
        <v>0</v>
      </c>
      <c r="X15" s="1"/>
      <c r="Y15" s="5"/>
      <c r="Z15" s="5">
        <f t="shared" si="6"/>
        <v>5848</v>
      </c>
      <c r="AA15" s="5">
        <f t="shared" si="7"/>
        <v>0</v>
      </c>
    </row>
    <row r="16" spans="1:27" ht="19.5">
      <c r="A16" s="1">
        <v>2</v>
      </c>
      <c r="B16" s="2" t="s">
        <v>14</v>
      </c>
      <c r="C16" s="1">
        <v>731</v>
      </c>
      <c r="D16" s="5">
        <f>Table14[[#This Row],[Enrolment S.Y. 2025-2026 ]]*8</f>
        <v>5848</v>
      </c>
      <c r="E16" s="43">
        <v>0</v>
      </c>
      <c r="F16" s="1"/>
      <c r="G16" s="5"/>
      <c r="H16" s="5">
        <f t="shared" si="0"/>
        <v>5848</v>
      </c>
      <c r="I16" s="5">
        <f t="shared" si="1"/>
        <v>0</v>
      </c>
      <c r="J16" s="5">
        <f>Table14[[#This Row],[Enrolment S.Y. 2025-2026 ]]*8</f>
        <v>5848</v>
      </c>
      <c r="K16" s="43">
        <v>0</v>
      </c>
      <c r="L16" s="1"/>
      <c r="M16" s="5"/>
      <c r="N16" s="5">
        <f t="shared" si="2"/>
        <v>5848</v>
      </c>
      <c r="O16" s="5">
        <f t="shared" si="3"/>
        <v>0</v>
      </c>
      <c r="P16" s="5">
        <f>Table14[[#This Row],[Enrolment S.Y. 2025-2026 ]]*8</f>
        <v>5848</v>
      </c>
      <c r="Q16" s="5">
        <v>0</v>
      </c>
      <c r="R16" s="1"/>
      <c r="S16" s="5"/>
      <c r="T16" s="5">
        <f t="shared" si="4"/>
        <v>5848</v>
      </c>
      <c r="U16" s="5">
        <f t="shared" si="5"/>
        <v>0</v>
      </c>
      <c r="V16" s="5">
        <f>Table14[[#This Row],[Enrolment S.Y. 2025-2026 ]]*8</f>
        <v>5848</v>
      </c>
      <c r="W16" s="5">
        <v>0</v>
      </c>
      <c r="X16" s="1"/>
      <c r="Y16" s="5"/>
      <c r="Z16" s="5">
        <f t="shared" si="6"/>
        <v>5848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731</v>
      </c>
      <c r="D17" s="5">
        <f>Table14[[#This Row],[Enrolment S.Y. 2025-2026 ]]*8</f>
        <v>5848</v>
      </c>
      <c r="E17" s="43">
        <v>0</v>
      </c>
      <c r="F17" s="1"/>
      <c r="G17" s="5"/>
      <c r="H17" s="5">
        <f>IF((D17-E17)&lt;0,0,(D17-E17))</f>
        <v>5848</v>
      </c>
      <c r="I17" s="5">
        <f>IF((E17-D17)&lt;0,0,(E17-D17))</f>
        <v>0</v>
      </c>
      <c r="J17" s="5">
        <f>Table14[[#This Row],[Enrolment S.Y. 2025-2026 ]]*8</f>
        <v>5848</v>
      </c>
      <c r="K17" s="43">
        <v>0</v>
      </c>
      <c r="L17" s="1"/>
      <c r="M17" s="5"/>
      <c r="N17" s="5">
        <f t="shared" si="2"/>
        <v>5848</v>
      </c>
      <c r="O17" s="5">
        <f t="shared" si="3"/>
        <v>0</v>
      </c>
      <c r="P17" s="5">
        <f>Table14[[#This Row],[Enrolment S.Y. 2025-2026 ]]*8</f>
        <v>5848</v>
      </c>
      <c r="Q17" s="5">
        <v>0</v>
      </c>
      <c r="R17" s="1"/>
      <c r="S17" s="5"/>
      <c r="T17" s="5">
        <f t="shared" si="4"/>
        <v>5848</v>
      </c>
      <c r="U17" s="5">
        <f t="shared" si="5"/>
        <v>0</v>
      </c>
      <c r="V17" s="5">
        <f>Table14[[#This Row],[Enrolment S.Y. 2025-2026 ]]*8</f>
        <v>5848</v>
      </c>
      <c r="W17" s="5">
        <v>0</v>
      </c>
      <c r="X17" s="1"/>
      <c r="Y17" s="5"/>
      <c r="Z17" s="5">
        <f t="shared" si="6"/>
        <v>5848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731</v>
      </c>
      <c r="D18" s="5">
        <f>Table14[[#This Row],[Enrolment S.Y. 2025-2026 ]]*8</f>
        <v>5848</v>
      </c>
      <c r="E18" s="43">
        <v>0</v>
      </c>
      <c r="F18" s="1"/>
      <c r="G18" s="5"/>
      <c r="H18" s="5">
        <f>IF((D18-E18)&lt;0,0,(D18-E18))</f>
        <v>5848</v>
      </c>
      <c r="I18" s="5">
        <f>IF((E18-D18)&lt;0,0,(E18-D18))</f>
        <v>0</v>
      </c>
      <c r="J18" s="5">
        <f>Table14[[#This Row],[Enrolment S.Y. 2025-2026 ]]*8</f>
        <v>5848</v>
      </c>
      <c r="K18" s="43">
        <v>0</v>
      </c>
      <c r="L18" s="1"/>
      <c r="M18" s="5"/>
      <c r="N18" s="5">
        <f t="shared" si="2"/>
        <v>5848</v>
      </c>
      <c r="O18" s="5">
        <f t="shared" si="3"/>
        <v>0</v>
      </c>
      <c r="P18" s="5">
        <f>Table14[[#This Row],[Enrolment S.Y. 2025-2026 ]]*8</f>
        <v>5848</v>
      </c>
      <c r="Q18" s="5">
        <v>0</v>
      </c>
      <c r="R18" s="1"/>
      <c r="S18" s="5"/>
      <c r="T18" s="5">
        <f t="shared" si="4"/>
        <v>5848</v>
      </c>
      <c r="U18" s="5">
        <f t="shared" si="5"/>
        <v>0</v>
      </c>
      <c r="V18" s="5">
        <f>Table14[[#This Row],[Enrolment S.Y. 2025-2026 ]]*8</f>
        <v>5848</v>
      </c>
      <c r="W18" s="5">
        <v>0</v>
      </c>
      <c r="X18" s="1"/>
      <c r="Y18" s="5"/>
      <c r="Z18" s="5">
        <f t="shared" si="6"/>
        <v>5848</v>
      </c>
      <c r="AA18" s="5">
        <f t="shared" si="7"/>
        <v>0</v>
      </c>
    </row>
    <row r="19" spans="1:27" ht="19.5">
      <c r="A19" s="1">
        <v>2</v>
      </c>
      <c r="B19" s="9" t="s">
        <v>52</v>
      </c>
      <c r="C19" s="1">
        <v>731</v>
      </c>
      <c r="D19" s="5">
        <f>Table14[[#This Row],[Enrolment S.Y. 2025-2026 ]]*8</f>
        <v>5848</v>
      </c>
      <c r="E19" s="43">
        <v>0</v>
      </c>
      <c r="F19" s="1"/>
      <c r="G19" s="5"/>
      <c r="H19" s="5">
        <f>IF((D19-E19)&lt;0,0,(D19-E19))</f>
        <v>5848</v>
      </c>
      <c r="I19" s="5">
        <f>IF((E19-D19)&lt;0,0,(E19-D19))</f>
        <v>0</v>
      </c>
      <c r="J19" s="5">
        <f>Table14[[#This Row],[Enrolment S.Y. 2025-2026 ]]*8</f>
        <v>5848</v>
      </c>
      <c r="K19" s="43">
        <v>0</v>
      </c>
      <c r="L19" s="1"/>
      <c r="M19" s="5"/>
      <c r="N19" s="5">
        <f t="shared" si="2"/>
        <v>5848</v>
      </c>
      <c r="O19" s="5">
        <f t="shared" si="3"/>
        <v>0</v>
      </c>
      <c r="P19" s="5">
        <f>Table14[[#This Row],[Enrolment S.Y. 2025-2026 ]]*8</f>
        <v>5848</v>
      </c>
      <c r="Q19" s="5">
        <v>0</v>
      </c>
      <c r="R19" s="1"/>
      <c r="S19" s="5"/>
      <c r="T19" s="5">
        <f t="shared" si="4"/>
        <v>5848</v>
      </c>
      <c r="U19" s="5">
        <f t="shared" si="5"/>
        <v>0</v>
      </c>
      <c r="V19" s="5">
        <f>Table14[[#This Row],[Enrolment S.Y. 2025-2026 ]]*8</f>
        <v>5848</v>
      </c>
      <c r="W19" s="5">
        <v>0</v>
      </c>
      <c r="X19" s="1"/>
      <c r="Y19" s="5"/>
      <c r="Z19" s="5">
        <f t="shared" si="6"/>
        <v>5848</v>
      </c>
      <c r="AA19" s="5">
        <f t="shared" si="7"/>
        <v>0</v>
      </c>
    </row>
    <row r="20" spans="1:27" s="7" customFormat="1">
      <c r="E20" s="44"/>
      <c r="K20" s="44"/>
      <c r="Q20" s="41"/>
    </row>
    <row r="21" spans="1:27" ht="38.25">
      <c r="A21" s="1">
        <v>3</v>
      </c>
      <c r="B21" s="2" t="s">
        <v>8</v>
      </c>
      <c r="C21" s="1">
        <v>739</v>
      </c>
      <c r="D21" s="5">
        <f>Table14[[#This Row],[Enrolment S.Y. 2025-2026 ]]*8</f>
        <v>5912</v>
      </c>
      <c r="E21" s="43">
        <v>0</v>
      </c>
      <c r="F21" s="1"/>
      <c r="G21" s="5"/>
      <c r="H21" s="5">
        <f t="shared" si="0"/>
        <v>5912</v>
      </c>
      <c r="I21" s="5">
        <f t="shared" si="1"/>
        <v>0</v>
      </c>
      <c r="J21" s="5">
        <f>Table14[[#This Row],[Enrolment S.Y. 2025-2026 ]]*8</f>
        <v>5912</v>
      </c>
      <c r="K21" s="43">
        <v>0</v>
      </c>
      <c r="L21" s="1"/>
      <c r="M21" s="5"/>
      <c r="N21" s="5">
        <f t="shared" si="2"/>
        <v>5912</v>
      </c>
      <c r="O21" s="5">
        <f t="shared" si="3"/>
        <v>0</v>
      </c>
      <c r="P21" s="5">
        <f>Table14[[#This Row],[Enrolment S.Y. 2025-2026 ]]*8</f>
        <v>5912</v>
      </c>
      <c r="Q21" s="5">
        <v>0</v>
      </c>
      <c r="R21" s="1"/>
      <c r="S21" s="5"/>
      <c r="T21" s="5">
        <f t="shared" si="4"/>
        <v>5912</v>
      </c>
      <c r="U21" s="5">
        <f t="shared" si="5"/>
        <v>0</v>
      </c>
      <c r="V21" s="5">
        <f>Table14[[#This Row],[Enrolment S.Y. 2025-2026 ]]*8</f>
        <v>5912</v>
      </c>
      <c r="W21" s="5">
        <v>0</v>
      </c>
      <c r="X21" s="1"/>
      <c r="Y21" s="5"/>
      <c r="Z21" s="5">
        <f t="shared" si="6"/>
        <v>5912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739</v>
      </c>
      <c r="D22" s="5">
        <f>Table14[[#This Row],[Enrolment S.Y. 2025-2026 ]]*8</f>
        <v>5912</v>
      </c>
      <c r="E22" s="43">
        <v>0</v>
      </c>
      <c r="F22" s="1"/>
      <c r="G22" s="5"/>
      <c r="H22" s="5">
        <f t="shared" si="0"/>
        <v>5912</v>
      </c>
      <c r="I22" s="5">
        <f t="shared" si="1"/>
        <v>0</v>
      </c>
      <c r="J22" s="5">
        <f>Table14[[#This Row],[Enrolment S.Y. 2025-2026 ]]*8</f>
        <v>5912</v>
      </c>
      <c r="K22" s="43">
        <v>0</v>
      </c>
      <c r="L22" s="1"/>
      <c r="M22" s="5"/>
      <c r="N22" s="5">
        <f t="shared" si="2"/>
        <v>5912</v>
      </c>
      <c r="O22" s="5">
        <f t="shared" si="3"/>
        <v>0</v>
      </c>
      <c r="P22" s="5">
        <f>Table14[[#This Row],[Enrolment S.Y. 2025-2026 ]]*8</f>
        <v>5912</v>
      </c>
      <c r="Q22" s="5">
        <v>0</v>
      </c>
      <c r="R22" s="1"/>
      <c r="S22" s="5"/>
      <c r="T22" s="5">
        <f t="shared" si="4"/>
        <v>5912</v>
      </c>
      <c r="U22" s="5">
        <f t="shared" si="5"/>
        <v>0</v>
      </c>
      <c r="V22" s="5">
        <f>Table14[[#This Row],[Enrolment S.Y. 2025-2026 ]]*8</f>
        <v>5912</v>
      </c>
      <c r="W22" s="5">
        <v>0</v>
      </c>
      <c r="X22" s="1"/>
      <c r="Y22" s="5"/>
      <c r="Z22" s="5">
        <f t="shared" si="6"/>
        <v>5912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739</v>
      </c>
      <c r="D23" s="5">
        <f>Table14[[#This Row],[Enrolment S.Y. 2025-2026 ]]*8</f>
        <v>5912</v>
      </c>
      <c r="E23" s="43">
        <v>0</v>
      </c>
      <c r="F23" s="1"/>
      <c r="G23" s="5"/>
      <c r="H23" s="5">
        <f t="shared" si="0"/>
        <v>5912</v>
      </c>
      <c r="I23" s="5">
        <f t="shared" si="1"/>
        <v>0</v>
      </c>
      <c r="J23" s="5">
        <f>Table14[[#This Row],[Enrolment S.Y. 2025-2026 ]]*8</f>
        <v>5912</v>
      </c>
      <c r="K23" s="43">
        <v>0</v>
      </c>
      <c r="L23" s="1"/>
      <c r="M23" s="5"/>
      <c r="N23" s="5">
        <f t="shared" si="2"/>
        <v>5912</v>
      </c>
      <c r="O23" s="5">
        <f t="shared" si="3"/>
        <v>0</v>
      </c>
      <c r="P23" s="5">
        <f>Table14[[#This Row],[Enrolment S.Y. 2025-2026 ]]*8</f>
        <v>5912</v>
      </c>
      <c r="Q23" s="5">
        <v>0</v>
      </c>
      <c r="R23" s="1"/>
      <c r="S23" s="5"/>
      <c r="T23" s="5">
        <f t="shared" si="4"/>
        <v>5912</v>
      </c>
      <c r="U23" s="5">
        <f t="shared" si="5"/>
        <v>0</v>
      </c>
      <c r="V23" s="5">
        <f>Table14[[#This Row],[Enrolment S.Y. 2025-2026 ]]*8</f>
        <v>5912</v>
      </c>
      <c r="W23" s="5">
        <v>0</v>
      </c>
      <c r="X23" s="1"/>
      <c r="Y23" s="5"/>
      <c r="Z23" s="5">
        <f t="shared" si="6"/>
        <v>5912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>
        <v>739</v>
      </c>
      <c r="D24" s="5">
        <f>Table14[[#This Row],[Enrolment S.Y. 2025-2026 ]]*8</f>
        <v>5912</v>
      </c>
      <c r="E24" s="43">
        <v>0</v>
      </c>
      <c r="F24" s="1"/>
      <c r="G24" s="5"/>
      <c r="H24" s="5">
        <f t="shared" si="0"/>
        <v>5912</v>
      </c>
      <c r="I24" s="5">
        <f t="shared" si="1"/>
        <v>0</v>
      </c>
      <c r="J24" s="5">
        <f>Table14[[#This Row],[Enrolment S.Y. 2025-2026 ]]*8</f>
        <v>5912</v>
      </c>
      <c r="K24" s="43">
        <v>0</v>
      </c>
      <c r="L24" s="1"/>
      <c r="M24" s="5"/>
      <c r="N24" s="5">
        <f t="shared" si="2"/>
        <v>5912</v>
      </c>
      <c r="O24" s="5">
        <f t="shared" si="3"/>
        <v>0</v>
      </c>
      <c r="P24" s="5">
        <f>Table14[[#This Row],[Enrolment S.Y. 2025-2026 ]]*8</f>
        <v>5912</v>
      </c>
      <c r="Q24" s="5">
        <v>0</v>
      </c>
      <c r="R24" s="1"/>
      <c r="S24" s="5"/>
      <c r="T24" s="5">
        <f t="shared" si="4"/>
        <v>5912</v>
      </c>
      <c r="U24" s="5">
        <f t="shared" si="5"/>
        <v>0</v>
      </c>
      <c r="V24" s="5">
        <f>Table14[[#This Row],[Enrolment S.Y. 2025-2026 ]]*8</f>
        <v>5912</v>
      </c>
      <c r="W24" s="5">
        <v>0</v>
      </c>
      <c r="X24" s="1"/>
      <c r="Y24" s="5"/>
      <c r="Z24" s="5">
        <f t="shared" si="6"/>
        <v>5912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739</v>
      </c>
      <c r="D25" s="5">
        <f>Table14[[#This Row],[Enrolment S.Y. 2025-2026 ]]*8</f>
        <v>5912</v>
      </c>
      <c r="E25" s="43">
        <v>0</v>
      </c>
      <c r="F25" s="1"/>
      <c r="G25" s="5"/>
      <c r="H25" s="5">
        <f t="shared" si="0"/>
        <v>5912</v>
      </c>
      <c r="I25" s="5">
        <f t="shared" si="1"/>
        <v>0</v>
      </c>
      <c r="J25" s="5">
        <f>Table14[[#This Row],[Enrolment S.Y. 2025-2026 ]]*8</f>
        <v>5912</v>
      </c>
      <c r="K25" s="43">
        <v>0</v>
      </c>
      <c r="L25" s="1"/>
      <c r="M25" s="5"/>
      <c r="N25" s="5">
        <f t="shared" si="2"/>
        <v>5912</v>
      </c>
      <c r="O25" s="5">
        <f t="shared" si="3"/>
        <v>0</v>
      </c>
      <c r="P25" s="5">
        <f>Table14[[#This Row],[Enrolment S.Y. 2025-2026 ]]*8</f>
        <v>5912</v>
      </c>
      <c r="Q25" s="5">
        <v>0</v>
      </c>
      <c r="R25" s="1"/>
      <c r="S25" s="5"/>
      <c r="T25" s="5">
        <f t="shared" si="4"/>
        <v>5912</v>
      </c>
      <c r="U25" s="5">
        <f t="shared" si="5"/>
        <v>0</v>
      </c>
      <c r="V25" s="5">
        <f>Table14[[#This Row],[Enrolment S.Y. 2025-2026 ]]*8</f>
        <v>5912</v>
      </c>
      <c r="W25" s="5">
        <v>0</v>
      </c>
      <c r="X25" s="1"/>
      <c r="Y25" s="5"/>
      <c r="Z25" s="5">
        <f t="shared" si="6"/>
        <v>5912</v>
      </c>
      <c r="AA25" s="5">
        <f t="shared" si="7"/>
        <v>0</v>
      </c>
    </row>
    <row r="26" spans="1:27" ht="19.5">
      <c r="A26" s="1">
        <v>3</v>
      </c>
      <c r="B26" s="2" t="s">
        <v>14</v>
      </c>
      <c r="C26" s="1">
        <v>739</v>
      </c>
      <c r="D26" s="5">
        <f>Table14[[#This Row],[Enrolment S.Y. 2025-2026 ]]*8</f>
        <v>5912</v>
      </c>
      <c r="E26" s="43">
        <v>0</v>
      </c>
      <c r="F26" s="1"/>
      <c r="G26" s="5"/>
      <c r="H26" s="5">
        <f t="shared" si="0"/>
        <v>5912</v>
      </c>
      <c r="I26" s="5">
        <v>0</v>
      </c>
      <c r="J26" s="5">
        <f>Table14[[#This Row],[Enrolment S.Y. 2025-2026 ]]*8</f>
        <v>5912</v>
      </c>
      <c r="K26" s="43">
        <v>0</v>
      </c>
      <c r="L26" s="1"/>
      <c r="M26" s="5"/>
      <c r="N26" s="5">
        <f t="shared" si="2"/>
        <v>5912</v>
      </c>
      <c r="O26" s="5">
        <f t="shared" si="3"/>
        <v>0</v>
      </c>
      <c r="P26" s="5">
        <f>Table14[[#This Row],[Enrolment S.Y. 2025-2026 ]]*8</f>
        <v>5912</v>
      </c>
      <c r="Q26" s="5">
        <v>0</v>
      </c>
      <c r="R26" s="1"/>
      <c r="S26" s="5"/>
      <c r="T26" s="5">
        <f t="shared" si="4"/>
        <v>5912</v>
      </c>
      <c r="U26" s="5">
        <f t="shared" si="5"/>
        <v>0</v>
      </c>
      <c r="V26" s="5">
        <f>Table14[[#This Row],[Enrolment S.Y. 2025-2026 ]]*8</f>
        <v>5912</v>
      </c>
      <c r="W26" s="5">
        <v>0</v>
      </c>
      <c r="X26" s="1"/>
      <c r="Y26" s="5"/>
      <c r="Z26" s="5">
        <f t="shared" si="6"/>
        <v>5912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739</v>
      </c>
      <c r="D27" s="5">
        <f>Table14[[#This Row],[Enrolment S.Y. 2025-2026 ]]*8</f>
        <v>5912</v>
      </c>
      <c r="E27" s="43">
        <v>0</v>
      </c>
      <c r="F27" s="1"/>
      <c r="G27" s="5"/>
      <c r="H27" s="5">
        <f>IF((D27-E27)&lt;0,0,(D27-E27))</f>
        <v>5912</v>
      </c>
      <c r="I27" s="5">
        <v>0</v>
      </c>
      <c r="J27" s="5">
        <f>Table14[[#This Row],[Enrolment S.Y. 2025-2026 ]]*8</f>
        <v>5912</v>
      </c>
      <c r="K27" s="43">
        <v>0</v>
      </c>
      <c r="L27" s="1"/>
      <c r="M27" s="5"/>
      <c r="N27" s="5">
        <f t="shared" si="2"/>
        <v>5912</v>
      </c>
      <c r="O27" s="5">
        <f t="shared" si="3"/>
        <v>0</v>
      </c>
      <c r="P27" s="5">
        <f>Table14[[#This Row],[Enrolment S.Y. 2025-2026 ]]*8</f>
        <v>5912</v>
      </c>
      <c r="Q27" s="5">
        <v>0</v>
      </c>
      <c r="R27" s="1"/>
      <c r="S27" s="5"/>
      <c r="T27" s="5">
        <f t="shared" si="4"/>
        <v>5912</v>
      </c>
      <c r="U27" s="5">
        <f t="shared" si="5"/>
        <v>0</v>
      </c>
      <c r="V27" s="5">
        <f>Table14[[#This Row],[Enrolment S.Y. 2025-2026 ]]*8</f>
        <v>5912</v>
      </c>
      <c r="W27" s="5">
        <v>0</v>
      </c>
      <c r="X27" s="1"/>
      <c r="Y27" s="5"/>
      <c r="Z27" s="5">
        <f t="shared" si="6"/>
        <v>5912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739</v>
      </c>
      <c r="D28" s="5">
        <f>Table14[[#This Row],[Enrolment S.Y. 2025-2026 ]]*8</f>
        <v>5912</v>
      </c>
      <c r="E28" s="43">
        <v>0</v>
      </c>
      <c r="F28" s="1"/>
      <c r="G28" s="5"/>
      <c r="H28" s="5">
        <f>IF((D28-E28)&lt;0,0,(D28-E28))</f>
        <v>5912</v>
      </c>
      <c r="I28" s="5">
        <v>0</v>
      </c>
      <c r="J28" s="5">
        <f>Table14[[#This Row],[Enrolment S.Y. 2025-2026 ]]*8</f>
        <v>5912</v>
      </c>
      <c r="K28" s="43">
        <v>0</v>
      </c>
      <c r="L28" s="1"/>
      <c r="M28" s="5"/>
      <c r="N28" s="5">
        <f t="shared" si="2"/>
        <v>5912</v>
      </c>
      <c r="O28" s="5">
        <f t="shared" si="3"/>
        <v>0</v>
      </c>
      <c r="P28" s="5">
        <f>Table14[[#This Row],[Enrolment S.Y. 2025-2026 ]]*8</f>
        <v>5912</v>
      </c>
      <c r="Q28" s="5">
        <v>0</v>
      </c>
      <c r="R28" s="1"/>
      <c r="S28" s="5"/>
      <c r="T28" s="5">
        <f t="shared" si="4"/>
        <v>5912</v>
      </c>
      <c r="U28" s="5">
        <f t="shared" si="5"/>
        <v>0</v>
      </c>
      <c r="V28" s="5">
        <f>Table14[[#This Row],[Enrolment S.Y. 2025-2026 ]]*8</f>
        <v>5912</v>
      </c>
      <c r="W28" s="5">
        <v>0</v>
      </c>
      <c r="X28" s="1"/>
      <c r="Y28" s="5"/>
      <c r="Z28" s="5">
        <f t="shared" si="6"/>
        <v>5912</v>
      </c>
      <c r="AA28" s="5">
        <f t="shared" si="7"/>
        <v>0</v>
      </c>
    </row>
    <row r="29" spans="1:27" ht="19.5">
      <c r="A29" s="1">
        <v>3</v>
      </c>
      <c r="B29" s="9" t="s">
        <v>52</v>
      </c>
      <c r="C29" s="1">
        <v>739</v>
      </c>
      <c r="D29" s="5">
        <f>Table14[[#This Row],[Enrolment S.Y. 2025-2026 ]]*8</f>
        <v>5912</v>
      </c>
      <c r="E29" s="43">
        <v>0</v>
      </c>
      <c r="F29" s="1"/>
      <c r="G29" s="5"/>
      <c r="H29" s="5">
        <f>IF((D29-E29)&lt;0,0,(D29-E29))</f>
        <v>5912</v>
      </c>
      <c r="I29" s="5">
        <f>IF((E29-D29)&lt;0,0,(E29-D29))</f>
        <v>0</v>
      </c>
      <c r="J29" s="5">
        <f>Table14[[#This Row],[Enrolment S.Y. 2025-2026 ]]*8</f>
        <v>5912</v>
      </c>
      <c r="K29" s="43">
        <v>0</v>
      </c>
      <c r="L29" s="1"/>
      <c r="M29" s="5"/>
      <c r="N29" s="5">
        <f t="shared" si="2"/>
        <v>5912</v>
      </c>
      <c r="O29" s="5">
        <f t="shared" si="3"/>
        <v>0</v>
      </c>
      <c r="P29" s="5">
        <f>Table14[[#This Row],[Enrolment S.Y. 2025-2026 ]]*8</f>
        <v>5912</v>
      </c>
      <c r="Q29" s="5">
        <v>0</v>
      </c>
      <c r="R29" s="1"/>
      <c r="S29" s="5"/>
      <c r="T29" s="5">
        <f t="shared" si="4"/>
        <v>5912</v>
      </c>
      <c r="U29" s="5">
        <f t="shared" si="5"/>
        <v>0</v>
      </c>
      <c r="V29" s="5">
        <f>Table14[[#This Row],[Enrolment S.Y. 2025-2026 ]]*8</f>
        <v>5912</v>
      </c>
      <c r="W29" s="5">
        <v>0</v>
      </c>
      <c r="X29" s="1"/>
      <c r="Y29" s="5"/>
      <c r="Z29" s="5">
        <f t="shared" si="6"/>
        <v>5912</v>
      </c>
      <c r="AA29" s="5">
        <f t="shared" si="7"/>
        <v>0</v>
      </c>
    </row>
    <row r="30" spans="1:27" s="7" customFormat="1">
      <c r="E30" s="44"/>
      <c r="K30" s="44"/>
      <c r="Q30" s="41"/>
    </row>
    <row r="31" spans="1:27" ht="19.5">
      <c r="A31" s="1">
        <v>4</v>
      </c>
      <c r="B31" s="9" t="s">
        <v>16</v>
      </c>
      <c r="C31" s="1">
        <v>729</v>
      </c>
      <c r="D31" s="5">
        <f>Table14[[#This Row],[Enrolment S.Y. 2025-2026 ]]*8</f>
        <v>5832</v>
      </c>
      <c r="E31" s="43">
        <v>0</v>
      </c>
      <c r="F31" s="1"/>
      <c r="G31" s="5"/>
      <c r="H31" s="5">
        <f t="shared" si="0"/>
        <v>5832</v>
      </c>
      <c r="I31" s="5">
        <f t="shared" si="1"/>
        <v>0</v>
      </c>
      <c r="J31" s="5">
        <f>Table14[[#This Row],[Enrolment S.Y. 2025-2026 ]]*8</f>
        <v>5832</v>
      </c>
      <c r="K31" s="43">
        <v>0</v>
      </c>
      <c r="L31" s="1"/>
      <c r="M31" s="5"/>
      <c r="N31" s="5">
        <f t="shared" si="2"/>
        <v>5832</v>
      </c>
      <c r="O31" s="5">
        <f t="shared" si="3"/>
        <v>0</v>
      </c>
      <c r="P31" s="5">
        <f>Table14[[#This Row],[Enrolment S.Y. 2025-2026 ]]*8</f>
        <v>5832</v>
      </c>
      <c r="Q31" s="5">
        <v>0</v>
      </c>
      <c r="R31" s="1"/>
      <c r="S31" s="5"/>
      <c r="T31" s="5">
        <f t="shared" si="4"/>
        <v>5832</v>
      </c>
      <c r="U31" s="5">
        <f t="shared" si="5"/>
        <v>0</v>
      </c>
      <c r="V31" s="5">
        <f>Table14[[#This Row],[Enrolment S.Y. 2025-2026 ]]*8</f>
        <v>5832</v>
      </c>
      <c r="W31" s="5">
        <v>0</v>
      </c>
      <c r="X31" s="1"/>
      <c r="Y31" s="5"/>
      <c r="Z31" s="5">
        <f t="shared" si="6"/>
        <v>5832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729</v>
      </c>
      <c r="D32" s="5">
        <f>Table14[[#This Row],[Enrolment S.Y. 2025-2026 ]]*8</f>
        <v>5832</v>
      </c>
      <c r="E32" s="43">
        <v>0</v>
      </c>
      <c r="F32" s="1"/>
      <c r="G32" s="5"/>
      <c r="H32" s="5">
        <f t="shared" si="0"/>
        <v>5832</v>
      </c>
      <c r="I32" s="5">
        <f t="shared" si="1"/>
        <v>0</v>
      </c>
      <c r="J32" s="5">
        <f>Table14[[#This Row],[Enrolment S.Y. 2025-2026 ]]*8</f>
        <v>5832</v>
      </c>
      <c r="K32" s="43">
        <v>0</v>
      </c>
      <c r="L32" s="1"/>
      <c r="M32" s="5"/>
      <c r="N32" s="5">
        <f t="shared" si="2"/>
        <v>5832</v>
      </c>
      <c r="O32" s="5">
        <f t="shared" si="3"/>
        <v>0</v>
      </c>
      <c r="P32" s="5">
        <f>Table14[[#This Row],[Enrolment S.Y. 2025-2026 ]]*8</f>
        <v>5832</v>
      </c>
      <c r="Q32" s="5">
        <v>0</v>
      </c>
      <c r="R32" s="1"/>
      <c r="S32" s="5"/>
      <c r="T32" s="5">
        <f t="shared" si="4"/>
        <v>5832</v>
      </c>
      <c r="U32" s="5">
        <f t="shared" si="5"/>
        <v>0</v>
      </c>
      <c r="V32" s="5">
        <f>Table14[[#This Row],[Enrolment S.Y. 2025-2026 ]]*8</f>
        <v>5832</v>
      </c>
      <c r="W32" s="5">
        <v>0</v>
      </c>
      <c r="X32" s="1"/>
      <c r="Y32" s="5"/>
      <c r="Z32" s="5">
        <f t="shared" si="6"/>
        <v>5832</v>
      </c>
      <c r="AA32" s="5">
        <f t="shared" si="7"/>
        <v>0</v>
      </c>
    </row>
    <row r="33" spans="1:27" ht="19.5">
      <c r="A33" s="1">
        <v>4</v>
      </c>
      <c r="B33" s="9" t="s">
        <v>14</v>
      </c>
      <c r="C33" s="1">
        <v>729</v>
      </c>
      <c r="D33" s="5">
        <f>Table14[[#This Row],[Enrolment S.Y. 2025-2026 ]]*8</f>
        <v>5832</v>
      </c>
      <c r="E33" s="43">
        <v>0</v>
      </c>
      <c r="F33" s="1"/>
      <c r="G33" s="5"/>
      <c r="H33" s="5">
        <f t="shared" si="0"/>
        <v>5832</v>
      </c>
      <c r="I33" s="5">
        <f t="shared" si="1"/>
        <v>0</v>
      </c>
      <c r="J33" s="5">
        <f>Table14[[#This Row],[Enrolment S.Y. 2025-2026 ]]*8</f>
        <v>5832</v>
      </c>
      <c r="K33" s="43">
        <v>0</v>
      </c>
      <c r="L33" s="1"/>
      <c r="M33" s="5"/>
      <c r="N33" s="5">
        <f t="shared" si="2"/>
        <v>5832</v>
      </c>
      <c r="O33" s="5">
        <f t="shared" si="3"/>
        <v>0</v>
      </c>
      <c r="P33" s="5">
        <f>Table14[[#This Row],[Enrolment S.Y. 2025-2026 ]]*8</f>
        <v>5832</v>
      </c>
      <c r="Q33" s="5">
        <v>0</v>
      </c>
      <c r="R33" s="1"/>
      <c r="S33" s="5"/>
      <c r="T33" s="5">
        <f t="shared" si="4"/>
        <v>5832</v>
      </c>
      <c r="U33" s="5">
        <f t="shared" si="5"/>
        <v>0</v>
      </c>
      <c r="V33" s="5">
        <f>Table14[[#This Row],[Enrolment S.Y. 2025-2026 ]]*8</f>
        <v>5832</v>
      </c>
      <c r="W33" s="5">
        <v>0</v>
      </c>
      <c r="X33" s="1"/>
      <c r="Y33" s="5"/>
      <c r="Z33" s="5">
        <f t="shared" si="6"/>
        <v>5832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729</v>
      </c>
      <c r="D34" s="5">
        <f>Table14[[#This Row],[Enrolment S.Y. 2025-2026 ]]*8</f>
        <v>5832</v>
      </c>
      <c r="E34" s="43">
        <v>0</v>
      </c>
      <c r="F34" s="1"/>
      <c r="G34" s="5"/>
      <c r="H34" s="5">
        <f t="shared" si="0"/>
        <v>5832</v>
      </c>
      <c r="I34" s="5">
        <f t="shared" si="1"/>
        <v>0</v>
      </c>
      <c r="J34" s="5">
        <f>Table14[[#This Row],[Enrolment S.Y. 2025-2026 ]]*8</f>
        <v>5832</v>
      </c>
      <c r="K34" s="43">
        <v>0</v>
      </c>
      <c r="L34" s="1"/>
      <c r="M34" s="5"/>
      <c r="N34" s="5">
        <f t="shared" si="2"/>
        <v>5832</v>
      </c>
      <c r="O34" s="5">
        <f t="shared" si="3"/>
        <v>0</v>
      </c>
      <c r="P34" s="5">
        <f>Table14[[#This Row],[Enrolment S.Y. 2025-2026 ]]*8</f>
        <v>5832</v>
      </c>
      <c r="Q34" s="5">
        <v>0</v>
      </c>
      <c r="R34" s="1"/>
      <c r="S34" s="5"/>
      <c r="T34" s="5">
        <f t="shared" si="4"/>
        <v>5832</v>
      </c>
      <c r="U34" s="5">
        <f t="shared" si="5"/>
        <v>0</v>
      </c>
      <c r="V34" s="5">
        <f>Table14[[#This Row],[Enrolment S.Y. 2025-2026 ]]*8</f>
        <v>5832</v>
      </c>
      <c r="W34" s="5">
        <v>0</v>
      </c>
      <c r="X34" s="1"/>
      <c r="Y34" s="5"/>
      <c r="Z34" s="5">
        <f t="shared" si="6"/>
        <v>5832</v>
      </c>
      <c r="AA34" s="5">
        <f t="shared" si="7"/>
        <v>0</v>
      </c>
    </row>
    <row r="35" spans="1:27" ht="38.25">
      <c r="A35" s="1">
        <v>4</v>
      </c>
      <c r="B35" s="9" t="s">
        <v>19</v>
      </c>
      <c r="C35" s="1">
        <v>729</v>
      </c>
      <c r="D35" s="5">
        <f>Table14[[#This Row],[Enrolment S.Y. 2025-2026 ]]*8</f>
        <v>5832</v>
      </c>
      <c r="E35" s="43">
        <v>0</v>
      </c>
      <c r="F35" s="1"/>
      <c r="G35" s="5"/>
      <c r="H35" s="5">
        <f t="shared" si="0"/>
        <v>5832</v>
      </c>
      <c r="I35" s="5">
        <f t="shared" si="1"/>
        <v>0</v>
      </c>
      <c r="J35" s="5">
        <f>Table14[[#This Row],[Enrolment S.Y. 2025-2026 ]]*8</f>
        <v>5832</v>
      </c>
      <c r="K35" s="43">
        <v>0</v>
      </c>
      <c r="L35" s="1"/>
      <c r="M35" s="5"/>
      <c r="N35" s="5">
        <f t="shared" si="2"/>
        <v>5832</v>
      </c>
      <c r="O35" s="5">
        <f t="shared" si="3"/>
        <v>0</v>
      </c>
      <c r="P35" s="5">
        <f>Table14[[#This Row],[Enrolment S.Y. 2025-2026 ]]*8</f>
        <v>5832</v>
      </c>
      <c r="Q35" s="5">
        <v>0</v>
      </c>
      <c r="R35" s="1"/>
      <c r="S35" s="5"/>
      <c r="T35" s="5">
        <f t="shared" si="4"/>
        <v>5832</v>
      </c>
      <c r="U35" s="5">
        <f t="shared" si="5"/>
        <v>0</v>
      </c>
      <c r="V35" s="5">
        <f>Table14[[#This Row],[Enrolment S.Y. 2025-2026 ]]*8</f>
        <v>5832</v>
      </c>
      <c r="W35" s="5">
        <v>0</v>
      </c>
      <c r="X35" s="1"/>
      <c r="Y35" s="5"/>
      <c r="Z35" s="5">
        <f t="shared" si="6"/>
        <v>5832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>
        <v>729</v>
      </c>
      <c r="D36" s="5">
        <f>Table14[[#This Row],[Enrolment S.Y. 2025-2026 ]]*8</f>
        <v>5832</v>
      </c>
      <c r="E36" s="43">
        <v>0</v>
      </c>
      <c r="F36" s="1"/>
      <c r="G36" s="5"/>
      <c r="H36" s="5">
        <f t="shared" si="0"/>
        <v>5832</v>
      </c>
      <c r="I36" s="5">
        <f t="shared" si="1"/>
        <v>0</v>
      </c>
      <c r="J36" s="5">
        <f>Table14[[#This Row],[Enrolment S.Y. 2025-2026 ]]*8</f>
        <v>5832</v>
      </c>
      <c r="K36" s="43">
        <v>0</v>
      </c>
      <c r="L36" s="1"/>
      <c r="M36" s="5"/>
      <c r="N36" s="5">
        <f t="shared" ref="N36:N41" si="8">IF((J36-K36)&lt;0,0,(J36-K36))</f>
        <v>5832</v>
      </c>
      <c r="O36" s="5">
        <f t="shared" ref="O36:O41" si="9">IF((K36-J36)&lt;0,0,(K36-J36))</f>
        <v>0</v>
      </c>
      <c r="P36" s="5">
        <f>Table14[[#This Row],[Enrolment S.Y. 2025-2026 ]]*8</f>
        <v>5832</v>
      </c>
      <c r="Q36" s="5">
        <v>0</v>
      </c>
      <c r="R36" s="1"/>
      <c r="S36" s="5"/>
      <c r="T36" s="5">
        <f t="shared" si="4"/>
        <v>5832</v>
      </c>
      <c r="U36" s="5">
        <f t="shared" si="5"/>
        <v>0</v>
      </c>
      <c r="V36" s="5">
        <f>Table14[[#This Row],[Enrolment S.Y. 2025-2026 ]]*8</f>
        <v>5832</v>
      </c>
      <c r="W36" s="5">
        <v>0</v>
      </c>
      <c r="X36" s="1"/>
      <c r="Y36" s="5"/>
      <c r="Z36" s="5">
        <f t="shared" si="6"/>
        <v>5832</v>
      </c>
      <c r="AA36" s="5">
        <f t="shared" si="7"/>
        <v>0</v>
      </c>
    </row>
    <row r="37" spans="1:27" ht="19.5">
      <c r="A37" s="33">
        <v>4</v>
      </c>
      <c r="B37" s="9" t="s">
        <v>77</v>
      </c>
      <c r="C37" s="1">
        <v>729</v>
      </c>
      <c r="D37" s="5">
        <f>Table14[[#This Row],[Enrolment S.Y. 2025-2026 ]]*8</f>
        <v>5832</v>
      </c>
      <c r="E37" s="43">
        <v>0</v>
      </c>
      <c r="F37" s="1"/>
      <c r="G37" s="5"/>
      <c r="H37" s="5">
        <f>IF((D37-E37)&lt;0,0,(D37-E37))</f>
        <v>5832</v>
      </c>
      <c r="I37" s="5">
        <f>IF((E37-D37)&lt;0,0,(E37-D37))</f>
        <v>0</v>
      </c>
      <c r="J37" s="5">
        <f>Table14[[#This Row],[Enrolment S.Y. 2025-2026 ]]*8</f>
        <v>5832</v>
      </c>
      <c r="K37" s="43">
        <v>0</v>
      </c>
      <c r="L37" s="1"/>
      <c r="M37" s="5"/>
      <c r="N37" s="5">
        <f t="shared" si="8"/>
        <v>5832</v>
      </c>
      <c r="O37" s="5">
        <f t="shared" si="9"/>
        <v>0</v>
      </c>
      <c r="P37" s="5">
        <f>Table14[[#This Row],[Enrolment S.Y. 2025-2026 ]]*8</f>
        <v>5832</v>
      </c>
      <c r="Q37" s="5">
        <v>0</v>
      </c>
      <c r="R37" s="1"/>
      <c r="S37" s="5"/>
      <c r="T37" s="5">
        <f>IF((P37-Q37)&lt;0,0,(P37-Q37))</f>
        <v>5832</v>
      </c>
      <c r="U37" s="5">
        <f>IF((Q37-P37)&lt;0,0,(Q37-P37))</f>
        <v>0</v>
      </c>
      <c r="V37" s="5">
        <f>Table14[[#This Row],[Enrolment S.Y. 2025-2026 ]]*8</f>
        <v>5832</v>
      </c>
      <c r="W37" s="5">
        <v>0</v>
      </c>
      <c r="X37" s="1"/>
      <c r="Y37" s="5"/>
      <c r="Z37" s="5">
        <f>IF((V37-W37)&lt;0,0,(V37-W37))</f>
        <v>5832</v>
      </c>
      <c r="AA37" s="5">
        <f>IF((W37-V37)&lt;0,0,(W37-V37))</f>
        <v>0</v>
      </c>
    </row>
    <row r="38" spans="1:27" ht="19.5">
      <c r="A38" s="1">
        <v>4</v>
      </c>
      <c r="B38" s="9" t="s">
        <v>78</v>
      </c>
      <c r="C38" s="1">
        <v>729</v>
      </c>
      <c r="D38" s="5">
        <f>Table14[[#This Row],[Enrolment S.Y. 2025-2026 ]]*8</f>
        <v>5832</v>
      </c>
      <c r="E38" s="43">
        <v>0</v>
      </c>
      <c r="F38" s="1"/>
      <c r="G38" s="5"/>
      <c r="H38" s="5">
        <f t="shared" si="0"/>
        <v>5832</v>
      </c>
      <c r="I38" s="5">
        <f t="shared" si="1"/>
        <v>0</v>
      </c>
      <c r="J38" s="5">
        <f>Table14[[#This Row],[Enrolment S.Y. 2025-2026 ]]*8</f>
        <v>5832</v>
      </c>
      <c r="K38" s="43">
        <v>0</v>
      </c>
      <c r="L38" s="1"/>
      <c r="M38" s="5"/>
      <c r="N38" s="5">
        <f t="shared" si="8"/>
        <v>5832</v>
      </c>
      <c r="O38" s="5">
        <f t="shared" si="9"/>
        <v>0</v>
      </c>
      <c r="P38" s="5">
        <f>Table14[[#This Row],[Enrolment S.Y. 2025-2026 ]]*8</f>
        <v>5832</v>
      </c>
      <c r="Q38" s="5">
        <v>0</v>
      </c>
      <c r="R38" s="1"/>
      <c r="S38" s="5"/>
      <c r="T38" s="5">
        <f t="shared" si="4"/>
        <v>5832</v>
      </c>
      <c r="U38" s="5">
        <f t="shared" si="5"/>
        <v>0</v>
      </c>
      <c r="V38" s="5">
        <f>Table14[[#This Row],[Enrolment S.Y. 2025-2026 ]]*8</f>
        <v>5832</v>
      </c>
      <c r="W38" s="5">
        <v>0</v>
      </c>
      <c r="X38" s="1"/>
      <c r="Y38" s="5"/>
      <c r="Z38" s="5">
        <f t="shared" si="6"/>
        <v>5832</v>
      </c>
      <c r="AA38" s="5">
        <f t="shared" si="7"/>
        <v>0</v>
      </c>
    </row>
    <row r="39" spans="1:27" ht="19.5">
      <c r="A39" s="1">
        <v>4</v>
      </c>
      <c r="B39" s="9" t="s">
        <v>21</v>
      </c>
      <c r="C39" s="1">
        <v>729</v>
      </c>
      <c r="D39" s="5">
        <f>Table14[[#This Row],[Enrolment S.Y. 2025-2026 ]]*8</f>
        <v>5832</v>
      </c>
      <c r="E39" s="43">
        <v>0</v>
      </c>
      <c r="F39" s="1"/>
      <c r="G39" s="5"/>
      <c r="H39" s="5">
        <f t="shared" si="0"/>
        <v>5832</v>
      </c>
      <c r="I39" s="5">
        <f t="shared" si="1"/>
        <v>0</v>
      </c>
      <c r="J39" s="5">
        <f>Table14[[#This Row],[Enrolment S.Y. 2025-2026 ]]*8</f>
        <v>5832</v>
      </c>
      <c r="K39" s="43">
        <v>0</v>
      </c>
      <c r="L39" s="1"/>
      <c r="M39" s="5"/>
      <c r="N39" s="5">
        <f t="shared" si="8"/>
        <v>5832</v>
      </c>
      <c r="O39" s="5">
        <f t="shared" si="9"/>
        <v>0</v>
      </c>
      <c r="P39" s="5">
        <f>Table14[[#This Row],[Enrolment S.Y. 2025-2026 ]]*8</f>
        <v>5832</v>
      </c>
      <c r="Q39" s="5">
        <v>0</v>
      </c>
      <c r="R39" s="1"/>
      <c r="S39" s="5"/>
      <c r="T39" s="5">
        <f t="shared" si="4"/>
        <v>5832</v>
      </c>
      <c r="U39" s="5">
        <f t="shared" si="5"/>
        <v>0</v>
      </c>
      <c r="V39" s="5">
        <f>Table14[[#This Row],[Enrolment S.Y. 2025-2026 ]]*8</f>
        <v>5832</v>
      </c>
      <c r="W39" s="5">
        <v>0</v>
      </c>
      <c r="X39" s="1"/>
      <c r="Y39" s="5"/>
      <c r="Z39" s="5">
        <f t="shared" si="6"/>
        <v>5832</v>
      </c>
      <c r="AA39" s="5">
        <f t="shared" si="7"/>
        <v>0</v>
      </c>
    </row>
    <row r="40" spans="1:27" ht="19.5">
      <c r="A40" s="33">
        <v>4</v>
      </c>
      <c r="B40" s="9" t="s">
        <v>79</v>
      </c>
      <c r="C40" s="1">
        <v>729</v>
      </c>
      <c r="D40" s="5">
        <f>Table14[[#This Row],[Enrolment S.Y. 2025-2026 ]]*8</f>
        <v>5832</v>
      </c>
      <c r="E40" s="43">
        <v>0</v>
      </c>
      <c r="F40" s="1"/>
      <c r="G40" s="5"/>
      <c r="H40" s="5">
        <f>IF((D40-E40)&lt;0,0,(D40-E40))</f>
        <v>5832</v>
      </c>
      <c r="I40" s="5">
        <f>IF((E40-D40)&lt;0,0,(E40-D40))</f>
        <v>0</v>
      </c>
      <c r="J40" s="5">
        <f>Table14[[#This Row],[Enrolment S.Y. 2025-2026 ]]*8</f>
        <v>5832</v>
      </c>
      <c r="K40" s="43">
        <v>0</v>
      </c>
      <c r="L40" s="1"/>
      <c r="M40" s="5"/>
      <c r="N40" s="5">
        <f t="shared" si="8"/>
        <v>5832</v>
      </c>
      <c r="O40" s="5">
        <f t="shared" si="9"/>
        <v>0</v>
      </c>
      <c r="P40" s="5">
        <f>Table14[[#This Row],[Enrolment S.Y. 2025-2026 ]]*8</f>
        <v>5832</v>
      </c>
      <c r="Q40" s="5">
        <v>0</v>
      </c>
      <c r="R40" s="1"/>
      <c r="S40" s="5"/>
      <c r="T40" s="5">
        <f>IF((P40-Q40)&lt;0,0,(P40-Q40))</f>
        <v>5832</v>
      </c>
      <c r="U40" s="5">
        <f>IF((Q40-P40)&lt;0,0,(Q40-P40))</f>
        <v>0</v>
      </c>
      <c r="V40" s="5">
        <f>Table14[[#This Row],[Enrolment S.Y. 2025-2026 ]]*8</f>
        <v>5832</v>
      </c>
      <c r="W40" s="5">
        <v>0</v>
      </c>
      <c r="X40" s="1"/>
      <c r="Y40" s="5"/>
      <c r="Z40" s="5">
        <f>IF((V40-W40)&lt;0,0,(V40-W40))</f>
        <v>5832</v>
      </c>
      <c r="AA40" s="5">
        <f>IF((W40-V40)&lt;0,0,(W40-V40))</f>
        <v>0</v>
      </c>
    </row>
    <row r="41" spans="1:27" ht="19.5">
      <c r="A41" s="1">
        <v>4</v>
      </c>
      <c r="B41" s="9" t="s">
        <v>80</v>
      </c>
      <c r="C41" s="1">
        <v>729</v>
      </c>
      <c r="D41" s="5">
        <f>Table14[[#This Row],[Enrolment S.Y. 2025-2026 ]]*8</f>
        <v>5832</v>
      </c>
      <c r="E41" s="43">
        <v>0</v>
      </c>
      <c r="F41" s="1"/>
      <c r="G41" s="5"/>
      <c r="H41" s="5">
        <f t="shared" si="0"/>
        <v>5832</v>
      </c>
      <c r="I41" s="5">
        <f t="shared" si="1"/>
        <v>0</v>
      </c>
      <c r="J41" s="5">
        <f>Table14[[#This Row],[Enrolment S.Y. 2025-2026 ]]*8</f>
        <v>5832</v>
      </c>
      <c r="K41" s="43">
        <v>0</v>
      </c>
      <c r="L41" s="1"/>
      <c r="M41" s="5"/>
      <c r="N41" s="5">
        <f t="shared" si="8"/>
        <v>5832</v>
      </c>
      <c r="O41" s="5">
        <f t="shared" si="9"/>
        <v>0</v>
      </c>
      <c r="P41" s="5">
        <f>Table14[[#This Row],[Enrolment S.Y. 2025-2026 ]]*8</f>
        <v>5832</v>
      </c>
      <c r="Q41" s="5">
        <v>0</v>
      </c>
      <c r="R41" s="1"/>
      <c r="S41" s="5"/>
      <c r="T41" s="5">
        <f t="shared" si="4"/>
        <v>5832</v>
      </c>
      <c r="U41" s="5">
        <f t="shared" si="5"/>
        <v>0</v>
      </c>
      <c r="V41" s="5">
        <f>Table14[[#This Row],[Enrolment S.Y. 2025-2026 ]]*8</f>
        <v>5832</v>
      </c>
      <c r="W41" s="5">
        <v>0</v>
      </c>
      <c r="X41" s="1"/>
      <c r="Y41" s="5"/>
      <c r="Z41" s="5">
        <f t="shared" si="6"/>
        <v>5832</v>
      </c>
      <c r="AA41" s="5">
        <f t="shared" si="7"/>
        <v>0</v>
      </c>
    </row>
    <row r="42" spans="1:27" s="7" customFormat="1" ht="19.5">
      <c r="D42" s="10"/>
      <c r="K42" s="44"/>
      <c r="Q42" s="41"/>
    </row>
    <row r="43" spans="1:27" ht="19.5">
      <c r="A43" s="1">
        <v>5</v>
      </c>
      <c r="B43" s="9" t="s">
        <v>16</v>
      </c>
      <c r="C43" s="1">
        <v>733</v>
      </c>
      <c r="D43" s="5">
        <f>Table14[[#This Row],[Enrolment S.Y. 2025-2026 ]]*8</f>
        <v>5864</v>
      </c>
      <c r="E43" s="43">
        <v>729</v>
      </c>
      <c r="F43" s="1"/>
      <c r="G43" s="5"/>
      <c r="H43" s="5">
        <f t="shared" si="0"/>
        <v>5135</v>
      </c>
      <c r="I43" s="5">
        <f t="shared" si="1"/>
        <v>0</v>
      </c>
      <c r="J43" s="5">
        <f>Table14[[#This Row],[Enrolment S.Y. 2025-2026 ]]*8</f>
        <v>5864</v>
      </c>
      <c r="K43" s="43">
        <v>0</v>
      </c>
      <c r="L43" s="1"/>
      <c r="M43" s="5"/>
      <c r="N43" s="5">
        <f t="shared" si="2"/>
        <v>5864</v>
      </c>
      <c r="O43" s="5">
        <f t="shared" si="3"/>
        <v>0</v>
      </c>
      <c r="P43" s="5">
        <f>Table14[[#This Row],[Enrolment S.Y. 2025-2026 ]]*8</f>
        <v>5864</v>
      </c>
      <c r="Q43" s="5">
        <v>0</v>
      </c>
      <c r="R43" s="1"/>
      <c r="S43" s="5"/>
      <c r="T43" s="5">
        <f t="shared" si="4"/>
        <v>5864</v>
      </c>
      <c r="U43" s="5">
        <f t="shared" si="5"/>
        <v>0</v>
      </c>
      <c r="V43" s="5">
        <f>Table14[[#This Row],[Enrolment S.Y. 2025-2026 ]]*8</f>
        <v>5864</v>
      </c>
      <c r="W43" s="5">
        <v>0</v>
      </c>
      <c r="X43" s="1"/>
      <c r="Y43" s="5"/>
      <c r="Z43" s="5">
        <f t="shared" si="6"/>
        <v>5864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733</v>
      </c>
      <c r="D44" s="5">
        <f>Table14[[#This Row],[Enrolment S.Y. 2025-2026 ]]*8</f>
        <v>5864</v>
      </c>
      <c r="E44" s="43">
        <v>0</v>
      </c>
      <c r="F44" s="1"/>
      <c r="G44" s="5"/>
      <c r="H44" s="5">
        <f t="shared" si="0"/>
        <v>5864</v>
      </c>
      <c r="I44" s="5">
        <f t="shared" si="1"/>
        <v>0</v>
      </c>
      <c r="J44" s="5">
        <f>Table14[[#This Row],[Enrolment S.Y. 2025-2026 ]]*8</f>
        <v>5864</v>
      </c>
      <c r="K44" s="43">
        <v>0</v>
      </c>
      <c r="L44" s="1"/>
      <c r="M44" s="5"/>
      <c r="N44" s="5">
        <f t="shared" si="2"/>
        <v>5864</v>
      </c>
      <c r="O44" s="5">
        <f t="shared" si="3"/>
        <v>0</v>
      </c>
      <c r="P44" s="5">
        <f>Table14[[#This Row],[Enrolment S.Y. 2025-2026 ]]*8</f>
        <v>5864</v>
      </c>
      <c r="Q44" s="5">
        <v>0</v>
      </c>
      <c r="R44" s="1"/>
      <c r="S44" s="5"/>
      <c r="T44" s="5">
        <f t="shared" si="4"/>
        <v>5864</v>
      </c>
      <c r="U44" s="5">
        <f t="shared" si="5"/>
        <v>0</v>
      </c>
      <c r="V44" s="5">
        <f>Table14[[#This Row],[Enrolment S.Y. 2025-2026 ]]*8</f>
        <v>5864</v>
      </c>
      <c r="W44" s="5">
        <v>0</v>
      </c>
      <c r="X44" s="1"/>
      <c r="Y44" s="5"/>
      <c r="Z44" s="5">
        <f t="shared" si="6"/>
        <v>5864</v>
      </c>
      <c r="AA44" s="5">
        <f t="shared" si="7"/>
        <v>0</v>
      </c>
    </row>
    <row r="45" spans="1:27" ht="19.5">
      <c r="A45" s="1">
        <v>5</v>
      </c>
      <c r="B45" s="9" t="s">
        <v>14</v>
      </c>
      <c r="C45" s="1">
        <v>733</v>
      </c>
      <c r="D45" s="5">
        <f>Table14[[#This Row],[Enrolment S.Y. 2025-2026 ]]*8</f>
        <v>5864</v>
      </c>
      <c r="E45" s="43">
        <v>0</v>
      </c>
      <c r="F45" s="1"/>
      <c r="G45" s="5"/>
      <c r="H45" s="5">
        <f t="shared" si="0"/>
        <v>5864</v>
      </c>
      <c r="I45" s="5">
        <f t="shared" si="1"/>
        <v>0</v>
      </c>
      <c r="J45" s="5">
        <f>Table14[[#This Row],[Enrolment S.Y. 2025-2026 ]]*8</f>
        <v>5864</v>
      </c>
      <c r="K45" s="43">
        <v>0</v>
      </c>
      <c r="L45" s="1"/>
      <c r="M45" s="5"/>
      <c r="N45" s="5">
        <f t="shared" si="2"/>
        <v>5864</v>
      </c>
      <c r="O45" s="5">
        <f t="shared" si="3"/>
        <v>0</v>
      </c>
      <c r="P45" s="5">
        <f>Table14[[#This Row],[Enrolment S.Y. 2025-2026 ]]*8</f>
        <v>5864</v>
      </c>
      <c r="Q45" s="5">
        <v>0</v>
      </c>
      <c r="R45" s="1"/>
      <c r="S45" s="5"/>
      <c r="T45" s="5">
        <f t="shared" si="4"/>
        <v>5864</v>
      </c>
      <c r="U45" s="5">
        <f t="shared" si="5"/>
        <v>0</v>
      </c>
      <c r="V45" s="5">
        <f>Table14[[#This Row],[Enrolment S.Y. 2025-2026 ]]*8</f>
        <v>5864</v>
      </c>
      <c r="W45" s="5">
        <v>0</v>
      </c>
      <c r="X45" s="1"/>
      <c r="Y45" s="5"/>
      <c r="Z45" s="5">
        <f t="shared" si="6"/>
        <v>5864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733</v>
      </c>
      <c r="D46" s="5">
        <f>Table14[[#This Row],[Enrolment S.Y. 2025-2026 ]]*8</f>
        <v>5864</v>
      </c>
      <c r="E46" s="43">
        <v>0</v>
      </c>
      <c r="F46" s="1"/>
      <c r="G46" s="5"/>
      <c r="H46" s="5">
        <f t="shared" si="0"/>
        <v>5864</v>
      </c>
      <c r="I46" s="5">
        <f t="shared" si="1"/>
        <v>0</v>
      </c>
      <c r="J46" s="5">
        <f>Table14[[#This Row],[Enrolment S.Y. 2025-2026 ]]*8</f>
        <v>5864</v>
      </c>
      <c r="K46" s="43">
        <v>0</v>
      </c>
      <c r="L46" s="1"/>
      <c r="M46" s="5"/>
      <c r="N46" s="5">
        <f t="shared" si="2"/>
        <v>5864</v>
      </c>
      <c r="O46" s="5">
        <f t="shared" si="3"/>
        <v>0</v>
      </c>
      <c r="P46" s="5">
        <f>Table14[[#This Row],[Enrolment S.Y. 2025-2026 ]]*8</f>
        <v>5864</v>
      </c>
      <c r="Q46" s="5">
        <v>0</v>
      </c>
      <c r="R46" s="1"/>
      <c r="S46" s="5"/>
      <c r="T46" s="5">
        <f t="shared" si="4"/>
        <v>5864</v>
      </c>
      <c r="U46" s="5">
        <f t="shared" si="5"/>
        <v>0</v>
      </c>
      <c r="V46" s="5">
        <f>Table14[[#This Row],[Enrolment S.Y. 2025-2026 ]]*8</f>
        <v>5864</v>
      </c>
      <c r="W46" s="5">
        <v>0</v>
      </c>
      <c r="X46" s="1"/>
      <c r="Y46" s="5"/>
      <c r="Z46" s="5">
        <f t="shared" si="6"/>
        <v>5864</v>
      </c>
      <c r="AA46" s="5">
        <f t="shared" si="7"/>
        <v>0</v>
      </c>
    </row>
    <row r="47" spans="1:27" ht="38.25">
      <c r="A47" s="1">
        <v>5</v>
      </c>
      <c r="B47" s="9" t="s">
        <v>19</v>
      </c>
      <c r="C47" s="1">
        <v>733</v>
      </c>
      <c r="D47" s="5">
        <f>Table14[[#This Row],[Enrolment S.Y. 2025-2026 ]]*8</f>
        <v>5864</v>
      </c>
      <c r="E47" s="43">
        <v>217</v>
      </c>
      <c r="F47" s="1"/>
      <c r="G47" s="5"/>
      <c r="H47" s="5">
        <f t="shared" si="0"/>
        <v>5647</v>
      </c>
      <c r="I47" s="5">
        <f t="shared" si="1"/>
        <v>0</v>
      </c>
      <c r="J47" s="5">
        <f>Table14[[#This Row],[Enrolment S.Y. 2025-2026 ]]*8</f>
        <v>5864</v>
      </c>
      <c r="K47" s="43">
        <v>0</v>
      </c>
      <c r="L47" s="1"/>
      <c r="M47" s="5"/>
      <c r="N47" s="5">
        <f t="shared" si="2"/>
        <v>5864</v>
      </c>
      <c r="O47" s="5">
        <f t="shared" si="3"/>
        <v>0</v>
      </c>
      <c r="P47" s="5">
        <f>Table14[[#This Row],[Enrolment S.Y. 2025-2026 ]]*8</f>
        <v>5864</v>
      </c>
      <c r="Q47" s="5">
        <v>0</v>
      </c>
      <c r="R47" s="1"/>
      <c r="S47" s="5"/>
      <c r="T47" s="5">
        <f t="shared" si="4"/>
        <v>5864</v>
      </c>
      <c r="U47" s="5">
        <f t="shared" si="5"/>
        <v>0</v>
      </c>
      <c r="V47" s="5">
        <f>Table14[[#This Row],[Enrolment S.Y. 2025-2026 ]]*8</f>
        <v>5864</v>
      </c>
      <c r="W47" s="5">
        <v>0</v>
      </c>
      <c r="X47" s="1"/>
      <c r="Y47" s="5"/>
      <c r="Z47" s="5">
        <f t="shared" si="6"/>
        <v>5864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>
        <v>733</v>
      </c>
      <c r="D48" s="5">
        <f>Table14[[#This Row],[Enrolment S.Y. 2025-2026 ]]*8</f>
        <v>5864</v>
      </c>
      <c r="E48" s="43">
        <v>217</v>
      </c>
      <c r="F48" s="1"/>
      <c r="G48" s="5"/>
      <c r="H48" s="5">
        <f t="shared" si="0"/>
        <v>5647</v>
      </c>
      <c r="I48" s="5">
        <f t="shared" si="1"/>
        <v>0</v>
      </c>
      <c r="J48" s="5">
        <f>Table14[[#This Row],[Enrolment S.Y. 2025-2026 ]]*8</f>
        <v>5864</v>
      </c>
      <c r="K48" s="43">
        <v>0</v>
      </c>
      <c r="L48" s="1"/>
      <c r="M48" s="5"/>
      <c r="N48" s="5">
        <f t="shared" ref="N48:N53" si="10">IF((J48-K48)&lt;0,0,(J48-K48))</f>
        <v>5864</v>
      </c>
      <c r="O48" s="5">
        <f t="shared" ref="O48:O53" si="11">IF((K48-J48)&lt;0,0,(K48-J48))</f>
        <v>0</v>
      </c>
      <c r="P48" s="5">
        <f>Table14[[#This Row],[Enrolment S.Y. 2025-2026 ]]*8</f>
        <v>5864</v>
      </c>
      <c r="Q48" s="5">
        <v>0</v>
      </c>
      <c r="R48" s="1"/>
      <c r="S48" s="5"/>
      <c r="T48" s="5">
        <f t="shared" si="4"/>
        <v>5864</v>
      </c>
      <c r="U48" s="5">
        <f t="shared" si="5"/>
        <v>0</v>
      </c>
      <c r="V48" s="5">
        <f>Table14[[#This Row],[Enrolment S.Y. 2025-2026 ]]*8</f>
        <v>5864</v>
      </c>
      <c r="W48" s="5">
        <v>0</v>
      </c>
      <c r="X48" s="1"/>
      <c r="Y48" s="5"/>
      <c r="Z48" s="5">
        <f t="shared" si="6"/>
        <v>5864</v>
      </c>
      <c r="AA48" s="5">
        <f t="shared" si="7"/>
        <v>0</v>
      </c>
    </row>
    <row r="49" spans="1:27" ht="19.5">
      <c r="A49" s="33">
        <v>5</v>
      </c>
      <c r="B49" s="9" t="s">
        <v>77</v>
      </c>
      <c r="C49" s="1">
        <v>733</v>
      </c>
      <c r="D49" s="5">
        <f>Table14[[#This Row],[Enrolment S.Y. 2025-2026 ]]*8</f>
        <v>5864</v>
      </c>
      <c r="E49" s="43">
        <v>217</v>
      </c>
      <c r="F49" s="1"/>
      <c r="G49" s="5"/>
      <c r="H49" s="5">
        <f>IF((D49-E49)&lt;0,0,(D49-E49))</f>
        <v>5647</v>
      </c>
      <c r="I49" s="5">
        <f>IF((E49-D49)&lt;0,0,(E49-D49))</f>
        <v>0</v>
      </c>
      <c r="J49" s="5">
        <f>Table14[[#This Row],[Enrolment S.Y. 2025-2026 ]]*8</f>
        <v>5864</v>
      </c>
      <c r="K49" s="43">
        <v>0</v>
      </c>
      <c r="L49" s="1"/>
      <c r="M49" s="5"/>
      <c r="N49" s="5">
        <f t="shared" si="10"/>
        <v>5864</v>
      </c>
      <c r="O49" s="5">
        <f t="shared" si="11"/>
        <v>0</v>
      </c>
      <c r="P49" s="5">
        <f>Table14[[#This Row],[Enrolment S.Y. 2025-2026 ]]*8</f>
        <v>5864</v>
      </c>
      <c r="Q49" s="5">
        <v>0</v>
      </c>
      <c r="R49" s="1"/>
      <c r="S49" s="5"/>
      <c r="T49" s="5">
        <f>IF((P49-Q49)&lt;0,0,(P49-Q49))</f>
        <v>5864</v>
      </c>
      <c r="U49" s="5">
        <f>IF((Q49-P49)&lt;0,0,(Q49-P49))</f>
        <v>0</v>
      </c>
      <c r="V49" s="5">
        <f>Table14[[#This Row],[Enrolment S.Y. 2025-2026 ]]*8</f>
        <v>5864</v>
      </c>
      <c r="W49" s="5">
        <v>0</v>
      </c>
      <c r="X49" s="1"/>
      <c r="Y49" s="5"/>
      <c r="Z49" s="5">
        <f>IF((V49-W49)&lt;0,0,(V49-W49))</f>
        <v>5864</v>
      </c>
      <c r="AA49" s="5">
        <f>IF((W49-V49)&lt;0,0,(W49-V49))</f>
        <v>0</v>
      </c>
    </row>
    <row r="50" spans="1:27" ht="19.5">
      <c r="A50" s="1">
        <v>5</v>
      </c>
      <c r="B50" s="9" t="s">
        <v>78</v>
      </c>
      <c r="C50" s="1">
        <v>733</v>
      </c>
      <c r="D50" s="5">
        <f>Table14[[#This Row],[Enrolment S.Y. 2025-2026 ]]*8</f>
        <v>5864</v>
      </c>
      <c r="E50" s="43">
        <v>0</v>
      </c>
      <c r="F50" s="1"/>
      <c r="G50" s="5"/>
      <c r="H50" s="5">
        <f t="shared" si="0"/>
        <v>5864</v>
      </c>
      <c r="I50" s="5">
        <f t="shared" si="1"/>
        <v>0</v>
      </c>
      <c r="J50" s="5">
        <f>Table14[[#This Row],[Enrolment S.Y. 2025-2026 ]]*8</f>
        <v>5864</v>
      </c>
      <c r="K50" s="43">
        <v>0</v>
      </c>
      <c r="L50" s="1"/>
      <c r="M50" s="5"/>
      <c r="N50" s="5">
        <f t="shared" si="10"/>
        <v>5864</v>
      </c>
      <c r="O50" s="5">
        <f t="shared" si="11"/>
        <v>0</v>
      </c>
      <c r="P50" s="5">
        <f>Table14[[#This Row],[Enrolment S.Y. 2025-2026 ]]*8</f>
        <v>5864</v>
      </c>
      <c r="Q50" s="5">
        <v>0</v>
      </c>
      <c r="R50" s="1"/>
      <c r="S50" s="5"/>
      <c r="T50" s="5">
        <f t="shared" si="4"/>
        <v>5864</v>
      </c>
      <c r="U50" s="5">
        <f t="shared" si="5"/>
        <v>0</v>
      </c>
      <c r="V50" s="5">
        <f>Table14[[#This Row],[Enrolment S.Y. 2025-2026 ]]*8</f>
        <v>5864</v>
      </c>
      <c r="W50" s="5">
        <v>0</v>
      </c>
      <c r="X50" s="1"/>
      <c r="Y50" s="5"/>
      <c r="Z50" s="5">
        <f t="shared" si="6"/>
        <v>5864</v>
      </c>
      <c r="AA50" s="5">
        <f t="shared" si="7"/>
        <v>0</v>
      </c>
    </row>
    <row r="51" spans="1:27" ht="19.5">
      <c r="A51" s="1">
        <v>5</v>
      </c>
      <c r="B51" s="9" t="s">
        <v>21</v>
      </c>
      <c r="C51" s="1">
        <v>733</v>
      </c>
      <c r="D51" s="5">
        <f>Table14[[#This Row],[Enrolment S.Y. 2025-2026 ]]*8</f>
        <v>5864</v>
      </c>
      <c r="E51" s="43">
        <v>0</v>
      </c>
      <c r="F51" s="1"/>
      <c r="G51" s="5"/>
      <c r="H51" s="5">
        <f t="shared" si="0"/>
        <v>5864</v>
      </c>
      <c r="I51" s="5">
        <f t="shared" si="1"/>
        <v>0</v>
      </c>
      <c r="J51" s="5">
        <f>Table14[[#This Row],[Enrolment S.Y. 2025-2026 ]]*8</f>
        <v>5864</v>
      </c>
      <c r="K51" s="43">
        <v>0</v>
      </c>
      <c r="L51" s="1"/>
      <c r="M51" s="5"/>
      <c r="N51" s="5">
        <f t="shared" si="10"/>
        <v>5864</v>
      </c>
      <c r="O51" s="5">
        <f t="shared" si="11"/>
        <v>0</v>
      </c>
      <c r="P51" s="5">
        <f>Table14[[#This Row],[Enrolment S.Y. 2025-2026 ]]*8</f>
        <v>5864</v>
      </c>
      <c r="Q51" s="5">
        <v>0</v>
      </c>
      <c r="R51" s="1"/>
      <c r="S51" s="5"/>
      <c r="T51" s="5">
        <f t="shared" si="4"/>
        <v>5864</v>
      </c>
      <c r="U51" s="5">
        <f t="shared" si="5"/>
        <v>0</v>
      </c>
      <c r="V51" s="5">
        <f>Table14[[#This Row],[Enrolment S.Y. 2025-2026 ]]*8</f>
        <v>5864</v>
      </c>
      <c r="W51" s="5">
        <v>0</v>
      </c>
      <c r="X51" s="1"/>
      <c r="Y51" s="5"/>
      <c r="Z51" s="5">
        <f t="shared" si="6"/>
        <v>5864</v>
      </c>
      <c r="AA51" s="5">
        <f t="shared" si="7"/>
        <v>0</v>
      </c>
    </row>
    <row r="52" spans="1:27" ht="19.5">
      <c r="A52" s="33">
        <v>5</v>
      </c>
      <c r="B52" s="9" t="s">
        <v>79</v>
      </c>
      <c r="C52" s="1">
        <v>733</v>
      </c>
      <c r="D52" s="5">
        <f>Table14[[#This Row],[Enrolment S.Y. 2025-2026 ]]*8</f>
        <v>5864</v>
      </c>
      <c r="E52" s="43">
        <v>217</v>
      </c>
      <c r="F52" s="1"/>
      <c r="G52" s="5"/>
      <c r="H52" s="5">
        <f>IF((D52-E52)&lt;0,0,(D52-E52))</f>
        <v>5647</v>
      </c>
      <c r="I52" s="5">
        <f>IF((E52-D52)&lt;0,0,(E52-D52))</f>
        <v>0</v>
      </c>
      <c r="J52" s="5">
        <f>Table14[[#This Row],[Enrolment S.Y. 2025-2026 ]]*8</f>
        <v>5864</v>
      </c>
      <c r="K52" s="43">
        <v>0</v>
      </c>
      <c r="L52" s="1"/>
      <c r="M52" s="5"/>
      <c r="N52" s="5">
        <f t="shared" si="10"/>
        <v>5864</v>
      </c>
      <c r="O52" s="5">
        <f t="shared" si="11"/>
        <v>0</v>
      </c>
      <c r="P52" s="5">
        <f>Table14[[#This Row],[Enrolment S.Y. 2025-2026 ]]*8</f>
        <v>5864</v>
      </c>
      <c r="Q52" s="5">
        <v>0</v>
      </c>
      <c r="R52" s="1"/>
      <c r="S52" s="5"/>
      <c r="T52" s="5">
        <f>IF((P52-Q52)&lt;0,0,(P52-Q52))</f>
        <v>5864</v>
      </c>
      <c r="U52" s="5">
        <f>IF((Q52-P52)&lt;0,0,(Q52-P52))</f>
        <v>0</v>
      </c>
      <c r="V52" s="5">
        <f>Table14[[#This Row],[Enrolment S.Y. 2025-2026 ]]*8</f>
        <v>5864</v>
      </c>
      <c r="W52" s="5">
        <v>0</v>
      </c>
      <c r="X52" s="1"/>
      <c r="Y52" s="5"/>
      <c r="Z52" s="5">
        <f>IF((V52-W52)&lt;0,0,(V52-W52))</f>
        <v>5864</v>
      </c>
      <c r="AA52" s="5">
        <f>IF((W52-V52)&lt;0,0,(W52-V52))</f>
        <v>0</v>
      </c>
    </row>
    <row r="53" spans="1:27" ht="19.5">
      <c r="A53" s="1">
        <v>5</v>
      </c>
      <c r="B53" s="9" t="s">
        <v>80</v>
      </c>
      <c r="C53" s="1">
        <v>733</v>
      </c>
      <c r="D53" s="5">
        <f>Table14[[#This Row],[Enrolment S.Y. 2025-2026 ]]*8</f>
        <v>5864</v>
      </c>
      <c r="E53" s="43">
        <v>0</v>
      </c>
      <c r="F53" s="1"/>
      <c r="G53" s="5"/>
      <c r="H53" s="5">
        <f t="shared" si="0"/>
        <v>5864</v>
      </c>
      <c r="I53" s="5">
        <f t="shared" si="1"/>
        <v>0</v>
      </c>
      <c r="J53" s="5">
        <f>Table14[[#This Row],[Enrolment S.Y. 2025-2026 ]]*8</f>
        <v>5864</v>
      </c>
      <c r="K53" s="43">
        <v>0</v>
      </c>
      <c r="L53" s="1"/>
      <c r="M53" s="5"/>
      <c r="N53" s="5">
        <f t="shared" si="10"/>
        <v>5864</v>
      </c>
      <c r="O53" s="5">
        <f t="shared" si="11"/>
        <v>0</v>
      </c>
      <c r="P53" s="5">
        <f>Table14[[#This Row],[Enrolment S.Y. 2025-2026 ]]*8</f>
        <v>5864</v>
      </c>
      <c r="Q53" s="5">
        <v>0</v>
      </c>
      <c r="R53" s="1"/>
      <c r="S53" s="5"/>
      <c r="T53" s="5">
        <f t="shared" si="4"/>
        <v>5864</v>
      </c>
      <c r="U53" s="5">
        <f t="shared" si="5"/>
        <v>0</v>
      </c>
      <c r="V53" s="5">
        <f>Table14[[#This Row],[Enrolment S.Y. 2025-2026 ]]*8</f>
        <v>5864</v>
      </c>
      <c r="W53" s="5">
        <v>0</v>
      </c>
      <c r="X53" s="1"/>
      <c r="Y53" s="5"/>
      <c r="Z53" s="5">
        <f t="shared" si="6"/>
        <v>5864</v>
      </c>
      <c r="AA53" s="5">
        <f t="shared" si="7"/>
        <v>0</v>
      </c>
    </row>
    <row r="54" spans="1:27" s="7" customFormat="1">
      <c r="E54" s="44"/>
      <c r="K54" s="44"/>
      <c r="Q54" s="41"/>
    </row>
    <row r="55" spans="1:27" ht="19.5">
      <c r="A55" s="1">
        <v>6</v>
      </c>
      <c r="B55" s="9" t="s">
        <v>16</v>
      </c>
      <c r="C55" s="1">
        <v>716</v>
      </c>
      <c r="D55" s="5">
        <f>Table14[[#This Row],[Enrolment S.Y. 2025-2026 ]]*8</f>
        <v>5728</v>
      </c>
      <c r="E55" s="43">
        <v>600</v>
      </c>
      <c r="F55" s="1">
        <v>2025</v>
      </c>
      <c r="G55" s="5" t="s">
        <v>18</v>
      </c>
      <c r="H55" s="5">
        <f>IF((D55-E55)&lt;0,0,(D55-E55))</f>
        <v>5128</v>
      </c>
      <c r="I55" s="5">
        <f t="shared" si="1"/>
        <v>0</v>
      </c>
      <c r="J55" s="5">
        <f>Table14[[#This Row],[Enrolment S.Y. 2025-2026 ]]*8</f>
        <v>5728</v>
      </c>
      <c r="K55" s="43">
        <v>390</v>
      </c>
      <c r="L55" s="1">
        <v>2025</v>
      </c>
      <c r="M55" s="5" t="s">
        <v>18</v>
      </c>
      <c r="N55" s="5">
        <f t="shared" si="2"/>
        <v>5338</v>
      </c>
      <c r="O55" s="5">
        <f t="shared" si="3"/>
        <v>0</v>
      </c>
      <c r="P55" s="5">
        <f>Table14[[#This Row],[Enrolment S.Y. 2025-2026 ]]*8</f>
        <v>5728</v>
      </c>
      <c r="Q55" s="5">
        <v>280</v>
      </c>
      <c r="R55" s="1">
        <v>2025</v>
      </c>
      <c r="S55" s="5" t="s">
        <v>18</v>
      </c>
      <c r="T55" s="5">
        <f t="shared" si="4"/>
        <v>5448</v>
      </c>
      <c r="U55" s="5">
        <f t="shared" si="5"/>
        <v>0</v>
      </c>
      <c r="V55" s="5">
        <f>Table14[[#This Row],[Enrolment S.Y. 2025-2026 ]]*8</f>
        <v>5728</v>
      </c>
      <c r="W55" s="5">
        <v>1050</v>
      </c>
      <c r="X55" s="1">
        <v>2025</v>
      </c>
      <c r="Y55" s="5" t="s">
        <v>81</v>
      </c>
      <c r="Z55" s="5">
        <f t="shared" si="6"/>
        <v>4678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716</v>
      </c>
      <c r="D56" s="5">
        <f>Table14[[#This Row],[Enrolment S.Y. 2025-2026 ]]*8</f>
        <v>5728</v>
      </c>
      <c r="E56" s="43">
        <v>2800</v>
      </c>
      <c r="F56" s="1">
        <v>2025</v>
      </c>
      <c r="G56" s="5" t="s">
        <v>18</v>
      </c>
      <c r="H56" s="5">
        <f>IF((D56-E56)&lt;0,0,(D56-E56))</f>
        <v>2928</v>
      </c>
      <c r="I56" s="5">
        <f t="shared" si="1"/>
        <v>0</v>
      </c>
      <c r="J56" s="5">
        <f>Table14[[#This Row],[Enrolment S.Y. 2025-2026 ]]*8</f>
        <v>5728</v>
      </c>
      <c r="K56" s="43">
        <v>1820</v>
      </c>
      <c r="L56" s="1">
        <v>2025</v>
      </c>
      <c r="M56" s="5" t="s">
        <v>18</v>
      </c>
      <c r="N56" s="5">
        <f t="shared" si="2"/>
        <v>3908</v>
      </c>
      <c r="O56" s="5">
        <f t="shared" si="3"/>
        <v>0</v>
      </c>
      <c r="P56" s="5">
        <f>Table14[[#This Row],[Enrolment S.Y. 2025-2026 ]]*8</f>
        <v>5728</v>
      </c>
      <c r="Q56" s="5">
        <v>840</v>
      </c>
      <c r="R56" s="1">
        <v>2025</v>
      </c>
      <c r="S56" s="5" t="s">
        <v>18</v>
      </c>
      <c r="T56" s="5">
        <f t="shared" si="4"/>
        <v>4888</v>
      </c>
      <c r="U56" s="5">
        <f t="shared" si="5"/>
        <v>0</v>
      </c>
      <c r="V56" s="5">
        <f>Table14[[#This Row],[Enrolment S.Y. 2025-2026 ]]*8</f>
        <v>5728</v>
      </c>
      <c r="W56" s="5">
        <v>750</v>
      </c>
      <c r="X56" s="1">
        <v>2025</v>
      </c>
      <c r="Y56" s="5" t="s">
        <v>81</v>
      </c>
      <c r="Z56" s="5">
        <f t="shared" si="6"/>
        <v>4978</v>
      </c>
      <c r="AA56" s="5">
        <f t="shared" si="7"/>
        <v>0</v>
      </c>
    </row>
    <row r="57" spans="1:27" ht="19.5">
      <c r="A57" s="1">
        <v>6</v>
      </c>
      <c r="B57" s="9" t="s">
        <v>14</v>
      </c>
      <c r="C57" s="1">
        <v>716</v>
      </c>
      <c r="D57" s="5">
        <f>Table14[[#This Row],[Enrolment S.Y. 2025-2026 ]]*8</f>
        <v>5728</v>
      </c>
      <c r="E57" s="43">
        <v>2200</v>
      </c>
      <c r="F57" s="1">
        <v>2025</v>
      </c>
      <c r="G57" s="5" t="s">
        <v>18</v>
      </c>
      <c r="H57" s="5">
        <f>IF((D57-E57)&lt;0,0,(D57-E57))</f>
        <v>3528</v>
      </c>
      <c r="I57" s="5">
        <f t="shared" si="1"/>
        <v>0</v>
      </c>
      <c r="J57" s="5">
        <f>Table14[[#This Row],[Enrolment S.Y. 2025-2026 ]]*8</f>
        <v>5728</v>
      </c>
      <c r="K57" s="43">
        <v>1820</v>
      </c>
      <c r="L57" s="1">
        <v>2025</v>
      </c>
      <c r="M57" s="5" t="s">
        <v>18</v>
      </c>
      <c r="N57" s="5">
        <f t="shared" si="2"/>
        <v>3908</v>
      </c>
      <c r="O57" s="5">
        <f t="shared" si="3"/>
        <v>0</v>
      </c>
      <c r="P57" s="5">
        <f>Table14[[#This Row],[Enrolment S.Y. 2025-2026 ]]*8</f>
        <v>5728</v>
      </c>
      <c r="Q57" s="5">
        <v>560</v>
      </c>
      <c r="R57" s="1">
        <v>2025</v>
      </c>
      <c r="S57" s="5" t="s">
        <v>18</v>
      </c>
      <c r="T57" s="5">
        <f t="shared" si="4"/>
        <v>5168</v>
      </c>
      <c r="U57" s="5">
        <f t="shared" si="5"/>
        <v>0</v>
      </c>
      <c r="V57" s="5">
        <f>Table14[[#This Row],[Enrolment S.Y. 2025-2026 ]]*8</f>
        <v>5728</v>
      </c>
      <c r="W57" s="5">
        <v>1350</v>
      </c>
      <c r="X57" s="1">
        <v>2025</v>
      </c>
      <c r="Y57" s="5" t="s">
        <v>81</v>
      </c>
      <c r="Z57" s="5">
        <f t="shared" si="6"/>
        <v>4378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716</v>
      </c>
      <c r="D58" s="5">
        <f>Table14[[#This Row],[Enrolment S.Y. 2025-2026 ]]*8</f>
        <v>5728</v>
      </c>
      <c r="E58" s="43">
        <v>0</v>
      </c>
      <c r="F58" s="1"/>
      <c r="G58" s="5"/>
      <c r="H58" s="5">
        <f t="shared" si="0"/>
        <v>5728</v>
      </c>
      <c r="I58" s="5">
        <f t="shared" si="1"/>
        <v>0</v>
      </c>
      <c r="J58" s="5">
        <f>Table14[[#This Row],[Enrolment S.Y. 2025-2026 ]]*8</f>
        <v>5728</v>
      </c>
      <c r="K58" s="43">
        <v>0</v>
      </c>
      <c r="L58" s="1"/>
      <c r="M58" s="5"/>
      <c r="N58" s="5">
        <f t="shared" si="2"/>
        <v>5728</v>
      </c>
      <c r="O58" s="5">
        <f t="shared" si="3"/>
        <v>0</v>
      </c>
      <c r="P58" s="5">
        <f>Table14[[#This Row],[Enrolment S.Y. 2025-2026 ]]*8</f>
        <v>5728</v>
      </c>
      <c r="Q58" s="5">
        <v>0</v>
      </c>
      <c r="R58" s="1"/>
      <c r="S58" s="5"/>
      <c r="T58" s="5">
        <f t="shared" si="4"/>
        <v>5728</v>
      </c>
      <c r="U58" s="5">
        <f t="shared" si="5"/>
        <v>0</v>
      </c>
      <c r="V58" s="5">
        <f>Table14[[#This Row],[Enrolment S.Y. 2025-2026 ]]*8</f>
        <v>5728</v>
      </c>
      <c r="W58" s="5"/>
      <c r="X58" s="1">
        <v>2025</v>
      </c>
      <c r="Y58" s="5" t="s">
        <v>81</v>
      </c>
      <c r="Z58" s="5">
        <f t="shared" si="6"/>
        <v>5728</v>
      </c>
      <c r="AA58" s="5">
        <f t="shared" si="7"/>
        <v>0</v>
      </c>
    </row>
    <row r="59" spans="1:27" ht="38.25">
      <c r="A59" s="1">
        <v>6</v>
      </c>
      <c r="B59" s="9" t="s">
        <v>19</v>
      </c>
      <c r="C59" s="1">
        <v>716</v>
      </c>
      <c r="D59" s="5">
        <f>Table14[[#This Row],[Enrolment S.Y. 2025-2026 ]]*8</f>
        <v>5728</v>
      </c>
      <c r="E59" s="43">
        <v>0</v>
      </c>
      <c r="F59" s="1"/>
      <c r="G59" s="5"/>
      <c r="H59" s="5">
        <f t="shared" si="0"/>
        <v>5728</v>
      </c>
      <c r="I59" s="5">
        <f t="shared" si="1"/>
        <v>0</v>
      </c>
      <c r="J59" s="5">
        <f>Table14[[#This Row],[Enrolment S.Y. 2025-2026 ]]*8</f>
        <v>5728</v>
      </c>
      <c r="K59" s="43">
        <v>0</v>
      </c>
      <c r="L59" s="1"/>
      <c r="M59" s="5"/>
      <c r="N59" s="5">
        <f t="shared" si="2"/>
        <v>5728</v>
      </c>
      <c r="O59" s="5">
        <f t="shared" si="3"/>
        <v>0</v>
      </c>
      <c r="P59" s="5">
        <f>Table14[[#This Row],[Enrolment S.Y. 2025-2026 ]]*8</f>
        <v>5728</v>
      </c>
      <c r="Q59" s="5">
        <v>840</v>
      </c>
      <c r="R59" s="1">
        <v>2025</v>
      </c>
      <c r="S59" s="5" t="s">
        <v>18</v>
      </c>
      <c r="T59" s="5">
        <f t="shared" si="4"/>
        <v>4888</v>
      </c>
      <c r="U59" s="5">
        <f t="shared" si="5"/>
        <v>0</v>
      </c>
      <c r="V59" s="5">
        <f>Table14[[#This Row],[Enrolment S.Y. 2025-2026 ]]*8</f>
        <v>5728</v>
      </c>
      <c r="W59" s="5">
        <v>1050</v>
      </c>
      <c r="X59" s="1">
        <v>2025</v>
      </c>
      <c r="Y59" s="5" t="s">
        <v>81</v>
      </c>
      <c r="Z59" s="5">
        <f t="shared" si="6"/>
        <v>4678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716</v>
      </c>
      <c r="D60" s="5">
        <f>Table14[[#This Row],[Enrolment S.Y. 2025-2026 ]]*8</f>
        <v>5728</v>
      </c>
      <c r="E60" s="43">
        <v>0</v>
      </c>
      <c r="F60" s="1"/>
      <c r="G60" s="5"/>
      <c r="H60" s="5">
        <f t="shared" si="0"/>
        <v>5728</v>
      </c>
      <c r="I60" s="5">
        <f t="shared" si="1"/>
        <v>0</v>
      </c>
      <c r="J60" s="5">
        <f>Table14[[#This Row],[Enrolment S.Y. 2025-2026 ]]*8</f>
        <v>5728</v>
      </c>
      <c r="K60" s="43">
        <v>0</v>
      </c>
      <c r="L60" s="1"/>
      <c r="M60" s="5"/>
      <c r="N60" s="5">
        <f t="shared" si="2"/>
        <v>5728</v>
      </c>
      <c r="O60" s="5">
        <f t="shared" si="3"/>
        <v>0</v>
      </c>
      <c r="P60" s="5">
        <f>Table14[[#This Row],[Enrolment S.Y. 2025-2026 ]]*8</f>
        <v>5728</v>
      </c>
      <c r="Q60" s="5">
        <v>560</v>
      </c>
      <c r="R60" s="1">
        <v>2025</v>
      </c>
      <c r="S60" s="5" t="s">
        <v>18</v>
      </c>
      <c r="T60" s="5">
        <f t="shared" si="4"/>
        <v>5168</v>
      </c>
      <c r="U60" s="5">
        <f t="shared" si="5"/>
        <v>0</v>
      </c>
      <c r="V60" s="5">
        <f>Table14[[#This Row],[Enrolment S.Y. 2025-2026 ]]*8</f>
        <v>5728</v>
      </c>
      <c r="W60" s="5">
        <v>1200</v>
      </c>
      <c r="X60" s="1">
        <v>2025</v>
      </c>
      <c r="Y60" s="5" t="s">
        <v>81</v>
      </c>
      <c r="Z60" s="5">
        <f t="shared" si="6"/>
        <v>4528</v>
      </c>
      <c r="AA60" s="5">
        <f t="shared" si="7"/>
        <v>0</v>
      </c>
    </row>
    <row r="61" spans="1:27" ht="19.5">
      <c r="A61" s="33">
        <v>6</v>
      </c>
      <c r="B61" s="9" t="s">
        <v>77</v>
      </c>
      <c r="C61" s="1">
        <v>716</v>
      </c>
      <c r="D61" s="5">
        <f>Table14[[#This Row],[Enrolment S.Y. 2025-2026 ]]*8</f>
        <v>5728</v>
      </c>
      <c r="E61" s="43">
        <v>0</v>
      </c>
      <c r="F61" s="1"/>
      <c r="G61" s="5"/>
      <c r="H61" s="5">
        <f>IF((D61-E61)&lt;0,0,(D61-E61))</f>
        <v>5728</v>
      </c>
      <c r="I61" s="5">
        <f>IF((E61-D61)&lt;0,0,(E61-D61))</f>
        <v>0</v>
      </c>
      <c r="J61" s="5">
        <f>Table14[[#This Row],[Enrolment S.Y. 2025-2026 ]]*8</f>
        <v>5728</v>
      </c>
      <c r="K61" s="43">
        <v>0</v>
      </c>
      <c r="L61" s="1"/>
      <c r="M61" s="5"/>
      <c r="N61" s="5">
        <f t="shared" ref="N61:N66" si="12">IF((J61-K61)&lt;0,0,(J61-K61))</f>
        <v>5728</v>
      </c>
      <c r="O61" s="5">
        <f t="shared" ref="O61:O66" si="13">IF((K61-J61)&lt;0,0,(K61-J61))</f>
        <v>0</v>
      </c>
      <c r="P61" s="5">
        <f>Table14[[#This Row],[Enrolment S.Y. 2025-2026 ]]*8</f>
        <v>5728</v>
      </c>
      <c r="Q61" s="5">
        <v>560</v>
      </c>
      <c r="R61" s="1">
        <v>2025</v>
      </c>
      <c r="S61" s="5" t="s">
        <v>18</v>
      </c>
      <c r="T61" s="5">
        <f>IF((P61-Q61)&lt;0,0,(P61-Q61))</f>
        <v>5168</v>
      </c>
      <c r="U61" s="5">
        <f>IF((Q61-P61)&lt;0,0,(Q61-P61))</f>
        <v>0</v>
      </c>
      <c r="V61" s="5">
        <f>Table14[[#This Row],[Enrolment S.Y. 2025-2026 ]]*8</f>
        <v>5728</v>
      </c>
      <c r="W61" s="5">
        <v>450</v>
      </c>
      <c r="X61" s="1">
        <v>2025</v>
      </c>
      <c r="Y61" s="5" t="s">
        <v>81</v>
      </c>
      <c r="Z61" s="5">
        <f>IF((V61-W61)&lt;0,0,(V61-W61))</f>
        <v>5278</v>
      </c>
      <c r="AA61" s="5">
        <f>IF((W61-V61)&lt;0,0,(W61-V61))</f>
        <v>0</v>
      </c>
    </row>
    <row r="62" spans="1:27" ht="19.5">
      <c r="A62" s="1">
        <v>6</v>
      </c>
      <c r="B62" s="9" t="s">
        <v>78</v>
      </c>
      <c r="C62" s="1">
        <v>716</v>
      </c>
      <c r="D62" s="5">
        <f>Table14[[#This Row],[Enrolment S.Y. 2025-2026 ]]*8</f>
        <v>5728</v>
      </c>
      <c r="E62" s="43">
        <v>0</v>
      </c>
      <c r="F62" s="1"/>
      <c r="G62" s="5"/>
      <c r="H62" s="5">
        <f t="shared" si="0"/>
        <v>5728</v>
      </c>
      <c r="I62" s="5">
        <f t="shared" si="1"/>
        <v>0</v>
      </c>
      <c r="J62" s="5">
        <f>Table14[[#This Row],[Enrolment S.Y. 2025-2026 ]]*8</f>
        <v>5728</v>
      </c>
      <c r="K62" s="43">
        <v>0</v>
      </c>
      <c r="L62" s="1"/>
      <c r="M62" s="5"/>
      <c r="N62" s="5">
        <f t="shared" si="12"/>
        <v>5728</v>
      </c>
      <c r="O62" s="5">
        <f t="shared" si="13"/>
        <v>0</v>
      </c>
      <c r="P62" s="5">
        <f>Table14[[#This Row],[Enrolment S.Y. 2025-2026 ]]*8</f>
        <v>5728</v>
      </c>
      <c r="Q62" s="5">
        <v>980</v>
      </c>
      <c r="R62" s="1">
        <v>2025</v>
      </c>
      <c r="S62" s="5" t="s">
        <v>18</v>
      </c>
      <c r="T62" s="5">
        <f t="shared" si="4"/>
        <v>4748</v>
      </c>
      <c r="U62" s="5">
        <f t="shared" si="5"/>
        <v>0</v>
      </c>
      <c r="V62" s="5">
        <f>Table14[[#This Row],[Enrolment S.Y. 2025-2026 ]]*8</f>
        <v>5728</v>
      </c>
      <c r="W62" s="5">
        <v>1350</v>
      </c>
      <c r="X62" s="1">
        <v>2025</v>
      </c>
      <c r="Y62" s="5" t="s">
        <v>81</v>
      </c>
      <c r="Z62" s="5">
        <f t="shared" si="6"/>
        <v>4378</v>
      </c>
      <c r="AA62" s="5">
        <f t="shared" si="7"/>
        <v>0</v>
      </c>
    </row>
    <row r="63" spans="1:27" ht="19.5">
      <c r="A63" s="1">
        <v>6</v>
      </c>
      <c r="B63" s="9" t="s">
        <v>21</v>
      </c>
      <c r="C63" s="1">
        <v>716</v>
      </c>
      <c r="D63" s="5">
        <f>Table14[[#This Row],[Enrolment S.Y. 2025-2026 ]]*8</f>
        <v>5728</v>
      </c>
      <c r="E63" s="43">
        <v>0</v>
      </c>
      <c r="F63" s="1"/>
      <c r="G63" s="5"/>
      <c r="H63" s="5">
        <f t="shared" si="0"/>
        <v>5728</v>
      </c>
      <c r="I63" s="5">
        <f t="shared" si="1"/>
        <v>0</v>
      </c>
      <c r="J63" s="5">
        <f>Table14[[#This Row],[Enrolment S.Y. 2025-2026 ]]*8</f>
        <v>5728</v>
      </c>
      <c r="K63" s="43">
        <v>0</v>
      </c>
      <c r="L63" s="1"/>
      <c r="M63" s="5"/>
      <c r="N63" s="5">
        <f t="shared" si="12"/>
        <v>5728</v>
      </c>
      <c r="O63" s="5">
        <f t="shared" si="13"/>
        <v>0</v>
      </c>
      <c r="P63" s="5">
        <f>Table14[[#This Row],[Enrolment S.Y. 2025-2026 ]]*8</f>
        <v>5728</v>
      </c>
      <c r="Q63" s="5">
        <v>0</v>
      </c>
      <c r="R63" s="1"/>
      <c r="S63" s="5"/>
      <c r="T63" s="5">
        <f t="shared" si="4"/>
        <v>5728</v>
      </c>
      <c r="U63" s="5">
        <f t="shared" si="5"/>
        <v>0</v>
      </c>
      <c r="V63" s="5">
        <f>Table14[[#This Row],[Enrolment S.Y. 2025-2026 ]]*8</f>
        <v>5728</v>
      </c>
      <c r="W63" s="5">
        <v>0</v>
      </c>
      <c r="X63" s="1"/>
      <c r="Y63" s="5"/>
      <c r="Z63" s="5">
        <f t="shared" si="6"/>
        <v>5728</v>
      </c>
      <c r="AA63" s="5">
        <f t="shared" si="7"/>
        <v>0</v>
      </c>
    </row>
    <row r="64" spans="1:27" ht="19.5">
      <c r="A64" s="33">
        <v>6</v>
      </c>
      <c r="B64" s="9" t="s">
        <v>79</v>
      </c>
      <c r="C64" s="1">
        <v>716</v>
      </c>
      <c r="D64" s="5">
        <f>Table14[[#This Row],[Enrolment S.Y. 2025-2026 ]]*8</f>
        <v>5728</v>
      </c>
      <c r="E64" s="43">
        <v>0</v>
      </c>
      <c r="F64" s="1"/>
      <c r="G64" s="5"/>
      <c r="H64" s="5">
        <f>IF((D64-E64)&lt;0,0,(D64-E64))</f>
        <v>5728</v>
      </c>
      <c r="I64" s="5">
        <f>IF((E64-D64)&lt;0,0,(E64-D64))</f>
        <v>0</v>
      </c>
      <c r="J64" s="5">
        <f>Table14[[#This Row],[Enrolment S.Y. 2025-2026 ]]*8</f>
        <v>5728</v>
      </c>
      <c r="K64" s="43">
        <v>0</v>
      </c>
      <c r="L64" s="1"/>
      <c r="M64" s="5"/>
      <c r="N64" s="5">
        <f t="shared" si="12"/>
        <v>5728</v>
      </c>
      <c r="O64" s="5">
        <f t="shared" si="13"/>
        <v>0</v>
      </c>
      <c r="P64" s="5">
        <f>Table14[[#This Row],[Enrolment S.Y. 2025-2026 ]]*8</f>
        <v>5728</v>
      </c>
      <c r="Q64" s="5">
        <v>420</v>
      </c>
      <c r="R64" s="1">
        <v>2025</v>
      </c>
      <c r="S64" s="5" t="s">
        <v>81</v>
      </c>
      <c r="T64" s="5">
        <f>IF((P64-Q64)&lt;0,0,(P64-Q64))</f>
        <v>5308</v>
      </c>
      <c r="U64" s="5">
        <f>IF((Q64-P64)&lt;0,0,(Q64-P64))</f>
        <v>0</v>
      </c>
      <c r="V64" s="5">
        <f>Table14[[#This Row],[Enrolment S.Y. 2025-2026 ]]*8</f>
        <v>5728</v>
      </c>
      <c r="W64" s="5">
        <v>450</v>
      </c>
      <c r="X64" s="1">
        <v>2025</v>
      </c>
      <c r="Y64" s="5" t="s">
        <v>81</v>
      </c>
      <c r="Z64" s="5">
        <f>IF((V64-W64)&lt;0,0,(V64-W64))</f>
        <v>5278</v>
      </c>
      <c r="AA64" s="5">
        <f>IF((W64-V64)&lt;0,0,(W64-V64))</f>
        <v>0</v>
      </c>
    </row>
    <row r="65" spans="1:27" ht="19.5">
      <c r="A65" s="1">
        <v>6</v>
      </c>
      <c r="B65" s="9" t="s">
        <v>82</v>
      </c>
      <c r="C65" s="1">
        <v>716</v>
      </c>
      <c r="D65" s="5">
        <f>Table14[[#This Row],[Enrolment S.Y. 2025-2026 ]]*8</f>
        <v>5728</v>
      </c>
      <c r="E65" s="43">
        <v>0</v>
      </c>
      <c r="F65" s="1"/>
      <c r="G65" s="5"/>
      <c r="H65" s="5">
        <f t="shared" ref="H65" si="14">IF((D65-E65)&lt;0,0,(D65-E65))</f>
        <v>5728</v>
      </c>
      <c r="I65" s="5">
        <f t="shared" ref="I65" si="15">IF((E65-D65)&lt;0,0,(E65-D65))</f>
        <v>0</v>
      </c>
      <c r="J65" s="5">
        <f>Table14[[#This Row],[Enrolment S.Y. 2025-2026 ]]*8</f>
        <v>5728</v>
      </c>
      <c r="K65" s="43">
        <v>0</v>
      </c>
      <c r="L65" s="1"/>
      <c r="M65" s="5"/>
      <c r="N65" s="5">
        <f t="shared" ref="N65" si="16">IF((J65-K65)&lt;0,0,(J65-K65))</f>
        <v>5728</v>
      </c>
      <c r="O65" s="5">
        <f t="shared" ref="O65" si="17">IF((K65-J65)&lt;0,0,(K65-J65))</f>
        <v>0</v>
      </c>
      <c r="P65" s="5">
        <f>Table14[[#This Row],[Enrolment S.Y. 2025-2026 ]]*8</f>
        <v>5728</v>
      </c>
      <c r="Q65" s="5">
        <v>560</v>
      </c>
      <c r="R65" s="1">
        <v>2025</v>
      </c>
      <c r="S65" s="5" t="s">
        <v>18</v>
      </c>
      <c r="T65" s="5">
        <f t="shared" ref="T65" si="18">IF((P65-Q65)&lt;0,0,(P65-Q65))</f>
        <v>5168</v>
      </c>
      <c r="U65" s="5">
        <f t="shared" ref="U65" si="19">IF((Q65-P65)&lt;0,0,(Q65-P65))</f>
        <v>0</v>
      </c>
      <c r="V65" s="5">
        <f>Table14[[#This Row],[Enrolment S.Y. 2025-2026 ]]*8</f>
        <v>5728</v>
      </c>
      <c r="W65" s="5">
        <v>300</v>
      </c>
      <c r="X65" s="1">
        <v>2025</v>
      </c>
      <c r="Y65" s="5" t="s">
        <v>81</v>
      </c>
      <c r="Z65" s="5">
        <f t="shared" ref="Z65" si="20">IF((V65-W65)&lt;0,0,(V65-W65))</f>
        <v>5428</v>
      </c>
      <c r="AA65" s="5">
        <f t="shared" ref="AA65" si="21">IF((W65-V65)&lt;0,0,(W65-V65))</f>
        <v>0</v>
      </c>
    </row>
    <row r="66" spans="1:27" ht="19.5">
      <c r="A66" s="1">
        <v>6</v>
      </c>
      <c r="B66" s="9" t="s">
        <v>80</v>
      </c>
      <c r="C66" s="1">
        <v>716</v>
      </c>
      <c r="D66" s="5">
        <f>Table14[[#This Row],[Enrolment S.Y. 2025-2026 ]]*8</f>
        <v>5728</v>
      </c>
      <c r="E66" s="43">
        <v>0</v>
      </c>
      <c r="F66" s="1"/>
      <c r="G66" s="5"/>
      <c r="H66" s="5">
        <f t="shared" si="0"/>
        <v>5728</v>
      </c>
      <c r="I66" s="5">
        <f t="shared" si="1"/>
        <v>0</v>
      </c>
      <c r="J66" s="5">
        <f>Table14[[#This Row],[Enrolment S.Y. 2025-2026 ]]*8</f>
        <v>5728</v>
      </c>
      <c r="K66" s="43">
        <v>0</v>
      </c>
      <c r="L66" s="1"/>
      <c r="M66" s="5"/>
      <c r="N66" s="5">
        <f t="shared" si="12"/>
        <v>5728</v>
      </c>
      <c r="O66" s="5">
        <f t="shared" si="13"/>
        <v>0</v>
      </c>
      <c r="P66" s="5">
        <f>Table14[[#This Row],[Enrolment S.Y. 2025-2026 ]]*8</f>
        <v>5728</v>
      </c>
      <c r="Q66" s="5">
        <v>420</v>
      </c>
      <c r="R66" s="1">
        <v>2025</v>
      </c>
      <c r="S66" s="5" t="s">
        <v>81</v>
      </c>
      <c r="T66" s="5">
        <f t="shared" si="4"/>
        <v>5308</v>
      </c>
      <c r="U66" s="5">
        <f t="shared" si="5"/>
        <v>0</v>
      </c>
      <c r="V66" s="5">
        <f>Table14[[#This Row],[Enrolment S.Y. 2025-2026 ]]*8</f>
        <v>5728</v>
      </c>
      <c r="W66" s="5">
        <v>1200</v>
      </c>
      <c r="X66" s="1">
        <v>2025</v>
      </c>
      <c r="Y66" s="5" t="s">
        <v>81</v>
      </c>
      <c r="Z66" s="5">
        <f t="shared" si="6"/>
        <v>4528</v>
      </c>
      <c r="AA66" s="5">
        <f t="shared" si="7"/>
        <v>0</v>
      </c>
    </row>
    <row r="67" spans="1:27" s="7" customFormat="1">
      <c r="E67" s="44"/>
      <c r="K67" s="44"/>
      <c r="Q67" s="41"/>
    </row>
    <row r="68" spans="1:27" s="48" customFormat="1">
      <c r="A68" s="7"/>
      <c r="B68" s="7"/>
      <c r="C68" s="7"/>
      <c r="D68" s="7"/>
      <c r="E68" s="44"/>
      <c r="F68" s="7"/>
      <c r="G68" s="7"/>
      <c r="H68" s="7"/>
      <c r="I68" s="7"/>
      <c r="J68" s="7"/>
      <c r="K68" s="44"/>
      <c r="L68" s="7"/>
      <c r="M68" s="7"/>
      <c r="N68" s="7"/>
      <c r="O68" s="7"/>
      <c r="P68" s="7"/>
      <c r="Q68" s="41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s="48" customFormat="1">
      <c r="A69" s="7"/>
      <c r="B69" s="7"/>
      <c r="C69" s="7"/>
      <c r="D69" s="7"/>
      <c r="E69" s="44"/>
      <c r="F69" s="7"/>
      <c r="G69" s="7"/>
      <c r="H69" s="7"/>
      <c r="I69" s="7"/>
      <c r="J69" s="7"/>
      <c r="K69" s="44"/>
      <c r="L69" s="7"/>
      <c r="M69" s="7"/>
      <c r="N69" s="7"/>
      <c r="O69" s="7"/>
      <c r="P69" s="7"/>
      <c r="Q69" s="41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s="48" customFormat="1">
      <c r="A70" s="7"/>
      <c r="B70" s="7"/>
      <c r="C70" s="7"/>
      <c r="D70" s="7"/>
      <c r="E70" s="44"/>
      <c r="F70" s="7"/>
      <c r="G70" s="7"/>
      <c r="H70" s="7"/>
      <c r="I70" s="7"/>
      <c r="J70" s="7"/>
      <c r="K70" s="44"/>
      <c r="L70" s="7"/>
      <c r="M70" s="7"/>
      <c r="N70" s="7"/>
      <c r="O70" s="7"/>
      <c r="P70" s="7"/>
      <c r="Q70" s="41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s="48" customFormat="1">
      <c r="A71" s="7"/>
      <c r="B71" s="7"/>
      <c r="C71" s="7"/>
      <c r="D71" s="7"/>
      <c r="E71" s="44"/>
      <c r="F71" s="7"/>
      <c r="G71" s="7"/>
      <c r="H71" s="7"/>
      <c r="I71" s="7"/>
      <c r="J71" s="7"/>
      <c r="K71" s="44"/>
      <c r="L71" s="7"/>
      <c r="M71" s="7"/>
      <c r="N71" s="7"/>
      <c r="O71" s="7"/>
      <c r="P71" s="7"/>
      <c r="Q71" s="41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s="48" customFormat="1">
      <c r="A72" s="7"/>
      <c r="B72" s="7"/>
      <c r="C72" s="7"/>
      <c r="D72" s="7"/>
      <c r="E72" s="44"/>
      <c r="F72" s="7"/>
      <c r="G72" s="7"/>
      <c r="H72" s="7"/>
      <c r="I72" s="7"/>
      <c r="J72" s="7"/>
      <c r="K72" s="44"/>
      <c r="L72" s="7"/>
      <c r="M72" s="7"/>
      <c r="N72" s="7"/>
      <c r="O72" s="7"/>
      <c r="P72" s="7"/>
      <c r="Q72" s="41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s="48" customFormat="1">
      <c r="A73" s="7"/>
      <c r="B73" s="7"/>
      <c r="C73" s="7"/>
      <c r="D73" s="7"/>
      <c r="E73" s="44"/>
      <c r="F73" s="7"/>
      <c r="G73" s="7"/>
      <c r="H73" s="7"/>
      <c r="I73" s="7"/>
      <c r="J73" s="7"/>
      <c r="K73" s="44"/>
      <c r="L73" s="7"/>
      <c r="M73" s="7"/>
      <c r="N73" s="7"/>
      <c r="O73" s="7"/>
      <c r="P73" s="7"/>
      <c r="Q73" s="41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s="48" customFormat="1">
      <c r="A74" s="7"/>
      <c r="B74" s="7"/>
      <c r="C74" s="7"/>
      <c r="D74" s="7"/>
      <c r="E74" s="44"/>
      <c r="F74" s="7"/>
      <c r="G74" s="7"/>
      <c r="H74" s="7"/>
      <c r="I74" s="7"/>
      <c r="J74" s="7"/>
      <c r="K74" s="44"/>
      <c r="L74" s="7"/>
      <c r="M74" s="7"/>
      <c r="N74" s="7"/>
      <c r="O74" s="7"/>
      <c r="P74" s="7"/>
      <c r="Q74" s="41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s="48" customFormat="1">
      <c r="A75" s="7"/>
      <c r="B75" s="7"/>
      <c r="C75" s="7"/>
      <c r="D75" s="7"/>
      <c r="E75" s="44"/>
      <c r="F75" s="7"/>
      <c r="G75" s="7"/>
      <c r="H75" s="7"/>
      <c r="I75" s="7"/>
      <c r="J75" s="7"/>
      <c r="K75" s="44"/>
      <c r="L75" s="7"/>
      <c r="M75" s="7"/>
      <c r="N75" s="7"/>
      <c r="O75" s="7"/>
      <c r="P75" s="7"/>
      <c r="Q75" s="41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s="48" customFormat="1">
      <c r="A76" s="7"/>
      <c r="B76" s="7"/>
      <c r="C76" s="7"/>
      <c r="D76" s="7"/>
      <c r="E76" s="44"/>
      <c r="F76" s="7"/>
      <c r="G76" s="7"/>
      <c r="H76" s="7"/>
      <c r="I76" s="7"/>
      <c r="J76" s="7"/>
      <c r="K76" s="44"/>
      <c r="L76" s="7"/>
      <c r="M76" s="7"/>
      <c r="N76" s="7"/>
      <c r="O76" s="7"/>
      <c r="P76" s="7"/>
      <c r="Q76" s="41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s="48" customFormat="1">
      <c r="A77" s="7"/>
      <c r="B77" s="7"/>
      <c r="C77" s="7"/>
      <c r="D77" s="7"/>
      <c r="E77" s="44"/>
      <c r="F77" s="7"/>
      <c r="G77" s="7"/>
      <c r="H77" s="7"/>
      <c r="I77" s="7"/>
      <c r="J77" s="7"/>
      <c r="K77" s="44"/>
      <c r="L77" s="7"/>
      <c r="M77" s="7"/>
      <c r="N77" s="7"/>
      <c r="O77" s="7"/>
      <c r="P77" s="7"/>
      <c r="Q77" s="41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48" customFormat="1">
      <c r="A78" s="7"/>
      <c r="B78" s="7"/>
      <c r="C78" s="7"/>
      <c r="D78" s="7"/>
      <c r="E78" s="44"/>
      <c r="F78" s="7"/>
      <c r="G78" s="7"/>
      <c r="H78" s="7"/>
      <c r="I78" s="7"/>
      <c r="J78" s="7"/>
      <c r="K78" s="44"/>
      <c r="L78" s="7"/>
      <c r="M78" s="7"/>
      <c r="N78" s="7"/>
      <c r="O78" s="7"/>
      <c r="P78" s="7"/>
      <c r="Q78" s="41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s="48" customFormat="1">
      <c r="A79" s="7"/>
      <c r="B79" s="7"/>
      <c r="C79" s="7"/>
      <c r="D79" s="7"/>
      <c r="E79" s="44"/>
      <c r="F79" s="7"/>
      <c r="G79" s="7"/>
      <c r="H79" s="7"/>
      <c r="I79" s="7"/>
      <c r="J79" s="7"/>
      <c r="K79" s="44"/>
      <c r="L79" s="7"/>
      <c r="M79" s="7"/>
      <c r="N79" s="7"/>
      <c r="O79" s="7"/>
      <c r="P79" s="7"/>
      <c r="Q79" s="41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s="48" customFormat="1">
      <c r="A80" s="7"/>
      <c r="B80" s="7"/>
      <c r="C80" s="7"/>
      <c r="D80" s="7"/>
      <c r="E80" s="44"/>
      <c r="F80" s="7"/>
      <c r="G80" s="7"/>
      <c r="H80" s="7"/>
      <c r="I80" s="7"/>
      <c r="J80" s="7"/>
      <c r="K80" s="44"/>
      <c r="L80" s="7"/>
      <c r="M80" s="7"/>
      <c r="N80" s="7"/>
      <c r="O80" s="7"/>
      <c r="P80" s="7"/>
      <c r="Q80" s="41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s="48" customFormat="1">
      <c r="A81" s="7"/>
      <c r="B81" s="7"/>
      <c r="C81" s="7"/>
      <c r="D81" s="7"/>
      <c r="E81" s="44"/>
      <c r="F81" s="7"/>
      <c r="G81" s="7"/>
      <c r="H81" s="7"/>
      <c r="I81" s="7"/>
      <c r="J81" s="7"/>
      <c r="K81" s="44"/>
      <c r="L81" s="7"/>
      <c r="M81" s="7"/>
      <c r="N81" s="7"/>
      <c r="O81" s="7"/>
      <c r="P81" s="7"/>
      <c r="Q81" s="41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s="48" customFormat="1">
      <c r="A82" s="7"/>
      <c r="B82" s="7"/>
      <c r="C82" s="7"/>
      <c r="D82" s="7"/>
      <c r="E82" s="44"/>
      <c r="F82" s="7"/>
      <c r="G82" s="7"/>
      <c r="H82" s="7"/>
      <c r="I82" s="7"/>
      <c r="J82" s="7"/>
      <c r="K82" s="44"/>
      <c r="L82" s="7"/>
      <c r="M82" s="7"/>
      <c r="N82" s="7"/>
      <c r="O82" s="7"/>
      <c r="P82" s="7"/>
      <c r="Q82" s="41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s="48" customFormat="1">
      <c r="A83" s="7"/>
      <c r="B83" s="7"/>
      <c r="C83" s="7"/>
      <c r="D83" s="7"/>
      <c r="E83" s="44"/>
      <c r="F83" s="7"/>
      <c r="G83" s="7"/>
      <c r="H83" s="7"/>
      <c r="I83" s="7"/>
      <c r="J83" s="7"/>
      <c r="K83" s="44"/>
      <c r="L83" s="7"/>
      <c r="M83" s="7"/>
      <c r="N83" s="7"/>
      <c r="O83" s="7"/>
      <c r="P83" s="7"/>
      <c r="Q83" s="41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s="48" customFormat="1">
      <c r="A84" s="7"/>
      <c r="B84" s="7"/>
      <c r="C84" s="7"/>
      <c r="D84" s="7"/>
      <c r="E84" s="44"/>
      <c r="F84" s="7"/>
      <c r="G84" s="7"/>
      <c r="H84" s="7"/>
      <c r="I84" s="7"/>
      <c r="J84" s="7"/>
      <c r="K84" s="44"/>
      <c r="L84" s="7"/>
      <c r="M84" s="7"/>
      <c r="N84" s="7"/>
      <c r="O84" s="7"/>
      <c r="P84" s="7"/>
      <c r="Q84" s="41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s="48" customFormat="1">
      <c r="A85" s="7"/>
      <c r="B85" s="7"/>
      <c r="C85" s="7"/>
      <c r="D85" s="7"/>
      <c r="E85" s="44"/>
      <c r="F85" s="7"/>
      <c r="G85" s="7"/>
      <c r="H85" s="7"/>
      <c r="I85" s="7"/>
      <c r="J85" s="7"/>
      <c r="K85" s="44"/>
      <c r="L85" s="7"/>
      <c r="M85" s="7"/>
      <c r="N85" s="7"/>
      <c r="O85" s="7"/>
      <c r="P85" s="7"/>
      <c r="Q85" s="41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s="48" customFormat="1">
      <c r="A86"/>
      <c r="B86"/>
      <c r="C86"/>
      <c r="D86"/>
      <c r="E86" s="44"/>
      <c r="F86"/>
      <c r="G86"/>
      <c r="H86"/>
      <c r="I86"/>
      <c r="J86"/>
      <c r="K86" s="44"/>
      <c r="L86"/>
      <c r="M86"/>
      <c r="N86"/>
      <c r="O86"/>
      <c r="P86"/>
      <c r="Q86" s="41"/>
      <c r="R86"/>
      <c r="S86"/>
      <c r="T86"/>
      <c r="U86"/>
      <c r="V86"/>
      <c r="W86"/>
      <c r="X86"/>
      <c r="Y86"/>
      <c r="Z86"/>
      <c r="AA86"/>
    </row>
    <row r="87" spans="1:27" s="48" customFormat="1">
      <c r="A87"/>
      <c r="B87"/>
      <c r="C87"/>
      <c r="D87"/>
      <c r="E87" s="44"/>
      <c r="F87"/>
      <c r="G87"/>
      <c r="H87"/>
      <c r="I87"/>
      <c r="J87"/>
      <c r="K87" s="44"/>
      <c r="L87"/>
      <c r="M87"/>
      <c r="N87"/>
      <c r="O87"/>
      <c r="P87"/>
      <c r="Q87" s="41"/>
      <c r="R87"/>
      <c r="S87"/>
      <c r="T87"/>
      <c r="U87"/>
      <c r="V87"/>
      <c r="W87"/>
      <c r="X87"/>
      <c r="Y87"/>
      <c r="Z87"/>
      <c r="AA87"/>
    </row>
    <row r="88" spans="1:27" s="48" customFormat="1">
      <c r="A88"/>
      <c r="B88"/>
      <c r="C88"/>
      <c r="D88"/>
      <c r="E88" s="44"/>
      <c r="F88"/>
      <c r="G88"/>
      <c r="H88"/>
      <c r="I88"/>
      <c r="J88"/>
      <c r="K88" s="44"/>
      <c r="L88"/>
      <c r="M88"/>
      <c r="N88"/>
      <c r="O88"/>
      <c r="P88"/>
      <c r="Q88" s="41"/>
      <c r="R88"/>
      <c r="S88"/>
      <c r="T88"/>
      <c r="U88"/>
      <c r="V88"/>
      <c r="W88"/>
      <c r="X88"/>
      <c r="Y88"/>
      <c r="Z88"/>
      <c r="AA88"/>
    </row>
    <row r="89" spans="1:27" s="48" customFormat="1">
      <c r="A89"/>
      <c r="B89"/>
      <c r="C89"/>
      <c r="D89"/>
      <c r="E89" s="44"/>
      <c r="F89"/>
      <c r="G89"/>
      <c r="H89"/>
      <c r="I89"/>
      <c r="J89"/>
      <c r="K89" s="44"/>
      <c r="L89"/>
      <c r="M89"/>
      <c r="N89"/>
      <c r="O89"/>
      <c r="P89"/>
      <c r="Q89" s="41"/>
      <c r="R89"/>
      <c r="S89"/>
      <c r="T89"/>
      <c r="U89"/>
      <c r="V89"/>
      <c r="W89"/>
      <c r="X89"/>
      <c r="Y89"/>
      <c r="Z89"/>
      <c r="AA89"/>
    </row>
    <row r="90" spans="1:27" s="48" customFormat="1">
      <c r="A90"/>
      <c r="B90"/>
      <c r="C90"/>
      <c r="D90"/>
      <c r="E90" s="44"/>
      <c r="F90"/>
      <c r="G90"/>
      <c r="H90"/>
      <c r="I90"/>
      <c r="J90"/>
      <c r="K90" s="44"/>
      <c r="L90"/>
      <c r="M90"/>
      <c r="N90"/>
      <c r="O90"/>
      <c r="P90"/>
      <c r="Q90" s="41"/>
      <c r="R90"/>
      <c r="S90"/>
      <c r="T90"/>
      <c r="U90"/>
      <c r="V90"/>
      <c r="W90"/>
      <c r="X90"/>
      <c r="Y90"/>
      <c r="Z90"/>
      <c r="AA90"/>
    </row>
    <row r="91" spans="1:27" s="48" customFormat="1">
      <c r="A91"/>
      <c r="B91"/>
      <c r="C91"/>
      <c r="D91"/>
      <c r="E91" s="44"/>
      <c r="F91"/>
      <c r="G91"/>
      <c r="H91"/>
      <c r="I91"/>
      <c r="J91"/>
      <c r="K91" s="44"/>
      <c r="L91"/>
      <c r="M91"/>
      <c r="N91"/>
      <c r="O91"/>
      <c r="P91"/>
      <c r="Q91" s="41"/>
      <c r="R91"/>
      <c r="S91"/>
      <c r="T91"/>
      <c r="U91"/>
      <c r="V91"/>
      <c r="W91"/>
      <c r="X91"/>
      <c r="Y91"/>
      <c r="Z91"/>
      <c r="AA91"/>
    </row>
    <row r="92" spans="1:27" s="48" customFormat="1">
      <c r="A92"/>
      <c r="B92"/>
      <c r="C92"/>
      <c r="D92"/>
      <c r="E92" s="44"/>
      <c r="F92"/>
      <c r="G92"/>
      <c r="H92"/>
      <c r="I92"/>
      <c r="J92"/>
      <c r="K92" s="44"/>
      <c r="L92"/>
      <c r="M92"/>
      <c r="N92"/>
      <c r="O92"/>
      <c r="P92"/>
      <c r="Q92" s="41"/>
      <c r="R92"/>
      <c r="S92"/>
      <c r="T92"/>
      <c r="U92"/>
      <c r="V92"/>
      <c r="W92"/>
      <c r="X92"/>
      <c r="Y92"/>
      <c r="Z92"/>
      <c r="AA92"/>
    </row>
    <row r="93" spans="1:27" s="48" customFormat="1">
      <c r="A93"/>
      <c r="B93"/>
      <c r="C93"/>
      <c r="D93"/>
      <c r="E93" s="44"/>
      <c r="F93"/>
      <c r="G93"/>
      <c r="H93"/>
      <c r="I93"/>
      <c r="J93"/>
      <c r="K93" s="44"/>
      <c r="L93"/>
      <c r="M93"/>
      <c r="N93"/>
      <c r="O93"/>
      <c r="P93"/>
      <c r="Q93" s="41"/>
      <c r="R93"/>
      <c r="S93"/>
      <c r="T93"/>
      <c r="U93"/>
      <c r="V93"/>
      <c r="W93"/>
      <c r="X93"/>
      <c r="Y93"/>
      <c r="Z93"/>
      <c r="AA93"/>
    </row>
    <row r="94" spans="1:27" s="48" customFormat="1">
      <c r="A94"/>
      <c r="B94"/>
      <c r="C94"/>
      <c r="D94"/>
      <c r="E94" s="44"/>
      <c r="F94"/>
      <c r="G94"/>
      <c r="H94"/>
      <c r="I94"/>
      <c r="J94"/>
      <c r="K94" s="44"/>
      <c r="L94"/>
      <c r="M94"/>
      <c r="N94"/>
      <c r="O94"/>
      <c r="P94"/>
      <c r="Q94" s="41"/>
      <c r="R94"/>
      <c r="S94"/>
      <c r="T94"/>
      <c r="U94"/>
      <c r="V94"/>
      <c r="W94"/>
      <c r="X94"/>
      <c r="Y94"/>
      <c r="Z94"/>
      <c r="AA94"/>
    </row>
    <row r="95" spans="1:27" s="48" customFormat="1">
      <c r="A95"/>
      <c r="B95"/>
      <c r="C95"/>
      <c r="D95"/>
      <c r="E95" s="44"/>
      <c r="F95"/>
      <c r="G95"/>
      <c r="H95"/>
      <c r="I95"/>
      <c r="J95"/>
      <c r="K95" s="44"/>
      <c r="L95"/>
      <c r="M95"/>
      <c r="N95"/>
      <c r="O95"/>
      <c r="P95"/>
      <c r="Q95" s="41"/>
      <c r="R95"/>
      <c r="S95"/>
      <c r="T95"/>
      <c r="U95"/>
      <c r="V95"/>
      <c r="W95"/>
      <c r="X95"/>
      <c r="Y95"/>
      <c r="Z95"/>
      <c r="AA95"/>
    </row>
    <row r="96" spans="1:27" s="48" customFormat="1">
      <c r="A96"/>
      <c r="B96"/>
      <c r="C96"/>
      <c r="D96"/>
      <c r="E96" s="44"/>
      <c r="F96"/>
      <c r="G96"/>
      <c r="H96"/>
      <c r="I96"/>
      <c r="J96"/>
      <c r="K96" s="44"/>
      <c r="L96"/>
      <c r="M96"/>
      <c r="N96"/>
      <c r="O96"/>
      <c r="P96"/>
      <c r="Q96" s="41"/>
      <c r="R96"/>
      <c r="S96"/>
      <c r="T96"/>
      <c r="U96"/>
      <c r="V96"/>
      <c r="W96"/>
      <c r="X96"/>
      <c r="Y96"/>
      <c r="Z96"/>
      <c r="AA96"/>
    </row>
    <row r="97" spans="1:27" s="48" customFormat="1">
      <c r="A97"/>
      <c r="B97"/>
      <c r="C97"/>
      <c r="D97"/>
      <c r="E97" s="44"/>
      <c r="F97"/>
      <c r="G97"/>
      <c r="H97"/>
      <c r="I97"/>
      <c r="J97"/>
      <c r="K97" s="44"/>
      <c r="L97"/>
      <c r="M97"/>
      <c r="N97"/>
      <c r="O97"/>
      <c r="P97"/>
      <c r="Q97" s="41"/>
      <c r="R97"/>
      <c r="S97"/>
      <c r="T97"/>
      <c r="U97"/>
      <c r="V97"/>
      <c r="W97"/>
      <c r="X97"/>
      <c r="Y97"/>
      <c r="Z97"/>
      <c r="AA97"/>
    </row>
    <row r="98" spans="1:27" s="48" customFormat="1">
      <c r="A98"/>
      <c r="B98"/>
      <c r="C98"/>
      <c r="D98"/>
      <c r="E98" s="44"/>
      <c r="F98"/>
      <c r="G98"/>
      <c r="H98"/>
      <c r="I98"/>
      <c r="J98"/>
      <c r="K98" s="44"/>
      <c r="L98"/>
      <c r="M98"/>
      <c r="N98"/>
      <c r="O98"/>
      <c r="P98"/>
      <c r="Q98" s="41"/>
      <c r="R98"/>
      <c r="S98"/>
      <c r="T98"/>
      <c r="U98"/>
      <c r="V98"/>
      <c r="W98"/>
      <c r="X98"/>
      <c r="Y98"/>
      <c r="Z98"/>
      <c r="AA98"/>
    </row>
    <row r="99" spans="1:27" s="48" customFormat="1">
      <c r="A99"/>
      <c r="B99"/>
      <c r="C99"/>
      <c r="D99"/>
      <c r="E99" s="44"/>
      <c r="F99"/>
      <c r="G99"/>
      <c r="H99"/>
      <c r="I99"/>
      <c r="J99"/>
      <c r="K99" s="44"/>
      <c r="L99"/>
      <c r="M99"/>
      <c r="N99"/>
      <c r="O99"/>
      <c r="P99"/>
      <c r="Q99" s="41"/>
      <c r="R99"/>
      <c r="S99"/>
      <c r="T99"/>
      <c r="U99"/>
      <c r="V99"/>
      <c r="W99"/>
      <c r="X99"/>
      <c r="Y99"/>
      <c r="Z99"/>
      <c r="AA99"/>
    </row>
    <row r="100" spans="1:27" s="48" customFormat="1">
      <c r="A100"/>
      <c r="B100"/>
      <c r="C100"/>
      <c r="D100"/>
      <c r="E100" s="44"/>
      <c r="F100"/>
      <c r="G100"/>
      <c r="H100"/>
      <c r="I100"/>
      <c r="J100"/>
      <c r="K100" s="44"/>
      <c r="L100"/>
      <c r="M100"/>
      <c r="N100"/>
      <c r="O100"/>
      <c r="P100"/>
      <c r="Q100" s="41"/>
      <c r="R100"/>
      <c r="S100"/>
      <c r="T100"/>
      <c r="U100"/>
      <c r="V100"/>
      <c r="W100"/>
      <c r="X100"/>
      <c r="Y100"/>
      <c r="Z100"/>
      <c r="AA100"/>
    </row>
    <row r="101" spans="1:27" s="48" customFormat="1">
      <c r="A101"/>
      <c r="B101"/>
      <c r="C101"/>
      <c r="D101"/>
      <c r="E101" s="44"/>
      <c r="F101"/>
      <c r="G101"/>
      <c r="H101"/>
      <c r="I101"/>
      <c r="J101"/>
      <c r="K101" s="44"/>
      <c r="L101"/>
      <c r="M101"/>
      <c r="N101"/>
      <c r="O101"/>
      <c r="P101"/>
      <c r="Q101" s="41"/>
      <c r="R101"/>
      <c r="S101"/>
      <c r="T101"/>
      <c r="U101"/>
      <c r="V101"/>
      <c r="W101"/>
      <c r="X101"/>
      <c r="Y101"/>
      <c r="Z101"/>
      <c r="AA101"/>
    </row>
    <row r="102" spans="1:27" s="48" customFormat="1">
      <c r="A102"/>
      <c r="B102"/>
      <c r="C102"/>
      <c r="D102"/>
      <c r="E102" s="44"/>
      <c r="F102"/>
      <c r="G102"/>
      <c r="H102"/>
      <c r="I102"/>
      <c r="J102"/>
      <c r="K102" s="44"/>
      <c r="L102"/>
      <c r="M102"/>
      <c r="N102"/>
      <c r="O102"/>
      <c r="P102"/>
      <c r="Q102" s="41"/>
      <c r="R102"/>
      <c r="S102"/>
      <c r="T102"/>
      <c r="U102"/>
      <c r="V102"/>
      <c r="W102"/>
      <c r="X102"/>
      <c r="Y102"/>
      <c r="Z102"/>
      <c r="AA102"/>
    </row>
    <row r="103" spans="1:27" s="48" customFormat="1">
      <c r="A103"/>
      <c r="B103"/>
      <c r="C103"/>
      <c r="D103"/>
      <c r="E103" s="44"/>
      <c r="F103"/>
      <c r="G103"/>
      <c r="H103"/>
      <c r="I103"/>
      <c r="J103"/>
      <c r="K103" s="44"/>
      <c r="L103"/>
      <c r="M103"/>
      <c r="N103"/>
      <c r="O103"/>
      <c r="P103"/>
      <c r="Q103" s="41"/>
      <c r="R103"/>
      <c r="S103"/>
      <c r="T103"/>
      <c r="U103"/>
      <c r="V103"/>
      <c r="W103"/>
      <c r="X103"/>
      <c r="Y103"/>
      <c r="Z103"/>
      <c r="AA103"/>
    </row>
    <row r="104" spans="1:27" s="48" customFormat="1">
      <c r="A104"/>
      <c r="B104"/>
      <c r="C104"/>
      <c r="D104"/>
      <c r="E104" s="44"/>
      <c r="F104"/>
      <c r="G104"/>
      <c r="H104"/>
      <c r="I104"/>
      <c r="J104"/>
      <c r="K104" s="44"/>
      <c r="L104"/>
      <c r="M104"/>
      <c r="N104"/>
      <c r="O104"/>
      <c r="P104"/>
      <c r="Q104" s="41"/>
      <c r="R104"/>
      <c r="S104"/>
      <c r="T104"/>
      <c r="U104"/>
      <c r="V104"/>
      <c r="W104"/>
      <c r="X104"/>
      <c r="Y104"/>
      <c r="Z104"/>
      <c r="AA104"/>
    </row>
    <row r="105" spans="1:27" s="48" customFormat="1">
      <c r="A105"/>
      <c r="B105"/>
      <c r="C105"/>
      <c r="D105"/>
      <c r="E105" s="44"/>
      <c r="F105"/>
      <c r="G105"/>
      <c r="H105"/>
      <c r="I105"/>
      <c r="J105"/>
      <c r="K105" s="44"/>
      <c r="L105"/>
      <c r="M105"/>
      <c r="N105"/>
      <c r="O105"/>
      <c r="P105"/>
      <c r="Q105" s="41"/>
      <c r="R105"/>
      <c r="S105"/>
      <c r="T105"/>
      <c r="U105"/>
      <c r="V105"/>
      <c r="W105"/>
      <c r="X105"/>
      <c r="Y105"/>
      <c r="Z105"/>
      <c r="AA105"/>
    </row>
    <row r="106" spans="1:27" s="48" customFormat="1">
      <c r="A106"/>
      <c r="B106"/>
      <c r="C106"/>
      <c r="D106"/>
      <c r="E106" s="44"/>
      <c r="F106"/>
      <c r="G106"/>
      <c r="H106"/>
      <c r="I106"/>
      <c r="J106"/>
      <c r="K106" s="44"/>
      <c r="L106"/>
      <c r="M106"/>
      <c r="N106"/>
      <c r="O106"/>
      <c r="P106"/>
      <c r="Q106" s="41"/>
      <c r="R106"/>
      <c r="S106"/>
      <c r="T106"/>
      <c r="U106"/>
      <c r="V106"/>
      <c r="W106"/>
      <c r="X106"/>
      <c r="Y106"/>
      <c r="Z106"/>
      <c r="AA106"/>
    </row>
    <row r="107" spans="1:27" s="48" customFormat="1">
      <c r="A107"/>
      <c r="B107"/>
      <c r="C107"/>
      <c r="D107"/>
      <c r="E107" s="44"/>
      <c r="F107"/>
      <c r="G107"/>
      <c r="H107"/>
      <c r="I107"/>
      <c r="J107"/>
      <c r="K107" s="44"/>
      <c r="L107"/>
      <c r="M107"/>
      <c r="N107"/>
      <c r="O107"/>
      <c r="P107"/>
      <c r="Q107" s="41"/>
      <c r="R107"/>
      <c r="S107"/>
      <c r="T107"/>
      <c r="U107"/>
      <c r="V107"/>
      <c r="W107"/>
      <c r="X107"/>
      <c r="Y107"/>
      <c r="Z107"/>
      <c r="AA107"/>
    </row>
    <row r="108" spans="1:27" s="48" customFormat="1">
      <c r="A108"/>
      <c r="B108"/>
      <c r="C108"/>
      <c r="D108"/>
      <c r="E108" s="44"/>
      <c r="F108"/>
      <c r="G108"/>
      <c r="H108"/>
      <c r="I108"/>
      <c r="J108"/>
      <c r="K108" s="44"/>
      <c r="L108"/>
      <c r="M108"/>
      <c r="N108"/>
      <c r="O108"/>
      <c r="P108"/>
      <c r="Q108" s="41"/>
      <c r="R108"/>
      <c r="S108"/>
      <c r="T108"/>
      <c r="U108"/>
      <c r="V108"/>
      <c r="W108"/>
      <c r="X108"/>
      <c r="Y108"/>
      <c r="Z108"/>
      <c r="AA108"/>
    </row>
    <row r="109" spans="1:27" s="48" customFormat="1">
      <c r="A109"/>
      <c r="B109"/>
      <c r="C109"/>
      <c r="D109"/>
      <c r="E109" s="44"/>
      <c r="F109"/>
      <c r="G109"/>
      <c r="H109"/>
      <c r="I109"/>
      <c r="J109"/>
      <c r="K109" s="44"/>
      <c r="L109"/>
      <c r="M109"/>
      <c r="N109"/>
      <c r="O109"/>
      <c r="P109"/>
      <c r="Q109" s="41"/>
      <c r="R109"/>
      <c r="S109"/>
      <c r="T109"/>
      <c r="U109"/>
      <c r="V109"/>
      <c r="W109"/>
      <c r="X109"/>
      <c r="Y109"/>
      <c r="Z109"/>
      <c r="AA109"/>
    </row>
    <row r="110" spans="1:27" s="48" customFormat="1">
      <c r="A110"/>
      <c r="B110"/>
      <c r="C110"/>
      <c r="D110"/>
      <c r="E110" s="44"/>
      <c r="F110"/>
      <c r="G110"/>
      <c r="H110"/>
      <c r="I110"/>
      <c r="J110"/>
      <c r="K110" s="44"/>
      <c r="L110"/>
      <c r="M110"/>
      <c r="N110"/>
      <c r="O110"/>
      <c r="P110"/>
      <c r="Q110" s="41"/>
      <c r="R110"/>
      <c r="S110"/>
      <c r="T110"/>
      <c r="U110"/>
      <c r="V110"/>
      <c r="W110"/>
      <c r="X110"/>
      <c r="Y110"/>
      <c r="Z110"/>
      <c r="AA110"/>
    </row>
    <row r="111" spans="1:27" s="48" customFormat="1">
      <c r="A111"/>
      <c r="B111"/>
      <c r="C111"/>
      <c r="D111"/>
      <c r="E111" s="44"/>
      <c r="F111"/>
      <c r="G111"/>
      <c r="H111"/>
      <c r="I111"/>
      <c r="J111"/>
      <c r="K111" s="44"/>
      <c r="L111"/>
      <c r="M111"/>
      <c r="N111"/>
      <c r="O111"/>
      <c r="P111"/>
      <c r="Q111" s="41"/>
      <c r="R111"/>
      <c r="S111"/>
      <c r="T111"/>
      <c r="U111"/>
      <c r="V111"/>
      <c r="W111"/>
      <c r="X111"/>
      <c r="Y111"/>
      <c r="Z111"/>
      <c r="AA111"/>
    </row>
    <row r="112" spans="1:27" s="48" customFormat="1">
      <c r="A112"/>
      <c r="B112"/>
      <c r="C112"/>
      <c r="D112"/>
      <c r="E112" s="44"/>
      <c r="F112"/>
      <c r="G112"/>
      <c r="H112"/>
      <c r="I112"/>
      <c r="J112"/>
      <c r="K112" s="44"/>
      <c r="L112"/>
      <c r="M112"/>
      <c r="N112"/>
      <c r="O112"/>
      <c r="P112"/>
      <c r="Q112" s="41"/>
      <c r="R112"/>
      <c r="S112"/>
      <c r="T112"/>
      <c r="U112"/>
      <c r="V112"/>
      <c r="W112"/>
      <c r="X112"/>
      <c r="Y112"/>
      <c r="Z112"/>
      <c r="AA112"/>
    </row>
    <row r="113" spans="1:28" s="48" customFormat="1">
      <c r="A113"/>
      <c r="B113"/>
      <c r="C113"/>
      <c r="D113"/>
      <c r="E113" s="44"/>
      <c r="F113"/>
      <c r="G113"/>
      <c r="H113"/>
      <c r="I113"/>
      <c r="J113"/>
      <c r="K113" s="44"/>
      <c r="L113"/>
      <c r="M113"/>
      <c r="N113"/>
      <c r="O113"/>
      <c r="P113"/>
      <c r="Q113" s="41"/>
      <c r="R113"/>
      <c r="S113"/>
      <c r="T113"/>
      <c r="U113"/>
      <c r="V113"/>
      <c r="W113"/>
      <c r="X113"/>
      <c r="Y113"/>
      <c r="Z113"/>
      <c r="AA113"/>
    </row>
    <row r="114" spans="1:28" s="48" customFormat="1">
      <c r="A114"/>
      <c r="B114"/>
      <c r="C114"/>
      <c r="D114"/>
      <c r="E114" s="44"/>
      <c r="F114"/>
      <c r="G114"/>
      <c r="H114"/>
      <c r="I114"/>
      <c r="J114"/>
      <c r="K114" s="44"/>
      <c r="L114"/>
      <c r="M114"/>
      <c r="N114"/>
      <c r="O114"/>
      <c r="P114"/>
      <c r="Q114" s="41"/>
      <c r="R114"/>
      <c r="S114"/>
      <c r="T114"/>
      <c r="U114"/>
      <c r="V114"/>
      <c r="W114"/>
      <c r="X114"/>
      <c r="Y114"/>
      <c r="Z114"/>
      <c r="AA114"/>
    </row>
    <row r="115" spans="1:28" s="7" customFormat="1">
      <c r="A115"/>
      <c r="B115"/>
      <c r="C115"/>
      <c r="D115"/>
      <c r="E115" s="44"/>
      <c r="F115"/>
      <c r="G115"/>
      <c r="H115"/>
      <c r="I115"/>
      <c r="J115"/>
      <c r="K115" s="44"/>
      <c r="L115"/>
      <c r="M115"/>
      <c r="N115"/>
      <c r="O115"/>
      <c r="P115"/>
      <c r="Q115" s="41"/>
      <c r="R115"/>
      <c r="S115"/>
      <c r="T115"/>
      <c r="U115"/>
      <c r="V115"/>
      <c r="W115"/>
      <c r="X115"/>
      <c r="Y115"/>
      <c r="Z115"/>
      <c r="AA115"/>
    </row>
    <row r="124" spans="1:28" s="7" customFormat="1">
      <c r="A124"/>
      <c r="B124"/>
      <c r="C124"/>
      <c r="D124"/>
      <c r="E124" s="44"/>
      <c r="F124"/>
      <c r="G124"/>
      <c r="H124"/>
      <c r="I124"/>
      <c r="J124"/>
      <c r="K124" s="44"/>
      <c r="L124"/>
      <c r="M124"/>
      <c r="N124"/>
      <c r="O124"/>
      <c r="P124"/>
      <c r="Q124" s="41"/>
      <c r="R124"/>
      <c r="S124"/>
      <c r="T124"/>
      <c r="U124"/>
      <c r="V124"/>
      <c r="W124"/>
      <c r="X124"/>
      <c r="Y124"/>
      <c r="Z124"/>
      <c r="AA124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  <row r="141" spans="28:28">
      <c r="AB141" s="7"/>
    </row>
  </sheetData>
  <protectedRanges>
    <protectedRange sqref="C2:C10 C12:C19 C21:C29 C31:C41 C43:C53 C55:C66" name="Textbooks"/>
    <protectedRange sqref="J2:L2 D2:F10 D31:F41 E43:F53 N55:R66 N31:R41 N43:R53 H55:L66 P2:R10 N3:O10 V2:X10 T3:U10 N12:R19 T12:X19 H3:L10 Z3:AA10 Z12:AA19 H12:L19 N21:R29 T21:X29 Z21:AA29 H21:L29 T31:X41 Z31:AA41 H31:L41 T43:X53 Z43:AA53 H43:L53 D12:F19 D21:F29 D42:D53 D55:F66 T55:X66 Z55:AA66" name="LAS"/>
    <protectedRange sqref="G2:I2 M2:O2 S2:U2 Y2:AA2 G3:G10 M3:M10 S3:S10 Y3:Y10 Y12:Y19 M12:M19 S12:S19 Y21:Y29 M21:M29 S21:S29 Y31:Y41 G31:G41 M31:M41 S31:S41 Y43:Y53 G43:G53 M43:M53 S43:S53 G12:G19 G21:G29 Y55:Y66 G55:G66 M55:M66 S55:S66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55:G66 Y21:Y29 S21:S29 S31:S41 M31:M41 G31:G41 Y31:Y41 Y43:Y53 S43:S53 M43:M53 G43:G53 M55:M66 S55:S66 Y55:Y66 G21:G29" xr:uid="{CBD486C7-A5DB-48F1-B496-5027CC51E830}">
      <formula1>"CO,RO,SDO,LGU,SCHOOL"</formula1>
    </dataValidation>
    <dataValidation type="list" allowBlank="1" showInputMessage="1" showErrorMessage="1" sqref="F55:F66 F43:F53 F31:F41 F21:F29 F12:F19 F3:F10 L55:L66 L43:L53 L31:L41 L21:L29 L12:L19 L3:L10 R55:R66 R43:R53 R31:R41 R21:R29 R12:R19 R3:R10 X55:X66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paperSize="5" fitToWidth="0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2026-04-14T01:54:44Z</dcterms:modified>
  <cp:category/>
  <cp:contentStatus/>
</cp:coreProperties>
</file>