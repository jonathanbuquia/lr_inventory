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3" documentId="13_ncr:1_{BFB59F67-F0DC-4675-A682-EB0734A8026A}" xr6:coauthVersionLast="47" xr6:coauthVersionMax="47" xr10:uidLastSave="{D3C55A21-3482-465D-936F-0C605B07AF01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  <sheet name="LE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D50" i="1"/>
  <c r="G3" i="1"/>
  <c r="E28" i="5"/>
  <c r="E26" i="5"/>
  <c r="E27" i="5"/>
  <c r="E16" i="5"/>
  <c r="E17" i="5"/>
  <c r="E18" i="5"/>
  <c r="E40" i="6"/>
  <c r="E5" i="6"/>
  <c r="E40" i="4"/>
  <c r="E5" i="4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V127" i="6"/>
  <c r="U127" i="6"/>
  <c r="T127" i="6"/>
  <c r="J127" i="6"/>
  <c r="I127" i="6"/>
  <c r="H127" i="6"/>
  <c r="V126" i="6"/>
  <c r="P126" i="6"/>
  <c r="J126" i="6"/>
  <c r="I126" i="6"/>
  <c r="H126" i="6"/>
  <c r="V125" i="6"/>
  <c r="P125" i="6"/>
  <c r="J125" i="6"/>
  <c r="I125" i="6"/>
  <c r="H125" i="6"/>
  <c r="V124" i="6"/>
  <c r="P124" i="6"/>
  <c r="J124" i="6"/>
  <c r="I124" i="6"/>
  <c r="H124" i="6"/>
  <c r="V123" i="6"/>
  <c r="P123" i="6"/>
  <c r="J123" i="6"/>
  <c r="I123" i="6"/>
  <c r="H123" i="6"/>
  <c r="V122" i="6"/>
  <c r="P122" i="6"/>
  <c r="J122" i="6"/>
  <c r="I122" i="6"/>
  <c r="H122" i="6"/>
  <c r="V121" i="6"/>
  <c r="P121" i="6"/>
  <c r="J121" i="6"/>
  <c r="I121" i="6"/>
  <c r="H121" i="6"/>
  <c r="V120" i="6"/>
  <c r="P120" i="6"/>
  <c r="J120" i="6"/>
  <c r="I120" i="6"/>
  <c r="H120" i="6"/>
  <c r="V119" i="6"/>
  <c r="P119" i="6"/>
  <c r="J119" i="6"/>
  <c r="I119" i="6"/>
  <c r="H119" i="6"/>
  <c r="V118" i="6"/>
  <c r="P118" i="6"/>
  <c r="J118" i="6"/>
  <c r="I118" i="6"/>
  <c r="H118" i="6"/>
  <c r="V117" i="6"/>
  <c r="P117" i="6"/>
  <c r="J117" i="6"/>
  <c r="I117" i="6"/>
  <c r="H117" i="6"/>
  <c r="V116" i="6"/>
  <c r="P116" i="6"/>
  <c r="J116" i="6"/>
  <c r="I116" i="6"/>
  <c r="H116" i="6"/>
  <c r="V115" i="6"/>
  <c r="P115" i="6"/>
  <c r="J115" i="6"/>
  <c r="I115" i="6"/>
  <c r="H115" i="6"/>
  <c r="V114" i="6"/>
  <c r="P114" i="6"/>
  <c r="J114" i="6"/>
  <c r="I114" i="6"/>
  <c r="H114" i="6"/>
  <c r="V113" i="6"/>
  <c r="P113" i="6"/>
  <c r="J113" i="6"/>
  <c r="I113" i="6"/>
  <c r="H113" i="6"/>
  <c r="V112" i="6"/>
  <c r="P112" i="6"/>
  <c r="J112" i="6"/>
  <c r="I112" i="6"/>
  <c r="H112" i="6"/>
  <c r="V110" i="6"/>
  <c r="P110" i="6"/>
  <c r="J110" i="6"/>
  <c r="D110" i="6"/>
  <c r="V109" i="6"/>
  <c r="P109" i="6"/>
  <c r="J109" i="6"/>
  <c r="D109" i="6"/>
  <c r="V108" i="6"/>
  <c r="P108" i="6"/>
  <c r="J108" i="6"/>
  <c r="D108" i="6"/>
  <c r="V107" i="6"/>
  <c r="P107" i="6"/>
  <c r="J107" i="6"/>
  <c r="D107" i="6"/>
  <c r="V106" i="6"/>
  <c r="P106" i="6"/>
  <c r="J106" i="6"/>
  <c r="D106" i="6"/>
  <c r="V105" i="6"/>
  <c r="P105" i="6"/>
  <c r="J105" i="6"/>
  <c r="D105" i="6"/>
  <c r="V104" i="6"/>
  <c r="P104" i="6"/>
  <c r="J104" i="6"/>
  <c r="D104" i="6"/>
  <c r="V103" i="6"/>
  <c r="P103" i="6"/>
  <c r="J103" i="6"/>
  <c r="D103" i="6"/>
  <c r="V101" i="6"/>
  <c r="P101" i="6"/>
  <c r="J101" i="6"/>
  <c r="D101" i="6"/>
  <c r="V100" i="6"/>
  <c r="P100" i="6"/>
  <c r="J100" i="6"/>
  <c r="D100" i="6"/>
  <c r="V99" i="6"/>
  <c r="P99" i="6"/>
  <c r="J99" i="6"/>
  <c r="D99" i="6"/>
  <c r="V98" i="6"/>
  <c r="P98" i="6"/>
  <c r="J98" i="6"/>
  <c r="D98" i="6"/>
  <c r="V97" i="6"/>
  <c r="P97" i="6"/>
  <c r="J97" i="6"/>
  <c r="D97" i="6"/>
  <c r="V96" i="6"/>
  <c r="P96" i="6"/>
  <c r="J96" i="6"/>
  <c r="D96" i="6"/>
  <c r="V95" i="6"/>
  <c r="P95" i="6"/>
  <c r="J95" i="6"/>
  <c r="D95" i="6"/>
  <c r="V94" i="6"/>
  <c r="P94" i="6"/>
  <c r="J94" i="6"/>
  <c r="D94" i="6"/>
  <c r="V93" i="6"/>
  <c r="P93" i="6"/>
  <c r="J93" i="6"/>
  <c r="D93" i="6"/>
  <c r="V91" i="6"/>
  <c r="P91" i="6"/>
  <c r="J91" i="6"/>
  <c r="D91" i="6"/>
  <c r="V90" i="6"/>
  <c r="P90" i="6"/>
  <c r="J90" i="6"/>
  <c r="D90" i="6"/>
  <c r="V89" i="6"/>
  <c r="P89" i="6"/>
  <c r="J89" i="6"/>
  <c r="D89" i="6"/>
  <c r="V88" i="6"/>
  <c r="P88" i="6"/>
  <c r="J88" i="6"/>
  <c r="D88" i="6"/>
  <c r="V87" i="6"/>
  <c r="P87" i="6"/>
  <c r="J87" i="6"/>
  <c r="D87" i="6"/>
  <c r="V86" i="6"/>
  <c r="P86" i="6"/>
  <c r="J86" i="6"/>
  <c r="D86" i="6"/>
  <c r="V85" i="6"/>
  <c r="P85" i="6"/>
  <c r="J85" i="6"/>
  <c r="D85" i="6"/>
  <c r="V84" i="6"/>
  <c r="P84" i="6"/>
  <c r="J84" i="6"/>
  <c r="D84" i="6"/>
  <c r="V83" i="6"/>
  <c r="P83" i="6"/>
  <c r="J83" i="6"/>
  <c r="D83" i="6"/>
  <c r="V81" i="6"/>
  <c r="P81" i="6"/>
  <c r="J81" i="6"/>
  <c r="D81" i="6"/>
  <c r="V80" i="6"/>
  <c r="P80" i="6"/>
  <c r="J80" i="6"/>
  <c r="D80" i="6"/>
  <c r="V79" i="6"/>
  <c r="P79" i="6"/>
  <c r="J79" i="6"/>
  <c r="D79" i="6"/>
  <c r="V78" i="6"/>
  <c r="P78" i="6"/>
  <c r="J78" i="6"/>
  <c r="D78" i="6"/>
  <c r="V77" i="6"/>
  <c r="P77" i="6"/>
  <c r="J77" i="6"/>
  <c r="D77" i="6"/>
  <c r="V76" i="6"/>
  <c r="P76" i="6"/>
  <c r="J76" i="6"/>
  <c r="D76" i="6"/>
  <c r="V75" i="6"/>
  <c r="P75" i="6"/>
  <c r="J75" i="6"/>
  <c r="D75" i="6"/>
  <c r="V74" i="6"/>
  <c r="P74" i="6"/>
  <c r="J74" i="6"/>
  <c r="D74" i="6"/>
  <c r="V73" i="6"/>
  <c r="P73" i="6"/>
  <c r="J73" i="6"/>
  <c r="D73" i="6"/>
  <c r="V71" i="6"/>
  <c r="P71" i="6"/>
  <c r="J71" i="6"/>
  <c r="D71" i="6"/>
  <c r="V70" i="6"/>
  <c r="P70" i="6"/>
  <c r="J70" i="6"/>
  <c r="D70" i="6"/>
  <c r="V69" i="6"/>
  <c r="P69" i="6"/>
  <c r="J69" i="6"/>
  <c r="D69" i="6"/>
  <c r="V68" i="6"/>
  <c r="P68" i="6"/>
  <c r="J68" i="6"/>
  <c r="D68" i="6"/>
  <c r="V67" i="6"/>
  <c r="P67" i="6"/>
  <c r="J67" i="6"/>
  <c r="D67" i="6"/>
  <c r="V66" i="6"/>
  <c r="P66" i="6"/>
  <c r="J66" i="6"/>
  <c r="D66" i="6"/>
  <c r="V65" i="6"/>
  <c r="P65" i="6"/>
  <c r="J65" i="6"/>
  <c r="D65" i="6"/>
  <c r="V64" i="6"/>
  <c r="P64" i="6"/>
  <c r="J64" i="6"/>
  <c r="D64" i="6"/>
  <c r="V63" i="6"/>
  <c r="P63" i="6"/>
  <c r="J63" i="6"/>
  <c r="D63" i="6"/>
  <c r="V61" i="6"/>
  <c r="P61" i="6"/>
  <c r="J61" i="6"/>
  <c r="D61" i="6"/>
  <c r="V60" i="6"/>
  <c r="P60" i="6"/>
  <c r="J60" i="6"/>
  <c r="D60" i="6"/>
  <c r="V59" i="6"/>
  <c r="P59" i="6"/>
  <c r="J59" i="6"/>
  <c r="D59" i="6"/>
  <c r="V58" i="6"/>
  <c r="P58" i="6"/>
  <c r="J58" i="6"/>
  <c r="D58" i="6"/>
  <c r="V57" i="6"/>
  <c r="P57" i="6"/>
  <c r="J57" i="6"/>
  <c r="D57" i="6"/>
  <c r="V56" i="6"/>
  <c r="P56" i="6"/>
  <c r="J56" i="6"/>
  <c r="D56" i="6"/>
  <c r="V55" i="6"/>
  <c r="P55" i="6"/>
  <c r="J55" i="6"/>
  <c r="D55" i="6"/>
  <c r="V54" i="6"/>
  <c r="P54" i="6"/>
  <c r="J54" i="6"/>
  <c r="D54" i="6"/>
  <c r="V53" i="6"/>
  <c r="P53" i="6"/>
  <c r="J53" i="6"/>
  <c r="D53" i="6"/>
  <c r="V51" i="6"/>
  <c r="P51" i="6"/>
  <c r="J51" i="6"/>
  <c r="D51" i="6"/>
  <c r="V50" i="6"/>
  <c r="P50" i="6"/>
  <c r="J50" i="6"/>
  <c r="D50" i="6"/>
  <c r="V49" i="6"/>
  <c r="P49" i="6"/>
  <c r="J49" i="6"/>
  <c r="D49" i="6"/>
  <c r="V48" i="6"/>
  <c r="P48" i="6"/>
  <c r="J48" i="6"/>
  <c r="D48" i="6"/>
  <c r="V47" i="6"/>
  <c r="P47" i="6"/>
  <c r="J47" i="6"/>
  <c r="D47" i="6"/>
  <c r="V46" i="6"/>
  <c r="P46" i="6"/>
  <c r="J46" i="6"/>
  <c r="D46" i="6"/>
  <c r="V45" i="6"/>
  <c r="P45" i="6"/>
  <c r="J45" i="6"/>
  <c r="D45" i="6"/>
  <c r="V44" i="6"/>
  <c r="P44" i="6"/>
  <c r="J44" i="6"/>
  <c r="D44" i="6"/>
  <c r="V43" i="6"/>
  <c r="P43" i="6"/>
  <c r="J43" i="6"/>
  <c r="D43" i="6"/>
  <c r="V41" i="6"/>
  <c r="P41" i="6"/>
  <c r="J41" i="6"/>
  <c r="D41" i="6"/>
  <c r="V40" i="6"/>
  <c r="P40" i="6"/>
  <c r="J40" i="6"/>
  <c r="D40" i="6"/>
  <c r="V39" i="6"/>
  <c r="P39" i="6"/>
  <c r="J39" i="6"/>
  <c r="D39" i="6"/>
  <c r="V38" i="6"/>
  <c r="P38" i="6"/>
  <c r="J38" i="6"/>
  <c r="D38" i="6"/>
  <c r="V37" i="6"/>
  <c r="P37" i="6"/>
  <c r="J37" i="6"/>
  <c r="D37" i="6"/>
  <c r="V36" i="6"/>
  <c r="P36" i="6"/>
  <c r="J36" i="6"/>
  <c r="D36" i="6"/>
  <c r="V35" i="6"/>
  <c r="P35" i="6"/>
  <c r="J35" i="6"/>
  <c r="D35" i="6"/>
  <c r="V34" i="6"/>
  <c r="P34" i="6"/>
  <c r="J34" i="6"/>
  <c r="D34" i="6"/>
  <c r="V33" i="6"/>
  <c r="P33" i="6"/>
  <c r="J33" i="6"/>
  <c r="D33" i="6"/>
  <c r="V31" i="6"/>
  <c r="P31" i="6"/>
  <c r="J31" i="6"/>
  <c r="D31" i="6"/>
  <c r="V30" i="6"/>
  <c r="P30" i="6"/>
  <c r="J30" i="6"/>
  <c r="D30" i="6"/>
  <c r="V29" i="6"/>
  <c r="P29" i="6"/>
  <c r="J29" i="6"/>
  <c r="D29" i="6"/>
  <c r="V28" i="6"/>
  <c r="P28" i="6"/>
  <c r="J28" i="6"/>
  <c r="D28" i="6"/>
  <c r="V27" i="6"/>
  <c r="P27" i="6"/>
  <c r="J27" i="6"/>
  <c r="D27" i="6"/>
  <c r="V26" i="6"/>
  <c r="P26" i="6"/>
  <c r="J26" i="6"/>
  <c r="D26" i="6"/>
  <c r="V25" i="6"/>
  <c r="P25" i="6"/>
  <c r="J25" i="6"/>
  <c r="D25" i="6"/>
  <c r="V24" i="6"/>
  <c r="P24" i="6"/>
  <c r="J24" i="6"/>
  <c r="D24" i="6"/>
  <c r="V23" i="6"/>
  <c r="P23" i="6"/>
  <c r="J23" i="6"/>
  <c r="D23" i="6"/>
  <c r="V21" i="6"/>
  <c r="P21" i="6"/>
  <c r="J21" i="6"/>
  <c r="D21" i="6"/>
  <c r="V20" i="6"/>
  <c r="P20" i="6"/>
  <c r="J20" i="6"/>
  <c r="D20" i="6"/>
  <c r="V19" i="6"/>
  <c r="P19" i="6"/>
  <c r="J19" i="6"/>
  <c r="D19" i="6"/>
  <c r="V18" i="6"/>
  <c r="P18" i="6"/>
  <c r="J18" i="6"/>
  <c r="D18" i="6"/>
  <c r="V17" i="6"/>
  <c r="P17" i="6"/>
  <c r="J17" i="6"/>
  <c r="D17" i="6"/>
  <c r="V16" i="6"/>
  <c r="P16" i="6"/>
  <c r="J16" i="6"/>
  <c r="D16" i="6"/>
  <c r="V15" i="6"/>
  <c r="P15" i="6"/>
  <c r="J15" i="6"/>
  <c r="D15" i="6"/>
  <c r="V14" i="6"/>
  <c r="P14" i="6"/>
  <c r="J14" i="6"/>
  <c r="D14" i="6"/>
  <c r="V12" i="6"/>
  <c r="P12" i="6"/>
  <c r="J12" i="6"/>
  <c r="D12" i="6"/>
  <c r="V11" i="6"/>
  <c r="P11" i="6"/>
  <c r="J11" i="6"/>
  <c r="D11" i="6"/>
  <c r="V10" i="6"/>
  <c r="P10" i="6"/>
  <c r="J10" i="6"/>
  <c r="D10" i="6"/>
  <c r="V9" i="6"/>
  <c r="P9" i="6"/>
  <c r="J9" i="6"/>
  <c r="D9" i="6"/>
  <c r="V8" i="6"/>
  <c r="P8" i="6"/>
  <c r="J8" i="6"/>
  <c r="D8" i="6"/>
  <c r="V7" i="6"/>
  <c r="P7" i="6"/>
  <c r="J7" i="6"/>
  <c r="D7" i="6"/>
  <c r="V6" i="6"/>
  <c r="P6" i="6"/>
  <c r="J6" i="6"/>
  <c r="D6" i="6"/>
  <c r="V5" i="6"/>
  <c r="P5" i="6"/>
  <c r="J5" i="6"/>
  <c r="D5" i="6"/>
  <c r="V3" i="6"/>
  <c r="P3" i="6"/>
  <c r="J3" i="6"/>
  <c r="D3" i="6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H2" i="1"/>
  <c r="I3" i="6" l="1"/>
  <c r="H3" i="6"/>
  <c r="O3" i="6"/>
  <c r="N3" i="6"/>
  <c r="U3" i="6"/>
  <c r="T3" i="6"/>
  <c r="AA3" i="6"/>
  <c r="Z3" i="6"/>
  <c r="I5" i="6"/>
  <c r="H5" i="6"/>
  <c r="O5" i="6"/>
  <c r="N5" i="6"/>
  <c r="U5" i="6"/>
  <c r="T5" i="6"/>
  <c r="AA5" i="6"/>
  <c r="Z5" i="6"/>
  <c r="I6" i="6"/>
  <c r="H6" i="6"/>
  <c r="O6" i="6"/>
  <c r="N6" i="6"/>
  <c r="U6" i="6"/>
  <c r="T6" i="6"/>
  <c r="AA6" i="6"/>
  <c r="Z6" i="6"/>
  <c r="I7" i="6"/>
  <c r="H7" i="6"/>
  <c r="O7" i="6"/>
  <c r="N7" i="6"/>
  <c r="U7" i="6"/>
  <c r="T7" i="6"/>
  <c r="AA7" i="6"/>
  <c r="Z7" i="6"/>
  <c r="I8" i="6"/>
  <c r="H8" i="6"/>
  <c r="O8" i="6"/>
  <c r="N8" i="6"/>
  <c r="U8" i="6"/>
  <c r="T8" i="6"/>
  <c r="AA8" i="6"/>
  <c r="Z8" i="6"/>
  <c r="I9" i="6"/>
  <c r="H9" i="6"/>
  <c r="O9" i="6"/>
  <c r="N9" i="6"/>
  <c r="U9" i="6"/>
  <c r="T9" i="6"/>
  <c r="AA9" i="6"/>
  <c r="Z9" i="6"/>
  <c r="I10" i="6"/>
  <c r="H10" i="6"/>
  <c r="O10" i="6"/>
  <c r="N10" i="6"/>
  <c r="U10" i="6"/>
  <c r="T10" i="6"/>
  <c r="AA10" i="6"/>
  <c r="Z10" i="6"/>
  <c r="I11" i="6"/>
  <c r="H11" i="6"/>
  <c r="O11" i="6"/>
  <c r="N11" i="6"/>
  <c r="U11" i="6"/>
  <c r="T11" i="6"/>
  <c r="AA11" i="6"/>
  <c r="Z11" i="6"/>
  <c r="I12" i="6"/>
  <c r="H12" i="6"/>
  <c r="O12" i="6"/>
  <c r="N12" i="6"/>
  <c r="U12" i="6"/>
  <c r="T12" i="6"/>
  <c r="AA12" i="6"/>
  <c r="Z12" i="6"/>
  <c r="I14" i="6"/>
  <c r="H14" i="6"/>
  <c r="O14" i="6"/>
  <c r="N14" i="6"/>
  <c r="U14" i="6"/>
  <c r="T14" i="6"/>
  <c r="AA14" i="6"/>
  <c r="Z14" i="6"/>
  <c r="I15" i="6"/>
  <c r="H15" i="6"/>
  <c r="O15" i="6"/>
  <c r="N15" i="6"/>
  <c r="U15" i="6"/>
  <c r="T15" i="6"/>
  <c r="AA15" i="6"/>
  <c r="Z15" i="6"/>
  <c r="I16" i="6"/>
  <c r="H16" i="6"/>
  <c r="O16" i="6"/>
  <c r="N16" i="6"/>
  <c r="U16" i="6"/>
  <c r="T16" i="6"/>
  <c r="AA16" i="6"/>
  <c r="Z16" i="6"/>
  <c r="I17" i="6"/>
  <c r="H17" i="6"/>
  <c r="O17" i="6"/>
  <c r="N17" i="6"/>
  <c r="U17" i="6"/>
  <c r="T17" i="6"/>
  <c r="AA17" i="6"/>
  <c r="Z17" i="6"/>
  <c r="I18" i="6"/>
  <c r="H18" i="6"/>
  <c r="O18" i="6"/>
  <c r="N18" i="6"/>
  <c r="U18" i="6"/>
  <c r="T18" i="6"/>
  <c r="AA18" i="6"/>
  <c r="Z18" i="6"/>
  <c r="I19" i="6"/>
  <c r="H19" i="6"/>
  <c r="O19" i="6"/>
  <c r="N19" i="6"/>
  <c r="U19" i="6"/>
  <c r="T19" i="6"/>
  <c r="AA19" i="6"/>
  <c r="Z19" i="6"/>
  <c r="I20" i="6"/>
  <c r="H20" i="6"/>
  <c r="O20" i="6"/>
  <c r="N20" i="6"/>
  <c r="U20" i="6"/>
  <c r="T20" i="6"/>
  <c r="AA20" i="6"/>
  <c r="Z20" i="6"/>
  <c r="I21" i="6"/>
  <c r="H21" i="6"/>
  <c r="O21" i="6"/>
  <c r="N21" i="6"/>
  <c r="U21" i="6"/>
  <c r="T21" i="6"/>
  <c r="AA21" i="6"/>
  <c r="Z21" i="6"/>
  <c r="I23" i="6"/>
  <c r="H23" i="6"/>
  <c r="O23" i="6"/>
  <c r="N23" i="6"/>
  <c r="U23" i="6"/>
  <c r="T23" i="6"/>
  <c r="AA23" i="6"/>
  <c r="Z23" i="6"/>
  <c r="I24" i="6"/>
  <c r="H24" i="6"/>
  <c r="O24" i="6"/>
  <c r="N24" i="6"/>
  <c r="U24" i="6"/>
  <c r="T24" i="6"/>
  <c r="AA24" i="6"/>
  <c r="Z24" i="6"/>
  <c r="I25" i="6"/>
  <c r="H25" i="6"/>
  <c r="O25" i="6"/>
  <c r="N25" i="6"/>
  <c r="U25" i="6"/>
  <c r="T25" i="6"/>
  <c r="AA25" i="6"/>
  <c r="Z25" i="6"/>
  <c r="I26" i="6"/>
  <c r="H26" i="6"/>
  <c r="O26" i="6"/>
  <c r="N26" i="6"/>
  <c r="U26" i="6"/>
  <c r="T26" i="6"/>
  <c r="AA26" i="6"/>
  <c r="Z26" i="6"/>
  <c r="I27" i="6"/>
  <c r="H27" i="6"/>
  <c r="O27" i="6"/>
  <c r="N27" i="6"/>
  <c r="U27" i="6"/>
  <c r="T27" i="6"/>
  <c r="AA27" i="6"/>
  <c r="Z27" i="6"/>
  <c r="I28" i="6"/>
  <c r="H28" i="6"/>
  <c r="O28" i="6"/>
  <c r="N28" i="6"/>
  <c r="U28" i="6"/>
  <c r="T28" i="6"/>
  <c r="AA28" i="6"/>
  <c r="Z28" i="6"/>
  <c r="I29" i="6"/>
  <c r="H29" i="6"/>
  <c r="O29" i="6"/>
  <c r="N29" i="6"/>
  <c r="U29" i="6"/>
  <c r="T29" i="6"/>
  <c r="AA29" i="6"/>
  <c r="Z29" i="6"/>
  <c r="I30" i="6"/>
  <c r="H30" i="6"/>
  <c r="O30" i="6"/>
  <c r="N30" i="6"/>
  <c r="U30" i="6"/>
  <c r="T30" i="6"/>
  <c r="AA30" i="6"/>
  <c r="Z30" i="6"/>
  <c r="I31" i="6"/>
  <c r="H31" i="6"/>
  <c r="O31" i="6"/>
  <c r="N31" i="6"/>
  <c r="U31" i="6"/>
  <c r="T31" i="6"/>
  <c r="AA31" i="6"/>
  <c r="Z31" i="6"/>
  <c r="I33" i="6"/>
  <c r="H33" i="6"/>
  <c r="O33" i="6"/>
  <c r="N33" i="6"/>
  <c r="U33" i="6"/>
  <c r="T33" i="6"/>
  <c r="AA33" i="6"/>
  <c r="Z33" i="6"/>
  <c r="I34" i="6"/>
  <c r="H34" i="6"/>
  <c r="O34" i="6"/>
  <c r="N34" i="6"/>
  <c r="U34" i="6"/>
  <c r="T34" i="6"/>
  <c r="AA34" i="6"/>
  <c r="Z34" i="6"/>
  <c r="I35" i="6"/>
  <c r="H35" i="6"/>
  <c r="O35" i="6"/>
  <c r="N35" i="6"/>
  <c r="U35" i="6"/>
  <c r="T35" i="6"/>
  <c r="AA35" i="6"/>
  <c r="Z35" i="6"/>
  <c r="I36" i="6"/>
  <c r="H36" i="6"/>
  <c r="O36" i="6"/>
  <c r="N36" i="6"/>
  <c r="U36" i="6"/>
  <c r="T36" i="6"/>
  <c r="AA36" i="6"/>
  <c r="Z36" i="6"/>
  <c r="I37" i="6"/>
  <c r="H37" i="6"/>
  <c r="O37" i="6"/>
  <c r="N37" i="6"/>
  <c r="U37" i="6"/>
  <c r="T37" i="6"/>
  <c r="AA37" i="6"/>
  <c r="Z37" i="6"/>
  <c r="I38" i="6"/>
  <c r="H38" i="6"/>
  <c r="O38" i="6"/>
  <c r="N38" i="6"/>
  <c r="U38" i="6"/>
  <c r="T38" i="6"/>
  <c r="AA38" i="6"/>
  <c r="Z38" i="6"/>
  <c r="I39" i="6"/>
  <c r="H39" i="6"/>
  <c r="O39" i="6"/>
  <c r="N39" i="6"/>
  <c r="U39" i="6"/>
  <c r="T39" i="6"/>
  <c r="AA39" i="6"/>
  <c r="Z39" i="6"/>
  <c r="I40" i="6"/>
  <c r="H40" i="6"/>
  <c r="O40" i="6"/>
  <c r="N40" i="6"/>
  <c r="U40" i="6"/>
  <c r="T40" i="6"/>
  <c r="AA40" i="6"/>
  <c r="Z40" i="6"/>
  <c r="I41" i="6"/>
  <c r="H41" i="6"/>
  <c r="O41" i="6"/>
  <c r="N41" i="6"/>
  <c r="U41" i="6"/>
  <c r="T41" i="6"/>
  <c r="AA41" i="6"/>
  <c r="Z41" i="6"/>
  <c r="I43" i="6"/>
  <c r="H43" i="6"/>
  <c r="O43" i="6"/>
  <c r="N43" i="6"/>
  <c r="U43" i="6"/>
  <c r="T43" i="6"/>
  <c r="AA43" i="6"/>
  <c r="Z43" i="6"/>
  <c r="I44" i="6"/>
  <c r="H44" i="6"/>
  <c r="O44" i="6"/>
  <c r="N44" i="6"/>
  <c r="U44" i="6"/>
  <c r="T44" i="6"/>
  <c r="AA44" i="6"/>
  <c r="Z44" i="6"/>
  <c r="I45" i="6"/>
  <c r="H45" i="6"/>
  <c r="O45" i="6"/>
  <c r="N45" i="6"/>
  <c r="U45" i="6"/>
  <c r="T45" i="6"/>
  <c r="AA45" i="6"/>
  <c r="Z45" i="6"/>
  <c r="I46" i="6"/>
  <c r="H46" i="6"/>
  <c r="O46" i="6"/>
  <c r="N46" i="6"/>
  <c r="U46" i="6"/>
  <c r="T46" i="6"/>
  <c r="AA46" i="6"/>
  <c r="Z46" i="6"/>
  <c r="I47" i="6"/>
  <c r="H47" i="6"/>
  <c r="O47" i="6"/>
  <c r="N47" i="6"/>
  <c r="U47" i="6"/>
  <c r="T47" i="6"/>
  <c r="AA47" i="6"/>
  <c r="Z47" i="6"/>
  <c r="I48" i="6"/>
  <c r="H48" i="6"/>
  <c r="O48" i="6"/>
  <c r="N48" i="6"/>
  <c r="U48" i="6"/>
  <c r="T48" i="6"/>
  <c r="AA48" i="6"/>
  <c r="Z48" i="6"/>
  <c r="I49" i="6"/>
  <c r="H49" i="6"/>
  <c r="O49" i="6"/>
  <c r="N49" i="6"/>
  <c r="U49" i="6"/>
  <c r="T49" i="6"/>
  <c r="AA49" i="6"/>
  <c r="Z49" i="6"/>
  <c r="I50" i="6"/>
  <c r="H50" i="6"/>
  <c r="O50" i="6"/>
  <c r="N50" i="6"/>
  <c r="U50" i="6"/>
  <c r="T50" i="6"/>
  <c r="AA50" i="6"/>
  <c r="Z50" i="6"/>
  <c r="I51" i="6"/>
  <c r="H51" i="6"/>
  <c r="O51" i="6"/>
  <c r="N51" i="6"/>
  <c r="U51" i="6"/>
  <c r="T51" i="6"/>
  <c r="AA51" i="6"/>
  <c r="Z51" i="6"/>
  <c r="I53" i="6"/>
  <c r="H53" i="6"/>
  <c r="O53" i="6"/>
  <c r="N53" i="6"/>
  <c r="U53" i="6"/>
  <c r="T53" i="6"/>
  <c r="AA53" i="6"/>
  <c r="Z53" i="6"/>
  <c r="I54" i="6"/>
  <c r="H54" i="6"/>
  <c r="O54" i="6"/>
  <c r="N54" i="6"/>
  <c r="U54" i="6"/>
  <c r="T54" i="6"/>
  <c r="AA54" i="6"/>
  <c r="Z54" i="6"/>
  <c r="I55" i="6"/>
  <c r="H55" i="6"/>
  <c r="O55" i="6"/>
  <c r="N55" i="6"/>
  <c r="U55" i="6"/>
  <c r="T55" i="6"/>
  <c r="AA55" i="6"/>
  <c r="Z55" i="6"/>
  <c r="I56" i="6"/>
  <c r="H56" i="6"/>
  <c r="O56" i="6"/>
  <c r="N56" i="6"/>
  <c r="U56" i="6"/>
  <c r="T56" i="6"/>
  <c r="AA56" i="6"/>
  <c r="Z56" i="6"/>
  <c r="I57" i="6"/>
  <c r="H57" i="6"/>
  <c r="O57" i="6"/>
  <c r="N57" i="6"/>
  <c r="U57" i="6"/>
  <c r="T57" i="6"/>
  <c r="AA57" i="6"/>
  <c r="Z57" i="6"/>
  <c r="I58" i="6"/>
  <c r="H58" i="6"/>
  <c r="O58" i="6"/>
  <c r="N58" i="6"/>
  <c r="U58" i="6"/>
  <c r="T58" i="6"/>
  <c r="AA58" i="6"/>
  <c r="Z58" i="6"/>
  <c r="I59" i="6"/>
  <c r="H59" i="6"/>
  <c r="O59" i="6"/>
  <c r="N59" i="6"/>
  <c r="U59" i="6"/>
  <c r="T59" i="6"/>
  <c r="AA59" i="6"/>
  <c r="Z59" i="6"/>
  <c r="I60" i="6"/>
  <c r="H60" i="6"/>
  <c r="O60" i="6"/>
  <c r="N60" i="6"/>
  <c r="U60" i="6"/>
  <c r="T60" i="6"/>
  <c r="AA60" i="6"/>
  <c r="Z60" i="6"/>
  <c r="I61" i="6"/>
  <c r="H61" i="6"/>
  <c r="O61" i="6"/>
  <c r="N61" i="6"/>
  <c r="U61" i="6"/>
  <c r="T61" i="6"/>
  <c r="AA61" i="6"/>
  <c r="Z61" i="6"/>
  <c r="I63" i="6"/>
  <c r="H63" i="6"/>
  <c r="O63" i="6"/>
  <c r="N63" i="6"/>
  <c r="U63" i="6"/>
  <c r="T63" i="6"/>
  <c r="AA63" i="6"/>
  <c r="Z63" i="6"/>
  <c r="I64" i="6"/>
  <c r="H64" i="6"/>
  <c r="O64" i="6"/>
  <c r="N64" i="6"/>
  <c r="U64" i="6"/>
  <c r="T64" i="6"/>
  <c r="AA64" i="6"/>
  <c r="Z64" i="6"/>
  <c r="I65" i="6"/>
  <c r="H65" i="6"/>
  <c r="O65" i="6"/>
  <c r="N65" i="6"/>
  <c r="U65" i="6"/>
  <c r="T65" i="6"/>
  <c r="AA65" i="6"/>
  <c r="Z65" i="6"/>
  <c r="I66" i="6"/>
  <c r="H66" i="6"/>
  <c r="O66" i="6"/>
  <c r="N66" i="6"/>
  <c r="U66" i="6"/>
  <c r="T66" i="6"/>
  <c r="AA66" i="6"/>
  <c r="Z66" i="6"/>
  <c r="I67" i="6"/>
  <c r="H67" i="6"/>
  <c r="O67" i="6"/>
  <c r="N67" i="6"/>
  <c r="U67" i="6"/>
  <c r="T67" i="6"/>
  <c r="AA67" i="6"/>
  <c r="Z67" i="6"/>
  <c r="I68" i="6"/>
  <c r="H68" i="6"/>
  <c r="O68" i="6"/>
  <c r="N68" i="6"/>
  <c r="U68" i="6"/>
  <c r="T68" i="6"/>
  <c r="AA68" i="6"/>
  <c r="Z68" i="6"/>
  <c r="I69" i="6"/>
  <c r="H69" i="6"/>
  <c r="O69" i="6"/>
  <c r="N69" i="6"/>
  <c r="U69" i="6"/>
  <c r="T69" i="6"/>
  <c r="AA69" i="6"/>
  <c r="Z69" i="6"/>
  <c r="I70" i="6"/>
  <c r="H70" i="6"/>
  <c r="O70" i="6"/>
  <c r="N70" i="6"/>
  <c r="U70" i="6"/>
  <c r="T70" i="6"/>
  <c r="AA70" i="6"/>
  <c r="Z70" i="6"/>
  <c r="I71" i="6"/>
  <c r="H71" i="6"/>
  <c r="O71" i="6"/>
  <c r="N71" i="6"/>
  <c r="U71" i="6"/>
  <c r="T71" i="6"/>
  <c r="AA71" i="6"/>
  <c r="Z71" i="6"/>
  <c r="I73" i="6"/>
  <c r="H73" i="6"/>
  <c r="O73" i="6"/>
  <c r="N73" i="6"/>
  <c r="U73" i="6"/>
  <c r="T73" i="6"/>
  <c r="AA73" i="6"/>
  <c r="Z73" i="6"/>
  <c r="I74" i="6"/>
  <c r="H74" i="6"/>
  <c r="O74" i="6"/>
  <c r="N74" i="6"/>
  <c r="U74" i="6"/>
  <c r="T74" i="6"/>
  <c r="AA74" i="6"/>
  <c r="Z74" i="6"/>
  <c r="I75" i="6"/>
  <c r="H75" i="6"/>
  <c r="O75" i="6"/>
  <c r="N75" i="6"/>
  <c r="U75" i="6"/>
  <c r="T75" i="6"/>
  <c r="AA75" i="6"/>
  <c r="Z75" i="6"/>
  <c r="I76" i="6"/>
  <c r="H76" i="6"/>
  <c r="O76" i="6"/>
  <c r="N76" i="6"/>
  <c r="U76" i="6"/>
  <c r="T76" i="6"/>
  <c r="AA76" i="6"/>
  <c r="Z76" i="6"/>
  <c r="I77" i="6"/>
  <c r="H77" i="6"/>
  <c r="O77" i="6"/>
  <c r="N77" i="6"/>
  <c r="U77" i="6"/>
  <c r="T77" i="6"/>
  <c r="AA77" i="6"/>
  <c r="Z77" i="6"/>
  <c r="I78" i="6"/>
  <c r="H78" i="6"/>
  <c r="O78" i="6"/>
  <c r="N78" i="6"/>
  <c r="U78" i="6"/>
  <c r="T78" i="6"/>
  <c r="AA78" i="6"/>
  <c r="Z78" i="6"/>
  <c r="I79" i="6"/>
  <c r="H79" i="6"/>
  <c r="O79" i="6"/>
  <c r="N79" i="6"/>
  <c r="U79" i="6"/>
  <c r="T79" i="6"/>
  <c r="AA79" i="6"/>
  <c r="Z79" i="6"/>
  <c r="I80" i="6"/>
  <c r="H80" i="6"/>
  <c r="O80" i="6"/>
  <c r="N80" i="6"/>
  <c r="U80" i="6"/>
  <c r="T80" i="6"/>
  <c r="AA80" i="6"/>
  <c r="Z80" i="6"/>
  <c r="I81" i="6"/>
  <c r="H81" i="6"/>
  <c r="O81" i="6"/>
  <c r="N81" i="6"/>
  <c r="U81" i="6"/>
  <c r="T81" i="6"/>
  <c r="AA81" i="6"/>
  <c r="Z81" i="6"/>
  <c r="I83" i="6"/>
  <c r="H83" i="6"/>
  <c r="O83" i="6"/>
  <c r="N83" i="6"/>
  <c r="U83" i="6"/>
  <c r="T83" i="6"/>
  <c r="AA83" i="6"/>
  <c r="Z83" i="6"/>
  <c r="I84" i="6"/>
  <c r="H84" i="6"/>
  <c r="O84" i="6"/>
  <c r="N84" i="6"/>
  <c r="U84" i="6"/>
  <c r="T84" i="6"/>
  <c r="AA84" i="6"/>
  <c r="Z84" i="6"/>
  <c r="I85" i="6"/>
  <c r="H85" i="6"/>
  <c r="O85" i="6"/>
  <c r="N85" i="6"/>
  <c r="U85" i="6"/>
  <c r="T85" i="6"/>
  <c r="AA85" i="6"/>
  <c r="Z85" i="6"/>
  <c r="I86" i="6"/>
  <c r="H86" i="6"/>
  <c r="O86" i="6"/>
  <c r="N86" i="6"/>
  <c r="U86" i="6"/>
  <c r="T86" i="6"/>
  <c r="AA86" i="6"/>
  <c r="Z86" i="6"/>
  <c r="I87" i="6"/>
  <c r="H87" i="6"/>
  <c r="O87" i="6"/>
  <c r="N87" i="6"/>
  <c r="U87" i="6"/>
  <c r="T87" i="6"/>
  <c r="AA87" i="6"/>
  <c r="Z87" i="6"/>
  <c r="I88" i="6"/>
  <c r="H88" i="6"/>
  <c r="O88" i="6"/>
  <c r="N88" i="6"/>
  <c r="U88" i="6"/>
  <c r="T88" i="6"/>
  <c r="AA88" i="6"/>
  <c r="Z88" i="6"/>
  <c r="I89" i="6"/>
  <c r="H89" i="6"/>
  <c r="O89" i="6"/>
  <c r="N89" i="6"/>
  <c r="U89" i="6"/>
  <c r="T89" i="6"/>
  <c r="AA89" i="6"/>
  <c r="Z89" i="6"/>
  <c r="I90" i="6"/>
  <c r="H90" i="6"/>
  <c r="O90" i="6"/>
  <c r="N90" i="6"/>
  <c r="U90" i="6"/>
  <c r="T90" i="6"/>
  <c r="AA90" i="6"/>
  <c r="Z90" i="6"/>
  <c r="I91" i="6"/>
  <c r="H91" i="6"/>
  <c r="O91" i="6"/>
  <c r="N91" i="6"/>
  <c r="U91" i="6"/>
  <c r="T91" i="6"/>
  <c r="AA91" i="6"/>
  <c r="Z91" i="6"/>
  <c r="I93" i="6"/>
  <c r="H93" i="6"/>
  <c r="O93" i="6"/>
  <c r="N93" i="6"/>
  <c r="U93" i="6"/>
  <c r="T93" i="6"/>
  <c r="AA93" i="6"/>
  <c r="Z93" i="6"/>
  <c r="I94" i="6"/>
  <c r="H94" i="6"/>
  <c r="O94" i="6"/>
  <c r="N94" i="6"/>
  <c r="U94" i="6"/>
  <c r="T94" i="6"/>
  <c r="AA94" i="6"/>
  <c r="Z94" i="6"/>
  <c r="I95" i="6"/>
  <c r="H95" i="6"/>
  <c r="O95" i="6"/>
  <c r="N95" i="6"/>
  <c r="U95" i="6"/>
  <c r="T95" i="6"/>
  <c r="AA95" i="6"/>
  <c r="Z95" i="6"/>
  <c r="I96" i="6"/>
  <c r="H96" i="6"/>
  <c r="O96" i="6"/>
  <c r="N96" i="6"/>
  <c r="U96" i="6"/>
  <c r="T96" i="6"/>
  <c r="AA96" i="6"/>
  <c r="Z96" i="6"/>
  <c r="I97" i="6"/>
  <c r="H97" i="6"/>
  <c r="O97" i="6"/>
  <c r="N97" i="6"/>
  <c r="U97" i="6"/>
  <c r="T97" i="6"/>
  <c r="AA97" i="6"/>
  <c r="Z97" i="6"/>
  <c r="I98" i="6"/>
  <c r="H98" i="6"/>
  <c r="O98" i="6"/>
  <c r="N98" i="6"/>
  <c r="U98" i="6"/>
  <c r="T98" i="6"/>
  <c r="AA98" i="6"/>
  <c r="Z98" i="6"/>
  <c r="I99" i="6"/>
  <c r="H99" i="6"/>
  <c r="O99" i="6"/>
  <c r="N99" i="6"/>
  <c r="U99" i="6"/>
  <c r="T99" i="6"/>
  <c r="AA99" i="6"/>
  <c r="Z99" i="6"/>
  <c r="I100" i="6"/>
  <c r="H100" i="6"/>
  <c r="O100" i="6"/>
  <c r="N100" i="6"/>
  <c r="U100" i="6"/>
  <c r="T100" i="6"/>
  <c r="AA100" i="6"/>
  <c r="Z100" i="6"/>
  <c r="I101" i="6"/>
  <c r="H101" i="6"/>
  <c r="O101" i="6"/>
  <c r="N101" i="6"/>
  <c r="U101" i="6"/>
  <c r="T101" i="6"/>
  <c r="AA101" i="6"/>
  <c r="Z101" i="6"/>
  <c r="I103" i="6"/>
  <c r="H103" i="6"/>
  <c r="O103" i="6"/>
  <c r="N103" i="6"/>
  <c r="U103" i="6"/>
  <c r="T103" i="6"/>
  <c r="AA103" i="6"/>
  <c r="Z103" i="6"/>
  <c r="I104" i="6"/>
  <c r="H104" i="6"/>
  <c r="O104" i="6"/>
  <c r="N104" i="6"/>
  <c r="U104" i="6"/>
  <c r="T104" i="6"/>
  <c r="AA104" i="6"/>
  <c r="Z104" i="6"/>
  <c r="I105" i="6"/>
  <c r="H105" i="6"/>
  <c r="O105" i="6"/>
  <c r="N105" i="6"/>
  <c r="U105" i="6"/>
  <c r="T105" i="6"/>
  <c r="AA105" i="6"/>
  <c r="Z105" i="6"/>
  <c r="I106" i="6"/>
  <c r="H106" i="6"/>
  <c r="O106" i="6"/>
  <c r="N106" i="6"/>
  <c r="U106" i="6"/>
  <c r="T106" i="6"/>
  <c r="AA106" i="6"/>
  <c r="Z106" i="6"/>
  <c r="I107" i="6"/>
  <c r="H107" i="6"/>
  <c r="O107" i="6"/>
  <c r="N107" i="6"/>
  <c r="U107" i="6"/>
  <c r="T107" i="6"/>
  <c r="AA107" i="6"/>
  <c r="Z107" i="6"/>
  <c r="I108" i="6"/>
  <c r="H108" i="6"/>
  <c r="O108" i="6"/>
  <c r="N108" i="6"/>
  <c r="U108" i="6"/>
  <c r="T108" i="6"/>
  <c r="AA108" i="6"/>
  <c r="Z108" i="6"/>
  <c r="I109" i="6"/>
  <c r="H109" i="6"/>
  <c r="O109" i="6"/>
  <c r="N109" i="6"/>
  <c r="U109" i="6"/>
  <c r="T109" i="6"/>
  <c r="AA109" i="6"/>
  <c r="Z109" i="6"/>
  <c r="I110" i="6"/>
  <c r="H110" i="6"/>
  <c r="O110" i="6"/>
  <c r="N110" i="6"/>
  <c r="U110" i="6"/>
  <c r="T110" i="6"/>
  <c r="AA110" i="6"/>
  <c r="Z110" i="6"/>
  <c r="O112" i="6"/>
  <c r="N112" i="6"/>
  <c r="U112" i="6"/>
  <c r="T112" i="6"/>
  <c r="AA112" i="6"/>
  <c r="Z112" i="6"/>
  <c r="O113" i="6"/>
  <c r="N113" i="6"/>
  <c r="U113" i="6"/>
  <c r="T113" i="6"/>
  <c r="AA113" i="6"/>
  <c r="Z113" i="6"/>
  <c r="O114" i="6"/>
  <c r="N114" i="6"/>
  <c r="U114" i="6"/>
  <c r="T114" i="6"/>
  <c r="AA114" i="6"/>
  <c r="Z114" i="6"/>
  <c r="O115" i="6"/>
  <c r="N115" i="6"/>
  <c r="U115" i="6"/>
  <c r="T115" i="6"/>
  <c r="AA115" i="6"/>
  <c r="Z115" i="6"/>
  <c r="O116" i="6"/>
  <c r="N116" i="6"/>
  <c r="U116" i="6"/>
  <c r="T116" i="6"/>
  <c r="AA116" i="6"/>
  <c r="Z116" i="6"/>
  <c r="O117" i="6"/>
  <c r="N117" i="6"/>
  <c r="U117" i="6"/>
  <c r="T117" i="6"/>
  <c r="AA117" i="6"/>
  <c r="Z117" i="6"/>
  <c r="O118" i="6"/>
  <c r="N118" i="6"/>
  <c r="U118" i="6"/>
  <c r="T118" i="6"/>
  <c r="AA118" i="6"/>
  <c r="Z118" i="6"/>
  <c r="O119" i="6"/>
  <c r="N119" i="6"/>
  <c r="U119" i="6"/>
  <c r="T119" i="6"/>
  <c r="AA119" i="6"/>
  <c r="Z119" i="6"/>
  <c r="O120" i="6"/>
  <c r="N120" i="6"/>
  <c r="U120" i="6"/>
  <c r="T120" i="6"/>
  <c r="AA120" i="6"/>
  <c r="Z120" i="6"/>
  <c r="O121" i="6"/>
  <c r="N121" i="6"/>
  <c r="U121" i="6"/>
  <c r="T121" i="6"/>
  <c r="AA121" i="6"/>
  <c r="Z121" i="6"/>
  <c r="O122" i="6"/>
  <c r="N122" i="6"/>
  <c r="U122" i="6"/>
  <c r="T122" i="6"/>
  <c r="AA122" i="6"/>
  <c r="Z122" i="6"/>
  <c r="O123" i="6"/>
  <c r="N123" i="6"/>
  <c r="U123" i="6"/>
  <c r="T123" i="6"/>
  <c r="AA123" i="6"/>
  <c r="Z123" i="6"/>
  <c r="O124" i="6"/>
  <c r="N124" i="6"/>
  <c r="U124" i="6"/>
  <c r="T124" i="6"/>
  <c r="AA124" i="6"/>
  <c r="Z124" i="6"/>
  <c r="O125" i="6"/>
  <c r="N125" i="6"/>
  <c r="U125" i="6"/>
  <c r="T125" i="6"/>
  <c r="AA125" i="6"/>
  <c r="Z125" i="6"/>
  <c r="O126" i="6"/>
  <c r="N126" i="6"/>
  <c r="U126" i="6"/>
  <c r="T126" i="6"/>
  <c r="AA126" i="6"/>
  <c r="Z126" i="6"/>
  <c r="O127" i="6"/>
  <c r="N127" i="6"/>
  <c r="AA127" i="6"/>
  <c r="Z127" i="6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<sst xmlns="http://schemas.openxmlformats.org/spreadsheetml/2006/main" count="592" uniqueCount="91">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</sst>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92" headerRowBorderDxfId="90" tableBorderDxfId="9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89" headerRowBorderDxfId="87" tableBorderDxfId="88">
  <autoFilter ref="A2:AA127" xr:uid="{D7C37D80-F2E1-4395-8B6C-0FD477B4D8F8}"/>
  <tableColumns count="27">
    <tableColumn id="1" xr3:uid="{451CCD6B-9C4E-44A3-945A-DE807169F46B}" name="Grade Level" dataDxfId="86"/>
    <tableColumn id="2" xr3:uid="{C6CCCB1C-6639-4C28-A4BA-B187B2F73B59}" name="SUBJECTS" dataDxfId="85"/>
    <tableColumn id="3" xr3:uid="{945324E6-140A-476C-A8C3-23A16D4D262F}" name="Enrolment S.Y. 2025-2026 " dataDxfId="84"/>
    <tableColumn id="4" xr3:uid="{A2D4C0AF-3699-4D3C-A791-2D7D8004CC89}" name="Quantity based on Target LAS - Q1 " dataDxfId="8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82"/>
    <tableColumn id="6" xr3:uid="{FCD520AB-D938-4542-9B56-AEC07AB5F1DC}" name="Year of Delivery-LAS - Q1" dataDxfId="81"/>
    <tableColumn id="7" xr3:uid="{674474DE-9D20-41C1-8261-DA9C4A95671C}" name="SOURCE - LAS (CO,RO, SDO) - Q1" dataDxfId="80"/>
    <tableColumn id="8" xr3:uid="{58D9CB98-8F6F-4F61-9103-C27B8FFBDB51}" name="GAP - LAS - Q1" dataDxfId="79">
      <calculatedColumnFormula>IF((D3-E3)&lt;0,0,(D3-E3))</calculatedColumnFormula>
    </tableColumn>
    <tableColumn id="9" xr3:uid="{E6406FC4-4491-4FD6-9EA2-F088E94C44F4}" name="SURPLUS - LAS - Q1" dataDxfId="78">
      <calculatedColumnFormula>IF((E3-D3)&lt;0,0,(E3-D3))</calculatedColumnFormula>
    </tableColumn>
    <tableColumn id="10" xr3:uid="{1E56D889-DC27-4BCB-B61E-06BBBE734949}" name="Quantity based on Target LAS - Q2" dataDxfId="7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76"/>
    <tableColumn id="12" xr3:uid="{F2E2CB95-E0BD-4C6E-ACFE-F201177004A0}" name="Year of Delivery-LAS Q2" dataDxfId="75"/>
    <tableColumn id="13" xr3:uid="{163FBFFB-0AB7-44C8-89C4-72AA64C1EAC7}" name="SOURCE-LAS (CO,RO, SDO) Q2" dataDxfId="74"/>
    <tableColumn id="14" xr3:uid="{EACC05A8-C68D-4495-BC08-73F093C4992F}" name="GAP - LAS -Q2" dataDxfId="73"/>
    <tableColumn id="15" xr3:uid="{28A44E24-3E28-4B7F-BADE-28BB84F0B810}" name="SURPLUS - LAS -Q2" dataDxfId="72"/>
    <tableColumn id="16" xr3:uid="{87878677-5715-46B6-9BA9-9D08DE9A3335}" name="Quantity based on Target LAS - Q3" dataDxfId="71">
      <calculatedColumnFormula>#REF!*8</calculatedColumnFormula>
    </tableColumn>
    <tableColumn id="17" xr3:uid="{48667A1F-77B1-47A6-83F7-61ED15F61DDB}" name="Quantity of Learning Activity Sheets Received (Quantity received x No. of LAS) - Q3" dataDxfId="70"/>
    <tableColumn id="18" xr3:uid="{56F2625D-2CEE-478E-A8DE-42A7191C3835}" name="Year of Delivery-LAS - Q3" dataDxfId="69"/>
    <tableColumn id="19" xr3:uid="{EF0F614F-5FED-4639-8798-840D9677B8DA}" name="SOURCE-LAS (CO,RO, SDO) - Q3" dataDxfId="68"/>
    <tableColumn id="20" xr3:uid="{FD91DDEE-DBA8-4E2C-94B2-23AE9F73CC4A}" name="GAP - LAS - Q3" dataDxfId="67">
      <calculatedColumnFormula>IF((P3-Q3)&lt;0,0,(P3-Q3))</calculatedColumnFormula>
    </tableColumn>
    <tableColumn id="21" xr3:uid="{DB598C6C-E489-4B0F-9BC6-B0981F7D2582}" name="SURPLUS - LAS - Q3" dataDxfId="66">
      <calculatedColumnFormula>IF((Q3-P3)&lt;0,0,(Q3-P3))</calculatedColumnFormula>
    </tableColumn>
    <tableColumn id="22" xr3:uid="{8CD6906A-7980-46E8-80B2-8563AEBC71F7}" name="Quantity based on Target LAS - Q4" dataDxfId="6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64"/>
    <tableColumn id="24" xr3:uid="{205BCDBA-0424-492C-B4EF-841B8A3A1521}" name="Year of Delivery - LAS - Q4" dataDxfId="63"/>
    <tableColumn id="25" xr3:uid="{8226E35B-1F3B-4D2A-815B-9D4C0A24EE7E}" name="SOURCE - LAS (CO,RO, SDO) - Q4" dataDxfId="62"/>
    <tableColumn id="26" xr3:uid="{5B37A4B7-CD16-4D9A-8A47-D9EA73F613BC}" name="GAP - LAS - Q4" dataDxfId="61">
      <calculatedColumnFormula>IF((V3-W3)&lt;0,0,(V3-W3))</calculatedColumnFormula>
    </tableColumn>
    <tableColumn id="27" xr3:uid="{38E9C5F3-3FF5-4B13-A9DA-0081A90F35C5}" name="SURPLUS - LAS - Q4" dataDxfId="6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59" headerRowBorderDxfId="57" tableBorderDxfId="58">
  <autoFilter ref="A2:AA140" xr:uid="{D7C37D80-F2E1-4395-8B6C-0FD477B4D8F8}"/>
  <tableColumns count="27">
    <tableColumn id="1" xr3:uid="{4B1B9E16-DDB6-464C-9C72-937B3CB9CE66}" name="Grade Level" dataDxfId="56"/>
    <tableColumn id="2" xr3:uid="{73AEA048-228E-40E8-B07A-3A7C30BA0DC7}" name="SUBJECTS" dataDxfId="55"/>
    <tableColumn id="3" xr3:uid="{187AF7E3-9651-4001-B779-AADEF0EAB05A}" name="Enrolment S.Y. 2025-2026 " dataDxfId="54"/>
    <tableColumn id="4" xr3:uid="{41F05D2B-5E6F-433A-B62B-2F1726EA10F2}" name="Quantity based on Target ADM-SLM - Q1 " dataDxfId="5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2"/>
    <tableColumn id="6" xr3:uid="{339CCB0D-A0D6-41EF-9023-6B8DF1A1D211}" name="Year of Delivery - ADM-SLM - Q1" dataDxfId="51"/>
    <tableColumn id="7" xr3:uid="{66966C8F-6B7D-4027-80F0-10F5BEB94C36}" name="SOURCE - ADM-SLM (CO,RO, SDO) - Q1" dataDxfId="50"/>
    <tableColumn id="8" xr3:uid="{F205DFF0-AD23-4608-82A0-E64C38A40A7F}" name="GAP - ADM-SLM - Q1" dataDxfId="49">
      <calculatedColumnFormula>IF((D3-E3)&lt;0,0,(D3-E3))</calculatedColumnFormula>
    </tableColumn>
    <tableColumn id="9" xr3:uid="{A97DBFEB-A833-47C5-A43D-C6E4D77683A6}" name="SURPLUS - ADM-SLM - Q1" dataDxfId="48">
      <calculatedColumnFormula>IF((E3-D3)&lt;0,0,(E3-D3))</calculatedColumnFormula>
    </tableColumn>
    <tableColumn id="10" xr3:uid="{6A093D68-BC9F-46BB-AC8F-CA208309466C}" name="Quantity based on Target ADM-SLM - Q2" dataDxfId="4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6"/>
    <tableColumn id="12" xr3:uid="{35FFB32F-868E-4FBD-946A-0482CC3DE0D4}" name="Year of Delivery - ADM-SLM Q2" dataDxfId="45"/>
    <tableColumn id="13" xr3:uid="{987FB8ED-06DA-4311-80C5-DAF78B602129}" name="SOURCE - ADM-SLM (CO,RO, SDO) Q2" dataDxfId="44"/>
    <tableColumn id="14" xr3:uid="{24CC35CF-2900-4C84-934F-7E29CCFCCEC9}" name="GAP - ADM-SLM - Q2" dataDxfId="43"/>
    <tableColumn id="15" xr3:uid="{0DA82B8D-6A8D-469A-8302-7E7DD0B1BDC4}" name="SURPLUS - ADM-SLM -Q2" dataDxfId="42"/>
    <tableColumn id="16" xr3:uid="{126A7F40-0CC3-4264-A57D-D7C0C9FE4720}" name="Quantity based on Target ADM-SLM - Q3" dataDxfId="41">
      <calculatedColumnFormula>#REF!*8</calculatedColumnFormula>
    </tableColumn>
    <tableColumn id="17" xr3:uid="{711B70A4-2160-43C1-900D-FD892755D7AB}" name="Quantity of ADM-SLM Received (Quantity received x No. of ADM-SLM) - Q3" dataDxfId="40"/>
    <tableColumn id="18" xr3:uid="{D8C99A72-7FED-4E85-8CB4-4A08C56BCB15}" name="Year of Delivery - ADM-SLM - Q3" dataDxfId="39"/>
    <tableColumn id="19" xr3:uid="{D48A881D-138B-4288-AA57-050C0AE3F5F6}" name="SOURCE - ADM-SLM(CO,RO, SDO) - Q3" dataDxfId="38"/>
    <tableColumn id="20" xr3:uid="{B03A44EC-B25E-4D0D-B9E6-71825AC6E51F}" name="GAP - ADM-SLM - Q3" dataDxfId="37">
      <calculatedColumnFormula>IF((P3-Q3)&lt;0,0,(P3-Q3))</calculatedColumnFormula>
    </tableColumn>
    <tableColumn id="21" xr3:uid="{3338E724-88DC-45DA-8F55-7AAE5A560621}" name="SURPLUS - ADM-SLM - Q3" dataDxfId="36">
      <calculatedColumnFormula>IF((Q3-P3)&lt;0,0,(Q3-P3))</calculatedColumnFormula>
    </tableColumn>
    <tableColumn id="22" xr3:uid="{AC55FA3C-A61A-4AB0-8391-EC237845F1BF}" name="Quantity based on Target ADM-SLM - Q4" dataDxfId="3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4"/>
    <tableColumn id="24" xr3:uid="{C66CE0BE-6DCF-4E05-9DBD-D908450B3841}" name="Year of Delivery - ADM-SLM- Q4" dataDxfId="33"/>
    <tableColumn id="25" xr3:uid="{AABA2263-B244-4CBF-87B1-CDAAECF763E4}" name="SOURCE - ADM-SLM - (CO,RO, SDO) - Q4" dataDxfId="32"/>
    <tableColumn id="26" xr3:uid="{21E1F5D8-F09B-453A-90E6-AA7B2E8821D1}" name="GAP - ADM-SLM - Q4" dataDxfId="31">
      <calculatedColumnFormula>IF((V3-W3)&lt;0,0,(V3-W3))</calculatedColumnFormula>
    </tableColumn>
    <tableColumn id="27" xr3:uid="{67725D86-C1DE-4DB2-8FBD-99B8821906AB}" name="SURPLUS - ADM-SLM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D56F7C-732E-4342-8E94-1CCC0C4855DF}" name="Table15" displayName="Table15" ref="A2:AA127" totalsRowShown="0" dataDxfId="29" headerRowBorderDxfId="27" tableBorderDxfId="28">
  <autoFilter ref="A2:AA127" xr:uid="{D7C37D80-F2E1-4395-8B6C-0FD477B4D8F8}"/>
  <tableColumns count="27">
    <tableColumn id="1" xr3:uid="{686FE04B-49DD-4B2A-BE64-00419088FB82}" name="Grade Level" dataDxfId="26"/>
    <tableColumn id="2" xr3:uid="{09776423-65A3-4DCB-99E3-DA6FDCFF741C}" name="SUBJECTS" dataDxfId="25"/>
    <tableColumn id="3" xr3:uid="{2184AC5A-CAD3-4E60-829B-3664C18A96AE}" name="Enrolment S.Y. 2025-2026 " dataDxfId="24"/>
    <tableColumn id="4" xr3:uid="{2D004FB7-C416-4D7F-B37A-18F58C9620A9}" name="Quantity based on Target LAS - Q1 " dataDxfId="23">
      <calculatedColumnFormula>Table15[[#This Row],[Enrolment S.Y. 2025-2026 ]]*8</calculatedColumnFormula>
    </tableColumn>
    <tableColumn id="5" xr3:uid="{A8B4995C-56E0-4D43-9EFC-EBDB6E15A822}" name="Quantity of Learning Activity Sheets Received (Quantity received x No. of LAS) - Q1" dataDxfId="22"/>
    <tableColumn id="6" xr3:uid="{7AEC3355-B813-4E6F-9F20-07D1668F804C}" name="Year of Delivery-LAS - Q1" dataDxfId="21"/>
    <tableColumn id="7" xr3:uid="{5B8715BC-9D5D-41E6-95BD-23F3E089474B}" name="SOURCE - LAS (CO,RO, SDO) - Q1" dataDxfId="20"/>
    <tableColumn id="8" xr3:uid="{616456E5-5B5B-4B26-9D55-6872243C92D4}" name="GAP - LAS - Q1" dataDxfId="19">
      <calculatedColumnFormula>IF((D3-E3)&lt;0,0,(D3-E3))</calculatedColumnFormula>
    </tableColumn>
    <tableColumn id="9" xr3:uid="{4D9983B9-0EA8-4F09-BECF-34CF43B34614}" name="SURPLUS - LAS - Q1" dataDxfId="18">
      <calculatedColumnFormula>IF((E3-D3)&lt;0,0,(E3-D3))</calculatedColumnFormula>
    </tableColumn>
    <tableColumn id="10" xr3:uid="{DD5687B5-04A0-4496-AB28-1B07E4058405}" name="Quantity based on Target LAS - Q2" dataDxfId="17">
      <calculatedColumnFormula>Table15[[#This Row],[Enrolment S.Y. 2025-2026 ]]*8</calculatedColumnFormula>
    </tableColumn>
    <tableColumn id="11" xr3:uid="{BF72FD82-EFBE-4569-9F80-821FA9914F10}" name="Quantity of Learning Activity Sheets Received (Quantity received x No. of LAS) Q2" dataDxfId="16"/>
    <tableColumn id="12" xr3:uid="{D56F45E8-673D-4217-88F0-07C4DFD4FB5C}" name="Year of Delivery-LAS Q2" dataDxfId="15"/>
    <tableColumn id="13" xr3:uid="{B2F41823-4B91-4028-A8E2-AF3C28CCF7AA}" name="SOURCE-LAS (CO,RO, SDO) Q2" dataDxfId="14"/>
    <tableColumn id="14" xr3:uid="{1D6E3C76-8B6D-4BEC-9274-4B7A0BCA0FE5}" name="GAP - LAS -Q2" dataDxfId="13"/>
    <tableColumn id="15" xr3:uid="{011F4EDD-9C54-4EE3-8C6D-130B6B585DC6}" name="SURPLUS - LAS -Q2" dataDxfId="12"/>
    <tableColumn id="16" xr3:uid="{14FD047E-B8C0-497B-8667-D149641B26D4}" name="Quantity based on Target LAS - Q3" dataDxfId="11">
      <calculatedColumnFormula>#REF!*8</calculatedColumnFormula>
    </tableColumn>
    <tableColumn id="17" xr3:uid="{8CD5908D-B06C-4DB2-8868-9A35DF1482E5}" name="Quantity of Learning Activity Sheets Received (Quantity received x No. of LAS) - Q3" dataDxfId="10"/>
    <tableColumn id="18" xr3:uid="{23C08974-D435-47BD-A083-ABB9D91F5CC8}" name="Year of Delivery-LAS - Q3" dataDxfId="9"/>
    <tableColumn id="19" xr3:uid="{B69EB80F-B736-44EC-AF94-D181D217CE5E}" name="SOURCE-LAS (CO,RO, SDO) - Q3" dataDxfId="8"/>
    <tableColumn id="20" xr3:uid="{24CE37C7-94E5-45D8-97D5-5B94B527F0FC}" name="GAP - LAS - Q3" dataDxfId="7">
      <calculatedColumnFormula>IF((P3-Q3)&lt;0,0,(P3-Q3))</calculatedColumnFormula>
    </tableColumn>
    <tableColumn id="21" xr3:uid="{B88459B6-B790-4B65-91EE-611D01357E53}" name="SURPLUS - LAS - Q3" dataDxfId="6">
      <calculatedColumnFormula>IF((Q3-P3)&lt;0,0,(Q3-P3))</calculatedColumnFormula>
    </tableColumn>
    <tableColumn id="22" xr3:uid="{095A1EF4-AB70-4F6E-AB0E-F90C4A808288}" name="Quantity based on Target LAS - Q4" dataDxfId="5">
      <calculatedColumnFormula>Table15[[#This Row],[Enrolment S.Y. 2025-2026 ]]*8</calculatedColumnFormula>
    </tableColumn>
    <tableColumn id="23" xr3:uid="{157D119C-32AF-40AC-9838-391CC9701114}" name="Quantity of Learning Activity Sheets Received (Quantity received x No. of LAS)- Q4" dataDxfId="4"/>
    <tableColumn id="24" xr3:uid="{6EC2C685-4C75-4A57-83F3-D2324A6D38ED}" name="Year of Delivery - LAS - Q4" dataDxfId="3"/>
    <tableColumn id="25" xr3:uid="{91B91D88-CF16-46F0-B90E-9E52C6DAB03E}" name="SOURCE - LAS (CO,RO, SDO) - Q4" dataDxfId="2"/>
    <tableColumn id="26" xr3:uid="{75F5D88A-E64E-4AFD-B909-DDCDFD3D8C18}" name="GAP - LAS - Q4" dataDxfId="1">
      <calculatedColumnFormula>IF((V3-W3)&lt;0,0,(V3-W3))</calculatedColumnFormula>
    </tableColumn>
    <tableColumn id="27" xr3:uid="{91176B28-08D3-48C8-891E-14E5163B513A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8" activePane="topRight" state="frozen"/>
      <selection pane="topRight" activeCell="D9" sqref="D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44</v>
      </c>
      <c r="D2" s="1">
        <v>222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178</v>
      </c>
    </row>
    <row r="3" spans="1:8" ht="29.25" customHeight="1">
      <c r="A3" s="1">
        <v>1</v>
      </c>
      <c r="B3" s="2" t="s">
        <v>10</v>
      </c>
      <c r="C3" s="1">
        <v>44</v>
      </c>
      <c r="D3" s="1"/>
      <c r="E3" s="1"/>
      <c r="F3" s="5"/>
      <c r="G3" s="3">
        <f>IF((C3-D3)&lt;0,0,C3-D3)</f>
        <v>44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44</v>
      </c>
      <c r="D4" s="1">
        <v>222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178</v>
      </c>
    </row>
    <row r="5" spans="1:8" ht="25.5" customHeight="1">
      <c r="A5" s="1">
        <v>1</v>
      </c>
      <c r="B5" s="2" t="s">
        <v>12</v>
      </c>
      <c r="C5" s="1">
        <v>44</v>
      </c>
      <c r="D5" s="1">
        <v>222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178</v>
      </c>
    </row>
    <row r="6" spans="1:8" ht="19.5">
      <c r="A6" s="1">
        <v>1</v>
      </c>
      <c r="B6" s="2" t="s">
        <v>13</v>
      </c>
      <c r="C6" s="1">
        <v>44</v>
      </c>
      <c r="D6" s="1"/>
      <c r="E6" s="1"/>
      <c r="F6" s="5"/>
      <c r="G6" s="3">
        <f t="shared" si="0"/>
        <v>44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49</v>
      </c>
      <c r="D8" s="1"/>
      <c r="E8" s="1"/>
      <c r="F8" s="5"/>
      <c r="G8" s="3">
        <f>IF((C8-D8)&lt;0,0,C8-D8)</f>
        <v>49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49</v>
      </c>
      <c r="D9" s="1"/>
      <c r="E9" s="1"/>
      <c r="F9" s="5"/>
      <c r="G9" s="3">
        <f>IF((C9-D9)&lt;0,0,C9-D9)</f>
        <v>49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49</v>
      </c>
      <c r="D10" s="1"/>
      <c r="E10" s="1"/>
      <c r="F10" s="5"/>
      <c r="G10" s="3">
        <f>IF((C10-D10)&lt;0,0,C10-D10)</f>
        <v>49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49</v>
      </c>
      <c r="D11" s="1"/>
      <c r="E11" s="1"/>
      <c r="F11" s="5"/>
      <c r="G11" s="3">
        <f>IF((C11-D11)&lt;0,0,C11-D11)</f>
        <v>49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49</v>
      </c>
      <c r="D12" s="1"/>
      <c r="E12" s="1"/>
      <c r="F12" s="5"/>
      <c r="G12" s="3">
        <f>IF((C12-D12)&lt;0,0,C12-D12)</f>
        <v>49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48</v>
      </c>
      <c r="D14" s="1"/>
      <c r="E14" s="1"/>
      <c r="F14" s="5"/>
      <c r="G14" s="3">
        <f t="shared" ref="G14:G19" si="2">IF((C14-D14)&lt;0,0,C14-D14)</f>
        <v>48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48</v>
      </c>
      <c r="D15" s="1"/>
      <c r="E15" s="1"/>
      <c r="F15" s="5"/>
      <c r="G15" s="3">
        <f t="shared" si="2"/>
        <v>48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48</v>
      </c>
      <c r="D16" s="1"/>
      <c r="E16" s="1"/>
      <c r="F16" s="5"/>
      <c r="G16" s="3">
        <f t="shared" si="2"/>
        <v>48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48</v>
      </c>
      <c r="D17" s="1"/>
      <c r="E17" s="1"/>
      <c r="F17" s="5"/>
      <c r="G17" s="3">
        <f t="shared" si="2"/>
        <v>48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48</v>
      </c>
      <c r="D18" s="1"/>
      <c r="E18" s="1"/>
      <c r="F18" s="5"/>
      <c r="G18" s="3">
        <f t="shared" si="2"/>
        <v>48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48</v>
      </c>
      <c r="D19" s="1"/>
      <c r="E19" s="1"/>
      <c r="F19" s="5"/>
      <c r="G19" s="3">
        <f t="shared" si="2"/>
        <v>48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49</v>
      </c>
      <c r="D21" s="1"/>
      <c r="E21" s="1"/>
      <c r="F21" s="5"/>
      <c r="G21" s="3">
        <f t="shared" ref="G21:G29" si="4">IF((C21-D21)&lt;0,0,C21-D21)</f>
        <v>49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49</v>
      </c>
      <c r="D22" s="1">
        <v>60</v>
      </c>
      <c r="E22" s="1">
        <v>2025</v>
      </c>
      <c r="F22" s="5" t="s">
        <v>9</v>
      </c>
      <c r="G22" s="3">
        <f t="shared" si="4"/>
        <v>0</v>
      </c>
      <c r="H22" s="4">
        <f t="shared" si="5"/>
        <v>11</v>
      </c>
    </row>
    <row r="23" spans="1:8" ht="19.5">
      <c r="A23" s="1">
        <v>4</v>
      </c>
      <c r="B23" s="9" t="s">
        <v>13</v>
      </c>
      <c r="C23" s="1">
        <v>49</v>
      </c>
      <c r="D23" s="1">
        <v>96</v>
      </c>
      <c r="E23" s="1">
        <v>2025</v>
      </c>
      <c r="F23" s="5" t="s">
        <v>9</v>
      </c>
      <c r="G23" s="3">
        <f t="shared" si="4"/>
        <v>0</v>
      </c>
      <c r="H23" s="4">
        <f t="shared" si="5"/>
        <v>47</v>
      </c>
    </row>
    <row r="24" spans="1:8" ht="27" customHeight="1">
      <c r="A24" s="1">
        <v>4</v>
      </c>
      <c r="B24" s="9" t="s">
        <v>11</v>
      </c>
      <c r="C24" s="1">
        <v>49</v>
      </c>
      <c r="D24" s="1">
        <v>96</v>
      </c>
      <c r="E24" s="1">
        <v>2025</v>
      </c>
      <c r="F24" s="5" t="s">
        <v>9</v>
      </c>
      <c r="G24" s="3">
        <f t="shared" si="4"/>
        <v>0</v>
      </c>
      <c r="H24" s="4">
        <f t="shared" si="5"/>
        <v>47</v>
      </c>
    </row>
    <row r="25" spans="1:8" ht="33.75" customHeight="1">
      <c r="A25" s="1">
        <v>4</v>
      </c>
      <c r="B25" s="9" t="s">
        <v>17</v>
      </c>
      <c r="C25" s="1">
        <v>49</v>
      </c>
      <c r="D25" s="1">
        <v>128</v>
      </c>
      <c r="E25" s="1">
        <v>2025</v>
      </c>
      <c r="F25" s="5" t="s">
        <v>9</v>
      </c>
      <c r="G25" s="3">
        <f t="shared" si="4"/>
        <v>0</v>
      </c>
      <c r="H25" s="4">
        <f t="shared" si="5"/>
        <v>79</v>
      </c>
    </row>
    <row r="26" spans="1:8" ht="33.75" customHeight="1">
      <c r="A26" s="1">
        <v>4</v>
      </c>
      <c r="B26" s="9" t="s">
        <v>14</v>
      </c>
      <c r="C26" s="1">
        <v>49</v>
      </c>
      <c r="D26" s="1">
        <v>128</v>
      </c>
      <c r="E26" s="1">
        <v>2025</v>
      </c>
      <c r="F26" s="5" t="s">
        <v>9</v>
      </c>
      <c r="G26" s="3">
        <f t="shared" si="4"/>
        <v>0</v>
      </c>
      <c r="H26" s="4">
        <f t="shared" si="5"/>
        <v>79</v>
      </c>
    </row>
    <row r="27" spans="1:8" ht="33.75" customHeight="1">
      <c r="A27" s="1">
        <v>4</v>
      </c>
      <c r="B27" s="9" t="s">
        <v>18</v>
      </c>
      <c r="C27" s="1">
        <v>49</v>
      </c>
      <c r="D27" s="1">
        <v>125</v>
      </c>
      <c r="E27" s="1">
        <v>2025</v>
      </c>
      <c r="F27" s="5" t="s">
        <v>9</v>
      </c>
      <c r="G27" s="3">
        <f t="shared" si="4"/>
        <v>0</v>
      </c>
      <c r="H27" s="4">
        <f t="shared" si="5"/>
        <v>76</v>
      </c>
    </row>
    <row r="28" spans="1:8" ht="27.75" customHeight="1">
      <c r="A28" s="1">
        <v>4</v>
      </c>
      <c r="B28" s="9" t="s">
        <v>19</v>
      </c>
      <c r="C28" s="1">
        <v>49</v>
      </c>
      <c r="D28" s="1"/>
      <c r="E28" s="1"/>
      <c r="F28" s="5"/>
      <c r="G28" s="3">
        <f t="shared" si="4"/>
        <v>49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49</v>
      </c>
      <c r="D29" s="1"/>
      <c r="E29" s="1"/>
      <c r="F29" s="5"/>
      <c r="G29" s="3">
        <f t="shared" si="4"/>
        <v>49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56</v>
      </c>
      <c r="D31" s="1"/>
      <c r="E31" s="1"/>
      <c r="F31" s="5"/>
      <c r="G31" s="3">
        <f t="shared" ref="G31:G39" si="6">IF((C31-D31)&lt;0,0,C31-D31)</f>
        <v>56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56</v>
      </c>
      <c r="D32" s="1"/>
      <c r="E32" s="1"/>
      <c r="F32" s="5"/>
      <c r="G32" s="3">
        <f t="shared" si="6"/>
        <v>56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56</v>
      </c>
      <c r="D33" s="1"/>
      <c r="E33" s="1"/>
      <c r="F33" s="5"/>
      <c r="G33" s="3">
        <f t="shared" si="6"/>
        <v>56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56</v>
      </c>
      <c r="D34" s="1"/>
      <c r="E34" s="1"/>
      <c r="F34" s="5"/>
      <c r="G34" s="3">
        <f t="shared" si="6"/>
        <v>56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56</v>
      </c>
      <c r="D35" s="1"/>
      <c r="E35" s="1"/>
      <c r="F35" s="5"/>
      <c r="G35" s="3">
        <f t="shared" si="6"/>
        <v>56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56</v>
      </c>
      <c r="D36" s="1"/>
      <c r="E36" s="1"/>
      <c r="F36" s="5"/>
      <c r="G36" s="3">
        <f t="shared" si="6"/>
        <v>56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56</v>
      </c>
      <c r="D37" s="1"/>
      <c r="E37" s="1"/>
      <c r="F37" s="5"/>
      <c r="G37" s="3">
        <f t="shared" si="6"/>
        <v>56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56</v>
      </c>
      <c r="D38" s="1"/>
      <c r="E38" s="1"/>
      <c r="F38" s="5"/>
      <c r="G38" s="3">
        <f t="shared" si="6"/>
        <v>56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56</v>
      </c>
      <c r="D39" s="1"/>
      <c r="E39" s="1"/>
      <c r="F39" s="5"/>
      <c r="G39" s="3">
        <f t="shared" si="6"/>
        <v>56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51</v>
      </c>
      <c r="D41" s="1"/>
      <c r="E41" s="1"/>
      <c r="F41" s="5"/>
      <c r="G41" s="3">
        <f t="shared" ref="G41:G49" si="8">IF((C41-D41)&lt;0,0,C41-D41)</f>
        <v>51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51</v>
      </c>
      <c r="D42" s="1"/>
      <c r="E42" s="1"/>
      <c r="F42" s="5"/>
      <c r="G42" s="3">
        <f t="shared" si="8"/>
        <v>51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51</v>
      </c>
      <c r="D43" s="1"/>
      <c r="E43" s="1"/>
      <c r="F43" s="5"/>
      <c r="G43" s="3">
        <f t="shared" si="8"/>
        <v>51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51</v>
      </c>
      <c r="D44" s="1"/>
      <c r="E44" s="1"/>
      <c r="F44" s="5"/>
      <c r="G44" s="3">
        <f t="shared" si="8"/>
        <v>51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51</v>
      </c>
      <c r="D45" s="1"/>
      <c r="E45" s="1"/>
      <c r="F45" s="5"/>
      <c r="G45" s="3">
        <f t="shared" si="8"/>
        <v>51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51</v>
      </c>
      <c r="D46" s="1"/>
      <c r="E46" s="1"/>
      <c r="F46" s="5"/>
      <c r="G46" s="3">
        <f t="shared" si="8"/>
        <v>51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51</v>
      </c>
      <c r="D47" s="1"/>
      <c r="E47" s="1"/>
      <c r="F47" s="5"/>
      <c r="G47" s="3">
        <f t="shared" si="8"/>
        <v>51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51</v>
      </c>
      <c r="D48" s="1"/>
      <c r="E48" s="1"/>
      <c r="F48" s="5"/>
      <c r="G48" s="3">
        <f t="shared" si="8"/>
        <v>51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51</v>
      </c>
      <c r="D49" s="1"/>
      <c r="E49" s="1"/>
      <c r="F49" s="5"/>
      <c r="G49" s="3">
        <f t="shared" si="8"/>
        <v>51</v>
      </c>
      <c r="H49" s="4">
        <f t="shared" si="9"/>
        <v>0</v>
      </c>
    </row>
    <row r="50" spans="1:8" ht="27.75" customHeight="1">
      <c r="A50" s="7"/>
      <c r="B50" s="7"/>
      <c r="C50" s="8">
        <f>C2+C8+C14+C21+C31+C41</f>
        <v>297</v>
      </c>
      <c r="D50" s="8">
        <f>SUBTOTAL(109,D2:D49)</f>
        <v>1299</v>
      </c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60" zoomScale="70" zoomScaleNormal="70" workbookViewId="0">
      <selection activeCell="F47" sqref="F47:G51"/>
    </sheetView>
  </sheetViews>
  <sheetFormatPr defaultRowHeight="13.9"/>
  <cols>
    <col min="1" max="1" width="10.710937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51</v>
      </c>
      <c r="D3" s="34">
        <f>Table1[[#This Row],[Enrolment S.Y. 2025-2026 ]]*8</f>
        <v>408</v>
      </c>
      <c r="E3" s="34">
        <v>4</v>
      </c>
      <c r="F3" s="32">
        <v>2024</v>
      </c>
      <c r="G3" s="5" t="s">
        <v>9</v>
      </c>
      <c r="H3" s="34">
        <f>IF((D3-E3)&lt;0,0,(D3-E3))</f>
        <v>404</v>
      </c>
      <c r="I3" s="34">
        <f>IF((E3-D3)&lt;0,0,(E3-D3))</f>
        <v>0</v>
      </c>
      <c r="J3" s="34">
        <f>Table1[[#This Row],[Enrolment S.Y. 2025-2026 ]]*8</f>
        <v>408</v>
      </c>
      <c r="K3" s="34"/>
      <c r="L3" s="32"/>
      <c r="M3" s="34"/>
      <c r="N3" s="5">
        <f t="shared" ref="N3" si="0">IF((J3-K3)&lt;0,0,(J3-K3))</f>
        <v>408</v>
      </c>
      <c r="O3" s="5">
        <f t="shared" ref="O3" si="1">IF((K3-J3)&lt;0,0,(K3-J3))</f>
        <v>0</v>
      </c>
      <c r="P3" s="5">
        <f>Table1[[#This Row],[Enrolment S.Y. 2025-2026 ]]*8</f>
        <v>408</v>
      </c>
      <c r="Q3" s="34"/>
      <c r="R3" s="32"/>
      <c r="S3" s="34"/>
      <c r="T3" s="34">
        <f>IF((P3-Q3)&lt;0,0,(P3-Q3))</f>
        <v>408</v>
      </c>
      <c r="U3" s="34">
        <f>IF((Q3-P3)&lt;0,0,(Q3-P3))</f>
        <v>0</v>
      </c>
      <c r="V3" s="34">
        <f>Table1[[#This Row],[Enrolment S.Y. 2025-2026 ]]*8</f>
        <v>408</v>
      </c>
      <c r="W3" s="34"/>
      <c r="X3" s="32"/>
      <c r="Y3" s="34"/>
      <c r="Z3" s="34">
        <f>IF((V3-W3)&lt;0,0,(V3-W3))</f>
        <v>408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" customHeight="1">
      <c r="A5" s="1">
        <v>1</v>
      </c>
      <c r="B5" s="2" t="s">
        <v>8</v>
      </c>
      <c r="C5" s="1">
        <v>44</v>
      </c>
      <c r="D5" s="5">
        <f>Table1[[#This Row],[Enrolment S.Y. 2025-2026 ]]*8</f>
        <v>352</v>
      </c>
      <c r="E5" s="5">
        <f>8+59</f>
        <v>67</v>
      </c>
      <c r="F5" s="1">
        <v>2024</v>
      </c>
      <c r="G5" s="5" t="s">
        <v>9</v>
      </c>
      <c r="H5" s="5">
        <f t="shared" ref="H5:H77" si="2">IF((D5-E5)&lt;0,0,(D5-E5))</f>
        <v>285</v>
      </c>
      <c r="I5" s="5">
        <f t="shared" ref="I5:I77" si="3">IF((E5-D5)&lt;0,0,(E5-D5))</f>
        <v>0</v>
      </c>
      <c r="J5" s="5">
        <f>Table1[[#This Row],[Enrolment S.Y. 2025-2026 ]]*8</f>
        <v>352</v>
      </c>
      <c r="K5" s="5"/>
      <c r="L5" s="1"/>
      <c r="M5" s="5"/>
      <c r="N5" s="5">
        <f t="shared" ref="N5" si="4">IF((J5-K5)&lt;0,0,(J5-K5))</f>
        <v>352</v>
      </c>
      <c r="O5" s="5">
        <f t="shared" ref="O5" si="5">IF((K5-J5)&lt;0,0,(K5-J5))</f>
        <v>0</v>
      </c>
      <c r="P5" s="5">
        <f>Table1[[#This Row],[Enrolment S.Y. 2025-2026 ]]*8</f>
        <v>352</v>
      </c>
      <c r="Q5" s="5"/>
      <c r="R5" s="1"/>
      <c r="S5" s="5"/>
      <c r="T5" s="5">
        <f t="shared" ref="T5" si="6">IF((P5-Q5)&lt;0,0,(P5-Q5))</f>
        <v>352</v>
      </c>
      <c r="U5" s="5">
        <f t="shared" ref="U5" si="7">IF((Q5-P5)&lt;0,0,(Q5-P5))</f>
        <v>0</v>
      </c>
      <c r="V5" s="5">
        <f>Table1[[#This Row],[Enrolment S.Y. 2025-2026 ]]*8</f>
        <v>352</v>
      </c>
      <c r="W5" s="5"/>
      <c r="X5" s="1"/>
      <c r="Y5" s="5"/>
      <c r="Z5" s="5">
        <f t="shared" ref="Z5" si="8">IF((V5-W5)&lt;0,0,(V5-W5))</f>
        <v>352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44</v>
      </c>
      <c r="D6" s="5">
        <f>Table1[[#This Row],[Enrolment S.Y. 2025-2026 ]]*8</f>
        <v>352</v>
      </c>
      <c r="E6" s="5">
        <v>57</v>
      </c>
      <c r="F6" s="1">
        <v>2024</v>
      </c>
      <c r="G6" s="5" t="s">
        <v>9</v>
      </c>
      <c r="H6" s="5">
        <f t="shared" si="2"/>
        <v>295</v>
      </c>
      <c r="I6" s="5">
        <f t="shared" si="3"/>
        <v>0</v>
      </c>
      <c r="J6" s="5">
        <f>Table1[[#This Row],[Enrolment S.Y. 2025-2026 ]]*8</f>
        <v>352</v>
      </c>
      <c r="K6" s="5"/>
      <c r="L6" s="1"/>
      <c r="M6" s="5"/>
      <c r="N6" s="5">
        <f t="shared" ref="N6:N69" si="10">IF((J6-K6)&lt;0,0,(J6-K6))</f>
        <v>352</v>
      </c>
      <c r="O6" s="5">
        <f t="shared" ref="O6:O69" si="11">IF((K6-J6)&lt;0,0,(K6-J6))</f>
        <v>0</v>
      </c>
      <c r="P6" s="5">
        <f>Table1[[#This Row],[Enrolment S.Y. 2025-2026 ]]*8</f>
        <v>352</v>
      </c>
      <c r="Q6" s="5"/>
      <c r="R6" s="1"/>
      <c r="S6" s="5"/>
      <c r="T6" s="5">
        <f t="shared" ref="T6:T69" si="12">IF((P6-Q6)&lt;0,0,(P6-Q6))</f>
        <v>352</v>
      </c>
      <c r="U6" s="5">
        <f t="shared" ref="U6:U69" si="13">IF((Q6-P6)&lt;0,0,(Q6-P6))</f>
        <v>0</v>
      </c>
      <c r="V6" s="5">
        <f>Table1[[#This Row],[Enrolment S.Y. 2025-2026 ]]*8</f>
        <v>352</v>
      </c>
      <c r="W6" s="5"/>
      <c r="X6" s="1"/>
      <c r="Y6" s="5"/>
      <c r="Z6" s="5">
        <f t="shared" ref="Z6:Z69" si="14">IF((V6-W6)&lt;0,0,(V6-W6))</f>
        <v>352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44</v>
      </c>
      <c r="D7" s="5">
        <f>Table1[[#This Row],[Enrolment S.Y. 2025-2026 ]]*8</f>
        <v>352</v>
      </c>
      <c r="E7" s="5">
        <v>8</v>
      </c>
      <c r="F7" s="1">
        <v>2024</v>
      </c>
      <c r="G7" s="5" t="s">
        <v>9</v>
      </c>
      <c r="H7" s="5">
        <f t="shared" si="2"/>
        <v>344</v>
      </c>
      <c r="I7" s="5">
        <f t="shared" si="3"/>
        <v>0</v>
      </c>
      <c r="J7" s="5">
        <f>Table1[[#This Row],[Enrolment S.Y. 2025-2026 ]]*8</f>
        <v>352</v>
      </c>
      <c r="K7" s="5"/>
      <c r="L7" s="1"/>
      <c r="M7" s="5"/>
      <c r="N7" s="5">
        <f t="shared" si="10"/>
        <v>352</v>
      </c>
      <c r="O7" s="5">
        <f t="shared" si="11"/>
        <v>0</v>
      </c>
      <c r="P7" s="5">
        <f>Table1[[#This Row],[Enrolment S.Y. 2025-2026 ]]*8</f>
        <v>352</v>
      </c>
      <c r="Q7" s="5"/>
      <c r="R7" s="1"/>
      <c r="S7" s="5"/>
      <c r="T7" s="5">
        <f t="shared" si="12"/>
        <v>352</v>
      </c>
      <c r="U7" s="5">
        <f t="shared" si="13"/>
        <v>0</v>
      </c>
      <c r="V7" s="5">
        <f>Table1[[#This Row],[Enrolment S.Y. 2025-2026 ]]*8</f>
        <v>352</v>
      </c>
      <c r="W7" s="5"/>
      <c r="X7" s="1"/>
      <c r="Y7" s="5"/>
      <c r="Z7" s="5">
        <f t="shared" si="14"/>
        <v>352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44</v>
      </c>
      <c r="D8" s="5">
        <f>Table1[[#This Row],[Enrolment S.Y. 2025-2026 ]]*8</f>
        <v>352</v>
      </c>
      <c r="E8" s="5">
        <v>8</v>
      </c>
      <c r="F8" s="1">
        <v>2024</v>
      </c>
      <c r="G8" s="5" t="s">
        <v>9</v>
      </c>
      <c r="H8" s="5">
        <f t="shared" si="2"/>
        <v>344</v>
      </c>
      <c r="I8" s="5">
        <f t="shared" si="3"/>
        <v>0</v>
      </c>
      <c r="J8" s="5">
        <f>Table1[[#This Row],[Enrolment S.Y. 2025-2026 ]]*8</f>
        <v>352</v>
      </c>
      <c r="K8" s="5"/>
      <c r="L8" s="1"/>
      <c r="M8" s="5"/>
      <c r="N8" s="5">
        <f t="shared" si="10"/>
        <v>352</v>
      </c>
      <c r="O8" s="5">
        <f t="shared" si="11"/>
        <v>0</v>
      </c>
      <c r="P8" s="5">
        <f>Table1[[#This Row],[Enrolment S.Y. 2025-2026 ]]*8</f>
        <v>352</v>
      </c>
      <c r="Q8" s="5"/>
      <c r="R8" s="1"/>
      <c r="S8" s="5"/>
      <c r="T8" s="5">
        <f t="shared" si="12"/>
        <v>352</v>
      </c>
      <c r="U8" s="5">
        <f t="shared" si="13"/>
        <v>0</v>
      </c>
      <c r="V8" s="5">
        <f>Table1[[#This Row],[Enrolment S.Y. 2025-2026 ]]*8</f>
        <v>352</v>
      </c>
      <c r="W8" s="5"/>
      <c r="X8" s="1"/>
      <c r="Y8" s="5"/>
      <c r="Z8" s="5">
        <f t="shared" si="14"/>
        <v>352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44</v>
      </c>
      <c r="D9" s="5">
        <f>Table1[[#This Row],[Enrolment S.Y. 2025-2026 ]]*8</f>
        <v>352</v>
      </c>
      <c r="E9" s="5">
        <v>8</v>
      </c>
      <c r="F9" s="1">
        <v>2024</v>
      </c>
      <c r="G9" s="5" t="s">
        <v>9</v>
      </c>
      <c r="H9" s="5">
        <f t="shared" si="2"/>
        <v>344</v>
      </c>
      <c r="I9" s="5">
        <f t="shared" si="3"/>
        <v>0</v>
      </c>
      <c r="J9" s="5">
        <f>Table1[[#This Row],[Enrolment S.Y. 2025-2026 ]]*8</f>
        <v>352</v>
      </c>
      <c r="K9" s="5"/>
      <c r="L9" s="1"/>
      <c r="M9" s="5"/>
      <c r="N9" s="5">
        <f t="shared" si="10"/>
        <v>352</v>
      </c>
      <c r="O9" s="5">
        <f t="shared" si="11"/>
        <v>0</v>
      </c>
      <c r="P9" s="5">
        <f>Table1[[#This Row],[Enrolment S.Y. 2025-2026 ]]*8</f>
        <v>352</v>
      </c>
      <c r="Q9" s="5"/>
      <c r="R9" s="1"/>
      <c r="S9" s="5"/>
      <c r="T9" s="5">
        <f t="shared" si="12"/>
        <v>352</v>
      </c>
      <c r="U9" s="5">
        <f t="shared" si="13"/>
        <v>0</v>
      </c>
      <c r="V9" s="5">
        <f>Table1[[#This Row],[Enrolment S.Y. 2025-2026 ]]*8</f>
        <v>352</v>
      </c>
      <c r="W9" s="5"/>
      <c r="X9" s="1"/>
      <c r="Y9" s="5"/>
      <c r="Z9" s="5">
        <f t="shared" si="14"/>
        <v>352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44</v>
      </c>
      <c r="D10" s="5">
        <f>Table1[[#This Row],[Enrolment S.Y. 2025-2026 ]]*8</f>
        <v>352</v>
      </c>
      <c r="E10" s="5">
        <v>8</v>
      </c>
      <c r="F10" s="1">
        <v>2024</v>
      </c>
      <c r="G10" s="5" t="s">
        <v>9</v>
      </c>
      <c r="H10" s="5">
        <f>IF((D10-E10)&lt;0,0,(D10-E10))</f>
        <v>344</v>
      </c>
      <c r="I10" s="5">
        <f>IF((E10-D10)&lt;0,0,(E10-D10))</f>
        <v>0</v>
      </c>
      <c r="J10" s="5">
        <f>Table1[[#This Row],[Enrolment S.Y. 2025-2026 ]]*8</f>
        <v>352</v>
      </c>
      <c r="K10" s="5"/>
      <c r="L10" s="1"/>
      <c r="M10" s="5"/>
      <c r="N10" s="5">
        <f t="shared" si="10"/>
        <v>352</v>
      </c>
      <c r="O10" s="5">
        <f t="shared" si="11"/>
        <v>0</v>
      </c>
      <c r="P10" s="5">
        <f>Table1[[#This Row],[Enrolment S.Y. 2025-2026 ]]*8</f>
        <v>352</v>
      </c>
      <c r="Q10" s="5"/>
      <c r="R10" s="1"/>
      <c r="S10" s="5"/>
      <c r="T10" s="5">
        <f t="shared" si="12"/>
        <v>352</v>
      </c>
      <c r="U10" s="5">
        <f t="shared" si="13"/>
        <v>0</v>
      </c>
      <c r="V10" s="5">
        <f>Table1[[#This Row],[Enrolment S.Y. 2025-2026 ]]*8</f>
        <v>352</v>
      </c>
      <c r="W10" s="5"/>
      <c r="X10" s="1"/>
      <c r="Y10" s="5"/>
      <c r="Z10" s="5">
        <f t="shared" si="14"/>
        <v>352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44</v>
      </c>
      <c r="D11" s="5">
        <f>Table1[[#This Row],[Enrolment S.Y. 2025-2026 ]]*8</f>
        <v>352</v>
      </c>
      <c r="E11" s="5"/>
      <c r="F11" s="1"/>
      <c r="G11" s="5"/>
      <c r="H11" s="5">
        <f>IF((D11-E11)&lt;0,0,(D11-E11))</f>
        <v>352</v>
      </c>
      <c r="I11" s="5">
        <f>IF((E11-D11)&lt;0,0,(E11-D11))</f>
        <v>0</v>
      </c>
      <c r="J11" s="5">
        <f>Table1[[#This Row],[Enrolment S.Y. 2025-2026 ]]*8</f>
        <v>352</v>
      </c>
      <c r="K11" s="5"/>
      <c r="L11" s="1"/>
      <c r="M11" s="5"/>
      <c r="N11" s="5">
        <f t="shared" si="10"/>
        <v>352</v>
      </c>
      <c r="O11" s="5">
        <f t="shared" si="11"/>
        <v>0</v>
      </c>
      <c r="P11" s="5">
        <f>Table1[[#This Row],[Enrolment S.Y. 2025-2026 ]]*8</f>
        <v>352</v>
      </c>
      <c r="Q11" s="5"/>
      <c r="R11" s="1"/>
      <c r="S11" s="5"/>
      <c r="T11" s="5">
        <f t="shared" si="12"/>
        <v>352</v>
      </c>
      <c r="U11" s="5">
        <f t="shared" si="13"/>
        <v>0</v>
      </c>
      <c r="V11" s="5">
        <f>Table1[[#This Row],[Enrolment S.Y. 2025-2026 ]]*8</f>
        <v>352</v>
      </c>
      <c r="W11" s="5"/>
      <c r="X11" s="1"/>
      <c r="Y11" s="5"/>
      <c r="Z11" s="5">
        <f t="shared" si="14"/>
        <v>352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44</v>
      </c>
      <c r="D12" s="5">
        <f>Table1[[#This Row],[Enrolment S.Y. 2025-2026 ]]*8</f>
        <v>352</v>
      </c>
      <c r="E12" s="5"/>
      <c r="F12" s="1"/>
      <c r="G12" s="5"/>
      <c r="H12" s="5">
        <f>IF((D12-E12)&lt;0,0,(D12-E12))</f>
        <v>352</v>
      </c>
      <c r="I12" s="5">
        <f>IF((E12-D12)&lt;0,0,(E12-D12))</f>
        <v>0</v>
      </c>
      <c r="J12" s="5">
        <f>Table1[[#This Row],[Enrolment S.Y. 2025-2026 ]]*8</f>
        <v>352</v>
      </c>
      <c r="K12" s="5"/>
      <c r="L12" s="1"/>
      <c r="M12" s="5"/>
      <c r="N12" s="5">
        <f t="shared" si="10"/>
        <v>352</v>
      </c>
      <c r="O12" s="5">
        <f t="shared" si="11"/>
        <v>0</v>
      </c>
      <c r="P12" s="5">
        <f>Table1[[#This Row],[Enrolment S.Y. 2025-2026 ]]*8</f>
        <v>352</v>
      </c>
      <c r="Q12" s="5"/>
      <c r="R12" s="1"/>
      <c r="S12" s="5"/>
      <c r="T12" s="5">
        <f t="shared" si="12"/>
        <v>352</v>
      </c>
      <c r="U12" s="5">
        <f t="shared" si="13"/>
        <v>0</v>
      </c>
      <c r="V12" s="5">
        <f>Table1[[#This Row],[Enrolment S.Y. 2025-2026 ]]*8</f>
        <v>352</v>
      </c>
      <c r="W12" s="5"/>
      <c r="X12" s="1"/>
      <c r="Y12" s="5"/>
      <c r="Z12" s="5">
        <f t="shared" si="14"/>
        <v>352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7.5" customHeight="1">
      <c r="A14" s="1">
        <v>2</v>
      </c>
      <c r="B14" s="2" t="s">
        <v>8</v>
      </c>
      <c r="C14" s="1">
        <v>49</v>
      </c>
      <c r="D14" s="5">
        <f>Table1[[#This Row],[Enrolment S.Y. 2025-2026 ]]*8</f>
        <v>392</v>
      </c>
      <c r="E14" s="5"/>
      <c r="F14" s="1"/>
      <c r="G14" s="5"/>
      <c r="H14" s="5">
        <f t="shared" si="2"/>
        <v>392</v>
      </c>
      <c r="I14" s="5">
        <f t="shared" si="3"/>
        <v>0</v>
      </c>
      <c r="J14" s="5">
        <f>Table1[[#This Row],[Enrolment S.Y. 2025-2026 ]]*8</f>
        <v>392</v>
      </c>
      <c r="K14" s="5"/>
      <c r="L14" s="1"/>
      <c r="M14" s="5"/>
      <c r="N14" s="5">
        <f t="shared" si="10"/>
        <v>392</v>
      </c>
      <c r="O14" s="5">
        <f t="shared" si="11"/>
        <v>0</v>
      </c>
      <c r="P14" s="5">
        <f>Table1[[#This Row],[Enrolment S.Y. 2025-2026 ]]*8</f>
        <v>392</v>
      </c>
      <c r="Q14" s="5"/>
      <c r="R14" s="1"/>
      <c r="S14" s="5"/>
      <c r="T14" s="5">
        <f t="shared" si="12"/>
        <v>392</v>
      </c>
      <c r="U14" s="5">
        <f t="shared" si="13"/>
        <v>0</v>
      </c>
      <c r="V14" s="5">
        <f>Table1[[#This Row],[Enrolment S.Y. 2025-2026 ]]*8</f>
        <v>392</v>
      </c>
      <c r="W14" s="5"/>
      <c r="X14" s="1"/>
      <c r="Y14" s="5"/>
      <c r="Z14" s="5">
        <f t="shared" si="14"/>
        <v>392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49</v>
      </c>
      <c r="D15" s="5">
        <f>Table1[[#This Row],[Enrolment S.Y. 2025-2026 ]]*8</f>
        <v>392</v>
      </c>
      <c r="E15" s="5"/>
      <c r="F15" s="1"/>
      <c r="G15" s="5"/>
      <c r="H15" s="5">
        <f t="shared" si="2"/>
        <v>392</v>
      </c>
      <c r="I15" s="5">
        <f t="shared" si="3"/>
        <v>0</v>
      </c>
      <c r="J15" s="5">
        <f>Table1[[#This Row],[Enrolment S.Y. 2025-2026 ]]*8</f>
        <v>392</v>
      </c>
      <c r="K15" s="5"/>
      <c r="L15" s="1"/>
      <c r="M15" s="5"/>
      <c r="N15" s="5">
        <f t="shared" si="10"/>
        <v>392</v>
      </c>
      <c r="O15" s="5">
        <f t="shared" si="11"/>
        <v>0</v>
      </c>
      <c r="P15" s="5">
        <f>Table1[[#This Row],[Enrolment S.Y. 2025-2026 ]]*8</f>
        <v>392</v>
      </c>
      <c r="Q15" s="5"/>
      <c r="R15" s="1"/>
      <c r="S15" s="5"/>
      <c r="T15" s="5">
        <f t="shared" si="12"/>
        <v>392</v>
      </c>
      <c r="U15" s="5">
        <f t="shared" si="13"/>
        <v>0</v>
      </c>
      <c r="V15" s="5">
        <f>Table1[[#This Row],[Enrolment S.Y. 2025-2026 ]]*8</f>
        <v>392</v>
      </c>
      <c r="W15" s="5"/>
      <c r="X15" s="1"/>
      <c r="Y15" s="5"/>
      <c r="Z15" s="5">
        <f t="shared" si="14"/>
        <v>392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49</v>
      </c>
      <c r="D16" s="5">
        <f>Table1[[#This Row],[Enrolment S.Y. 2025-2026 ]]*8</f>
        <v>392</v>
      </c>
      <c r="E16" s="5">
        <v>54</v>
      </c>
      <c r="F16" s="1">
        <v>2025</v>
      </c>
      <c r="G16" s="5" t="s">
        <v>9</v>
      </c>
      <c r="H16" s="5">
        <f t="shared" si="2"/>
        <v>338</v>
      </c>
      <c r="I16" s="5">
        <f t="shared" si="3"/>
        <v>0</v>
      </c>
      <c r="J16" s="5">
        <f>Table1[[#This Row],[Enrolment S.Y. 2025-2026 ]]*8</f>
        <v>392</v>
      </c>
      <c r="K16" s="5"/>
      <c r="L16" s="1"/>
      <c r="M16" s="5"/>
      <c r="N16" s="5">
        <f t="shared" si="10"/>
        <v>392</v>
      </c>
      <c r="O16" s="5">
        <f t="shared" si="11"/>
        <v>0</v>
      </c>
      <c r="P16" s="5">
        <f>Table1[[#This Row],[Enrolment S.Y. 2025-2026 ]]*8</f>
        <v>392</v>
      </c>
      <c r="Q16" s="5"/>
      <c r="R16" s="1"/>
      <c r="S16" s="5"/>
      <c r="T16" s="5">
        <f t="shared" si="12"/>
        <v>392</v>
      </c>
      <c r="U16" s="5">
        <f t="shared" si="13"/>
        <v>0</v>
      </c>
      <c r="V16" s="5">
        <f>Table1[[#This Row],[Enrolment S.Y. 2025-2026 ]]*8</f>
        <v>392</v>
      </c>
      <c r="W16" s="5"/>
      <c r="X16" s="1"/>
      <c r="Y16" s="5"/>
      <c r="Z16" s="5">
        <f t="shared" si="14"/>
        <v>392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49</v>
      </c>
      <c r="D17" s="5">
        <f>Table1[[#This Row],[Enrolment S.Y. 2025-2026 ]]*8</f>
        <v>392</v>
      </c>
      <c r="E17" s="5"/>
      <c r="F17" s="1"/>
      <c r="G17" s="5"/>
      <c r="H17" s="5">
        <f t="shared" si="2"/>
        <v>392</v>
      </c>
      <c r="I17" s="5">
        <f t="shared" si="3"/>
        <v>0</v>
      </c>
      <c r="J17" s="5">
        <f>Table1[[#This Row],[Enrolment S.Y. 2025-2026 ]]*8</f>
        <v>392</v>
      </c>
      <c r="K17" s="5"/>
      <c r="L17" s="1"/>
      <c r="M17" s="5"/>
      <c r="N17" s="5">
        <f t="shared" si="10"/>
        <v>392</v>
      </c>
      <c r="O17" s="5">
        <f t="shared" si="11"/>
        <v>0</v>
      </c>
      <c r="P17" s="5">
        <f>Table1[[#This Row],[Enrolment S.Y. 2025-2026 ]]*8</f>
        <v>392</v>
      </c>
      <c r="Q17" s="5"/>
      <c r="R17" s="1"/>
      <c r="S17" s="5"/>
      <c r="T17" s="5">
        <f t="shared" si="12"/>
        <v>392</v>
      </c>
      <c r="U17" s="5">
        <f t="shared" si="13"/>
        <v>0</v>
      </c>
      <c r="V17" s="5">
        <f>Table1[[#This Row],[Enrolment S.Y. 2025-2026 ]]*8</f>
        <v>392</v>
      </c>
      <c r="W17" s="5"/>
      <c r="X17" s="1"/>
      <c r="Y17" s="5"/>
      <c r="Z17" s="5">
        <f t="shared" si="14"/>
        <v>392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49</v>
      </c>
      <c r="D18" s="5">
        <f>Table1[[#This Row],[Enrolment S.Y. 2025-2026 ]]*8</f>
        <v>392</v>
      </c>
      <c r="E18" s="5">
        <v>54</v>
      </c>
      <c r="F18" s="1">
        <v>2025</v>
      </c>
      <c r="G18" s="5" t="s">
        <v>9</v>
      </c>
      <c r="H18" s="5">
        <f t="shared" si="2"/>
        <v>338</v>
      </c>
      <c r="I18" s="5">
        <f t="shared" si="3"/>
        <v>0</v>
      </c>
      <c r="J18" s="5">
        <f>Table1[[#This Row],[Enrolment S.Y. 2025-2026 ]]*8</f>
        <v>392</v>
      </c>
      <c r="K18" s="5"/>
      <c r="L18" s="1"/>
      <c r="M18" s="5"/>
      <c r="N18" s="5">
        <f t="shared" si="10"/>
        <v>392</v>
      </c>
      <c r="O18" s="5">
        <f t="shared" si="11"/>
        <v>0</v>
      </c>
      <c r="P18" s="5">
        <f>Table1[[#This Row],[Enrolment S.Y. 2025-2026 ]]*8</f>
        <v>392</v>
      </c>
      <c r="Q18" s="5"/>
      <c r="R18" s="1"/>
      <c r="S18" s="5"/>
      <c r="T18" s="5">
        <f t="shared" si="12"/>
        <v>392</v>
      </c>
      <c r="U18" s="5">
        <f t="shared" si="13"/>
        <v>0</v>
      </c>
      <c r="V18" s="5">
        <f>Table1[[#This Row],[Enrolment S.Y. 2025-2026 ]]*8</f>
        <v>392</v>
      </c>
      <c r="W18" s="5"/>
      <c r="X18" s="1"/>
      <c r="Y18" s="5"/>
      <c r="Z18" s="5">
        <f t="shared" si="14"/>
        <v>392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49</v>
      </c>
      <c r="D19" s="5">
        <f>Table1[[#This Row],[Enrolment S.Y. 2025-2026 ]]*8</f>
        <v>392</v>
      </c>
      <c r="E19" s="5"/>
      <c r="F19" s="1"/>
      <c r="G19" s="5"/>
      <c r="H19" s="5">
        <f>IF((D19-E19)&lt;0,0,(D19-E19))</f>
        <v>392</v>
      </c>
      <c r="I19" s="5">
        <f>IF((E19-D19)&lt;0,0,(E19-D19))</f>
        <v>0</v>
      </c>
      <c r="J19" s="5">
        <f>Table1[[#This Row],[Enrolment S.Y. 2025-2026 ]]*8</f>
        <v>392</v>
      </c>
      <c r="K19" s="5"/>
      <c r="L19" s="1"/>
      <c r="M19" s="5"/>
      <c r="N19" s="5">
        <f t="shared" si="10"/>
        <v>392</v>
      </c>
      <c r="O19" s="5">
        <f t="shared" si="11"/>
        <v>0</v>
      </c>
      <c r="P19" s="5">
        <f>Table1[[#This Row],[Enrolment S.Y. 2025-2026 ]]*8</f>
        <v>392</v>
      </c>
      <c r="Q19" s="5"/>
      <c r="R19" s="1"/>
      <c r="S19" s="5"/>
      <c r="T19" s="5">
        <f t="shared" si="12"/>
        <v>392</v>
      </c>
      <c r="U19" s="5">
        <f t="shared" si="13"/>
        <v>0</v>
      </c>
      <c r="V19" s="5">
        <f>Table1[[#This Row],[Enrolment S.Y. 2025-2026 ]]*8</f>
        <v>392</v>
      </c>
      <c r="W19" s="5"/>
      <c r="X19" s="1"/>
      <c r="Y19" s="5"/>
      <c r="Z19" s="5">
        <f t="shared" si="14"/>
        <v>392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49</v>
      </c>
      <c r="D20" s="5">
        <f>Table1[[#This Row],[Enrolment S.Y. 2025-2026 ]]*8</f>
        <v>392</v>
      </c>
      <c r="E20" s="5">
        <v>54</v>
      </c>
      <c r="F20" s="1">
        <v>2025</v>
      </c>
      <c r="G20" s="5" t="s">
        <v>9</v>
      </c>
      <c r="H20" s="5">
        <f>IF((D20-E20)&lt;0,0,(D20-E20))</f>
        <v>338</v>
      </c>
      <c r="I20" s="5">
        <f>IF((E20-D20)&lt;0,0,(E20-D20))</f>
        <v>0</v>
      </c>
      <c r="J20" s="5">
        <f>Table1[[#This Row],[Enrolment S.Y. 2025-2026 ]]*8</f>
        <v>392</v>
      </c>
      <c r="K20" s="5"/>
      <c r="L20" s="1"/>
      <c r="M20" s="5"/>
      <c r="N20" s="5">
        <f t="shared" si="10"/>
        <v>392</v>
      </c>
      <c r="O20" s="5">
        <f t="shared" si="11"/>
        <v>0</v>
      </c>
      <c r="P20" s="5">
        <f>Table1[[#This Row],[Enrolment S.Y. 2025-2026 ]]*8</f>
        <v>392</v>
      </c>
      <c r="Q20" s="5"/>
      <c r="R20" s="1"/>
      <c r="S20" s="5"/>
      <c r="T20" s="5">
        <f t="shared" si="12"/>
        <v>392</v>
      </c>
      <c r="U20" s="5">
        <f t="shared" si="13"/>
        <v>0</v>
      </c>
      <c r="V20" s="5">
        <f>Table1[[#This Row],[Enrolment S.Y. 2025-2026 ]]*8</f>
        <v>392</v>
      </c>
      <c r="W20" s="5"/>
      <c r="X20" s="1"/>
      <c r="Y20" s="5"/>
      <c r="Z20" s="5">
        <f t="shared" si="14"/>
        <v>392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49</v>
      </c>
      <c r="D21" s="5">
        <f>Table1[[#This Row],[Enrolment S.Y. 2025-2026 ]]*8</f>
        <v>392</v>
      </c>
      <c r="E21" s="5"/>
      <c r="F21" s="1"/>
      <c r="G21" s="5"/>
      <c r="H21" s="5">
        <f>IF((D21-E21)&lt;0,0,(D21-E21))</f>
        <v>392</v>
      </c>
      <c r="I21" s="5">
        <f>IF((E21-D21)&lt;0,0,(E21-D21))</f>
        <v>0</v>
      </c>
      <c r="J21" s="5">
        <f>Table1[[#This Row],[Enrolment S.Y. 2025-2026 ]]*8</f>
        <v>392</v>
      </c>
      <c r="K21" s="5"/>
      <c r="L21" s="1"/>
      <c r="M21" s="5"/>
      <c r="N21" s="5">
        <f t="shared" si="10"/>
        <v>392</v>
      </c>
      <c r="O21" s="5">
        <f t="shared" si="11"/>
        <v>0</v>
      </c>
      <c r="P21" s="5">
        <f>Table1[[#This Row],[Enrolment S.Y. 2025-2026 ]]*8</f>
        <v>392</v>
      </c>
      <c r="Q21" s="5"/>
      <c r="R21" s="1"/>
      <c r="S21" s="5"/>
      <c r="T21" s="5">
        <f t="shared" si="12"/>
        <v>392</v>
      </c>
      <c r="U21" s="5">
        <f t="shared" si="13"/>
        <v>0</v>
      </c>
      <c r="V21" s="5">
        <f>Table1[[#This Row],[Enrolment S.Y. 2025-2026 ]]*8</f>
        <v>392</v>
      </c>
      <c r="W21" s="5"/>
      <c r="X21" s="1"/>
      <c r="Y21" s="5"/>
      <c r="Z21" s="5">
        <f t="shared" si="14"/>
        <v>392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48</v>
      </c>
      <c r="D23" s="5">
        <f>Table1[[#This Row],[Enrolment S.Y. 2025-2026 ]]*8</f>
        <v>384</v>
      </c>
      <c r="E23" s="5"/>
      <c r="F23" s="1"/>
      <c r="G23" s="5"/>
      <c r="H23" s="5">
        <f t="shared" si="2"/>
        <v>384</v>
      </c>
      <c r="I23" s="5">
        <f t="shared" si="3"/>
        <v>0</v>
      </c>
      <c r="J23" s="5">
        <f>Table1[[#This Row],[Enrolment S.Y. 2025-2026 ]]*8</f>
        <v>384</v>
      </c>
      <c r="K23" s="5"/>
      <c r="L23" s="1"/>
      <c r="M23" s="5"/>
      <c r="N23" s="5">
        <f t="shared" si="10"/>
        <v>384</v>
      </c>
      <c r="O23" s="5">
        <f t="shared" si="11"/>
        <v>0</v>
      </c>
      <c r="P23" s="5">
        <f>Table1[[#This Row],[Enrolment S.Y. 2025-2026 ]]*8</f>
        <v>384</v>
      </c>
      <c r="Q23" s="5"/>
      <c r="R23" s="1"/>
      <c r="S23" s="5"/>
      <c r="T23" s="5">
        <f t="shared" si="12"/>
        <v>384</v>
      </c>
      <c r="U23" s="5">
        <f t="shared" si="13"/>
        <v>0</v>
      </c>
      <c r="V23" s="5">
        <f>Table1[[#This Row],[Enrolment S.Y. 2025-2026 ]]*8</f>
        <v>384</v>
      </c>
      <c r="W23" s="5"/>
      <c r="X23" s="1"/>
      <c r="Y23" s="5"/>
      <c r="Z23" s="5">
        <f t="shared" si="14"/>
        <v>384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48</v>
      </c>
      <c r="D24" s="5">
        <f>Table1[[#This Row],[Enrolment S.Y. 2025-2026 ]]*8</f>
        <v>384</v>
      </c>
      <c r="E24" s="5"/>
      <c r="F24" s="1"/>
      <c r="G24" s="5"/>
      <c r="H24" s="5">
        <f t="shared" si="2"/>
        <v>384</v>
      </c>
      <c r="I24" s="5">
        <f t="shared" si="3"/>
        <v>0</v>
      </c>
      <c r="J24" s="5">
        <f>Table1[[#This Row],[Enrolment S.Y. 2025-2026 ]]*8</f>
        <v>384</v>
      </c>
      <c r="K24" s="5"/>
      <c r="L24" s="1"/>
      <c r="M24" s="5"/>
      <c r="N24" s="5">
        <f t="shared" si="10"/>
        <v>384</v>
      </c>
      <c r="O24" s="5">
        <f t="shared" si="11"/>
        <v>0</v>
      </c>
      <c r="P24" s="5">
        <f>Table1[[#This Row],[Enrolment S.Y. 2025-2026 ]]*8</f>
        <v>384</v>
      </c>
      <c r="Q24" s="5"/>
      <c r="R24" s="1"/>
      <c r="S24" s="5"/>
      <c r="T24" s="5">
        <f t="shared" si="12"/>
        <v>384</v>
      </c>
      <c r="U24" s="5">
        <f t="shared" si="13"/>
        <v>0</v>
      </c>
      <c r="V24" s="5">
        <f>Table1[[#This Row],[Enrolment S.Y. 2025-2026 ]]*8</f>
        <v>384</v>
      </c>
      <c r="W24" s="5"/>
      <c r="X24" s="1"/>
      <c r="Y24" s="5"/>
      <c r="Z24" s="5">
        <f t="shared" si="14"/>
        <v>384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48</v>
      </c>
      <c r="D25" s="5">
        <f>Table1[[#This Row],[Enrolment S.Y. 2025-2026 ]]*8</f>
        <v>384</v>
      </c>
      <c r="E25" s="5">
        <v>55</v>
      </c>
      <c r="F25" s="1">
        <v>2025</v>
      </c>
      <c r="G25" s="5" t="s">
        <v>9</v>
      </c>
      <c r="H25" s="5">
        <f t="shared" si="2"/>
        <v>329</v>
      </c>
      <c r="I25" s="5">
        <f t="shared" si="3"/>
        <v>0</v>
      </c>
      <c r="J25" s="5">
        <f>Table1[[#This Row],[Enrolment S.Y. 2025-2026 ]]*8</f>
        <v>384</v>
      </c>
      <c r="K25" s="5"/>
      <c r="L25" s="1"/>
      <c r="M25" s="5"/>
      <c r="N25" s="5">
        <f t="shared" si="10"/>
        <v>384</v>
      </c>
      <c r="O25" s="5">
        <f t="shared" si="11"/>
        <v>0</v>
      </c>
      <c r="P25" s="5">
        <f>Table1[[#This Row],[Enrolment S.Y. 2025-2026 ]]*8</f>
        <v>384</v>
      </c>
      <c r="Q25" s="5"/>
      <c r="R25" s="1"/>
      <c r="S25" s="5"/>
      <c r="T25" s="5">
        <f t="shared" si="12"/>
        <v>384</v>
      </c>
      <c r="U25" s="5">
        <f t="shared" si="13"/>
        <v>0</v>
      </c>
      <c r="V25" s="5">
        <f>Table1[[#This Row],[Enrolment S.Y. 2025-2026 ]]*8</f>
        <v>384</v>
      </c>
      <c r="W25" s="5"/>
      <c r="X25" s="1"/>
      <c r="Y25" s="5"/>
      <c r="Z25" s="5">
        <f t="shared" si="14"/>
        <v>384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48</v>
      </c>
      <c r="D26" s="5">
        <f>Table1[[#This Row],[Enrolment S.Y. 2025-2026 ]]*8</f>
        <v>384</v>
      </c>
      <c r="E26" s="5">
        <v>55</v>
      </c>
      <c r="F26" s="1">
        <v>2025</v>
      </c>
      <c r="G26" s="5" t="s">
        <v>9</v>
      </c>
      <c r="H26" s="5">
        <f t="shared" si="2"/>
        <v>329</v>
      </c>
      <c r="I26" s="5">
        <f t="shared" si="3"/>
        <v>0</v>
      </c>
      <c r="J26" s="5">
        <f>Table1[[#This Row],[Enrolment S.Y. 2025-2026 ]]*8</f>
        <v>384</v>
      </c>
      <c r="K26" s="5"/>
      <c r="L26" s="1"/>
      <c r="M26" s="5"/>
      <c r="N26" s="5">
        <f t="shared" si="10"/>
        <v>384</v>
      </c>
      <c r="O26" s="5">
        <f t="shared" si="11"/>
        <v>0</v>
      </c>
      <c r="P26" s="5">
        <f>Table1[[#This Row],[Enrolment S.Y. 2025-2026 ]]*8</f>
        <v>384</v>
      </c>
      <c r="Q26" s="5"/>
      <c r="R26" s="1"/>
      <c r="S26" s="5"/>
      <c r="T26" s="5">
        <f t="shared" si="12"/>
        <v>384</v>
      </c>
      <c r="U26" s="5">
        <f t="shared" si="13"/>
        <v>0</v>
      </c>
      <c r="V26" s="5">
        <f>Table1[[#This Row],[Enrolment S.Y. 2025-2026 ]]*8</f>
        <v>384</v>
      </c>
      <c r="W26" s="5"/>
      <c r="X26" s="1"/>
      <c r="Y26" s="5"/>
      <c r="Z26" s="5">
        <f t="shared" si="14"/>
        <v>384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48</v>
      </c>
      <c r="D27" s="5">
        <f>Table1[[#This Row],[Enrolment S.Y. 2025-2026 ]]*8</f>
        <v>384</v>
      </c>
      <c r="E27" s="5">
        <v>55</v>
      </c>
      <c r="F27" s="1">
        <v>2025</v>
      </c>
      <c r="G27" s="5" t="s">
        <v>9</v>
      </c>
      <c r="H27" s="5">
        <f t="shared" si="2"/>
        <v>329</v>
      </c>
      <c r="I27" s="5">
        <f t="shared" si="3"/>
        <v>0</v>
      </c>
      <c r="J27" s="5">
        <f>Table1[[#This Row],[Enrolment S.Y. 2025-2026 ]]*8</f>
        <v>384</v>
      </c>
      <c r="K27" s="5"/>
      <c r="L27" s="1"/>
      <c r="M27" s="5"/>
      <c r="N27" s="5">
        <f t="shared" si="10"/>
        <v>384</v>
      </c>
      <c r="O27" s="5">
        <f t="shared" si="11"/>
        <v>0</v>
      </c>
      <c r="P27" s="5">
        <f>Table1[[#This Row],[Enrolment S.Y. 2025-2026 ]]*8</f>
        <v>384</v>
      </c>
      <c r="Q27" s="5"/>
      <c r="R27" s="1"/>
      <c r="S27" s="5"/>
      <c r="T27" s="5">
        <f t="shared" si="12"/>
        <v>384</v>
      </c>
      <c r="U27" s="5">
        <f t="shared" si="13"/>
        <v>0</v>
      </c>
      <c r="V27" s="5">
        <f>Table1[[#This Row],[Enrolment S.Y. 2025-2026 ]]*8</f>
        <v>384</v>
      </c>
      <c r="W27" s="5"/>
      <c r="X27" s="1"/>
      <c r="Y27" s="5"/>
      <c r="Z27" s="5">
        <f t="shared" si="14"/>
        <v>384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48</v>
      </c>
      <c r="D28" s="5">
        <f>Table1[[#This Row],[Enrolment S.Y. 2025-2026 ]]*8</f>
        <v>384</v>
      </c>
      <c r="E28" s="5">
        <v>55</v>
      </c>
      <c r="F28" s="1">
        <v>2025</v>
      </c>
      <c r="G28" s="5" t="s">
        <v>9</v>
      </c>
      <c r="H28" s="5">
        <f t="shared" si="2"/>
        <v>329</v>
      </c>
      <c r="I28" s="5">
        <f t="shared" si="3"/>
        <v>0</v>
      </c>
      <c r="J28" s="5">
        <f>Table1[[#This Row],[Enrolment S.Y. 2025-2026 ]]*8</f>
        <v>384</v>
      </c>
      <c r="K28" s="5"/>
      <c r="L28" s="1"/>
      <c r="M28" s="5"/>
      <c r="N28" s="5">
        <f t="shared" si="10"/>
        <v>384</v>
      </c>
      <c r="O28" s="5">
        <f t="shared" si="11"/>
        <v>0</v>
      </c>
      <c r="P28" s="5">
        <f>Table1[[#This Row],[Enrolment S.Y. 2025-2026 ]]*8</f>
        <v>384</v>
      </c>
      <c r="Q28" s="5"/>
      <c r="R28" s="1"/>
      <c r="S28" s="5"/>
      <c r="T28" s="5">
        <f t="shared" si="12"/>
        <v>384</v>
      </c>
      <c r="U28" s="5">
        <f t="shared" si="13"/>
        <v>0</v>
      </c>
      <c r="V28" s="5">
        <f>Table1[[#This Row],[Enrolment S.Y. 2025-2026 ]]*8</f>
        <v>384</v>
      </c>
      <c r="W28" s="5"/>
      <c r="X28" s="1"/>
      <c r="Y28" s="5"/>
      <c r="Z28" s="5">
        <f t="shared" si="14"/>
        <v>384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48</v>
      </c>
      <c r="D29" s="5">
        <f>Table1[[#This Row],[Enrolment S.Y. 2025-2026 ]]*8</f>
        <v>384</v>
      </c>
      <c r="E29" s="5">
        <v>55</v>
      </c>
      <c r="F29" s="1">
        <v>2025</v>
      </c>
      <c r="G29" s="5" t="s">
        <v>9</v>
      </c>
      <c r="H29" s="5">
        <f>IF((D29-E29)&lt;0,0,(D29-E29))</f>
        <v>329</v>
      </c>
      <c r="I29" s="5">
        <f>IF((E29-D29)&lt;0,0,(E29-D29))</f>
        <v>0</v>
      </c>
      <c r="J29" s="5">
        <f>Table1[[#This Row],[Enrolment S.Y. 2025-2026 ]]*8</f>
        <v>384</v>
      </c>
      <c r="K29" s="5"/>
      <c r="L29" s="1"/>
      <c r="M29" s="5"/>
      <c r="N29" s="5">
        <f t="shared" si="10"/>
        <v>384</v>
      </c>
      <c r="O29" s="5">
        <f t="shared" si="11"/>
        <v>0</v>
      </c>
      <c r="P29" s="5">
        <f>Table1[[#This Row],[Enrolment S.Y. 2025-2026 ]]*8</f>
        <v>384</v>
      </c>
      <c r="Q29" s="5"/>
      <c r="R29" s="1"/>
      <c r="S29" s="5"/>
      <c r="T29" s="5">
        <f t="shared" si="12"/>
        <v>384</v>
      </c>
      <c r="U29" s="5">
        <f t="shared" si="13"/>
        <v>0</v>
      </c>
      <c r="V29" s="5">
        <f>Table1[[#This Row],[Enrolment S.Y. 2025-2026 ]]*8</f>
        <v>384</v>
      </c>
      <c r="W29" s="5"/>
      <c r="X29" s="1"/>
      <c r="Y29" s="5"/>
      <c r="Z29" s="5">
        <f t="shared" si="14"/>
        <v>384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48</v>
      </c>
      <c r="D30" s="5">
        <f>Table1[[#This Row],[Enrolment S.Y. 2025-2026 ]]*8</f>
        <v>384</v>
      </c>
      <c r="E30" s="5">
        <v>55</v>
      </c>
      <c r="F30" s="1">
        <v>2025</v>
      </c>
      <c r="G30" s="5" t="s">
        <v>9</v>
      </c>
      <c r="H30" s="5">
        <f>IF((D30-E30)&lt;0,0,(D30-E30))</f>
        <v>329</v>
      </c>
      <c r="I30" s="5">
        <f>IF((E30-D30)&lt;0,0,(E30-D30))</f>
        <v>0</v>
      </c>
      <c r="J30" s="5">
        <f>Table1[[#This Row],[Enrolment S.Y. 2025-2026 ]]*8</f>
        <v>384</v>
      </c>
      <c r="K30" s="5"/>
      <c r="L30" s="1"/>
      <c r="M30" s="5"/>
      <c r="N30" s="5">
        <f t="shared" si="10"/>
        <v>384</v>
      </c>
      <c r="O30" s="5">
        <f t="shared" si="11"/>
        <v>0</v>
      </c>
      <c r="P30" s="5">
        <f>Table1[[#This Row],[Enrolment S.Y. 2025-2026 ]]*8</f>
        <v>384</v>
      </c>
      <c r="Q30" s="5"/>
      <c r="R30" s="1"/>
      <c r="S30" s="5"/>
      <c r="T30" s="5">
        <f t="shared" si="12"/>
        <v>384</v>
      </c>
      <c r="U30" s="5">
        <f t="shared" si="13"/>
        <v>0</v>
      </c>
      <c r="V30" s="5">
        <f>Table1[[#This Row],[Enrolment S.Y. 2025-2026 ]]*8</f>
        <v>384</v>
      </c>
      <c r="W30" s="5"/>
      <c r="X30" s="1"/>
      <c r="Y30" s="5"/>
      <c r="Z30" s="5">
        <f t="shared" si="14"/>
        <v>384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48</v>
      </c>
      <c r="D31" s="5">
        <f>Table1[[#This Row],[Enrolment S.Y. 2025-2026 ]]*8</f>
        <v>384</v>
      </c>
      <c r="E31" s="5"/>
      <c r="F31" s="1"/>
      <c r="G31" s="5"/>
      <c r="H31" s="5">
        <f>IF((D31-E31)&lt;0,0,(D31-E31))</f>
        <v>384</v>
      </c>
      <c r="I31" s="5">
        <f>IF((E31-D31)&lt;0,0,(E31-D31))</f>
        <v>0</v>
      </c>
      <c r="J31" s="5">
        <f>Table1[[#This Row],[Enrolment S.Y. 2025-2026 ]]*8</f>
        <v>384</v>
      </c>
      <c r="K31" s="5"/>
      <c r="L31" s="1"/>
      <c r="M31" s="5"/>
      <c r="N31" s="5">
        <f t="shared" si="10"/>
        <v>384</v>
      </c>
      <c r="O31" s="5">
        <f t="shared" si="11"/>
        <v>0</v>
      </c>
      <c r="P31" s="5">
        <f>Table1[[#This Row],[Enrolment S.Y. 2025-2026 ]]*8</f>
        <v>384</v>
      </c>
      <c r="Q31" s="5"/>
      <c r="R31" s="1"/>
      <c r="S31" s="5"/>
      <c r="T31" s="5">
        <f t="shared" si="12"/>
        <v>384</v>
      </c>
      <c r="U31" s="5">
        <f t="shared" si="13"/>
        <v>0</v>
      </c>
      <c r="V31" s="5">
        <f>Table1[[#This Row],[Enrolment S.Y. 2025-2026 ]]*8</f>
        <v>384</v>
      </c>
      <c r="W31" s="5"/>
      <c r="X31" s="1"/>
      <c r="Y31" s="5"/>
      <c r="Z31" s="5">
        <f t="shared" si="14"/>
        <v>384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49</v>
      </c>
      <c r="D33" s="5">
        <f>Table1[[#This Row],[Enrolment S.Y. 2025-2026 ]]*8</f>
        <v>392</v>
      </c>
      <c r="E33" s="5">
        <v>9</v>
      </c>
      <c r="F33" s="1">
        <v>2024</v>
      </c>
      <c r="G33" s="5" t="s">
        <v>9</v>
      </c>
      <c r="H33" s="5">
        <f t="shared" si="2"/>
        <v>383</v>
      </c>
      <c r="I33" s="5">
        <f t="shared" si="3"/>
        <v>0</v>
      </c>
      <c r="J33" s="5">
        <f>Table1[[#This Row],[Enrolment S.Y. 2025-2026 ]]*8</f>
        <v>392</v>
      </c>
      <c r="K33" s="5"/>
      <c r="L33" s="1"/>
      <c r="M33" s="5"/>
      <c r="N33" s="5">
        <f t="shared" si="10"/>
        <v>392</v>
      </c>
      <c r="O33" s="5">
        <f t="shared" si="11"/>
        <v>0</v>
      </c>
      <c r="P33" s="5">
        <f>Table1[[#This Row],[Enrolment S.Y. 2025-2026 ]]*8</f>
        <v>392</v>
      </c>
      <c r="Q33" s="5"/>
      <c r="R33" s="1"/>
      <c r="S33" s="5"/>
      <c r="T33" s="5">
        <f t="shared" si="12"/>
        <v>392</v>
      </c>
      <c r="U33" s="5">
        <f t="shared" si="13"/>
        <v>0</v>
      </c>
      <c r="V33" s="5">
        <f>Table1[[#This Row],[Enrolment S.Y. 2025-2026 ]]*8</f>
        <v>392</v>
      </c>
      <c r="W33" s="5"/>
      <c r="X33" s="1"/>
      <c r="Y33" s="5"/>
      <c r="Z33" s="5">
        <f t="shared" si="14"/>
        <v>392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49</v>
      </c>
      <c r="D34" s="5">
        <f>Table1[[#This Row],[Enrolment S.Y. 2025-2026 ]]*8</f>
        <v>392</v>
      </c>
      <c r="E34" s="5">
        <v>57</v>
      </c>
      <c r="F34" s="1">
        <v>2024</v>
      </c>
      <c r="G34" s="5" t="s">
        <v>9</v>
      </c>
      <c r="H34" s="5">
        <f t="shared" si="2"/>
        <v>335</v>
      </c>
      <c r="I34" s="5">
        <f t="shared" si="3"/>
        <v>0</v>
      </c>
      <c r="J34" s="5">
        <f>Table1[[#This Row],[Enrolment S.Y. 2025-2026 ]]*8</f>
        <v>392</v>
      </c>
      <c r="K34" s="5"/>
      <c r="L34" s="1"/>
      <c r="M34" s="5"/>
      <c r="N34" s="5">
        <f t="shared" si="10"/>
        <v>392</v>
      </c>
      <c r="O34" s="5">
        <f t="shared" si="11"/>
        <v>0</v>
      </c>
      <c r="P34" s="5">
        <f>Table1[[#This Row],[Enrolment S.Y. 2025-2026 ]]*8</f>
        <v>392</v>
      </c>
      <c r="Q34" s="5"/>
      <c r="R34" s="1"/>
      <c r="S34" s="5"/>
      <c r="T34" s="5">
        <f t="shared" si="12"/>
        <v>392</v>
      </c>
      <c r="U34" s="5">
        <f t="shared" si="13"/>
        <v>0</v>
      </c>
      <c r="V34" s="5">
        <f>Table1[[#This Row],[Enrolment S.Y. 2025-2026 ]]*8</f>
        <v>392</v>
      </c>
      <c r="W34" s="5"/>
      <c r="X34" s="1"/>
      <c r="Y34" s="5"/>
      <c r="Z34" s="5">
        <f t="shared" si="14"/>
        <v>392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49</v>
      </c>
      <c r="D35" s="5">
        <f>Table1[[#This Row],[Enrolment S.Y. 2025-2026 ]]*8</f>
        <v>392</v>
      </c>
      <c r="E35" s="5">
        <v>9</v>
      </c>
      <c r="F35" s="1">
        <v>2024</v>
      </c>
      <c r="G35" s="5" t="s">
        <v>9</v>
      </c>
      <c r="H35" s="5">
        <f t="shared" si="2"/>
        <v>383</v>
      </c>
      <c r="I35" s="5">
        <f t="shared" si="3"/>
        <v>0</v>
      </c>
      <c r="J35" s="5">
        <f>Table1[[#This Row],[Enrolment S.Y. 2025-2026 ]]*8</f>
        <v>392</v>
      </c>
      <c r="K35" s="5"/>
      <c r="L35" s="1"/>
      <c r="M35" s="5"/>
      <c r="N35" s="5">
        <f t="shared" si="10"/>
        <v>392</v>
      </c>
      <c r="O35" s="5">
        <f t="shared" si="11"/>
        <v>0</v>
      </c>
      <c r="P35" s="5">
        <f>Table1[[#This Row],[Enrolment S.Y. 2025-2026 ]]*8</f>
        <v>392</v>
      </c>
      <c r="Q35" s="5"/>
      <c r="R35" s="1"/>
      <c r="S35" s="5"/>
      <c r="T35" s="5">
        <f t="shared" si="12"/>
        <v>392</v>
      </c>
      <c r="U35" s="5">
        <f t="shared" si="13"/>
        <v>0</v>
      </c>
      <c r="V35" s="5">
        <f>Table1[[#This Row],[Enrolment S.Y. 2025-2026 ]]*8</f>
        <v>392</v>
      </c>
      <c r="W35" s="5"/>
      <c r="X35" s="1"/>
      <c r="Y35" s="5"/>
      <c r="Z35" s="5">
        <f t="shared" si="14"/>
        <v>392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49</v>
      </c>
      <c r="D36" s="5">
        <f>Table1[[#This Row],[Enrolment S.Y. 2025-2026 ]]*8</f>
        <v>392</v>
      </c>
      <c r="E36" s="5">
        <v>9</v>
      </c>
      <c r="F36" s="1">
        <v>2024</v>
      </c>
      <c r="G36" s="5" t="s">
        <v>9</v>
      </c>
      <c r="H36" s="5">
        <f t="shared" si="2"/>
        <v>383</v>
      </c>
      <c r="I36" s="5">
        <f t="shared" si="3"/>
        <v>0</v>
      </c>
      <c r="J36" s="5">
        <f>Table1[[#This Row],[Enrolment S.Y. 2025-2026 ]]*8</f>
        <v>392</v>
      </c>
      <c r="K36" s="5"/>
      <c r="L36" s="1"/>
      <c r="M36" s="5"/>
      <c r="N36" s="5">
        <f t="shared" si="10"/>
        <v>392</v>
      </c>
      <c r="O36" s="5">
        <f t="shared" si="11"/>
        <v>0</v>
      </c>
      <c r="P36" s="5">
        <f>Table1[[#This Row],[Enrolment S.Y. 2025-2026 ]]*8</f>
        <v>392</v>
      </c>
      <c r="Q36" s="5"/>
      <c r="R36" s="1"/>
      <c r="S36" s="5"/>
      <c r="T36" s="5">
        <f t="shared" si="12"/>
        <v>392</v>
      </c>
      <c r="U36" s="5">
        <f t="shared" si="13"/>
        <v>0</v>
      </c>
      <c r="V36" s="5">
        <f>Table1[[#This Row],[Enrolment S.Y. 2025-2026 ]]*8</f>
        <v>392</v>
      </c>
      <c r="W36" s="5"/>
      <c r="X36" s="1"/>
      <c r="Y36" s="5"/>
      <c r="Z36" s="5">
        <f t="shared" si="14"/>
        <v>392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49</v>
      </c>
      <c r="D37" s="5">
        <f>Table1[[#This Row],[Enrolment S.Y. 2025-2026 ]]*8</f>
        <v>392</v>
      </c>
      <c r="E37" s="5">
        <v>9</v>
      </c>
      <c r="F37" s="1">
        <v>2024</v>
      </c>
      <c r="G37" s="5" t="s">
        <v>9</v>
      </c>
      <c r="H37" s="5">
        <f t="shared" si="2"/>
        <v>383</v>
      </c>
      <c r="I37" s="5">
        <f t="shared" si="3"/>
        <v>0</v>
      </c>
      <c r="J37" s="5">
        <f>Table1[[#This Row],[Enrolment S.Y. 2025-2026 ]]*8</f>
        <v>392</v>
      </c>
      <c r="K37" s="5"/>
      <c r="L37" s="1"/>
      <c r="M37" s="5"/>
      <c r="N37" s="5">
        <f t="shared" si="10"/>
        <v>392</v>
      </c>
      <c r="O37" s="5">
        <f t="shared" si="11"/>
        <v>0</v>
      </c>
      <c r="P37" s="5">
        <f>Table1[[#This Row],[Enrolment S.Y. 2025-2026 ]]*8</f>
        <v>392</v>
      </c>
      <c r="Q37" s="5"/>
      <c r="R37" s="1"/>
      <c r="S37" s="5"/>
      <c r="T37" s="5">
        <f t="shared" si="12"/>
        <v>392</v>
      </c>
      <c r="U37" s="5">
        <f t="shared" si="13"/>
        <v>0</v>
      </c>
      <c r="V37" s="5">
        <f>Table1[[#This Row],[Enrolment S.Y. 2025-2026 ]]*8</f>
        <v>392</v>
      </c>
      <c r="W37" s="5"/>
      <c r="X37" s="1"/>
      <c r="Y37" s="5"/>
      <c r="Z37" s="5">
        <f t="shared" si="14"/>
        <v>392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49</v>
      </c>
      <c r="D38" s="5">
        <f>Table1[[#This Row],[Enrolment S.Y. 2025-2026 ]]*8</f>
        <v>392</v>
      </c>
      <c r="E38" s="5">
        <v>9</v>
      </c>
      <c r="F38" s="1">
        <v>2024</v>
      </c>
      <c r="G38" s="5" t="s">
        <v>9</v>
      </c>
      <c r="H38" s="5">
        <f t="shared" si="2"/>
        <v>383</v>
      </c>
      <c r="I38" s="5">
        <f t="shared" si="3"/>
        <v>0</v>
      </c>
      <c r="J38" s="5">
        <f>Table1[[#This Row],[Enrolment S.Y. 2025-2026 ]]*8</f>
        <v>392</v>
      </c>
      <c r="K38" s="5"/>
      <c r="L38" s="1"/>
      <c r="M38" s="5"/>
      <c r="N38" s="5">
        <f t="shared" si="10"/>
        <v>392</v>
      </c>
      <c r="O38" s="5">
        <f t="shared" si="11"/>
        <v>0</v>
      </c>
      <c r="P38" s="5">
        <f>Table1[[#This Row],[Enrolment S.Y. 2025-2026 ]]*8</f>
        <v>392</v>
      </c>
      <c r="Q38" s="5"/>
      <c r="R38" s="1"/>
      <c r="S38" s="5"/>
      <c r="T38" s="5">
        <f t="shared" si="12"/>
        <v>392</v>
      </c>
      <c r="U38" s="5">
        <f t="shared" si="13"/>
        <v>0</v>
      </c>
      <c r="V38" s="5">
        <f>Table1[[#This Row],[Enrolment S.Y. 2025-2026 ]]*8</f>
        <v>392</v>
      </c>
      <c r="W38" s="5"/>
      <c r="X38" s="1"/>
      <c r="Y38" s="5"/>
      <c r="Z38" s="5">
        <f t="shared" si="14"/>
        <v>392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49</v>
      </c>
      <c r="D39" s="5">
        <f>Table1[[#This Row],[Enrolment S.Y. 2025-2026 ]]*8</f>
        <v>392</v>
      </c>
      <c r="E39" s="5">
        <v>57</v>
      </c>
      <c r="F39" s="1">
        <v>2024</v>
      </c>
      <c r="G39" s="5" t="s">
        <v>9</v>
      </c>
      <c r="H39" s="5">
        <f t="shared" si="2"/>
        <v>335</v>
      </c>
      <c r="I39" s="5">
        <f t="shared" si="3"/>
        <v>0</v>
      </c>
      <c r="J39" s="5">
        <f>Table1[[#This Row],[Enrolment S.Y. 2025-2026 ]]*8</f>
        <v>392</v>
      </c>
      <c r="K39" s="5"/>
      <c r="L39" s="1"/>
      <c r="M39" s="5"/>
      <c r="N39" s="5">
        <f t="shared" si="10"/>
        <v>392</v>
      </c>
      <c r="O39" s="5">
        <f t="shared" si="11"/>
        <v>0</v>
      </c>
      <c r="P39" s="5">
        <f>Table1[[#This Row],[Enrolment S.Y. 2025-2026 ]]*8</f>
        <v>392</v>
      </c>
      <c r="Q39" s="5"/>
      <c r="R39" s="1"/>
      <c r="S39" s="5"/>
      <c r="T39" s="5">
        <f t="shared" si="12"/>
        <v>392</v>
      </c>
      <c r="U39" s="5">
        <f t="shared" si="13"/>
        <v>0</v>
      </c>
      <c r="V39" s="5">
        <f>Table1[[#This Row],[Enrolment S.Y. 2025-2026 ]]*8</f>
        <v>392</v>
      </c>
      <c r="W39" s="5"/>
      <c r="X39" s="1"/>
      <c r="Y39" s="5"/>
      <c r="Z39" s="5">
        <f t="shared" si="14"/>
        <v>392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49</v>
      </c>
      <c r="D40" s="5">
        <f>Table1[[#This Row],[Enrolment S.Y. 2025-2026 ]]*8</f>
        <v>392</v>
      </c>
      <c r="E40" s="5">
        <f>9+57</f>
        <v>66</v>
      </c>
      <c r="F40" s="1">
        <v>2024</v>
      </c>
      <c r="G40" s="5" t="s">
        <v>9</v>
      </c>
      <c r="H40" s="5">
        <f t="shared" si="2"/>
        <v>326</v>
      </c>
      <c r="I40" s="5">
        <f t="shared" si="3"/>
        <v>0</v>
      </c>
      <c r="J40" s="5">
        <f>Table1[[#This Row],[Enrolment S.Y. 2025-2026 ]]*8</f>
        <v>392</v>
      </c>
      <c r="K40" s="5"/>
      <c r="L40" s="1"/>
      <c r="M40" s="5"/>
      <c r="N40" s="5">
        <f t="shared" si="10"/>
        <v>392</v>
      </c>
      <c r="O40" s="5">
        <f t="shared" si="11"/>
        <v>0</v>
      </c>
      <c r="P40" s="5">
        <f>Table1[[#This Row],[Enrolment S.Y. 2025-2026 ]]*8</f>
        <v>392</v>
      </c>
      <c r="Q40" s="5"/>
      <c r="R40" s="1"/>
      <c r="S40" s="5"/>
      <c r="T40" s="5">
        <f t="shared" si="12"/>
        <v>392</v>
      </c>
      <c r="U40" s="5">
        <f t="shared" si="13"/>
        <v>0</v>
      </c>
      <c r="V40" s="5">
        <f>Table1[[#This Row],[Enrolment S.Y. 2025-2026 ]]*8</f>
        <v>392</v>
      </c>
      <c r="W40" s="5"/>
      <c r="X40" s="1"/>
      <c r="Y40" s="5"/>
      <c r="Z40" s="5">
        <f t="shared" si="14"/>
        <v>392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49</v>
      </c>
      <c r="D41" s="5">
        <f>Table1[[#This Row],[Enrolment S.Y. 2025-2026 ]]*8</f>
        <v>392</v>
      </c>
      <c r="E41" s="5">
        <v>9</v>
      </c>
      <c r="F41" s="1">
        <v>2024</v>
      </c>
      <c r="G41" s="5" t="s">
        <v>9</v>
      </c>
      <c r="H41" s="5">
        <f t="shared" si="2"/>
        <v>383</v>
      </c>
      <c r="I41" s="5">
        <f t="shared" si="3"/>
        <v>0</v>
      </c>
      <c r="J41" s="5">
        <f>Table1[[#This Row],[Enrolment S.Y. 2025-2026 ]]*8</f>
        <v>392</v>
      </c>
      <c r="K41" s="5"/>
      <c r="L41" s="1"/>
      <c r="M41" s="5"/>
      <c r="N41" s="5">
        <f t="shared" si="10"/>
        <v>392</v>
      </c>
      <c r="O41" s="5">
        <f t="shared" si="11"/>
        <v>0</v>
      </c>
      <c r="P41" s="5">
        <f>Table1[[#This Row],[Enrolment S.Y. 2025-2026 ]]*8</f>
        <v>392</v>
      </c>
      <c r="Q41" s="5"/>
      <c r="R41" s="1"/>
      <c r="S41" s="5"/>
      <c r="T41" s="5">
        <f t="shared" si="12"/>
        <v>392</v>
      </c>
      <c r="U41" s="5">
        <f t="shared" si="13"/>
        <v>0</v>
      </c>
      <c r="V41" s="5">
        <f>Table1[[#This Row],[Enrolment S.Y. 2025-2026 ]]*8</f>
        <v>392</v>
      </c>
      <c r="W41" s="5"/>
      <c r="X41" s="1"/>
      <c r="Y41" s="5"/>
      <c r="Z41" s="5">
        <f t="shared" si="14"/>
        <v>392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56</v>
      </c>
      <c r="D43" s="5">
        <f>Table1[[#This Row],[Enrolment S.Y. 2025-2026 ]]*8</f>
        <v>448</v>
      </c>
      <c r="E43" s="5">
        <v>54</v>
      </c>
      <c r="F43" s="1">
        <v>2025</v>
      </c>
      <c r="G43" s="5" t="s">
        <v>9</v>
      </c>
      <c r="H43" s="5">
        <f t="shared" si="2"/>
        <v>394</v>
      </c>
      <c r="I43" s="5">
        <f t="shared" si="3"/>
        <v>0</v>
      </c>
      <c r="J43" s="5">
        <f>Table1[[#This Row],[Enrolment S.Y. 2025-2026 ]]*8</f>
        <v>448</v>
      </c>
      <c r="K43" s="5"/>
      <c r="L43" s="1"/>
      <c r="M43" s="5"/>
      <c r="N43" s="5">
        <f t="shared" si="10"/>
        <v>448</v>
      </c>
      <c r="O43" s="5">
        <f t="shared" si="11"/>
        <v>0</v>
      </c>
      <c r="P43" s="5">
        <f>Table1[[#This Row],[Enrolment S.Y. 2025-2026 ]]*8</f>
        <v>448</v>
      </c>
      <c r="Q43" s="5"/>
      <c r="R43" s="1"/>
      <c r="S43" s="5"/>
      <c r="T43" s="5">
        <f t="shared" si="12"/>
        <v>448</v>
      </c>
      <c r="U43" s="5">
        <f t="shared" si="13"/>
        <v>0</v>
      </c>
      <c r="V43" s="5">
        <f>Table1[[#This Row],[Enrolment S.Y. 2025-2026 ]]*8</f>
        <v>448</v>
      </c>
      <c r="W43" s="5"/>
      <c r="X43" s="1"/>
      <c r="Y43" s="5"/>
      <c r="Z43" s="5">
        <f t="shared" si="14"/>
        <v>448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56</v>
      </c>
      <c r="D44" s="5">
        <f>Table1[[#This Row],[Enrolment S.Y. 2025-2026 ]]*8</f>
        <v>448</v>
      </c>
      <c r="E44" s="5">
        <v>54</v>
      </c>
      <c r="F44" s="1">
        <v>2025</v>
      </c>
      <c r="G44" s="5" t="s">
        <v>9</v>
      </c>
      <c r="H44" s="5">
        <f t="shared" si="2"/>
        <v>394</v>
      </c>
      <c r="I44" s="5">
        <f t="shared" si="3"/>
        <v>0</v>
      </c>
      <c r="J44" s="5">
        <f>Table1[[#This Row],[Enrolment S.Y. 2025-2026 ]]*8</f>
        <v>448</v>
      </c>
      <c r="K44" s="5"/>
      <c r="L44" s="1"/>
      <c r="M44" s="5"/>
      <c r="N44" s="5">
        <f t="shared" si="10"/>
        <v>448</v>
      </c>
      <c r="O44" s="5">
        <f t="shared" si="11"/>
        <v>0</v>
      </c>
      <c r="P44" s="5">
        <f>Table1[[#This Row],[Enrolment S.Y. 2025-2026 ]]*8</f>
        <v>448</v>
      </c>
      <c r="Q44" s="5"/>
      <c r="R44" s="1"/>
      <c r="S44" s="5"/>
      <c r="T44" s="5">
        <f t="shared" si="12"/>
        <v>448</v>
      </c>
      <c r="U44" s="5">
        <f t="shared" si="13"/>
        <v>0</v>
      </c>
      <c r="V44" s="5">
        <f>Table1[[#This Row],[Enrolment S.Y. 2025-2026 ]]*8</f>
        <v>448</v>
      </c>
      <c r="W44" s="5"/>
      <c r="X44" s="1"/>
      <c r="Y44" s="5"/>
      <c r="Z44" s="5">
        <f t="shared" si="14"/>
        <v>448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56</v>
      </c>
      <c r="D45" s="5">
        <f>Table1[[#This Row],[Enrolment S.Y. 2025-2026 ]]*8</f>
        <v>448</v>
      </c>
      <c r="E45" s="5">
        <v>54</v>
      </c>
      <c r="F45" s="1">
        <v>2025</v>
      </c>
      <c r="G45" s="5" t="s">
        <v>9</v>
      </c>
      <c r="H45" s="5">
        <f t="shared" si="2"/>
        <v>394</v>
      </c>
      <c r="I45" s="5">
        <f t="shared" si="3"/>
        <v>0</v>
      </c>
      <c r="J45" s="5">
        <f>Table1[[#This Row],[Enrolment S.Y. 2025-2026 ]]*8</f>
        <v>448</v>
      </c>
      <c r="K45" s="5"/>
      <c r="L45" s="1"/>
      <c r="M45" s="5"/>
      <c r="N45" s="5">
        <f t="shared" si="10"/>
        <v>448</v>
      </c>
      <c r="O45" s="5">
        <f t="shared" si="11"/>
        <v>0</v>
      </c>
      <c r="P45" s="5">
        <f>Table1[[#This Row],[Enrolment S.Y. 2025-2026 ]]*8</f>
        <v>448</v>
      </c>
      <c r="Q45" s="5"/>
      <c r="R45" s="1"/>
      <c r="S45" s="5"/>
      <c r="T45" s="5">
        <f t="shared" si="12"/>
        <v>448</v>
      </c>
      <c r="U45" s="5">
        <f t="shared" si="13"/>
        <v>0</v>
      </c>
      <c r="V45" s="5">
        <f>Table1[[#This Row],[Enrolment S.Y. 2025-2026 ]]*8</f>
        <v>448</v>
      </c>
      <c r="W45" s="5"/>
      <c r="X45" s="1"/>
      <c r="Y45" s="5"/>
      <c r="Z45" s="5">
        <f t="shared" si="14"/>
        <v>448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56</v>
      </c>
      <c r="D46" s="5">
        <f>Table1[[#This Row],[Enrolment S.Y. 2025-2026 ]]*8</f>
        <v>448</v>
      </c>
      <c r="E46" s="5">
        <v>54</v>
      </c>
      <c r="F46" s="1">
        <v>2025</v>
      </c>
      <c r="G46" s="5" t="s">
        <v>9</v>
      </c>
      <c r="H46" s="5">
        <f t="shared" si="2"/>
        <v>394</v>
      </c>
      <c r="I46" s="5">
        <f t="shared" si="3"/>
        <v>0</v>
      </c>
      <c r="J46" s="5">
        <f>Table1[[#This Row],[Enrolment S.Y. 2025-2026 ]]*8</f>
        <v>448</v>
      </c>
      <c r="K46" s="5"/>
      <c r="L46" s="1"/>
      <c r="M46" s="5"/>
      <c r="N46" s="5">
        <f t="shared" si="10"/>
        <v>448</v>
      </c>
      <c r="O46" s="5">
        <f t="shared" si="11"/>
        <v>0</v>
      </c>
      <c r="P46" s="5">
        <f>Table1[[#This Row],[Enrolment S.Y. 2025-2026 ]]*8</f>
        <v>448</v>
      </c>
      <c r="Q46" s="5"/>
      <c r="R46" s="1"/>
      <c r="S46" s="5"/>
      <c r="T46" s="5">
        <f t="shared" si="12"/>
        <v>448</v>
      </c>
      <c r="U46" s="5">
        <f t="shared" si="13"/>
        <v>0</v>
      </c>
      <c r="V46" s="5">
        <f>Table1[[#This Row],[Enrolment S.Y. 2025-2026 ]]*8</f>
        <v>448</v>
      </c>
      <c r="W46" s="5"/>
      <c r="X46" s="1"/>
      <c r="Y46" s="5"/>
      <c r="Z46" s="5">
        <f t="shared" si="14"/>
        <v>448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56</v>
      </c>
      <c r="D47" s="5">
        <f>Table1[[#This Row],[Enrolment S.Y. 2025-2026 ]]*8</f>
        <v>448</v>
      </c>
      <c r="E47" s="5">
        <v>54</v>
      </c>
      <c r="F47" s="1">
        <v>2025</v>
      </c>
      <c r="G47" s="5" t="s">
        <v>9</v>
      </c>
      <c r="H47" s="5">
        <f t="shared" si="2"/>
        <v>394</v>
      </c>
      <c r="I47" s="5">
        <f t="shared" si="3"/>
        <v>0</v>
      </c>
      <c r="J47" s="5">
        <f>Table1[[#This Row],[Enrolment S.Y. 2025-2026 ]]*8</f>
        <v>448</v>
      </c>
      <c r="K47" s="5"/>
      <c r="L47" s="1"/>
      <c r="M47" s="5"/>
      <c r="N47" s="5">
        <f t="shared" si="10"/>
        <v>448</v>
      </c>
      <c r="O47" s="5">
        <f t="shared" si="11"/>
        <v>0</v>
      </c>
      <c r="P47" s="5">
        <f>Table1[[#This Row],[Enrolment S.Y. 2025-2026 ]]*8</f>
        <v>448</v>
      </c>
      <c r="Q47" s="5"/>
      <c r="R47" s="1"/>
      <c r="S47" s="5"/>
      <c r="T47" s="5">
        <f t="shared" si="12"/>
        <v>448</v>
      </c>
      <c r="U47" s="5">
        <f t="shared" si="13"/>
        <v>0</v>
      </c>
      <c r="V47" s="5">
        <f>Table1[[#This Row],[Enrolment S.Y. 2025-2026 ]]*8</f>
        <v>448</v>
      </c>
      <c r="W47" s="5"/>
      <c r="X47" s="1"/>
      <c r="Y47" s="5"/>
      <c r="Z47" s="5">
        <f t="shared" si="14"/>
        <v>448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56</v>
      </c>
      <c r="D48" s="5">
        <f>Table1[[#This Row],[Enrolment S.Y. 2025-2026 ]]*8</f>
        <v>448</v>
      </c>
      <c r="E48" s="5">
        <v>54</v>
      </c>
      <c r="F48" s="1">
        <v>2025</v>
      </c>
      <c r="G48" s="5" t="s">
        <v>9</v>
      </c>
      <c r="H48" s="5">
        <f t="shared" si="2"/>
        <v>394</v>
      </c>
      <c r="I48" s="5">
        <f t="shared" si="3"/>
        <v>0</v>
      </c>
      <c r="J48" s="5">
        <f>Table1[[#This Row],[Enrolment S.Y. 2025-2026 ]]*8</f>
        <v>448</v>
      </c>
      <c r="K48" s="5"/>
      <c r="L48" s="1"/>
      <c r="M48" s="5"/>
      <c r="N48" s="5">
        <f t="shared" si="10"/>
        <v>448</v>
      </c>
      <c r="O48" s="5">
        <f t="shared" si="11"/>
        <v>0</v>
      </c>
      <c r="P48" s="5">
        <f>Table1[[#This Row],[Enrolment S.Y. 2025-2026 ]]*8</f>
        <v>448</v>
      </c>
      <c r="Q48" s="5"/>
      <c r="R48" s="1"/>
      <c r="S48" s="5"/>
      <c r="T48" s="5">
        <f t="shared" si="12"/>
        <v>448</v>
      </c>
      <c r="U48" s="5">
        <f t="shared" si="13"/>
        <v>0</v>
      </c>
      <c r="V48" s="5">
        <f>Table1[[#This Row],[Enrolment S.Y. 2025-2026 ]]*8</f>
        <v>448</v>
      </c>
      <c r="W48" s="5"/>
      <c r="X48" s="1"/>
      <c r="Y48" s="5"/>
      <c r="Z48" s="5">
        <f t="shared" si="14"/>
        <v>448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56</v>
      </c>
      <c r="D49" s="5">
        <f>Table1[[#This Row],[Enrolment S.Y. 2025-2026 ]]*8</f>
        <v>448</v>
      </c>
      <c r="E49" s="5">
        <v>54</v>
      </c>
      <c r="F49" s="1">
        <v>2025</v>
      </c>
      <c r="G49" s="5" t="s">
        <v>9</v>
      </c>
      <c r="H49" s="5">
        <f t="shared" si="2"/>
        <v>394</v>
      </c>
      <c r="I49" s="5">
        <f t="shared" si="3"/>
        <v>0</v>
      </c>
      <c r="J49" s="5">
        <f>Table1[[#This Row],[Enrolment S.Y. 2025-2026 ]]*8</f>
        <v>448</v>
      </c>
      <c r="K49" s="5"/>
      <c r="L49" s="1"/>
      <c r="M49" s="5"/>
      <c r="N49" s="5">
        <f t="shared" si="10"/>
        <v>448</v>
      </c>
      <c r="O49" s="5">
        <f t="shared" si="11"/>
        <v>0</v>
      </c>
      <c r="P49" s="5">
        <f>Table1[[#This Row],[Enrolment S.Y. 2025-2026 ]]*8</f>
        <v>448</v>
      </c>
      <c r="Q49" s="5"/>
      <c r="R49" s="1"/>
      <c r="S49" s="5"/>
      <c r="T49" s="5">
        <f t="shared" si="12"/>
        <v>448</v>
      </c>
      <c r="U49" s="5">
        <f t="shared" si="13"/>
        <v>0</v>
      </c>
      <c r="V49" s="5">
        <f>Table1[[#This Row],[Enrolment S.Y. 2025-2026 ]]*8</f>
        <v>448</v>
      </c>
      <c r="W49" s="5"/>
      <c r="X49" s="1"/>
      <c r="Y49" s="5"/>
      <c r="Z49" s="5">
        <f t="shared" si="14"/>
        <v>448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56</v>
      </c>
      <c r="D50" s="5">
        <f>Table1[[#This Row],[Enrolment S.Y. 2025-2026 ]]*8</f>
        <v>448</v>
      </c>
      <c r="E50" s="5">
        <v>54</v>
      </c>
      <c r="F50" s="1">
        <v>2025</v>
      </c>
      <c r="G50" s="5" t="s">
        <v>9</v>
      </c>
      <c r="H50" s="5">
        <f t="shared" si="2"/>
        <v>394</v>
      </c>
      <c r="I50" s="5">
        <f t="shared" si="3"/>
        <v>0</v>
      </c>
      <c r="J50" s="5">
        <f>Table1[[#This Row],[Enrolment S.Y. 2025-2026 ]]*8</f>
        <v>448</v>
      </c>
      <c r="K50" s="5"/>
      <c r="L50" s="1"/>
      <c r="M50" s="5"/>
      <c r="N50" s="5">
        <f t="shared" si="10"/>
        <v>448</v>
      </c>
      <c r="O50" s="5">
        <f t="shared" si="11"/>
        <v>0</v>
      </c>
      <c r="P50" s="5">
        <f>Table1[[#This Row],[Enrolment S.Y. 2025-2026 ]]*8</f>
        <v>448</v>
      </c>
      <c r="Q50" s="5"/>
      <c r="R50" s="1"/>
      <c r="S50" s="5"/>
      <c r="T50" s="5">
        <f t="shared" si="12"/>
        <v>448</v>
      </c>
      <c r="U50" s="5">
        <f t="shared" si="13"/>
        <v>0</v>
      </c>
      <c r="V50" s="5">
        <f>Table1[[#This Row],[Enrolment S.Y. 2025-2026 ]]*8</f>
        <v>448</v>
      </c>
      <c r="W50" s="5"/>
      <c r="X50" s="1"/>
      <c r="Y50" s="5"/>
      <c r="Z50" s="5">
        <f t="shared" si="14"/>
        <v>448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56</v>
      </c>
      <c r="D51" s="5">
        <f>Table1[[#This Row],[Enrolment S.Y. 2025-2026 ]]*8</f>
        <v>448</v>
      </c>
      <c r="E51" s="5">
        <v>54</v>
      </c>
      <c r="F51" s="1">
        <v>2025</v>
      </c>
      <c r="G51" s="5" t="s">
        <v>9</v>
      </c>
      <c r="H51" s="5">
        <f t="shared" si="2"/>
        <v>394</v>
      </c>
      <c r="I51" s="5">
        <f t="shared" si="3"/>
        <v>0</v>
      </c>
      <c r="J51" s="5">
        <f>Table1[[#This Row],[Enrolment S.Y. 2025-2026 ]]*8</f>
        <v>448</v>
      </c>
      <c r="K51" s="5"/>
      <c r="L51" s="1"/>
      <c r="M51" s="5"/>
      <c r="N51" s="5">
        <f t="shared" si="10"/>
        <v>448</v>
      </c>
      <c r="O51" s="5">
        <f t="shared" si="11"/>
        <v>0</v>
      </c>
      <c r="P51" s="5">
        <f>Table1[[#This Row],[Enrolment S.Y. 2025-2026 ]]*8</f>
        <v>448</v>
      </c>
      <c r="Q51" s="5"/>
      <c r="R51" s="1"/>
      <c r="S51" s="5"/>
      <c r="T51" s="5">
        <f t="shared" si="12"/>
        <v>448</v>
      </c>
      <c r="U51" s="5">
        <f t="shared" si="13"/>
        <v>0</v>
      </c>
      <c r="V51" s="5">
        <f>Table1[[#This Row],[Enrolment S.Y. 2025-2026 ]]*8</f>
        <v>448</v>
      </c>
      <c r="W51" s="5"/>
      <c r="X51" s="1"/>
      <c r="Y51" s="5"/>
      <c r="Z51" s="5">
        <f t="shared" si="14"/>
        <v>448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51</v>
      </c>
      <c r="D53" s="5">
        <f>Table1[[#This Row],[Enrolment S.Y. 2025-2026 ]]*8</f>
        <v>408</v>
      </c>
      <c r="E53" s="5"/>
      <c r="F53" s="1"/>
      <c r="G53" s="5"/>
      <c r="H53" s="5">
        <f t="shared" si="2"/>
        <v>408</v>
      </c>
      <c r="I53" s="5">
        <f t="shared" si="3"/>
        <v>0</v>
      </c>
      <c r="J53" s="5">
        <f>Table1[[#This Row],[Enrolment S.Y. 2025-2026 ]]*8</f>
        <v>408</v>
      </c>
      <c r="K53" s="5"/>
      <c r="L53" s="1"/>
      <c r="M53" s="5"/>
      <c r="N53" s="5">
        <f t="shared" si="10"/>
        <v>408</v>
      </c>
      <c r="O53" s="5">
        <f t="shared" si="11"/>
        <v>0</v>
      </c>
      <c r="P53" s="5">
        <f>Table1[[#This Row],[Enrolment S.Y. 2025-2026 ]]*8</f>
        <v>408</v>
      </c>
      <c r="Q53" s="5"/>
      <c r="R53" s="1"/>
      <c r="S53" s="5"/>
      <c r="T53" s="5">
        <f t="shared" si="12"/>
        <v>408</v>
      </c>
      <c r="U53" s="5">
        <f t="shared" si="13"/>
        <v>0</v>
      </c>
      <c r="V53" s="5">
        <f>Table1[[#This Row],[Enrolment S.Y. 2025-2026 ]]*8</f>
        <v>408</v>
      </c>
      <c r="W53" s="5"/>
      <c r="X53" s="1"/>
      <c r="Y53" s="5"/>
      <c r="Z53" s="5">
        <f t="shared" si="14"/>
        <v>408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51</v>
      </c>
      <c r="D54" s="5">
        <f>Table1[[#This Row],[Enrolment S.Y. 2025-2026 ]]*8</f>
        <v>408</v>
      </c>
      <c r="E54" s="5"/>
      <c r="F54" s="1"/>
      <c r="G54" s="5"/>
      <c r="H54" s="5">
        <f t="shared" si="2"/>
        <v>408</v>
      </c>
      <c r="I54" s="5">
        <f t="shared" si="3"/>
        <v>0</v>
      </c>
      <c r="J54" s="5">
        <f>Table1[[#This Row],[Enrolment S.Y. 2025-2026 ]]*8</f>
        <v>408</v>
      </c>
      <c r="K54" s="5"/>
      <c r="L54" s="1"/>
      <c r="M54" s="5"/>
      <c r="N54" s="5">
        <f t="shared" si="10"/>
        <v>408</v>
      </c>
      <c r="O54" s="5">
        <f t="shared" si="11"/>
        <v>0</v>
      </c>
      <c r="P54" s="5">
        <f>Table1[[#This Row],[Enrolment S.Y. 2025-2026 ]]*8</f>
        <v>408</v>
      </c>
      <c r="Q54" s="5"/>
      <c r="R54" s="1"/>
      <c r="S54" s="5"/>
      <c r="T54" s="5">
        <f t="shared" si="12"/>
        <v>408</v>
      </c>
      <c r="U54" s="5">
        <f t="shared" si="13"/>
        <v>0</v>
      </c>
      <c r="V54" s="5">
        <f>Table1[[#This Row],[Enrolment S.Y. 2025-2026 ]]*8</f>
        <v>408</v>
      </c>
      <c r="W54" s="5"/>
      <c r="X54" s="1"/>
      <c r="Y54" s="5"/>
      <c r="Z54" s="5">
        <f t="shared" si="14"/>
        <v>408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51</v>
      </c>
      <c r="D55" s="5">
        <f>Table1[[#This Row],[Enrolment S.Y. 2025-2026 ]]*8</f>
        <v>408</v>
      </c>
      <c r="E55" s="5"/>
      <c r="F55" s="1"/>
      <c r="G55" s="5"/>
      <c r="H55" s="5">
        <f t="shared" si="2"/>
        <v>408</v>
      </c>
      <c r="I55" s="5">
        <f t="shared" si="3"/>
        <v>0</v>
      </c>
      <c r="J55" s="5">
        <f>Table1[[#This Row],[Enrolment S.Y. 2025-2026 ]]*8</f>
        <v>408</v>
      </c>
      <c r="K55" s="5"/>
      <c r="L55" s="1"/>
      <c r="M55" s="5"/>
      <c r="N55" s="5">
        <f t="shared" si="10"/>
        <v>408</v>
      </c>
      <c r="O55" s="5">
        <f t="shared" si="11"/>
        <v>0</v>
      </c>
      <c r="P55" s="5">
        <f>Table1[[#This Row],[Enrolment S.Y. 2025-2026 ]]*8</f>
        <v>408</v>
      </c>
      <c r="Q55" s="5"/>
      <c r="R55" s="1"/>
      <c r="S55" s="5"/>
      <c r="T55" s="5">
        <f t="shared" si="12"/>
        <v>408</v>
      </c>
      <c r="U55" s="5">
        <f t="shared" si="13"/>
        <v>0</v>
      </c>
      <c r="V55" s="5">
        <f>Table1[[#This Row],[Enrolment S.Y. 2025-2026 ]]*8</f>
        <v>408</v>
      </c>
      <c r="W55" s="5"/>
      <c r="X55" s="1"/>
      <c r="Y55" s="5"/>
      <c r="Z55" s="5">
        <f t="shared" si="14"/>
        <v>408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51</v>
      </c>
      <c r="D56" s="5">
        <f>Table1[[#This Row],[Enrolment S.Y. 2025-2026 ]]*8</f>
        <v>408</v>
      </c>
      <c r="E56" s="5"/>
      <c r="F56" s="1"/>
      <c r="G56" s="5"/>
      <c r="H56" s="5">
        <f t="shared" si="2"/>
        <v>408</v>
      </c>
      <c r="I56" s="5">
        <f t="shared" si="3"/>
        <v>0</v>
      </c>
      <c r="J56" s="5">
        <f>Table1[[#This Row],[Enrolment S.Y. 2025-2026 ]]*8</f>
        <v>408</v>
      </c>
      <c r="K56" s="5"/>
      <c r="L56" s="1"/>
      <c r="M56" s="5"/>
      <c r="N56" s="5">
        <f t="shared" si="10"/>
        <v>408</v>
      </c>
      <c r="O56" s="5">
        <f t="shared" si="11"/>
        <v>0</v>
      </c>
      <c r="P56" s="5">
        <f>Table1[[#This Row],[Enrolment S.Y. 2025-2026 ]]*8</f>
        <v>408</v>
      </c>
      <c r="Q56" s="5"/>
      <c r="R56" s="1"/>
      <c r="S56" s="5"/>
      <c r="T56" s="5">
        <f t="shared" si="12"/>
        <v>408</v>
      </c>
      <c r="U56" s="5">
        <f t="shared" si="13"/>
        <v>0</v>
      </c>
      <c r="V56" s="5">
        <f>Table1[[#This Row],[Enrolment S.Y. 2025-2026 ]]*8</f>
        <v>408</v>
      </c>
      <c r="W56" s="5"/>
      <c r="X56" s="1"/>
      <c r="Y56" s="5"/>
      <c r="Z56" s="5">
        <f t="shared" si="14"/>
        <v>408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51</v>
      </c>
      <c r="D57" s="5">
        <f>Table1[[#This Row],[Enrolment S.Y. 2025-2026 ]]*8</f>
        <v>408</v>
      </c>
      <c r="E57" s="5"/>
      <c r="F57" s="1"/>
      <c r="G57" s="5"/>
      <c r="H57" s="5">
        <f t="shared" si="2"/>
        <v>408</v>
      </c>
      <c r="I57" s="5">
        <f t="shared" si="3"/>
        <v>0</v>
      </c>
      <c r="J57" s="5">
        <f>Table1[[#This Row],[Enrolment S.Y. 2025-2026 ]]*8</f>
        <v>408</v>
      </c>
      <c r="K57" s="5"/>
      <c r="L57" s="1"/>
      <c r="M57" s="5"/>
      <c r="N57" s="5">
        <f t="shared" si="10"/>
        <v>408</v>
      </c>
      <c r="O57" s="5">
        <f t="shared" si="11"/>
        <v>0</v>
      </c>
      <c r="P57" s="5">
        <f>Table1[[#This Row],[Enrolment S.Y. 2025-2026 ]]*8</f>
        <v>408</v>
      </c>
      <c r="Q57" s="5"/>
      <c r="R57" s="1"/>
      <c r="S57" s="5"/>
      <c r="T57" s="5">
        <f t="shared" si="12"/>
        <v>408</v>
      </c>
      <c r="U57" s="5">
        <f t="shared" si="13"/>
        <v>0</v>
      </c>
      <c r="V57" s="5">
        <f>Table1[[#This Row],[Enrolment S.Y. 2025-2026 ]]*8</f>
        <v>408</v>
      </c>
      <c r="W57" s="5"/>
      <c r="X57" s="1"/>
      <c r="Y57" s="5"/>
      <c r="Z57" s="5">
        <f t="shared" si="14"/>
        <v>408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51</v>
      </c>
      <c r="D58" s="5">
        <f>Table1[[#This Row],[Enrolment S.Y. 2025-2026 ]]*8</f>
        <v>408</v>
      </c>
      <c r="E58" s="5"/>
      <c r="F58" s="1"/>
      <c r="G58" s="5"/>
      <c r="H58" s="5">
        <f t="shared" si="2"/>
        <v>408</v>
      </c>
      <c r="I58" s="5">
        <f t="shared" si="3"/>
        <v>0</v>
      </c>
      <c r="J58" s="5">
        <f>Table1[[#This Row],[Enrolment S.Y. 2025-2026 ]]*8</f>
        <v>408</v>
      </c>
      <c r="K58" s="5"/>
      <c r="L58" s="1"/>
      <c r="M58" s="5"/>
      <c r="N58" s="5">
        <f t="shared" si="10"/>
        <v>408</v>
      </c>
      <c r="O58" s="5">
        <f t="shared" si="11"/>
        <v>0</v>
      </c>
      <c r="P58" s="5">
        <f>Table1[[#This Row],[Enrolment S.Y. 2025-2026 ]]*8</f>
        <v>408</v>
      </c>
      <c r="Q58" s="5"/>
      <c r="R58" s="1"/>
      <c r="S58" s="5"/>
      <c r="T58" s="5">
        <f t="shared" si="12"/>
        <v>408</v>
      </c>
      <c r="U58" s="5">
        <f t="shared" si="13"/>
        <v>0</v>
      </c>
      <c r="V58" s="5">
        <f>Table1[[#This Row],[Enrolment S.Y. 2025-2026 ]]*8</f>
        <v>408</v>
      </c>
      <c r="W58" s="5"/>
      <c r="X58" s="1"/>
      <c r="Y58" s="5"/>
      <c r="Z58" s="5">
        <f t="shared" si="14"/>
        <v>408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51</v>
      </c>
      <c r="D59" s="5">
        <f>Table1[[#This Row],[Enrolment S.Y. 2025-2026 ]]*8</f>
        <v>408</v>
      </c>
      <c r="E59" s="5"/>
      <c r="F59" s="1"/>
      <c r="G59" s="5"/>
      <c r="H59" s="5">
        <f t="shared" si="2"/>
        <v>408</v>
      </c>
      <c r="I59" s="5">
        <f t="shared" si="3"/>
        <v>0</v>
      </c>
      <c r="J59" s="5">
        <f>Table1[[#This Row],[Enrolment S.Y. 2025-2026 ]]*8</f>
        <v>408</v>
      </c>
      <c r="K59" s="5"/>
      <c r="L59" s="1"/>
      <c r="M59" s="5"/>
      <c r="N59" s="5">
        <f t="shared" si="10"/>
        <v>408</v>
      </c>
      <c r="O59" s="5">
        <f t="shared" si="11"/>
        <v>0</v>
      </c>
      <c r="P59" s="5">
        <f>Table1[[#This Row],[Enrolment S.Y. 2025-2026 ]]*8</f>
        <v>408</v>
      </c>
      <c r="Q59" s="5"/>
      <c r="R59" s="1"/>
      <c r="S59" s="5"/>
      <c r="T59" s="5">
        <f t="shared" si="12"/>
        <v>408</v>
      </c>
      <c r="U59" s="5">
        <f t="shared" si="13"/>
        <v>0</v>
      </c>
      <c r="V59" s="5">
        <f>Table1[[#This Row],[Enrolment S.Y. 2025-2026 ]]*8</f>
        <v>408</v>
      </c>
      <c r="W59" s="5"/>
      <c r="X59" s="1"/>
      <c r="Y59" s="5"/>
      <c r="Z59" s="5">
        <f t="shared" si="14"/>
        <v>408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51</v>
      </c>
      <c r="D60" s="5">
        <f>Table1[[#This Row],[Enrolment S.Y. 2025-2026 ]]*8</f>
        <v>408</v>
      </c>
      <c r="E60" s="5"/>
      <c r="F60" s="1"/>
      <c r="G60" s="5"/>
      <c r="H60" s="5">
        <f t="shared" si="2"/>
        <v>408</v>
      </c>
      <c r="I60" s="5">
        <f t="shared" si="3"/>
        <v>0</v>
      </c>
      <c r="J60" s="5">
        <f>Table1[[#This Row],[Enrolment S.Y. 2025-2026 ]]*8</f>
        <v>408</v>
      </c>
      <c r="K60" s="5"/>
      <c r="L60" s="1"/>
      <c r="M60" s="5"/>
      <c r="N60" s="5">
        <f t="shared" si="10"/>
        <v>408</v>
      </c>
      <c r="O60" s="5">
        <f t="shared" si="11"/>
        <v>0</v>
      </c>
      <c r="P60" s="5">
        <f>Table1[[#This Row],[Enrolment S.Y. 2025-2026 ]]*8</f>
        <v>408</v>
      </c>
      <c r="Q60" s="5"/>
      <c r="R60" s="1"/>
      <c r="S60" s="5"/>
      <c r="T60" s="5">
        <f t="shared" si="12"/>
        <v>408</v>
      </c>
      <c r="U60" s="5">
        <f t="shared" si="13"/>
        <v>0</v>
      </c>
      <c r="V60" s="5">
        <f>Table1[[#This Row],[Enrolment S.Y. 2025-2026 ]]*8</f>
        <v>408</v>
      </c>
      <c r="W60" s="5"/>
      <c r="X60" s="1"/>
      <c r="Y60" s="5"/>
      <c r="Z60" s="5">
        <f t="shared" si="14"/>
        <v>408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51</v>
      </c>
      <c r="D61" s="5">
        <f>Table1[[#This Row],[Enrolment S.Y. 2025-2026 ]]*8</f>
        <v>408</v>
      </c>
      <c r="E61" s="5"/>
      <c r="F61" s="1"/>
      <c r="G61" s="5"/>
      <c r="H61" s="5">
        <f t="shared" si="2"/>
        <v>408</v>
      </c>
      <c r="I61" s="5">
        <f t="shared" si="3"/>
        <v>0</v>
      </c>
      <c r="J61" s="5">
        <f>Table1[[#This Row],[Enrolment S.Y. 2025-2026 ]]*8</f>
        <v>408</v>
      </c>
      <c r="K61" s="5"/>
      <c r="L61" s="1"/>
      <c r="M61" s="5"/>
      <c r="N61" s="5">
        <f t="shared" si="10"/>
        <v>408</v>
      </c>
      <c r="O61" s="5">
        <f t="shared" si="11"/>
        <v>0</v>
      </c>
      <c r="P61" s="5">
        <f>Table1[[#This Row],[Enrolment S.Y. 2025-2026 ]]*8</f>
        <v>408</v>
      </c>
      <c r="Q61" s="5"/>
      <c r="R61" s="1"/>
      <c r="S61" s="5"/>
      <c r="T61" s="5">
        <f t="shared" si="12"/>
        <v>408</v>
      </c>
      <c r="U61" s="5">
        <f t="shared" si="13"/>
        <v>0</v>
      </c>
      <c r="V61" s="5">
        <f>Table1[[#This Row],[Enrolment S.Y. 2025-2026 ]]*8</f>
        <v>408</v>
      </c>
      <c r="W61" s="5"/>
      <c r="X61" s="1"/>
      <c r="Y61" s="5"/>
      <c r="Z61" s="5">
        <f t="shared" si="14"/>
        <v>408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D33:D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11:F12 N5:R12 T5:X12 N4:P4 T4:V4 J4 Z4:AA127 N3:R3 Y13 D5:D10 D23:F31 D14:F21 D43:F51" name="LAS"/>
    <protectedRange sqref="M2:O2 S2:U3 Y2:AA3 G112:G127 M112:M127 S112:S127 Y112:Y127 M5:M12 S4:S110 Y5:Y12 M14:M110 M3 Y14:Y110 G53:G61 G63:G71 G73:G81 G83:G91 G93:G101 G103:G110 G2:I3 G5:G12 G33:G41 G23:G31 G14:G21 G43:G51" name="SOURCE"/>
    <protectedRange sqref="E5:F10" name="LAS_3"/>
    <protectedRange sqref="F33:F41" name="LAS_4"/>
    <protectedRange sqref="E33:E41" name="LAS_1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33:F41 F5:F12 F23:F31 F63:F71 F73:F81 F53:F61 X112:X127 F83:F91 F93:F101 F14:F21 F103:F110 R103:R110 L103:L110 X103:X110 F43:F51" xr:uid="{4ECCD083-8EC4-42EE-B46C-B614411F330D}">
      <formula1>"2024,2025"</formula1>
    </dataValidation>
    <dataValidation type="list" allowBlank="1" showInputMessage="1" showErrorMessage="1" sqref="M14:M110 Y14:Y110 S4:S110 G3 M5:M12 Y5:Y12 G14:G21 G33:G41 G5:G12 G23:G31 G53:G61 G63:G71 G73:G81 G83:G91 G93:G101 G103:G110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G27" sqref="G27:G2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44</v>
      </c>
      <c r="D3" s="5">
        <f>Table14[[#This Row],[Enrolment S.Y. 2025-2026 ]]*8</f>
        <v>352</v>
      </c>
      <c r="E3" s="5"/>
      <c r="F3" s="1"/>
      <c r="G3" s="5"/>
      <c r="H3" s="5">
        <f t="shared" ref="H3:H83" si="0">IF((D3-E3)&lt;0,0,(D3-E3))</f>
        <v>352</v>
      </c>
      <c r="I3" s="5">
        <f t="shared" ref="I3:I83" si="1">IF((E3-D3)&lt;0,0,(E3-D3))</f>
        <v>0</v>
      </c>
      <c r="J3" s="5">
        <f>Table14[[#This Row],[Enrolment S.Y. 2025-2026 ]]*8</f>
        <v>352</v>
      </c>
      <c r="K3" s="5"/>
      <c r="L3" s="1"/>
      <c r="M3" s="5"/>
      <c r="N3" s="5">
        <f t="shared" ref="N3:N72" si="2">IF((J3-K3)&lt;0,0,(J3-K3))</f>
        <v>352</v>
      </c>
      <c r="O3" s="5">
        <f t="shared" ref="O3:O72" si="3">IF((K3-J3)&lt;0,0,(K3-J3))</f>
        <v>0</v>
      </c>
      <c r="P3" s="5">
        <f>Table14[[#This Row],[Enrolment S.Y. 2025-2026 ]]*8</f>
        <v>352</v>
      </c>
      <c r="Q3" s="5"/>
      <c r="R3" s="1"/>
      <c r="S3" s="5"/>
      <c r="T3" s="5">
        <f t="shared" ref="T3:T72" si="4">IF((P3-Q3)&lt;0,0,(P3-Q3))</f>
        <v>352</v>
      </c>
      <c r="U3" s="5">
        <f t="shared" ref="U3:U72" si="5">IF((Q3-P3)&lt;0,0,(Q3-P3))</f>
        <v>0</v>
      </c>
      <c r="V3" s="5">
        <f>Table14[[#This Row],[Enrolment S.Y. 2025-2026 ]]*8</f>
        <v>352</v>
      </c>
      <c r="W3" s="5"/>
      <c r="X3" s="1"/>
      <c r="Y3" s="5"/>
      <c r="Z3" s="5">
        <f t="shared" ref="Z3:Z72" si="6">IF((V3-W3)&lt;0,0,(V3-W3))</f>
        <v>352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44</v>
      </c>
      <c r="D4" s="5">
        <f>Table14[[#This Row],[Enrolment S.Y. 2025-2026 ]]*8</f>
        <v>352</v>
      </c>
      <c r="E4" s="5"/>
      <c r="F4" s="1"/>
      <c r="G4" s="5"/>
      <c r="H4" s="5">
        <f t="shared" si="0"/>
        <v>352</v>
      </c>
      <c r="I4" s="5">
        <f t="shared" si="1"/>
        <v>0</v>
      </c>
      <c r="J4" s="5">
        <f>Table14[[#This Row],[Enrolment S.Y. 2025-2026 ]]*8</f>
        <v>352</v>
      </c>
      <c r="K4" s="5"/>
      <c r="L4" s="1"/>
      <c r="M4" s="5"/>
      <c r="N4" s="5">
        <f t="shared" si="2"/>
        <v>352</v>
      </c>
      <c r="O4" s="5">
        <f t="shared" si="3"/>
        <v>0</v>
      </c>
      <c r="P4" s="5">
        <f>Table14[[#This Row],[Enrolment S.Y. 2025-2026 ]]*8</f>
        <v>352</v>
      </c>
      <c r="Q4" s="5"/>
      <c r="R4" s="1"/>
      <c r="S4" s="5"/>
      <c r="T4" s="5">
        <f t="shared" si="4"/>
        <v>352</v>
      </c>
      <c r="U4" s="5">
        <f t="shared" si="5"/>
        <v>0</v>
      </c>
      <c r="V4" s="5">
        <f>Table14[[#This Row],[Enrolment S.Y. 2025-2026 ]]*8</f>
        <v>352</v>
      </c>
      <c r="W4" s="5"/>
      <c r="X4" s="1"/>
      <c r="Y4" s="5"/>
      <c r="Z4" s="5">
        <f t="shared" si="6"/>
        <v>352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44</v>
      </c>
      <c r="D5" s="5">
        <f>Table14[[#This Row],[Enrolment S.Y. 2025-2026 ]]*8</f>
        <v>352</v>
      </c>
      <c r="E5" s="5"/>
      <c r="F5" s="1"/>
      <c r="G5" s="5"/>
      <c r="H5" s="5">
        <f t="shared" si="0"/>
        <v>352</v>
      </c>
      <c r="I5" s="5">
        <f t="shared" si="1"/>
        <v>0</v>
      </c>
      <c r="J5" s="5">
        <f>Table14[[#This Row],[Enrolment S.Y. 2025-2026 ]]*8</f>
        <v>352</v>
      </c>
      <c r="K5" s="5"/>
      <c r="L5" s="1"/>
      <c r="M5" s="5"/>
      <c r="N5" s="5">
        <f t="shared" si="2"/>
        <v>352</v>
      </c>
      <c r="O5" s="5">
        <f t="shared" si="3"/>
        <v>0</v>
      </c>
      <c r="P5" s="5">
        <f>Table14[[#This Row],[Enrolment S.Y. 2025-2026 ]]*8</f>
        <v>352</v>
      </c>
      <c r="Q5" s="5"/>
      <c r="R5" s="1"/>
      <c r="S5" s="5"/>
      <c r="T5" s="5">
        <f t="shared" si="4"/>
        <v>352</v>
      </c>
      <c r="U5" s="5">
        <f t="shared" si="5"/>
        <v>0</v>
      </c>
      <c r="V5" s="5">
        <f>Table14[[#This Row],[Enrolment S.Y. 2025-2026 ]]*8</f>
        <v>352</v>
      </c>
      <c r="W5" s="5"/>
      <c r="X5" s="1"/>
      <c r="Y5" s="5"/>
      <c r="Z5" s="5">
        <f t="shared" si="6"/>
        <v>352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44</v>
      </c>
      <c r="D6" s="5">
        <f>Table14[[#This Row],[Enrolment S.Y. 2025-2026 ]]*8</f>
        <v>352</v>
      </c>
      <c r="E6" s="5"/>
      <c r="F6" s="1"/>
      <c r="G6" s="5"/>
      <c r="H6" s="5">
        <f t="shared" si="0"/>
        <v>352</v>
      </c>
      <c r="I6" s="5">
        <f t="shared" si="1"/>
        <v>0</v>
      </c>
      <c r="J6" s="5">
        <f>Table14[[#This Row],[Enrolment S.Y. 2025-2026 ]]*8</f>
        <v>352</v>
      </c>
      <c r="K6" s="5"/>
      <c r="L6" s="1"/>
      <c r="M6" s="5"/>
      <c r="N6" s="5">
        <f t="shared" si="2"/>
        <v>352</v>
      </c>
      <c r="O6" s="5">
        <f t="shared" si="3"/>
        <v>0</v>
      </c>
      <c r="P6" s="5">
        <f>Table14[[#This Row],[Enrolment S.Y. 2025-2026 ]]*8</f>
        <v>352</v>
      </c>
      <c r="Q6" s="5"/>
      <c r="R6" s="1"/>
      <c r="S6" s="5"/>
      <c r="T6" s="5">
        <f t="shared" si="4"/>
        <v>352</v>
      </c>
      <c r="U6" s="5">
        <f t="shared" si="5"/>
        <v>0</v>
      </c>
      <c r="V6" s="5">
        <f>Table14[[#This Row],[Enrolment S.Y. 2025-2026 ]]*8</f>
        <v>352</v>
      </c>
      <c r="W6" s="5"/>
      <c r="X6" s="1"/>
      <c r="Y6" s="5"/>
      <c r="Z6" s="5">
        <f t="shared" si="6"/>
        <v>352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44</v>
      </c>
      <c r="D7" s="5">
        <f>Table14[[#This Row],[Enrolment S.Y. 2025-2026 ]]*8</f>
        <v>352</v>
      </c>
      <c r="E7" s="5"/>
      <c r="F7" s="1"/>
      <c r="G7" s="5"/>
      <c r="H7" s="5">
        <f t="shared" si="0"/>
        <v>352</v>
      </c>
      <c r="I7" s="5">
        <f t="shared" si="1"/>
        <v>0</v>
      </c>
      <c r="J7" s="5">
        <f>Table14[[#This Row],[Enrolment S.Y. 2025-2026 ]]*8</f>
        <v>352</v>
      </c>
      <c r="K7" s="5"/>
      <c r="L7" s="1"/>
      <c r="M7" s="5"/>
      <c r="N7" s="5">
        <f t="shared" si="2"/>
        <v>352</v>
      </c>
      <c r="O7" s="5">
        <f t="shared" si="3"/>
        <v>0</v>
      </c>
      <c r="P7" s="5">
        <f>Table14[[#This Row],[Enrolment S.Y. 2025-2026 ]]*8</f>
        <v>352</v>
      </c>
      <c r="Q7" s="5"/>
      <c r="R7" s="1"/>
      <c r="S7" s="5"/>
      <c r="T7" s="5">
        <f t="shared" si="4"/>
        <v>352</v>
      </c>
      <c r="U7" s="5">
        <f t="shared" si="5"/>
        <v>0</v>
      </c>
      <c r="V7" s="5">
        <f>Table14[[#This Row],[Enrolment S.Y. 2025-2026 ]]*8</f>
        <v>352</v>
      </c>
      <c r="W7" s="5"/>
      <c r="X7" s="1"/>
      <c r="Y7" s="5"/>
      <c r="Z7" s="5">
        <f t="shared" si="6"/>
        <v>352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44</v>
      </c>
      <c r="D8" s="5">
        <f>Table14[[#This Row],[Enrolment S.Y. 2025-2026 ]]*8</f>
        <v>352</v>
      </c>
      <c r="E8" s="5"/>
      <c r="F8" s="1"/>
      <c r="G8" s="5"/>
      <c r="H8" s="5">
        <f>IF((D8-E8)&lt;0,0,(D8-E8))</f>
        <v>352</v>
      </c>
      <c r="I8" s="5">
        <f>IF((E8-D8)&lt;0,0,(E8-D8))</f>
        <v>0</v>
      </c>
      <c r="J8" s="5">
        <f>Table14[[#This Row],[Enrolment S.Y. 2025-2026 ]]*8</f>
        <v>352</v>
      </c>
      <c r="K8" s="5"/>
      <c r="L8" s="1"/>
      <c r="M8" s="5"/>
      <c r="N8" s="5">
        <f t="shared" si="2"/>
        <v>352</v>
      </c>
      <c r="O8" s="5">
        <f t="shared" si="3"/>
        <v>0</v>
      </c>
      <c r="P8" s="5">
        <f>Table14[[#This Row],[Enrolment S.Y. 2025-2026 ]]*8</f>
        <v>352</v>
      </c>
      <c r="Q8" s="5"/>
      <c r="R8" s="1"/>
      <c r="S8" s="5"/>
      <c r="T8" s="5">
        <f t="shared" si="4"/>
        <v>352</v>
      </c>
      <c r="U8" s="5">
        <f t="shared" si="5"/>
        <v>0</v>
      </c>
      <c r="V8" s="5">
        <f>Table14[[#This Row],[Enrolment S.Y. 2025-2026 ]]*8</f>
        <v>352</v>
      </c>
      <c r="W8" s="5"/>
      <c r="X8" s="1"/>
      <c r="Y8" s="5"/>
      <c r="Z8" s="5">
        <f t="shared" si="6"/>
        <v>352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44</v>
      </c>
      <c r="D9" s="5">
        <f>Table14[[#This Row],[Enrolment S.Y. 2025-2026 ]]*8</f>
        <v>352</v>
      </c>
      <c r="E9" s="5"/>
      <c r="F9" s="1"/>
      <c r="G9" s="5"/>
      <c r="H9" s="5">
        <f>IF((D9-E9)&lt;0,0,(D9-E9))</f>
        <v>352</v>
      </c>
      <c r="I9" s="5">
        <f>IF((E9-D9)&lt;0,0,(E9-D9))</f>
        <v>0</v>
      </c>
      <c r="J9" s="5">
        <f>Table14[[#This Row],[Enrolment S.Y. 2025-2026 ]]*8</f>
        <v>352</v>
      </c>
      <c r="K9" s="5"/>
      <c r="L9" s="1"/>
      <c r="M9" s="5"/>
      <c r="N9" s="5">
        <f t="shared" si="2"/>
        <v>352</v>
      </c>
      <c r="O9" s="5">
        <f t="shared" si="3"/>
        <v>0</v>
      </c>
      <c r="P9" s="5">
        <f>Table14[[#This Row],[Enrolment S.Y. 2025-2026 ]]*8</f>
        <v>352</v>
      </c>
      <c r="Q9" s="5"/>
      <c r="R9" s="1"/>
      <c r="S9" s="5"/>
      <c r="T9" s="5">
        <f t="shared" si="4"/>
        <v>352</v>
      </c>
      <c r="U9" s="5">
        <f t="shared" si="5"/>
        <v>0</v>
      </c>
      <c r="V9" s="5">
        <f>Table14[[#This Row],[Enrolment S.Y. 2025-2026 ]]*8</f>
        <v>352</v>
      </c>
      <c r="W9" s="5"/>
      <c r="X9" s="1"/>
      <c r="Y9" s="5"/>
      <c r="Z9" s="5">
        <f t="shared" si="6"/>
        <v>352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44</v>
      </c>
      <c r="D10" s="5">
        <f>Table14[[#This Row],[Enrolment S.Y. 2025-2026 ]]*8</f>
        <v>352</v>
      </c>
      <c r="E10" s="5"/>
      <c r="F10" s="1"/>
      <c r="G10" s="5"/>
      <c r="H10" s="5">
        <f>IF((D10-E10)&lt;0,0,(D10-E10))</f>
        <v>352</v>
      </c>
      <c r="I10" s="5">
        <f>IF((E10-D10)&lt;0,0,(E10-D10))</f>
        <v>0</v>
      </c>
      <c r="J10" s="5">
        <f>Table14[[#This Row],[Enrolment S.Y. 2025-2026 ]]*8</f>
        <v>352</v>
      </c>
      <c r="K10" s="5"/>
      <c r="L10" s="1"/>
      <c r="M10" s="5"/>
      <c r="N10" s="5">
        <f t="shared" si="2"/>
        <v>352</v>
      </c>
      <c r="O10" s="5">
        <f t="shared" si="3"/>
        <v>0</v>
      </c>
      <c r="P10" s="5">
        <f>Table14[[#This Row],[Enrolment S.Y. 2025-2026 ]]*8</f>
        <v>352</v>
      </c>
      <c r="Q10" s="5"/>
      <c r="R10" s="1"/>
      <c r="S10" s="5"/>
      <c r="T10" s="5">
        <f t="shared" si="4"/>
        <v>352</v>
      </c>
      <c r="U10" s="5">
        <f t="shared" si="5"/>
        <v>0</v>
      </c>
      <c r="V10" s="5">
        <f>Table14[[#This Row],[Enrolment S.Y. 2025-2026 ]]*8</f>
        <v>352</v>
      </c>
      <c r="W10" s="5"/>
      <c r="X10" s="1"/>
      <c r="Y10" s="5"/>
      <c r="Z10" s="5">
        <f t="shared" si="6"/>
        <v>352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49</v>
      </c>
      <c r="D12" s="5">
        <f>Table14[[#This Row],[Enrolment S.Y. 2025-2026 ]]*8</f>
        <v>392</v>
      </c>
      <c r="E12" s="5"/>
      <c r="F12" s="1"/>
      <c r="G12" s="5"/>
      <c r="H12" s="5">
        <f t="shared" si="0"/>
        <v>392</v>
      </c>
      <c r="I12" s="5">
        <f t="shared" si="1"/>
        <v>0</v>
      </c>
      <c r="J12" s="5">
        <f>Table14[[#This Row],[Enrolment S.Y. 2025-2026 ]]*8</f>
        <v>392</v>
      </c>
      <c r="K12" s="5"/>
      <c r="L12" s="1"/>
      <c r="M12" s="5"/>
      <c r="N12" s="5">
        <f t="shared" si="2"/>
        <v>392</v>
      </c>
      <c r="O12" s="5">
        <f t="shared" si="3"/>
        <v>0</v>
      </c>
      <c r="P12" s="5">
        <f>Table14[[#This Row],[Enrolment S.Y. 2025-2026 ]]*8</f>
        <v>392</v>
      </c>
      <c r="Q12" s="5"/>
      <c r="R12" s="1"/>
      <c r="S12" s="5"/>
      <c r="T12" s="5">
        <f t="shared" si="4"/>
        <v>392</v>
      </c>
      <c r="U12" s="5">
        <f t="shared" si="5"/>
        <v>0</v>
      </c>
      <c r="V12" s="5">
        <f>Table14[[#This Row],[Enrolment S.Y. 2025-2026 ]]*8</f>
        <v>392</v>
      </c>
      <c r="W12" s="5"/>
      <c r="X12" s="1"/>
      <c r="Y12" s="5"/>
      <c r="Z12" s="5">
        <f t="shared" si="6"/>
        <v>392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49</v>
      </c>
      <c r="D13" s="5">
        <f>Table14[[#This Row],[Enrolment S.Y. 2025-2026 ]]*8</f>
        <v>392</v>
      </c>
      <c r="E13" s="5"/>
      <c r="F13" s="1"/>
      <c r="G13" s="5"/>
      <c r="H13" s="5">
        <f t="shared" si="0"/>
        <v>392</v>
      </c>
      <c r="I13" s="5">
        <f t="shared" si="1"/>
        <v>0</v>
      </c>
      <c r="J13" s="5">
        <f>Table14[[#This Row],[Enrolment S.Y. 2025-2026 ]]*8</f>
        <v>392</v>
      </c>
      <c r="K13" s="5"/>
      <c r="L13" s="1"/>
      <c r="M13" s="5"/>
      <c r="N13" s="5">
        <f t="shared" si="2"/>
        <v>392</v>
      </c>
      <c r="O13" s="5">
        <f t="shared" si="3"/>
        <v>0</v>
      </c>
      <c r="P13" s="5">
        <f>Table14[[#This Row],[Enrolment S.Y. 2025-2026 ]]*8</f>
        <v>392</v>
      </c>
      <c r="Q13" s="5"/>
      <c r="R13" s="1"/>
      <c r="S13" s="5"/>
      <c r="T13" s="5">
        <f t="shared" si="4"/>
        <v>392</v>
      </c>
      <c r="U13" s="5">
        <f t="shared" si="5"/>
        <v>0</v>
      </c>
      <c r="V13" s="5">
        <f>Table14[[#This Row],[Enrolment S.Y. 2025-2026 ]]*8</f>
        <v>392</v>
      </c>
      <c r="W13" s="5"/>
      <c r="X13" s="1"/>
      <c r="Y13" s="5"/>
      <c r="Z13" s="5">
        <f t="shared" si="6"/>
        <v>392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49</v>
      </c>
      <c r="D14" s="5">
        <f>Table14[[#This Row],[Enrolment S.Y. 2025-2026 ]]*8</f>
        <v>392</v>
      </c>
      <c r="E14" s="5"/>
      <c r="F14" s="1"/>
      <c r="G14" s="5"/>
      <c r="H14" s="5">
        <f t="shared" si="0"/>
        <v>392</v>
      </c>
      <c r="I14" s="5">
        <f t="shared" si="1"/>
        <v>0</v>
      </c>
      <c r="J14" s="5">
        <f>Table14[[#This Row],[Enrolment S.Y. 2025-2026 ]]*8</f>
        <v>392</v>
      </c>
      <c r="K14" s="5"/>
      <c r="L14" s="1"/>
      <c r="M14" s="5"/>
      <c r="N14" s="5">
        <f t="shared" si="2"/>
        <v>392</v>
      </c>
      <c r="O14" s="5">
        <f t="shared" si="3"/>
        <v>0</v>
      </c>
      <c r="P14" s="5">
        <f>Table14[[#This Row],[Enrolment S.Y. 2025-2026 ]]*8</f>
        <v>392</v>
      </c>
      <c r="Q14" s="5"/>
      <c r="R14" s="1"/>
      <c r="S14" s="5"/>
      <c r="T14" s="5">
        <f t="shared" si="4"/>
        <v>392</v>
      </c>
      <c r="U14" s="5">
        <f t="shared" si="5"/>
        <v>0</v>
      </c>
      <c r="V14" s="5">
        <f>Table14[[#This Row],[Enrolment S.Y. 2025-2026 ]]*8</f>
        <v>392</v>
      </c>
      <c r="W14" s="5"/>
      <c r="X14" s="1"/>
      <c r="Y14" s="5"/>
      <c r="Z14" s="5">
        <f t="shared" si="6"/>
        <v>392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49</v>
      </c>
      <c r="D15" s="5">
        <f>Table14[[#This Row],[Enrolment S.Y. 2025-2026 ]]*8</f>
        <v>392</v>
      </c>
      <c r="E15" s="5"/>
      <c r="F15" s="1"/>
      <c r="G15" s="5"/>
      <c r="H15" s="5">
        <f t="shared" si="0"/>
        <v>392</v>
      </c>
      <c r="I15" s="5">
        <f t="shared" si="1"/>
        <v>0</v>
      </c>
      <c r="J15" s="5">
        <f>Table14[[#This Row],[Enrolment S.Y. 2025-2026 ]]*8</f>
        <v>392</v>
      </c>
      <c r="K15" s="5"/>
      <c r="L15" s="1"/>
      <c r="M15" s="5"/>
      <c r="N15" s="5">
        <f t="shared" si="2"/>
        <v>392</v>
      </c>
      <c r="O15" s="5">
        <f t="shared" si="3"/>
        <v>0</v>
      </c>
      <c r="P15" s="5">
        <f>Table14[[#This Row],[Enrolment S.Y. 2025-2026 ]]*8</f>
        <v>392</v>
      </c>
      <c r="Q15" s="5"/>
      <c r="R15" s="1"/>
      <c r="S15" s="5"/>
      <c r="T15" s="5">
        <f t="shared" si="4"/>
        <v>392</v>
      </c>
      <c r="U15" s="5">
        <f t="shared" si="5"/>
        <v>0</v>
      </c>
      <c r="V15" s="5">
        <f>Table14[[#This Row],[Enrolment S.Y. 2025-2026 ]]*8</f>
        <v>392</v>
      </c>
      <c r="W15" s="5"/>
      <c r="X15" s="1"/>
      <c r="Y15" s="5"/>
      <c r="Z15" s="5">
        <f t="shared" si="6"/>
        <v>392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49</v>
      </c>
      <c r="D16" s="5">
        <f>Table14[[#This Row],[Enrolment S.Y. 2025-2026 ]]*8</f>
        <v>392</v>
      </c>
      <c r="E16" s="5">
        <f>61+61+305+183+305+244</f>
        <v>1159</v>
      </c>
      <c r="F16" s="1">
        <v>2024</v>
      </c>
      <c r="G16" s="5" t="s">
        <v>9</v>
      </c>
      <c r="H16" s="5">
        <f t="shared" si="0"/>
        <v>0</v>
      </c>
      <c r="I16" s="5">
        <f t="shared" si="1"/>
        <v>767</v>
      </c>
      <c r="J16" s="5">
        <f>Table14[[#This Row],[Enrolment S.Y. 2025-2026 ]]*8</f>
        <v>392</v>
      </c>
      <c r="K16" s="5"/>
      <c r="L16" s="1"/>
      <c r="M16" s="5"/>
      <c r="N16" s="5">
        <f t="shared" si="2"/>
        <v>392</v>
      </c>
      <c r="O16" s="5">
        <f t="shared" si="3"/>
        <v>0</v>
      </c>
      <c r="P16" s="5">
        <f>Table14[[#This Row],[Enrolment S.Y. 2025-2026 ]]*8</f>
        <v>392</v>
      </c>
      <c r="Q16" s="5"/>
      <c r="R16" s="1"/>
      <c r="S16" s="5"/>
      <c r="T16" s="5">
        <f t="shared" si="4"/>
        <v>392</v>
      </c>
      <c r="U16" s="5">
        <f t="shared" si="5"/>
        <v>0</v>
      </c>
      <c r="V16" s="5">
        <f>Table14[[#This Row],[Enrolment S.Y. 2025-2026 ]]*8</f>
        <v>392</v>
      </c>
      <c r="W16" s="5"/>
      <c r="X16" s="1"/>
      <c r="Y16" s="5"/>
      <c r="Z16" s="5">
        <f t="shared" si="6"/>
        <v>392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49</v>
      </c>
      <c r="D17" s="5">
        <f>Table14[[#This Row],[Enrolment S.Y. 2025-2026 ]]*8</f>
        <v>392</v>
      </c>
      <c r="E17" s="5">
        <f>61+305+61</f>
        <v>427</v>
      </c>
      <c r="F17" s="1">
        <v>2024</v>
      </c>
      <c r="G17" s="5" t="s">
        <v>9</v>
      </c>
      <c r="H17" s="5">
        <f>IF((D17-E17)&lt;0,0,(D17-E17))</f>
        <v>0</v>
      </c>
      <c r="I17" s="5">
        <f>IF((E17-D17)&lt;0,0,(E17-D17))</f>
        <v>35</v>
      </c>
      <c r="J17" s="5">
        <f>Table14[[#This Row],[Enrolment S.Y. 2025-2026 ]]*8</f>
        <v>392</v>
      </c>
      <c r="K17" s="5"/>
      <c r="L17" s="1"/>
      <c r="M17" s="5"/>
      <c r="N17" s="5">
        <f t="shared" si="2"/>
        <v>392</v>
      </c>
      <c r="O17" s="5">
        <f t="shared" si="3"/>
        <v>0</v>
      </c>
      <c r="P17" s="5">
        <f>Table14[[#This Row],[Enrolment S.Y. 2025-2026 ]]*8</f>
        <v>392</v>
      </c>
      <c r="Q17" s="5"/>
      <c r="R17" s="1"/>
      <c r="S17" s="5"/>
      <c r="T17" s="5">
        <f t="shared" si="4"/>
        <v>392</v>
      </c>
      <c r="U17" s="5">
        <f t="shared" si="5"/>
        <v>0</v>
      </c>
      <c r="V17" s="5">
        <f>Table14[[#This Row],[Enrolment S.Y. 2025-2026 ]]*8</f>
        <v>392</v>
      </c>
      <c r="W17" s="5"/>
      <c r="X17" s="1"/>
      <c r="Y17" s="5"/>
      <c r="Z17" s="5">
        <f t="shared" si="6"/>
        <v>392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49</v>
      </c>
      <c r="D18" s="5">
        <f>Table14[[#This Row],[Enrolment S.Y. 2025-2026 ]]*8</f>
        <v>392</v>
      </c>
      <c r="E18" s="5">
        <f>122+183</f>
        <v>305</v>
      </c>
      <c r="F18" s="1">
        <v>2024</v>
      </c>
      <c r="G18" s="5" t="s">
        <v>9</v>
      </c>
      <c r="H18" s="5">
        <f>IF((D18-E18)&lt;0,0,(D18-E18))</f>
        <v>87</v>
      </c>
      <c r="I18" s="5">
        <f>IF((E18-D18)&lt;0,0,(E18-D18))</f>
        <v>0</v>
      </c>
      <c r="J18" s="5">
        <f>Table14[[#This Row],[Enrolment S.Y. 2025-2026 ]]*8</f>
        <v>392</v>
      </c>
      <c r="K18" s="5"/>
      <c r="L18" s="1"/>
      <c r="M18" s="5"/>
      <c r="N18" s="5">
        <f t="shared" si="2"/>
        <v>392</v>
      </c>
      <c r="O18" s="5">
        <f t="shared" si="3"/>
        <v>0</v>
      </c>
      <c r="P18" s="5">
        <f>Table14[[#This Row],[Enrolment S.Y. 2025-2026 ]]*8</f>
        <v>392</v>
      </c>
      <c r="Q18" s="5"/>
      <c r="R18" s="1"/>
      <c r="S18" s="5"/>
      <c r="T18" s="5">
        <f t="shared" si="4"/>
        <v>392</v>
      </c>
      <c r="U18" s="5">
        <f t="shared" si="5"/>
        <v>0</v>
      </c>
      <c r="V18" s="5">
        <f>Table14[[#This Row],[Enrolment S.Y. 2025-2026 ]]*8</f>
        <v>392</v>
      </c>
      <c r="W18" s="5"/>
      <c r="X18" s="1"/>
      <c r="Y18" s="5"/>
      <c r="Z18" s="5">
        <f t="shared" si="6"/>
        <v>392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49</v>
      </c>
      <c r="D19" s="5">
        <f>Table14[[#This Row],[Enrolment S.Y. 2025-2026 ]]*8</f>
        <v>392</v>
      </c>
      <c r="E19" s="5"/>
      <c r="F19" s="1"/>
      <c r="G19" s="5"/>
      <c r="H19" s="5">
        <f>IF((D19-E19)&lt;0,0,(D19-E19))</f>
        <v>392</v>
      </c>
      <c r="I19" s="5">
        <f>IF((E19-D19)&lt;0,0,(E19-D19))</f>
        <v>0</v>
      </c>
      <c r="J19" s="5">
        <f>Table14[[#This Row],[Enrolment S.Y. 2025-2026 ]]*8</f>
        <v>392</v>
      </c>
      <c r="K19" s="5"/>
      <c r="L19" s="1"/>
      <c r="M19" s="5"/>
      <c r="N19" s="5">
        <f t="shared" si="2"/>
        <v>392</v>
      </c>
      <c r="O19" s="5">
        <f t="shared" si="3"/>
        <v>0</v>
      </c>
      <c r="P19" s="5">
        <f>Table14[[#This Row],[Enrolment S.Y. 2025-2026 ]]*8</f>
        <v>392</v>
      </c>
      <c r="Q19" s="5"/>
      <c r="R19" s="1"/>
      <c r="S19" s="5"/>
      <c r="T19" s="5">
        <f t="shared" si="4"/>
        <v>392</v>
      </c>
      <c r="U19" s="5">
        <f t="shared" si="5"/>
        <v>0</v>
      </c>
      <c r="V19" s="5">
        <f>Table14[[#This Row],[Enrolment S.Y. 2025-2026 ]]*8</f>
        <v>392</v>
      </c>
      <c r="W19" s="5"/>
      <c r="X19" s="1"/>
      <c r="Y19" s="5"/>
      <c r="Z19" s="5">
        <f t="shared" si="6"/>
        <v>392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48</v>
      </c>
      <c r="D21" s="5">
        <f>Table14[[#This Row],[Enrolment S.Y. 2025-2026 ]]*8</f>
        <v>384</v>
      </c>
      <c r="E21" s="5"/>
      <c r="F21" s="1"/>
      <c r="G21" s="5"/>
      <c r="H21" s="5">
        <f t="shared" si="0"/>
        <v>384</v>
      </c>
      <c r="I21" s="5">
        <f t="shared" si="1"/>
        <v>0</v>
      </c>
      <c r="J21" s="5">
        <f>Table14[[#This Row],[Enrolment S.Y. 2025-2026 ]]*8</f>
        <v>384</v>
      </c>
      <c r="K21" s="5"/>
      <c r="L21" s="1"/>
      <c r="M21" s="5"/>
      <c r="N21" s="5">
        <f t="shared" si="2"/>
        <v>384</v>
      </c>
      <c r="O21" s="5">
        <f t="shared" si="3"/>
        <v>0</v>
      </c>
      <c r="P21" s="5">
        <f>Table14[[#This Row],[Enrolment S.Y. 2025-2026 ]]*8</f>
        <v>384</v>
      </c>
      <c r="Q21" s="5"/>
      <c r="R21" s="1"/>
      <c r="S21" s="5"/>
      <c r="T21" s="5">
        <f t="shared" si="4"/>
        <v>384</v>
      </c>
      <c r="U21" s="5">
        <f t="shared" si="5"/>
        <v>0</v>
      </c>
      <c r="V21" s="5">
        <f>Table14[[#This Row],[Enrolment S.Y. 2025-2026 ]]*8</f>
        <v>384</v>
      </c>
      <c r="W21" s="5"/>
      <c r="X21" s="1"/>
      <c r="Y21" s="5"/>
      <c r="Z21" s="5">
        <f t="shared" si="6"/>
        <v>384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48</v>
      </c>
      <c r="D22" s="5">
        <f>Table14[[#This Row],[Enrolment S.Y. 2025-2026 ]]*8</f>
        <v>384</v>
      </c>
      <c r="E22" s="5"/>
      <c r="F22" s="1"/>
      <c r="G22" s="5"/>
      <c r="H22" s="5">
        <f t="shared" si="0"/>
        <v>384</v>
      </c>
      <c r="I22" s="5">
        <f t="shared" si="1"/>
        <v>0</v>
      </c>
      <c r="J22" s="5">
        <f>Table14[[#This Row],[Enrolment S.Y. 2025-2026 ]]*8</f>
        <v>384</v>
      </c>
      <c r="K22" s="5"/>
      <c r="L22" s="1"/>
      <c r="M22" s="5"/>
      <c r="N22" s="5">
        <f t="shared" si="2"/>
        <v>384</v>
      </c>
      <c r="O22" s="5">
        <f t="shared" si="3"/>
        <v>0</v>
      </c>
      <c r="P22" s="5">
        <f>Table14[[#This Row],[Enrolment S.Y. 2025-2026 ]]*8</f>
        <v>384</v>
      </c>
      <c r="Q22" s="5"/>
      <c r="R22" s="1"/>
      <c r="S22" s="5"/>
      <c r="T22" s="5">
        <f t="shared" si="4"/>
        <v>384</v>
      </c>
      <c r="U22" s="5">
        <f t="shared" si="5"/>
        <v>0</v>
      </c>
      <c r="V22" s="5">
        <f>Table14[[#This Row],[Enrolment S.Y. 2025-2026 ]]*8</f>
        <v>384</v>
      </c>
      <c r="W22" s="5"/>
      <c r="X22" s="1"/>
      <c r="Y22" s="5"/>
      <c r="Z22" s="5">
        <f t="shared" si="6"/>
        <v>384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48</v>
      </c>
      <c r="D23" s="5">
        <f>Table14[[#This Row],[Enrolment S.Y. 2025-2026 ]]*8</f>
        <v>384</v>
      </c>
      <c r="E23" s="5"/>
      <c r="F23" s="1"/>
      <c r="G23" s="5"/>
      <c r="H23" s="5">
        <f t="shared" si="0"/>
        <v>384</v>
      </c>
      <c r="I23" s="5">
        <f t="shared" si="1"/>
        <v>0</v>
      </c>
      <c r="J23" s="5">
        <f>Table14[[#This Row],[Enrolment S.Y. 2025-2026 ]]*8</f>
        <v>384</v>
      </c>
      <c r="K23" s="5"/>
      <c r="L23" s="1"/>
      <c r="M23" s="5"/>
      <c r="N23" s="5">
        <f t="shared" si="2"/>
        <v>384</v>
      </c>
      <c r="O23" s="5">
        <f t="shared" si="3"/>
        <v>0</v>
      </c>
      <c r="P23" s="5">
        <f>Table14[[#This Row],[Enrolment S.Y. 2025-2026 ]]*8</f>
        <v>384</v>
      </c>
      <c r="Q23" s="5"/>
      <c r="R23" s="1"/>
      <c r="S23" s="5"/>
      <c r="T23" s="5">
        <f t="shared" si="4"/>
        <v>384</v>
      </c>
      <c r="U23" s="5">
        <f t="shared" si="5"/>
        <v>0</v>
      </c>
      <c r="V23" s="5">
        <f>Table14[[#This Row],[Enrolment S.Y. 2025-2026 ]]*8</f>
        <v>384</v>
      </c>
      <c r="W23" s="5"/>
      <c r="X23" s="1"/>
      <c r="Y23" s="5"/>
      <c r="Z23" s="5">
        <f t="shared" si="6"/>
        <v>384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48</v>
      </c>
      <c r="D24" s="5">
        <f>Table14[[#This Row],[Enrolment S.Y. 2025-2026 ]]*8</f>
        <v>384</v>
      </c>
      <c r="E24" s="5"/>
      <c r="F24" s="1"/>
      <c r="G24" s="5"/>
      <c r="H24" s="5">
        <f t="shared" si="0"/>
        <v>384</v>
      </c>
      <c r="I24" s="5">
        <f t="shared" si="1"/>
        <v>0</v>
      </c>
      <c r="J24" s="5">
        <f>Table14[[#This Row],[Enrolment S.Y. 2025-2026 ]]*8</f>
        <v>384</v>
      </c>
      <c r="K24" s="5"/>
      <c r="L24" s="1"/>
      <c r="M24" s="5"/>
      <c r="N24" s="5">
        <f t="shared" si="2"/>
        <v>384</v>
      </c>
      <c r="O24" s="5">
        <f t="shared" si="3"/>
        <v>0</v>
      </c>
      <c r="P24" s="5">
        <f>Table14[[#This Row],[Enrolment S.Y. 2025-2026 ]]*8</f>
        <v>384</v>
      </c>
      <c r="Q24" s="5"/>
      <c r="R24" s="1"/>
      <c r="S24" s="5"/>
      <c r="T24" s="5">
        <f t="shared" si="4"/>
        <v>384</v>
      </c>
      <c r="U24" s="5">
        <f t="shared" si="5"/>
        <v>0</v>
      </c>
      <c r="V24" s="5">
        <f>Table14[[#This Row],[Enrolment S.Y. 2025-2026 ]]*8</f>
        <v>384</v>
      </c>
      <c r="W24" s="5"/>
      <c r="X24" s="1"/>
      <c r="Y24" s="5"/>
      <c r="Z24" s="5">
        <f t="shared" si="6"/>
        <v>384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48</v>
      </c>
      <c r="D25" s="5">
        <f>Table14[[#This Row],[Enrolment S.Y. 2025-2026 ]]*8</f>
        <v>384</v>
      </c>
      <c r="E25" s="5"/>
      <c r="F25" s="1"/>
      <c r="G25" s="5"/>
      <c r="H25" s="5">
        <f t="shared" si="0"/>
        <v>384</v>
      </c>
      <c r="I25" s="5">
        <f t="shared" si="1"/>
        <v>0</v>
      </c>
      <c r="J25" s="5">
        <f>Table14[[#This Row],[Enrolment S.Y. 2025-2026 ]]*8</f>
        <v>384</v>
      </c>
      <c r="K25" s="5"/>
      <c r="L25" s="1"/>
      <c r="M25" s="5"/>
      <c r="N25" s="5">
        <f t="shared" si="2"/>
        <v>384</v>
      </c>
      <c r="O25" s="5">
        <f t="shared" si="3"/>
        <v>0</v>
      </c>
      <c r="P25" s="5">
        <f>Table14[[#This Row],[Enrolment S.Y. 2025-2026 ]]*8</f>
        <v>384</v>
      </c>
      <c r="Q25" s="5"/>
      <c r="R25" s="1"/>
      <c r="S25" s="5"/>
      <c r="T25" s="5">
        <f t="shared" si="4"/>
        <v>384</v>
      </c>
      <c r="U25" s="5">
        <f t="shared" si="5"/>
        <v>0</v>
      </c>
      <c r="V25" s="5">
        <f>Table14[[#This Row],[Enrolment S.Y. 2025-2026 ]]*8</f>
        <v>384</v>
      </c>
      <c r="W25" s="5"/>
      <c r="X25" s="1"/>
      <c r="Y25" s="5"/>
      <c r="Z25" s="5">
        <f t="shared" si="6"/>
        <v>384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48</v>
      </c>
      <c r="D26" s="5">
        <f>Table14[[#This Row],[Enrolment S.Y. 2025-2026 ]]*8</f>
        <v>384</v>
      </c>
      <c r="E26" s="5">
        <f>(90*3)+305+270+180+455</f>
        <v>1480</v>
      </c>
      <c r="F26" s="1">
        <v>2024</v>
      </c>
      <c r="G26" s="5" t="s">
        <v>9</v>
      </c>
      <c r="H26" s="5">
        <f t="shared" si="0"/>
        <v>0</v>
      </c>
      <c r="I26" s="5">
        <f t="shared" si="1"/>
        <v>1096</v>
      </c>
      <c r="J26" s="5">
        <f>Table14[[#This Row],[Enrolment S.Y. 2025-2026 ]]*8</f>
        <v>384</v>
      </c>
      <c r="K26" s="5"/>
      <c r="L26" s="1"/>
      <c r="M26" s="5"/>
      <c r="N26" s="5">
        <f t="shared" si="2"/>
        <v>384</v>
      </c>
      <c r="O26" s="5">
        <f t="shared" si="3"/>
        <v>0</v>
      </c>
      <c r="P26" s="5">
        <f>Table14[[#This Row],[Enrolment S.Y. 2025-2026 ]]*8</f>
        <v>384</v>
      </c>
      <c r="Q26" s="5"/>
      <c r="R26" s="1"/>
      <c r="S26" s="5"/>
      <c r="T26" s="5">
        <f t="shared" si="4"/>
        <v>384</v>
      </c>
      <c r="U26" s="5">
        <f t="shared" si="5"/>
        <v>0</v>
      </c>
      <c r="V26" s="5">
        <f>Table14[[#This Row],[Enrolment S.Y. 2025-2026 ]]*8</f>
        <v>384</v>
      </c>
      <c r="W26" s="5"/>
      <c r="X26" s="1"/>
      <c r="Y26" s="5"/>
      <c r="Z26" s="5">
        <f t="shared" si="6"/>
        <v>384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48</v>
      </c>
      <c r="D27" s="5">
        <f>Table14[[#This Row],[Enrolment S.Y. 2025-2026 ]]*8</f>
        <v>384</v>
      </c>
      <c r="E27" s="5">
        <f>540+90+90+180+200</f>
        <v>1100</v>
      </c>
      <c r="F27" s="1">
        <v>2024</v>
      </c>
      <c r="G27" s="5" t="s">
        <v>9</v>
      </c>
      <c r="H27" s="5">
        <f>IF((D27-E27)&lt;0,0,(D27-E27))</f>
        <v>0</v>
      </c>
      <c r="I27" s="5">
        <f>IF((E27-D27)&lt;0,0,(E27-D27))</f>
        <v>716</v>
      </c>
      <c r="J27" s="5">
        <f>Table14[[#This Row],[Enrolment S.Y. 2025-2026 ]]*8</f>
        <v>384</v>
      </c>
      <c r="K27" s="5"/>
      <c r="L27" s="1"/>
      <c r="M27" s="5"/>
      <c r="N27" s="5">
        <f t="shared" si="2"/>
        <v>384</v>
      </c>
      <c r="O27" s="5">
        <f t="shared" si="3"/>
        <v>0</v>
      </c>
      <c r="P27" s="5">
        <f>Table14[[#This Row],[Enrolment S.Y. 2025-2026 ]]*8</f>
        <v>384</v>
      </c>
      <c r="Q27" s="5"/>
      <c r="R27" s="1"/>
      <c r="S27" s="5"/>
      <c r="T27" s="5">
        <f t="shared" si="4"/>
        <v>384</v>
      </c>
      <c r="U27" s="5">
        <f t="shared" si="5"/>
        <v>0</v>
      </c>
      <c r="V27" s="5">
        <f>Table14[[#This Row],[Enrolment S.Y. 2025-2026 ]]*8</f>
        <v>384</v>
      </c>
      <c r="W27" s="5"/>
      <c r="X27" s="1"/>
      <c r="Y27" s="5"/>
      <c r="Z27" s="5">
        <f t="shared" si="6"/>
        <v>384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48</v>
      </c>
      <c r="D28" s="5">
        <f>Table14[[#This Row],[Enrolment S.Y. 2025-2026 ]]*8</f>
        <v>384</v>
      </c>
      <c r="E28" s="5">
        <f>180+90+720+90+90+65</f>
        <v>1235</v>
      </c>
      <c r="F28" s="1">
        <v>2024</v>
      </c>
      <c r="G28" s="5" t="s">
        <v>9</v>
      </c>
      <c r="H28" s="5">
        <f>IF((D28-E28)&lt;0,0,(D28-E28))</f>
        <v>0</v>
      </c>
      <c r="I28" s="5">
        <f>IF((E28-D28)&lt;0,0,(E28-D28))</f>
        <v>851</v>
      </c>
      <c r="J28" s="5">
        <f>Table14[[#This Row],[Enrolment S.Y. 2025-2026 ]]*8</f>
        <v>384</v>
      </c>
      <c r="K28" s="5"/>
      <c r="L28" s="1"/>
      <c r="M28" s="5"/>
      <c r="N28" s="5">
        <f t="shared" si="2"/>
        <v>384</v>
      </c>
      <c r="O28" s="5">
        <f t="shared" si="3"/>
        <v>0</v>
      </c>
      <c r="P28" s="5">
        <f>Table14[[#This Row],[Enrolment S.Y. 2025-2026 ]]*8</f>
        <v>384</v>
      </c>
      <c r="Q28" s="5"/>
      <c r="R28" s="1"/>
      <c r="S28" s="5"/>
      <c r="T28" s="5">
        <f t="shared" si="4"/>
        <v>384</v>
      </c>
      <c r="U28" s="5">
        <f t="shared" si="5"/>
        <v>0</v>
      </c>
      <c r="V28" s="5">
        <f>Table14[[#This Row],[Enrolment S.Y. 2025-2026 ]]*8</f>
        <v>384</v>
      </c>
      <c r="W28" s="5"/>
      <c r="X28" s="1"/>
      <c r="Y28" s="5"/>
      <c r="Z28" s="5">
        <f t="shared" si="6"/>
        <v>384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48</v>
      </c>
      <c r="D29" s="5">
        <f>Table14[[#This Row],[Enrolment S.Y. 2025-2026 ]]*8</f>
        <v>384</v>
      </c>
      <c r="E29" s="5"/>
      <c r="F29" s="1"/>
      <c r="G29" s="5"/>
      <c r="H29" s="5">
        <f>IF((D29-E29)&lt;0,0,(D29-E29))</f>
        <v>384</v>
      </c>
      <c r="I29" s="5">
        <f>IF((E29-D29)&lt;0,0,(E29-D29))</f>
        <v>0</v>
      </c>
      <c r="J29" s="5">
        <f>Table14[[#This Row],[Enrolment S.Y. 2025-2026 ]]*8</f>
        <v>384</v>
      </c>
      <c r="K29" s="5"/>
      <c r="L29" s="1"/>
      <c r="M29" s="5"/>
      <c r="N29" s="5">
        <f t="shared" si="2"/>
        <v>384</v>
      </c>
      <c r="O29" s="5">
        <f t="shared" si="3"/>
        <v>0</v>
      </c>
      <c r="P29" s="5">
        <f>Table14[[#This Row],[Enrolment S.Y. 2025-2026 ]]*8</f>
        <v>384</v>
      </c>
      <c r="Q29" s="5"/>
      <c r="R29" s="1"/>
      <c r="S29" s="5"/>
      <c r="T29" s="5">
        <f t="shared" si="4"/>
        <v>384</v>
      </c>
      <c r="U29" s="5">
        <f t="shared" si="5"/>
        <v>0</v>
      </c>
      <c r="V29" s="5">
        <f>Table14[[#This Row],[Enrolment S.Y. 2025-2026 ]]*8</f>
        <v>384</v>
      </c>
      <c r="W29" s="5"/>
      <c r="X29" s="1"/>
      <c r="Y29" s="5"/>
      <c r="Z29" s="5">
        <f t="shared" si="6"/>
        <v>384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49</v>
      </c>
      <c r="D31" s="5">
        <f>Table14[[#This Row],[Enrolment S.Y. 2025-2026 ]]*8</f>
        <v>392</v>
      </c>
      <c r="E31" s="5"/>
      <c r="F31" s="1"/>
      <c r="G31" s="5"/>
      <c r="H31" s="5">
        <f t="shared" si="0"/>
        <v>392</v>
      </c>
      <c r="I31" s="5">
        <f t="shared" si="1"/>
        <v>0</v>
      </c>
      <c r="J31" s="5">
        <f>Table14[[#This Row],[Enrolment S.Y. 2025-2026 ]]*8</f>
        <v>392</v>
      </c>
      <c r="K31" s="5"/>
      <c r="L31" s="1"/>
      <c r="M31" s="5"/>
      <c r="N31" s="5">
        <f t="shared" si="2"/>
        <v>392</v>
      </c>
      <c r="O31" s="5">
        <f t="shared" si="3"/>
        <v>0</v>
      </c>
      <c r="P31" s="5">
        <f>Table14[[#This Row],[Enrolment S.Y. 2025-2026 ]]*8</f>
        <v>392</v>
      </c>
      <c r="Q31" s="5"/>
      <c r="R31" s="1"/>
      <c r="S31" s="5"/>
      <c r="T31" s="5">
        <f t="shared" si="4"/>
        <v>392</v>
      </c>
      <c r="U31" s="5">
        <f t="shared" si="5"/>
        <v>0</v>
      </c>
      <c r="V31" s="5">
        <f>Table14[[#This Row],[Enrolment S.Y. 2025-2026 ]]*8</f>
        <v>392</v>
      </c>
      <c r="W31" s="5"/>
      <c r="X31" s="1"/>
      <c r="Y31" s="5"/>
      <c r="Z31" s="5">
        <f t="shared" si="6"/>
        <v>392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49</v>
      </c>
      <c r="D32" s="5">
        <f>Table14[[#This Row],[Enrolment S.Y. 2025-2026 ]]*8</f>
        <v>392</v>
      </c>
      <c r="E32" s="5"/>
      <c r="F32" s="1"/>
      <c r="G32" s="5"/>
      <c r="H32" s="5">
        <f t="shared" si="0"/>
        <v>392</v>
      </c>
      <c r="I32" s="5">
        <f t="shared" si="1"/>
        <v>0</v>
      </c>
      <c r="J32" s="5">
        <f>Table14[[#This Row],[Enrolment S.Y. 2025-2026 ]]*8</f>
        <v>392</v>
      </c>
      <c r="K32" s="5"/>
      <c r="L32" s="1"/>
      <c r="M32" s="5"/>
      <c r="N32" s="5">
        <f t="shared" si="2"/>
        <v>392</v>
      </c>
      <c r="O32" s="5">
        <f t="shared" si="3"/>
        <v>0</v>
      </c>
      <c r="P32" s="5">
        <f>Table14[[#This Row],[Enrolment S.Y. 2025-2026 ]]*8</f>
        <v>392</v>
      </c>
      <c r="Q32" s="5"/>
      <c r="R32" s="1"/>
      <c r="S32" s="5"/>
      <c r="T32" s="5">
        <f t="shared" si="4"/>
        <v>392</v>
      </c>
      <c r="U32" s="5">
        <f t="shared" si="5"/>
        <v>0</v>
      </c>
      <c r="V32" s="5">
        <f>Table14[[#This Row],[Enrolment S.Y. 2025-2026 ]]*8</f>
        <v>392</v>
      </c>
      <c r="W32" s="5"/>
      <c r="X32" s="1"/>
      <c r="Y32" s="5"/>
      <c r="Z32" s="5">
        <f t="shared" si="6"/>
        <v>392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49</v>
      </c>
      <c r="D33" s="5">
        <f>Table14[[#This Row],[Enrolment S.Y. 2025-2026 ]]*8</f>
        <v>392</v>
      </c>
      <c r="E33" s="5"/>
      <c r="F33" s="1"/>
      <c r="G33" s="5"/>
      <c r="H33" s="5">
        <f t="shared" si="0"/>
        <v>392</v>
      </c>
      <c r="I33" s="5">
        <f t="shared" si="1"/>
        <v>0</v>
      </c>
      <c r="J33" s="5">
        <f>Table14[[#This Row],[Enrolment S.Y. 2025-2026 ]]*8</f>
        <v>392</v>
      </c>
      <c r="K33" s="5"/>
      <c r="L33" s="1"/>
      <c r="M33" s="5"/>
      <c r="N33" s="5">
        <f t="shared" si="2"/>
        <v>392</v>
      </c>
      <c r="O33" s="5">
        <f t="shared" si="3"/>
        <v>0</v>
      </c>
      <c r="P33" s="5">
        <f>Table14[[#This Row],[Enrolment S.Y. 2025-2026 ]]*8</f>
        <v>392</v>
      </c>
      <c r="Q33" s="5"/>
      <c r="R33" s="1"/>
      <c r="S33" s="5"/>
      <c r="T33" s="5">
        <f t="shared" si="4"/>
        <v>392</v>
      </c>
      <c r="U33" s="5">
        <f t="shared" si="5"/>
        <v>0</v>
      </c>
      <c r="V33" s="5">
        <f>Table14[[#This Row],[Enrolment S.Y. 2025-2026 ]]*8</f>
        <v>392</v>
      </c>
      <c r="W33" s="5"/>
      <c r="X33" s="1"/>
      <c r="Y33" s="5"/>
      <c r="Z33" s="5">
        <f t="shared" si="6"/>
        <v>392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49</v>
      </c>
      <c r="D34" s="5">
        <f>Table14[[#This Row],[Enrolment S.Y. 2025-2026 ]]*8</f>
        <v>392</v>
      </c>
      <c r="E34" s="5"/>
      <c r="F34" s="1"/>
      <c r="G34" s="5"/>
      <c r="H34" s="5">
        <f t="shared" si="0"/>
        <v>392</v>
      </c>
      <c r="I34" s="5">
        <f t="shared" si="1"/>
        <v>0</v>
      </c>
      <c r="J34" s="5">
        <f>Table14[[#This Row],[Enrolment S.Y. 2025-2026 ]]*8</f>
        <v>392</v>
      </c>
      <c r="K34" s="5"/>
      <c r="L34" s="1"/>
      <c r="M34" s="5"/>
      <c r="N34" s="5">
        <f t="shared" si="2"/>
        <v>392</v>
      </c>
      <c r="O34" s="5">
        <f t="shared" si="3"/>
        <v>0</v>
      </c>
      <c r="P34" s="5">
        <f>Table14[[#This Row],[Enrolment S.Y. 2025-2026 ]]*8</f>
        <v>392</v>
      </c>
      <c r="Q34" s="5"/>
      <c r="R34" s="1"/>
      <c r="S34" s="5"/>
      <c r="T34" s="5">
        <f t="shared" si="4"/>
        <v>392</v>
      </c>
      <c r="U34" s="5">
        <f t="shared" si="5"/>
        <v>0</v>
      </c>
      <c r="V34" s="5">
        <f>Table14[[#This Row],[Enrolment S.Y. 2025-2026 ]]*8</f>
        <v>392</v>
      </c>
      <c r="W34" s="5"/>
      <c r="X34" s="1"/>
      <c r="Y34" s="5"/>
      <c r="Z34" s="5">
        <f t="shared" si="6"/>
        <v>392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49</v>
      </c>
      <c r="D35" s="5">
        <f>Table14[[#This Row],[Enrolment S.Y. 2025-2026 ]]*8</f>
        <v>392</v>
      </c>
      <c r="E35" s="5"/>
      <c r="F35" s="1"/>
      <c r="G35" s="5"/>
      <c r="H35" s="5">
        <f t="shared" si="0"/>
        <v>392</v>
      </c>
      <c r="I35" s="5">
        <f t="shared" si="1"/>
        <v>0</v>
      </c>
      <c r="J35" s="5">
        <f>Table14[[#This Row],[Enrolment S.Y. 2025-2026 ]]*8</f>
        <v>392</v>
      </c>
      <c r="K35" s="5"/>
      <c r="L35" s="1"/>
      <c r="M35" s="5"/>
      <c r="N35" s="5">
        <f t="shared" si="2"/>
        <v>392</v>
      </c>
      <c r="O35" s="5">
        <f t="shared" si="3"/>
        <v>0</v>
      </c>
      <c r="P35" s="5">
        <f>Table14[[#This Row],[Enrolment S.Y. 2025-2026 ]]*8</f>
        <v>392</v>
      </c>
      <c r="Q35" s="5"/>
      <c r="R35" s="1"/>
      <c r="S35" s="5"/>
      <c r="T35" s="5">
        <f t="shared" si="4"/>
        <v>392</v>
      </c>
      <c r="U35" s="5">
        <f t="shared" si="5"/>
        <v>0</v>
      </c>
      <c r="V35" s="5">
        <f>Table14[[#This Row],[Enrolment S.Y. 2025-2026 ]]*8</f>
        <v>392</v>
      </c>
      <c r="W35" s="5"/>
      <c r="X35" s="1"/>
      <c r="Y35" s="5"/>
      <c r="Z35" s="5">
        <f t="shared" si="6"/>
        <v>392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49</v>
      </c>
      <c r="D36" s="5">
        <f>Table14[[#This Row],[Enrolment S.Y. 2025-2026 ]]*8</f>
        <v>392</v>
      </c>
      <c r="E36" s="5"/>
      <c r="F36" s="1"/>
      <c r="G36" s="5"/>
      <c r="H36" s="5">
        <f t="shared" si="0"/>
        <v>392</v>
      </c>
      <c r="I36" s="5">
        <f t="shared" si="1"/>
        <v>0</v>
      </c>
      <c r="J36" s="5">
        <f>Table14[[#This Row],[Enrolment S.Y. 2025-2026 ]]*8</f>
        <v>392</v>
      </c>
      <c r="K36" s="5"/>
      <c r="L36" s="1"/>
      <c r="M36" s="5"/>
      <c r="N36" s="5">
        <f t="shared" ref="N36:N41" si="8">IF((J36-K36)&lt;0,0,(J36-K36))</f>
        <v>392</v>
      </c>
      <c r="O36" s="5">
        <f t="shared" ref="O36:O41" si="9">IF((K36-J36)&lt;0,0,(K36-J36))</f>
        <v>0</v>
      </c>
      <c r="P36" s="5">
        <f>Table14[[#This Row],[Enrolment S.Y. 2025-2026 ]]*8</f>
        <v>392</v>
      </c>
      <c r="Q36" s="5"/>
      <c r="R36" s="1"/>
      <c r="S36" s="5"/>
      <c r="T36" s="5">
        <f t="shared" si="4"/>
        <v>392</v>
      </c>
      <c r="U36" s="5">
        <f t="shared" si="5"/>
        <v>0</v>
      </c>
      <c r="V36" s="5">
        <f>Table14[[#This Row],[Enrolment S.Y. 2025-2026 ]]*8</f>
        <v>392</v>
      </c>
      <c r="W36" s="5"/>
      <c r="X36" s="1"/>
      <c r="Y36" s="5"/>
      <c r="Z36" s="5">
        <f t="shared" si="6"/>
        <v>392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49</v>
      </c>
      <c r="D37" s="5">
        <f>Table14[[#This Row],[Enrolment S.Y. 2025-2026 ]]*8</f>
        <v>392</v>
      </c>
      <c r="E37" s="5"/>
      <c r="F37" s="1"/>
      <c r="G37" s="5"/>
      <c r="H37" s="5">
        <f>IF((D37-E37)&lt;0,0,(D37-E37))</f>
        <v>392</v>
      </c>
      <c r="I37" s="5">
        <f>IF((E37-D37)&lt;0,0,(E37-D37))</f>
        <v>0</v>
      </c>
      <c r="J37" s="5">
        <f>Table14[[#This Row],[Enrolment S.Y. 2025-2026 ]]*8</f>
        <v>392</v>
      </c>
      <c r="K37" s="5"/>
      <c r="L37" s="1"/>
      <c r="M37" s="5"/>
      <c r="N37" s="5">
        <f t="shared" si="8"/>
        <v>392</v>
      </c>
      <c r="O37" s="5">
        <f t="shared" si="9"/>
        <v>0</v>
      </c>
      <c r="P37" s="5">
        <f>Table14[[#This Row],[Enrolment S.Y. 2025-2026 ]]*8</f>
        <v>392</v>
      </c>
      <c r="Q37" s="5"/>
      <c r="R37" s="1"/>
      <c r="S37" s="5"/>
      <c r="T37" s="5">
        <f>IF((P37-Q37)&lt;0,0,(P37-Q37))</f>
        <v>392</v>
      </c>
      <c r="U37" s="5">
        <f>IF((Q37-P37)&lt;0,0,(Q37-P37))</f>
        <v>0</v>
      </c>
      <c r="V37" s="5">
        <f>Table14[[#This Row],[Enrolment S.Y. 2025-2026 ]]*8</f>
        <v>392</v>
      </c>
      <c r="W37" s="5"/>
      <c r="X37" s="1"/>
      <c r="Y37" s="5"/>
      <c r="Z37" s="5">
        <f>IF((V37-W37)&lt;0,0,(V37-W37))</f>
        <v>392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49</v>
      </c>
      <c r="D38" s="5">
        <f>Table14[[#This Row],[Enrolment S.Y. 2025-2026 ]]*8</f>
        <v>392</v>
      </c>
      <c r="E38" s="5"/>
      <c r="F38" s="1"/>
      <c r="G38" s="5"/>
      <c r="H38" s="5">
        <f t="shared" si="0"/>
        <v>392</v>
      </c>
      <c r="I38" s="5">
        <f t="shared" si="1"/>
        <v>0</v>
      </c>
      <c r="J38" s="5">
        <f>Table14[[#This Row],[Enrolment S.Y. 2025-2026 ]]*8</f>
        <v>392</v>
      </c>
      <c r="K38" s="5"/>
      <c r="L38" s="1"/>
      <c r="M38" s="5"/>
      <c r="N38" s="5">
        <f t="shared" si="8"/>
        <v>392</v>
      </c>
      <c r="O38" s="5">
        <f t="shared" si="9"/>
        <v>0</v>
      </c>
      <c r="P38" s="5">
        <f>Table14[[#This Row],[Enrolment S.Y. 2025-2026 ]]*8</f>
        <v>392</v>
      </c>
      <c r="Q38" s="5"/>
      <c r="R38" s="1"/>
      <c r="S38" s="5"/>
      <c r="T38" s="5">
        <f t="shared" si="4"/>
        <v>392</v>
      </c>
      <c r="U38" s="5">
        <f t="shared" si="5"/>
        <v>0</v>
      </c>
      <c r="V38" s="5">
        <f>Table14[[#This Row],[Enrolment S.Y. 2025-2026 ]]*8</f>
        <v>392</v>
      </c>
      <c r="W38" s="5"/>
      <c r="X38" s="1"/>
      <c r="Y38" s="5"/>
      <c r="Z38" s="5">
        <f t="shared" si="6"/>
        <v>392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49</v>
      </c>
      <c r="D39" s="5">
        <f>Table14[[#This Row],[Enrolment S.Y. 2025-2026 ]]*8</f>
        <v>392</v>
      </c>
      <c r="E39" s="5"/>
      <c r="F39" s="1"/>
      <c r="G39" s="5"/>
      <c r="H39" s="5">
        <f t="shared" si="0"/>
        <v>392</v>
      </c>
      <c r="I39" s="5">
        <f t="shared" si="1"/>
        <v>0</v>
      </c>
      <c r="J39" s="5">
        <f>Table14[[#This Row],[Enrolment S.Y. 2025-2026 ]]*8</f>
        <v>392</v>
      </c>
      <c r="K39" s="5"/>
      <c r="L39" s="1"/>
      <c r="M39" s="5"/>
      <c r="N39" s="5">
        <f t="shared" si="8"/>
        <v>392</v>
      </c>
      <c r="O39" s="5">
        <f t="shared" si="9"/>
        <v>0</v>
      </c>
      <c r="P39" s="5">
        <f>Table14[[#This Row],[Enrolment S.Y. 2025-2026 ]]*8</f>
        <v>392</v>
      </c>
      <c r="Q39" s="5"/>
      <c r="R39" s="1"/>
      <c r="S39" s="5"/>
      <c r="T39" s="5">
        <f t="shared" si="4"/>
        <v>392</v>
      </c>
      <c r="U39" s="5">
        <f t="shared" si="5"/>
        <v>0</v>
      </c>
      <c r="V39" s="5">
        <f>Table14[[#This Row],[Enrolment S.Y. 2025-2026 ]]*8</f>
        <v>392</v>
      </c>
      <c r="W39" s="5"/>
      <c r="X39" s="1"/>
      <c r="Y39" s="5"/>
      <c r="Z39" s="5">
        <f t="shared" si="6"/>
        <v>392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49</v>
      </c>
      <c r="D40" s="5">
        <f>Table14[[#This Row],[Enrolment S.Y. 2025-2026 ]]*8</f>
        <v>392</v>
      </c>
      <c r="E40" s="5"/>
      <c r="F40" s="1"/>
      <c r="G40" s="5"/>
      <c r="H40" s="5">
        <f>IF((D40-E40)&lt;0,0,(D40-E40))</f>
        <v>392</v>
      </c>
      <c r="I40" s="5">
        <f>IF((E40-D40)&lt;0,0,(E40-D40))</f>
        <v>0</v>
      </c>
      <c r="J40" s="5">
        <f>Table14[[#This Row],[Enrolment S.Y. 2025-2026 ]]*8</f>
        <v>392</v>
      </c>
      <c r="K40" s="5"/>
      <c r="L40" s="1"/>
      <c r="M40" s="5"/>
      <c r="N40" s="5">
        <f t="shared" si="8"/>
        <v>392</v>
      </c>
      <c r="O40" s="5">
        <f t="shared" si="9"/>
        <v>0</v>
      </c>
      <c r="P40" s="5">
        <f>Table14[[#This Row],[Enrolment S.Y. 2025-2026 ]]*8</f>
        <v>392</v>
      </c>
      <c r="Q40" s="5"/>
      <c r="R40" s="1"/>
      <c r="S40" s="5"/>
      <c r="T40" s="5">
        <f>IF((P40-Q40)&lt;0,0,(P40-Q40))</f>
        <v>392</v>
      </c>
      <c r="U40" s="5">
        <f>IF((Q40-P40)&lt;0,0,(Q40-P40))</f>
        <v>0</v>
      </c>
      <c r="V40" s="5">
        <f>Table14[[#This Row],[Enrolment S.Y. 2025-2026 ]]*8</f>
        <v>392</v>
      </c>
      <c r="W40" s="5"/>
      <c r="X40" s="1"/>
      <c r="Y40" s="5"/>
      <c r="Z40" s="5">
        <f>IF((V40-W40)&lt;0,0,(V40-W40))</f>
        <v>392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49</v>
      </c>
      <c r="D41" s="5">
        <f>Table14[[#This Row],[Enrolment S.Y. 2025-2026 ]]*8</f>
        <v>392</v>
      </c>
      <c r="E41" s="5"/>
      <c r="F41" s="1"/>
      <c r="G41" s="5"/>
      <c r="H41" s="5">
        <f t="shared" si="0"/>
        <v>392</v>
      </c>
      <c r="I41" s="5">
        <f t="shared" si="1"/>
        <v>0</v>
      </c>
      <c r="J41" s="5">
        <f>Table14[[#This Row],[Enrolment S.Y. 2025-2026 ]]*8</f>
        <v>392</v>
      </c>
      <c r="K41" s="5"/>
      <c r="L41" s="1"/>
      <c r="M41" s="5"/>
      <c r="N41" s="5">
        <f t="shared" si="8"/>
        <v>392</v>
      </c>
      <c r="O41" s="5">
        <f t="shared" si="9"/>
        <v>0</v>
      </c>
      <c r="P41" s="5">
        <f>Table14[[#This Row],[Enrolment S.Y. 2025-2026 ]]*8</f>
        <v>392</v>
      </c>
      <c r="Q41" s="5"/>
      <c r="R41" s="1"/>
      <c r="S41" s="5"/>
      <c r="T41" s="5">
        <f t="shared" si="4"/>
        <v>392</v>
      </c>
      <c r="U41" s="5">
        <f t="shared" si="5"/>
        <v>0</v>
      </c>
      <c r="V41" s="5">
        <f>Table14[[#This Row],[Enrolment S.Y. 2025-2026 ]]*8</f>
        <v>392</v>
      </c>
      <c r="W41" s="5"/>
      <c r="X41" s="1"/>
      <c r="Y41" s="5"/>
      <c r="Z41" s="5">
        <f t="shared" si="6"/>
        <v>392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56</v>
      </c>
      <c r="D43" s="5">
        <f>Table14[[#This Row],[Enrolment S.Y. 2025-2026 ]]*8</f>
        <v>448</v>
      </c>
      <c r="E43" s="5"/>
      <c r="F43" s="1"/>
      <c r="G43" s="5"/>
      <c r="H43" s="5">
        <f t="shared" si="0"/>
        <v>448</v>
      </c>
      <c r="I43" s="5">
        <f t="shared" si="1"/>
        <v>0</v>
      </c>
      <c r="J43" s="5">
        <f>Table14[[#This Row],[Enrolment S.Y. 2025-2026 ]]*8</f>
        <v>448</v>
      </c>
      <c r="K43" s="5"/>
      <c r="L43" s="1"/>
      <c r="M43" s="5"/>
      <c r="N43" s="5">
        <f t="shared" si="2"/>
        <v>448</v>
      </c>
      <c r="O43" s="5">
        <f t="shared" si="3"/>
        <v>0</v>
      </c>
      <c r="P43" s="5">
        <f>Table14[[#This Row],[Enrolment S.Y. 2025-2026 ]]*8</f>
        <v>448</v>
      </c>
      <c r="Q43" s="5"/>
      <c r="R43" s="1"/>
      <c r="S43" s="5"/>
      <c r="T43" s="5">
        <f t="shared" si="4"/>
        <v>448</v>
      </c>
      <c r="U43" s="5">
        <f t="shared" si="5"/>
        <v>0</v>
      </c>
      <c r="V43" s="5">
        <f>Table14[[#This Row],[Enrolment S.Y. 2025-2026 ]]*8</f>
        <v>448</v>
      </c>
      <c r="W43" s="5"/>
      <c r="X43" s="1"/>
      <c r="Y43" s="5"/>
      <c r="Z43" s="5">
        <f t="shared" si="6"/>
        <v>448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56</v>
      </c>
      <c r="D44" s="5">
        <f>Table14[[#This Row],[Enrolment S.Y. 2025-2026 ]]*8</f>
        <v>448</v>
      </c>
      <c r="E44" s="5"/>
      <c r="F44" s="1"/>
      <c r="G44" s="5"/>
      <c r="H44" s="5">
        <f t="shared" si="0"/>
        <v>448</v>
      </c>
      <c r="I44" s="5">
        <f t="shared" si="1"/>
        <v>0</v>
      </c>
      <c r="J44" s="5">
        <f>Table14[[#This Row],[Enrolment S.Y. 2025-2026 ]]*8</f>
        <v>448</v>
      </c>
      <c r="K44" s="5"/>
      <c r="L44" s="1"/>
      <c r="M44" s="5"/>
      <c r="N44" s="5">
        <f t="shared" si="2"/>
        <v>448</v>
      </c>
      <c r="O44" s="5">
        <f t="shared" si="3"/>
        <v>0</v>
      </c>
      <c r="P44" s="5">
        <f>Table14[[#This Row],[Enrolment S.Y. 2025-2026 ]]*8</f>
        <v>448</v>
      </c>
      <c r="Q44" s="5"/>
      <c r="R44" s="1"/>
      <c r="S44" s="5"/>
      <c r="T44" s="5">
        <f t="shared" si="4"/>
        <v>448</v>
      </c>
      <c r="U44" s="5">
        <f t="shared" si="5"/>
        <v>0</v>
      </c>
      <c r="V44" s="5">
        <f>Table14[[#This Row],[Enrolment S.Y. 2025-2026 ]]*8</f>
        <v>448</v>
      </c>
      <c r="W44" s="5"/>
      <c r="X44" s="1"/>
      <c r="Y44" s="5"/>
      <c r="Z44" s="5">
        <f t="shared" si="6"/>
        <v>448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56</v>
      </c>
      <c r="D45" s="5">
        <f>Table14[[#This Row],[Enrolment S.Y. 2025-2026 ]]*8</f>
        <v>448</v>
      </c>
      <c r="E45" s="5"/>
      <c r="F45" s="1"/>
      <c r="G45" s="5"/>
      <c r="H45" s="5">
        <f t="shared" si="0"/>
        <v>448</v>
      </c>
      <c r="I45" s="5">
        <f t="shared" si="1"/>
        <v>0</v>
      </c>
      <c r="J45" s="5">
        <f>Table14[[#This Row],[Enrolment S.Y. 2025-2026 ]]*8</f>
        <v>448</v>
      </c>
      <c r="K45" s="5"/>
      <c r="L45" s="1"/>
      <c r="M45" s="5"/>
      <c r="N45" s="5">
        <f t="shared" si="2"/>
        <v>448</v>
      </c>
      <c r="O45" s="5">
        <f t="shared" si="3"/>
        <v>0</v>
      </c>
      <c r="P45" s="5">
        <f>Table14[[#This Row],[Enrolment S.Y. 2025-2026 ]]*8</f>
        <v>448</v>
      </c>
      <c r="Q45" s="5"/>
      <c r="R45" s="1"/>
      <c r="S45" s="5"/>
      <c r="T45" s="5">
        <f t="shared" si="4"/>
        <v>448</v>
      </c>
      <c r="U45" s="5">
        <f t="shared" si="5"/>
        <v>0</v>
      </c>
      <c r="V45" s="5">
        <f>Table14[[#This Row],[Enrolment S.Y. 2025-2026 ]]*8</f>
        <v>448</v>
      </c>
      <c r="W45" s="5"/>
      <c r="X45" s="1"/>
      <c r="Y45" s="5"/>
      <c r="Z45" s="5">
        <f t="shared" si="6"/>
        <v>448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56</v>
      </c>
      <c r="D46" s="5">
        <f>Table14[[#This Row],[Enrolment S.Y. 2025-2026 ]]*8</f>
        <v>448</v>
      </c>
      <c r="E46" s="5"/>
      <c r="F46" s="1"/>
      <c r="G46" s="5"/>
      <c r="H46" s="5">
        <f t="shared" si="0"/>
        <v>448</v>
      </c>
      <c r="I46" s="5">
        <f t="shared" si="1"/>
        <v>0</v>
      </c>
      <c r="J46" s="5">
        <f>Table14[[#This Row],[Enrolment S.Y. 2025-2026 ]]*8</f>
        <v>448</v>
      </c>
      <c r="K46" s="5"/>
      <c r="L46" s="1"/>
      <c r="M46" s="5"/>
      <c r="N46" s="5">
        <f t="shared" si="2"/>
        <v>448</v>
      </c>
      <c r="O46" s="5">
        <f t="shared" si="3"/>
        <v>0</v>
      </c>
      <c r="P46" s="5">
        <f>Table14[[#This Row],[Enrolment S.Y. 2025-2026 ]]*8</f>
        <v>448</v>
      </c>
      <c r="Q46" s="5"/>
      <c r="R46" s="1"/>
      <c r="S46" s="5"/>
      <c r="T46" s="5">
        <f t="shared" si="4"/>
        <v>448</v>
      </c>
      <c r="U46" s="5">
        <f t="shared" si="5"/>
        <v>0</v>
      </c>
      <c r="V46" s="5">
        <f>Table14[[#This Row],[Enrolment S.Y. 2025-2026 ]]*8</f>
        <v>448</v>
      </c>
      <c r="W46" s="5"/>
      <c r="X46" s="1"/>
      <c r="Y46" s="5"/>
      <c r="Z46" s="5">
        <f t="shared" si="6"/>
        <v>448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56</v>
      </c>
      <c r="D47" s="5">
        <f>Table14[[#This Row],[Enrolment S.Y. 2025-2026 ]]*8</f>
        <v>448</v>
      </c>
      <c r="E47" s="5"/>
      <c r="F47" s="1"/>
      <c r="G47" s="5"/>
      <c r="H47" s="5">
        <f t="shared" si="0"/>
        <v>448</v>
      </c>
      <c r="I47" s="5">
        <f t="shared" si="1"/>
        <v>0</v>
      </c>
      <c r="J47" s="5">
        <f>Table14[[#This Row],[Enrolment S.Y. 2025-2026 ]]*8</f>
        <v>448</v>
      </c>
      <c r="K47" s="5"/>
      <c r="L47" s="1"/>
      <c r="M47" s="5"/>
      <c r="N47" s="5">
        <f t="shared" si="2"/>
        <v>448</v>
      </c>
      <c r="O47" s="5">
        <f t="shared" si="3"/>
        <v>0</v>
      </c>
      <c r="P47" s="5">
        <f>Table14[[#This Row],[Enrolment S.Y. 2025-2026 ]]*8</f>
        <v>448</v>
      </c>
      <c r="Q47" s="5"/>
      <c r="R47" s="1"/>
      <c r="S47" s="5"/>
      <c r="T47" s="5">
        <f t="shared" si="4"/>
        <v>448</v>
      </c>
      <c r="U47" s="5">
        <f t="shared" si="5"/>
        <v>0</v>
      </c>
      <c r="V47" s="5">
        <f>Table14[[#This Row],[Enrolment S.Y. 2025-2026 ]]*8</f>
        <v>448</v>
      </c>
      <c r="W47" s="5"/>
      <c r="X47" s="1"/>
      <c r="Y47" s="5"/>
      <c r="Z47" s="5">
        <f t="shared" si="6"/>
        <v>448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56</v>
      </c>
      <c r="D48" s="5">
        <f>Table14[[#This Row],[Enrolment S.Y. 2025-2026 ]]*8</f>
        <v>448</v>
      </c>
      <c r="E48" s="5"/>
      <c r="F48" s="1"/>
      <c r="G48" s="5"/>
      <c r="H48" s="5">
        <f t="shared" si="0"/>
        <v>448</v>
      </c>
      <c r="I48" s="5">
        <f t="shared" si="1"/>
        <v>0</v>
      </c>
      <c r="J48" s="5">
        <f>Table14[[#This Row],[Enrolment S.Y. 2025-2026 ]]*8</f>
        <v>448</v>
      </c>
      <c r="K48" s="5"/>
      <c r="L48" s="1"/>
      <c r="M48" s="5"/>
      <c r="N48" s="5">
        <f t="shared" ref="N48:N53" si="10">IF((J48-K48)&lt;0,0,(J48-K48))</f>
        <v>448</v>
      </c>
      <c r="O48" s="5">
        <f t="shared" ref="O48:O53" si="11">IF((K48-J48)&lt;0,0,(K48-J48))</f>
        <v>0</v>
      </c>
      <c r="P48" s="5">
        <f>Table14[[#This Row],[Enrolment S.Y. 2025-2026 ]]*8</f>
        <v>448</v>
      </c>
      <c r="Q48" s="5"/>
      <c r="R48" s="1"/>
      <c r="S48" s="5"/>
      <c r="T48" s="5">
        <f t="shared" si="4"/>
        <v>448</v>
      </c>
      <c r="U48" s="5">
        <f t="shared" si="5"/>
        <v>0</v>
      </c>
      <c r="V48" s="5">
        <f>Table14[[#This Row],[Enrolment S.Y. 2025-2026 ]]*8</f>
        <v>448</v>
      </c>
      <c r="W48" s="5"/>
      <c r="X48" s="1"/>
      <c r="Y48" s="5"/>
      <c r="Z48" s="5">
        <f t="shared" si="6"/>
        <v>448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56</v>
      </c>
      <c r="D49" s="5">
        <f>Table14[[#This Row],[Enrolment S.Y. 2025-2026 ]]*8</f>
        <v>448</v>
      </c>
      <c r="E49" s="5"/>
      <c r="F49" s="1"/>
      <c r="G49" s="5"/>
      <c r="H49" s="5">
        <f>IF((D49-E49)&lt;0,0,(D49-E49))</f>
        <v>448</v>
      </c>
      <c r="I49" s="5">
        <f>IF((E49-D49)&lt;0,0,(E49-D49))</f>
        <v>0</v>
      </c>
      <c r="J49" s="5">
        <f>Table14[[#This Row],[Enrolment S.Y. 2025-2026 ]]*8</f>
        <v>448</v>
      </c>
      <c r="K49" s="5"/>
      <c r="L49" s="1"/>
      <c r="M49" s="5"/>
      <c r="N49" s="5">
        <f t="shared" si="10"/>
        <v>448</v>
      </c>
      <c r="O49" s="5">
        <f t="shared" si="11"/>
        <v>0</v>
      </c>
      <c r="P49" s="5">
        <f>Table14[[#This Row],[Enrolment S.Y. 2025-2026 ]]*8</f>
        <v>448</v>
      </c>
      <c r="Q49" s="5"/>
      <c r="R49" s="1"/>
      <c r="S49" s="5"/>
      <c r="T49" s="5">
        <f>IF((P49-Q49)&lt;0,0,(P49-Q49))</f>
        <v>448</v>
      </c>
      <c r="U49" s="5">
        <f>IF((Q49-P49)&lt;0,0,(Q49-P49))</f>
        <v>0</v>
      </c>
      <c r="V49" s="5">
        <f>Table14[[#This Row],[Enrolment S.Y. 2025-2026 ]]*8</f>
        <v>448</v>
      </c>
      <c r="W49" s="5"/>
      <c r="X49" s="1"/>
      <c r="Y49" s="5"/>
      <c r="Z49" s="5">
        <f>IF((V49-W49)&lt;0,0,(V49-W49))</f>
        <v>448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56</v>
      </c>
      <c r="D50" s="5">
        <f>Table14[[#This Row],[Enrolment S.Y. 2025-2026 ]]*8</f>
        <v>448</v>
      </c>
      <c r="E50" s="5"/>
      <c r="F50" s="1"/>
      <c r="G50" s="5"/>
      <c r="H50" s="5">
        <f t="shared" si="0"/>
        <v>448</v>
      </c>
      <c r="I50" s="5">
        <f t="shared" si="1"/>
        <v>0</v>
      </c>
      <c r="J50" s="5">
        <f>Table14[[#This Row],[Enrolment S.Y. 2025-2026 ]]*8</f>
        <v>448</v>
      </c>
      <c r="K50" s="5"/>
      <c r="L50" s="1"/>
      <c r="M50" s="5"/>
      <c r="N50" s="5">
        <f t="shared" si="10"/>
        <v>448</v>
      </c>
      <c r="O50" s="5">
        <f t="shared" si="11"/>
        <v>0</v>
      </c>
      <c r="P50" s="5">
        <f>Table14[[#This Row],[Enrolment S.Y. 2025-2026 ]]*8</f>
        <v>448</v>
      </c>
      <c r="Q50" s="5"/>
      <c r="R50" s="1"/>
      <c r="S50" s="5"/>
      <c r="T50" s="5">
        <f t="shared" si="4"/>
        <v>448</v>
      </c>
      <c r="U50" s="5">
        <f t="shared" si="5"/>
        <v>0</v>
      </c>
      <c r="V50" s="5">
        <f>Table14[[#This Row],[Enrolment S.Y. 2025-2026 ]]*8</f>
        <v>448</v>
      </c>
      <c r="W50" s="5"/>
      <c r="X50" s="1"/>
      <c r="Y50" s="5"/>
      <c r="Z50" s="5">
        <f t="shared" si="6"/>
        <v>448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56</v>
      </c>
      <c r="D51" s="5">
        <f>Table14[[#This Row],[Enrolment S.Y. 2025-2026 ]]*8</f>
        <v>448</v>
      </c>
      <c r="E51" s="5"/>
      <c r="F51" s="1"/>
      <c r="G51" s="5"/>
      <c r="H51" s="5">
        <f t="shared" si="0"/>
        <v>448</v>
      </c>
      <c r="I51" s="5">
        <f t="shared" si="1"/>
        <v>0</v>
      </c>
      <c r="J51" s="5">
        <f>Table14[[#This Row],[Enrolment S.Y. 2025-2026 ]]*8</f>
        <v>448</v>
      </c>
      <c r="K51" s="5"/>
      <c r="L51" s="1"/>
      <c r="M51" s="5"/>
      <c r="N51" s="5">
        <f t="shared" si="10"/>
        <v>448</v>
      </c>
      <c r="O51" s="5">
        <f t="shared" si="11"/>
        <v>0</v>
      </c>
      <c r="P51" s="5">
        <f>Table14[[#This Row],[Enrolment S.Y. 2025-2026 ]]*8</f>
        <v>448</v>
      </c>
      <c r="Q51" s="5"/>
      <c r="R51" s="1"/>
      <c r="S51" s="5"/>
      <c r="T51" s="5">
        <f t="shared" si="4"/>
        <v>448</v>
      </c>
      <c r="U51" s="5">
        <f t="shared" si="5"/>
        <v>0</v>
      </c>
      <c r="V51" s="5">
        <f>Table14[[#This Row],[Enrolment S.Y. 2025-2026 ]]*8</f>
        <v>448</v>
      </c>
      <c r="W51" s="5"/>
      <c r="X51" s="1"/>
      <c r="Y51" s="5"/>
      <c r="Z51" s="5">
        <f t="shared" si="6"/>
        <v>448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56</v>
      </c>
      <c r="D52" s="5">
        <f>Table14[[#This Row],[Enrolment S.Y. 2025-2026 ]]*8</f>
        <v>448</v>
      </c>
      <c r="E52" s="5"/>
      <c r="F52" s="1"/>
      <c r="G52" s="5"/>
      <c r="H52" s="5">
        <f>IF((D52-E52)&lt;0,0,(D52-E52))</f>
        <v>448</v>
      </c>
      <c r="I52" s="5">
        <f>IF((E52-D52)&lt;0,0,(E52-D52))</f>
        <v>0</v>
      </c>
      <c r="J52" s="5">
        <f>Table14[[#This Row],[Enrolment S.Y. 2025-2026 ]]*8</f>
        <v>448</v>
      </c>
      <c r="K52" s="5"/>
      <c r="L52" s="1"/>
      <c r="M52" s="5"/>
      <c r="N52" s="5">
        <f t="shared" si="10"/>
        <v>448</v>
      </c>
      <c r="O52" s="5">
        <f t="shared" si="11"/>
        <v>0</v>
      </c>
      <c r="P52" s="5">
        <f>Table14[[#This Row],[Enrolment S.Y. 2025-2026 ]]*8</f>
        <v>448</v>
      </c>
      <c r="Q52" s="5"/>
      <c r="R52" s="1"/>
      <c r="S52" s="5"/>
      <c r="T52" s="5">
        <f>IF((P52-Q52)&lt;0,0,(P52-Q52))</f>
        <v>448</v>
      </c>
      <c r="U52" s="5">
        <f>IF((Q52-P52)&lt;0,0,(Q52-P52))</f>
        <v>0</v>
      </c>
      <c r="V52" s="5">
        <f>Table14[[#This Row],[Enrolment S.Y. 2025-2026 ]]*8</f>
        <v>448</v>
      </c>
      <c r="W52" s="5"/>
      <c r="X52" s="1"/>
      <c r="Y52" s="5"/>
      <c r="Z52" s="5">
        <f>IF((V52-W52)&lt;0,0,(V52-W52))</f>
        <v>448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56</v>
      </c>
      <c r="D53" s="5">
        <f>Table14[[#This Row],[Enrolment S.Y. 2025-2026 ]]*8</f>
        <v>448</v>
      </c>
      <c r="E53" s="5"/>
      <c r="F53" s="1"/>
      <c r="G53" s="5"/>
      <c r="H53" s="5">
        <f t="shared" si="0"/>
        <v>448</v>
      </c>
      <c r="I53" s="5">
        <f t="shared" si="1"/>
        <v>0</v>
      </c>
      <c r="J53" s="5">
        <f>Table14[[#This Row],[Enrolment S.Y. 2025-2026 ]]*8</f>
        <v>448</v>
      </c>
      <c r="K53" s="5"/>
      <c r="L53" s="1"/>
      <c r="M53" s="5"/>
      <c r="N53" s="5">
        <f t="shared" si="10"/>
        <v>448</v>
      </c>
      <c r="O53" s="5">
        <f t="shared" si="11"/>
        <v>0</v>
      </c>
      <c r="P53" s="5">
        <f>Table14[[#This Row],[Enrolment S.Y. 2025-2026 ]]*8</f>
        <v>448</v>
      </c>
      <c r="Q53" s="5"/>
      <c r="R53" s="1"/>
      <c r="S53" s="5"/>
      <c r="T53" s="5">
        <f t="shared" si="4"/>
        <v>448</v>
      </c>
      <c r="U53" s="5">
        <f t="shared" si="5"/>
        <v>0</v>
      </c>
      <c r="V53" s="5">
        <f>Table14[[#This Row],[Enrolment S.Y. 2025-2026 ]]*8</f>
        <v>448</v>
      </c>
      <c r="W53" s="5"/>
      <c r="X53" s="1"/>
      <c r="Y53" s="5"/>
      <c r="Z53" s="5">
        <f t="shared" si="6"/>
        <v>448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51</v>
      </c>
      <c r="D55" s="5">
        <f>Table14[[#This Row],[Enrolment S.Y. 2025-2026 ]]*8</f>
        <v>408</v>
      </c>
      <c r="E55" s="5">
        <v>150</v>
      </c>
      <c r="F55" s="1">
        <v>2025</v>
      </c>
      <c r="G55" s="5" t="s">
        <v>9</v>
      </c>
      <c r="H55" s="5">
        <f t="shared" si="0"/>
        <v>258</v>
      </c>
      <c r="I55" s="5">
        <f t="shared" si="1"/>
        <v>0</v>
      </c>
      <c r="J55" s="5">
        <f>Table14[[#This Row],[Enrolment S.Y. 2025-2026 ]]*8</f>
        <v>408</v>
      </c>
      <c r="K55" s="5"/>
      <c r="L55" s="1"/>
      <c r="M55" s="5"/>
      <c r="N55" s="5">
        <f t="shared" si="2"/>
        <v>408</v>
      </c>
      <c r="O55" s="5">
        <f t="shared" si="3"/>
        <v>0</v>
      </c>
      <c r="P55" s="5">
        <f>Table14[[#This Row],[Enrolment S.Y. 2025-2026 ]]*8</f>
        <v>408</v>
      </c>
      <c r="Q55" s="5"/>
      <c r="R55" s="1"/>
      <c r="S55" s="5"/>
      <c r="T55" s="5">
        <f t="shared" si="4"/>
        <v>408</v>
      </c>
      <c r="U55" s="5">
        <f t="shared" si="5"/>
        <v>0</v>
      </c>
      <c r="V55" s="5">
        <f>Table14[[#This Row],[Enrolment S.Y. 2025-2026 ]]*8</f>
        <v>408</v>
      </c>
      <c r="W55" s="5"/>
      <c r="X55" s="1"/>
      <c r="Y55" s="5"/>
      <c r="Z55" s="5">
        <f t="shared" si="6"/>
        <v>408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51</v>
      </c>
      <c r="D56" s="5">
        <f>Table14[[#This Row],[Enrolment S.Y. 2025-2026 ]]*8</f>
        <v>408</v>
      </c>
      <c r="E56" s="5">
        <v>700</v>
      </c>
      <c r="F56" s="1">
        <v>2025</v>
      </c>
      <c r="G56" s="5" t="s">
        <v>9</v>
      </c>
      <c r="H56" s="5">
        <f t="shared" si="0"/>
        <v>0</v>
      </c>
      <c r="I56" s="5">
        <f t="shared" si="1"/>
        <v>292</v>
      </c>
      <c r="J56" s="5">
        <f>Table14[[#This Row],[Enrolment S.Y. 2025-2026 ]]*8</f>
        <v>408</v>
      </c>
      <c r="K56" s="5"/>
      <c r="L56" s="1"/>
      <c r="M56" s="5"/>
      <c r="N56" s="5">
        <f t="shared" si="2"/>
        <v>408</v>
      </c>
      <c r="O56" s="5">
        <f t="shared" si="3"/>
        <v>0</v>
      </c>
      <c r="P56" s="5">
        <f>Table14[[#This Row],[Enrolment S.Y. 2025-2026 ]]*8</f>
        <v>408</v>
      </c>
      <c r="Q56" s="5"/>
      <c r="R56" s="1"/>
      <c r="S56" s="5"/>
      <c r="T56" s="5">
        <f t="shared" si="4"/>
        <v>408</v>
      </c>
      <c r="U56" s="5">
        <f t="shared" si="5"/>
        <v>0</v>
      </c>
      <c r="V56" s="5">
        <f>Table14[[#This Row],[Enrolment S.Y. 2025-2026 ]]*8</f>
        <v>408</v>
      </c>
      <c r="W56" s="5"/>
      <c r="X56" s="1"/>
      <c r="Y56" s="5"/>
      <c r="Z56" s="5">
        <f t="shared" si="6"/>
        <v>408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51</v>
      </c>
      <c r="D57" s="5">
        <f>Table14[[#This Row],[Enrolment S.Y. 2025-2026 ]]*8</f>
        <v>408</v>
      </c>
      <c r="E57" s="5">
        <v>550</v>
      </c>
      <c r="F57" s="1">
        <v>2025</v>
      </c>
      <c r="G57" s="5" t="s">
        <v>9</v>
      </c>
      <c r="H57" s="5">
        <f t="shared" si="0"/>
        <v>0</v>
      </c>
      <c r="I57" s="5">
        <f t="shared" si="1"/>
        <v>142</v>
      </c>
      <c r="J57" s="5">
        <f>Table14[[#This Row],[Enrolment S.Y. 2025-2026 ]]*8</f>
        <v>408</v>
      </c>
      <c r="K57" s="5"/>
      <c r="L57" s="1"/>
      <c r="M57" s="5"/>
      <c r="N57" s="5">
        <f t="shared" si="2"/>
        <v>408</v>
      </c>
      <c r="O57" s="5">
        <f t="shared" si="3"/>
        <v>0</v>
      </c>
      <c r="P57" s="5">
        <f>Table14[[#This Row],[Enrolment S.Y. 2025-2026 ]]*8</f>
        <v>408</v>
      </c>
      <c r="Q57" s="5"/>
      <c r="R57" s="1"/>
      <c r="S57" s="5"/>
      <c r="T57" s="5">
        <f t="shared" si="4"/>
        <v>408</v>
      </c>
      <c r="U57" s="5">
        <f t="shared" si="5"/>
        <v>0</v>
      </c>
      <c r="V57" s="5">
        <f>Table14[[#This Row],[Enrolment S.Y. 2025-2026 ]]*8</f>
        <v>408</v>
      </c>
      <c r="W57" s="5"/>
      <c r="X57" s="1"/>
      <c r="Y57" s="5"/>
      <c r="Z57" s="5">
        <f t="shared" si="6"/>
        <v>408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51</v>
      </c>
      <c r="D58" s="5">
        <f>Table14[[#This Row],[Enrolment S.Y. 2025-2026 ]]*8</f>
        <v>408</v>
      </c>
      <c r="E58" s="5"/>
      <c r="F58" s="1"/>
      <c r="G58" s="5"/>
      <c r="H58" s="5">
        <f t="shared" si="0"/>
        <v>408</v>
      </c>
      <c r="I58" s="5">
        <f t="shared" si="1"/>
        <v>0</v>
      </c>
      <c r="J58" s="5">
        <f>Table14[[#This Row],[Enrolment S.Y. 2025-2026 ]]*8</f>
        <v>408</v>
      </c>
      <c r="K58" s="5"/>
      <c r="L58" s="1"/>
      <c r="M58" s="5"/>
      <c r="N58" s="5">
        <f t="shared" si="2"/>
        <v>408</v>
      </c>
      <c r="O58" s="5">
        <f t="shared" si="3"/>
        <v>0</v>
      </c>
      <c r="P58" s="5">
        <f>Table14[[#This Row],[Enrolment S.Y. 2025-2026 ]]*8</f>
        <v>408</v>
      </c>
      <c r="Q58" s="5"/>
      <c r="R58" s="1"/>
      <c r="S58" s="5"/>
      <c r="T58" s="5">
        <f t="shared" si="4"/>
        <v>408</v>
      </c>
      <c r="U58" s="5">
        <f t="shared" si="5"/>
        <v>0</v>
      </c>
      <c r="V58" s="5">
        <f>Table14[[#This Row],[Enrolment S.Y. 2025-2026 ]]*8</f>
        <v>408</v>
      </c>
      <c r="W58" s="5"/>
      <c r="X58" s="1"/>
      <c r="Y58" s="5"/>
      <c r="Z58" s="5">
        <f t="shared" si="6"/>
        <v>408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51</v>
      </c>
      <c r="D59" s="5">
        <f>Table14[[#This Row],[Enrolment S.Y. 2025-2026 ]]*8</f>
        <v>408</v>
      </c>
      <c r="E59" s="5"/>
      <c r="F59" s="1"/>
      <c r="G59" s="5"/>
      <c r="H59" s="5">
        <f t="shared" si="0"/>
        <v>408</v>
      </c>
      <c r="I59" s="5">
        <f t="shared" si="1"/>
        <v>0</v>
      </c>
      <c r="J59" s="5">
        <f>Table14[[#This Row],[Enrolment S.Y. 2025-2026 ]]*8</f>
        <v>408</v>
      </c>
      <c r="K59" s="5"/>
      <c r="L59" s="1"/>
      <c r="M59" s="5"/>
      <c r="N59" s="5">
        <f t="shared" si="2"/>
        <v>408</v>
      </c>
      <c r="O59" s="5">
        <f t="shared" si="3"/>
        <v>0</v>
      </c>
      <c r="P59" s="5">
        <f>Table14[[#This Row],[Enrolment S.Y. 2025-2026 ]]*8</f>
        <v>408</v>
      </c>
      <c r="Q59" s="5"/>
      <c r="R59" s="1"/>
      <c r="S59" s="5"/>
      <c r="T59" s="5">
        <f t="shared" si="4"/>
        <v>408</v>
      </c>
      <c r="U59" s="5">
        <f t="shared" si="5"/>
        <v>0</v>
      </c>
      <c r="V59" s="5">
        <f>Table14[[#This Row],[Enrolment S.Y. 2025-2026 ]]*8</f>
        <v>408</v>
      </c>
      <c r="W59" s="5"/>
      <c r="X59" s="1"/>
      <c r="Y59" s="5"/>
      <c r="Z59" s="5">
        <f t="shared" si="6"/>
        <v>408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51</v>
      </c>
      <c r="D60" s="5">
        <f>Table14[[#This Row],[Enrolment S.Y. 2025-2026 ]]*8</f>
        <v>408</v>
      </c>
      <c r="E60" s="5"/>
      <c r="F60" s="1"/>
      <c r="G60" s="5"/>
      <c r="H60" s="5">
        <f t="shared" si="0"/>
        <v>408</v>
      </c>
      <c r="I60" s="5">
        <f t="shared" si="1"/>
        <v>0</v>
      </c>
      <c r="J60" s="5">
        <f>Table14[[#This Row],[Enrolment S.Y. 2025-2026 ]]*8</f>
        <v>408</v>
      </c>
      <c r="K60" s="5"/>
      <c r="L60" s="1"/>
      <c r="M60" s="5"/>
      <c r="N60" s="5">
        <f t="shared" si="2"/>
        <v>408</v>
      </c>
      <c r="O60" s="5">
        <f t="shared" si="3"/>
        <v>0</v>
      </c>
      <c r="P60" s="5">
        <f>Table14[[#This Row],[Enrolment S.Y. 2025-2026 ]]*8</f>
        <v>408</v>
      </c>
      <c r="Q60" s="5"/>
      <c r="R60" s="1"/>
      <c r="S60" s="5"/>
      <c r="T60" s="5">
        <f t="shared" si="4"/>
        <v>408</v>
      </c>
      <c r="U60" s="5">
        <f t="shared" si="5"/>
        <v>0</v>
      </c>
      <c r="V60" s="5">
        <f>Table14[[#This Row],[Enrolment S.Y. 2025-2026 ]]*8</f>
        <v>408</v>
      </c>
      <c r="W60" s="5"/>
      <c r="X60" s="1"/>
      <c r="Y60" s="5"/>
      <c r="Z60" s="5">
        <f t="shared" si="6"/>
        <v>408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51</v>
      </c>
      <c r="D61" s="5">
        <f>Table14[[#This Row],[Enrolment S.Y. 2025-2026 ]]*8</f>
        <v>408</v>
      </c>
      <c r="E61" s="5"/>
      <c r="F61" s="1"/>
      <c r="G61" s="5"/>
      <c r="H61" s="5">
        <f>IF((D61-E61)&lt;0,0,(D61-E61))</f>
        <v>408</v>
      </c>
      <c r="I61" s="5">
        <f>IF((E61-D61)&lt;0,0,(E61-D61))</f>
        <v>0</v>
      </c>
      <c r="J61" s="5">
        <f>Table14[[#This Row],[Enrolment S.Y. 2025-2026 ]]*8</f>
        <v>408</v>
      </c>
      <c r="K61" s="5"/>
      <c r="L61" s="1"/>
      <c r="M61" s="5"/>
      <c r="N61" s="5">
        <f t="shared" ref="N61:N65" si="12">IF((J61-K61)&lt;0,0,(J61-K61))</f>
        <v>408</v>
      </c>
      <c r="O61" s="5">
        <f t="shared" ref="O61:O65" si="13">IF((K61-J61)&lt;0,0,(K61-J61))</f>
        <v>0</v>
      </c>
      <c r="P61" s="5">
        <f>Table14[[#This Row],[Enrolment S.Y. 2025-2026 ]]*8</f>
        <v>408</v>
      </c>
      <c r="Q61" s="5"/>
      <c r="R61" s="1"/>
      <c r="S61" s="5"/>
      <c r="T61" s="5">
        <f>IF((P61-Q61)&lt;0,0,(P61-Q61))</f>
        <v>408</v>
      </c>
      <c r="U61" s="5">
        <f>IF((Q61-P61)&lt;0,0,(Q61-P61))</f>
        <v>0</v>
      </c>
      <c r="V61" s="5">
        <f>Table14[[#This Row],[Enrolment S.Y. 2025-2026 ]]*8</f>
        <v>408</v>
      </c>
      <c r="W61" s="5"/>
      <c r="X61" s="1"/>
      <c r="Y61" s="5"/>
      <c r="Z61" s="5">
        <f>IF((V61-W61)&lt;0,0,(V61-W61))</f>
        <v>408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51</v>
      </c>
      <c r="D62" s="5">
        <f>Table14[[#This Row],[Enrolment S.Y. 2025-2026 ]]*8</f>
        <v>408</v>
      </c>
      <c r="E62" s="5"/>
      <c r="F62" s="1"/>
      <c r="G62" s="5"/>
      <c r="H62" s="5">
        <f t="shared" si="0"/>
        <v>408</v>
      </c>
      <c r="I62" s="5">
        <f t="shared" si="1"/>
        <v>0</v>
      </c>
      <c r="J62" s="5">
        <f>Table14[[#This Row],[Enrolment S.Y. 2025-2026 ]]*8</f>
        <v>408</v>
      </c>
      <c r="K62" s="5"/>
      <c r="L62" s="1"/>
      <c r="M62" s="5"/>
      <c r="N62" s="5">
        <f t="shared" si="12"/>
        <v>408</v>
      </c>
      <c r="O62" s="5">
        <f t="shared" si="13"/>
        <v>0</v>
      </c>
      <c r="P62" s="5">
        <f>Table14[[#This Row],[Enrolment S.Y. 2025-2026 ]]*8</f>
        <v>408</v>
      </c>
      <c r="Q62" s="5"/>
      <c r="R62" s="1"/>
      <c r="S62" s="5"/>
      <c r="T62" s="5">
        <f t="shared" si="4"/>
        <v>408</v>
      </c>
      <c r="U62" s="5">
        <f t="shared" si="5"/>
        <v>0</v>
      </c>
      <c r="V62" s="5">
        <f>Table14[[#This Row],[Enrolment S.Y. 2025-2026 ]]*8</f>
        <v>408</v>
      </c>
      <c r="W62" s="5"/>
      <c r="X62" s="1"/>
      <c r="Y62" s="5"/>
      <c r="Z62" s="5">
        <f t="shared" si="6"/>
        <v>408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51</v>
      </c>
      <c r="D63" s="5">
        <f>Table14[[#This Row],[Enrolment S.Y. 2025-2026 ]]*8</f>
        <v>408</v>
      </c>
      <c r="E63" s="5"/>
      <c r="F63" s="1"/>
      <c r="G63" s="5"/>
      <c r="H63" s="5">
        <f t="shared" si="0"/>
        <v>408</v>
      </c>
      <c r="I63" s="5">
        <f t="shared" si="1"/>
        <v>0</v>
      </c>
      <c r="J63" s="5">
        <f>Table14[[#This Row],[Enrolment S.Y. 2025-2026 ]]*8</f>
        <v>408</v>
      </c>
      <c r="K63" s="5"/>
      <c r="L63" s="1"/>
      <c r="M63" s="5"/>
      <c r="N63" s="5">
        <f t="shared" si="12"/>
        <v>408</v>
      </c>
      <c r="O63" s="5">
        <f t="shared" si="13"/>
        <v>0</v>
      </c>
      <c r="P63" s="5">
        <f>Table14[[#This Row],[Enrolment S.Y. 2025-2026 ]]*8</f>
        <v>408</v>
      </c>
      <c r="Q63" s="5"/>
      <c r="R63" s="1"/>
      <c r="S63" s="5"/>
      <c r="T63" s="5">
        <f t="shared" si="4"/>
        <v>408</v>
      </c>
      <c r="U63" s="5">
        <f t="shared" si="5"/>
        <v>0</v>
      </c>
      <c r="V63" s="5">
        <f>Table14[[#This Row],[Enrolment S.Y. 2025-2026 ]]*8</f>
        <v>408</v>
      </c>
      <c r="W63" s="5"/>
      <c r="X63" s="1"/>
      <c r="Y63" s="5"/>
      <c r="Z63" s="5">
        <f t="shared" si="6"/>
        <v>408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51</v>
      </c>
      <c r="D64" s="5">
        <f>Table14[[#This Row],[Enrolment S.Y. 2025-2026 ]]*8</f>
        <v>408</v>
      </c>
      <c r="E64" s="5"/>
      <c r="F64" s="1"/>
      <c r="G64" s="5"/>
      <c r="H64" s="5">
        <f>IF((D64-E64)&lt;0,0,(D64-E64))</f>
        <v>408</v>
      </c>
      <c r="I64" s="5">
        <f>IF((E64-D64)&lt;0,0,(E64-D64))</f>
        <v>0</v>
      </c>
      <c r="J64" s="5">
        <f>Table14[[#This Row],[Enrolment S.Y. 2025-2026 ]]*8</f>
        <v>408</v>
      </c>
      <c r="K64" s="5"/>
      <c r="L64" s="1"/>
      <c r="M64" s="5"/>
      <c r="N64" s="5">
        <f t="shared" si="12"/>
        <v>408</v>
      </c>
      <c r="O64" s="5">
        <f t="shared" si="13"/>
        <v>0</v>
      </c>
      <c r="P64" s="5">
        <f>Table14[[#This Row],[Enrolment S.Y. 2025-2026 ]]*8</f>
        <v>408</v>
      </c>
      <c r="Q64" s="5"/>
      <c r="R64" s="1"/>
      <c r="S64" s="5"/>
      <c r="T64" s="5">
        <f>IF((P64-Q64)&lt;0,0,(P64-Q64))</f>
        <v>408</v>
      </c>
      <c r="U64" s="5">
        <f>IF((Q64-P64)&lt;0,0,(Q64-P64))</f>
        <v>0</v>
      </c>
      <c r="V64" s="5">
        <f>Table14[[#This Row],[Enrolment S.Y. 2025-2026 ]]*8</f>
        <v>408</v>
      </c>
      <c r="W64" s="5"/>
      <c r="X64" s="1"/>
      <c r="Y64" s="5"/>
      <c r="Z64" s="5">
        <f>IF((V64-W64)&lt;0,0,(V64-W64))</f>
        <v>408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51</v>
      </c>
      <c r="D65" s="5">
        <f>Table14[[#This Row],[Enrolment S.Y. 2025-2026 ]]*8</f>
        <v>408</v>
      </c>
      <c r="E65" s="5"/>
      <c r="F65" s="1"/>
      <c r="G65" s="5"/>
      <c r="H65" s="5">
        <f t="shared" si="0"/>
        <v>408</v>
      </c>
      <c r="I65" s="5">
        <f t="shared" si="1"/>
        <v>0</v>
      </c>
      <c r="J65" s="5">
        <f>Table14[[#This Row],[Enrolment S.Y. 2025-2026 ]]*8</f>
        <v>408</v>
      </c>
      <c r="K65" s="5"/>
      <c r="L65" s="1"/>
      <c r="M65" s="5"/>
      <c r="N65" s="5">
        <f t="shared" si="12"/>
        <v>408</v>
      </c>
      <c r="O65" s="5">
        <f t="shared" si="13"/>
        <v>0</v>
      </c>
      <c r="P65" s="5">
        <f>Table14[[#This Row],[Enrolment S.Y. 2025-2026 ]]*8</f>
        <v>408</v>
      </c>
      <c r="Q65" s="5"/>
      <c r="R65" s="1"/>
      <c r="S65" s="5"/>
      <c r="T65" s="5">
        <f t="shared" si="4"/>
        <v>408</v>
      </c>
      <c r="U65" s="5">
        <f t="shared" si="5"/>
        <v>0</v>
      </c>
      <c r="V65" s="5">
        <f>Table14[[#This Row],[Enrolment S.Y. 2025-2026 ]]*8</f>
        <v>408</v>
      </c>
      <c r="W65" s="5"/>
      <c r="X65" s="1"/>
      <c r="Y65" s="5"/>
      <c r="Z65" s="5">
        <f t="shared" si="6"/>
        <v>408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1:F29 D31:F41 D43:F53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:F10 D55:F65 D12:F19" name="LAS"/>
    <protectedRange sqref="G2:I2 M2:O2 S2:U2 Y2:AA2 G3:G10 M3:M10 S3:S10 Y3:Y10 Y12:Y19 M12:M19 S12:S19 Y21:Y29 M21:M29 S21:S29 Y31:Y41 G31:G41 M31:M41 S31:S41 Y43:Y53 G43:G53 M43:M53 S43:S53 Y55:Y65 M55:M65 S55:S65 Y67:Y77 G67:G77 M67:M77 S67:S77 Y79:Y89 G79:G89 M79:M89 S79:S89 Y91:Y101 G91:G101 M91:M101 S91:S101 Y103:Y113 G103:G113 M103:M113 S103:S113 Y115:Y122 G115:G122 M115:M122 S115:S122 G55:G65 G12:G19 G21:G29" name="SOURCE"/>
    <protectedRange sqref="C3:C10" name="Textbooks_1"/>
    <protectedRange sqref="C12:C19" name="Textbooks_3"/>
    <protectedRange sqref="C21:C29" name="Textbooks_4"/>
    <protectedRange sqref="C31:C41" name="Textbooks_5"/>
    <protectedRange sqref="C43:C53" name="Textbooks_6"/>
    <protectedRange sqref="C55:C65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55:G65 Y12:Y19 S12:S19 M12:M19 M21:M29 G12:G19 Y21:Y29 S21:S29 S31:S41 M31:M41 G31:G41 Y31:Y41 Y43:Y53 S43:S53 M43:M53 G43:G53 M115:M122 Y55:Y65 S55:S65 M55:M65 M67:M77 G67:G77 Y67:Y77 S67:S77 S79:S89 M79:M89 G79:G89 Y79:Y89 Y91:Y101 S91:S101 M91:M101 G91:G101 G103:G113 Y103:Y113 S103:S113 M103:M113 G21:G29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3:F10 F103:F113 F91:F101 X115:X122 F55:F65 F115:F122 R115:R122 L115:L122 F12:F1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875D-FB80-413D-948A-EA4A5105B8DE}">
  <dimension ref="A1:AA157"/>
  <sheetViews>
    <sheetView topLeftCell="A73" zoomScale="70" zoomScaleNormal="70" workbookViewId="0">
      <selection activeCell="E5" sqref="E5"/>
    </sheetView>
  </sheetViews>
  <sheetFormatPr defaultRowHeight="15"/>
  <cols>
    <col min="1" max="1" width="10.710937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51</v>
      </c>
      <c r="D3" s="34">
        <f>Table15[[#This Row],[Enrolment S.Y. 2025-2026 ]]*8</f>
        <v>408</v>
      </c>
      <c r="E3" s="34">
        <v>4</v>
      </c>
      <c r="F3" s="32">
        <v>2024</v>
      </c>
      <c r="G3" s="5" t="s">
        <v>9</v>
      </c>
      <c r="H3" s="34">
        <f>IF((D3-E3)&lt;0,0,(D3-E3))</f>
        <v>404</v>
      </c>
      <c r="I3" s="34">
        <f>IF((E3-D3)&lt;0,0,(E3-D3))</f>
        <v>0</v>
      </c>
      <c r="J3" s="34">
        <f>Table15[[#This Row],[Enrolment S.Y. 2025-2026 ]]*8</f>
        <v>408</v>
      </c>
      <c r="K3" s="34"/>
      <c r="L3" s="32"/>
      <c r="M3" s="34"/>
      <c r="N3" s="5">
        <f t="shared" ref="N3" si="0">IF((J3-K3)&lt;0,0,(J3-K3))</f>
        <v>408</v>
      </c>
      <c r="O3" s="5">
        <f t="shared" ref="O3" si="1">IF((K3-J3)&lt;0,0,(K3-J3))</f>
        <v>0</v>
      </c>
      <c r="P3" s="5">
        <f>Table15[[#This Row],[Enrolment S.Y. 2025-2026 ]]*8</f>
        <v>408</v>
      </c>
      <c r="Q3" s="34"/>
      <c r="R3" s="32"/>
      <c r="S3" s="34"/>
      <c r="T3" s="34">
        <f>IF((P3-Q3)&lt;0,0,(P3-Q3))</f>
        <v>408</v>
      </c>
      <c r="U3" s="34">
        <f>IF((Q3-P3)&lt;0,0,(Q3-P3))</f>
        <v>0</v>
      </c>
      <c r="V3" s="34">
        <f>Table15[[#This Row],[Enrolment S.Y. 2025-2026 ]]*8</f>
        <v>408</v>
      </c>
      <c r="W3" s="34"/>
      <c r="X3" s="32"/>
      <c r="Y3" s="34"/>
      <c r="Z3" s="34">
        <f>IF((V3-W3)&lt;0,0,(V3-W3))</f>
        <v>408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" customHeight="1">
      <c r="A5" s="1">
        <v>1</v>
      </c>
      <c r="B5" s="2" t="s">
        <v>8</v>
      </c>
      <c r="C5" s="1">
        <v>44</v>
      </c>
      <c r="D5" s="5">
        <f>Table15[[#This Row],[Enrolment S.Y. 2025-2026 ]]*8</f>
        <v>352</v>
      </c>
      <c r="E5" s="5">
        <f>8+59</f>
        <v>67</v>
      </c>
      <c r="F5" s="1">
        <v>2024</v>
      </c>
      <c r="G5" s="5" t="s">
        <v>9</v>
      </c>
      <c r="H5" s="5">
        <f t="shared" ref="H5:H77" si="2">IF((D5-E5)&lt;0,0,(D5-E5))</f>
        <v>285</v>
      </c>
      <c r="I5" s="5">
        <f t="shared" ref="I5:I77" si="3">IF((E5-D5)&lt;0,0,(E5-D5))</f>
        <v>0</v>
      </c>
      <c r="J5" s="5">
        <f>Table15[[#This Row],[Enrolment S.Y. 2025-2026 ]]*8</f>
        <v>352</v>
      </c>
      <c r="K5" s="5"/>
      <c r="L5" s="1"/>
      <c r="M5" s="5"/>
      <c r="N5" s="5">
        <f t="shared" ref="N5:N68" si="4">IF((J5-K5)&lt;0,0,(J5-K5))</f>
        <v>352</v>
      </c>
      <c r="O5" s="5">
        <f t="shared" ref="O5:O68" si="5">IF((K5-J5)&lt;0,0,(K5-J5))</f>
        <v>0</v>
      </c>
      <c r="P5" s="5">
        <f>Table15[[#This Row],[Enrolment S.Y. 2025-2026 ]]*8</f>
        <v>352</v>
      </c>
      <c r="Q5" s="5"/>
      <c r="R5" s="1"/>
      <c r="S5" s="5"/>
      <c r="T5" s="5">
        <f t="shared" ref="T5:T68" si="6">IF((P5-Q5)&lt;0,0,(P5-Q5))</f>
        <v>352</v>
      </c>
      <c r="U5" s="5">
        <f t="shared" ref="U5:U68" si="7">IF((Q5-P5)&lt;0,0,(Q5-P5))</f>
        <v>0</v>
      </c>
      <c r="V5" s="5">
        <f>Table15[[#This Row],[Enrolment S.Y. 2025-2026 ]]*8</f>
        <v>352</v>
      </c>
      <c r="W5" s="5"/>
      <c r="X5" s="1"/>
      <c r="Y5" s="5"/>
      <c r="Z5" s="5">
        <f t="shared" ref="Z5:Z68" si="8">IF((V5-W5)&lt;0,0,(V5-W5))</f>
        <v>352</v>
      </c>
      <c r="AA5" s="5">
        <f t="shared" ref="AA5:AA68" si="9">IF((W5-V5)&lt;0,0,(W5-V5))</f>
        <v>0</v>
      </c>
    </row>
    <row r="6" spans="1:27" ht="19.5">
      <c r="A6" s="1">
        <v>1</v>
      </c>
      <c r="B6" s="2" t="s">
        <v>10</v>
      </c>
      <c r="C6" s="1">
        <v>44</v>
      </c>
      <c r="D6" s="5">
        <f>Table15[[#This Row],[Enrolment S.Y. 2025-2026 ]]*8</f>
        <v>352</v>
      </c>
      <c r="E6" s="5">
        <v>57</v>
      </c>
      <c r="F6" s="1">
        <v>2024</v>
      </c>
      <c r="G6" s="5" t="s">
        <v>9</v>
      </c>
      <c r="H6" s="5">
        <f t="shared" si="2"/>
        <v>295</v>
      </c>
      <c r="I6" s="5">
        <f t="shared" si="3"/>
        <v>0</v>
      </c>
      <c r="J6" s="5">
        <f>Table15[[#This Row],[Enrolment S.Y. 2025-2026 ]]*8</f>
        <v>352</v>
      </c>
      <c r="K6" s="5"/>
      <c r="L6" s="1"/>
      <c r="M6" s="5"/>
      <c r="N6" s="5">
        <f t="shared" si="4"/>
        <v>352</v>
      </c>
      <c r="O6" s="5">
        <f t="shared" si="5"/>
        <v>0</v>
      </c>
      <c r="P6" s="5">
        <f>Table15[[#This Row],[Enrolment S.Y. 2025-2026 ]]*8</f>
        <v>352</v>
      </c>
      <c r="Q6" s="5"/>
      <c r="R6" s="1"/>
      <c r="S6" s="5"/>
      <c r="T6" s="5">
        <f t="shared" si="6"/>
        <v>352</v>
      </c>
      <c r="U6" s="5">
        <f t="shared" si="7"/>
        <v>0</v>
      </c>
      <c r="V6" s="5">
        <f>Table15[[#This Row],[Enrolment S.Y. 2025-2026 ]]*8</f>
        <v>352</v>
      </c>
      <c r="W6" s="5"/>
      <c r="X6" s="1"/>
      <c r="Y6" s="5"/>
      <c r="Z6" s="5">
        <f t="shared" si="8"/>
        <v>352</v>
      </c>
      <c r="AA6" s="5">
        <f t="shared" si="9"/>
        <v>0</v>
      </c>
    </row>
    <row r="7" spans="1:27" ht="19.5">
      <c r="A7" s="1">
        <v>1</v>
      </c>
      <c r="B7" s="2" t="s">
        <v>11</v>
      </c>
      <c r="C7" s="1">
        <v>44</v>
      </c>
      <c r="D7" s="5">
        <f>Table15[[#This Row],[Enrolment S.Y. 2025-2026 ]]*8</f>
        <v>352</v>
      </c>
      <c r="E7" s="5">
        <v>8</v>
      </c>
      <c r="F7" s="1">
        <v>2024</v>
      </c>
      <c r="G7" s="5" t="s">
        <v>9</v>
      </c>
      <c r="H7" s="5">
        <f t="shared" si="2"/>
        <v>344</v>
      </c>
      <c r="I7" s="5">
        <f t="shared" si="3"/>
        <v>0</v>
      </c>
      <c r="J7" s="5">
        <f>Table15[[#This Row],[Enrolment S.Y. 2025-2026 ]]*8</f>
        <v>352</v>
      </c>
      <c r="K7" s="5"/>
      <c r="L7" s="1"/>
      <c r="M7" s="5"/>
      <c r="N7" s="5">
        <f t="shared" si="4"/>
        <v>352</v>
      </c>
      <c r="O7" s="5">
        <f t="shared" si="5"/>
        <v>0</v>
      </c>
      <c r="P7" s="5">
        <f>Table15[[#This Row],[Enrolment S.Y. 2025-2026 ]]*8</f>
        <v>352</v>
      </c>
      <c r="Q7" s="5"/>
      <c r="R7" s="1"/>
      <c r="S7" s="5"/>
      <c r="T7" s="5">
        <f t="shared" si="6"/>
        <v>352</v>
      </c>
      <c r="U7" s="5">
        <f t="shared" si="7"/>
        <v>0</v>
      </c>
      <c r="V7" s="5">
        <f>Table15[[#This Row],[Enrolment S.Y. 2025-2026 ]]*8</f>
        <v>352</v>
      </c>
      <c r="W7" s="5"/>
      <c r="X7" s="1"/>
      <c r="Y7" s="5"/>
      <c r="Z7" s="5">
        <f t="shared" si="8"/>
        <v>352</v>
      </c>
      <c r="AA7" s="5">
        <f t="shared" si="9"/>
        <v>0</v>
      </c>
    </row>
    <row r="8" spans="1:27" ht="19.5">
      <c r="A8" s="1">
        <v>1</v>
      </c>
      <c r="B8" s="2" t="s">
        <v>12</v>
      </c>
      <c r="C8" s="1">
        <v>44</v>
      </c>
      <c r="D8" s="5">
        <f>Table15[[#This Row],[Enrolment S.Y. 2025-2026 ]]*8</f>
        <v>352</v>
      </c>
      <c r="E8" s="5">
        <v>8</v>
      </c>
      <c r="F8" s="1">
        <v>2024</v>
      </c>
      <c r="G8" s="5" t="s">
        <v>9</v>
      </c>
      <c r="H8" s="5">
        <f t="shared" si="2"/>
        <v>344</v>
      </c>
      <c r="I8" s="5">
        <f t="shared" si="3"/>
        <v>0</v>
      </c>
      <c r="J8" s="5">
        <f>Table15[[#This Row],[Enrolment S.Y. 2025-2026 ]]*8</f>
        <v>352</v>
      </c>
      <c r="K8" s="5"/>
      <c r="L8" s="1"/>
      <c r="M8" s="5"/>
      <c r="N8" s="5">
        <f t="shared" si="4"/>
        <v>352</v>
      </c>
      <c r="O8" s="5">
        <f t="shared" si="5"/>
        <v>0</v>
      </c>
      <c r="P8" s="5">
        <f>Table15[[#This Row],[Enrolment S.Y. 2025-2026 ]]*8</f>
        <v>352</v>
      </c>
      <c r="Q8" s="5"/>
      <c r="R8" s="1"/>
      <c r="S8" s="5"/>
      <c r="T8" s="5">
        <f t="shared" si="6"/>
        <v>352</v>
      </c>
      <c r="U8" s="5">
        <f t="shared" si="7"/>
        <v>0</v>
      </c>
      <c r="V8" s="5">
        <f>Table15[[#This Row],[Enrolment S.Y. 2025-2026 ]]*8</f>
        <v>352</v>
      </c>
      <c r="W8" s="5"/>
      <c r="X8" s="1"/>
      <c r="Y8" s="5"/>
      <c r="Z8" s="5">
        <f t="shared" si="8"/>
        <v>352</v>
      </c>
      <c r="AA8" s="5">
        <f t="shared" si="9"/>
        <v>0</v>
      </c>
    </row>
    <row r="9" spans="1:27" ht="19.5">
      <c r="A9" s="1">
        <v>1</v>
      </c>
      <c r="B9" s="2" t="s">
        <v>13</v>
      </c>
      <c r="C9" s="1">
        <v>44</v>
      </c>
      <c r="D9" s="5">
        <f>Table15[[#This Row],[Enrolment S.Y. 2025-2026 ]]*8</f>
        <v>352</v>
      </c>
      <c r="E9" s="5">
        <v>8</v>
      </c>
      <c r="F9" s="1">
        <v>2024</v>
      </c>
      <c r="G9" s="5" t="s">
        <v>9</v>
      </c>
      <c r="H9" s="5">
        <f t="shared" si="2"/>
        <v>344</v>
      </c>
      <c r="I9" s="5">
        <f t="shared" si="3"/>
        <v>0</v>
      </c>
      <c r="J9" s="5">
        <f>Table15[[#This Row],[Enrolment S.Y. 2025-2026 ]]*8</f>
        <v>352</v>
      </c>
      <c r="K9" s="5"/>
      <c r="L9" s="1"/>
      <c r="M9" s="5"/>
      <c r="N9" s="5">
        <f t="shared" si="4"/>
        <v>352</v>
      </c>
      <c r="O9" s="5">
        <f t="shared" si="5"/>
        <v>0</v>
      </c>
      <c r="P9" s="5">
        <f>Table15[[#This Row],[Enrolment S.Y. 2025-2026 ]]*8</f>
        <v>352</v>
      </c>
      <c r="Q9" s="5"/>
      <c r="R9" s="1"/>
      <c r="S9" s="5"/>
      <c r="T9" s="5">
        <f t="shared" si="6"/>
        <v>352</v>
      </c>
      <c r="U9" s="5">
        <f t="shared" si="7"/>
        <v>0</v>
      </c>
      <c r="V9" s="5">
        <f>Table15[[#This Row],[Enrolment S.Y. 2025-2026 ]]*8</f>
        <v>352</v>
      </c>
      <c r="W9" s="5"/>
      <c r="X9" s="1"/>
      <c r="Y9" s="5"/>
      <c r="Z9" s="5">
        <f t="shared" si="8"/>
        <v>352</v>
      </c>
      <c r="AA9" s="5">
        <f t="shared" si="9"/>
        <v>0</v>
      </c>
    </row>
    <row r="10" spans="1:27" ht="19.5">
      <c r="A10" s="1">
        <v>1</v>
      </c>
      <c r="B10" s="9" t="s">
        <v>15</v>
      </c>
      <c r="C10" s="1">
        <v>44</v>
      </c>
      <c r="D10" s="5">
        <f>Table15[[#This Row],[Enrolment S.Y. 2025-2026 ]]*8</f>
        <v>352</v>
      </c>
      <c r="E10" s="5">
        <v>8</v>
      </c>
      <c r="F10" s="1">
        <v>2024</v>
      </c>
      <c r="G10" s="5" t="s">
        <v>9</v>
      </c>
      <c r="H10" s="5">
        <f>IF((D10-E10)&lt;0,0,(D10-E10))</f>
        <v>344</v>
      </c>
      <c r="I10" s="5">
        <f>IF((E10-D10)&lt;0,0,(E10-D10))</f>
        <v>0</v>
      </c>
      <c r="J10" s="5">
        <f>Table15[[#This Row],[Enrolment S.Y. 2025-2026 ]]*8</f>
        <v>352</v>
      </c>
      <c r="K10" s="5"/>
      <c r="L10" s="1"/>
      <c r="M10" s="5"/>
      <c r="N10" s="5">
        <f t="shared" si="4"/>
        <v>352</v>
      </c>
      <c r="O10" s="5">
        <f t="shared" si="5"/>
        <v>0</v>
      </c>
      <c r="P10" s="5">
        <f>Table15[[#This Row],[Enrolment S.Y. 2025-2026 ]]*8</f>
        <v>352</v>
      </c>
      <c r="Q10" s="5"/>
      <c r="R10" s="1"/>
      <c r="S10" s="5"/>
      <c r="T10" s="5">
        <f t="shared" si="6"/>
        <v>352</v>
      </c>
      <c r="U10" s="5">
        <f t="shared" si="7"/>
        <v>0</v>
      </c>
      <c r="V10" s="5">
        <f>Table15[[#This Row],[Enrolment S.Y. 2025-2026 ]]*8</f>
        <v>352</v>
      </c>
      <c r="W10" s="5"/>
      <c r="X10" s="1"/>
      <c r="Y10" s="5"/>
      <c r="Z10" s="5">
        <f t="shared" si="8"/>
        <v>352</v>
      </c>
      <c r="AA10" s="5">
        <f t="shared" si="9"/>
        <v>0</v>
      </c>
    </row>
    <row r="11" spans="1:27" ht="19.5">
      <c r="A11" s="1">
        <v>1</v>
      </c>
      <c r="B11" s="9" t="s">
        <v>16</v>
      </c>
      <c r="C11" s="1">
        <v>44</v>
      </c>
      <c r="D11" s="5">
        <f>Table15[[#This Row],[Enrolment S.Y. 2025-2026 ]]*8</f>
        <v>352</v>
      </c>
      <c r="E11" s="5"/>
      <c r="F11" s="1"/>
      <c r="G11" s="5"/>
      <c r="H11" s="5">
        <f>IF((D11-E11)&lt;0,0,(D11-E11))</f>
        <v>352</v>
      </c>
      <c r="I11" s="5">
        <f>IF((E11-D11)&lt;0,0,(E11-D11))</f>
        <v>0</v>
      </c>
      <c r="J11" s="5">
        <f>Table15[[#This Row],[Enrolment S.Y. 2025-2026 ]]*8</f>
        <v>352</v>
      </c>
      <c r="K11" s="5"/>
      <c r="L11" s="1"/>
      <c r="M11" s="5"/>
      <c r="N11" s="5">
        <f t="shared" si="4"/>
        <v>352</v>
      </c>
      <c r="O11" s="5">
        <f t="shared" si="5"/>
        <v>0</v>
      </c>
      <c r="P11" s="5">
        <f>Table15[[#This Row],[Enrolment S.Y. 2025-2026 ]]*8</f>
        <v>352</v>
      </c>
      <c r="Q11" s="5"/>
      <c r="R11" s="1"/>
      <c r="S11" s="5"/>
      <c r="T11" s="5">
        <f t="shared" si="6"/>
        <v>352</v>
      </c>
      <c r="U11" s="5">
        <f t="shared" si="7"/>
        <v>0</v>
      </c>
      <c r="V11" s="5">
        <f>Table15[[#This Row],[Enrolment S.Y. 2025-2026 ]]*8</f>
        <v>352</v>
      </c>
      <c r="W11" s="5"/>
      <c r="X11" s="1"/>
      <c r="Y11" s="5"/>
      <c r="Z11" s="5">
        <f t="shared" si="8"/>
        <v>352</v>
      </c>
      <c r="AA11" s="5">
        <f t="shared" si="9"/>
        <v>0</v>
      </c>
    </row>
    <row r="12" spans="1:27" ht="19.5">
      <c r="A12" s="1">
        <v>1</v>
      </c>
      <c r="B12" s="9" t="s">
        <v>62</v>
      </c>
      <c r="C12" s="1">
        <v>44</v>
      </c>
      <c r="D12" s="5">
        <f>Table15[[#This Row],[Enrolment S.Y. 2025-2026 ]]*8</f>
        <v>352</v>
      </c>
      <c r="E12" s="5"/>
      <c r="F12" s="1"/>
      <c r="G12" s="5"/>
      <c r="H12" s="5">
        <f>IF((D12-E12)&lt;0,0,(D12-E12))</f>
        <v>352</v>
      </c>
      <c r="I12" s="5">
        <f>IF((E12-D12)&lt;0,0,(E12-D12))</f>
        <v>0</v>
      </c>
      <c r="J12" s="5">
        <f>Table15[[#This Row],[Enrolment S.Y. 2025-2026 ]]*8</f>
        <v>352</v>
      </c>
      <c r="K12" s="5"/>
      <c r="L12" s="1"/>
      <c r="M12" s="5"/>
      <c r="N12" s="5">
        <f t="shared" si="4"/>
        <v>352</v>
      </c>
      <c r="O12" s="5">
        <f t="shared" si="5"/>
        <v>0</v>
      </c>
      <c r="P12" s="5">
        <f>Table15[[#This Row],[Enrolment S.Y. 2025-2026 ]]*8</f>
        <v>352</v>
      </c>
      <c r="Q12" s="5"/>
      <c r="R12" s="1"/>
      <c r="S12" s="5"/>
      <c r="T12" s="5">
        <f t="shared" si="6"/>
        <v>352</v>
      </c>
      <c r="U12" s="5">
        <f t="shared" si="7"/>
        <v>0</v>
      </c>
      <c r="V12" s="5">
        <f>Table15[[#This Row],[Enrolment S.Y. 2025-2026 ]]*8</f>
        <v>352</v>
      </c>
      <c r="W12" s="5"/>
      <c r="X12" s="1"/>
      <c r="Y12" s="5"/>
      <c r="Z12" s="5">
        <f t="shared" si="8"/>
        <v>352</v>
      </c>
      <c r="AA12" s="5">
        <f t="shared" si="9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7.5" customHeight="1">
      <c r="A14" s="1">
        <v>2</v>
      </c>
      <c r="B14" s="2" t="s">
        <v>8</v>
      </c>
      <c r="C14" s="1">
        <v>49</v>
      </c>
      <c r="D14" s="5">
        <f>Table15[[#This Row],[Enrolment S.Y. 2025-2026 ]]*8</f>
        <v>392</v>
      </c>
      <c r="E14" s="5"/>
      <c r="F14" s="1"/>
      <c r="G14" s="5"/>
      <c r="H14" s="5">
        <f t="shared" si="2"/>
        <v>392</v>
      </c>
      <c r="I14" s="5">
        <f t="shared" si="3"/>
        <v>0</v>
      </c>
      <c r="J14" s="5">
        <f>Table15[[#This Row],[Enrolment S.Y. 2025-2026 ]]*8</f>
        <v>392</v>
      </c>
      <c r="K14" s="5"/>
      <c r="L14" s="1"/>
      <c r="M14" s="5"/>
      <c r="N14" s="5">
        <f t="shared" si="4"/>
        <v>392</v>
      </c>
      <c r="O14" s="5">
        <f t="shared" si="5"/>
        <v>0</v>
      </c>
      <c r="P14" s="5">
        <f>Table15[[#This Row],[Enrolment S.Y. 2025-2026 ]]*8</f>
        <v>392</v>
      </c>
      <c r="Q14" s="5"/>
      <c r="R14" s="1"/>
      <c r="S14" s="5"/>
      <c r="T14" s="5">
        <f t="shared" si="6"/>
        <v>392</v>
      </c>
      <c r="U14" s="5">
        <f t="shared" si="7"/>
        <v>0</v>
      </c>
      <c r="V14" s="5">
        <f>Table15[[#This Row],[Enrolment S.Y. 2025-2026 ]]*8</f>
        <v>392</v>
      </c>
      <c r="W14" s="5"/>
      <c r="X14" s="1"/>
      <c r="Y14" s="5"/>
      <c r="Z14" s="5">
        <f t="shared" si="8"/>
        <v>392</v>
      </c>
      <c r="AA14" s="5">
        <f t="shared" si="9"/>
        <v>0</v>
      </c>
    </row>
    <row r="15" spans="1:27" ht="19.5">
      <c r="A15" s="1">
        <v>2</v>
      </c>
      <c r="B15" s="2" t="s">
        <v>10</v>
      </c>
      <c r="C15" s="1">
        <v>49</v>
      </c>
      <c r="D15" s="5">
        <f>Table15[[#This Row],[Enrolment S.Y. 2025-2026 ]]*8</f>
        <v>392</v>
      </c>
      <c r="E15" s="5"/>
      <c r="F15" s="1"/>
      <c r="G15" s="5"/>
      <c r="H15" s="5">
        <f t="shared" si="2"/>
        <v>392</v>
      </c>
      <c r="I15" s="5">
        <f t="shared" si="3"/>
        <v>0</v>
      </c>
      <c r="J15" s="5">
        <f>Table15[[#This Row],[Enrolment S.Y. 2025-2026 ]]*8</f>
        <v>392</v>
      </c>
      <c r="K15" s="5"/>
      <c r="L15" s="1"/>
      <c r="M15" s="5"/>
      <c r="N15" s="5">
        <f t="shared" si="4"/>
        <v>392</v>
      </c>
      <c r="O15" s="5">
        <f t="shared" si="5"/>
        <v>0</v>
      </c>
      <c r="P15" s="5">
        <f>Table15[[#This Row],[Enrolment S.Y. 2025-2026 ]]*8</f>
        <v>392</v>
      </c>
      <c r="Q15" s="5"/>
      <c r="R15" s="1"/>
      <c r="S15" s="5"/>
      <c r="T15" s="5">
        <f t="shared" si="6"/>
        <v>392</v>
      </c>
      <c r="U15" s="5">
        <f t="shared" si="7"/>
        <v>0</v>
      </c>
      <c r="V15" s="5">
        <f>Table15[[#This Row],[Enrolment S.Y. 2025-2026 ]]*8</f>
        <v>392</v>
      </c>
      <c r="W15" s="5"/>
      <c r="X15" s="1"/>
      <c r="Y15" s="5"/>
      <c r="Z15" s="5">
        <f t="shared" si="8"/>
        <v>392</v>
      </c>
      <c r="AA15" s="5">
        <f t="shared" si="9"/>
        <v>0</v>
      </c>
    </row>
    <row r="16" spans="1:27" ht="19.5">
      <c r="A16" s="1">
        <v>2</v>
      </c>
      <c r="B16" s="2" t="s">
        <v>11</v>
      </c>
      <c r="C16" s="1">
        <v>49</v>
      </c>
      <c r="D16" s="5">
        <f>Table15[[#This Row],[Enrolment S.Y. 2025-2026 ]]*8</f>
        <v>392</v>
      </c>
      <c r="E16" s="5"/>
      <c r="F16" s="1"/>
      <c r="G16" s="5"/>
      <c r="H16" s="5">
        <f t="shared" si="2"/>
        <v>392</v>
      </c>
      <c r="I16" s="5">
        <f t="shared" si="3"/>
        <v>0</v>
      </c>
      <c r="J16" s="5">
        <f>Table15[[#This Row],[Enrolment S.Y. 2025-2026 ]]*8</f>
        <v>392</v>
      </c>
      <c r="K16" s="5"/>
      <c r="L16" s="1"/>
      <c r="M16" s="5"/>
      <c r="N16" s="5">
        <f t="shared" si="4"/>
        <v>392</v>
      </c>
      <c r="O16" s="5">
        <f t="shared" si="5"/>
        <v>0</v>
      </c>
      <c r="P16" s="5">
        <f>Table15[[#This Row],[Enrolment S.Y. 2025-2026 ]]*8</f>
        <v>392</v>
      </c>
      <c r="Q16" s="5"/>
      <c r="R16" s="1"/>
      <c r="S16" s="5"/>
      <c r="T16" s="5">
        <f t="shared" si="6"/>
        <v>392</v>
      </c>
      <c r="U16" s="5">
        <f t="shared" si="7"/>
        <v>0</v>
      </c>
      <c r="V16" s="5">
        <f>Table15[[#This Row],[Enrolment S.Y. 2025-2026 ]]*8</f>
        <v>392</v>
      </c>
      <c r="W16" s="5"/>
      <c r="X16" s="1"/>
      <c r="Y16" s="5"/>
      <c r="Z16" s="5">
        <f t="shared" si="8"/>
        <v>392</v>
      </c>
      <c r="AA16" s="5">
        <f t="shared" si="9"/>
        <v>0</v>
      </c>
    </row>
    <row r="17" spans="1:27" ht="19.5">
      <c r="A17" s="1">
        <v>2</v>
      </c>
      <c r="B17" s="2" t="s">
        <v>12</v>
      </c>
      <c r="C17" s="1">
        <v>49</v>
      </c>
      <c r="D17" s="5">
        <f>Table15[[#This Row],[Enrolment S.Y. 2025-2026 ]]*8</f>
        <v>392</v>
      </c>
      <c r="E17" s="5"/>
      <c r="F17" s="1"/>
      <c r="G17" s="5"/>
      <c r="H17" s="5">
        <f t="shared" si="2"/>
        <v>392</v>
      </c>
      <c r="I17" s="5">
        <f t="shared" si="3"/>
        <v>0</v>
      </c>
      <c r="J17" s="5">
        <f>Table15[[#This Row],[Enrolment S.Y. 2025-2026 ]]*8</f>
        <v>392</v>
      </c>
      <c r="K17" s="5"/>
      <c r="L17" s="1"/>
      <c r="M17" s="5"/>
      <c r="N17" s="5">
        <f t="shared" si="4"/>
        <v>392</v>
      </c>
      <c r="O17" s="5">
        <f t="shared" si="5"/>
        <v>0</v>
      </c>
      <c r="P17" s="5">
        <f>Table15[[#This Row],[Enrolment S.Y. 2025-2026 ]]*8</f>
        <v>392</v>
      </c>
      <c r="Q17" s="5"/>
      <c r="R17" s="1"/>
      <c r="S17" s="5"/>
      <c r="T17" s="5">
        <f t="shared" si="6"/>
        <v>392</v>
      </c>
      <c r="U17" s="5">
        <f t="shared" si="7"/>
        <v>0</v>
      </c>
      <c r="V17" s="5">
        <f>Table15[[#This Row],[Enrolment S.Y. 2025-2026 ]]*8</f>
        <v>392</v>
      </c>
      <c r="W17" s="5"/>
      <c r="X17" s="1"/>
      <c r="Y17" s="5"/>
      <c r="Z17" s="5">
        <f t="shared" si="8"/>
        <v>392</v>
      </c>
      <c r="AA17" s="5">
        <f t="shared" si="9"/>
        <v>0</v>
      </c>
    </row>
    <row r="18" spans="1:27" ht="19.5">
      <c r="A18" s="1">
        <v>2</v>
      </c>
      <c r="B18" s="2" t="s">
        <v>13</v>
      </c>
      <c r="C18" s="1">
        <v>49</v>
      </c>
      <c r="D18" s="5">
        <f>Table15[[#This Row],[Enrolment S.Y. 2025-2026 ]]*8</f>
        <v>392</v>
      </c>
      <c r="E18" s="5"/>
      <c r="F18" s="1"/>
      <c r="G18" s="5"/>
      <c r="H18" s="5">
        <f t="shared" si="2"/>
        <v>392</v>
      </c>
      <c r="I18" s="5">
        <f t="shared" si="3"/>
        <v>0</v>
      </c>
      <c r="J18" s="5">
        <f>Table15[[#This Row],[Enrolment S.Y. 2025-2026 ]]*8</f>
        <v>392</v>
      </c>
      <c r="K18" s="5"/>
      <c r="L18" s="1"/>
      <c r="M18" s="5"/>
      <c r="N18" s="5">
        <f t="shared" si="4"/>
        <v>392</v>
      </c>
      <c r="O18" s="5">
        <f t="shared" si="5"/>
        <v>0</v>
      </c>
      <c r="P18" s="5">
        <f>Table15[[#This Row],[Enrolment S.Y. 2025-2026 ]]*8</f>
        <v>392</v>
      </c>
      <c r="Q18" s="5"/>
      <c r="R18" s="1"/>
      <c r="S18" s="5"/>
      <c r="T18" s="5">
        <f t="shared" si="6"/>
        <v>392</v>
      </c>
      <c r="U18" s="5">
        <f t="shared" si="7"/>
        <v>0</v>
      </c>
      <c r="V18" s="5">
        <f>Table15[[#This Row],[Enrolment S.Y. 2025-2026 ]]*8</f>
        <v>392</v>
      </c>
      <c r="W18" s="5"/>
      <c r="X18" s="1"/>
      <c r="Y18" s="5"/>
      <c r="Z18" s="5">
        <f t="shared" si="8"/>
        <v>392</v>
      </c>
      <c r="AA18" s="5">
        <f t="shared" si="9"/>
        <v>0</v>
      </c>
    </row>
    <row r="19" spans="1:27" ht="19.5">
      <c r="A19" s="1">
        <v>2</v>
      </c>
      <c r="B19" s="9" t="s">
        <v>16</v>
      </c>
      <c r="C19" s="1">
        <v>49</v>
      </c>
      <c r="D19" s="5">
        <f>Table15[[#This Row],[Enrolment S.Y. 2025-2026 ]]*8</f>
        <v>392</v>
      </c>
      <c r="E19" s="5"/>
      <c r="F19" s="1"/>
      <c r="G19" s="5"/>
      <c r="H19" s="5">
        <f>IF((D19-E19)&lt;0,0,(D19-E19))</f>
        <v>392</v>
      </c>
      <c r="I19" s="5">
        <f>IF((E19-D19)&lt;0,0,(E19-D19))</f>
        <v>0</v>
      </c>
      <c r="J19" s="5">
        <f>Table15[[#This Row],[Enrolment S.Y. 2025-2026 ]]*8</f>
        <v>392</v>
      </c>
      <c r="K19" s="5"/>
      <c r="L19" s="1"/>
      <c r="M19" s="5"/>
      <c r="N19" s="5">
        <f t="shared" si="4"/>
        <v>392</v>
      </c>
      <c r="O19" s="5">
        <f t="shared" si="5"/>
        <v>0</v>
      </c>
      <c r="P19" s="5">
        <f>Table15[[#This Row],[Enrolment S.Y. 2025-2026 ]]*8</f>
        <v>392</v>
      </c>
      <c r="Q19" s="5"/>
      <c r="R19" s="1"/>
      <c r="S19" s="5"/>
      <c r="T19" s="5">
        <f t="shared" si="6"/>
        <v>392</v>
      </c>
      <c r="U19" s="5">
        <f t="shared" si="7"/>
        <v>0</v>
      </c>
      <c r="V19" s="5">
        <f>Table15[[#This Row],[Enrolment S.Y. 2025-2026 ]]*8</f>
        <v>392</v>
      </c>
      <c r="W19" s="5"/>
      <c r="X19" s="1"/>
      <c r="Y19" s="5"/>
      <c r="Z19" s="5">
        <f t="shared" si="8"/>
        <v>392</v>
      </c>
      <c r="AA19" s="5">
        <f t="shared" si="9"/>
        <v>0</v>
      </c>
    </row>
    <row r="20" spans="1:27" ht="19.5">
      <c r="A20" s="1">
        <v>2</v>
      </c>
      <c r="B20" s="9" t="s">
        <v>15</v>
      </c>
      <c r="C20" s="1">
        <v>49</v>
      </c>
      <c r="D20" s="5">
        <f>Table15[[#This Row],[Enrolment S.Y. 2025-2026 ]]*8</f>
        <v>392</v>
      </c>
      <c r="E20" s="5"/>
      <c r="F20" s="1"/>
      <c r="G20" s="5"/>
      <c r="H20" s="5">
        <f>IF((D20-E20)&lt;0,0,(D20-E20))</f>
        <v>392</v>
      </c>
      <c r="I20" s="5">
        <f>IF((E20-D20)&lt;0,0,(E20-D20))</f>
        <v>0</v>
      </c>
      <c r="J20" s="5">
        <f>Table15[[#This Row],[Enrolment S.Y. 2025-2026 ]]*8</f>
        <v>392</v>
      </c>
      <c r="K20" s="5"/>
      <c r="L20" s="1"/>
      <c r="M20" s="5"/>
      <c r="N20" s="5">
        <f t="shared" si="4"/>
        <v>392</v>
      </c>
      <c r="O20" s="5">
        <f t="shared" si="5"/>
        <v>0</v>
      </c>
      <c r="P20" s="5">
        <f>Table15[[#This Row],[Enrolment S.Y. 2025-2026 ]]*8</f>
        <v>392</v>
      </c>
      <c r="Q20" s="5"/>
      <c r="R20" s="1"/>
      <c r="S20" s="5"/>
      <c r="T20" s="5">
        <f t="shared" si="6"/>
        <v>392</v>
      </c>
      <c r="U20" s="5">
        <f t="shared" si="7"/>
        <v>0</v>
      </c>
      <c r="V20" s="5">
        <f>Table15[[#This Row],[Enrolment S.Y. 2025-2026 ]]*8</f>
        <v>392</v>
      </c>
      <c r="W20" s="5"/>
      <c r="X20" s="1"/>
      <c r="Y20" s="5"/>
      <c r="Z20" s="5">
        <f t="shared" si="8"/>
        <v>392</v>
      </c>
      <c r="AA20" s="5">
        <f t="shared" si="9"/>
        <v>0</v>
      </c>
    </row>
    <row r="21" spans="1:27" ht="19.5">
      <c r="A21" s="1">
        <v>2</v>
      </c>
      <c r="B21" s="9" t="s">
        <v>62</v>
      </c>
      <c r="C21" s="1">
        <v>49</v>
      </c>
      <c r="D21" s="5">
        <f>Table15[[#This Row],[Enrolment S.Y. 2025-2026 ]]*8</f>
        <v>392</v>
      </c>
      <c r="E21" s="5"/>
      <c r="F21" s="1"/>
      <c r="G21" s="5"/>
      <c r="H21" s="5">
        <f>IF((D21-E21)&lt;0,0,(D21-E21))</f>
        <v>392</v>
      </c>
      <c r="I21" s="5">
        <f>IF((E21-D21)&lt;0,0,(E21-D21))</f>
        <v>0</v>
      </c>
      <c r="J21" s="5">
        <f>Table15[[#This Row],[Enrolment S.Y. 2025-2026 ]]*8</f>
        <v>392</v>
      </c>
      <c r="K21" s="5"/>
      <c r="L21" s="1"/>
      <c r="M21" s="5"/>
      <c r="N21" s="5">
        <f t="shared" si="4"/>
        <v>392</v>
      </c>
      <c r="O21" s="5">
        <f t="shared" si="5"/>
        <v>0</v>
      </c>
      <c r="P21" s="5">
        <f>Table15[[#This Row],[Enrolment S.Y. 2025-2026 ]]*8</f>
        <v>392</v>
      </c>
      <c r="Q21" s="5"/>
      <c r="R21" s="1"/>
      <c r="S21" s="5"/>
      <c r="T21" s="5">
        <f t="shared" si="6"/>
        <v>392</v>
      </c>
      <c r="U21" s="5">
        <f t="shared" si="7"/>
        <v>0</v>
      </c>
      <c r="V21" s="5">
        <f>Table15[[#This Row],[Enrolment S.Y. 2025-2026 ]]*8</f>
        <v>392</v>
      </c>
      <c r="W21" s="5"/>
      <c r="X21" s="1"/>
      <c r="Y21" s="5"/>
      <c r="Z21" s="5">
        <f t="shared" si="8"/>
        <v>392</v>
      </c>
      <c r="AA21" s="5">
        <f t="shared" si="9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48</v>
      </c>
      <c r="D23" s="5">
        <f>Table15[[#This Row],[Enrolment S.Y. 2025-2026 ]]*8</f>
        <v>384</v>
      </c>
      <c r="E23" s="5"/>
      <c r="F23" s="1"/>
      <c r="G23" s="5"/>
      <c r="H23" s="5">
        <f t="shared" si="2"/>
        <v>384</v>
      </c>
      <c r="I23" s="5">
        <f t="shared" si="3"/>
        <v>0</v>
      </c>
      <c r="J23" s="5">
        <f>Table15[[#This Row],[Enrolment S.Y. 2025-2026 ]]*8</f>
        <v>384</v>
      </c>
      <c r="K23" s="5"/>
      <c r="L23" s="1"/>
      <c r="M23" s="5"/>
      <c r="N23" s="5">
        <f t="shared" si="4"/>
        <v>384</v>
      </c>
      <c r="O23" s="5">
        <f t="shared" si="5"/>
        <v>0</v>
      </c>
      <c r="P23" s="5">
        <f>Table15[[#This Row],[Enrolment S.Y. 2025-2026 ]]*8</f>
        <v>384</v>
      </c>
      <c r="Q23" s="5"/>
      <c r="R23" s="1"/>
      <c r="S23" s="5"/>
      <c r="T23" s="5">
        <f t="shared" si="6"/>
        <v>384</v>
      </c>
      <c r="U23" s="5">
        <f t="shared" si="7"/>
        <v>0</v>
      </c>
      <c r="V23" s="5">
        <f>Table15[[#This Row],[Enrolment S.Y. 2025-2026 ]]*8</f>
        <v>384</v>
      </c>
      <c r="W23" s="5"/>
      <c r="X23" s="1"/>
      <c r="Y23" s="5"/>
      <c r="Z23" s="5">
        <f t="shared" si="8"/>
        <v>384</v>
      </c>
      <c r="AA23" s="5">
        <f t="shared" si="9"/>
        <v>0</v>
      </c>
    </row>
    <row r="24" spans="1:27" ht="19.5">
      <c r="A24" s="1">
        <v>3</v>
      </c>
      <c r="B24" s="2" t="s">
        <v>10</v>
      </c>
      <c r="C24" s="1">
        <v>48</v>
      </c>
      <c r="D24" s="5">
        <f>Table15[[#This Row],[Enrolment S.Y. 2025-2026 ]]*8</f>
        <v>384</v>
      </c>
      <c r="E24" s="5"/>
      <c r="F24" s="1"/>
      <c r="G24" s="5"/>
      <c r="H24" s="5">
        <f t="shared" si="2"/>
        <v>384</v>
      </c>
      <c r="I24" s="5">
        <f t="shared" si="3"/>
        <v>0</v>
      </c>
      <c r="J24" s="5">
        <f>Table15[[#This Row],[Enrolment S.Y. 2025-2026 ]]*8</f>
        <v>384</v>
      </c>
      <c r="K24" s="5"/>
      <c r="L24" s="1"/>
      <c r="M24" s="5"/>
      <c r="N24" s="5">
        <f t="shared" si="4"/>
        <v>384</v>
      </c>
      <c r="O24" s="5">
        <f t="shared" si="5"/>
        <v>0</v>
      </c>
      <c r="P24" s="5">
        <f>Table15[[#This Row],[Enrolment S.Y. 2025-2026 ]]*8</f>
        <v>384</v>
      </c>
      <c r="Q24" s="5"/>
      <c r="R24" s="1"/>
      <c r="S24" s="5"/>
      <c r="T24" s="5">
        <f t="shared" si="6"/>
        <v>384</v>
      </c>
      <c r="U24" s="5">
        <f t="shared" si="7"/>
        <v>0</v>
      </c>
      <c r="V24" s="5">
        <f>Table15[[#This Row],[Enrolment S.Y. 2025-2026 ]]*8</f>
        <v>384</v>
      </c>
      <c r="W24" s="5"/>
      <c r="X24" s="1"/>
      <c r="Y24" s="5"/>
      <c r="Z24" s="5">
        <f t="shared" si="8"/>
        <v>384</v>
      </c>
      <c r="AA24" s="5">
        <f t="shared" si="9"/>
        <v>0</v>
      </c>
    </row>
    <row r="25" spans="1:27" ht="19.5">
      <c r="A25" s="1">
        <v>3</v>
      </c>
      <c r="B25" s="2" t="s">
        <v>11</v>
      </c>
      <c r="C25" s="1">
        <v>48</v>
      </c>
      <c r="D25" s="5">
        <f>Table15[[#This Row],[Enrolment S.Y. 2025-2026 ]]*8</f>
        <v>384</v>
      </c>
      <c r="E25" s="5"/>
      <c r="F25" s="1"/>
      <c r="G25" s="5"/>
      <c r="H25" s="5">
        <f t="shared" si="2"/>
        <v>384</v>
      </c>
      <c r="I25" s="5">
        <f t="shared" si="3"/>
        <v>0</v>
      </c>
      <c r="J25" s="5">
        <f>Table15[[#This Row],[Enrolment S.Y. 2025-2026 ]]*8</f>
        <v>384</v>
      </c>
      <c r="K25" s="5"/>
      <c r="L25" s="1"/>
      <c r="M25" s="5"/>
      <c r="N25" s="5">
        <f t="shared" si="4"/>
        <v>384</v>
      </c>
      <c r="O25" s="5">
        <f t="shared" si="5"/>
        <v>0</v>
      </c>
      <c r="P25" s="5">
        <f>Table15[[#This Row],[Enrolment S.Y. 2025-2026 ]]*8</f>
        <v>384</v>
      </c>
      <c r="Q25" s="5"/>
      <c r="R25" s="1"/>
      <c r="S25" s="5"/>
      <c r="T25" s="5">
        <f t="shared" si="6"/>
        <v>384</v>
      </c>
      <c r="U25" s="5">
        <f t="shared" si="7"/>
        <v>0</v>
      </c>
      <c r="V25" s="5">
        <f>Table15[[#This Row],[Enrolment S.Y. 2025-2026 ]]*8</f>
        <v>384</v>
      </c>
      <c r="W25" s="5"/>
      <c r="X25" s="1"/>
      <c r="Y25" s="5"/>
      <c r="Z25" s="5">
        <f t="shared" si="8"/>
        <v>384</v>
      </c>
      <c r="AA25" s="5">
        <f t="shared" si="9"/>
        <v>0</v>
      </c>
    </row>
    <row r="26" spans="1:27" ht="19.5">
      <c r="A26" s="1">
        <v>3</v>
      </c>
      <c r="B26" s="2" t="s">
        <v>14</v>
      </c>
      <c r="C26" s="1">
        <v>48</v>
      </c>
      <c r="D26" s="5">
        <f>Table15[[#This Row],[Enrolment S.Y. 2025-2026 ]]*8</f>
        <v>384</v>
      </c>
      <c r="E26" s="5"/>
      <c r="F26" s="1"/>
      <c r="G26" s="5"/>
      <c r="H26" s="5">
        <f t="shared" si="2"/>
        <v>384</v>
      </c>
      <c r="I26" s="5">
        <f t="shared" si="3"/>
        <v>0</v>
      </c>
      <c r="J26" s="5">
        <f>Table15[[#This Row],[Enrolment S.Y. 2025-2026 ]]*8</f>
        <v>384</v>
      </c>
      <c r="K26" s="5"/>
      <c r="L26" s="1"/>
      <c r="M26" s="5"/>
      <c r="N26" s="5">
        <f t="shared" si="4"/>
        <v>384</v>
      </c>
      <c r="O26" s="5">
        <f t="shared" si="5"/>
        <v>0</v>
      </c>
      <c r="P26" s="5">
        <f>Table15[[#This Row],[Enrolment S.Y. 2025-2026 ]]*8</f>
        <v>384</v>
      </c>
      <c r="Q26" s="5"/>
      <c r="R26" s="1"/>
      <c r="S26" s="5"/>
      <c r="T26" s="5">
        <f t="shared" si="6"/>
        <v>384</v>
      </c>
      <c r="U26" s="5">
        <f t="shared" si="7"/>
        <v>0</v>
      </c>
      <c r="V26" s="5">
        <f>Table15[[#This Row],[Enrolment S.Y. 2025-2026 ]]*8</f>
        <v>384</v>
      </c>
      <c r="W26" s="5"/>
      <c r="X26" s="1"/>
      <c r="Y26" s="5"/>
      <c r="Z26" s="5">
        <f t="shared" si="8"/>
        <v>384</v>
      </c>
      <c r="AA26" s="5">
        <f t="shared" si="9"/>
        <v>0</v>
      </c>
    </row>
    <row r="27" spans="1:27" ht="19.5">
      <c r="A27" s="1">
        <v>3</v>
      </c>
      <c r="B27" s="2" t="s">
        <v>12</v>
      </c>
      <c r="C27" s="1">
        <v>48</v>
      </c>
      <c r="D27" s="5">
        <f>Table15[[#This Row],[Enrolment S.Y. 2025-2026 ]]*8</f>
        <v>384</v>
      </c>
      <c r="E27" s="5"/>
      <c r="F27" s="1"/>
      <c r="G27" s="5"/>
      <c r="H27" s="5">
        <f t="shared" si="2"/>
        <v>384</v>
      </c>
      <c r="I27" s="5">
        <f t="shared" si="3"/>
        <v>0</v>
      </c>
      <c r="J27" s="5">
        <f>Table15[[#This Row],[Enrolment S.Y. 2025-2026 ]]*8</f>
        <v>384</v>
      </c>
      <c r="K27" s="5"/>
      <c r="L27" s="1"/>
      <c r="M27" s="5"/>
      <c r="N27" s="5">
        <f t="shared" si="4"/>
        <v>384</v>
      </c>
      <c r="O27" s="5">
        <f t="shared" si="5"/>
        <v>0</v>
      </c>
      <c r="P27" s="5">
        <f>Table15[[#This Row],[Enrolment S.Y. 2025-2026 ]]*8</f>
        <v>384</v>
      </c>
      <c r="Q27" s="5"/>
      <c r="R27" s="1"/>
      <c r="S27" s="5"/>
      <c r="T27" s="5">
        <f t="shared" si="6"/>
        <v>384</v>
      </c>
      <c r="U27" s="5">
        <f t="shared" si="7"/>
        <v>0</v>
      </c>
      <c r="V27" s="5">
        <f>Table15[[#This Row],[Enrolment S.Y. 2025-2026 ]]*8</f>
        <v>384</v>
      </c>
      <c r="W27" s="5"/>
      <c r="X27" s="1"/>
      <c r="Y27" s="5"/>
      <c r="Z27" s="5">
        <f t="shared" si="8"/>
        <v>384</v>
      </c>
      <c r="AA27" s="5">
        <f t="shared" si="9"/>
        <v>0</v>
      </c>
    </row>
    <row r="28" spans="1:27" ht="19.5">
      <c r="A28" s="1">
        <v>3</v>
      </c>
      <c r="B28" s="2" t="s">
        <v>13</v>
      </c>
      <c r="C28" s="1">
        <v>48</v>
      </c>
      <c r="D28" s="5">
        <f>Table15[[#This Row],[Enrolment S.Y. 2025-2026 ]]*8</f>
        <v>384</v>
      </c>
      <c r="E28" s="5"/>
      <c r="F28" s="1"/>
      <c r="G28" s="5"/>
      <c r="H28" s="5">
        <f t="shared" si="2"/>
        <v>384</v>
      </c>
      <c r="I28" s="5">
        <f t="shared" si="3"/>
        <v>0</v>
      </c>
      <c r="J28" s="5">
        <f>Table15[[#This Row],[Enrolment S.Y. 2025-2026 ]]*8</f>
        <v>384</v>
      </c>
      <c r="K28" s="5"/>
      <c r="L28" s="1"/>
      <c r="M28" s="5"/>
      <c r="N28" s="5">
        <f t="shared" si="4"/>
        <v>384</v>
      </c>
      <c r="O28" s="5">
        <f t="shared" si="5"/>
        <v>0</v>
      </c>
      <c r="P28" s="5">
        <f>Table15[[#This Row],[Enrolment S.Y. 2025-2026 ]]*8</f>
        <v>384</v>
      </c>
      <c r="Q28" s="5"/>
      <c r="R28" s="1"/>
      <c r="S28" s="5"/>
      <c r="T28" s="5">
        <f t="shared" si="6"/>
        <v>384</v>
      </c>
      <c r="U28" s="5">
        <f t="shared" si="7"/>
        <v>0</v>
      </c>
      <c r="V28" s="5">
        <f>Table15[[#This Row],[Enrolment S.Y. 2025-2026 ]]*8</f>
        <v>384</v>
      </c>
      <c r="W28" s="5"/>
      <c r="X28" s="1"/>
      <c r="Y28" s="5"/>
      <c r="Z28" s="5">
        <f t="shared" si="8"/>
        <v>384</v>
      </c>
      <c r="AA28" s="5">
        <f t="shared" si="9"/>
        <v>0</v>
      </c>
    </row>
    <row r="29" spans="1:27" ht="19.5">
      <c r="A29" s="1">
        <v>3</v>
      </c>
      <c r="B29" s="9" t="s">
        <v>15</v>
      </c>
      <c r="C29" s="1">
        <v>48</v>
      </c>
      <c r="D29" s="5">
        <f>Table15[[#This Row],[Enrolment S.Y. 2025-2026 ]]*8</f>
        <v>384</v>
      </c>
      <c r="E29" s="5"/>
      <c r="F29" s="1"/>
      <c r="G29" s="5"/>
      <c r="H29" s="5">
        <f>IF((D29-E29)&lt;0,0,(D29-E29))</f>
        <v>384</v>
      </c>
      <c r="I29" s="5">
        <f>IF((E29-D29)&lt;0,0,(E29-D29))</f>
        <v>0</v>
      </c>
      <c r="J29" s="5">
        <f>Table15[[#This Row],[Enrolment S.Y. 2025-2026 ]]*8</f>
        <v>384</v>
      </c>
      <c r="K29" s="5"/>
      <c r="L29" s="1"/>
      <c r="M29" s="5"/>
      <c r="N29" s="5">
        <f t="shared" si="4"/>
        <v>384</v>
      </c>
      <c r="O29" s="5">
        <f t="shared" si="5"/>
        <v>0</v>
      </c>
      <c r="P29" s="5">
        <f>Table15[[#This Row],[Enrolment S.Y. 2025-2026 ]]*8</f>
        <v>384</v>
      </c>
      <c r="Q29" s="5"/>
      <c r="R29" s="1"/>
      <c r="S29" s="5"/>
      <c r="T29" s="5">
        <f t="shared" si="6"/>
        <v>384</v>
      </c>
      <c r="U29" s="5">
        <f t="shared" si="7"/>
        <v>0</v>
      </c>
      <c r="V29" s="5">
        <f>Table15[[#This Row],[Enrolment S.Y. 2025-2026 ]]*8</f>
        <v>384</v>
      </c>
      <c r="W29" s="5"/>
      <c r="X29" s="1"/>
      <c r="Y29" s="5"/>
      <c r="Z29" s="5">
        <f t="shared" si="8"/>
        <v>384</v>
      </c>
      <c r="AA29" s="5">
        <f t="shared" si="9"/>
        <v>0</v>
      </c>
    </row>
    <row r="30" spans="1:27" ht="19.5">
      <c r="A30" s="1">
        <v>3</v>
      </c>
      <c r="B30" s="9" t="s">
        <v>16</v>
      </c>
      <c r="C30" s="1">
        <v>48</v>
      </c>
      <c r="D30" s="5">
        <f>Table15[[#This Row],[Enrolment S.Y. 2025-2026 ]]*8</f>
        <v>384</v>
      </c>
      <c r="E30" s="5"/>
      <c r="F30" s="1"/>
      <c r="G30" s="5"/>
      <c r="H30" s="5">
        <f>IF((D30-E30)&lt;0,0,(D30-E30))</f>
        <v>384</v>
      </c>
      <c r="I30" s="5">
        <f>IF((E30-D30)&lt;0,0,(E30-D30))</f>
        <v>0</v>
      </c>
      <c r="J30" s="5">
        <f>Table15[[#This Row],[Enrolment S.Y. 2025-2026 ]]*8</f>
        <v>384</v>
      </c>
      <c r="K30" s="5"/>
      <c r="L30" s="1"/>
      <c r="M30" s="5"/>
      <c r="N30" s="5">
        <f t="shared" si="4"/>
        <v>384</v>
      </c>
      <c r="O30" s="5">
        <f t="shared" si="5"/>
        <v>0</v>
      </c>
      <c r="P30" s="5">
        <f>Table15[[#This Row],[Enrolment S.Y. 2025-2026 ]]*8</f>
        <v>384</v>
      </c>
      <c r="Q30" s="5"/>
      <c r="R30" s="1"/>
      <c r="S30" s="5"/>
      <c r="T30" s="5">
        <f t="shared" si="6"/>
        <v>384</v>
      </c>
      <c r="U30" s="5">
        <f t="shared" si="7"/>
        <v>0</v>
      </c>
      <c r="V30" s="5">
        <f>Table15[[#This Row],[Enrolment S.Y. 2025-2026 ]]*8</f>
        <v>384</v>
      </c>
      <c r="W30" s="5"/>
      <c r="X30" s="1"/>
      <c r="Y30" s="5"/>
      <c r="Z30" s="5">
        <f t="shared" si="8"/>
        <v>384</v>
      </c>
      <c r="AA30" s="5">
        <f t="shared" si="9"/>
        <v>0</v>
      </c>
    </row>
    <row r="31" spans="1:27" ht="19.5">
      <c r="A31" s="1">
        <v>3</v>
      </c>
      <c r="B31" s="9" t="s">
        <v>62</v>
      </c>
      <c r="C31" s="1">
        <v>48</v>
      </c>
      <c r="D31" s="5">
        <f>Table15[[#This Row],[Enrolment S.Y. 2025-2026 ]]*8</f>
        <v>384</v>
      </c>
      <c r="E31" s="5"/>
      <c r="F31" s="1"/>
      <c r="G31" s="5"/>
      <c r="H31" s="5">
        <f>IF((D31-E31)&lt;0,0,(D31-E31))</f>
        <v>384</v>
      </c>
      <c r="I31" s="5">
        <f>IF((E31-D31)&lt;0,0,(E31-D31))</f>
        <v>0</v>
      </c>
      <c r="J31" s="5">
        <f>Table15[[#This Row],[Enrolment S.Y. 2025-2026 ]]*8</f>
        <v>384</v>
      </c>
      <c r="K31" s="5"/>
      <c r="L31" s="1"/>
      <c r="M31" s="5"/>
      <c r="N31" s="5">
        <f t="shared" si="4"/>
        <v>384</v>
      </c>
      <c r="O31" s="5">
        <f t="shared" si="5"/>
        <v>0</v>
      </c>
      <c r="P31" s="5">
        <f>Table15[[#This Row],[Enrolment S.Y. 2025-2026 ]]*8</f>
        <v>384</v>
      </c>
      <c r="Q31" s="5"/>
      <c r="R31" s="1"/>
      <c r="S31" s="5"/>
      <c r="T31" s="5">
        <f t="shared" si="6"/>
        <v>384</v>
      </c>
      <c r="U31" s="5">
        <f t="shared" si="7"/>
        <v>0</v>
      </c>
      <c r="V31" s="5">
        <f>Table15[[#This Row],[Enrolment S.Y. 2025-2026 ]]*8</f>
        <v>384</v>
      </c>
      <c r="W31" s="5"/>
      <c r="X31" s="1"/>
      <c r="Y31" s="5"/>
      <c r="Z31" s="5">
        <f t="shared" si="8"/>
        <v>384</v>
      </c>
      <c r="AA31" s="5">
        <f t="shared" si="9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49</v>
      </c>
      <c r="D33" s="5">
        <f>Table15[[#This Row],[Enrolment S.Y. 2025-2026 ]]*8</f>
        <v>392</v>
      </c>
      <c r="E33" s="5">
        <v>9</v>
      </c>
      <c r="F33" s="1">
        <v>2024</v>
      </c>
      <c r="G33" s="5" t="s">
        <v>9</v>
      </c>
      <c r="H33" s="5">
        <f t="shared" si="2"/>
        <v>383</v>
      </c>
      <c r="I33" s="5">
        <f t="shared" si="3"/>
        <v>0</v>
      </c>
      <c r="J33" s="5">
        <f>Table15[[#This Row],[Enrolment S.Y. 2025-2026 ]]*8</f>
        <v>392</v>
      </c>
      <c r="K33" s="5"/>
      <c r="L33" s="1"/>
      <c r="M33" s="5"/>
      <c r="N33" s="5">
        <f t="shared" si="4"/>
        <v>392</v>
      </c>
      <c r="O33" s="5">
        <f t="shared" si="5"/>
        <v>0</v>
      </c>
      <c r="P33" s="5">
        <f>Table15[[#This Row],[Enrolment S.Y. 2025-2026 ]]*8</f>
        <v>392</v>
      </c>
      <c r="Q33" s="5"/>
      <c r="R33" s="1"/>
      <c r="S33" s="5"/>
      <c r="T33" s="5">
        <f t="shared" si="6"/>
        <v>392</v>
      </c>
      <c r="U33" s="5">
        <f t="shared" si="7"/>
        <v>0</v>
      </c>
      <c r="V33" s="5">
        <f>Table15[[#This Row],[Enrolment S.Y. 2025-2026 ]]*8</f>
        <v>392</v>
      </c>
      <c r="W33" s="5"/>
      <c r="X33" s="1"/>
      <c r="Y33" s="5"/>
      <c r="Z33" s="5">
        <f t="shared" si="8"/>
        <v>392</v>
      </c>
      <c r="AA33" s="5">
        <f t="shared" si="9"/>
        <v>0</v>
      </c>
    </row>
    <row r="34" spans="1:27" ht="19.5">
      <c r="A34" s="1">
        <v>4</v>
      </c>
      <c r="B34" s="9" t="s">
        <v>16</v>
      </c>
      <c r="C34" s="1">
        <v>49</v>
      </c>
      <c r="D34" s="5">
        <f>Table15[[#This Row],[Enrolment S.Y. 2025-2026 ]]*8</f>
        <v>392</v>
      </c>
      <c r="E34" s="5">
        <v>57</v>
      </c>
      <c r="F34" s="1">
        <v>2024</v>
      </c>
      <c r="G34" s="5" t="s">
        <v>9</v>
      </c>
      <c r="H34" s="5">
        <f t="shared" si="2"/>
        <v>335</v>
      </c>
      <c r="I34" s="5">
        <f t="shared" si="3"/>
        <v>0</v>
      </c>
      <c r="J34" s="5">
        <f>Table15[[#This Row],[Enrolment S.Y. 2025-2026 ]]*8</f>
        <v>392</v>
      </c>
      <c r="K34" s="5"/>
      <c r="L34" s="1"/>
      <c r="M34" s="5"/>
      <c r="N34" s="5">
        <f t="shared" si="4"/>
        <v>392</v>
      </c>
      <c r="O34" s="5">
        <f t="shared" si="5"/>
        <v>0</v>
      </c>
      <c r="P34" s="5">
        <f>Table15[[#This Row],[Enrolment S.Y. 2025-2026 ]]*8</f>
        <v>392</v>
      </c>
      <c r="Q34" s="5"/>
      <c r="R34" s="1"/>
      <c r="S34" s="5"/>
      <c r="T34" s="5">
        <f t="shared" si="6"/>
        <v>392</v>
      </c>
      <c r="U34" s="5">
        <f t="shared" si="7"/>
        <v>0</v>
      </c>
      <c r="V34" s="5">
        <f>Table15[[#This Row],[Enrolment S.Y. 2025-2026 ]]*8</f>
        <v>392</v>
      </c>
      <c r="W34" s="5"/>
      <c r="X34" s="1"/>
      <c r="Y34" s="5"/>
      <c r="Z34" s="5">
        <f t="shared" si="8"/>
        <v>392</v>
      </c>
      <c r="AA34" s="5">
        <f t="shared" si="9"/>
        <v>0</v>
      </c>
    </row>
    <row r="35" spans="1:27" ht="19.5">
      <c r="A35" s="1">
        <v>4</v>
      </c>
      <c r="B35" s="9" t="s">
        <v>13</v>
      </c>
      <c r="C35" s="1">
        <v>49</v>
      </c>
      <c r="D35" s="5">
        <f>Table15[[#This Row],[Enrolment S.Y. 2025-2026 ]]*8</f>
        <v>392</v>
      </c>
      <c r="E35" s="5">
        <v>9</v>
      </c>
      <c r="F35" s="1">
        <v>2024</v>
      </c>
      <c r="G35" s="5" t="s">
        <v>9</v>
      </c>
      <c r="H35" s="5">
        <f t="shared" si="2"/>
        <v>383</v>
      </c>
      <c r="I35" s="5">
        <f t="shared" si="3"/>
        <v>0</v>
      </c>
      <c r="J35" s="5">
        <f>Table15[[#This Row],[Enrolment S.Y. 2025-2026 ]]*8</f>
        <v>392</v>
      </c>
      <c r="K35" s="5"/>
      <c r="L35" s="1"/>
      <c r="M35" s="5"/>
      <c r="N35" s="5">
        <f t="shared" si="4"/>
        <v>392</v>
      </c>
      <c r="O35" s="5">
        <f t="shared" si="5"/>
        <v>0</v>
      </c>
      <c r="P35" s="5">
        <f>Table15[[#This Row],[Enrolment S.Y. 2025-2026 ]]*8</f>
        <v>392</v>
      </c>
      <c r="Q35" s="5"/>
      <c r="R35" s="1"/>
      <c r="S35" s="5"/>
      <c r="T35" s="5">
        <f t="shared" si="6"/>
        <v>392</v>
      </c>
      <c r="U35" s="5">
        <f t="shared" si="7"/>
        <v>0</v>
      </c>
      <c r="V35" s="5">
        <f>Table15[[#This Row],[Enrolment S.Y. 2025-2026 ]]*8</f>
        <v>392</v>
      </c>
      <c r="W35" s="5"/>
      <c r="X35" s="1"/>
      <c r="Y35" s="5"/>
      <c r="Z35" s="5">
        <f t="shared" si="8"/>
        <v>392</v>
      </c>
      <c r="AA35" s="5">
        <f t="shared" si="9"/>
        <v>0</v>
      </c>
    </row>
    <row r="36" spans="1:27" ht="19.5">
      <c r="A36" s="1">
        <v>4</v>
      </c>
      <c r="B36" s="9" t="s">
        <v>11</v>
      </c>
      <c r="C36" s="1">
        <v>49</v>
      </c>
      <c r="D36" s="5">
        <f>Table15[[#This Row],[Enrolment S.Y. 2025-2026 ]]*8</f>
        <v>392</v>
      </c>
      <c r="E36" s="5">
        <v>9</v>
      </c>
      <c r="F36" s="1">
        <v>2024</v>
      </c>
      <c r="G36" s="5" t="s">
        <v>9</v>
      </c>
      <c r="H36" s="5">
        <f t="shared" si="2"/>
        <v>383</v>
      </c>
      <c r="I36" s="5">
        <f t="shared" si="3"/>
        <v>0</v>
      </c>
      <c r="J36" s="5">
        <f>Table15[[#This Row],[Enrolment S.Y. 2025-2026 ]]*8</f>
        <v>392</v>
      </c>
      <c r="K36" s="5"/>
      <c r="L36" s="1"/>
      <c r="M36" s="5"/>
      <c r="N36" s="5">
        <f t="shared" si="4"/>
        <v>392</v>
      </c>
      <c r="O36" s="5">
        <f t="shared" si="5"/>
        <v>0</v>
      </c>
      <c r="P36" s="5">
        <f>Table15[[#This Row],[Enrolment S.Y. 2025-2026 ]]*8</f>
        <v>392</v>
      </c>
      <c r="Q36" s="5"/>
      <c r="R36" s="1"/>
      <c r="S36" s="5"/>
      <c r="T36" s="5">
        <f t="shared" si="6"/>
        <v>392</v>
      </c>
      <c r="U36" s="5">
        <f t="shared" si="7"/>
        <v>0</v>
      </c>
      <c r="V36" s="5">
        <f>Table15[[#This Row],[Enrolment S.Y. 2025-2026 ]]*8</f>
        <v>392</v>
      </c>
      <c r="W36" s="5"/>
      <c r="X36" s="1"/>
      <c r="Y36" s="5"/>
      <c r="Z36" s="5">
        <f t="shared" si="8"/>
        <v>392</v>
      </c>
      <c r="AA36" s="5">
        <f t="shared" si="9"/>
        <v>0</v>
      </c>
    </row>
    <row r="37" spans="1:27" ht="38.25">
      <c r="A37" s="1">
        <v>4</v>
      </c>
      <c r="B37" s="9" t="s">
        <v>17</v>
      </c>
      <c r="C37" s="1">
        <v>49</v>
      </c>
      <c r="D37" s="5">
        <f>Table15[[#This Row],[Enrolment S.Y. 2025-2026 ]]*8</f>
        <v>392</v>
      </c>
      <c r="E37" s="5">
        <v>9</v>
      </c>
      <c r="F37" s="1">
        <v>2024</v>
      </c>
      <c r="G37" s="5" t="s">
        <v>9</v>
      </c>
      <c r="H37" s="5">
        <f t="shared" si="2"/>
        <v>383</v>
      </c>
      <c r="I37" s="5">
        <f t="shared" si="3"/>
        <v>0</v>
      </c>
      <c r="J37" s="5">
        <f>Table15[[#This Row],[Enrolment S.Y. 2025-2026 ]]*8</f>
        <v>392</v>
      </c>
      <c r="K37" s="5"/>
      <c r="L37" s="1"/>
      <c r="M37" s="5"/>
      <c r="N37" s="5">
        <f t="shared" si="4"/>
        <v>392</v>
      </c>
      <c r="O37" s="5">
        <f t="shared" si="5"/>
        <v>0</v>
      </c>
      <c r="P37" s="5">
        <f>Table15[[#This Row],[Enrolment S.Y. 2025-2026 ]]*8</f>
        <v>392</v>
      </c>
      <c r="Q37" s="5"/>
      <c r="R37" s="1"/>
      <c r="S37" s="5"/>
      <c r="T37" s="5">
        <f t="shared" si="6"/>
        <v>392</v>
      </c>
      <c r="U37" s="5">
        <f t="shared" si="7"/>
        <v>0</v>
      </c>
      <c r="V37" s="5">
        <f>Table15[[#This Row],[Enrolment S.Y. 2025-2026 ]]*8</f>
        <v>392</v>
      </c>
      <c r="W37" s="5"/>
      <c r="X37" s="1"/>
      <c r="Y37" s="5"/>
      <c r="Z37" s="5">
        <f t="shared" si="8"/>
        <v>392</v>
      </c>
      <c r="AA37" s="5">
        <f t="shared" si="9"/>
        <v>0</v>
      </c>
    </row>
    <row r="38" spans="1:27" ht="19.5">
      <c r="A38" s="1">
        <v>4</v>
      </c>
      <c r="B38" s="9" t="s">
        <v>14</v>
      </c>
      <c r="C38" s="1">
        <v>49</v>
      </c>
      <c r="D38" s="5">
        <f>Table15[[#This Row],[Enrolment S.Y. 2025-2026 ]]*8</f>
        <v>392</v>
      </c>
      <c r="E38" s="5">
        <v>9</v>
      </c>
      <c r="F38" s="1">
        <v>2024</v>
      </c>
      <c r="G38" s="5" t="s">
        <v>9</v>
      </c>
      <c r="H38" s="5">
        <f t="shared" si="2"/>
        <v>383</v>
      </c>
      <c r="I38" s="5">
        <f t="shared" si="3"/>
        <v>0</v>
      </c>
      <c r="J38" s="5">
        <f>Table15[[#This Row],[Enrolment S.Y. 2025-2026 ]]*8</f>
        <v>392</v>
      </c>
      <c r="K38" s="5"/>
      <c r="L38" s="1"/>
      <c r="M38" s="5"/>
      <c r="N38" s="5">
        <f t="shared" si="4"/>
        <v>392</v>
      </c>
      <c r="O38" s="5">
        <f t="shared" si="5"/>
        <v>0</v>
      </c>
      <c r="P38" s="5">
        <f>Table15[[#This Row],[Enrolment S.Y. 2025-2026 ]]*8</f>
        <v>392</v>
      </c>
      <c r="Q38" s="5"/>
      <c r="R38" s="1"/>
      <c r="S38" s="5"/>
      <c r="T38" s="5">
        <f t="shared" si="6"/>
        <v>392</v>
      </c>
      <c r="U38" s="5">
        <f t="shared" si="7"/>
        <v>0</v>
      </c>
      <c r="V38" s="5">
        <f>Table15[[#This Row],[Enrolment S.Y. 2025-2026 ]]*8</f>
        <v>392</v>
      </c>
      <c r="W38" s="5"/>
      <c r="X38" s="1"/>
      <c r="Y38" s="5"/>
      <c r="Z38" s="5">
        <f t="shared" si="8"/>
        <v>392</v>
      </c>
      <c r="AA38" s="5">
        <f t="shared" si="9"/>
        <v>0</v>
      </c>
    </row>
    <row r="39" spans="1:27" ht="19.5">
      <c r="A39" s="1">
        <v>4</v>
      </c>
      <c r="B39" s="9" t="s">
        <v>18</v>
      </c>
      <c r="C39" s="1">
        <v>49</v>
      </c>
      <c r="D39" s="5">
        <f>Table15[[#This Row],[Enrolment S.Y. 2025-2026 ]]*8</f>
        <v>392</v>
      </c>
      <c r="E39" s="5">
        <v>57</v>
      </c>
      <c r="F39" s="1">
        <v>2024</v>
      </c>
      <c r="G39" s="5" t="s">
        <v>9</v>
      </c>
      <c r="H39" s="5">
        <f t="shared" si="2"/>
        <v>335</v>
      </c>
      <c r="I39" s="5">
        <f t="shared" si="3"/>
        <v>0</v>
      </c>
      <c r="J39" s="5">
        <f>Table15[[#This Row],[Enrolment S.Y. 2025-2026 ]]*8</f>
        <v>392</v>
      </c>
      <c r="K39" s="5"/>
      <c r="L39" s="1"/>
      <c r="M39" s="5"/>
      <c r="N39" s="5">
        <f t="shared" si="4"/>
        <v>392</v>
      </c>
      <c r="O39" s="5">
        <f t="shared" si="5"/>
        <v>0</v>
      </c>
      <c r="P39" s="5">
        <f>Table15[[#This Row],[Enrolment S.Y. 2025-2026 ]]*8</f>
        <v>392</v>
      </c>
      <c r="Q39" s="5"/>
      <c r="R39" s="1"/>
      <c r="S39" s="5"/>
      <c r="T39" s="5">
        <f t="shared" si="6"/>
        <v>392</v>
      </c>
      <c r="U39" s="5">
        <f t="shared" si="7"/>
        <v>0</v>
      </c>
      <c r="V39" s="5">
        <f>Table15[[#This Row],[Enrolment S.Y. 2025-2026 ]]*8</f>
        <v>392</v>
      </c>
      <c r="W39" s="5"/>
      <c r="X39" s="1"/>
      <c r="Y39" s="5"/>
      <c r="Z39" s="5">
        <f t="shared" si="8"/>
        <v>392</v>
      </c>
      <c r="AA39" s="5">
        <f t="shared" si="9"/>
        <v>0</v>
      </c>
    </row>
    <row r="40" spans="1:27" ht="19.5">
      <c r="A40" s="1">
        <v>4</v>
      </c>
      <c r="B40" s="9" t="s">
        <v>19</v>
      </c>
      <c r="C40" s="1">
        <v>49</v>
      </c>
      <c r="D40" s="5">
        <f>Table15[[#This Row],[Enrolment S.Y. 2025-2026 ]]*8</f>
        <v>392</v>
      </c>
      <c r="E40" s="5">
        <f>9+57</f>
        <v>66</v>
      </c>
      <c r="F40" s="1">
        <v>2024</v>
      </c>
      <c r="G40" s="5" t="s">
        <v>9</v>
      </c>
      <c r="H40" s="5">
        <f t="shared" si="2"/>
        <v>326</v>
      </c>
      <c r="I40" s="5">
        <f t="shared" si="3"/>
        <v>0</v>
      </c>
      <c r="J40" s="5">
        <f>Table15[[#This Row],[Enrolment S.Y. 2025-2026 ]]*8</f>
        <v>392</v>
      </c>
      <c r="K40" s="5"/>
      <c r="L40" s="1"/>
      <c r="M40" s="5"/>
      <c r="N40" s="5">
        <f t="shared" si="4"/>
        <v>392</v>
      </c>
      <c r="O40" s="5">
        <f t="shared" si="5"/>
        <v>0</v>
      </c>
      <c r="P40" s="5">
        <f>Table15[[#This Row],[Enrolment S.Y. 2025-2026 ]]*8</f>
        <v>392</v>
      </c>
      <c r="Q40" s="5"/>
      <c r="R40" s="1"/>
      <c r="S40" s="5"/>
      <c r="T40" s="5">
        <f t="shared" si="6"/>
        <v>392</v>
      </c>
      <c r="U40" s="5">
        <f t="shared" si="7"/>
        <v>0</v>
      </c>
      <c r="V40" s="5">
        <f>Table15[[#This Row],[Enrolment S.Y. 2025-2026 ]]*8</f>
        <v>392</v>
      </c>
      <c r="W40" s="5"/>
      <c r="X40" s="1"/>
      <c r="Y40" s="5"/>
      <c r="Z40" s="5">
        <f t="shared" si="8"/>
        <v>392</v>
      </c>
      <c r="AA40" s="5">
        <f t="shared" si="9"/>
        <v>0</v>
      </c>
    </row>
    <row r="41" spans="1:27" ht="19.5">
      <c r="A41" s="1">
        <v>4</v>
      </c>
      <c r="B41" s="9" t="s">
        <v>20</v>
      </c>
      <c r="C41" s="1">
        <v>49</v>
      </c>
      <c r="D41" s="5">
        <f>Table15[[#This Row],[Enrolment S.Y. 2025-2026 ]]*8</f>
        <v>392</v>
      </c>
      <c r="E41" s="5">
        <v>9</v>
      </c>
      <c r="F41" s="1">
        <v>2024</v>
      </c>
      <c r="G41" s="5" t="s">
        <v>9</v>
      </c>
      <c r="H41" s="5">
        <f t="shared" si="2"/>
        <v>383</v>
      </c>
      <c r="I41" s="5">
        <f t="shared" si="3"/>
        <v>0</v>
      </c>
      <c r="J41" s="5">
        <f>Table15[[#This Row],[Enrolment S.Y. 2025-2026 ]]*8</f>
        <v>392</v>
      </c>
      <c r="K41" s="5"/>
      <c r="L41" s="1"/>
      <c r="M41" s="5"/>
      <c r="N41" s="5">
        <f t="shared" si="4"/>
        <v>392</v>
      </c>
      <c r="O41" s="5">
        <f t="shared" si="5"/>
        <v>0</v>
      </c>
      <c r="P41" s="5">
        <f>Table15[[#This Row],[Enrolment S.Y. 2025-2026 ]]*8</f>
        <v>392</v>
      </c>
      <c r="Q41" s="5"/>
      <c r="R41" s="1"/>
      <c r="S41" s="5"/>
      <c r="T41" s="5">
        <f t="shared" si="6"/>
        <v>392</v>
      </c>
      <c r="U41" s="5">
        <f t="shared" si="7"/>
        <v>0</v>
      </c>
      <c r="V41" s="5">
        <f>Table15[[#This Row],[Enrolment S.Y. 2025-2026 ]]*8</f>
        <v>392</v>
      </c>
      <c r="W41" s="5"/>
      <c r="X41" s="1"/>
      <c r="Y41" s="5"/>
      <c r="Z41" s="5">
        <f t="shared" si="8"/>
        <v>392</v>
      </c>
      <c r="AA41" s="5">
        <f t="shared" si="9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56</v>
      </c>
      <c r="D43" s="5">
        <f>Table15[[#This Row],[Enrolment S.Y. 2025-2026 ]]*8</f>
        <v>448</v>
      </c>
      <c r="E43" s="5"/>
      <c r="F43" s="1"/>
      <c r="G43" s="5"/>
      <c r="H43" s="5">
        <f t="shared" si="2"/>
        <v>448</v>
      </c>
      <c r="I43" s="5">
        <f t="shared" si="3"/>
        <v>0</v>
      </c>
      <c r="J43" s="5">
        <f>Table15[[#This Row],[Enrolment S.Y. 2025-2026 ]]*8</f>
        <v>448</v>
      </c>
      <c r="K43" s="5"/>
      <c r="L43" s="1"/>
      <c r="M43" s="5"/>
      <c r="N43" s="5">
        <f t="shared" si="4"/>
        <v>448</v>
      </c>
      <c r="O43" s="5">
        <f t="shared" si="5"/>
        <v>0</v>
      </c>
      <c r="P43" s="5">
        <f>Table15[[#This Row],[Enrolment S.Y. 2025-2026 ]]*8</f>
        <v>448</v>
      </c>
      <c r="Q43" s="5"/>
      <c r="R43" s="1"/>
      <c r="S43" s="5"/>
      <c r="T43" s="5">
        <f t="shared" si="6"/>
        <v>448</v>
      </c>
      <c r="U43" s="5">
        <f t="shared" si="7"/>
        <v>0</v>
      </c>
      <c r="V43" s="5">
        <f>Table15[[#This Row],[Enrolment S.Y. 2025-2026 ]]*8</f>
        <v>448</v>
      </c>
      <c r="W43" s="5"/>
      <c r="X43" s="1"/>
      <c r="Y43" s="5"/>
      <c r="Z43" s="5">
        <f t="shared" si="8"/>
        <v>448</v>
      </c>
      <c r="AA43" s="5">
        <f t="shared" si="9"/>
        <v>0</v>
      </c>
    </row>
    <row r="44" spans="1:27" ht="19.5">
      <c r="A44" s="1">
        <v>5</v>
      </c>
      <c r="B44" s="9" t="s">
        <v>16</v>
      </c>
      <c r="C44" s="1">
        <v>56</v>
      </c>
      <c r="D44" s="5">
        <f>Table15[[#This Row],[Enrolment S.Y. 2025-2026 ]]*8</f>
        <v>448</v>
      </c>
      <c r="E44" s="5"/>
      <c r="F44" s="1"/>
      <c r="G44" s="5"/>
      <c r="H44" s="5">
        <f t="shared" si="2"/>
        <v>448</v>
      </c>
      <c r="I44" s="5">
        <f t="shared" si="3"/>
        <v>0</v>
      </c>
      <c r="J44" s="5">
        <f>Table15[[#This Row],[Enrolment S.Y. 2025-2026 ]]*8</f>
        <v>448</v>
      </c>
      <c r="K44" s="5"/>
      <c r="L44" s="1"/>
      <c r="M44" s="5"/>
      <c r="N44" s="5">
        <f t="shared" si="4"/>
        <v>448</v>
      </c>
      <c r="O44" s="5">
        <f t="shared" si="5"/>
        <v>0</v>
      </c>
      <c r="P44" s="5">
        <f>Table15[[#This Row],[Enrolment S.Y. 2025-2026 ]]*8</f>
        <v>448</v>
      </c>
      <c r="Q44" s="5"/>
      <c r="R44" s="1"/>
      <c r="S44" s="5"/>
      <c r="T44" s="5">
        <f t="shared" si="6"/>
        <v>448</v>
      </c>
      <c r="U44" s="5">
        <f t="shared" si="7"/>
        <v>0</v>
      </c>
      <c r="V44" s="5">
        <f>Table15[[#This Row],[Enrolment S.Y. 2025-2026 ]]*8</f>
        <v>448</v>
      </c>
      <c r="W44" s="5"/>
      <c r="X44" s="1"/>
      <c r="Y44" s="5"/>
      <c r="Z44" s="5">
        <f t="shared" si="8"/>
        <v>448</v>
      </c>
      <c r="AA44" s="5">
        <f t="shared" si="9"/>
        <v>0</v>
      </c>
    </row>
    <row r="45" spans="1:27" ht="19.5">
      <c r="A45" s="1">
        <v>5</v>
      </c>
      <c r="B45" s="9" t="s">
        <v>13</v>
      </c>
      <c r="C45" s="1">
        <v>56</v>
      </c>
      <c r="D45" s="5">
        <f>Table15[[#This Row],[Enrolment S.Y. 2025-2026 ]]*8</f>
        <v>448</v>
      </c>
      <c r="E45" s="5"/>
      <c r="F45" s="1"/>
      <c r="G45" s="5"/>
      <c r="H45" s="5">
        <f t="shared" si="2"/>
        <v>448</v>
      </c>
      <c r="I45" s="5">
        <f t="shared" si="3"/>
        <v>0</v>
      </c>
      <c r="J45" s="5">
        <f>Table15[[#This Row],[Enrolment S.Y. 2025-2026 ]]*8</f>
        <v>448</v>
      </c>
      <c r="K45" s="5"/>
      <c r="L45" s="1"/>
      <c r="M45" s="5"/>
      <c r="N45" s="5">
        <f t="shared" si="4"/>
        <v>448</v>
      </c>
      <c r="O45" s="5">
        <f t="shared" si="5"/>
        <v>0</v>
      </c>
      <c r="P45" s="5">
        <f>Table15[[#This Row],[Enrolment S.Y. 2025-2026 ]]*8</f>
        <v>448</v>
      </c>
      <c r="Q45" s="5"/>
      <c r="R45" s="1"/>
      <c r="S45" s="5"/>
      <c r="T45" s="5">
        <f t="shared" si="6"/>
        <v>448</v>
      </c>
      <c r="U45" s="5">
        <f t="shared" si="7"/>
        <v>0</v>
      </c>
      <c r="V45" s="5">
        <f>Table15[[#This Row],[Enrolment S.Y. 2025-2026 ]]*8</f>
        <v>448</v>
      </c>
      <c r="W45" s="5"/>
      <c r="X45" s="1"/>
      <c r="Y45" s="5"/>
      <c r="Z45" s="5">
        <f t="shared" si="8"/>
        <v>448</v>
      </c>
      <c r="AA45" s="5">
        <f t="shared" si="9"/>
        <v>0</v>
      </c>
    </row>
    <row r="46" spans="1:27" ht="19.5">
      <c r="A46" s="1">
        <v>5</v>
      </c>
      <c r="B46" s="9" t="s">
        <v>11</v>
      </c>
      <c r="C46" s="1">
        <v>56</v>
      </c>
      <c r="D46" s="5">
        <f>Table15[[#This Row],[Enrolment S.Y. 2025-2026 ]]*8</f>
        <v>448</v>
      </c>
      <c r="E46" s="5"/>
      <c r="F46" s="1"/>
      <c r="G46" s="5"/>
      <c r="H46" s="5">
        <f t="shared" si="2"/>
        <v>448</v>
      </c>
      <c r="I46" s="5">
        <f t="shared" si="3"/>
        <v>0</v>
      </c>
      <c r="J46" s="5">
        <f>Table15[[#This Row],[Enrolment S.Y. 2025-2026 ]]*8</f>
        <v>448</v>
      </c>
      <c r="K46" s="5"/>
      <c r="L46" s="1"/>
      <c r="M46" s="5"/>
      <c r="N46" s="5">
        <f t="shared" si="4"/>
        <v>448</v>
      </c>
      <c r="O46" s="5">
        <f t="shared" si="5"/>
        <v>0</v>
      </c>
      <c r="P46" s="5">
        <f>Table15[[#This Row],[Enrolment S.Y. 2025-2026 ]]*8</f>
        <v>448</v>
      </c>
      <c r="Q46" s="5"/>
      <c r="R46" s="1"/>
      <c r="S46" s="5"/>
      <c r="T46" s="5">
        <f t="shared" si="6"/>
        <v>448</v>
      </c>
      <c r="U46" s="5">
        <f t="shared" si="7"/>
        <v>0</v>
      </c>
      <c r="V46" s="5">
        <f>Table15[[#This Row],[Enrolment S.Y. 2025-2026 ]]*8</f>
        <v>448</v>
      </c>
      <c r="W46" s="5"/>
      <c r="X46" s="1"/>
      <c r="Y46" s="5"/>
      <c r="Z46" s="5">
        <f t="shared" si="8"/>
        <v>448</v>
      </c>
      <c r="AA46" s="5">
        <f t="shared" si="9"/>
        <v>0</v>
      </c>
    </row>
    <row r="47" spans="1:27" ht="38.25">
      <c r="A47" s="1">
        <v>5</v>
      </c>
      <c r="B47" s="9" t="s">
        <v>17</v>
      </c>
      <c r="C47" s="1">
        <v>56</v>
      </c>
      <c r="D47" s="5">
        <f>Table15[[#This Row],[Enrolment S.Y. 2025-2026 ]]*8</f>
        <v>448</v>
      </c>
      <c r="E47" s="5"/>
      <c r="F47" s="1"/>
      <c r="G47" s="5"/>
      <c r="H47" s="5">
        <f t="shared" si="2"/>
        <v>448</v>
      </c>
      <c r="I47" s="5">
        <f t="shared" si="3"/>
        <v>0</v>
      </c>
      <c r="J47" s="5">
        <f>Table15[[#This Row],[Enrolment S.Y. 2025-2026 ]]*8</f>
        <v>448</v>
      </c>
      <c r="K47" s="5"/>
      <c r="L47" s="1"/>
      <c r="M47" s="5"/>
      <c r="N47" s="5">
        <f t="shared" si="4"/>
        <v>448</v>
      </c>
      <c r="O47" s="5">
        <f t="shared" si="5"/>
        <v>0</v>
      </c>
      <c r="P47" s="5">
        <f>Table15[[#This Row],[Enrolment S.Y. 2025-2026 ]]*8</f>
        <v>448</v>
      </c>
      <c r="Q47" s="5"/>
      <c r="R47" s="1"/>
      <c r="S47" s="5"/>
      <c r="T47" s="5">
        <f t="shared" si="6"/>
        <v>448</v>
      </c>
      <c r="U47" s="5">
        <f t="shared" si="7"/>
        <v>0</v>
      </c>
      <c r="V47" s="5">
        <f>Table15[[#This Row],[Enrolment S.Y. 2025-2026 ]]*8</f>
        <v>448</v>
      </c>
      <c r="W47" s="5"/>
      <c r="X47" s="1"/>
      <c r="Y47" s="5"/>
      <c r="Z47" s="5">
        <f t="shared" si="8"/>
        <v>448</v>
      </c>
      <c r="AA47" s="5">
        <f t="shared" si="9"/>
        <v>0</v>
      </c>
    </row>
    <row r="48" spans="1:27" ht="19.5">
      <c r="A48" s="1">
        <v>5</v>
      </c>
      <c r="B48" s="9" t="s">
        <v>14</v>
      </c>
      <c r="C48" s="1">
        <v>56</v>
      </c>
      <c r="D48" s="5">
        <f>Table15[[#This Row],[Enrolment S.Y. 2025-2026 ]]*8</f>
        <v>448</v>
      </c>
      <c r="E48" s="5"/>
      <c r="F48" s="1"/>
      <c r="G48" s="5"/>
      <c r="H48" s="5">
        <f t="shared" si="2"/>
        <v>448</v>
      </c>
      <c r="I48" s="5">
        <f t="shared" si="3"/>
        <v>0</v>
      </c>
      <c r="J48" s="5">
        <f>Table15[[#This Row],[Enrolment S.Y. 2025-2026 ]]*8</f>
        <v>448</v>
      </c>
      <c r="K48" s="5"/>
      <c r="L48" s="1"/>
      <c r="M48" s="5"/>
      <c r="N48" s="5">
        <f t="shared" si="4"/>
        <v>448</v>
      </c>
      <c r="O48" s="5">
        <f t="shared" si="5"/>
        <v>0</v>
      </c>
      <c r="P48" s="5">
        <f>Table15[[#This Row],[Enrolment S.Y. 2025-2026 ]]*8</f>
        <v>448</v>
      </c>
      <c r="Q48" s="5"/>
      <c r="R48" s="1"/>
      <c r="S48" s="5"/>
      <c r="T48" s="5">
        <f t="shared" si="6"/>
        <v>448</v>
      </c>
      <c r="U48" s="5">
        <f t="shared" si="7"/>
        <v>0</v>
      </c>
      <c r="V48" s="5">
        <f>Table15[[#This Row],[Enrolment S.Y. 2025-2026 ]]*8</f>
        <v>448</v>
      </c>
      <c r="W48" s="5"/>
      <c r="X48" s="1"/>
      <c r="Y48" s="5"/>
      <c r="Z48" s="5">
        <f t="shared" si="8"/>
        <v>448</v>
      </c>
      <c r="AA48" s="5">
        <f t="shared" si="9"/>
        <v>0</v>
      </c>
    </row>
    <row r="49" spans="1:27" ht="19.5">
      <c r="A49" s="1">
        <v>5</v>
      </c>
      <c r="B49" s="9" t="s">
        <v>18</v>
      </c>
      <c r="C49" s="1">
        <v>56</v>
      </c>
      <c r="D49" s="5">
        <f>Table15[[#This Row],[Enrolment S.Y. 2025-2026 ]]*8</f>
        <v>448</v>
      </c>
      <c r="E49" s="5"/>
      <c r="F49" s="1"/>
      <c r="G49" s="5"/>
      <c r="H49" s="5">
        <f t="shared" si="2"/>
        <v>448</v>
      </c>
      <c r="I49" s="5">
        <f t="shared" si="3"/>
        <v>0</v>
      </c>
      <c r="J49" s="5">
        <f>Table15[[#This Row],[Enrolment S.Y. 2025-2026 ]]*8</f>
        <v>448</v>
      </c>
      <c r="K49" s="5"/>
      <c r="L49" s="1"/>
      <c r="M49" s="5"/>
      <c r="N49" s="5">
        <f t="shared" si="4"/>
        <v>448</v>
      </c>
      <c r="O49" s="5">
        <f t="shared" si="5"/>
        <v>0</v>
      </c>
      <c r="P49" s="5">
        <f>Table15[[#This Row],[Enrolment S.Y. 2025-2026 ]]*8</f>
        <v>448</v>
      </c>
      <c r="Q49" s="5"/>
      <c r="R49" s="1"/>
      <c r="S49" s="5"/>
      <c r="T49" s="5">
        <f t="shared" si="6"/>
        <v>448</v>
      </c>
      <c r="U49" s="5">
        <f t="shared" si="7"/>
        <v>0</v>
      </c>
      <c r="V49" s="5">
        <f>Table15[[#This Row],[Enrolment S.Y. 2025-2026 ]]*8</f>
        <v>448</v>
      </c>
      <c r="W49" s="5"/>
      <c r="X49" s="1"/>
      <c r="Y49" s="5"/>
      <c r="Z49" s="5">
        <f t="shared" si="8"/>
        <v>448</v>
      </c>
      <c r="AA49" s="5">
        <f t="shared" si="9"/>
        <v>0</v>
      </c>
    </row>
    <row r="50" spans="1:27" ht="19.5">
      <c r="A50" s="1">
        <v>5</v>
      </c>
      <c r="B50" s="9" t="s">
        <v>19</v>
      </c>
      <c r="C50" s="1">
        <v>56</v>
      </c>
      <c r="D50" s="5">
        <f>Table15[[#This Row],[Enrolment S.Y. 2025-2026 ]]*8</f>
        <v>448</v>
      </c>
      <c r="E50" s="5"/>
      <c r="F50" s="1"/>
      <c r="G50" s="5"/>
      <c r="H50" s="5">
        <f t="shared" si="2"/>
        <v>448</v>
      </c>
      <c r="I50" s="5">
        <f t="shared" si="3"/>
        <v>0</v>
      </c>
      <c r="J50" s="5">
        <f>Table15[[#This Row],[Enrolment S.Y. 2025-2026 ]]*8</f>
        <v>448</v>
      </c>
      <c r="K50" s="5"/>
      <c r="L50" s="1"/>
      <c r="M50" s="5"/>
      <c r="N50" s="5">
        <f t="shared" si="4"/>
        <v>448</v>
      </c>
      <c r="O50" s="5">
        <f t="shared" si="5"/>
        <v>0</v>
      </c>
      <c r="P50" s="5">
        <f>Table15[[#This Row],[Enrolment S.Y. 2025-2026 ]]*8</f>
        <v>448</v>
      </c>
      <c r="Q50" s="5"/>
      <c r="R50" s="1"/>
      <c r="S50" s="5"/>
      <c r="T50" s="5">
        <f t="shared" si="6"/>
        <v>448</v>
      </c>
      <c r="U50" s="5">
        <f t="shared" si="7"/>
        <v>0</v>
      </c>
      <c r="V50" s="5">
        <f>Table15[[#This Row],[Enrolment S.Y. 2025-2026 ]]*8</f>
        <v>448</v>
      </c>
      <c r="W50" s="5"/>
      <c r="X50" s="1"/>
      <c r="Y50" s="5"/>
      <c r="Z50" s="5">
        <f t="shared" si="8"/>
        <v>448</v>
      </c>
      <c r="AA50" s="5">
        <f t="shared" si="9"/>
        <v>0</v>
      </c>
    </row>
    <row r="51" spans="1:27" ht="19.5">
      <c r="A51" s="1">
        <v>5</v>
      </c>
      <c r="B51" s="9" t="s">
        <v>20</v>
      </c>
      <c r="C51" s="1">
        <v>56</v>
      </c>
      <c r="D51" s="5">
        <f>Table15[[#This Row],[Enrolment S.Y. 2025-2026 ]]*8</f>
        <v>448</v>
      </c>
      <c r="E51" s="5"/>
      <c r="F51" s="1"/>
      <c r="G51" s="5"/>
      <c r="H51" s="5">
        <f t="shared" si="2"/>
        <v>448</v>
      </c>
      <c r="I51" s="5">
        <f t="shared" si="3"/>
        <v>0</v>
      </c>
      <c r="J51" s="5">
        <f>Table15[[#This Row],[Enrolment S.Y. 2025-2026 ]]*8</f>
        <v>448</v>
      </c>
      <c r="K51" s="5"/>
      <c r="L51" s="1"/>
      <c r="M51" s="5"/>
      <c r="N51" s="5">
        <f t="shared" si="4"/>
        <v>448</v>
      </c>
      <c r="O51" s="5">
        <f t="shared" si="5"/>
        <v>0</v>
      </c>
      <c r="P51" s="5">
        <f>Table15[[#This Row],[Enrolment S.Y. 2025-2026 ]]*8</f>
        <v>448</v>
      </c>
      <c r="Q51" s="5"/>
      <c r="R51" s="1"/>
      <c r="S51" s="5"/>
      <c r="T51" s="5">
        <f t="shared" si="6"/>
        <v>448</v>
      </c>
      <c r="U51" s="5">
        <f t="shared" si="7"/>
        <v>0</v>
      </c>
      <c r="V51" s="5">
        <f>Table15[[#This Row],[Enrolment S.Y. 2025-2026 ]]*8</f>
        <v>448</v>
      </c>
      <c r="W51" s="5"/>
      <c r="X51" s="1"/>
      <c r="Y51" s="5"/>
      <c r="Z51" s="5">
        <f t="shared" si="8"/>
        <v>448</v>
      </c>
      <c r="AA51" s="5">
        <f t="shared" si="9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51</v>
      </c>
      <c r="D53" s="5">
        <f>Table15[[#This Row],[Enrolment S.Y. 2025-2026 ]]*8</f>
        <v>408</v>
      </c>
      <c r="E53" s="5"/>
      <c r="F53" s="1"/>
      <c r="G53" s="5"/>
      <c r="H53" s="5">
        <f t="shared" si="2"/>
        <v>408</v>
      </c>
      <c r="I53" s="5">
        <f t="shared" si="3"/>
        <v>0</v>
      </c>
      <c r="J53" s="5">
        <f>Table15[[#This Row],[Enrolment S.Y. 2025-2026 ]]*8</f>
        <v>408</v>
      </c>
      <c r="K53" s="5"/>
      <c r="L53" s="1"/>
      <c r="M53" s="5"/>
      <c r="N53" s="5">
        <f t="shared" si="4"/>
        <v>408</v>
      </c>
      <c r="O53" s="5">
        <f t="shared" si="5"/>
        <v>0</v>
      </c>
      <c r="P53" s="5">
        <f>Table15[[#This Row],[Enrolment S.Y. 2025-2026 ]]*8</f>
        <v>408</v>
      </c>
      <c r="Q53" s="5"/>
      <c r="R53" s="1"/>
      <c r="S53" s="5"/>
      <c r="T53" s="5">
        <f t="shared" si="6"/>
        <v>408</v>
      </c>
      <c r="U53" s="5">
        <f t="shared" si="7"/>
        <v>0</v>
      </c>
      <c r="V53" s="5">
        <f>Table15[[#This Row],[Enrolment S.Y. 2025-2026 ]]*8</f>
        <v>408</v>
      </c>
      <c r="W53" s="5"/>
      <c r="X53" s="1"/>
      <c r="Y53" s="5"/>
      <c r="Z53" s="5">
        <f t="shared" si="8"/>
        <v>408</v>
      </c>
      <c r="AA53" s="5">
        <f t="shared" si="9"/>
        <v>0</v>
      </c>
    </row>
    <row r="54" spans="1:27" ht="19.5">
      <c r="A54" s="1">
        <v>6</v>
      </c>
      <c r="B54" s="9" t="s">
        <v>16</v>
      </c>
      <c r="C54" s="1">
        <v>51</v>
      </c>
      <c r="D54" s="5">
        <f>Table15[[#This Row],[Enrolment S.Y. 2025-2026 ]]*8</f>
        <v>408</v>
      </c>
      <c r="E54" s="5"/>
      <c r="F54" s="1"/>
      <c r="G54" s="5"/>
      <c r="H54" s="5">
        <f t="shared" si="2"/>
        <v>408</v>
      </c>
      <c r="I54" s="5">
        <f t="shared" si="3"/>
        <v>0</v>
      </c>
      <c r="J54" s="5">
        <f>Table15[[#This Row],[Enrolment S.Y. 2025-2026 ]]*8</f>
        <v>408</v>
      </c>
      <c r="K54" s="5"/>
      <c r="L54" s="1"/>
      <c r="M54" s="5"/>
      <c r="N54" s="5">
        <f t="shared" si="4"/>
        <v>408</v>
      </c>
      <c r="O54" s="5">
        <f t="shared" si="5"/>
        <v>0</v>
      </c>
      <c r="P54" s="5">
        <f>Table15[[#This Row],[Enrolment S.Y. 2025-2026 ]]*8</f>
        <v>408</v>
      </c>
      <c r="Q54" s="5"/>
      <c r="R54" s="1"/>
      <c r="S54" s="5"/>
      <c r="T54" s="5">
        <f t="shared" si="6"/>
        <v>408</v>
      </c>
      <c r="U54" s="5">
        <f t="shared" si="7"/>
        <v>0</v>
      </c>
      <c r="V54" s="5">
        <f>Table15[[#This Row],[Enrolment S.Y. 2025-2026 ]]*8</f>
        <v>408</v>
      </c>
      <c r="W54" s="5"/>
      <c r="X54" s="1"/>
      <c r="Y54" s="5"/>
      <c r="Z54" s="5">
        <f t="shared" si="8"/>
        <v>408</v>
      </c>
      <c r="AA54" s="5">
        <f t="shared" si="9"/>
        <v>0</v>
      </c>
    </row>
    <row r="55" spans="1:27" ht="19.5">
      <c r="A55" s="1">
        <v>6</v>
      </c>
      <c r="B55" s="9" t="s">
        <v>13</v>
      </c>
      <c r="C55" s="1">
        <v>51</v>
      </c>
      <c r="D55" s="5">
        <f>Table15[[#This Row],[Enrolment S.Y. 2025-2026 ]]*8</f>
        <v>408</v>
      </c>
      <c r="E55" s="5"/>
      <c r="F55" s="1"/>
      <c r="G55" s="5"/>
      <c r="H55" s="5">
        <f t="shared" si="2"/>
        <v>408</v>
      </c>
      <c r="I55" s="5">
        <f t="shared" si="3"/>
        <v>0</v>
      </c>
      <c r="J55" s="5">
        <f>Table15[[#This Row],[Enrolment S.Y. 2025-2026 ]]*8</f>
        <v>408</v>
      </c>
      <c r="K55" s="5"/>
      <c r="L55" s="1"/>
      <c r="M55" s="5"/>
      <c r="N55" s="5">
        <f t="shared" si="4"/>
        <v>408</v>
      </c>
      <c r="O55" s="5">
        <f t="shared" si="5"/>
        <v>0</v>
      </c>
      <c r="P55" s="5">
        <f>Table15[[#This Row],[Enrolment S.Y. 2025-2026 ]]*8</f>
        <v>408</v>
      </c>
      <c r="Q55" s="5"/>
      <c r="R55" s="1"/>
      <c r="S55" s="5"/>
      <c r="T55" s="5">
        <f t="shared" si="6"/>
        <v>408</v>
      </c>
      <c r="U55" s="5">
        <f t="shared" si="7"/>
        <v>0</v>
      </c>
      <c r="V55" s="5">
        <f>Table15[[#This Row],[Enrolment S.Y. 2025-2026 ]]*8</f>
        <v>408</v>
      </c>
      <c r="W55" s="5"/>
      <c r="X55" s="1"/>
      <c r="Y55" s="5"/>
      <c r="Z55" s="5">
        <f t="shared" si="8"/>
        <v>408</v>
      </c>
      <c r="AA55" s="5">
        <f t="shared" si="9"/>
        <v>0</v>
      </c>
    </row>
    <row r="56" spans="1:27" ht="19.5">
      <c r="A56" s="1">
        <v>6</v>
      </c>
      <c r="B56" s="9" t="s">
        <v>11</v>
      </c>
      <c r="C56" s="1">
        <v>51</v>
      </c>
      <c r="D56" s="5">
        <f>Table15[[#This Row],[Enrolment S.Y. 2025-2026 ]]*8</f>
        <v>408</v>
      </c>
      <c r="E56" s="5"/>
      <c r="F56" s="1"/>
      <c r="G56" s="5"/>
      <c r="H56" s="5">
        <f t="shared" si="2"/>
        <v>408</v>
      </c>
      <c r="I56" s="5">
        <f t="shared" si="3"/>
        <v>0</v>
      </c>
      <c r="J56" s="5">
        <f>Table15[[#This Row],[Enrolment S.Y. 2025-2026 ]]*8</f>
        <v>408</v>
      </c>
      <c r="K56" s="5"/>
      <c r="L56" s="1"/>
      <c r="M56" s="5"/>
      <c r="N56" s="5">
        <f t="shared" si="4"/>
        <v>408</v>
      </c>
      <c r="O56" s="5">
        <f t="shared" si="5"/>
        <v>0</v>
      </c>
      <c r="P56" s="5">
        <f>Table15[[#This Row],[Enrolment S.Y. 2025-2026 ]]*8</f>
        <v>408</v>
      </c>
      <c r="Q56" s="5"/>
      <c r="R56" s="1"/>
      <c r="S56" s="5"/>
      <c r="T56" s="5">
        <f t="shared" si="6"/>
        <v>408</v>
      </c>
      <c r="U56" s="5">
        <f t="shared" si="7"/>
        <v>0</v>
      </c>
      <c r="V56" s="5">
        <f>Table15[[#This Row],[Enrolment S.Y. 2025-2026 ]]*8</f>
        <v>408</v>
      </c>
      <c r="W56" s="5"/>
      <c r="X56" s="1"/>
      <c r="Y56" s="5"/>
      <c r="Z56" s="5">
        <f t="shared" si="8"/>
        <v>408</v>
      </c>
      <c r="AA56" s="5">
        <f t="shared" si="9"/>
        <v>0</v>
      </c>
    </row>
    <row r="57" spans="1:27" ht="38.25">
      <c r="A57" s="1">
        <v>6</v>
      </c>
      <c r="B57" s="9" t="s">
        <v>17</v>
      </c>
      <c r="C57" s="1">
        <v>51</v>
      </c>
      <c r="D57" s="5">
        <f>Table15[[#This Row],[Enrolment S.Y. 2025-2026 ]]*8</f>
        <v>408</v>
      </c>
      <c r="E57" s="5"/>
      <c r="F57" s="1"/>
      <c r="G57" s="5"/>
      <c r="H57" s="5">
        <f t="shared" si="2"/>
        <v>408</v>
      </c>
      <c r="I57" s="5">
        <f t="shared" si="3"/>
        <v>0</v>
      </c>
      <c r="J57" s="5">
        <f>Table15[[#This Row],[Enrolment S.Y. 2025-2026 ]]*8</f>
        <v>408</v>
      </c>
      <c r="K57" s="5"/>
      <c r="L57" s="1"/>
      <c r="M57" s="5"/>
      <c r="N57" s="5">
        <f t="shared" si="4"/>
        <v>408</v>
      </c>
      <c r="O57" s="5">
        <f t="shared" si="5"/>
        <v>0</v>
      </c>
      <c r="P57" s="5">
        <f>Table15[[#This Row],[Enrolment S.Y. 2025-2026 ]]*8</f>
        <v>408</v>
      </c>
      <c r="Q57" s="5"/>
      <c r="R57" s="1"/>
      <c r="S57" s="5"/>
      <c r="T57" s="5">
        <f t="shared" si="6"/>
        <v>408</v>
      </c>
      <c r="U57" s="5">
        <f t="shared" si="7"/>
        <v>0</v>
      </c>
      <c r="V57" s="5">
        <f>Table15[[#This Row],[Enrolment S.Y. 2025-2026 ]]*8</f>
        <v>408</v>
      </c>
      <c r="W57" s="5"/>
      <c r="X57" s="1"/>
      <c r="Y57" s="5"/>
      <c r="Z57" s="5">
        <f t="shared" si="8"/>
        <v>408</v>
      </c>
      <c r="AA57" s="5">
        <f t="shared" si="9"/>
        <v>0</v>
      </c>
    </row>
    <row r="58" spans="1:27" ht="19.5">
      <c r="A58" s="1">
        <v>6</v>
      </c>
      <c r="B58" s="9" t="s">
        <v>14</v>
      </c>
      <c r="C58" s="1">
        <v>51</v>
      </c>
      <c r="D58" s="5">
        <f>Table15[[#This Row],[Enrolment S.Y. 2025-2026 ]]*8</f>
        <v>408</v>
      </c>
      <c r="E58" s="5"/>
      <c r="F58" s="1"/>
      <c r="G58" s="5"/>
      <c r="H58" s="5">
        <f t="shared" si="2"/>
        <v>408</v>
      </c>
      <c r="I58" s="5">
        <f t="shared" si="3"/>
        <v>0</v>
      </c>
      <c r="J58" s="5">
        <f>Table15[[#This Row],[Enrolment S.Y. 2025-2026 ]]*8</f>
        <v>408</v>
      </c>
      <c r="K58" s="5"/>
      <c r="L58" s="1"/>
      <c r="M58" s="5"/>
      <c r="N58" s="5">
        <f t="shared" si="4"/>
        <v>408</v>
      </c>
      <c r="O58" s="5">
        <f t="shared" si="5"/>
        <v>0</v>
      </c>
      <c r="P58" s="5">
        <f>Table15[[#This Row],[Enrolment S.Y. 2025-2026 ]]*8</f>
        <v>408</v>
      </c>
      <c r="Q58" s="5"/>
      <c r="R58" s="1"/>
      <c r="S58" s="5"/>
      <c r="T58" s="5">
        <f t="shared" si="6"/>
        <v>408</v>
      </c>
      <c r="U58" s="5">
        <f t="shared" si="7"/>
        <v>0</v>
      </c>
      <c r="V58" s="5">
        <f>Table15[[#This Row],[Enrolment S.Y. 2025-2026 ]]*8</f>
        <v>408</v>
      </c>
      <c r="W58" s="5"/>
      <c r="X58" s="1"/>
      <c r="Y58" s="5"/>
      <c r="Z58" s="5">
        <f t="shared" si="8"/>
        <v>408</v>
      </c>
      <c r="AA58" s="5">
        <f t="shared" si="9"/>
        <v>0</v>
      </c>
    </row>
    <row r="59" spans="1:27" ht="19.5">
      <c r="A59" s="1">
        <v>6</v>
      </c>
      <c r="B59" s="9" t="s">
        <v>18</v>
      </c>
      <c r="C59" s="1">
        <v>51</v>
      </c>
      <c r="D59" s="5">
        <f>Table15[[#This Row],[Enrolment S.Y. 2025-2026 ]]*8</f>
        <v>408</v>
      </c>
      <c r="E59" s="5"/>
      <c r="F59" s="1"/>
      <c r="G59" s="5"/>
      <c r="H59" s="5">
        <f t="shared" si="2"/>
        <v>408</v>
      </c>
      <c r="I59" s="5">
        <f t="shared" si="3"/>
        <v>0</v>
      </c>
      <c r="J59" s="5">
        <f>Table15[[#This Row],[Enrolment S.Y. 2025-2026 ]]*8</f>
        <v>408</v>
      </c>
      <c r="K59" s="5"/>
      <c r="L59" s="1"/>
      <c r="M59" s="5"/>
      <c r="N59" s="5">
        <f t="shared" si="4"/>
        <v>408</v>
      </c>
      <c r="O59" s="5">
        <f t="shared" si="5"/>
        <v>0</v>
      </c>
      <c r="P59" s="5">
        <f>Table15[[#This Row],[Enrolment S.Y. 2025-2026 ]]*8</f>
        <v>408</v>
      </c>
      <c r="Q59" s="5"/>
      <c r="R59" s="1"/>
      <c r="S59" s="5"/>
      <c r="T59" s="5">
        <f t="shared" si="6"/>
        <v>408</v>
      </c>
      <c r="U59" s="5">
        <f t="shared" si="7"/>
        <v>0</v>
      </c>
      <c r="V59" s="5">
        <f>Table15[[#This Row],[Enrolment S.Y. 2025-2026 ]]*8</f>
        <v>408</v>
      </c>
      <c r="W59" s="5"/>
      <c r="X59" s="1"/>
      <c r="Y59" s="5"/>
      <c r="Z59" s="5">
        <f t="shared" si="8"/>
        <v>408</v>
      </c>
      <c r="AA59" s="5">
        <f t="shared" si="9"/>
        <v>0</v>
      </c>
    </row>
    <row r="60" spans="1:27" ht="19.5">
      <c r="A60" s="1">
        <v>6</v>
      </c>
      <c r="B60" s="9" t="s">
        <v>19</v>
      </c>
      <c r="C60" s="1">
        <v>51</v>
      </c>
      <c r="D60" s="5">
        <f>Table15[[#This Row],[Enrolment S.Y. 2025-2026 ]]*8</f>
        <v>408</v>
      </c>
      <c r="E60" s="5"/>
      <c r="F60" s="1"/>
      <c r="G60" s="5"/>
      <c r="H60" s="5">
        <f t="shared" si="2"/>
        <v>408</v>
      </c>
      <c r="I60" s="5">
        <f t="shared" si="3"/>
        <v>0</v>
      </c>
      <c r="J60" s="5">
        <f>Table15[[#This Row],[Enrolment S.Y. 2025-2026 ]]*8</f>
        <v>408</v>
      </c>
      <c r="K60" s="5"/>
      <c r="L60" s="1"/>
      <c r="M60" s="5"/>
      <c r="N60" s="5">
        <f t="shared" si="4"/>
        <v>408</v>
      </c>
      <c r="O60" s="5">
        <f t="shared" si="5"/>
        <v>0</v>
      </c>
      <c r="P60" s="5">
        <f>Table15[[#This Row],[Enrolment S.Y. 2025-2026 ]]*8</f>
        <v>408</v>
      </c>
      <c r="Q60" s="5"/>
      <c r="R60" s="1"/>
      <c r="S60" s="5"/>
      <c r="T60" s="5">
        <f t="shared" si="6"/>
        <v>408</v>
      </c>
      <c r="U60" s="5">
        <f t="shared" si="7"/>
        <v>0</v>
      </c>
      <c r="V60" s="5">
        <f>Table15[[#This Row],[Enrolment S.Y. 2025-2026 ]]*8</f>
        <v>408</v>
      </c>
      <c r="W60" s="5"/>
      <c r="X60" s="1"/>
      <c r="Y60" s="5"/>
      <c r="Z60" s="5">
        <f t="shared" si="8"/>
        <v>408</v>
      </c>
      <c r="AA60" s="5">
        <f t="shared" si="9"/>
        <v>0</v>
      </c>
    </row>
    <row r="61" spans="1:27" ht="19.5">
      <c r="A61" s="1">
        <v>6</v>
      </c>
      <c r="B61" s="9" t="s">
        <v>20</v>
      </c>
      <c r="C61" s="1">
        <v>51</v>
      </c>
      <c r="D61" s="5">
        <f>Table15[[#This Row],[Enrolment S.Y. 2025-2026 ]]*8</f>
        <v>408</v>
      </c>
      <c r="E61" s="5"/>
      <c r="F61" s="1"/>
      <c r="G61" s="5"/>
      <c r="H61" s="5">
        <f t="shared" si="2"/>
        <v>408</v>
      </c>
      <c r="I61" s="5">
        <f t="shared" si="3"/>
        <v>0</v>
      </c>
      <c r="J61" s="5">
        <f>Table15[[#This Row],[Enrolment S.Y. 2025-2026 ]]*8</f>
        <v>408</v>
      </c>
      <c r="K61" s="5"/>
      <c r="L61" s="1"/>
      <c r="M61" s="5"/>
      <c r="N61" s="5">
        <f t="shared" si="4"/>
        <v>408</v>
      </c>
      <c r="O61" s="5">
        <f t="shared" si="5"/>
        <v>0</v>
      </c>
      <c r="P61" s="5">
        <f>Table15[[#This Row],[Enrolment S.Y. 2025-2026 ]]*8</f>
        <v>408</v>
      </c>
      <c r="Q61" s="5"/>
      <c r="R61" s="1"/>
      <c r="S61" s="5"/>
      <c r="T61" s="5">
        <f t="shared" si="6"/>
        <v>408</v>
      </c>
      <c r="U61" s="5">
        <f t="shared" si="7"/>
        <v>0</v>
      </c>
      <c r="V61" s="5">
        <f>Table15[[#This Row],[Enrolment S.Y. 2025-2026 ]]*8</f>
        <v>408</v>
      </c>
      <c r="W61" s="5"/>
      <c r="X61" s="1"/>
      <c r="Y61" s="5"/>
      <c r="Z61" s="5">
        <f t="shared" si="8"/>
        <v>408</v>
      </c>
      <c r="AA61" s="5">
        <f t="shared" si="9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Table15[[#This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Table15[[#This Row],[Enrolment S.Y. 2025-2026 ]]*8</f>
        <v>0</v>
      </c>
      <c r="K63" s="12"/>
      <c r="L63" s="10"/>
      <c r="M63" s="12"/>
      <c r="N63" s="12">
        <f t="shared" si="4"/>
        <v>0</v>
      </c>
      <c r="O63" s="12">
        <f t="shared" si="5"/>
        <v>0</v>
      </c>
      <c r="P63" s="12">
        <f>Table15[[#This Row],[Enrolment S.Y. 2025-2026 ]]*8</f>
        <v>0</v>
      </c>
      <c r="Q63" s="12"/>
      <c r="R63" s="10"/>
      <c r="S63" s="12"/>
      <c r="T63" s="12">
        <f t="shared" si="6"/>
        <v>0</v>
      </c>
      <c r="U63" s="12">
        <f t="shared" si="7"/>
        <v>0</v>
      </c>
      <c r="V63" s="12">
        <f>Table15[[#This Row],[Enrolment S.Y. 2025-2026 ]]*8</f>
        <v>0</v>
      </c>
      <c r="W63" s="12"/>
      <c r="X63" s="10"/>
      <c r="Y63" s="12"/>
      <c r="Z63" s="12">
        <f t="shared" si="8"/>
        <v>0</v>
      </c>
      <c r="AA63" s="12">
        <f t="shared" si="9"/>
        <v>0</v>
      </c>
    </row>
    <row r="64" spans="1:27" ht="19.149999999999999">
      <c r="A64" s="10">
        <v>7</v>
      </c>
      <c r="B64" s="11" t="s">
        <v>16</v>
      </c>
      <c r="C64" s="10"/>
      <c r="D64" s="12">
        <f>Table15[[#This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Table15[[#This Row],[Enrolment S.Y. 2025-2026 ]]*8</f>
        <v>0</v>
      </c>
      <c r="K64" s="12"/>
      <c r="L64" s="10"/>
      <c r="M64" s="12"/>
      <c r="N64" s="12">
        <f t="shared" si="4"/>
        <v>0</v>
      </c>
      <c r="O64" s="12">
        <f t="shared" si="5"/>
        <v>0</v>
      </c>
      <c r="P64" s="12">
        <f>Table15[[#This Row],[Enrolment S.Y. 2025-2026 ]]*8</f>
        <v>0</v>
      </c>
      <c r="Q64" s="12"/>
      <c r="R64" s="10"/>
      <c r="S64" s="12"/>
      <c r="T64" s="12">
        <f t="shared" si="6"/>
        <v>0</v>
      </c>
      <c r="U64" s="12">
        <f t="shared" si="7"/>
        <v>0</v>
      </c>
      <c r="V64" s="12">
        <f>Table15[[#This Row],[Enrolment S.Y. 2025-2026 ]]*8</f>
        <v>0</v>
      </c>
      <c r="W64" s="12"/>
      <c r="X64" s="10"/>
      <c r="Y64" s="12"/>
      <c r="Z64" s="12">
        <f t="shared" si="8"/>
        <v>0</v>
      </c>
      <c r="AA64" s="12">
        <f t="shared" si="9"/>
        <v>0</v>
      </c>
    </row>
    <row r="65" spans="1:27" ht="19.149999999999999">
      <c r="A65" s="10">
        <v>7</v>
      </c>
      <c r="B65" s="11" t="s">
        <v>13</v>
      </c>
      <c r="C65" s="10"/>
      <c r="D65" s="12">
        <f>Table15[[#This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Table15[[#This Row],[Enrolment S.Y. 2025-2026 ]]*8</f>
        <v>0</v>
      </c>
      <c r="K65" s="12"/>
      <c r="L65" s="10"/>
      <c r="M65" s="12"/>
      <c r="N65" s="12">
        <f t="shared" si="4"/>
        <v>0</v>
      </c>
      <c r="O65" s="12">
        <f t="shared" si="5"/>
        <v>0</v>
      </c>
      <c r="P65" s="12">
        <f>Table15[[#This Row],[Enrolment S.Y. 2025-2026 ]]*8</f>
        <v>0</v>
      </c>
      <c r="Q65" s="12"/>
      <c r="R65" s="10"/>
      <c r="S65" s="12"/>
      <c r="T65" s="12">
        <f t="shared" si="6"/>
        <v>0</v>
      </c>
      <c r="U65" s="12">
        <f t="shared" si="7"/>
        <v>0</v>
      </c>
      <c r="V65" s="12">
        <f>Table15[[#This Row],[Enrolment S.Y. 2025-2026 ]]*8</f>
        <v>0</v>
      </c>
      <c r="W65" s="12"/>
      <c r="X65" s="10"/>
      <c r="Y65" s="12"/>
      <c r="Z65" s="12">
        <f t="shared" si="8"/>
        <v>0</v>
      </c>
      <c r="AA65" s="12">
        <f t="shared" si="9"/>
        <v>0</v>
      </c>
    </row>
    <row r="66" spans="1:27" ht="19.149999999999999">
      <c r="A66" s="10">
        <v>7</v>
      </c>
      <c r="B66" s="11" t="s">
        <v>21</v>
      </c>
      <c r="C66" s="10"/>
      <c r="D66" s="12">
        <f>Table15[[#This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Table15[[#This Row],[Enrolment S.Y. 2025-2026 ]]*8</f>
        <v>0</v>
      </c>
      <c r="K66" s="12"/>
      <c r="L66" s="10"/>
      <c r="M66" s="12"/>
      <c r="N66" s="12">
        <f t="shared" si="4"/>
        <v>0</v>
      </c>
      <c r="O66" s="12">
        <f t="shared" si="5"/>
        <v>0</v>
      </c>
      <c r="P66" s="12">
        <f>Table15[[#This Row],[Enrolment S.Y. 2025-2026 ]]*8</f>
        <v>0</v>
      </c>
      <c r="Q66" s="12"/>
      <c r="R66" s="10"/>
      <c r="S66" s="12"/>
      <c r="T66" s="12">
        <f t="shared" si="6"/>
        <v>0</v>
      </c>
      <c r="U66" s="12">
        <f t="shared" si="7"/>
        <v>0</v>
      </c>
      <c r="V66" s="12">
        <f>Table15[[#This Row],[Enrolment S.Y. 2025-2026 ]]*8</f>
        <v>0</v>
      </c>
      <c r="W66" s="12"/>
      <c r="X66" s="10"/>
      <c r="Y66" s="12"/>
      <c r="Z66" s="12">
        <f t="shared" si="8"/>
        <v>0</v>
      </c>
      <c r="AA66" s="12">
        <f t="shared" si="9"/>
        <v>0</v>
      </c>
    </row>
    <row r="67" spans="1:27" ht="19.149999999999999">
      <c r="A67" s="10">
        <v>7</v>
      </c>
      <c r="B67" s="11" t="s">
        <v>17</v>
      </c>
      <c r="C67" s="10"/>
      <c r="D67" s="12">
        <f>Table15[[#This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Table15[[#This Row],[Enrolment S.Y. 2025-2026 ]]*8</f>
        <v>0</v>
      </c>
      <c r="K67" s="12"/>
      <c r="L67" s="10"/>
      <c r="M67" s="12"/>
      <c r="N67" s="12">
        <f t="shared" si="4"/>
        <v>0</v>
      </c>
      <c r="O67" s="12">
        <f t="shared" si="5"/>
        <v>0</v>
      </c>
      <c r="P67" s="12">
        <f>Table15[[#This Row],[Enrolment S.Y. 2025-2026 ]]*8</f>
        <v>0</v>
      </c>
      <c r="Q67" s="12"/>
      <c r="R67" s="10"/>
      <c r="S67" s="12"/>
      <c r="T67" s="12">
        <f t="shared" si="6"/>
        <v>0</v>
      </c>
      <c r="U67" s="12">
        <f t="shared" si="7"/>
        <v>0</v>
      </c>
      <c r="V67" s="12">
        <f>Table15[[#This Row],[Enrolment S.Y. 2025-2026 ]]*8</f>
        <v>0</v>
      </c>
      <c r="W67" s="12"/>
      <c r="X67" s="10"/>
      <c r="Y67" s="12"/>
      <c r="Z67" s="12">
        <f t="shared" si="8"/>
        <v>0</v>
      </c>
      <c r="AA67" s="12">
        <f t="shared" si="9"/>
        <v>0</v>
      </c>
    </row>
    <row r="68" spans="1:27" ht="19.149999999999999">
      <c r="A68" s="10">
        <v>7</v>
      </c>
      <c r="B68" s="11" t="s">
        <v>14</v>
      </c>
      <c r="C68" s="10"/>
      <c r="D68" s="12">
        <f>Table15[[#This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Table15[[#This Row],[Enrolment S.Y. 2025-2026 ]]*8</f>
        <v>0</v>
      </c>
      <c r="K68" s="12"/>
      <c r="L68" s="10"/>
      <c r="M68" s="12"/>
      <c r="N68" s="12">
        <f t="shared" si="4"/>
        <v>0</v>
      </c>
      <c r="O68" s="12">
        <f t="shared" si="5"/>
        <v>0</v>
      </c>
      <c r="P68" s="12">
        <f>Table15[[#This Row],[Enrolment S.Y. 2025-2026 ]]*8</f>
        <v>0</v>
      </c>
      <c r="Q68" s="12"/>
      <c r="R68" s="10"/>
      <c r="S68" s="12"/>
      <c r="T68" s="12">
        <f t="shared" si="6"/>
        <v>0</v>
      </c>
      <c r="U68" s="12">
        <f t="shared" si="7"/>
        <v>0</v>
      </c>
      <c r="V68" s="12">
        <f>Table15[[#This Row],[Enrolment S.Y. 2025-2026 ]]*8</f>
        <v>0</v>
      </c>
      <c r="W68" s="12"/>
      <c r="X68" s="10"/>
      <c r="Y68" s="12"/>
      <c r="Z68" s="12">
        <f t="shared" si="8"/>
        <v>0</v>
      </c>
      <c r="AA68" s="12">
        <f t="shared" si="9"/>
        <v>0</v>
      </c>
    </row>
    <row r="69" spans="1:27" ht="19.149999999999999">
      <c r="A69" s="10">
        <v>7</v>
      </c>
      <c r="B69" s="11" t="s">
        <v>18</v>
      </c>
      <c r="C69" s="10"/>
      <c r="D69" s="12">
        <f>Table15[[#This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Table15[[#This Row],[Enrolment S.Y. 2025-2026 ]]*8</f>
        <v>0</v>
      </c>
      <c r="K69" s="12"/>
      <c r="L69" s="10"/>
      <c r="M69" s="12"/>
      <c r="N69" s="12">
        <f t="shared" ref="N69:N132" si="10">IF((J69-K69)&lt;0,0,(J69-K69))</f>
        <v>0</v>
      </c>
      <c r="O69" s="12">
        <f t="shared" ref="O69:O132" si="11">IF((K69-J69)&lt;0,0,(K69-J69))</f>
        <v>0</v>
      </c>
      <c r="P69" s="12">
        <f>Table15[[#This Row],[Enrolment S.Y. 2025-2026 ]]*8</f>
        <v>0</v>
      </c>
      <c r="Q69" s="12"/>
      <c r="R69" s="10"/>
      <c r="S69" s="12"/>
      <c r="T69" s="12">
        <f t="shared" ref="T69:T132" si="12">IF((P69-Q69)&lt;0,0,(P69-Q69))</f>
        <v>0</v>
      </c>
      <c r="U69" s="12">
        <f t="shared" ref="U69:U132" si="13">IF((Q69-P69)&lt;0,0,(Q69-P69))</f>
        <v>0</v>
      </c>
      <c r="V69" s="12">
        <f>Table15[[#This Row],[Enrolment S.Y. 2025-2026 ]]*8</f>
        <v>0</v>
      </c>
      <c r="W69" s="12"/>
      <c r="X69" s="10"/>
      <c r="Y69" s="12"/>
      <c r="Z69" s="12">
        <f t="shared" ref="Z69:Z132" si="14">IF((V69-W69)&lt;0,0,(V69-W69))</f>
        <v>0</v>
      </c>
      <c r="AA69" s="12">
        <f t="shared" ref="AA69:AA132" si="15">IF((W69-V69)&lt;0,0,(W69-V69))</f>
        <v>0</v>
      </c>
    </row>
    <row r="70" spans="1:27" ht="19.149999999999999">
      <c r="A70" s="10">
        <v>7</v>
      </c>
      <c r="B70" s="11" t="s">
        <v>22</v>
      </c>
      <c r="C70" s="10"/>
      <c r="D70" s="12">
        <f>Table15[[#This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Table15[[#This Row],[Enrolment S.Y. 2025-2026 ]]*8</f>
        <v>0</v>
      </c>
      <c r="K70" s="12"/>
      <c r="L70" s="10"/>
      <c r="M70" s="12"/>
      <c r="N70" s="12">
        <f t="shared" si="10"/>
        <v>0</v>
      </c>
      <c r="O70" s="12">
        <f t="shared" si="11"/>
        <v>0</v>
      </c>
      <c r="P70" s="12">
        <f>Table15[[#This Row],[Enrolment S.Y. 2025-2026 ]]*8</f>
        <v>0</v>
      </c>
      <c r="Q70" s="12"/>
      <c r="R70" s="10"/>
      <c r="S70" s="12"/>
      <c r="T70" s="12">
        <f t="shared" si="12"/>
        <v>0</v>
      </c>
      <c r="U70" s="12">
        <f t="shared" si="13"/>
        <v>0</v>
      </c>
      <c r="V70" s="12">
        <f>Table15[[#This Row],[Enrolment S.Y. 2025-2026 ]]*8</f>
        <v>0</v>
      </c>
      <c r="W70" s="12"/>
      <c r="X70" s="10"/>
      <c r="Y70" s="12"/>
      <c r="Z70" s="12">
        <f t="shared" si="14"/>
        <v>0</v>
      </c>
      <c r="AA70" s="12">
        <f t="shared" si="15"/>
        <v>0</v>
      </c>
    </row>
    <row r="71" spans="1:27" ht="19.149999999999999">
      <c r="A71" s="10">
        <v>7</v>
      </c>
      <c r="B71" s="11" t="s">
        <v>20</v>
      </c>
      <c r="C71" s="10"/>
      <c r="D71" s="12">
        <f>Table15[[#This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Table15[[#This Row],[Enrolment S.Y. 2025-2026 ]]*8</f>
        <v>0</v>
      </c>
      <c r="K71" s="12"/>
      <c r="L71" s="10"/>
      <c r="M71" s="12"/>
      <c r="N71" s="12">
        <f t="shared" si="10"/>
        <v>0</v>
      </c>
      <c r="O71" s="12">
        <f t="shared" si="11"/>
        <v>0</v>
      </c>
      <c r="P71" s="12">
        <f>Table15[[#This Row],[Enrolment S.Y. 2025-2026 ]]*8</f>
        <v>0</v>
      </c>
      <c r="Q71" s="12"/>
      <c r="R71" s="10"/>
      <c r="S71" s="12"/>
      <c r="T71" s="12">
        <f t="shared" si="12"/>
        <v>0</v>
      </c>
      <c r="U71" s="12">
        <f t="shared" si="13"/>
        <v>0</v>
      </c>
      <c r="V71" s="12">
        <f>Table15[[#This Row],[Enrolment S.Y. 2025-2026 ]]*8</f>
        <v>0</v>
      </c>
      <c r="W71" s="12"/>
      <c r="X71" s="10"/>
      <c r="Y71" s="12"/>
      <c r="Z71" s="12">
        <f t="shared" si="14"/>
        <v>0</v>
      </c>
      <c r="AA71" s="12">
        <f t="shared" si="15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Table15[[#This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Table15[[#This Row],[Enrolment S.Y. 2025-2026 ]]*8</f>
        <v>0</v>
      </c>
      <c r="K73" s="12"/>
      <c r="L73" s="10"/>
      <c r="M73" s="12"/>
      <c r="N73" s="12">
        <f t="shared" si="10"/>
        <v>0</v>
      </c>
      <c r="O73" s="12">
        <f t="shared" si="11"/>
        <v>0</v>
      </c>
      <c r="P73" s="12">
        <f>Table15[[#This Row],[Enrolment S.Y. 2025-2026 ]]*8</f>
        <v>0</v>
      </c>
      <c r="Q73" s="12"/>
      <c r="R73" s="10"/>
      <c r="S73" s="12"/>
      <c r="T73" s="12">
        <f t="shared" si="12"/>
        <v>0</v>
      </c>
      <c r="U73" s="12">
        <f t="shared" si="13"/>
        <v>0</v>
      </c>
      <c r="V73" s="12">
        <f>Table15[[#This Row],[Enrolment S.Y. 2025-2026 ]]*8</f>
        <v>0</v>
      </c>
      <c r="W73" s="12"/>
      <c r="X73" s="10"/>
      <c r="Y73" s="12"/>
      <c r="Z73" s="12">
        <f t="shared" si="14"/>
        <v>0</v>
      </c>
      <c r="AA73" s="12">
        <f t="shared" si="15"/>
        <v>0</v>
      </c>
    </row>
    <row r="74" spans="1:27" ht="19.149999999999999">
      <c r="A74" s="10">
        <v>8</v>
      </c>
      <c r="B74" s="11" t="s">
        <v>16</v>
      </c>
      <c r="C74" s="10"/>
      <c r="D74" s="12">
        <f>Table15[[#This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Table15[[#This Row],[Enrolment S.Y. 2025-2026 ]]*8</f>
        <v>0</v>
      </c>
      <c r="K74" s="12"/>
      <c r="L74" s="10"/>
      <c r="M74" s="12"/>
      <c r="N74" s="12">
        <f t="shared" si="10"/>
        <v>0</v>
      </c>
      <c r="O74" s="12">
        <f t="shared" si="11"/>
        <v>0</v>
      </c>
      <c r="P74" s="12">
        <f>Table15[[#This Row],[Enrolment S.Y. 2025-2026 ]]*8</f>
        <v>0</v>
      </c>
      <c r="Q74" s="12"/>
      <c r="R74" s="10"/>
      <c r="S74" s="12"/>
      <c r="T74" s="12">
        <f t="shared" si="12"/>
        <v>0</v>
      </c>
      <c r="U74" s="12">
        <f t="shared" si="13"/>
        <v>0</v>
      </c>
      <c r="V74" s="12">
        <f>Table15[[#This Row],[Enrolment S.Y. 2025-2026 ]]*8</f>
        <v>0</v>
      </c>
      <c r="W74" s="12"/>
      <c r="X74" s="10"/>
      <c r="Y74" s="12"/>
      <c r="Z74" s="12">
        <f t="shared" si="14"/>
        <v>0</v>
      </c>
      <c r="AA74" s="12">
        <f t="shared" si="15"/>
        <v>0</v>
      </c>
    </row>
    <row r="75" spans="1:27" ht="19.149999999999999">
      <c r="A75" s="10">
        <v>8</v>
      </c>
      <c r="B75" s="11" t="s">
        <v>13</v>
      </c>
      <c r="C75" s="10"/>
      <c r="D75" s="12">
        <f>Table15[[#This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Table15[[#This Row],[Enrolment S.Y. 2025-2026 ]]*8</f>
        <v>0</v>
      </c>
      <c r="K75" s="12"/>
      <c r="L75" s="10"/>
      <c r="M75" s="12"/>
      <c r="N75" s="12">
        <f t="shared" si="10"/>
        <v>0</v>
      </c>
      <c r="O75" s="12">
        <f t="shared" si="11"/>
        <v>0</v>
      </c>
      <c r="P75" s="12">
        <f>Table15[[#This Row],[Enrolment S.Y. 2025-2026 ]]*8</f>
        <v>0</v>
      </c>
      <c r="Q75" s="12"/>
      <c r="R75" s="10"/>
      <c r="S75" s="12"/>
      <c r="T75" s="12">
        <f t="shared" si="12"/>
        <v>0</v>
      </c>
      <c r="U75" s="12">
        <f t="shared" si="13"/>
        <v>0</v>
      </c>
      <c r="V75" s="12">
        <f>Table15[[#This Row],[Enrolment S.Y. 2025-2026 ]]*8</f>
        <v>0</v>
      </c>
      <c r="W75" s="12"/>
      <c r="X75" s="10"/>
      <c r="Y75" s="12"/>
      <c r="Z75" s="12">
        <f t="shared" si="14"/>
        <v>0</v>
      </c>
      <c r="AA75" s="12">
        <f t="shared" si="15"/>
        <v>0</v>
      </c>
    </row>
    <row r="76" spans="1:27" ht="19.149999999999999">
      <c r="A76" s="10">
        <v>8</v>
      </c>
      <c r="B76" s="11" t="s">
        <v>21</v>
      </c>
      <c r="C76" s="10"/>
      <c r="D76" s="12">
        <f>Table15[[#This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Table15[[#This Row],[Enrolment S.Y. 2025-2026 ]]*8</f>
        <v>0</v>
      </c>
      <c r="K76" s="12"/>
      <c r="L76" s="10"/>
      <c r="M76" s="12"/>
      <c r="N76" s="12">
        <f t="shared" si="10"/>
        <v>0</v>
      </c>
      <c r="O76" s="12">
        <f t="shared" si="11"/>
        <v>0</v>
      </c>
      <c r="P76" s="12">
        <f>Table15[[#This Row],[Enrolment S.Y. 2025-2026 ]]*8</f>
        <v>0</v>
      </c>
      <c r="Q76" s="12"/>
      <c r="R76" s="10"/>
      <c r="S76" s="12"/>
      <c r="T76" s="12">
        <f t="shared" si="12"/>
        <v>0</v>
      </c>
      <c r="U76" s="12">
        <f t="shared" si="13"/>
        <v>0</v>
      </c>
      <c r="V76" s="12">
        <f>Table15[[#This Row],[Enrolment S.Y. 2025-2026 ]]*8</f>
        <v>0</v>
      </c>
      <c r="W76" s="12"/>
      <c r="X76" s="10"/>
      <c r="Y76" s="12"/>
      <c r="Z76" s="12">
        <f t="shared" si="14"/>
        <v>0</v>
      </c>
      <c r="AA76" s="12">
        <f t="shared" si="15"/>
        <v>0</v>
      </c>
    </row>
    <row r="77" spans="1:27" ht="19.149999999999999">
      <c r="A77" s="10">
        <v>8</v>
      </c>
      <c r="B77" s="11" t="s">
        <v>23</v>
      </c>
      <c r="C77" s="10"/>
      <c r="D77" s="12">
        <f>Table15[[#This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Table15[[#This Row],[Enrolment S.Y. 2025-2026 ]]*8</f>
        <v>0</v>
      </c>
      <c r="K77" s="12"/>
      <c r="L77" s="10"/>
      <c r="M77" s="12"/>
      <c r="N77" s="12">
        <f t="shared" si="10"/>
        <v>0</v>
      </c>
      <c r="O77" s="12">
        <f t="shared" si="11"/>
        <v>0</v>
      </c>
      <c r="P77" s="12">
        <f>Table15[[#This Row],[Enrolment S.Y. 2025-2026 ]]*8</f>
        <v>0</v>
      </c>
      <c r="Q77" s="12"/>
      <c r="R77" s="10"/>
      <c r="S77" s="12"/>
      <c r="T77" s="12">
        <f t="shared" si="12"/>
        <v>0</v>
      </c>
      <c r="U77" s="12">
        <f t="shared" si="13"/>
        <v>0</v>
      </c>
      <c r="V77" s="12">
        <f>Table15[[#This Row],[Enrolment S.Y. 2025-2026 ]]*8</f>
        <v>0</v>
      </c>
      <c r="W77" s="12"/>
      <c r="X77" s="10"/>
      <c r="Y77" s="12"/>
      <c r="Z77" s="12">
        <f t="shared" si="14"/>
        <v>0</v>
      </c>
      <c r="AA77" s="12">
        <f t="shared" si="15"/>
        <v>0</v>
      </c>
    </row>
    <row r="78" spans="1:27" ht="19.149999999999999">
      <c r="A78" s="10">
        <v>8</v>
      </c>
      <c r="B78" s="11" t="s">
        <v>14</v>
      </c>
      <c r="C78" s="10"/>
      <c r="D78" s="12">
        <f>Table15[[#This Row],[Enrolment S.Y. 2025-2026 ]]*8</f>
        <v>0</v>
      </c>
      <c r="E78" s="12"/>
      <c r="F78" s="10"/>
      <c r="G78" s="12"/>
      <c r="H78" s="12">
        <f t="shared" ref="H78:H127" si="16">IF((D78-E78)&lt;0,0,(D78-E78))</f>
        <v>0</v>
      </c>
      <c r="I78" s="12">
        <f t="shared" ref="I78:I127" si="17">IF((E78-D78)&lt;0,0,(E78-D78))</f>
        <v>0</v>
      </c>
      <c r="J78" s="12">
        <f>Table15[[#This Row],[Enrolment S.Y. 2025-2026 ]]*8</f>
        <v>0</v>
      </c>
      <c r="K78" s="12"/>
      <c r="L78" s="10"/>
      <c r="M78" s="12"/>
      <c r="N78" s="12">
        <f t="shared" si="10"/>
        <v>0</v>
      </c>
      <c r="O78" s="12">
        <f t="shared" si="11"/>
        <v>0</v>
      </c>
      <c r="P78" s="12">
        <f>Table15[[#This Row],[Enrolment S.Y. 2025-2026 ]]*8</f>
        <v>0</v>
      </c>
      <c r="Q78" s="12"/>
      <c r="R78" s="10"/>
      <c r="S78" s="12"/>
      <c r="T78" s="12">
        <f t="shared" si="12"/>
        <v>0</v>
      </c>
      <c r="U78" s="12">
        <f t="shared" si="13"/>
        <v>0</v>
      </c>
      <c r="V78" s="12">
        <f>Table15[[#This Row],[Enrolment S.Y. 2025-2026 ]]*8</f>
        <v>0</v>
      </c>
      <c r="W78" s="12"/>
      <c r="X78" s="10"/>
      <c r="Y78" s="12"/>
      <c r="Z78" s="12">
        <f t="shared" si="14"/>
        <v>0</v>
      </c>
      <c r="AA78" s="12">
        <f t="shared" si="15"/>
        <v>0</v>
      </c>
    </row>
    <row r="79" spans="1:27" ht="19.149999999999999">
      <c r="A79" s="10">
        <v>8</v>
      </c>
      <c r="B79" s="11" t="s">
        <v>18</v>
      </c>
      <c r="C79" s="10"/>
      <c r="D79" s="12">
        <f>Table15[[#This Row],[Enrolment S.Y. 2025-2026 ]]*8</f>
        <v>0</v>
      </c>
      <c r="E79" s="12"/>
      <c r="F79" s="10"/>
      <c r="G79" s="12"/>
      <c r="H79" s="12">
        <f t="shared" si="16"/>
        <v>0</v>
      </c>
      <c r="I79" s="12">
        <f t="shared" si="17"/>
        <v>0</v>
      </c>
      <c r="J79" s="12">
        <f>Table15[[#This Row],[Enrolment S.Y. 2025-2026 ]]*8</f>
        <v>0</v>
      </c>
      <c r="K79" s="12"/>
      <c r="L79" s="10"/>
      <c r="M79" s="12"/>
      <c r="N79" s="12">
        <f t="shared" si="10"/>
        <v>0</v>
      </c>
      <c r="O79" s="12">
        <f t="shared" si="11"/>
        <v>0</v>
      </c>
      <c r="P79" s="12">
        <f>Table15[[#This Row],[Enrolment S.Y. 2025-2026 ]]*8</f>
        <v>0</v>
      </c>
      <c r="Q79" s="12"/>
      <c r="R79" s="10"/>
      <c r="S79" s="12"/>
      <c r="T79" s="12">
        <f t="shared" si="12"/>
        <v>0</v>
      </c>
      <c r="U79" s="12">
        <f t="shared" si="13"/>
        <v>0</v>
      </c>
      <c r="V79" s="12">
        <f>Table15[[#This Row],[Enrolment S.Y. 2025-2026 ]]*8</f>
        <v>0</v>
      </c>
      <c r="W79" s="12"/>
      <c r="X79" s="10"/>
      <c r="Y79" s="12"/>
      <c r="Z79" s="12">
        <f t="shared" si="14"/>
        <v>0</v>
      </c>
      <c r="AA79" s="12">
        <f t="shared" si="15"/>
        <v>0</v>
      </c>
    </row>
    <row r="80" spans="1:27" ht="19.149999999999999">
      <c r="A80" s="10">
        <v>8</v>
      </c>
      <c r="B80" s="11" t="s">
        <v>22</v>
      </c>
      <c r="C80" s="10"/>
      <c r="D80" s="12">
        <f>Table15[[#This Row],[Enrolment S.Y. 2025-2026 ]]*8</f>
        <v>0</v>
      </c>
      <c r="E80" s="12"/>
      <c r="F80" s="10"/>
      <c r="G80" s="12"/>
      <c r="H80" s="12">
        <f t="shared" si="16"/>
        <v>0</v>
      </c>
      <c r="I80" s="12">
        <f t="shared" si="17"/>
        <v>0</v>
      </c>
      <c r="J80" s="12">
        <f>Table15[[#This Row],[Enrolment S.Y. 2025-2026 ]]*8</f>
        <v>0</v>
      </c>
      <c r="K80" s="12"/>
      <c r="L80" s="10"/>
      <c r="M80" s="12"/>
      <c r="N80" s="12">
        <f t="shared" si="10"/>
        <v>0</v>
      </c>
      <c r="O80" s="12">
        <f t="shared" si="11"/>
        <v>0</v>
      </c>
      <c r="P80" s="12">
        <f>Table15[[#This Row],[Enrolment S.Y. 2025-2026 ]]*8</f>
        <v>0</v>
      </c>
      <c r="Q80" s="12"/>
      <c r="R80" s="10"/>
      <c r="S80" s="12"/>
      <c r="T80" s="12">
        <f t="shared" si="12"/>
        <v>0</v>
      </c>
      <c r="U80" s="12">
        <f t="shared" si="13"/>
        <v>0</v>
      </c>
      <c r="V80" s="12">
        <f>Table15[[#This Row],[Enrolment S.Y. 2025-2026 ]]*8</f>
        <v>0</v>
      </c>
      <c r="W80" s="12"/>
      <c r="X80" s="10"/>
      <c r="Y80" s="12"/>
      <c r="Z80" s="12">
        <f t="shared" si="14"/>
        <v>0</v>
      </c>
      <c r="AA80" s="12">
        <f t="shared" si="15"/>
        <v>0</v>
      </c>
    </row>
    <row r="81" spans="1:27" ht="19.149999999999999">
      <c r="A81" s="10">
        <v>8</v>
      </c>
      <c r="B81" s="11" t="s">
        <v>20</v>
      </c>
      <c r="C81" s="10"/>
      <c r="D81" s="12">
        <f>Table15[[#This Row],[Enrolment S.Y. 2025-2026 ]]*8</f>
        <v>0</v>
      </c>
      <c r="E81" s="12"/>
      <c r="F81" s="10"/>
      <c r="G81" s="12"/>
      <c r="H81" s="12">
        <f t="shared" si="16"/>
        <v>0</v>
      </c>
      <c r="I81" s="12">
        <f t="shared" si="17"/>
        <v>0</v>
      </c>
      <c r="J81" s="12">
        <f>Table15[[#This Row],[Enrolment S.Y. 2025-2026 ]]*8</f>
        <v>0</v>
      </c>
      <c r="K81" s="12"/>
      <c r="L81" s="10"/>
      <c r="M81" s="12"/>
      <c r="N81" s="12">
        <f t="shared" si="10"/>
        <v>0</v>
      </c>
      <c r="O81" s="12">
        <f t="shared" si="11"/>
        <v>0</v>
      </c>
      <c r="P81" s="12">
        <f>Table15[[#This Row],[Enrolment S.Y. 2025-2026 ]]*8</f>
        <v>0</v>
      </c>
      <c r="Q81" s="12"/>
      <c r="R81" s="10"/>
      <c r="S81" s="12"/>
      <c r="T81" s="12">
        <f t="shared" si="12"/>
        <v>0</v>
      </c>
      <c r="U81" s="12">
        <f t="shared" si="13"/>
        <v>0</v>
      </c>
      <c r="V81" s="12">
        <f>Table15[[#This Row],[Enrolment S.Y. 2025-2026 ]]*8</f>
        <v>0</v>
      </c>
      <c r="W81" s="12"/>
      <c r="X81" s="10"/>
      <c r="Y81" s="12"/>
      <c r="Z81" s="12">
        <f t="shared" si="14"/>
        <v>0</v>
      </c>
      <c r="AA81" s="12">
        <f t="shared" si="15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Table15[[#This Row],[Enrolment S.Y. 2025-2026 ]]*8</f>
        <v>0</v>
      </c>
      <c r="E83" s="12"/>
      <c r="F83" s="10"/>
      <c r="G83" s="12"/>
      <c r="H83" s="12">
        <f t="shared" si="16"/>
        <v>0</v>
      </c>
      <c r="I83" s="12">
        <f t="shared" si="17"/>
        <v>0</v>
      </c>
      <c r="J83" s="12">
        <f>Table15[[#This Row],[Enrolment S.Y. 2025-2026 ]]*8</f>
        <v>0</v>
      </c>
      <c r="K83" s="12"/>
      <c r="L83" s="10"/>
      <c r="M83" s="12"/>
      <c r="N83" s="12">
        <f t="shared" si="10"/>
        <v>0</v>
      </c>
      <c r="O83" s="12">
        <f t="shared" si="11"/>
        <v>0</v>
      </c>
      <c r="P83" s="12">
        <f>Table15[[#This Row],[Enrolment S.Y. 2025-2026 ]]*8</f>
        <v>0</v>
      </c>
      <c r="Q83" s="12"/>
      <c r="R83" s="10"/>
      <c r="S83" s="12"/>
      <c r="T83" s="12">
        <f t="shared" si="12"/>
        <v>0</v>
      </c>
      <c r="U83" s="12">
        <f t="shared" si="13"/>
        <v>0</v>
      </c>
      <c r="V83" s="12">
        <f>Table15[[#This Row],[Enrolment S.Y. 2025-2026 ]]*8</f>
        <v>0</v>
      </c>
      <c r="W83" s="12"/>
      <c r="X83" s="10"/>
      <c r="Y83" s="12"/>
      <c r="Z83" s="12">
        <f t="shared" si="14"/>
        <v>0</v>
      </c>
      <c r="AA83" s="12">
        <f t="shared" si="15"/>
        <v>0</v>
      </c>
    </row>
    <row r="84" spans="1:27" ht="19.149999999999999">
      <c r="A84" s="10">
        <v>9</v>
      </c>
      <c r="B84" s="11" t="s">
        <v>16</v>
      </c>
      <c r="C84" s="10"/>
      <c r="D84" s="12">
        <f>Table15[[#This Row],[Enrolment S.Y. 2025-2026 ]]*8</f>
        <v>0</v>
      </c>
      <c r="E84" s="12"/>
      <c r="F84" s="10"/>
      <c r="G84" s="12"/>
      <c r="H84" s="12">
        <f t="shared" si="16"/>
        <v>0</v>
      </c>
      <c r="I84" s="12">
        <f t="shared" si="17"/>
        <v>0</v>
      </c>
      <c r="J84" s="12">
        <f>Table15[[#This Row],[Enrolment S.Y. 2025-2026 ]]*8</f>
        <v>0</v>
      </c>
      <c r="K84" s="12"/>
      <c r="L84" s="10"/>
      <c r="M84" s="12"/>
      <c r="N84" s="12">
        <f t="shared" si="10"/>
        <v>0</v>
      </c>
      <c r="O84" s="12">
        <f t="shared" si="11"/>
        <v>0</v>
      </c>
      <c r="P84" s="12">
        <f>Table15[[#This Row],[Enrolment S.Y. 2025-2026 ]]*8</f>
        <v>0</v>
      </c>
      <c r="Q84" s="12"/>
      <c r="R84" s="10"/>
      <c r="S84" s="12"/>
      <c r="T84" s="12">
        <f t="shared" si="12"/>
        <v>0</v>
      </c>
      <c r="U84" s="12">
        <f t="shared" si="13"/>
        <v>0</v>
      </c>
      <c r="V84" s="12">
        <f>Table15[[#This Row],[Enrolment S.Y. 2025-2026 ]]*8</f>
        <v>0</v>
      </c>
      <c r="W84" s="12"/>
      <c r="X84" s="10"/>
      <c r="Y84" s="12"/>
      <c r="Z84" s="12">
        <f t="shared" si="14"/>
        <v>0</v>
      </c>
      <c r="AA84" s="12">
        <f t="shared" si="15"/>
        <v>0</v>
      </c>
    </row>
    <row r="85" spans="1:27" ht="19.149999999999999">
      <c r="A85" s="10">
        <v>9</v>
      </c>
      <c r="B85" s="11" t="s">
        <v>13</v>
      </c>
      <c r="C85" s="10"/>
      <c r="D85" s="12">
        <f>Table15[[#This Row],[Enrolment S.Y. 2025-2026 ]]*8</f>
        <v>0</v>
      </c>
      <c r="E85" s="12"/>
      <c r="F85" s="10"/>
      <c r="G85" s="12"/>
      <c r="H85" s="12">
        <f t="shared" si="16"/>
        <v>0</v>
      </c>
      <c r="I85" s="12">
        <f t="shared" si="17"/>
        <v>0</v>
      </c>
      <c r="J85" s="12">
        <f>Table15[[#This Row],[Enrolment S.Y. 2025-2026 ]]*8</f>
        <v>0</v>
      </c>
      <c r="K85" s="12"/>
      <c r="L85" s="10"/>
      <c r="M85" s="12"/>
      <c r="N85" s="12">
        <f t="shared" si="10"/>
        <v>0</v>
      </c>
      <c r="O85" s="12">
        <f t="shared" si="11"/>
        <v>0</v>
      </c>
      <c r="P85" s="12">
        <f>Table15[[#This Row],[Enrolment S.Y. 2025-2026 ]]*8</f>
        <v>0</v>
      </c>
      <c r="Q85" s="12"/>
      <c r="R85" s="10"/>
      <c r="S85" s="12"/>
      <c r="T85" s="12">
        <f t="shared" si="12"/>
        <v>0</v>
      </c>
      <c r="U85" s="12">
        <f t="shared" si="13"/>
        <v>0</v>
      </c>
      <c r="V85" s="12">
        <f>Table15[[#This Row],[Enrolment S.Y. 2025-2026 ]]*8</f>
        <v>0</v>
      </c>
      <c r="W85" s="12"/>
      <c r="X85" s="10"/>
      <c r="Y85" s="12"/>
      <c r="Z85" s="12">
        <f t="shared" si="14"/>
        <v>0</v>
      </c>
      <c r="AA85" s="12">
        <f t="shared" si="15"/>
        <v>0</v>
      </c>
    </row>
    <row r="86" spans="1:27" ht="19.149999999999999">
      <c r="A86" s="10">
        <v>9</v>
      </c>
      <c r="B86" s="11" t="s">
        <v>21</v>
      </c>
      <c r="C86" s="10"/>
      <c r="D86" s="12">
        <f>Table15[[#This Row],[Enrolment S.Y. 2025-2026 ]]*8</f>
        <v>0</v>
      </c>
      <c r="E86" s="12"/>
      <c r="F86" s="10"/>
      <c r="G86" s="12"/>
      <c r="H86" s="12">
        <f t="shared" si="16"/>
        <v>0</v>
      </c>
      <c r="I86" s="12">
        <f t="shared" si="17"/>
        <v>0</v>
      </c>
      <c r="J86" s="12">
        <f>Table15[[#This Row],[Enrolment S.Y. 2025-2026 ]]*8</f>
        <v>0</v>
      </c>
      <c r="K86" s="12"/>
      <c r="L86" s="10"/>
      <c r="M86" s="12"/>
      <c r="N86" s="12">
        <f t="shared" si="10"/>
        <v>0</v>
      </c>
      <c r="O86" s="12">
        <f t="shared" si="11"/>
        <v>0</v>
      </c>
      <c r="P86" s="12">
        <f>Table15[[#This Row],[Enrolment S.Y. 2025-2026 ]]*8</f>
        <v>0</v>
      </c>
      <c r="Q86" s="12"/>
      <c r="R86" s="10"/>
      <c r="S86" s="12"/>
      <c r="T86" s="12">
        <f t="shared" si="12"/>
        <v>0</v>
      </c>
      <c r="U86" s="12">
        <f t="shared" si="13"/>
        <v>0</v>
      </c>
      <c r="V86" s="12">
        <f>Table15[[#This Row],[Enrolment S.Y. 2025-2026 ]]*8</f>
        <v>0</v>
      </c>
      <c r="W86" s="12"/>
      <c r="X86" s="10"/>
      <c r="Y86" s="12"/>
      <c r="Z86" s="12">
        <f t="shared" si="14"/>
        <v>0</v>
      </c>
      <c r="AA86" s="12">
        <f t="shared" si="15"/>
        <v>0</v>
      </c>
    </row>
    <row r="87" spans="1:27" ht="19.149999999999999">
      <c r="A87" s="10">
        <v>9</v>
      </c>
      <c r="B87" s="11" t="s">
        <v>23</v>
      </c>
      <c r="C87" s="10"/>
      <c r="D87" s="12">
        <f>Table15[[#This Row],[Enrolment S.Y. 2025-2026 ]]*8</f>
        <v>0</v>
      </c>
      <c r="E87" s="12"/>
      <c r="F87" s="10"/>
      <c r="G87" s="12"/>
      <c r="H87" s="12">
        <f t="shared" si="16"/>
        <v>0</v>
      </c>
      <c r="I87" s="12">
        <f t="shared" si="17"/>
        <v>0</v>
      </c>
      <c r="J87" s="12">
        <f>Table15[[#This Row],[Enrolment S.Y. 2025-2026 ]]*8</f>
        <v>0</v>
      </c>
      <c r="K87" s="12"/>
      <c r="L87" s="10"/>
      <c r="M87" s="12"/>
      <c r="N87" s="12">
        <f t="shared" si="10"/>
        <v>0</v>
      </c>
      <c r="O87" s="12">
        <f t="shared" si="11"/>
        <v>0</v>
      </c>
      <c r="P87" s="12">
        <f>Table15[[#This Row],[Enrolment S.Y. 2025-2026 ]]*8</f>
        <v>0</v>
      </c>
      <c r="Q87" s="12"/>
      <c r="R87" s="10"/>
      <c r="S87" s="12"/>
      <c r="T87" s="12">
        <f t="shared" si="12"/>
        <v>0</v>
      </c>
      <c r="U87" s="12">
        <f t="shared" si="13"/>
        <v>0</v>
      </c>
      <c r="V87" s="12">
        <f>Table15[[#This Row],[Enrolment S.Y. 2025-2026 ]]*8</f>
        <v>0</v>
      </c>
      <c r="W87" s="12"/>
      <c r="X87" s="10"/>
      <c r="Y87" s="12"/>
      <c r="Z87" s="12">
        <f t="shared" si="14"/>
        <v>0</v>
      </c>
      <c r="AA87" s="12">
        <f t="shared" si="15"/>
        <v>0</v>
      </c>
    </row>
    <row r="88" spans="1:27" ht="19.149999999999999">
      <c r="A88" s="10">
        <v>9</v>
      </c>
      <c r="B88" s="11" t="s">
        <v>14</v>
      </c>
      <c r="C88" s="10"/>
      <c r="D88" s="12">
        <f>Table15[[#This Row],[Enrolment S.Y. 2025-2026 ]]*8</f>
        <v>0</v>
      </c>
      <c r="E88" s="12"/>
      <c r="F88" s="10"/>
      <c r="G88" s="12"/>
      <c r="H88" s="12">
        <f t="shared" si="16"/>
        <v>0</v>
      </c>
      <c r="I88" s="12">
        <f t="shared" si="17"/>
        <v>0</v>
      </c>
      <c r="J88" s="12">
        <f>Table15[[#This Row],[Enrolment S.Y. 2025-2026 ]]*8</f>
        <v>0</v>
      </c>
      <c r="K88" s="12"/>
      <c r="L88" s="10"/>
      <c r="M88" s="12"/>
      <c r="N88" s="12">
        <f t="shared" si="10"/>
        <v>0</v>
      </c>
      <c r="O88" s="12">
        <f t="shared" si="11"/>
        <v>0</v>
      </c>
      <c r="P88" s="12">
        <f>Table15[[#This Row],[Enrolment S.Y. 2025-2026 ]]*8</f>
        <v>0</v>
      </c>
      <c r="Q88" s="12"/>
      <c r="R88" s="10"/>
      <c r="S88" s="12"/>
      <c r="T88" s="12">
        <f t="shared" si="12"/>
        <v>0</v>
      </c>
      <c r="U88" s="12">
        <f t="shared" si="13"/>
        <v>0</v>
      </c>
      <c r="V88" s="12">
        <f>Table15[[#This Row],[Enrolment S.Y. 2025-2026 ]]*8</f>
        <v>0</v>
      </c>
      <c r="W88" s="12"/>
      <c r="X88" s="10"/>
      <c r="Y88" s="12"/>
      <c r="Z88" s="12">
        <f t="shared" si="14"/>
        <v>0</v>
      </c>
      <c r="AA88" s="12">
        <f t="shared" si="15"/>
        <v>0</v>
      </c>
    </row>
    <row r="89" spans="1:27" ht="19.149999999999999">
      <c r="A89" s="10">
        <v>9</v>
      </c>
      <c r="B89" s="11" t="s">
        <v>18</v>
      </c>
      <c r="C89" s="10"/>
      <c r="D89" s="12">
        <f>Table15[[#This Row],[Enrolment S.Y. 2025-2026 ]]*8</f>
        <v>0</v>
      </c>
      <c r="E89" s="12"/>
      <c r="F89" s="10"/>
      <c r="G89" s="12"/>
      <c r="H89" s="12">
        <f t="shared" si="16"/>
        <v>0</v>
      </c>
      <c r="I89" s="12">
        <f t="shared" si="17"/>
        <v>0</v>
      </c>
      <c r="J89" s="12">
        <f>Table15[[#This Row],[Enrolment S.Y. 2025-2026 ]]*8</f>
        <v>0</v>
      </c>
      <c r="K89" s="12"/>
      <c r="L89" s="10"/>
      <c r="M89" s="12"/>
      <c r="N89" s="12">
        <f t="shared" si="10"/>
        <v>0</v>
      </c>
      <c r="O89" s="12">
        <f t="shared" si="11"/>
        <v>0</v>
      </c>
      <c r="P89" s="12">
        <f>Table15[[#This Row],[Enrolment S.Y. 2025-2026 ]]*8</f>
        <v>0</v>
      </c>
      <c r="Q89" s="12"/>
      <c r="R89" s="10"/>
      <c r="S89" s="12"/>
      <c r="T89" s="12">
        <f t="shared" si="12"/>
        <v>0</v>
      </c>
      <c r="U89" s="12">
        <f t="shared" si="13"/>
        <v>0</v>
      </c>
      <c r="V89" s="12">
        <f>Table15[[#This Row],[Enrolment S.Y. 2025-2026 ]]*8</f>
        <v>0</v>
      </c>
      <c r="W89" s="12"/>
      <c r="X89" s="10"/>
      <c r="Y89" s="12"/>
      <c r="Z89" s="12">
        <f t="shared" si="14"/>
        <v>0</v>
      </c>
      <c r="AA89" s="12">
        <f t="shared" si="15"/>
        <v>0</v>
      </c>
    </row>
    <row r="90" spans="1:27" ht="19.149999999999999">
      <c r="A90" s="10">
        <v>9</v>
      </c>
      <c r="B90" s="11" t="s">
        <v>22</v>
      </c>
      <c r="C90" s="10"/>
      <c r="D90" s="12">
        <f>Table15[[#This Row],[Enrolment S.Y. 2025-2026 ]]*8</f>
        <v>0</v>
      </c>
      <c r="E90" s="12"/>
      <c r="F90" s="10"/>
      <c r="G90" s="12"/>
      <c r="H90" s="12">
        <f t="shared" si="16"/>
        <v>0</v>
      </c>
      <c r="I90" s="12">
        <f t="shared" si="17"/>
        <v>0</v>
      </c>
      <c r="J90" s="12">
        <f>Table15[[#This Row],[Enrolment S.Y. 2025-2026 ]]*8</f>
        <v>0</v>
      </c>
      <c r="K90" s="12"/>
      <c r="L90" s="10"/>
      <c r="M90" s="12"/>
      <c r="N90" s="12">
        <f t="shared" si="10"/>
        <v>0</v>
      </c>
      <c r="O90" s="12">
        <f t="shared" si="11"/>
        <v>0</v>
      </c>
      <c r="P90" s="12">
        <f>Table15[[#This Row],[Enrolment S.Y. 2025-2026 ]]*8</f>
        <v>0</v>
      </c>
      <c r="Q90" s="12"/>
      <c r="R90" s="10"/>
      <c r="S90" s="12"/>
      <c r="T90" s="12">
        <f t="shared" si="12"/>
        <v>0</v>
      </c>
      <c r="U90" s="12">
        <f t="shared" si="13"/>
        <v>0</v>
      </c>
      <c r="V90" s="12">
        <f>Table15[[#This Row],[Enrolment S.Y. 2025-2026 ]]*8</f>
        <v>0</v>
      </c>
      <c r="W90" s="12"/>
      <c r="X90" s="10"/>
      <c r="Y90" s="12"/>
      <c r="Z90" s="12">
        <f t="shared" si="14"/>
        <v>0</v>
      </c>
      <c r="AA90" s="12">
        <f t="shared" si="15"/>
        <v>0</v>
      </c>
    </row>
    <row r="91" spans="1:27" ht="19.149999999999999">
      <c r="A91" s="10">
        <v>9</v>
      </c>
      <c r="B91" s="11" t="s">
        <v>20</v>
      </c>
      <c r="C91" s="10"/>
      <c r="D91" s="12">
        <f>Table15[[#This Row],[Enrolment S.Y. 2025-2026 ]]*8</f>
        <v>0</v>
      </c>
      <c r="E91" s="12"/>
      <c r="F91" s="10"/>
      <c r="G91" s="12"/>
      <c r="H91" s="12">
        <f t="shared" si="16"/>
        <v>0</v>
      </c>
      <c r="I91" s="12">
        <f t="shared" si="17"/>
        <v>0</v>
      </c>
      <c r="J91" s="12">
        <f>Table15[[#This Row],[Enrolment S.Y. 2025-2026 ]]*8</f>
        <v>0</v>
      </c>
      <c r="K91" s="12"/>
      <c r="L91" s="10"/>
      <c r="M91" s="12"/>
      <c r="N91" s="12">
        <f t="shared" si="10"/>
        <v>0</v>
      </c>
      <c r="O91" s="12">
        <f t="shared" si="11"/>
        <v>0</v>
      </c>
      <c r="P91" s="12">
        <f>Table15[[#This Row],[Enrolment S.Y. 2025-2026 ]]*8</f>
        <v>0</v>
      </c>
      <c r="Q91" s="12"/>
      <c r="R91" s="10"/>
      <c r="S91" s="12"/>
      <c r="T91" s="12">
        <f t="shared" si="12"/>
        <v>0</v>
      </c>
      <c r="U91" s="12">
        <f t="shared" si="13"/>
        <v>0</v>
      </c>
      <c r="V91" s="12">
        <f>Table15[[#This Row],[Enrolment S.Y. 2025-2026 ]]*8</f>
        <v>0</v>
      </c>
      <c r="W91" s="12"/>
      <c r="X91" s="10"/>
      <c r="Y91" s="12"/>
      <c r="Z91" s="12">
        <f t="shared" si="14"/>
        <v>0</v>
      </c>
      <c r="AA91" s="12">
        <f t="shared" si="15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Table15[[#This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Table15[[#This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Table15[[#This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Table15[[#This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Table15[[#This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Table15[[#This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Table15[[#This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Table15[[#This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Table15[[#This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Table15[[#This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Table15[[#This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Table15[[#This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Table15[[#This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Table15[[#This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Table15[[#This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Table15[[#This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Table15[[#This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Table15[[#This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Table15[[#This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Table15[[#This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Table15[[#This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Table15[[#This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Table15[[#This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Table15[[#This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Table15[[#This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Table15[[#This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Table15[[#This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Table15[[#This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Table15[[#This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Table15[[#This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Table15[[#This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Table15[[#This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Table15[[#This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Table15[[#This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Table15[[#This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Table15[[#This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Table15[[#This Row],[Enrolment S.Y. 2025-2026 ]]*8</f>
        <v>0</v>
      </c>
      <c r="E103" s="5"/>
      <c r="F103" s="1"/>
      <c r="G103" s="5"/>
      <c r="H103" s="5">
        <f t="shared" si="16"/>
        <v>0</v>
      </c>
      <c r="I103" s="5">
        <f t="shared" si="17"/>
        <v>0</v>
      </c>
      <c r="J103" s="5">
        <f>Table15[[#This Row],[Enrolment S.Y. 2025-2026 ]]*8</f>
        <v>0</v>
      </c>
      <c r="K103" s="5"/>
      <c r="L103" s="1"/>
      <c r="M103" s="5"/>
      <c r="N103" s="5">
        <f t="shared" si="10"/>
        <v>0</v>
      </c>
      <c r="O103" s="5">
        <f t="shared" si="11"/>
        <v>0</v>
      </c>
      <c r="P103" s="5">
        <f>Table15[[#This Row],[Enrolment S.Y. 2025-2026 ]]*8</f>
        <v>0</v>
      </c>
      <c r="Q103" s="5"/>
      <c r="R103" s="1"/>
      <c r="S103" s="5"/>
      <c r="T103" s="5">
        <f t="shared" si="12"/>
        <v>0</v>
      </c>
      <c r="U103" s="5">
        <f t="shared" si="13"/>
        <v>0</v>
      </c>
      <c r="V103" s="5">
        <f>Table15[[#This Row],[Enrolment S.Y. 2025-2026 ]]*8</f>
        <v>0</v>
      </c>
      <c r="W103" s="5"/>
      <c r="X103" s="1"/>
      <c r="Y103" s="5"/>
      <c r="Z103" s="5">
        <f t="shared" si="14"/>
        <v>0</v>
      </c>
      <c r="AA103" s="5">
        <f t="shared" si="15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Table15[[#This Row],[Enrolment S.Y. 2025-2026 ]]*8</f>
        <v>0</v>
      </c>
      <c r="E104" s="5"/>
      <c r="F104" s="1"/>
      <c r="G104" s="5"/>
      <c r="H104" s="5">
        <f t="shared" si="16"/>
        <v>0</v>
      </c>
      <c r="I104" s="5">
        <f t="shared" si="17"/>
        <v>0</v>
      </c>
      <c r="J104" s="5">
        <f>Table15[[#This Row],[Enrolment S.Y. 2025-2026 ]]*8</f>
        <v>0</v>
      </c>
      <c r="K104" s="5"/>
      <c r="L104" s="1"/>
      <c r="M104" s="5"/>
      <c r="N104" s="5">
        <f t="shared" si="10"/>
        <v>0</v>
      </c>
      <c r="O104" s="5">
        <f t="shared" si="11"/>
        <v>0</v>
      </c>
      <c r="P104" s="5">
        <f>Table15[[#This Row],[Enrolment S.Y. 2025-2026 ]]*8</f>
        <v>0</v>
      </c>
      <c r="Q104" s="5"/>
      <c r="R104" s="1"/>
      <c r="S104" s="5"/>
      <c r="T104" s="5">
        <f t="shared" si="12"/>
        <v>0</v>
      </c>
      <c r="U104" s="5">
        <f t="shared" si="13"/>
        <v>0</v>
      </c>
      <c r="V104" s="5">
        <f>Table15[[#This Row],[Enrolment S.Y. 2025-2026 ]]*8</f>
        <v>0</v>
      </c>
      <c r="W104" s="5"/>
      <c r="X104" s="1"/>
      <c r="Y104" s="5"/>
      <c r="Z104" s="5">
        <f t="shared" si="14"/>
        <v>0</v>
      </c>
      <c r="AA104" s="5">
        <f t="shared" si="15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Table15[[#This Row],[Enrolment S.Y. 2025-2026 ]]*8</f>
        <v>0</v>
      </c>
      <c r="E105" s="5"/>
      <c r="F105" s="1"/>
      <c r="G105" s="5"/>
      <c r="H105" s="5">
        <f t="shared" si="16"/>
        <v>0</v>
      </c>
      <c r="I105" s="5">
        <f t="shared" si="17"/>
        <v>0</v>
      </c>
      <c r="J105" s="5">
        <f>Table15[[#This Row],[Enrolment S.Y. 2025-2026 ]]*8</f>
        <v>0</v>
      </c>
      <c r="K105" s="5"/>
      <c r="L105" s="1"/>
      <c r="M105" s="5"/>
      <c r="N105" s="5">
        <f t="shared" si="10"/>
        <v>0</v>
      </c>
      <c r="O105" s="5">
        <f t="shared" si="11"/>
        <v>0</v>
      </c>
      <c r="P105" s="5">
        <f>Table15[[#This Row],[Enrolment S.Y. 2025-2026 ]]*8</f>
        <v>0</v>
      </c>
      <c r="Q105" s="5"/>
      <c r="R105" s="1"/>
      <c r="S105" s="5"/>
      <c r="T105" s="5">
        <f t="shared" si="12"/>
        <v>0</v>
      </c>
      <c r="U105" s="5">
        <f t="shared" si="13"/>
        <v>0</v>
      </c>
      <c r="V105" s="5">
        <f>Table15[[#This Row],[Enrolment S.Y. 2025-2026 ]]*8</f>
        <v>0</v>
      </c>
      <c r="W105" s="5"/>
      <c r="X105" s="1"/>
      <c r="Y105" s="5"/>
      <c r="Z105" s="5">
        <f t="shared" si="14"/>
        <v>0</v>
      </c>
      <c r="AA105" s="5">
        <f t="shared" si="15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Table15[[#This Row],[Enrolment S.Y. 2025-2026 ]]*8</f>
        <v>0</v>
      </c>
      <c r="E106" s="5"/>
      <c r="F106" s="1"/>
      <c r="G106" s="5"/>
      <c r="H106" s="5">
        <f t="shared" si="16"/>
        <v>0</v>
      </c>
      <c r="I106" s="5">
        <f t="shared" si="17"/>
        <v>0</v>
      </c>
      <c r="J106" s="5">
        <f>Table15[[#This Row],[Enrolment S.Y. 2025-2026 ]]*8</f>
        <v>0</v>
      </c>
      <c r="K106" s="5"/>
      <c r="L106" s="1"/>
      <c r="M106" s="5"/>
      <c r="N106" s="5">
        <f t="shared" si="10"/>
        <v>0</v>
      </c>
      <c r="O106" s="5">
        <f t="shared" si="11"/>
        <v>0</v>
      </c>
      <c r="P106" s="5">
        <f>Table15[[#This Row],[Enrolment S.Y. 2025-2026 ]]*8</f>
        <v>0</v>
      </c>
      <c r="Q106" s="5"/>
      <c r="R106" s="1"/>
      <c r="S106" s="5"/>
      <c r="T106" s="5">
        <f t="shared" si="12"/>
        <v>0</v>
      </c>
      <c r="U106" s="5">
        <f t="shared" si="13"/>
        <v>0</v>
      </c>
      <c r="V106" s="5">
        <f>Table15[[#This Row],[Enrolment S.Y. 2025-2026 ]]*8</f>
        <v>0</v>
      </c>
      <c r="W106" s="5"/>
      <c r="X106" s="1"/>
      <c r="Y106" s="5"/>
      <c r="Z106" s="5">
        <f t="shared" si="14"/>
        <v>0</v>
      </c>
      <c r="AA106" s="5">
        <f t="shared" si="15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Table15[[#This Row],[Enrolment S.Y. 2025-2026 ]]*8</f>
        <v>0</v>
      </c>
      <c r="E107" s="5"/>
      <c r="F107" s="1"/>
      <c r="G107" s="5"/>
      <c r="H107" s="5">
        <f t="shared" si="16"/>
        <v>0</v>
      </c>
      <c r="I107" s="5">
        <f t="shared" si="17"/>
        <v>0</v>
      </c>
      <c r="J107" s="5">
        <f>Table15[[#This Row],[Enrolment S.Y. 2025-2026 ]]*8</f>
        <v>0</v>
      </c>
      <c r="K107" s="5"/>
      <c r="L107" s="1"/>
      <c r="M107" s="5"/>
      <c r="N107" s="5">
        <f t="shared" si="10"/>
        <v>0</v>
      </c>
      <c r="O107" s="5">
        <f t="shared" si="11"/>
        <v>0</v>
      </c>
      <c r="P107" s="5">
        <f>Table15[[#This Row],[Enrolment S.Y. 2025-2026 ]]*8</f>
        <v>0</v>
      </c>
      <c r="Q107" s="5"/>
      <c r="R107" s="1"/>
      <c r="S107" s="5"/>
      <c r="T107" s="5">
        <f t="shared" si="12"/>
        <v>0</v>
      </c>
      <c r="U107" s="5">
        <f t="shared" si="13"/>
        <v>0</v>
      </c>
      <c r="V107" s="5">
        <f>Table15[[#This Row],[Enrolment S.Y. 2025-2026 ]]*8</f>
        <v>0</v>
      </c>
      <c r="W107" s="5"/>
      <c r="X107" s="1"/>
      <c r="Y107" s="5"/>
      <c r="Z107" s="5">
        <f t="shared" si="14"/>
        <v>0</v>
      </c>
      <c r="AA107" s="5">
        <f t="shared" si="15"/>
        <v>0</v>
      </c>
    </row>
    <row r="108" spans="1:27" ht="34.5" customHeight="1">
      <c r="A108" s="1" t="s">
        <v>24</v>
      </c>
      <c r="B108" s="9" t="s">
        <v>30</v>
      </c>
      <c r="C108" s="1"/>
      <c r="D108" s="5">
        <f>Table15[[#This Row],[Enrolment S.Y. 2025-2026 ]]*8</f>
        <v>0</v>
      </c>
      <c r="E108" s="5"/>
      <c r="F108" s="1"/>
      <c r="G108" s="5"/>
      <c r="H108" s="5">
        <f t="shared" si="16"/>
        <v>0</v>
      </c>
      <c r="I108" s="5">
        <f t="shared" si="17"/>
        <v>0</v>
      </c>
      <c r="J108" s="5">
        <f>Table15[[#This Row],[Enrolment S.Y. 2025-2026 ]]*8</f>
        <v>0</v>
      </c>
      <c r="K108" s="5"/>
      <c r="L108" s="1"/>
      <c r="M108" s="5"/>
      <c r="N108" s="5">
        <f t="shared" si="10"/>
        <v>0</v>
      </c>
      <c r="O108" s="5">
        <f t="shared" si="11"/>
        <v>0</v>
      </c>
      <c r="P108" s="5">
        <f>Table15[[#This Row],[Enrolment S.Y. 2025-2026 ]]*8</f>
        <v>0</v>
      </c>
      <c r="Q108" s="5"/>
      <c r="R108" s="1"/>
      <c r="S108" s="5"/>
      <c r="T108" s="5">
        <f t="shared" si="12"/>
        <v>0</v>
      </c>
      <c r="U108" s="5">
        <f t="shared" si="13"/>
        <v>0</v>
      </c>
      <c r="V108" s="5">
        <f>Table15[[#This Row],[Enrolment S.Y. 2025-2026 ]]*8</f>
        <v>0</v>
      </c>
      <c r="W108" s="5"/>
      <c r="X108" s="1"/>
      <c r="Y108" s="5"/>
      <c r="Z108" s="5">
        <f t="shared" si="14"/>
        <v>0</v>
      </c>
      <c r="AA108" s="5">
        <f t="shared" si="15"/>
        <v>0</v>
      </c>
    </row>
    <row r="109" spans="1:27" ht="52.5" customHeight="1">
      <c r="A109" s="1" t="s">
        <v>24</v>
      </c>
      <c r="B109" s="9" t="s">
        <v>31</v>
      </c>
      <c r="C109" s="1"/>
      <c r="D109" s="5">
        <f>Table15[[#This Row],[Enrolment S.Y. 2025-2026 ]]*8</f>
        <v>0</v>
      </c>
      <c r="E109" s="5"/>
      <c r="F109" s="1"/>
      <c r="G109" s="5"/>
      <c r="H109" s="5">
        <f t="shared" si="16"/>
        <v>0</v>
      </c>
      <c r="I109" s="5">
        <f t="shared" si="17"/>
        <v>0</v>
      </c>
      <c r="J109" s="5">
        <f>Table15[[#This Row],[Enrolment S.Y. 2025-2026 ]]*8</f>
        <v>0</v>
      </c>
      <c r="K109" s="5"/>
      <c r="L109" s="1"/>
      <c r="M109" s="5"/>
      <c r="N109" s="5">
        <f t="shared" si="10"/>
        <v>0</v>
      </c>
      <c r="O109" s="5">
        <f t="shared" si="11"/>
        <v>0</v>
      </c>
      <c r="P109" s="5">
        <f>Table15[[#This Row],[Enrolment S.Y. 2025-2026 ]]*8</f>
        <v>0</v>
      </c>
      <c r="Q109" s="5"/>
      <c r="R109" s="1"/>
      <c r="S109" s="5"/>
      <c r="T109" s="5">
        <f t="shared" si="12"/>
        <v>0</v>
      </c>
      <c r="U109" s="5">
        <f t="shared" si="13"/>
        <v>0</v>
      </c>
      <c r="V109" s="5">
        <f>Table15[[#This Row],[Enrolment S.Y. 2025-2026 ]]*8</f>
        <v>0</v>
      </c>
      <c r="W109" s="5"/>
      <c r="X109" s="1"/>
      <c r="Y109" s="5"/>
      <c r="Z109" s="5">
        <f t="shared" si="14"/>
        <v>0</v>
      </c>
      <c r="AA109" s="5">
        <f t="shared" si="15"/>
        <v>0</v>
      </c>
    </row>
    <row r="110" spans="1:27" ht="51" customHeight="1">
      <c r="A110" s="1" t="s">
        <v>24</v>
      </c>
      <c r="B110" s="9" t="s">
        <v>32</v>
      </c>
      <c r="C110" s="1"/>
      <c r="D110" s="5">
        <f>Table15[[#This Row],[Enrolment S.Y. 2025-2026 ]]*8</f>
        <v>0</v>
      </c>
      <c r="E110" s="5"/>
      <c r="F110" s="1"/>
      <c r="G110" s="5"/>
      <c r="H110" s="5">
        <f t="shared" si="16"/>
        <v>0</v>
      </c>
      <c r="I110" s="5">
        <f t="shared" si="17"/>
        <v>0</v>
      </c>
      <c r="J110" s="5">
        <f>Table15[[#This Row],[Enrolment S.Y. 2025-2026 ]]*8</f>
        <v>0</v>
      </c>
      <c r="K110" s="5"/>
      <c r="L110" s="1"/>
      <c r="M110" s="5"/>
      <c r="N110" s="5">
        <f t="shared" si="10"/>
        <v>0</v>
      </c>
      <c r="O110" s="5">
        <f t="shared" si="11"/>
        <v>0</v>
      </c>
      <c r="P110" s="5">
        <f>Table15[[#This Row],[Enrolment S.Y. 2025-2026 ]]*8</f>
        <v>0</v>
      </c>
      <c r="Q110" s="5"/>
      <c r="R110" s="1"/>
      <c r="S110" s="5"/>
      <c r="T110" s="5">
        <f t="shared" si="12"/>
        <v>0</v>
      </c>
      <c r="U110" s="5">
        <f t="shared" si="13"/>
        <v>0</v>
      </c>
      <c r="V110" s="5">
        <f>Table15[[#This Row],[Enrolment S.Y. 2025-2026 ]]*8</f>
        <v>0</v>
      </c>
      <c r="W110" s="5"/>
      <c r="X110" s="1"/>
      <c r="Y110" s="5"/>
      <c r="Z110" s="5">
        <f t="shared" si="14"/>
        <v>0</v>
      </c>
      <c r="AA110" s="5">
        <f t="shared" si="15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16"/>
        <v>0</v>
      </c>
      <c r="I112" s="5">
        <f t="shared" si="17"/>
        <v>0</v>
      </c>
      <c r="J112" s="5">
        <f>Table15[[#This Row],[Enrolment S.Y. 2025-2026 ]]*8</f>
        <v>0</v>
      </c>
      <c r="K112" s="5"/>
      <c r="L112" s="1"/>
      <c r="M112" s="5"/>
      <c r="N112" s="5">
        <f t="shared" si="10"/>
        <v>0</v>
      </c>
      <c r="O112" s="5">
        <f t="shared" si="11"/>
        <v>0</v>
      </c>
      <c r="P112" s="5">
        <f>Table15[[#This Row],[Enrolment S.Y. 2025-2026 ]]*8</f>
        <v>0</v>
      </c>
      <c r="Q112" s="5"/>
      <c r="R112" s="1"/>
      <c r="S112" s="5"/>
      <c r="T112" s="5">
        <f t="shared" si="12"/>
        <v>0</v>
      </c>
      <c r="U112" s="5">
        <f t="shared" si="13"/>
        <v>0</v>
      </c>
      <c r="V112" s="5">
        <f>Table15[[#This Row],[Enrolment S.Y. 2025-2026 ]]*8</f>
        <v>0</v>
      </c>
      <c r="W112" s="5"/>
      <c r="X112" s="1"/>
      <c r="Y112" s="5"/>
      <c r="Z112" s="5">
        <f t="shared" si="14"/>
        <v>0</v>
      </c>
      <c r="AA112" s="5">
        <f t="shared" si="15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16"/>
        <v>0</v>
      </c>
      <c r="I113" s="5">
        <f t="shared" si="17"/>
        <v>0</v>
      </c>
      <c r="J113" s="5">
        <f>Table15[[#This Row],[Enrolment S.Y. 2025-2026 ]]*8</f>
        <v>0</v>
      </c>
      <c r="K113" s="5"/>
      <c r="L113" s="1"/>
      <c r="M113" s="5"/>
      <c r="N113" s="5">
        <f t="shared" si="10"/>
        <v>0</v>
      </c>
      <c r="O113" s="5">
        <f t="shared" si="11"/>
        <v>0</v>
      </c>
      <c r="P113" s="5">
        <f>Table15[[#This Row],[Enrolment S.Y. 2025-2026 ]]*8</f>
        <v>0</v>
      </c>
      <c r="Q113" s="5"/>
      <c r="R113" s="1"/>
      <c r="S113" s="5"/>
      <c r="T113" s="5">
        <f t="shared" si="12"/>
        <v>0</v>
      </c>
      <c r="U113" s="5">
        <f t="shared" si="13"/>
        <v>0</v>
      </c>
      <c r="V113" s="5">
        <f>Table15[[#This Row],[Enrolment S.Y. 2025-2026 ]]*8</f>
        <v>0</v>
      </c>
      <c r="W113" s="5"/>
      <c r="X113" s="1"/>
      <c r="Y113" s="5"/>
      <c r="Z113" s="5">
        <f t="shared" si="14"/>
        <v>0</v>
      </c>
      <c r="AA113" s="5">
        <f t="shared" si="15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16"/>
        <v>0</v>
      </c>
      <c r="I114" s="5">
        <f t="shared" si="17"/>
        <v>0</v>
      </c>
      <c r="J114" s="5">
        <f>Table15[[#This Row],[Enrolment S.Y. 2025-2026 ]]*8</f>
        <v>0</v>
      </c>
      <c r="K114" s="5"/>
      <c r="L114" s="1"/>
      <c r="M114" s="5"/>
      <c r="N114" s="5">
        <f t="shared" si="10"/>
        <v>0</v>
      </c>
      <c r="O114" s="5">
        <f t="shared" si="11"/>
        <v>0</v>
      </c>
      <c r="P114" s="5">
        <f>Table15[[#This Row],[Enrolment S.Y. 2025-2026 ]]*8</f>
        <v>0</v>
      </c>
      <c r="Q114" s="5"/>
      <c r="R114" s="1"/>
      <c r="S114" s="5"/>
      <c r="T114" s="5">
        <f t="shared" si="12"/>
        <v>0</v>
      </c>
      <c r="U114" s="5">
        <f t="shared" si="13"/>
        <v>0</v>
      </c>
      <c r="V114" s="5">
        <f>Table15[[#This Row],[Enrolment S.Y. 2025-2026 ]]*8</f>
        <v>0</v>
      </c>
      <c r="W114" s="5"/>
      <c r="X114" s="1"/>
      <c r="Y114" s="5"/>
      <c r="Z114" s="5">
        <f t="shared" si="14"/>
        <v>0</v>
      </c>
      <c r="AA114" s="5">
        <f t="shared" si="15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16"/>
        <v>0</v>
      </c>
      <c r="I115" s="5">
        <f t="shared" si="17"/>
        <v>0</v>
      </c>
      <c r="J115" s="5">
        <f>Table15[[#This Row],[Enrolment S.Y. 2025-2026 ]]*8</f>
        <v>0</v>
      </c>
      <c r="K115" s="5"/>
      <c r="L115" s="1"/>
      <c r="M115" s="5"/>
      <c r="N115" s="5">
        <f t="shared" si="10"/>
        <v>0</v>
      </c>
      <c r="O115" s="5">
        <f t="shared" si="11"/>
        <v>0</v>
      </c>
      <c r="P115" s="5">
        <f>Table15[[#This Row],[Enrolment S.Y. 2025-2026 ]]*8</f>
        <v>0</v>
      </c>
      <c r="Q115" s="5"/>
      <c r="R115" s="1"/>
      <c r="S115" s="5"/>
      <c r="T115" s="5">
        <f t="shared" si="12"/>
        <v>0</v>
      </c>
      <c r="U115" s="5">
        <f t="shared" si="13"/>
        <v>0</v>
      </c>
      <c r="V115" s="5">
        <f>Table15[[#This Row],[Enrolment S.Y. 2025-2026 ]]*8</f>
        <v>0</v>
      </c>
      <c r="W115" s="5"/>
      <c r="X115" s="1"/>
      <c r="Y115" s="5"/>
      <c r="Z115" s="5">
        <f t="shared" si="14"/>
        <v>0</v>
      </c>
      <c r="AA115" s="5">
        <f t="shared" si="15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16"/>
        <v>0</v>
      </c>
      <c r="I116" s="5">
        <f t="shared" si="17"/>
        <v>0</v>
      </c>
      <c r="J116" s="5">
        <f>Table15[[#This Row],[Enrolment S.Y. 2025-2026 ]]*8</f>
        <v>0</v>
      </c>
      <c r="K116" s="5"/>
      <c r="L116" s="1"/>
      <c r="M116" s="5"/>
      <c r="N116" s="5">
        <f t="shared" si="10"/>
        <v>0</v>
      </c>
      <c r="O116" s="5">
        <f t="shared" si="11"/>
        <v>0</v>
      </c>
      <c r="P116" s="5">
        <f>Table15[[#This Row],[Enrolment S.Y. 2025-2026 ]]*8</f>
        <v>0</v>
      </c>
      <c r="Q116" s="5"/>
      <c r="R116" s="1"/>
      <c r="S116" s="5"/>
      <c r="T116" s="5">
        <f t="shared" si="12"/>
        <v>0</v>
      </c>
      <c r="U116" s="5">
        <f t="shared" si="13"/>
        <v>0</v>
      </c>
      <c r="V116" s="5">
        <f>Table15[[#This Row],[Enrolment S.Y. 2025-2026 ]]*8</f>
        <v>0</v>
      </c>
      <c r="W116" s="5"/>
      <c r="X116" s="1"/>
      <c r="Y116" s="5"/>
      <c r="Z116" s="5">
        <f t="shared" si="14"/>
        <v>0</v>
      </c>
      <c r="AA116" s="5">
        <f t="shared" si="15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16"/>
        <v>0</v>
      </c>
      <c r="I117" s="5">
        <f t="shared" si="17"/>
        <v>0</v>
      </c>
      <c r="J117" s="5">
        <f>Table15[[#This Row],[Enrolment S.Y. 2025-2026 ]]*8</f>
        <v>0</v>
      </c>
      <c r="K117" s="5"/>
      <c r="L117" s="1"/>
      <c r="M117" s="5"/>
      <c r="N117" s="5">
        <f t="shared" si="10"/>
        <v>0</v>
      </c>
      <c r="O117" s="5">
        <f t="shared" si="11"/>
        <v>0</v>
      </c>
      <c r="P117" s="5">
        <f>Table15[[#This Row],[Enrolment S.Y. 2025-2026 ]]*8</f>
        <v>0</v>
      </c>
      <c r="Q117" s="5"/>
      <c r="R117" s="1"/>
      <c r="S117" s="5"/>
      <c r="T117" s="5">
        <f t="shared" si="12"/>
        <v>0</v>
      </c>
      <c r="U117" s="5">
        <f t="shared" si="13"/>
        <v>0</v>
      </c>
      <c r="V117" s="5">
        <f>Table15[[#This Row],[Enrolment S.Y. 2025-2026 ]]*8</f>
        <v>0</v>
      </c>
      <c r="W117" s="5"/>
      <c r="X117" s="1"/>
      <c r="Y117" s="5"/>
      <c r="Z117" s="5">
        <f t="shared" si="14"/>
        <v>0</v>
      </c>
      <c r="AA117" s="5">
        <f t="shared" si="15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16"/>
        <v>0</v>
      </c>
      <c r="I118" s="5">
        <f t="shared" si="17"/>
        <v>0</v>
      </c>
      <c r="J118" s="5">
        <f>Table15[[#This Row],[Enrolment S.Y. 2025-2026 ]]*8</f>
        <v>0</v>
      </c>
      <c r="K118" s="5"/>
      <c r="L118" s="1"/>
      <c r="M118" s="5"/>
      <c r="N118" s="5">
        <f t="shared" si="10"/>
        <v>0</v>
      </c>
      <c r="O118" s="5">
        <f t="shared" si="11"/>
        <v>0</v>
      </c>
      <c r="P118" s="5">
        <f>Table15[[#This Row],[Enrolment S.Y. 2025-2026 ]]*8</f>
        <v>0</v>
      </c>
      <c r="Q118" s="5"/>
      <c r="R118" s="1"/>
      <c r="S118" s="5"/>
      <c r="T118" s="5">
        <f t="shared" si="12"/>
        <v>0</v>
      </c>
      <c r="U118" s="5">
        <f t="shared" si="13"/>
        <v>0</v>
      </c>
      <c r="V118" s="5">
        <f>Table15[[#This Row],[Enrolment S.Y. 2025-2026 ]]*8</f>
        <v>0</v>
      </c>
      <c r="W118" s="5"/>
      <c r="X118" s="1"/>
      <c r="Y118" s="5"/>
      <c r="Z118" s="5">
        <f t="shared" si="14"/>
        <v>0</v>
      </c>
      <c r="AA118" s="5">
        <f t="shared" si="15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16"/>
        <v>0</v>
      </c>
      <c r="I119" s="5">
        <f t="shared" si="17"/>
        <v>0</v>
      </c>
      <c r="J119" s="5">
        <f>Table15[[#This Row],[Enrolment S.Y. 2025-2026 ]]*8</f>
        <v>0</v>
      </c>
      <c r="K119" s="5"/>
      <c r="L119" s="1"/>
      <c r="M119" s="5"/>
      <c r="N119" s="5">
        <f t="shared" si="10"/>
        <v>0</v>
      </c>
      <c r="O119" s="5">
        <f t="shared" si="11"/>
        <v>0</v>
      </c>
      <c r="P119" s="5">
        <f>Table15[[#This Row],[Enrolment S.Y. 2025-2026 ]]*8</f>
        <v>0</v>
      </c>
      <c r="Q119" s="5"/>
      <c r="R119" s="1"/>
      <c r="S119" s="5"/>
      <c r="T119" s="5">
        <f t="shared" si="12"/>
        <v>0</v>
      </c>
      <c r="U119" s="5">
        <f t="shared" si="13"/>
        <v>0</v>
      </c>
      <c r="V119" s="5">
        <f>Table15[[#This Row],[Enrolment S.Y. 2025-2026 ]]*8</f>
        <v>0</v>
      </c>
      <c r="W119" s="5"/>
      <c r="X119" s="1"/>
      <c r="Y119" s="5"/>
      <c r="Z119" s="5">
        <f t="shared" si="14"/>
        <v>0</v>
      </c>
      <c r="AA119" s="5">
        <f t="shared" si="15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16"/>
        <v>0</v>
      </c>
      <c r="I120" s="5">
        <f t="shared" si="17"/>
        <v>0</v>
      </c>
      <c r="J120" s="5">
        <f>Table15[[#This Row],[Enrolment S.Y. 2025-2026 ]]*8</f>
        <v>0</v>
      </c>
      <c r="K120" s="5"/>
      <c r="L120" s="1"/>
      <c r="M120" s="5"/>
      <c r="N120" s="5">
        <f t="shared" si="10"/>
        <v>0</v>
      </c>
      <c r="O120" s="5">
        <f t="shared" si="11"/>
        <v>0</v>
      </c>
      <c r="P120" s="5">
        <f>Table15[[#This Row],[Enrolment S.Y. 2025-2026 ]]*8</f>
        <v>0</v>
      </c>
      <c r="Q120" s="5"/>
      <c r="R120" s="1"/>
      <c r="S120" s="5"/>
      <c r="T120" s="5">
        <f t="shared" si="12"/>
        <v>0</v>
      </c>
      <c r="U120" s="5">
        <f t="shared" si="13"/>
        <v>0</v>
      </c>
      <c r="V120" s="5">
        <f>Table15[[#This Row],[Enrolment S.Y. 2025-2026 ]]*8</f>
        <v>0</v>
      </c>
      <c r="W120" s="5"/>
      <c r="X120" s="1"/>
      <c r="Y120" s="5"/>
      <c r="Z120" s="5">
        <f t="shared" si="14"/>
        <v>0</v>
      </c>
      <c r="AA120" s="5">
        <f t="shared" si="15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16"/>
        <v>0</v>
      </c>
      <c r="I121" s="5">
        <f t="shared" si="17"/>
        <v>0</v>
      </c>
      <c r="J121" s="5">
        <f>Table15[[#This Row],[Enrolment S.Y. 2025-2026 ]]*8</f>
        <v>0</v>
      </c>
      <c r="K121" s="5"/>
      <c r="L121" s="1"/>
      <c r="M121" s="5"/>
      <c r="N121" s="5">
        <f t="shared" si="10"/>
        <v>0</v>
      </c>
      <c r="O121" s="5">
        <f t="shared" si="11"/>
        <v>0</v>
      </c>
      <c r="P121" s="5">
        <f>Table15[[#This Row],[Enrolment S.Y. 2025-2026 ]]*8</f>
        <v>0</v>
      </c>
      <c r="Q121" s="5"/>
      <c r="R121" s="1"/>
      <c r="S121" s="5"/>
      <c r="T121" s="5">
        <f t="shared" si="12"/>
        <v>0</v>
      </c>
      <c r="U121" s="5">
        <f t="shared" si="13"/>
        <v>0</v>
      </c>
      <c r="V121" s="5">
        <f>Table15[[#This Row],[Enrolment S.Y. 2025-2026 ]]*8</f>
        <v>0</v>
      </c>
      <c r="W121" s="5"/>
      <c r="X121" s="1"/>
      <c r="Y121" s="5"/>
      <c r="Z121" s="5">
        <f t="shared" si="14"/>
        <v>0</v>
      </c>
      <c r="AA121" s="5">
        <f t="shared" si="15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16"/>
        <v>0</v>
      </c>
      <c r="I122" s="5">
        <f t="shared" si="17"/>
        <v>0</v>
      </c>
      <c r="J122" s="5">
        <f>Table15[[#This Row],[Enrolment S.Y. 2025-2026 ]]*8</f>
        <v>0</v>
      </c>
      <c r="K122" s="5"/>
      <c r="L122" s="1"/>
      <c r="M122" s="5"/>
      <c r="N122" s="5">
        <f t="shared" si="10"/>
        <v>0</v>
      </c>
      <c r="O122" s="5">
        <f t="shared" si="11"/>
        <v>0</v>
      </c>
      <c r="P122" s="5">
        <f>Table15[[#This Row],[Enrolment S.Y. 2025-2026 ]]*8</f>
        <v>0</v>
      </c>
      <c r="Q122" s="5"/>
      <c r="R122" s="1"/>
      <c r="S122" s="5"/>
      <c r="T122" s="5">
        <f t="shared" si="12"/>
        <v>0</v>
      </c>
      <c r="U122" s="5">
        <f t="shared" si="13"/>
        <v>0</v>
      </c>
      <c r="V122" s="5">
        <f>Table15[[#This Row],[Enrolment S.Y. 2025-2026 ]]*8</f>
        <v>0</v>
      </c>
      <c r="W122" s="5"/>
      <c r="X122" s="1"/>
      <c r="Y122" s="5"/>
      <c r="Z122" s="5">
        <f t="shared" si="14"/>
        <v>0</v>
      </c>
      <c r="AA122" s="5">
        <f t="shared" si="15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16"/>
        <v>0</v>
      </c>
      <c r="I123" s="5">
        <f t="shared" si="17"/>
        <v>0</v>
      </c>
      <c r="J123" s="5">
        <f>Table15[[#This Row],[Enrolment S.Y. 2025-2026 ]]*8</f>
        <v>0</v>
      </c>
      <c r="K123" s="5"/>
      <c r="L123" s="1"/>
      <c r="M123" s="5"/>
      <c r="N123" s="5">
        <f t="shared" si="10"/>
        <v>0</v>
      </c>
      <c r="O123" s="5">
        <f t="shared" si="11"/>
        <v>0</v>
      </c>
      <c r="P123" s="5">
        <f>Table15[[#This Row],[Enrolment S.Y. 2025-2026 ]]*8</f>
        <v>0</v>
      </c>
      <c r="Q123" s="5"/>
      <c r="R123" s="1"/>
      <c r="S123" s="5"/>
      <c r="T123" s="5">
        <f t="shared" si="12"/>
        <v>0</v>
      </c>
      <c r="U123" s="5">
        <f t="shared" si="13"/>
        <v>0</v>
      </c>
      <c r="V123" s="5">
        <f>Table15[[#This Row],[Enrolment S.Y. 2025-2026 ]]*8</f>
        <v>0</v>
      </c>
      <c r="W123" s="5"/>
      <c r="X123" s="1"/>
      <c r="Y123" s="5"/>
      <c r="Z123" s="5">
        <f t="shared" si="14"/>
        <v>0</v>
      </c>
      <c r="AA123" s="5">
        <f t="shared" si="15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16"/>
        <v>0</v>
      </c>
      <c r="I124" s="5">
        <f t="shared" si="17"/>
        <v>0</v>
      </c>
      <c r="J124" s="5">
        <f>Table15[[#This Row],[Enrolment S.Y. 2025-2026 ]]*8</f>
        <v>0</v>
      </c>
      <c r="K124" s="5"/>
      <c r="L124" s="1"/>
      <c r="M124" s="5"/>
      <c r="N124" s="5">
        <f t="shared" si="10"/>
        <v>0</v>
      </c>
      <c r="O124" s="5">
        <f t="shared" si="11"/>
        <v>0</v>
      </c>
      <c r="P124" s="5">
        <f>Table15[[#This Row],[Enrolment S.Y. 2025-2026 ]]*8</f>
        <v>0</v>
      </c>
      <c r="Q124" s="5"/>
      <c r="R124" s="1"/>
      <c r="S124" s="5"/>
      <c r="T124" s="5">
        <f t="shared" si="12"/>
        <v>0</v>
      </c>
      <c r="U124" s="5">
        <f t="shared" si="13"/>
        <v>0</v>
      </c>
      <c r="V124" s="5">
        <f>Table15[[#This Row],[Enrolment S.Y. 2025-2026 ]]*8</f>
        <v>0</v>
      </c>
      <c r="W124" s="5"/>
      <c r="X124" s="1"/>
      <c r="Y124" s="5"/>
      <c r="Z124" s="5">
        <f t="shared" si="14"/>
        <v>0</v>
      </c>
      <c r="AA124" s="5">
        <f t="shared" si="15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16"/>
        <v>0</v>
      </c>
      <c r="I125" s="5">
        <f t="shared" si="17"/>
        <v>0</v>
      </c>
      <c r="J125" s="5">
        <f>Table15[[#This Row],[Enrolment S.Y. 2025-2026 ]]*8</f>
        <v>0</v>
      </c>
      <c r="K125" s="5"/>
      <c r="L125" s="1"/>
      <c r="M125" s="5"/>
      <c r="N125" s="5">
        <f t="shared" si="10"/>
        <v>0</v>
      </c>
      <c r="O125" s="5">
        <f t="shared" si="11"/>
        <v>0</v>
      </c>
      <c r="P125" s="5">
        <f>Table15[[#This Row],[Enrolment S.Y. 2025-2026 ]]*8</f>
        <v>0</v>
      </c>
      <c r="Q125" s="5"/>
      <c r="R125" s="1"/>
      <c r="S125" s="5"/>
      <c r="T125" s="5">
        <f t="shared" si="12"/>
        <v>0</v>
      </c>
      <c r="U125" s="5">
        <f t="shared" si="13"/>
        <v>0</v>
      </c>
      <c r="V125" s="5">
        <f>Table15[[#This Row],[Enrolment S.Y. 2025-2026 ]]*8</f>
        <v>0</v>
      </c>
      <c r="W125" s="5"/>
      <c r="X125" s="1"/>
      <c r="Y125" s="5"/>
      <c r="Z125" s="5">
        <f t="shared" si="14"/>
        <v>0</v>
      </c>
      <c r="AA125" s="5">
        <f t="shared" si="15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16"/>
        <v>0</v>
      </c>
      <c r="I126" s="5">
        <f t="shared" si="17"/>
        <v>0</v>
      </c>
      <c r="J126" s="5">
        <f>Table15[[#This Row],[Enrolment S.Y. 2025-2026 ]]*8</f>
        <v>0</v>
      </c>
      <c r="K126" s="5"/>
      <c r="L126" s="1"/>
      <c r="M126" s="5"/>
      <c r="N126" s="5">
        <f t="shared" si="10"/>
        <v>0</v>
      </c>
      <c r="O126" s="5">
        <f t="shared" si="11"/>
        <v>0</v>
      </c>
      <c r="P126" s="5">
        <f>Table15[[#This Row],[Enrolment S.Y. 2025-2026 ]]*8</f>
        <v>0</v>
      </c>
      <c r="Q126" s="5"/>
      <c r="R126" s="1"/>
      <c r="S126" s="5"/>
      <c r="T126" s="5">
        <f t="shared" si="12"/>
        <v>0</v>
      </c>
      <c r="U126" s="5">
        <f t="shared" si="13"/>
        <v>0</v>
      </c>
      <c r="V126" s="5">
        <f>Table15[[#This Row],[Enrolment S.Y. 2025-2026 ]]*8</f>
        <v>0</v>
      </c>
      <c r="W126" s="5"/>
      <c r="X126" s="1"/>
      <c r="Y126" s="5"/>
      <c r="Z126" s="5">
        <f t="shared" si="14"/>
        <v>0</v>
      </c>
      <c r="AA126" s="5">
        <f t="shared" si="15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16"/>
        <v>0</v>
      </c>
      <c r="I127" s="5">
        <f t="shared" si="17"/>
        <v>0</v>
      </c>
      <c r="J127" s="5">
        <f>Table15[[#This Row],[Enrolment S.Y. 2025-2026 ]]*8</f>
        <v>0</v>
      </c>
      <c r="K127" s="31"/>
      <c r="L127" s="29"/>
      <c r="M127" s="31"/>
      <c r="N127" s="5">
        <f t="shared" si="10"/>
        <v>0</v>
      </c>
      <c r="O127" s="5">
        <f t="shared" si="11"/>
        <v>0</v>
      </c>
      <c r="P127" s="5"/>
      <c r="Q127" s="31"/>
      <c r="R127" s="29"/>
      <c r="S127" s="31"/>
      <c r="T127" s="5">
        <f t="shared" si="12"/>
        <v>0</v>
      </c>
      <c r="U127" s="5">
        <f t="shared" si="13"/>
        <v>0</v>
      </c>
      <c r="V127" s="5">
        <f>Table15[[#This Row],[Enrolment S.Y. 2025-2026 ]]*8</f>
        <v>0</v>
      </c>
      <c r="W127" s="31"/>
      <c r="X127" s="29"/>
      <c r="Y127" s="31"/>
      <c r="Z127" s="5">
        <f t="shared" si="14"/>
        <v>0</v>
      </c>
      <c r="AA127" s="5">
        <f t="shared" si="15"/>
        <v>0</v>
      </c>
    </row>
    <row r="128" spans="1:27" ht="13.9">
      <c r="J128" t="e">
        <f>#REF!*8</f>
        <v>#REF!</v>
      </c>
    </row>
    <row r="129" spans="10:10" ht="13.9">
      <c r="J129" t="e">
        <f>#REF!*8</f>
        <v>#REF!</v>
      </c>
    </row>
    <row r="130" spans="10:10" ht="13.9">
      <c r="J130" t="e">
        <f>#REF!*8</f>
        <v>#REF!</v>
      </c>
    </row>
    <row r="131" spans="10:10" ht="13.9">
      <c r="J131" t="e">
        <f>#REF!*8</f>
        <v>#REF!</v>
      </c>
    </row>
    <row r="132" spans="10:10" ht="13.9">
      <c r="J132" t="e">
        <f>#REF!*8</f>
        <v>#REF!</v>
      </c>
    </row>
    <row r="133" spans="10:10" ht="13.9">
      <c r="J133" t="e">
        <f>#REF!*8</f>
        <v>#REF!</v>
      </c>
    </row>
    <row r="134" spans="10:10" ht="13.9">
      <c r="J134" t="e">
        <f>#REF!*8</f>
        <v>#REF!</v>
      </c>
    </row>
    <row r="135" spans="10:10" ht="13.9">
      <c r="J135" t="e">
        <f>#REF!*8</f>
        <v>#REF!</v>
      </c>
    </row>
    <row r="136" spans="10:10" ht="13.9">
      <c r="J136" t="e">
        <f>#REF!*8</f>
        <v>#REF!</v>
      </c>
    </row>
    <row r="137" spans="10:10" ht="13.9">
      <c r="J137" t="e">
        <f>#REF!*8</f>
        <v>#REF!</v>
      </c>
    </row>
    <row r="138" spans="10:10" ht="13.9">
      <c r="J138" t="e">
        <f>#REF!*8</f>
        <v>#REF!</v>
      </c>
    </row>
    <row r="139" spans="10:10" ht="13.9">
      <c r="J139" t="e">
        <f>#REF!*8</f>
        <v>#REF!</v>
      </c>
    </row>
    <row r="140" spans="10:10" ht="13.9">
      <c r="J140" t="e">
        <f>#REF!*8</f>
        <v>#REF!</v>
      </c>
    </row>
    <row r="141" spans="10:10" ht="13.9">
      <c r="J141" t="e">
        <f>#REF!*8</f>
        <v>#REF!</v>
      </c>
    </row>
    <row r="142" spans="10:10" ht="13.9">
      <c r="J142" t="e">
        <f>#REF!*8</f>
        <v>#REF!</v>
      </c>
    </row>
    <row r="143" spans="10:10" ht="13.9">
      <c r="J143" t="e">
        <f>#REF!*8</f>
        <v>#REF!</v>
      </c>
    </row>
    <row r="144" spans="10:10" ht="13.9">
      <c r="J144" t="e">
        <f>#REF!*8</f>
        <v>#REF!</v>
      </c>
    </row>
    <row r="145" spans="10:10" ht="13.9">
      <c r="J145" t="e">
        <f>#REF!*8</f>
        <v>#REF!</v>
      </c>
    </row>
    <row r="146" spans="10:10" ht="13.9">
      <c r="J146" t="e">
        <f>#REF!*8</f>
        <v>#REF!</v>
      </c>
    </row>
    <row r="147" spans="10:10" ht="13.9">
      <c r="J147" t="e">
        <f>#REF!*8</f>
        <v>#REF!</v>
      </c>
    </row>
    <row r="148" spans="10:10" ht="13.9">
      <c r="J148" t="e">
        <f>#REF!*8</f>
        <v>#REF!</v>
      </c>
    </row>
    <row r="149" spans="10:10" ht="13.9">
      <c r="J149" t="e">
        <f>#REF!*8</f>
        <v>#REF!</v>
      </c>
    </row>
    <row r="150" spans="10:10" ht="13.9">
      <c r="J150" t="e">
        <f>#REF!*8</f>
        <v>#REF!</v>
      </c>
    </row>
    <row r="151" spans="10:10" ht="13.9">
      <c r="J151" t="e">
        <f>#REF!*8</f>
        <v>#REF!</v>
      </c>
    </row>
    <row r="152" spans="10:10" ht="13.9">
      <c r="J152" t="e">
        <f>#REF!*8</f>
        <v>#REF!</v>
      </c>
    </row>
    <row r="153" spans="10:10" ht="13.9">
      <c r="J153" t="e">
        <f>#REF!*8</f>
        <v>#REF!</v>
      </c>
    </row>
    <row r="154" spans="10:10" ht="13.9">
      <c r="J154" t="e">
        <f>#REF!*8</f>
        <v>#REF!</v>
      </c>
    </row>
    <row r="155" spans="10:10" ht="13.9">
      <c r="J155" t="e">
        <f>#REF!*8</f>
        <v>#REF!</v>
      </c>
    </row>
    <row r="156" spans="10:10" ht="13.9">
      <c r="J156" t="e">
        <f>#REF!*8</f>
        <v>#REF!</v>
      </c>
    </row>
    <row r="157" spans="10:10" ht="13.9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2 H5:L5 D14:F21 Q14:R21 W14:X21 D23:F31 Q23:R31 W23:X31 D33:D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11:F12 D3 D5:D10" name="LAS"/>
    <protectedRange sqref="G2:I2 M2:O2 S2:U3 Y2:AA3 G112:G127 M112:M127 S112:S127 Y112:Y127 G11:G12 M5:M12 S4:S110 Y5:Y12 G14:G21 M14:M110 M3 Y14:Y110 G23:G31 G43:G51 G53:G61 G63:G71 G73:G81 G83:G91 G93:G101 G103:G110 H3:I3" name="SOURCE"/>
    <protectedRange sqref="E3:F3" name="LAS_2"/>
    <protectedRange sqref="G3 G5:G10" name="SOURCE_1"/>
    <protectedRange sqref="E5:F10" name="LAS_3"/>
    <protectedRange sqref="G33:G41" name="SOURCE_2"/>
    <protectedRange sqref="F33:F41" name="LAS_4"/>
    <protectedRange sqref="E33:E41" name="LAS_1_2"/>
  </protectedRanges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M14:M110 Y14:Y110 S4:S110 G103:G110 M5:M12 Y5:Y12 G14:G21 G23:G31 G3 G43:G51 G53:G61 G63:G71 G73:G81 G83:G91 G93:G101 G5:G12 G33:G41" xr:uid="{692BA5B8-E146-4546-9AB1-BFB46C4D0768}">
      <formula1>"CO,RO,SDO,LGU,SCHOOL"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F3E2C7C2-1C5F-41ED-8599-5181B08FAE0F}">
      <formula1>"2024,2025"</formula1>
    </dataValidation>
    <dataValidation type="list" allowBlank="1" showInputMessage="1" showErrorMessage="1" sqref="S112:S127 M112:M127 Y112:Y127 G112:G127" xr:uid="{035EC0DA-2AC2-4186-AF2A-8A3085F5F50B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Pateros Elementary School</cp:lastModifiedBy>
  <cp:revision/>
  <dcterms:created xsi:type="dcterms:W3CDTF">2025-11-19T20:48:15Z</dcterms:created>
  <dcterms:modified xsi:type="dcterms:W3CDTF">2026-01-07T08:17:39Z</dcterms:modified>
  <cp:category/>
  <cp:contentStatus/>
</cp:coreProperties>
</file>