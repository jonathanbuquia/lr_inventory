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4" documentId="13_ncr:1_{BFB59F67-F0DC-4675-A682-EB0734A8026A}" xr6:coauthVersionLast="47" xr6:coauthVersionMax="47" xr10:uidLastSave="{BF6C4A40-3090-45BB-9907-378DA58A94BB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  <c r="D67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I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H64" i="4" l="1"/>
  <c r="I64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<sst xmlns="http://schemas.openxmlformats.org/spreadsheetml/2006/main" count="417" uniqueCount="92">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</sst>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3" activePane="topRight" state="frozen"/>
      <selection pane="topRight" activeCell="E51" sqref="E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510</v>
      </c>
      <c r="D51" s="10">
        <v>582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72</v>
      </c>
    </row>
    <row r="52" spans="1:8" ht="27.75" customHeight="1">
      <c r="A52" s="10">
        <v>7</v>
      </c>
      <c r="B52" s="11" t="s">
        <v>15</v>
      </c>
      <c r="C52" s="10">
        <v>510</v>
      </c>
      <c r="D52" s="10"/>
      <c r="E52" s="10"/>
      <c r="F52" s="12"/>
      <c r="G52" s="3">
        <f t="shared" si="10"/>
        <v>510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510</v>
      </c>
      <c r="D53" s="10"/>
      <c r="E53" s="10"/>
      <c r="F53" s="12"/>
      <c r="G53" s="3">
        <f t="shared" si="10"/>
        <v>510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510</v>
      </c>
      <c r="D54" s="10"/>
      <c r="E54" s="10"/>
      <c r="F54" s="12"/>
      <c r="G54" s="3">
        <f t="shared" si="10"/>
        <v>510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510</v>
      </c>
      <c r="D55" s="10"/>
      <c r="E55" s="10"/>
      <c r="F55" s="12"/>
      <c r="G55" s="3">
        <f t="shared" si="10"/>
        <v>510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510</v>
      </c>
      <c r="D56" s="10"/>
      <c r="E56" s="10"/>
      <c r="F56" s="12"/>
      <c r="G56" s="3">
        <f t="shared" si="10"/>
        <v>510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510</v>
      </c>
      <c r="D57" s="10"/>
      <c r="E57" s="10"/>
      <c r="F57" s="12"/>
      <c r="G57" s="3">
        <f t="shared" si="10"/>
        <v>510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510</v>
      </c>
      <c r="D58" s="10">
        <v>582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72</v>
      </c>
    </row>
    <row r="59" spans="1:8" ht="27.75" customHeight="1">
      <c r="A59" s="10">
        <v>7</v>
      </c>
      <c r="B59" s="11" t="s">
        <v>19</v>
      </c>
      <c r="C59" s="10">
        <v>510</v>
      </c>
      <c r="D59" s="10">
        <v>582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72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525</v>
      </c>
      <c r="D61" s="10"/>
      <c r="E61" s="10"/>
      <c r="F61" s="12"/>
      <c r="G61" s="3">
        <f t="shared" ref="G61:G69" si="12">IF((C61-D61)&lt;0,0,C61-D61)</f>
        <v>525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525</v>
      </c>
      <c r="D62" s="10"/>
      <c r="E62" s="10"/>
      <c r="F62" s="12"/>
      <c r="G62" s="3">
        <f t="shared" si="12"/>
        <v>525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525</v>
      </c>
      <c r="D63" s="10">
        <v>505</v>
      </c>
      <c r="E63" s="10">
        <v>2025</v>
      </c>
      <c r="F63" s="12" t="s">
        <v>20</v>
      </c>
      <c r="G63" s="3">
        <f t="shared" si="12"/>
        <v>20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525</v>
      </c>
      <c r="D64" s="10"/>
      <c r="E64" s="10"/>
      <c r="F64" s="12"/>
      <c r="G64" s="3">
        <f t="shared" si="12"/>
        <v>525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525</v>
      </c>
      <c r="D65" s="10"/>
      <c r="E65" s="10"/>
      <c r="F65" s="12"/>
      <c r="G65" s="3">
        <f t="shared" si="12"/>
        <v>525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525</v>
      </c>
      <c r="D66" s="10"/>
      <c r="E66" s="10"/>
      <c r="F66" s="12"/>
      <c r="G66" s="3">
        <f t="shared" si="12"/>
        <v>525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525</v>
      </c>
      <c r="D67" s="10"/>
      <c r="E67" s="10"/>
      <c r="F67" s="12"/>
      <c r="G67" s="3">
        <f t="shared" si="12"/>
        <v>525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525</v>
      </c>
      <c r="D68" s="10"/>
      <c r="E68" s="10"/>
      <c r="F68" s="12"/>
      <c r="G68" s="3">
        <f t="shared" si="12"/>
        <v>525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525</v>
      </c>
      <c r="D69" s="10"/>
      <c r="E69" s="10"/>
      <c r="F69" s="12"/>
      <c r="G69" s="3">
        <f t="shared" si="12"/>
        <v>525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453</v>
      </c>
      <c r="D71" s="10"/>
      <c r="E71" s="10"/>
      <c r="F71" s="12"/>
      <c r="G71" s="3">
        <f t="shared" ref="G71:G79" si="14">IF((C71-D71)&lt;0,0,C71-D71)</f>
        <v>453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453</v>
      </c>
      <c r="D72" s="10"/>
      <c r="E72" s="10"/>
      <c r="F72" s="12"/>
      <c r="G72" s="3">
        <f t="shared" si="14"/>
        <v>453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453</v>
      </c>
      <c r="D73" s="10"/>
      <c r="E73" s="10"/>
      <c r="F73" s="12"/>
      <c r="G73" s="3">
        <f t="shared" si="14"/>
        <v>453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453</v>
      </c>
      <c r="D74" s="10"/>
      <c r="E74" s="10"/>
      <c r="F74" s="12"/>
      <c r="G74" s="3">
        <f t="shared" si="14"/>
        <v>453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453</v>
      </c>
      <c r="D75" s="10"/>
      <c r="E75" s="10"/>
      <c r="F75" s="12"/>
      <c r="G75" s="3">
        <f t="shared" si="14"/>
        <v>453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453</v>
      </c>
      <c r="D76" s="10"/>
      <c r="E76" s="10"/>
      <c r="F76" s="12"/>
      <c r="G76" s="3">
        <f t="shared" si="14"/>
        <v>453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453</v>
      </c>
      <c r="D77" s="10"/>
      <c r="E77" s="10"/>
      <c r="F77" s="12"/>
      <c r="G77" s="3">
        <f t="shared" si="14"/>
        <v>453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453</v>
      </c>
      <c r="D78" s="10"/>
      <c r="E78" s="10"/>
      <c r="F78" s="12"/>
      <c r="G78" s="3">
        <f t="shared" si="14"/>
        <v>453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453</v>
      </c>
      <c r="D79" s="10"/>
      <c r="E79" s="10"/>
      <c r="F79" s="12"/>
      <c r="G79" s="3">
        <f t="shared" si="14"/>
        <v>453</v>
      </c>
      <c r="H79" s="4">
        <f>IF((D79-C79)&lt;0,0,D79-C79)</f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462</v>
      </c>
      <c r="D81" s="10"/>
      <c r="E81" s="10"/>
      <c r="F81" s="12"/>
      <c r="G81" s="3">
        <f t="shared" ref="G81:G89" si="16">IF((C81-D81)&lt;0,0,C81-D81)</f>
        <v>462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462</v>
      </c>
      <c r="D82" s="10"/>
      <c r="E82" s="10"/>
      <c r="F82" s="12"/>
      <c r="G82" s="3">
        <f t="shared" si="16"/>
        <v>462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462</v>
      </c>
      <c r="D83" s="10"/>
      <c r="E83" s="10"/>
      <c r="F83" s="12"/>
      <c r="G83" s="3">
        <f t="shared" si="16"/>
        <v>462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462</v>
      </c>
      <c r="D84" s="10"/>
      <c r="E84" s="10"/>
      <c r="F84" s="12"/>
      <c r="G84" s="3">
        <f t="shared" si="16"/>
        <v>462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462</v>
      </c>
      <c r="D85" s="10"/>
      <c r="E85" s="10"/>
      <c r="F85" s="12"/>
      <c r="G85" s="3">
        <f t="shared" si="16"/>
        <v>462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462</v>
      </c>
      <c r="D86" s="10"/>
      <c r="E86" s="10"/>
      <c r="F86" s="12"/>
      <c r="G86" s="3">
        <f t="shared" si="16"/>
        <v>462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462</v>
      </c>
      <c r="D87" s="10"/>
      <c r="E87" s="10"/>
      <c r="F87" s="12"/>
      <c r="G87" s="3">
        <f t="shared" si="16"/>
        <v>462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462</v>
      </c>
      <c r="D88" s="10"/>
      <c r="E88" s="10"/>
      <c r="F88" s="12"/>
      <c r="G88" s="3">
        <f t="shared" si="16"/>
        <v>462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462</v>
      </c>
      <c r="D89" s="10"/>
      <c r="E89" s="10"/>
      <c r="F89" s="12"/>
      <c r="G89" s="3">
        <f t="shared" si="16"/>
        <v>462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762</v>
      </c>
      <c r="D91" s="1"/>
      <c r="E91" s="1"/>
      <c r="F91" s="5"/>
      <c r="G91" s="3">
        <f t="shared" ref="G91:G98" si="18">IF((C91-D91)&lt;0,0,C91-D91)</f>
        <v>762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762</v>
      </c>
      <c r="D92" s="1"/>
      <c r="E92" s="1"/>
      <c r="F92" s="5"/>
      <c r="G92" s="3">
        <f t="shared" si="18"/>
        <v>762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762</v>
      </c>
      <c r="D93" s="1"/>
      <c r="E93" s="1"/>
      <c r="F93" s="5"/>
      <c r="G93" s="3">
        <f t="shared" si="18"/>
        <v>762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762</v>
      </c>
      <c r="D94" s="1"/>
      <c r="E94" s="1"/>
      <c r="F94" s="5"/>
      <c r="G94" s="3">
        <f t="shared" si="18"/>
        <v>762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762</v>
      </c>
      <c r="D95" s="1"/>
      <c r="E95" s="1"/>
      <c r="F95" s="5"/>
      <c r="G95" s="3">
        <f t="shared" si="18"/>
        <v>762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762</v>
      </c>
      <c r="D96" s="1"/>
      <c r="E96" s="1"/>
      <c r="F96" s="5"/>
      <c r="G96" s="3">
        <f t="shared" si="18"/>
        <v>762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762</v>
      </c>
      <c r="D97" s="1"/>
      <c r="E97" s="1"/>
      <c r="F97" s="5"/>
      <c r="G97" s="3">
        <f t="shared" si="18"/>
        <v>762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762</v>
      </c>
      <c r="D98" s="1"/>
      <c r="E98" s="1"/>
      <c r="F98" s="5"/>
      <c r="G98" s="3">
        <f t="shared" si="18"/>
        <v>762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0" zoomScale="70" zoomScaleNormal="70" workbookViewId="0">
      <selection activeCell="E96" sqref="E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>IF((D5-E5)&lt;0,0,(D5-E5))</f>
        <v>0</v>
      </c>
      <c r="I5" s="5">
        <f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2">IF((J5-K5)&lt;0,0,(J5-K5))</f>
        <v>0</v>
      </c>
      <c r="O5" s="5">
        <f t="shared" ref="O5" si="3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4">IF((P5-Q5)&lt;0,0,(P5-Q5))</f>
        <v>0</v>
      </c>
      <c r="U5" s="5">
        <f t="shared" ref="U5" si="5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6">IF((V5-W5)&lt;0,0,(V5-W5))</f>
        <v>0</v>
      </c>
      <c r="AA5" s="5">
        <f t="shared" ref="AA5" si="7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>IF((D6-E6)&lt;0,0,(D6-E6))</f>
        <v>0</v>
      </c>
      <c r="I6" s="5">
        <f>IF((E6-D6)&lt;0,0,(E6-D6))</f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8">IF((J6-K6)&lt;0,0,(J6-K6))</f>
        <v>0</v>
      </c>
      <c r="O6" s="5">
        <f t="shared" ref="O6:O69" si="9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0">IF((P6-Q6)&lt;0,0,(P6-Q6))</f>
        <v>0</v>
      </c>
      <c r="U6" s="5">
        <f t="shared" ref="U6:U69" si="11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2">IF((V6-W6)&lt;0,0,(V6-W6))</f>
        <v>0</v>
      </c>
      <c r="AA6" s="5">
        <f t="shared" ref="AA6:AA69" si="13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>IF((D7-E7)&lt;0,0,(D7-E7))</f>
        <v>0</v>
      </c>
      <c r="I7" s="5">
        <f>IF((E7-D7)&lt;0,0,(E7-D7))</f>
        <v>0</v>
      </c>
      <c r="J7" s="5">
        <f>Table1[[#This Row],[Enrolment S.Y. 2025-2026 ]]*8</f>
        <v>0</v>
      </c>
      <c r="K7" s="5"/>
      <c r="L7" s="1"/>
      <c r="M7" s="5"/>
      <c r="N7" s="5">
        <f t="shared" si="8"/>
        <v>0</v>
      </c>
      <c r="O7" s="5">
        <f t="shared" si="9"/>
        <v>0</v>
      </c>
      <c r="P7" s="5">
        <f>Table1[[#This Row],[Enrolment S.Y. 2025-2026 ]]*8</f>
        <v>0</v>
      </c>
      <c r="Q7" s="5"/>
      <c r="R7" s="1"/>
      <c r="S7" s="5"/>
      <c r="T7" s="5">
        <f t="shared" si="10"/>
        <v>0</v>
      </c>
      <c r="U7" s="5">
        <f t="shared" si="11"/>
        <v>0</v>
      </c>
      <c r="V7" s="5">
        <f>Table1[[#This Row],[Enrolment S.Y. 2025-2026 ]]*8</f>
        <v>0</v>
      </c>
      <c r="W7" s="5"/>
      <c r="X7" s="1"/>
      <c r="Y7" s="5"/>
      <c r="Z7" s="5">
        <f t="shared" si="12"/>
        <v>0</v>
      </c>
      <c r="AA7" s="5">
        <f t="shared" si="13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Table1[[#This Row],[Enrolment S.Y. 2025-2026 ]]*8</f>
        <v>0</v>
      </c>
      <c r="K8" s="5"/>
      <c r="L8" s="1"/>
      <c r="M8" s="5"/>
      <c r="N8" s="5">
        <f t="shared" si="8"/>
        <v>0</v>
      </c>
      <c r="O8" s="5">
        <f t="shared" si="9"/>
        <v>0</v>
      </c>
      <c r="P8" s="5">
        <f>Table1[[#This Row],[Enrolment S.Y. 2025-2026 ]]*8</f>
        <v>0</v>
      </c>
      <c r="Q8" s="5"/>
      <c r="R8" s="1"/>
      <c r="S8" s="5"/>
      <c r="T8" s="5">
        <f t="shared" si="10"/>
        <v>0</v>
      </c>
      <c r="U8" s="5">
        <f t="shared" si="11"/>
        <v>0</v>
      </c>
      <c r="V8" s="5">
        <f>Table1[[#This Row],[Enrolment S.Y. 2025-2026 ]]*8</f>
        <v>0</v>
      </c>
      <c r="W8" s="5"/>
      <c r="X8" s="1"/>
      <c r="Y8" s="5"/>
      <c r="Z8" s="5">
        <f t="shared" si="12"/>
        <v>0</v>
      </c>
      <c r="AA8" s="5">
        <f t="shared" si="13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Table1[[#This Row],[Enrolment S.Y. 2025-2026 ]]*8</f>
        <v>0</v>
      </c>
      <c r="K9" s="5"/>
      <c r="L9" s="1"/>
      <c r="M9" s="5"/>
      <c r="N9" s="5">
        <f t="shared" si="8"/>
        <v>0</v>
      </c>
      <c r="O9" s="5">
        <f t="shared" si="9"/>
        <v>0</v>
      </c>
      <c r="P9" s="5">
        <f>Table1[[#This Row],[Enrolment S.Y. 2025-2026 ]]*8</f>
        <v>0</v>
      </c>
      <c r="Q9" s="5"/>
      <c r="R9" s="1"/>
      <c r="S9" s="5"/>
      <c r="T9" s="5">
        <f t="shared" si="10"/>
        <v>0</v>
      </c>
      <c r="U9" s="5">
        <f t="shared" si="11"/>
        <v>0</v>
      </c>
      <c r="V9" s="5">
        <f>Table1[[#This Row],[Enrolment S.Y. 2025-2026 ]]*8</f>
        <v>0</v>
      </c>
      <c r="W9" s="5"/>
      <c r="X9" s="1"/>
      <c r="Y9" s="5"/>
      <c r="Z9" s="5">
        <f t="shared" si="12"/>
        <v>0</v>
      </c>
      <c r="AA9" s="5">
        <f t="shared" si="13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8"/>
        <v>0</v>
      </c>
      <c r="O10" s="5">
        <f t="shared" si="9"/>
        <v>0</v>
      </c>
      <c r="P10" s="5">
        <f>Table1[[#This Row],[Enrolment S.Y. 2025-2026 ]]*8</f>
        <v>0</v>
      </c>
      <c r="Q10" s="5"/>
      <c r="R10" s="1"/>
      <c r="S10" s="5"/>
      <c r="T10" s="5">
        <f t="shared" si="10"/>
        <v>0</v>
      </c>
      <c r="U10" s="5">
        <f t="shared" si="11"/>
        <v>0</v>
      </c>
      <c r="V10" s="5">
        <f>Table1[[#This Row],[Enrolment S.Y. 2025-2026 ]]*8</f>
        <v>0</v>
      </c>
      <c r="W10" s="5"/>
      <c r="X10" s="1"/>
      <c r="Y10" s="5"/>
      <c r="Z10" s="5">
        <f t="shared" si="12"/>
        <v>0</v>
      </c>
      <c r="AA10" s="5">
        <f t="shared" si="13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8"/>
        <v>0</v>
      </c>
      <c r="O11" s="5">
        <f t="shared" si="9"/>
        <v>0</v>
      </c>
      <c r="P11" s="5">
        <f>Table1[[#This Row],[Enrolment S.Y. 2025-2026 ]]*8</f>
        <v>0</v>
      </c>
      <c r="Q11" s="5"/>
      <c r="R11" s="1"/>
      <c r="S11" s="5"/>
      <c r="T11" s="5">
        <f t="shared" si="10"/>
        <v>0</v>
      </c>
      <c r="U11" s="5">
        <f t="shared" si="11"/>
        <v>0</v>
      </c>
      <c r="V11" s="5">
        <f>Table1[[#This Row],[Enrolment S.Y. 2025-2026 ]]*8</f>
        <v>0</v>
      </c>
      <c r="W11" s="5"/>
      <c r="X11" s="1"/>
      <c r="Y11" s="5"/>
      <c r="Z11" s="5">
        <f t="shared" si="12"/>
        <v>0</v>
      </c>
      <c r="AA11" s="5">
        <f t="shared" si="13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8"/>
        <v>0</v>
      </c>
      <c r="O12" s="5">
        <f t="shared" si="9"/>
        <v>0</v>
      </c>
      <c r="P12" s="5">
        <f>Table1[[#This Row],[Enrolment S.Y. 2025-2026 ]]*8</f>
        <v>0</v>
      </c>
      <c r="Q12" s="5"/>
      <c r="R12" s="1"/>
      <c r="S12" s="5"/>
      <c r="T12" s="5">
        <f t="shared" si="10"/>
        <v>0</v>
      </c>
      <c r="U12" s="5">
        <f t="shared" si="11"/>
        <v>0</v>
      </c>
      <c r="V12" s="5">
        <f>Table1[[#This Row],[Enrolment S.Y. 2025-2026 ]]*8</f>
        <v>0</v>
      </c>
      <c r="W12" s="5"/>
      <c r="X12" s="1"/>
      <c r="Y12" s="5"/>
      <c r="Z12" s="5">
        <f t="shared" si="12"/>
        <v>0</v>
      </c>
      <c r="AA12" s="5">
        <f t="shared" si="13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>IF((D14-E14)&lt;0,0,(D14-E14))</f>
        <v>0</v>
      </c>
      <c r="I14" s="5">
        <f>IF((E14-D14)&lt;0,0,(E14-D14))</f>
        <v>0</v>
      </c>
      <c r="J14" s="5">
        <f>Table1[[#This Row],[Enrolment S.Y. 2025-2026 ]]*8</f>
        <v>0</v>
      </c>
      <c r="K14" s="5"/>
      <c r="L14" s="1"/>
      <c r="M14" s="5"/>
      <c r="N14" s="5">
        <f t="shared" si="8"/>
        <v>0</v>
      </c>
      <c r="O14" s="5">
        <f t="shared" si="9"/>
        <v>0</v>
      </c>
      <c r="P14" s="5">
        <f>Table1[[#This Row],[Enrolment S.Y. 2025-2026 ]]*8</f>
        <v>0</v>
      </c>
      <c r="Q14" s="5"/>
      <c r="R14" s="1"/>
      <c r="S14" s="5"/>
      <c r="T14" s="5">
        <f t="shared" si="10"/>
        <v>0</v>
      </c>
      <c r="U14" s="5">
        <f t="shared" si="11"/>
        <v>0</v>
      </c>
      <c r="V14" s="5">
        <f>Table1[[#This Row],[Enrolment S.Y. 2025-2026 ]]*8</f>
        <v>0</v>
      </c>
      <c r="W14" s="5"/>
      <c r="X14" s="1"/>
      <c r="Y14" s="5"/>
      <c r="Z14" s="5">
        <f t="shared" si="12"/>
        <v>0</v>
      </c>
      <c r="AA14" s="5">
        <f t="shared" si="13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>IF((D15-E15)&lt;0,0,(D15-E15))</f>
        <v>0</v>
      </c>
      <c r="I15" s="5">
        <f>IF((E15-D15)&lt;0,0,(E15-D15))</f>
        <v>0</v>
      </c>
      <c r="J15" s="5">
        <f>Table1[[#This Row],[Enrolment S.Y. 2025-2026 ]]*8</f>
        <v>0</v>
      </c>
      <c r="K15" s="5"/>
      <c r="L15" s="1"/>
      <c r="M15" s="5"/>
      <c r="N15" s="5">
        <f t="shared" si="8"/>
        <v>0</v>
      </c>
      <c r="O15" s="5">
        <f t="shared" si="9"/>
        <v>0</v>
      </c>
      <c r="P15" s="5">
        <f>Table1[[#This Row],[Enrolment S.Y. 2025-2026 ]]*8</f>
        <v>0</v>
      </c>
      <c r="Q15" s="5"/>
      <c r="R15" s="1"/>
      <c r="S15" s="5"/>
      <c r="T15" s="5">
        <f t="shared" si="10"/>
        <v>0</v>
      </c>
      <c r="U15" s="5">
        <f t="shared" si="11"/>
        <v>0</v>
      </c>
      <c r="V15" s="5">
        <f>Table1[[#This Row],[Enrolment S.Y. 2025-2026 ]]*8</f>
        <v>0</v>
      </c>
      <c r="W15" s="5"/>
      <c r="X15" s="1"/>
      <c r="Y15" s="5"/>
      <c r="Z15" s="5">
        <f t="shared" si="12"/>
        <v>0</v>
      </c>
      <c r="AA15" s="5">
        <f t="shared" si="13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>IF((D16-E16)&lt;0,0,(D16-E16))</f>
        <v>0</v>
      </c>
      <c r="I16" s="5">
        <f>IF((E16-D16)&lt;0,0,(E16-D16))</f>
        <v>0</v>
      </c>
      <c r="J16" s="5">
        <f>Table1[[#This Row],[Enrolment S.Y. 2025-2026 ]]*8</f>
        <v>0</v>
      </c>
      <c r="K16" s="5"/>
      <c r="L16" s="1"/>
      <c r="M16" s="5"/>
      <c r="N16" s="5">
        <f t="shared" si="8"/>
        <v>0</v>
      </c>
      <c r="O16" s="5">
        <f t="shared" si="9"/>
        <v>0</v>
      </c>
      <c r="P16" s="5">
        <f>Table1[[#This Row],[Enrolment S.Y. 2025-2026 ]]*8</f>
        <v>0</v>
      </c>
      <c r="Q16" s="5"/>
      <c r="R16" s="1"/>
      <c r="S16" s="5"/>
      <c r="T16" s="5">
        <f t="shared" si="10"/>
        <v>0</v>
      </c>
      <c r="U16" s="5">
        <f t="shared" si="11"/>
        <v>0</v>
      </c>
      <c r="V16" s="5">
        <f>Table1[[#This Row],[Enrolment S.Y. 2025-2026 ]]*8</f>
        <v>0</v>
      </c>
      <c r="W16" s="5"/>
      <c r="X16" s="1"/>
      <c r="Y16" s="5"/>
      <c r="Z16" s="5">
        <f t="shared" si="12"/>
        <v>0</v>
      </c>
      <c r="AA16" s="5">
        <f t="shared" si="13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Table1[[#This Row],[Enrolment S.Y. 2025-2026 ]]*8</f>
        <v>0</v>
      </c>
      <c r="K17" s="5"/>
      <c r="L17" s="1"/>
      <c r="M17" s="5"/>
      <c r="N17" s="5">
        <f t="shared" si="8"/>
        <v>0</v>
      </c>
      <c r="O17" s="5">
        <f t="shared" si="9"/>
        <v>0</v>
      </c>
      <c r="P17" s="5">
        <f>Table1[[#This Row],[Enrolment S.Y. 2025-2026 ]]*8</f>
        <v>0</v>
      </c>
      <c r="Q17" s="5"/>
      <c r="R17" s="1"/>
      <c r="S17" s="5"/>
      <c r="T17" s="5">
        <f t="shared" si="10"/>
        <v>0</v>
      </c>
      <c r="U17" s="5">
        <f t="shared" si="11"/>
        <v>0</v>
      </c>
      <c r="V17" s="5">
        <f>Table1[[#This Row],[Enrolment S.Y. 2025-2026 ]]*8</f>
        <v>0</v>
      </c>
      <c r="W17" s="5"/>
      <c r="X17" s="1"/>
      <c r="Y17" s="5"/>
      <c r="Z17" s="5">
        <f t="shared" si="12"/>
        <v>0</v>
      </c>
      <c r="AA17" s="5">
        <f t="shared" si="13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Table1[[#This Row],[Enrolment S.Y. 2025-2026 ]]*8</f>
        <v>0</v>
      </c>
      <c r="K18" s="5"/>
      <c r="L18" s="1"/>
      <c r="M18" s="5"/>
      <c r="N18" s="5">
        <f t="shared" si="8"/>
        <v>0</v>
      </c>
      <c r="O18" s="5">
        <f t="shared" si="9"/>
        <v>0</v>
      </c>
      <c r="P18" s="5">
        <f>Table1[[#This Row],[Enrolment S.Y. 2025-2026 ]]*8</f>
        <v>0</v>
      </c>
      <c r="Q18" s="5"/>
      <c r="R18" s="1"/>
      <c r="S18" s="5"/>
      <c r="T18" s="5">
        <f t="shared" si="10"/>
        <v>0</v>
      </c>
      <c r="U18" s="5">
        <f t="shared" si="11"/>
        <v>0</v>
      </c>
      <c r="V18" s="5">
        <f>Table1[[#This Row],[Enrolment S.Y. 2025-2026 ]]*8</f>
        <v>0</v>
      </c>
      <c r="W18" s="5"/>
      <c r="X18" s="1"/>
      <c r="Y18" s="5"/>
      <c r="Z18" s="5">
        <f t="shared" si="12"/>
        <v>0</v>
      </c>
      <c r="AA18" s="5">
        <f t="shared" si="13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8"/>
        <v>0</v>
      </c>
      <c r="O19" s="5">
        <f t="shared" si="9"/>
        <v>0</v>
      </c>
      <c r="P19" s="5">
        <f>Table1[[#This Row],[Enrolment S.Y. 2025-2026 ]]*8</f>
        <v>0</v>
      </c>
      <c r="Q19" s="5"/>
      <c r="R19" s="1"/>
      <c r="S19" s="5"/>
      <c r="T19" s="5">
        <f t="shared" si="10"/>
        <v>0</v>
      </c>
      <c r="U19" s="5">
        <f t="shared" si="11"/>
        <v>0</v>
      </c>
      <c r="V19" s="5">
        <f>Table1[[#This Row],[Enrolment S.Y. 2025-2026 ]]*8</f>
        <v>0</v>
      </c>
      <c r="W19" s="5"/>
      <c r="X19" s="1"/>
      <c r="Y19" s="5"/>
      <c r="Z19" s="5">
        <f t="shared" si="12"/>
        <v>0</v>
      </c>
      <c r="AA19" s="5">
        <f t="shared" si="13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8"/>
        <v>0</v>
      </c>
      <c r="O20" s="5">
        <f t="shared" si="9"/>
        <v>0</v>
      </c>
      <c r="P20" s="5">
        <f>Table1[[#This Row],[Enrolment S.Y. 2025-2026 ]]*8</f>
        <v>0</v>
      </c>
      <c r="Q20" s="5"/>
      <c r="R20" s="1"/>
      <c r="S20" s="5"/>
      <c r="T20" s="5">
        <f t="shared" si="10"/>
        <v>0</v>
      </c>
      <c r="U20" s="5">
        <f t="shared" si="11"/>
        <v>0</v>
      </c>
      <c r="V20" s="5">
        <f>Table1[[#This Row],[Enrolment S.Y. 2025-2026 ]]*8</f>
        <v>0</v>
      </c>
      <c r="W20" s="5"/>
      <c r="X20" s="1"/>
      <c r="Y20" s="5"/>
      <c r="Z20" s="5">
        <f t="shared" si="12"/>
        <v>0</v>
      </c>
      <c r="AA20" s="5">
        <f t="shared" si="13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8"/>
        <v>0</v>
      </c>
      <c r="O21" s="5">
        <f t="shared" si="9"/>
        <v>0</v>
      </c>
      <c r="P21" s="5">
        <f>Table1[[#This Row],[Enrolment S.Y. 2025-2026 ]]*8</f>
        <v>0</v>
      </c>
      <c r="Q21" s="5"/>
      <c r="R21" s="1"/>
      <c r="S21" s="5"/>
      <c r="T21" s="5">
        <f t="shared" si="10"/>
        <v>0</v>
      </c>
      <c r="U21" s="5">
        <f t="shared" si="11"/>
        <v>0</v>
      </c>
      <c r="V21" s="5">
        <f>Table1[[#This Row],[Enrolment S.Y. 2025-2026 ]]*8</f>
        <v>0</v>
      </c>
      <c r="W21" s="5"/>
      <c r="X21" s="1"/>
      <c r="Y21" s="5"/>
      <c r="Z21" s="5">
        <f t="shared" si="12"/>
        <v>0</v>
      </c>
      <c r="AA21" s="5">
        <f t="shared" si="13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>IF((D23-E23)&lt;0,0,(D23-E23))</f>
        <v>0</v>
      </c>
      <c r="I23" s="5">
        <f>IF((E23-D23)&lt;0,0,(E23-D23))</f>
        <v>0</v>
      </c>
      <c r="J23" s="5">
        <f>Table1[[#This Row],[Enrolment S.Y. 2025-2026 ]]*8</f>
        <v>0</v>
      </c>
      <c r="K23" s="5"/>
      <c r="L23" s="1"/>
      <c r="M23" s="5"/>
      <c r="N23" s="5">
        <f t="shared" si="8"/>
        <v>0</v>
      </c>
      <c r="O23" s="5">
        <f t="shared" si="9"/>
        <v>0</v>
      </c>
      <c r="P23" s="5">
        <f>Table1[[#This Row],[Enrolment S.Y. 2025-2026 ]]*8</f>
        <v>0</v>
      </c>
      <c r="Q23" s="5"/>
      <c r="R23" s="1"/>
      <c r="S23" s="5"/>
      <c r="T23" s="5">
        <f t="shared" si="10"/>
        <v>0</v>
      </c>
      <c r="U23" s="5">
        <f t="shared" si="11"/>
        <v>0</v>
      </c>
      <c r="V23" s="5">
        <f>Table1[[#This Row],[Enrolment S.Y. 2025-2026 ]]*8</f>
        <v>0</v>
      </c>
      <c r="W23" s="5"/>
      <c r="X23" s="1"/>
      <c r="Y23" s="5"/>
      <c r="Z23" s="5">
        <f t="shared" si="12"/>
        <v>0</v>
      </c>
      <c r="AA23" s="5">
        <f t="shared" si="13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>IF((D24-E24)&lt;0,0,(D24-E24))</f>
        <v>0</v>
      </c>
      <c r="I24" s="5">
        <f>IF((E24-D24)&lt;0,0,(E24-D24))</f>
        <v>0</v>
      </c>
      <c r="J24" s="5">
        <f>Table1[[#This Row],[Enrolment S.Y. 2025-2026 ]]*8</f>
        <v>0</v>
      </c>
      <c r="K24" s="5"/>
      <c r="L24" s="1"/>
      <c r="M24" s="5"/>
      <c r="N24" s="5">
        <f t="shared" si="8"/>
        <v>0</v>
      </c>
      <c r="O24" s="5">
        <f t="shared" si="9"/>
        <v>0</v>
      </c>
      <c r="P24" s="5">
        <f>Table1[[#This Row],[Enrolment S.Y. 2025-2026 ]]*8</f>
        <v>0</v>
      </c>
      <c r="Q24" s="5"/>
      <c r="R24" s="1"/>
      <c r="S24" s="5"/>
      <c r="T24" s="5">
        <f t="shared" si="10"/>
        <v>0</v>
      </c>
      <c r="U24" s="5">
        <f t="shared" si="11"/>
        <v>0</v>
      </c>
      <c r="V24" s="5">
        <f>Table1[[#This Row],[Enrolment S.Y. 2025-2026 ]]*8</f>
        <v>0</v>
      </c>
      <c r="W24" s="5"/>
      <c r="X24" s="1"/>
      <c r="Y24" s="5"/>
      <c r="Z24" s="5">
        <f t="shared" si="12"/>
        <v>0</v>
      </c>
      <c r="AA24" s="5">
        <f t="shared" si="13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>IF((D25-E25)&lt;0,0,(D25-E25))</f>
        <v>0</v>
      </c>
      <c r="I25" s="5">
        <f>IF((E25-D25)&lt;0,0,(E25-D25))</f>
        <v>0</v>
      </c>
      <c r="J25" s="5">
        <f>Table1[[#This Row],[Enrolment S.Y. 2025-2026 ]]*8</f>
        <v>0</v>
      </c>
      <c r="K25" s="5"/>
      <c r="L25" s="1"/>
      <c r="M25" s="5"/>
      <c r="N25" s="5">
        <f t="shared" si="8"/>
        <v>0</v>
      </c>
      <c r="O25" s="5">
        <f t="shared" si="9"/>
        <v>0</v>
      </c>
      <c r="P25" s="5">
        <f>Table1[[#This Row],[Enrolment S.Y. 2025-2026 ]]*8</f>
        <v>0</v>
      </c>
      <c r="Q25" s="5"/>
      <c r="R25" s="1"/>
      <c r="S25" s="5"/>
      <c r="T25" s="5">
        <f t="shared" si="10"/>
        <v>0</v>
      </c>
      <c r="U25" s="5">
        <f t="shared" si="11"/>
        <v>0</v>
      </c>
      <c r="V25" s="5">
        <f>Table1[[#This Row],[Enrolment S.Y. 2025-2026 ]]*8</f>
        <v>0</v>
      </c>
      <c r="W25" s="5"/>
      <c r="X25" s="1"/>
      <c r="Y25" s="5"/>
      <c r="Z25" s="5">
        <f t="shared" si="12"/>
        <v>0</v>
      </c>
      <c r="AA25" s="5">
        <f t="shared" si="13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>IF((D26-E26)&lt;0,0,(D26-E26))</f>
        <v>0</v>
      </c>
      <c r="I26" s="5">
        <f>IF((E26-D26)&lt;0,0,(E26-D26))</f>
        <v>0</v>
      </c>
      <c r="J26" s="5">
        <f>Table1[[#This Row],[Enrolment S.Y. 2025-2026 ]]*8</f>
        <v>0</v>
      </c>
      <c r="K26" s="5"/>
      <c r="L26" s="1"/>
      <c r="M26" s="5"/>
      <c r="N26" s="5">
        <f t="shared" si="8"/>
        <v>0</v>
      </c>
      <c r="O26" s="5">
        <f t="shared" si="9"/>
        <v>0</v>
      </c>
      <c r="P26" s="5">
        <f>Table1[[#This Row],[Enrolment S.Y. 2025-2026 ]]*8</f>
        <v>0</v>
      </c>
      <c r="Q26" s="5"/>
      <c r="R26" s="1"/>
      <c r="S26" s="5"/>
      <c r="T26" s="5">
        <f t="shared" si="10"/>
        <v>0</v>
      </c>
      <c r="U26" s="5">
        <f t="shared" si="11"/>
        <v>0</v>
      </c>
      <c r="V26" s="5">
        <f>Table1[[#This Row],[Enrolment S.Y. 2025-2026 ]]*8</f>
        <v>0</v>
      </c>
      <c r="W26" s="5"/>
      <c r="X26" s="1"/>
      <c r="Y26" s="5"/>
      <c r="Z26" s="5">
        <f t="shared" si="12"/>
        <v>0</v>
      </c>
      <c r="AA26" s="5">
        <f t="shared" si="13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Table1[[#This Row],[Enrolment S.Y. 2025-2026 ]]*8</f>
        <v>0</v>
      </c>
      <c r="K27" s="5"/>
      <c r="L27" s="1"/>
      <c r="M27" s="5"/>
      <c r="N27" s="5">
        <f t="shared" si="8"/>
        <v>0</v>
      </c>
      <c r="O27" s="5">
        <f t="shared" si="9"/>
        <v>0</v>
      </c>
      <c r="P27" s="5">
        <f>Table1[[#This Row],[Enrolment S.Y. 2025-2026 ]]*8</f>
        <v>0</v>
      </c>
      <c r="Q27" s="5"/>
      <c r="R27" s="1"/>
      <c r="S27" s="5"/>
      <c r="T27" s="5">
        <f t="shared" si="10"/>
        <v>0</v>
      </c>
      <c r="U27" s="5">
        <f t="shared" si="11"/>
        <v>0</v>
      </c>
      <c r="V27" s="5">
        <f>Table1[[#This Row],[Enrolment S.Y. 2025-2026 ]]*8</f>
        <v>0</v>
      </c>
      <c r="W27" s="5"/>
      <c r="X27" s="1"/>
      <c r="Y27" s="5"/>
      <c r="Z27" s="5">
        <f t="shared" si="12"/>
        <v>0</v>
      </c>
      <c r="AA27" s="5">
        <f t="shared" si="13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Table1[[#This Row],[Enrolment S.Y. 2025-2026 ]]*8</f>
        <v>0</v>
      </c>
      <c r="K28" s="5"/>
      <c r="L28" s="1"/>
      <c r="M28" s="5"/>
      <c r="N28" s="5">
        <f t="shared" si="8"/>
        <v>0</v>
      </c>
      <c r="O28" s="5">
        <f t="shared" si="9"/>
        <v>0</v>
      </c>
      <c r="P28" s="5">
        <f>Table1[[#This Row],[Enrolment S.Y. 2025-2026 ]]*8</f>
        <v>0</v>
      </c>
      <c r="Q28" s="5"/>
      <c r="R28" s="1"/>
      <c r="S28" s="5"/>
      <c r="T28" s="5">
        <f t="shared" si="10"/>
        <v>0</v>
      </c>
      <c r="U28" s="5">
        <f t="shared" si="11"/>
        <v>0</v>
      </c>
      <c r="V28" s="5">
        <f>Table1[[#This Row],[Enrolment S.Y. 2025-2026 ]]*8</f>
        <v>0</v>
      </c>
      <c r="W28" s="5"/>
      <c r="X28" s="1"/>
      <c r="Y28" s="5"/>
      <c r="Z28" s="5">
        <f t="shared" si="12"/>
        <v>0</v>
      </c>
      <c r="AA28" s="5">
        <f t="shared" si="13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8"/>
        <v>0</v>
      </c>
      <c r="O29" s="5">
        <f t="shared" si="9"/>
        <v>0</v>
      </c>
      <c r="P29" s="5">
        <f>Table1[[#This Row],[Enrolment S.Y. 2025-2026 ]]*8</f>
        <v>0</v>
      </c>
      <c r="Q29" s="5"/>
      <c r="R29" s="1"/>
      <c r="S29" s="5"/>
      <c r="T29" s="5">
        <f t="shared" si="10"/>
        <v>0</v>
      </c>
      <c r="U29" s="5">
        <f t="shared" si="11"/>
        <v>0</v>
      </c>
      <c r="V29" s="5">
        <f>Table1[[#This Row],[Enrolment S.Y. 2025-2026 ]]*8</f>
        <v>0</v>
      </c>
      <c r="W29" s="5"/>
      <c r="X29" s="1"/>
      <c r="Y29" s="5"/>
      <c r="Z29" s="5">
        <f t="shared" si="12"/>
        <v>0</v>
      </c>
      <c r="AA29" s="5">
        <f t="shared" si="13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8"/>
        <v>0</v>
      </c>
      <c r="O30" s="5">
        <f t="shared" si="9"/>
        <v>0</v>
      </c>
      <c r="P30" s="5">
        <f>Table1[[#This Row],[Enrolment S.Y. 2025-2026 ]]*8</f>
        <v>0</v>
      </c>
      <c r="Q30" s="5"/>
      <c r="R30" s="1"/>
      <c r="S30" s="5"/>
      <c r="T30" s="5">
        <f t="shared" si="10"/>
        <v>0</v>
      </c>
      <c r="U30" s="5">
        <f t="shared" si="11"/>
        <v>0</v>
      </c>
      <c r="V30" s="5">
        <f>Table1[[#This Row],[Enrolment S.Y. 2025-2026 ]]*8</f>
        <v>0</v>
      </c>
      <c r="W30" s="5"/>
      <c r="X30" s="1"/>
      <c r="Y30" s="5"/>
      <c r="Z30" s="5">
        <f t="shared" si="12"/>
        <v>0</v>
      </c>
      <c r="AA30" s="5">
        <f t="shared" si="13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8"/>
        <v>0</v>
      </c>
      <c r="O31" s="5">
        <f t="shared" si="9"/>
        <v>0</v>
      </c>
      <c r="P31" s="5">
        <f>Table1[[#This Row],[Enrolment S.Y. 2025-2026 ]]*8</f>
        <v>0</v>
      </c>
      <c r="Q31" s="5"/>
      <c r="R31" s="1"/>
      <c r="S31" s="5"/>
      <c r="T31" s="5">
        <f t="shared" si="10"/>
        <v>0</v>
      </c>
      <c r="U31" s="5">
        <f t="shared" si="11"/>
        <v>0</v>
      </c>
      <c r="V31" s="5">
        <f>Table1[[#This Row],[Enrolment S.Y. 2025-2026 ]]*8</f>
        <v>0</v>
      </c>
      <c r="W31" s="5"/>
      <c r="X31" s="1"/>
      <c r="Y31" s="5"/>
      <c r="Z31" s="5">
        <f t="shared" si="12"/>
        <v>0</v>
      </c>
      <c r="AA31" s="5">
        <f t="shared" si="13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>IF((D33-E33)&lt;0,0,(D33-E33))</f>
        <v>0</v>
      </c>
      <c r="I33" s="5">
        <f>IF((E33-D33)&lt;0,0,(E33-D33))</f>
        <v>0</v>
      </c>
      <c r="J33" s="5">
        <f>Table1[[#This Row],[Enrolment S.Y. 2025-2026 ]]*8</f>
        <v>0</v>
      </c>
      <c r="K33" s="5"/>
      <c r="L33" s="1"/>
      <c r="M33" s="5"/>
      <c r="N33" s="5">
        <f t="shared" si="8"/>
        <v>0</v>
      </c>
      <c r="O33" s="5">
        <f t="shared" si="9"/>
        <v>0</v>
      </c>
      <c r="P33" s="5">
        <f>Table1[[#This Row],[Enrolment S.Y. 2025-2026 ]]*8</f>
        <v>0</v>
      </c>
      <c r="Q33" s="5"/>
      <c r="R33" s="1"/>
      <c r="S33" s="5"/>
      <c r="T33" s="5">
        <f t="shared" si="10"/>
        <v>0</v>
      </c>
      <c r="U33" s="5">
        <f t="shared" si="11"/>
        <v>0</v>
      </c>
      <c r="V33" s="5">
        <f>Table1[[#This Row],[Enrolment S.Y. 2025-2026 ]]*8</f>
        <v>0</v>
      </c>
      <c r="W33" s="5"/>
      <c r="X33" s="1"/>
      <c r="Y33" s="5"/>
      <c r="Z33" s="5">
        <f t="shared" si="12"/>
        <v>0</v>
      </c>
      <c r="AA33" s="5">
        <f t="shared" si="13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>IF((D34-E34)&lt;0,0,(D34-E34))</f>
        <v>0</v>
      </c>
      <c r="I34" s="5">
        <f>IF((E34-D34)&lt;0,0,(E34-D34))</f>
        <v>0</v>
      </c>
      <c r="J34" s="5">
        <f>Table1[[#This Row],[Enrolment S.Y. 2025-2026 ]]*8</f>
        <v>0</v>
      </c>
      <c r="K34" s="5"/>
      <c r="L34" s="1"/>
      <c r="M34" s="5"/>
      <c r="N34" s="5">
        <f t="shared" si="8"/>
        <v>0</v>
      </c>
      <c r="O34" s="5">
        <f t="shared" si="9"/>
        <v>0</v>
      </c>
      <c r="P34" s="5">
        <f>Table1[[#This Row],[Enrolment S.Y. 2025-2026 ]]*8</f>
        <v>0</v>
      </c>
      <c r="Q34" s="5"/>
      <c r="R34" s="1"/>
      <c r="S34" s="5"/>
      <c r="T34" s="5">
        <f t="shared" si="10"/>
        <v>0</v>
      </c>
      <c r="U34" s="5">
        <f t="shared" si="11"/>
        <v>0</v>
      </c>
      <c r="V34" s="5">
        <f>Table1[[#This Row],[Enrolment S.Y. 2025-2026 ]]*8</f>
        <v>0</v>
      </c>
      <c r="W34" s="5"/>
      <c r="X34" s="1"/>
      <c r="Y34" s="5"/>
      <c r="Z34" s="5">
        <f t="shared" si="12"/>
        <v>0</v>
      </c>
      <c r="AA34" s="5">
        <f t="shared" si="13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>IF((D35-E35)&lt;0,0,(D35-E35))</f>
        <v>0</v>
      </c>
      <c r="I35" s="5">
        <f>IF((E35-D35)&lt;0,0,(E35-D35))</f>
        <v>0</v>
      </c>
      <c r="J35" s="5">
        <f>Table1[[#This Row],[Enrolment S.Y. 2025-2026 ]]*8</f>
        <v>0</v>
      </c>
      <c r="K35" s="5"/>
      <c r="L35" s="1"/>
      <c r="M35" s="5"/>
      <c r="N35" s="5">
        <f t="shared" si="8"/>
        <v>0</v>
      </c>
      <c r="O35" s="5">
        <f t="shared" si="9"/>
        <v>0</v>
      </c>
      <c r="P35" s="5">
        <f>Table1[[#This Row],[Enrolment S.Y. 2025-2026 ]]*8</f>
        <v>0</v>
      </c>
      <c r="Q35" s="5"/>
      <c r="R35" s="1"/>
      <c r="S35" s="5"/>
      <c r="T35" s="5">
        <f t="shared" si="10"/>
        <v>0</v>
      </c>
      <c r="U35" s="5">
        <f t="shared" si="11"/>
        <v>0</v>
      </c>
      <c r="V35" s="5">
        <f>Table1[[#This Row],[Enrolment S.Y. 2025-2026 ]]*8</f>
        <v>0</v>
      </c>
      <c r="W35" s="5"/>
      <c r="X35" s="1"/>
      <c r="Y35" s="5"/>
      <c r="Z35" s="5">
        <f t="shared" si="12"/>
        <v>0</v>
      </c>
      <c r="AA35" s="5">
        <f t="shared" si="13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>IF((D36-E36)&lt;0,0,(D36-E36))</f>
        <v>0</v>
      </c>
      <c r="I36" s="5">
        <f>IF((E36-D36)&lt;0,0,(E36-D36))</f>
        <v>0</v>
      </c>
      <c r="J36" s="5">
        <f>Table1[[#This Row],[Enrolment S.Y. 2025-2026 ]]*8</f>
        <v>0</v>
      </c>
      <c r="K36" s="5"/>
      <c r="L36" s="1"/>
      <c r="M36" s="5"/>
      <c r="N36" s="5">
        <f t="shared" si="8"/>
        <v>0</v>
      </c>
      <c r="O36" s="5">
        <f t="shared" si="9"/>
        <v>0</v>
      </c>
      <c r="P36" s="5">
        <f>Table1[[#This Row],[Enrolment S.Y. 2025-2026 ]]*8</f>
        <v>0</v>
      </c>
      <c r="Q36" s="5"/>
      <c r="R36" s="1"/>
      <c r="S36" s="5"/>
      <c r="T36" s="5">
        <f t="shared" si="10"/>
        <v>0</v>
      </c>
      <c r="U36" s="5">
        <f t="shared" si="11"/>
        <v>0</v>
      </c>
      <c r="V36" s="5">
        <f>Table1[[#This Row],[Enrolment S.Y. 2025-2026 ]]*8</f>
        <v>0</v>
      </c>
      <c r="W36" s="5"/>
      <c r="X36" s="1"/>
      <c r="Y36" s="5"/>
      <c r="Z36" s="5">
        <f t="shared" si="12"/>
        <v>0</v>
      </c>
      <c r="AA36" s="5">
        <f t="shared" si="13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Table1[[#This Row],[Enrolment S.Y. 2025-2026 ]]*8</f>
        <v>0</v>
      </c>
      <c r="Q37" s="5"/>
      <c r="R37" s="1"/>
      <c r="S37" s="5"/>
      <c r="T37" s="5">
        <f t="shared" si="10"/>
        <v>0</v>
      </c>
      <c r="U37" s="5">
        <f t="shared" si="11"/>
        <v>0</v>
      </c>
      <c r="V37" s="5">
        <f>Table1[[#This Row],[Enrolment S.Y. 2025-2026 ]]*8</f>
        <v>0</v>
      </c>
      <c r="W37" s="5"/>
      <c r="X37" s="1"/>
      <c r="Y37" s="5"/>
      <c r="Z37" s="5">
        <f t="shared" si="12"/>
        <v>0</v>
      </c>
      <c r="AA37" s="5">
        <f t="shared" si="13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>IF((D38-E38)&lt;0,0,(D38-E38))</f>
        <v>0</v>
      </c>
      <c r="I38" s="5">
        <f>IF((E38-D38)&lt;0,0,(E38-D38))</f>
        <v>0</v>
      </c>
      <c r="J38" s="5">
        <f>Table1[[#This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Table1[[#This Row],[Enrolment S.Y. 2025-2026 ]]*8</f>
        <v>0</v>
      </c>
      <c r="Q38" s="5"/>
      <c r="R38" s="1"/>
      <c r="S38" s="5"/>
      <c r="T38" s="5">
        <f t="shared" si="10"/>
        <v>0</v>
      </c>
      <c r="U38" s="5">
        <f t="shared" si="11"/>
        <v>0</v>
      </c>
      <c r="V38" s="5">
        <f>Table1[[#This Row],[Enrolment S.Y. 2025-2026 ]]*8</f>
        <v>0</v>
      </c>
      <c r="W38" s="5"/>
      <c r="X38" s="1"/>
      <c r="Y38" s="5"/>
      <c r="Z38" s="5">
        <f t="shared" si="12"/>
        <v>0</v>
      </c>
      <c r="AA38" s="5">
        <f t="shared" si="13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>IF((D39-E39)&lt;0,0,(D39-E39))</f>
        <v>0</v>
      </c>
      <c r="I39" s="5">
        <f>IF((E39-D39)&lt;0,0,(E39-D39))</f>
        <v>0</v>
      </c>
      <c r="J39" s="5">
        <f>Table1[[#This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Table1[[#This Row],[Enrolment S.Y. 2025-2026 ]]*8</f>
        <v>0</v>
      </c>
      <c r="Q39" s="5"/>
      <c r="R39" s="1"/>
      <c r="S39" s="5"/>
      <c r="T39" s="5">
        <f t="shared" si="10"/>
        <v>0</v>
      </c>
      <c r="U39" s="5">
        <f t="shared" si="11"/>
        <v>0</v>
      </c>
      <c r="V39" s="5">
        <f>Table1[[#This Row],[Enrolment S.Y. 2025-2026 ]]*8</f>
        <v>0</v>
      </c>
      <c r="W39" s="5"/>
      <c r="X39" s="1"/>
      <c r="Y39" s="5"/>
      <c r="Z39" s="5">
        <f t="shared" si="12"/>
        <v>0</v>
      </c>
      <c r="AA39" s="5">
        <f t="shared" si="13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Table1[[#This Row],[Enrolment S.Y. 2025-2026 ]]*8</f>
        <v>0</v>
      </c>
      <c r="Q40" s="5"/>
      <c r="R40" s="1"/>
      <c r="S40" s="5"/>
      <c r="T40" s="5">
        <f t="shared" si="10"/>
        <v>0</v>
      </c>
      <c r="U40" s="5">
        <f t="shared" si="11"/>
        <v>0</v>
      </c>
      <c r="V40" s="5">
        <f>Table1[[#This Row],[Enrolment S.Y. 2025-2026 ]]*8</f>
        <v>0</v>
      </c>
      <c r="W40" s="5"/>
      <c r="X40" s="1"/>
      <c r="Y40" s="5"/>
      <c r="Z40" s="5">
        <f t="shared" si="12"/>
        <v>0</v>
      </c>
      <c r="AA40" s="5">
        <f t="shared" si="13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>IF((D41-E41)&lt;0,0,(D41-E41))</f>
        <v>0</v>
      </c>
      <c r="I41" s="5">
        <f>IF((E41-D41)&lt;0,0,(E41-D41))</f>
        <v>0</v>
      </c>
      <c r="J41" s="5">
        <f>Table1[[#This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Table1[[#This Row],[Enrolment S.Y. 2025-2026 ]]*8</f>
        <v>0</v>
      </c>
      <c r="Q41" s="5"/>
      <c r="R41" s="1"/>
      <c r="S41" s="5"/>
      <c r="T41" s="5">
        <f t="shared" si="10"/>
        <v>0</v>
      </c>
      <c r="U41" s="5">
        <f t="shared" si="11"/>
        <v>0</v>
      </c>
      <c r="V41" s="5">
        <f>Table1[[#This Row],[Enrolment S.Y. 2025-2026 ]]*8</f>
        <v>0</v>
      </c>
      <c r="W41" s="5"/>
      <c r="X41" s="1"/>
      <c r="Y41" s="5"/>
      <c r="Z41" s="5">
        <f t="shared" si="12"/>
        <v>0</v>
      </c>
      <c r="AA41" s="5">
        <f t="shared" si="13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>IF((D43-E43)&lt;0,0,(D43-E43))</f>
        <v>0</v>
      </c>
      <c r="I43" s="5">
        <f>IF((E43-D43)&lt;0,0,(E43-D43))</f>
        <v>0</v>
      </c>
      <c r="J43" s="5">
        <f>Table1[[#This Row],[Enrolment S.Y. 2025-2026 ]]*8</f>
        <v>0</v>
      </c>
      <c r="K43" s="5"/>
      <c r="L43" s="1"/>
      <c r="M43" s="5"/>
      <c r="N43" s="5">
        <f t="shared" si="8"/>
        <v>0</v>
      </c>
      <c r="O43" s="5">
        <f t="shared" si="9"/>
        <v>0</v>
      </c>
      <c r="P43" s="5">
        <f>Table1[[#This Row],[Enrolment S.Y. 2025-2026 ]]*8</f>
        <v>0</v>
      </c>
      <c r="Q43" s="5"/>
      <c r="R43" s="1"/>
      <c r="S43" s="5"/>
      <c r="T43" s="5">
        <f t="shared" si="10"/>
        <v>0</v>
      </c>
      <c r="U43" s="5">
        <f t="shared" si="11"/>
        <v>0</v>
      </c>
      <c r="V43" s="5">
        <f>Table1[[#This Row],[Enrolment S.Y. 2025-2026 ]]*8</f>
        <v>0</v>
      </c>
      <c r="W43" s="5"/>
      <c r="X43" s="1"/>
      <c r="Y43" s="5"/>
      <c r="Z43" s="5">
        <f t="shared" si="12"/>
        <v>0</v>
      </c>
      <c r="AA43" s="5">
        <f t="shared" si="13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>IF((D44-E44)&lt;0,0,(D44-E44))</f>
        <v>0</v>
      </c>
      <c r="I44" s="5">
        <f>IF((E44-D44)&lt;0,0,(E44-D44))</f>
        <v>0</v>
      </c>
      <c r="J44" s="5">
        <f>Table1[[#This Row],[Enrolment S.Y. 2025-2026 ]]*8</f>
        <v>0</v>
      </c>
      <c r="K44" s="5"/>
      <c r="L44" s="1"/>
      <c r="M44" s="5"/>
      <c r="N44" s="5">
        <f t="shared" si="8"/>
        <v>0</v>
      </c>
      <c r="O44" s="5">
        <f t="shared" si="9"/>
        <v>0</v>
      </c>
      <c r="P44" s="5">
        <f>Table1[[#This Row],[Enrolment S.Y. 2025-2026 ]]*8</f>
        <v>0</v>
      </c>
      <c r="Q44" s="5"/>
      <c r="R44" s="1"/>
      <c r="S44" s="5"/>
      <c r="T44" s="5">
        <f t="shared" si="10"/>
        <v>0</v>
      </c>
      <c r="U44" s="5">
        <f t="shared" si="11"/>
        <v>0</v>
      </c>
      <c r="V44" s="5">
        <f>Table1[[#This Row],[Enrolment S.Y. 2025-2026 ]]*8</f>
        <v>0</v>
      </c>
      <c r="W44" s="5"/>
      <c r="X44" s="1"/>
      <c r="Y44" s="5"/>
      <c r="Z44" s="5">
        <f t="shared" si="12"/>
        <v>0</v>
      </c>
      <c r="AA44" s="5">
        <f t="shared" si="13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>IF((D45-E45)&lt;0,0,(D45-E45))</f>
        <v>0</v>
      </c>
      <c r="I45" s="5">
        <f>IF((E45-D45)&lt;0,0,(E45-D45))</f>
        <v>0</v>
      </c>
      <c r="J45" s="5">
        <f>Table1[[#This Row],[Enrolment S.Y. 2025-2026 ]]*8</f>
        <v>0</v>
      </c>
      <c r="K45" s="5"/>
      <c r="L45" s="1"/>
      <c r="M45" s="5"/>
      <c r="N45" s="5">
        <f t="shared" si="8"/>
        <v>0</v>
      </c>
      <c r="O45" s="5">
        <f t="shared" si="9"/>
        <v>0</v>
      </c>
      <c r="P45" s="5">
        <f>Table1[[#This Row],[Enrolment S.Y. 2025-2026 ]]*8</f>
        <v>0</v>
      </c>
      <c r="Q45" s="5"/>
      <c r="R45" s="1"/>
      <c r="S45" s="5"/>
      <c r="T45" s="5">
        <f t="shared" si="10"/>
        <v>0</v>
      </c>
      <c r="U45" s="5">
        <f t="shared" si="11"/>
        <v>0</v>
      </c>
      <c r="V45" s="5">
        <f>Table1[[#This Row],[Enrolment S.Y. 2025-2026 ]]*8</f>
        <v>0</v>
      </c>
      <c r="W45" s="5"/>
      <c r="X45" s="1"/>
      <c r="Y45" s="5"/>
      <c r="Z45" s="5">
        <f t="shared" si="12"/>
        <v>0</v>
      </c>
      <c r="AA45" s="5">
        <f t="shared" si="13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>IF((D46-E46)&lt;0,0,(D46-E46))</f>
        <v>0</v>
      </c>
      <c r="I46" s="5">
        <f>IF((E46-D46)&lt;0,0,(E46-D46))</f>
        <v>0</v>
      </c>
      <c r="J46" s="5">
        <f>Table1[[#This Row],[Enrolment S.Y. 2025-2026 ]]*8</f>
        <v>0</v>
      </c>
      <c r="K46" s="5"/>
      <c r="L46" s="1"/>
      <c r="M46" s="5"/>
      <c r="N46" s="5">
        <f t="shared" si="8"/>
        <v>0</v>
      </c>
      <c r="O46" s="5">
        <f t="shared" si="9"/>
        <v>0</v>
      </c>
      <c r="P46" s="5">
        <f>Table1[[#This Row],[Enrolment S.Y. 2025-2026 ]]*8</f>
        <v>0</v>
      </c>
      <c r="Q46" s="5"/>
      <c r="R46" s="1"/>
      <c r="S46" s="5"/>
      <c r="T46" s="5">
        <f t="shared" si="10"/>
        <v>0</v>
      </c>
      <c r="U46" s="5">
        <f t="shared" si="11"/>
        <v>0</v>
      </c>
      <c r="V46" s="5">
        <f>Table1[[#This Row],[Enrolment S.Y. 2025-2026 ]]*8</f>
        <v>0</v>
      </c>
      <c r="W46" s="5"/>
      <c r="X46" s="1"/>
      <c r="Y46" s="5"/>
      <c r="Z46" s="5">
        <f t="shared" si="12"/>
        <v>0</v>
      </c>
      <c r="AA46" s="5">
        <f t="shared" si="13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>IF((D47-E47)&lt;0,0,(D47-E47))</f>
        <v>0</v>
      </c>
      <c r="I47" s="5">
        <f>IF((E47-D47)&lt;0,0,(E47-D47))</f>
        <v>0</v>
      </c>
      <c r="J47" s="5">
        <f>Table1[[#This Row],[Enrolment S.Y. 2025-2026 ]]*8</f>
        <v>0</v>
      </c>
      <c r="K47" s="5"/>
      <c r="L47" s="1"/>
      <c r="M47" s="5"/>
      <c r="N47" s="5">
        <f t="shared" si="8"/>
        <v>0</v>
      </c>
      <c r="O47" s="5">
        <f t="shared" si="9"/>
        <v>0</v>
      </c>
      <c r="P47" s="5">
        <f>Table1[[#This Row],[Enrolment S.Y. 2025-2026 ]]*8</f>
        <v>0</v>
      </c>
      <c r="Q47" s="5"/>
      <c r="R47" s="1"/>
      <c r="S47" s="5"/>
      <c r="T47" s="5">
        <f t="shared" si="10"/>
        <v>0</v>
      </c>
      <c r="U47" s="5">
        <f t="shared" si="11"/>
        <v>0</v>
      </c>
      <c r="V47" s="5">
        <f>Table1[[#This Row],[Enrolment S.Y. 2025-2026 ]]*8</f>
        <v>0</v>
      </c>
      <c r="W47" s="5"/>
      <c r="X47" s="1"/>
      <c r="Y47" s="5"/>
      <c r="Z47" s="5">
        <f t="shared" si="12"/>
        <v>0</v>
      </c>
      <c r="AA47" s="5">
        <f t="shared" si="13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>IF((D48-E48)&lt;0,0,(D48-E48))</f>
        <v>0</v>
      </c>
      <c r="I48" s="5">
        <f>IF((E48-D48)&lt;0,0,(E48-D48))</f>
        <v>0</v>
      </c>
      <c r="J48" s="5">
        <f>Table1[[#This Row],[Enrolment S.Y. 2025-2026 ]]*8</f>
        <v>0</v>
      </c>
      <c r="K48" s="5"/>
      <c r="L48" s="1"/>
      <c r="M48" s="5"/>
      <c r="N48" s="5">
        <f t="shared" si="8"/>
        <v>0</v>
      </c>
      <c r="O48" s="5">
        <f t="shared" si="9"/>
        <v>0</v>
      </c>
      <c r="P48" s="5">
        <f>Table1[[#This Row],[Enrolment S.Y. 2025-2026 ]]*8</f>
        <v>0</v>
      </c>
      <c r="Q48" s="5"/>
      <c r="R48" s="1"/>
      <c r="S48" s="5"/>
      <c r="T48" s="5">
        <f t="shared" si="10"/>
        <v>0</v>
      </c>
      <c r="U48" s="5">
        <f t="shared" si="11"/>
        <v>0</v>
      </c>
      <c r="V48" s="5">
        <f>Table1[[#This Row],[Enrolment S.Y. 2025-2026 ]]*8</f>
        <v>0</v>
      </c>
      <c r="W48" s="5"/>
      <c r="X48" s="1"/>
      <c r="Y48" s="5"/>
      <c r="Z48" s="5">
        <f t="shared" si="12"/>
        <v>0</v>
      </c>
      <c r="AA48" s="5">
        <f t="shared" si="13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Table1[[#This Row],[Enrolment S.Y. 2025-2026 ]]*8</f>
        <v>0</v>
      </c>
      <c r="K49" s="5"/>
      <c r="L49" s="1"/>
      <c r="M49" s="5"/>
      <c r="N49" s="5">
        <f t="shared" si="8"/>
        <v>0</v>
      </c>
      <c r="O49" s="5">
        <f t="shared" si="9"/>
        <v>0</v>
      </c>
      <c r="P49" s="5">
        <f>Table1[[#This Row],[Enrolment S.Y. 2025-2026 ]]*8</f>
        <v>0</v>
      </c>
      <c r="Q49" s="5"/>
      <c r="R49" s="1"/>
      <c r="S49" s="5"/>
      <c r="T49" s="5">
        <f t="shared" si="10"/>
        <v>0</v>
      </c>
      <c r="U49" s="5">
        <f t="shared" si="11"/>
        <v>0</v>
      </c>
      <c r="V49" s="5">
        <f>Table1[[#This Row],[Enrolment S.Y. 2025-2026 ]]*8</f>
        <v>0</v>
      </c>
      <c r="W49" s="5"/>
      <c r="X49" s="1"/>
      <c r="Y49" s="5"/>
      <c r="Z49" s="5">
        <f t="shared" si="12"/>
        <v>0</v>
      </c>
      <c r="AA49" s="5">
        <f t="shared" si="13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>IF((D50-E50)&lt;0,0,(D50-E50))</f>
        <v>0</v>
      </c>
      <c r="I50" s="5">
        <f>IF((E50-D50)&lt;0,0,(E50-D50))</f>
        <v>0</v>
      </c>
      <c r="J50" s="5">
        <f>Table1[[#This Row],[Enrolment S.Y. 2025-2026 ]]*8</f>
        <v>0</v>
      </c>
      <c r="K50" s="5"/>
      <c r="L50" s="1"/>
      <c r="M50" s="5"/>
      <c r="N50" s="5">
        <f t="shared" si="8"/>
        <v>0</v>
      </c>
      <c r="O50" s="5">
        <f t="shared" si="9"/>
        <v>0</v>
      </c>
      <c r="P50" s="5">
        <f>Table1[[#This Row],[Enrolment S.Y. 2025-2026 ]]*8</f>
        <v>0</v>
      </c>
      <c r="Q50" s="5"/>
      <c r="R50" s="1"/>
      <c r="S50" s="5"/>
      <c r="T50" s="5">
        <f t="shared" si="10"/>
        <v>0</v>
      </c>
      <c r="U50" s="5">
        <f t="shared" si="11"/>
        <v>0</v>
      </c>
      <c r="V50" s="5">
        <f>Table1[[#This Row],[Enrolment S.Y. 2025-2026 ]]*8</f>
        <v>0</v>
      </c>
      <c r="W50" s="5"/>
      <c r="X50" s="1"/>
      <c r="Y50" s="5"/>
      <c r="Z50" s="5">
        <f t="shared" si="12"/>
        <v>0</v>
      </c>
      <c r="AA50" s="5">
        <f t="shared" si="13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>IF((D51-E51)&lt;0,0,(D51-E51))</f>
        <v>0</v>
      </c>
      <c r="I51" s="5">
        <f>IF((E51-D51)&lt;0,0,(E51-D51))</f>
        <v>0</v>
      </c>
      <c r="J51" s="5">
        <f>Table1[[#This Row],[Enrolment S.Y. 2025-2026 ]]*8</f>
        <v>0</v>
      </c>
      <c r="K51" s="5"/>
      <c r="L51" s="1"/>
      <c r="M51" s="5"/>
      <c r="N51" s="5">
        <f t="shared" si="8"/>
        <v>0</v>
      </c>
      <c r="O51" s="5">
        <f t="shared" si="9"/>
        <v>0</v>
      </c>
      <c r="P51" s="5">
        <f>Table1[[#This Row],[Enrolment S.Y. 2025-2026 ]]*8</f>
        <v>0</v>
      </c>
      <c r="Q51" s="5"/>
      <c r="R51" s="1"/>
      <c r="S51" s="5"/>
      <c r="T51" s="5">
        <f t="shared" si="10"/>
        <v>0</v>
      </c>
      <c r="U51" s="5">
        <f t="shared" si="11"/>
        <v>0</v>
      </c>
      <c r="V51" s="5">
        <f>Table1[[#This Row],[Enrolment S.Y. 2025-2026 ]]*8</f>
        <v>0</v>
      </c>
      <c r="W51" s="5"/>
      <c r="X51" s="1"/>
      <c r="Y51" s="5"/>
      <c r="Z51" s="5">
        <f t="shared" si="12"/>
        <v>0</v>
      </c>
      <c r="AA51" s="5">
        <f t="shared" si="13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>IF((D53-E53)&lt;0,0,(D53-E53))</f>
        <v>0</v>
      </c>
      <c r="I53" s="5">
        <f>IF((E53-D53)&lt;0,0,(E53-D53))</f>
        <v>0</v>
      </c>
      <c r="J53" s="5">
        <f>Table1[[#This Row],[Enrolment S.Y. 2025-2026 ]]*8</f>
        <v>0</v>
      </c>
      <c r="K53" s="5"/>
      <c r="L53" s="1"/>
      <c r="M53" s="5"/>
      <c r="N53" s="5">
        <f t="shared" si="8"/>
        <v>0</v>
      </c>
      <c r="O53" s="5">
        <f t="shared" si="9"/>
        <v>0</v>
      </c>
      <c r="P53" s="5">
        <f>Table1[[#This Row],[Enrolment S.Y. 2025-2026 ]]*8</f>
        <v>0</v>
      </c>
      <c r="Q53" s="5"/>
      <c r="R53" s="1"/>
      <c r="S53" s="5"/>
      <c r="T53" s="5">
        <f t="shared" si="10"/>
        <v>0</v>
      </c>
      <c r="U53" s="5">
        <f t="shared" si="11"/>
        <v>0</v>
      </c>
      <c r="V53" s="5">
        <f>Table1[[#This Row],[Enrolment S.Y. 2025-2026 ]]*8</f>
        <v>0</v>
      </c>
      <c r="W53" s="5"/>
      <c r="X53" s="1"/>
      <c r="Y53" s="5"/>
      <c r="Z53" s="5">
        <f t="shared" si="12"/>
        <v>0</v>
      </c>
      <c r="AA53" s="5">
        <f t="shared" si="13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>IF((D54-E54)&lt;0,0,(D54-E54))</f>
        <v>0</v>
      </c>
      <c r="I54" s="5">
        <f>IF((E54-D54)&lt;0,0,(E54-D54))</f>
        <v>0</v>
      </c>
      <c r="J54" s="5">
        <f>Table1[[#This Row],[Enrolment S.Y. 2025-2026 ]]*8</f>
        <v>0</v>
      </c>
      <c r="K54" s="5"/>
      <c r="L54" s="1"/>
      <c r="M54" s="5"/>
      <c r="N54" s="5">
        <f t="shared" si="8"/>
        <v>0</v>
      </c>
      <c r="O54" s="5">
        <f t="shared" si="9"/>
        <v>0</v>
      </c>
      <c r="P54" s="5">
        <f>Table1[[#This Row],[Enrolment S.Y. 2025-2026 ]]*8</f>
        <v>0</v>
      </c>
      <c r="Q54" s="5"/>
      <c r="R54" s="1"/>
      <c r="S54" s="5"/>
      <c r="T54" s="5">
        <f t="shared" si="10"/>
        <v>0</v>
      </c>
      <c r="U54" s="5">
        <f t="shared" si="11"/>
        <v>0</v>
      </c>
      <c r="V54" s="5">
        <f>Table1[[#This Row],[Enrolment S.Y. 2025-2026 ]]*8</f>
        <v>0</v>
      </c>
      <c r="W54" s="5"/>
      <c r="X54" s="1"/>
      <c r="Y54" s="5"/>
      <c r="Z54" s="5">
        <f t="shared" si="12"/>
        <v>0</v>
      </c>
      <c r="AA54" s="5">
        <f t="shared" si="13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>IF((D55-E55)&lt;0,0,(D55-E55))</f>
        <v>0</v>
      </c>
      <c r="I55" s="5">
        <f>IF((E55-D55)&lt;0,0,(E55-D55))</f>
        <v>0</v>
      </c>
      <c r="J55" s="5">
        <f>Table1[[#This Row],[Enrolment S.Y. 2025-2026 ]]*8</f>
        <v>0</v>
      </c>
      <c r="K55" s="5"/>
      <c r="L55" s="1"/>
      <c r="M55" s="5"/>
      <c r="N55" s="5">
        <f t="shared" si="8"/>
        <v>0</v>
      </c>
      <c r="O55" s="5">
        <f t="shared" si="9"/>
        <v>0</v>
      </c>
      <c r="P55" s="5">
        <f>Table1[[#This Row],[Enrolment S.Y. 2025-2026 ]]*8</f>
        <v>0</v>
      </c>
      <c r="Q55" s="5"/>
      <c r="R55" s="1"/>
      <c r="S55" s="5"/>
      <c r="T55" s="5">
        <f t="shared" si="10"/>
        <v>0</v>
      </c>
      <c r="U55" s="5">
        <f t="shared" si="11"/>
        <v>0</v>
      </c>
      <c r="V55" s="5">
        <f>Table1[[#This Row],[Enrolment S.Y. 2025-2026 ]]*8</f>
        <v>0</v>
      </c>
      <c r="W55" s="5"/>
      <c r="X55" s="1"/>
      <c r="Y55" s="5"/>
      <c r="Z55" s="5">
        <f t="shared" si="12"/>
        <v>0</v>
      </c>
      <c r="AA55" s="5">
        <f t="shared" si="13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>IF((D56-E56)&lt;0,0,(D56-E56))</f>
        <v>0</v>
      </c>
      <c r="I56" s="5">
        <f>IF((E56-D56)&lt;0,0,(E56-D56))</f>
        <v>0</v>
      </c>
      <c r="J56" s="5">
        <f>Table1[[#This Row],[Enrolment S.Y. 2025-2026 ]]*8</f>
        <v>0</v>
      </c>
      <c r="K56" s="5"/>
      <c r="L56" s="1"/>
      <c r="M56" s="5"/>
      <c r="N56" s="5">
        <f t="shared" si="8"/>
        <v>0</v>
      </c>
      <c r="O56" s="5">
        <f t="shared" si="9"/>
        <v>0</v>
      </c>
      <c r="P56" s="5">
        <f>Table1[[#This Row],[Enrolment S.Y. 2025-2026 ]]*8</f>
        <v>0</v>
      </c>
      <c r="Q56" s="5"/>
      <c r="R56" s="1"/>
      <c r="S56" s="5"/>
      <c r="T56" s="5">
        <f t="shared" si="10"/>
        <v>0</v>
      </c>
      <c r="U56" s="5">
        <f t="shared" si="11"/>
        <v>0</v>
      </c>
      <c r="V56" s="5">
        <f>Table1[[#This Row],[Enrolment S.Y. 2025-2026 ]]*8</f>
        <v>0</v>
      </c>
      <c r="W56" s="5"/>
      <c r="X56" s="1"/>
      <c r="Y56" s="5"/>
      <c r="Z56" s="5">
        <f t="shared" si="12"/>
        <v>0</v>
      </c>
      <c r="AA56" s="5">
        <f t="shared" si="13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>IF((D57-E57)&lt;0,0,(D57-E57))</f>
        <v>0</v>
      </c>
      <c r="I57" s="5">
        <f>IF((E57-D57)&lt;0,0,(E57-D57))</f>
        <v>0</v>
      </c>
      <c r="J57" s="5">
        <f>Table1[[#This Row],[Enrolment S.Y. 2025-2026 ]]*8</f>
        <v>0</v>
      </c>
      <c r="K57" s="5"/>
      <c r="L57" s="1"/>
      <c r="M57" s="5"/>
      <c r="N57" s="5">
        <f t="shared" si="8"/>
        <v>0</v>
      </c>
      <c r="O57" s="5">
        <f t="shared" si="9"/>
        <v>0</v>
      </c>
      <c r="P57" s="5">
        <f>Table1[[#This Row],[Enrolment S.Y. 2025-2026 ]]*8</f>
        <v>0</v>
      </c>
      <c r="Q57" s="5"/>
      <c r="R57" s="1"/>
      <c r="S57" s="5"/>
      <c r="T57" s="5">
        <f t="shared" si="10"/>
        <v>0</v>
      </c>
      <c r="U57" s="5">
        <f t="shared" si="11"/>
        <v>0</v>
      </c>
      <c r="V57" s="5">
        <f>Table1[[#This Row],[Enrolment S.Y. 2025-2026 ]]*8</f>
        <v>0</v>
      </c>
      <c r="W57" s="5"/>
      <c r="X57" s="1"/>
      <c r="Y57" s="5"/>
      <c r="Z57" s="5">
        <f t="shared" si="12"/>
        <v>0</v>
      </c>
      <c r="AA57" s="5">
        <f t="shared" si="13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>IF((D58-E58)&lt;0,0,(D58-E58))</f>
        <v>0</v>
      </c>
      <c r="I58" s="5">
        <f>IF((E58-D58)&lt;0,0,(E58-D58))</f>
        <v>0</v>
      </c>
      <c r="J58" s="5">
        <f>Table1[[#This Row],[Enrolment S.Y. 2025-2026 ]]*8</f>
        <v>0</v>
      </c>
      <c r="K58" s="5"/>
      <c r="L58" s="1"/>
      <c r="M58" s="5"/>
      <c r="N58" s="5">
        <f t="shared" si="8"/>
        <v>0</v>
      </c>
      <c r="O58" s="5">
        <f t="shared" si="9"/>
        <v>0</v>
      </c>
      <c r="P58" s="5">
        <f>Table1[[#This Row],[Enrolment S.Y. 2025-2026 ]]*8</f>
        <v>0</v>
      </c>
      <c r="Q58" s="5"/>
      <c r="R58" s="1"/>
      <c r="S58" s="5"/>
      <c r="T58" s="5">
        <f t="shared" si="10"/>
        <v>0</v>
      </c>
      <c r="U58" s="5">
        <f t="shared" si="11"/>
        <v>0</v>
      </c>
      <c r="V58" s="5">
        <f>Table1[[#This Row],[Enrolment S.Y. 2025-2026 ]]*8</f>
        <v>0</v>
      </c>
      <c r="W58" s="5"/>
      <c r="X58" s="1"/>
      <c r="Y58" s="5"/>
      <c r="Z58" s="5">
        <f t="shared" si="12"/>
        <v>0</v>
      </c>
      <c r="AA58" s="5">
        <f t="shared" si="13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>IF((D59-E59)&lt;0,0,(D59-E59))</f>
        <v>0</v>
      </c>
      <c r="I59" s="5">
        <f>IF((E59-D59)&lt;0,0,(E59-D59))</f>
        <v>0</v>
      </c>
      <c r="J59" s="5">
        <f>Table1[[#This Row],[Enrolment S.Y. 2025-2026 ]]*8</f>
        <v>0</v>
      </c>
      <c r="K59" s="5"/>
      <c r="L59" s="1"/>
      <c r="M59" s="5"/>
      <c r="N59" s="5">
        <f t="shared" si="8"/>
        <v>0</v>
      </c>
      <c r="O59" s="5">
        <f t="shared" si="9"/>
        <v>0</v>
      </c>
      <c r="P59" s="5">
        <f>Table1[[#This Row],[Enrolment S.Y. 2025-2026 ]]*8</f>
        <v>0</v>
      </c>
      <c r="Q59" s="5"/>
      <c r="R59" s="1"/>
      <c r="S59" s="5"/>
      <c r="T59" s="5">
        <f t="shared" si="10"/>
        <v>0</v>
      </c>
      <c r="U59" s="5">
        <f t="shared" si="11"/>
        <v>0</v>
      </c>
      <c r="V59" s="5">
        <f>Table1[[#This Row],[Enrolment S.Y. 2025-2026 ]]*8</f>
        <v>0</v>
      </c>
      <c r="W59" s="5"/>
      <c r="X59" s="1"/>
      <c r="Y59" s="5"/>
      <c r="Z59" s="5">
        <f t="shared" si="12"/>
        <v>0</v>
      </c>
      <c r="AA59" s="5">
        <f t="shared" si="13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>IF((D60-E60)&lt;0,0,(D60-E60))</f>
        <v>0</v>
      </c>
      <c r="I60" s="5">
        <f>IF((E60-D60)&lt;0,0,(E60-D60))</f>
        <v>0</v>
      </c>
      <c r="J60" s="5">
        <f>Table1[[#This Row],[Enrolment S.Y. 2025-2026 ]]*8</f>
        <v>0</v>
      </c>
      <c r="K60" s="5"/>
      <c r="L60" s="1"/>
      <c r="M60" s="5"/>
      <c r="N60" s="5">
        <f t="shared" si="8"/>
        <v>0</v>
      </c>
      <c r="O60" s="5">
        <f t="shared" si="9"/>
        <v>0</v>
      </c>
      <c r="P60" s="5">
        <f>Table1[[#This Row],[Enrolment S.Y. 2025-2026 ]]*8</f>
        <v>0</v>
      </c>
      <c r="Q60" s="5"/>
      <c r="R60" s="1"/>
      <c r="S60" s="5"/>
      <c r="T60" s="5">
        <f t="shared" si="10"/>
        <v>0</v>
      </c>
      <c r="U60" s="5">
        <f t="shared" si="11"/>
        <v>0</v>
      </c>
      <c r="V60" s="5">
        <f>Table1[[#This Row],[Enrolment S.Y. 2025-2026 ]]*8</f>
        <v>0</v>
      </c>
      <c r="W60" s="5"/>
      <c r="X60" s="1"/>
      <c r="Y60" s="5"/>
      <c r="Z60" s="5">
        <f t="shared" si="12"/>
        <v>0</v>
      </c>
      <c r="AA60" s="5">
        <f t="shared" si="13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Table1[[#This Row],[Enrolment S.Y. 2025-2026 ]]*8</f>
        <v>0</v>
      </c>
      <c r="K61" s="5"/>
      <c r="L61" s="1"/>
      <c r="M61" s="5"/>
      <c r="N61" s="5">
        <f t="shared" si="8"/>
        <v>0</v>
      </c>
      <c r="O61" s="5">
        <f t="shared" si="9"/>
        <v>0</v>
      </c>
      <c r="P61" s="5">
        <f>Table1[[#This Row],[Enrolment S.Y. 2025-2026 ]]*8</f>
        <v>0</v>
      </c>
      <c r="Q61" s="5"/>
      <c r="R61" s="1"/>
      <c r="S61" s="5"/>
      <c r="T61" s="5">
        <f t="shared" si="10"/>
        <v>0</v>
      </c>
      <c r="U61" s="5">
        <f t="shared" si="11"/>
        <v>0</v>
      </c>
      <c r="V61" s="5">
        <f>Table1[[#This Row],[Enrolment S.Y. 2025-2026 ]]*8</f>
        <v>0</v>
      </c>
      <c r="W61" s="5"/>
      <c r="X61" s="1"/>
      <c r="Y61" s="5"/>
      <c r="Z61" s="5">
        <f t="shared" si="12"/>
        <v>0</v>
      </c>
      <c r="AA61" s="5">
        <f t="shared" si="13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510</v>
      </c>
      <c r="D63" s="12">
        <f>Table1[[#This Row],[Enrolment S.Y. 2025-2026 ]]*8</f>
        <v>4080</v>
      </c>
      <c r="E63" s="12"/>
      <c r="F63" s="10"/>
      <c r="G63" s="12"/>
      <c r="H63" s="12">
        <f>IF((D63-E63)&lt;0,0,(D63-E63))</f>
        <v>4080</v>
      </c>
      <c r="I63" s="12">
        <f>IF((E63-D63)&lt;0,0,(E63-D63))</f>
        <v>0</v>
      </c>
      <c r="J63" s="12">
        <f>Table1[[#This Row],[Enrolment S.Y. 2025-2026 ]]*8</f>
        <v>4080</v>
      </c>
      <c r="K63" s="12"/>
      <c r="L63" s="10"/>
      <c r="M63" s="12"/>
      <c r="N63" s="12">
        <f t="shared" si="8"/>
        <v>4080</v>
      </c>
      <c r="O63" s="12">
        <f t="shared" si="9"/>
        <v>0</v>
      </c>
      <c r="P63" s="12">
        <f>Table1[[#This Row],[Enrolment S.Y. 2025-2026 ]]*8</f>
        <v>4080</v>
      </c>
      <c r="Q63" s="12"/>
      <c r="R63" s="10"/>
      <c r="S63" s="12"/>
      <c r="T63" s="12">
        <f t="shared" si="10"/>
        <v>4080</v>
      </c>
      <c r="U63" s="12">
        <f t="shared" si="11"/>
        <v>0</v>
      </c>
      <c r="V63" s="12">
        <f>Table1[[#This Row],[Enrolment S.Y. 2025-2026 ]]*8</f>
        <v>4080</v>
      </c>
      <c r="W63" s="12"/>
      <c r="X63" s="10"/>
      <c r="Y63" s="12"/>
      <c r="Z63" s="12">
        <f t="shared" si="12"/>
        <v>4080</v>
      </c>
      <c r="AA63" s="12">
        <f t="shared" si="13"/>
        <v>0</v>
      </c>
    </row>
    <row r="64" spans="1:27" ht="19.5">
      <c r="A64" s="10">
        <v>7</v>
      </c>
      <c r="B64" s="11" t="s">
        <v>15</v>
      </c>
      <c r="C64" s="10">
        <v>510</v>
      </c>
      <c r="D64" s="12">
        <f>Table1[[#This Row],[Enrolment S.Y. 2025-2026 ]]*8</f>
        <v>4080</v>
      </c>
      <c r="E64" s="12"/>
      <c r="F64" s="10"/>
      <c r="G64" s="12"/>
      <c r="H64" s="12">
        <f>IF((D64-E64)&lt;0,0,(D64-E64))</f>
        <v>4080</v>
      </c>
      <c r="I64" s="12">
        <f>IF((E64-D64)&lt;0,0,(E64-D64))</f>
        <v>0</v>
      </c>
      <c r="J64" s="12">
        <f>Table1[[#This Row],[Enrolment S.Y. 2025-2026 ]]*8</f>
        <v>4080</v>
      </c>
      <c r="K64" s="12"/>
      <c r="L64" s="10"/>
      <c r="M64" s="12"/>
      <c r="N64" s="12">
        <f t="shared" si="8"/>
        <v>4080</v>
      </c>
      <c r="O64" s="12">
        <f t="shared" si="9"/>
        <v>0</v>
      </c>
      <c r="P64" s="12">
        <f>Table1[[#This Row],[Enrolment S.Y. 2025-2026 ]]*8</f>
        <v>4080</v>
      </c>
      <c r="Q64" s="12"/>
      <c r="R64" s="10"/>
      <c r="S64" s="12"/>
      <c r="T64" s="12">
        <f t="shared" si="10"/>
        <v>4080</v>
      </c>
      <c r="U64" s="12">
        <f t="shared" si="11"/>
        <v>0</v>
      </c>
      <c r="V64" s="12">
        <f>Table1[[#This Row],[Enrolment S.Y. 2025-2026 ]]*8</f>
        <v>4080</v>
      </c>
      <c r="W64" s="12"/>
      <c r="X64" s="10"/>
      <c r="Y64" s="12"/>
      <c r="Z64" s="12">
        <f t="shared" si="12"/>
        <v>4080</v>
      </c>
      <c r="AA64" s="12">
        <f t="shared" si="13"/>
        <v>0</v>
      </c>
    </row>
    <row r="65" spans="1:27" ht="19.5">
      <c r="A65" s="10">
        <v>7</v>
      </c>
      <c r="B65" s="11" t="s">
        <v>12</v>
      </c>
      <c r="C65" s="10">
        <v>510</v>
      </c>
      <c r="D65" s="12">
        <f>Table1[[#This Row],[Enrolment S.Y. 2025-2026 ]]*8</f>
        <v>4080</v>
      </c>
      <c r="E65" s="12"/>
      <c r="F65" s="10"/>
      <c r="G65" s="12"/>
      <c r="H65" s="12">
        <f>IF((D65-E65)&lt;0,0,(D65-E65))</f>
        <v>4080</v>
      </c>
      <c r="I65" s="12">
        <f>IF((E65-D65)&lt;0,0,(E65-D65))</f>
        <v>0</v>
      </c>
      <c r="J65" s="12">
        <f>Table1[[#This Row],[Enrolment S.Y. 2025-2026 ]]*8</f>
        <v>4080</v>
      </c>
      <c r="K65" s="12"/>
      <c r="L65" s="10"/>
      <c r="M65" s="12"/>
      <c r="N65" s="12">
        <f t="shared" si="8"/>
        <v>4080</v>
      </c>
      <c r="O65" s="12">
        <f t="shared" si="9"/>
        <v>0</v>
      </c>
      <c r="P65" s="12">
        <f>Table1[[#This Row],[Enrolment S.Y. 2025-2026 ]]*8</f>
        <v>4080</v>
      </c>
      <c r="Q65" s="12"/>
      <c r="R65" s="10"/>
      <c r="S65" s="12"/>
      <c r="T65" s="12">
        <f t="shared" si="10"/>
        <v>4080</v>
      </c>
      <c r="U65" s="12">
        <f t="shared" si="11"/>
        <v>0</v>
      </c>
      <c r="V65" s="12">
        <f>Table1[[#This Row],[Enrolment S.Y. 2025-2026 ]]*8</f>
        <v>4080</v>
      </c>
      <c r="W65" s="12"/>
      <c r="X65" s="10"/>
      <c r="Y65" s="12"/>
      <c r="Z65" s="12">
        <f t="shared" si="12"/>
        <v>4080</v>
      </c>
      <c r="AA65" s="12">
        <f t="shared" si="13"/>
        <v>0</v>
      </c>
    </row>
    <row r="66" spans="1:27" ht="19.5">
      <c r="A66" s="10">
        <v>7</v>
      </c>
      <c r="B66" s="11" t="s">
        <v>21</v>
      </c>
      <c r="C66" s="10">
        <v>510</v>
      </c>
      <c r="D66" s="12">
        <f>Table1[[#This Row],[Enrolment S.Y. 2025-2026 ]]*8</f>
        <v>4080</v>
      </c>
      <c r="E66" s="12"/>
      <c r="F66" s="10"/>
      <c r="G66" s="12"/>
      <c r="H66" s="12">
        <f>IF((D66-E66)&lt;0,0,(D66-E66))</f>
        <v>4080</v>
      </c>
      <c r="I66" s="12">
        <f>IF((E66-D66)&lt;0,0,(E66-D66))</f>
        <v>0</v>
      </c>
      <c r="J66" s="12">
        <f>Table1[[#This Row],[Enrolment S.Y. 2025-2026 ]]*8</f>
        <v>4080</v>
      </c>
      <c r="K66" s="12"/>
      <c r="L66" s="10"/>
      <c r="M66" s="12"/>
      <c r="N66" s="12">
        <f t="shared" si="8"/>
        <v>4080</v>
      </c>
      <c r="O66" s="12">
        <f t="shared" si="9"/>
        <v>0</v>
      </c>
      <c r="P66" s="12">
        <f>Table1[[#This Row],[Enrolment S.Y. 2025-2026 ]]*8</f>
        <v>4080</v>
      </c>
      <c r="Q66" s="12"/>
      <c r="R66" s="10"/>
      <c r="S66" s="12"/>
      <c r="T66" s="12">
        <f t="shared" si="10"/>
        <v>4080</v>
      </c>
      <c r="U66" s="12">
        <f t="shared" si="11"/>
        <v>0</v>
      </c>
      <c r="V66" s="12">
        <f>Table1[[#This Row],[Enrolment S.Y. 2025-2026 ]]*8</f>
        <v>4080</v>
      </c>
      <c r="W66" s="12"/>
      <c r="X66" s="10"/>
      <c r="Y66" s="12"/>
      <c r="Z66" s="12">
        <f t="shared" si="12"/>
        <v>4080</v>
      </c>
      <c r="AA66" s="12">
        <f t="shared" si="13"/>
        <v>0</v>
      </c>
    </row>
    <row r="67" spans="1:27" ht="38.25">
      <c r="A67" s="10">
        <v>7</v>
      </c>
      <c r="B67" s="11" t="s">
        <v>16</v>
      </c>
      <c r="C67" s="10">
        <v>510</v>
      </c>
      <c r="D67" s="12">
        <f>Table1[[#This Row],[Enrolment S.Y. 2025-2026 ]]*8</f>
        <v>4080</v>
      </c>
      <c r="E67" s="12"/>
      <c r="F67" s="10"/>
      <c r="G67" s="12"/>
      <c r="H67" s="12">
        <f>IF((D67-E67)&lt;0,0,(D67-E67))</f>
        <v>4080</v>
      </c>
      <c r="I67" s="12">
        <f>IF((E67-D67)&lt;0,0,(E67-D67))</f>
        <v>0</v>
      </c>
      <c r="J67" s="12">
        <f>Table1[[#This Row],[Enrolment S.Y. 2025-2026 ]]*8</f>
        <v>4080</v>
      </c>
      <c r="K67" s="12"/>
      <c r="L67" s="10"/>
      <c r="M67" s="12"/>
      <c r="N67" s="12">
        <f t="shared" si="8"/>
        <v>4080</v>
      </c>
      <c r="O67" s="12">
        <f t="shared" si="9"/>
        <v>0</v>
      </c>
      <c r="P67" s="12">
        <f>Table1[[#This Row],[Enrolment S.Y. 2025-2026 ]]*8</f>
        <v>4080</v>
      </c>
      <c r="Q67" s="12"/>
      <c r="R67" s="10"/>
      <c r="S67" s="12"/>
      <c r="T67" s="12">
        <f t="shared" si="10"/>
        <v>4080</v>
      </c>
      <c r="U67" s="12">
        <f t="shared" si="11"/>
        <v>0</v>
      </c>
      <c r="V67" s="12">
        <f>Table1[[#This Row],[Enrolment S.Y. 2025-2026 ]]*8</f>
        <v>4080</v>
      </c>
      <c r="W67" s="12"/>
      <c r="X67" s="10"/>
      <c r="Y67" s="12"/>
      <c r="Z67" s="12">
        <f t="shared" si="12"/>
        <v>4080</v>
      </c>
      <c r="AA67" s="12">
        <f t="shared" si="13"/>
        <v>0</v>
      </c>
    </row>
    <row r="68" spans="1:27" ht="19.5">
      <c r="A68" s="10">
        <v>7</v>
      </c>
      <c r="B68" s="11" t="s">
        <v>13</v>
      </c>
      <c r="C68" s="10">
        <v>510</v>
      </c>
      <c r="D68" s="12">
        <f>Table1[[#This Row],[Enrolment S.Y. 2025-2026 ]]*8</f>
        <v>4080</v>
      </c>
      <c r="E68" s="12"/>
      <c r="F68" s="10"/>
      <c r="G68" s="12"/>
      <c r="H68" s="12">
        <f>IF((D68-E68)&lt;0,0,(D68-E68))</f>
        <v>4080</v>
      </c>
      <c r="I68" s="12">
        <f>IF((E68-D68)&lt;0,0,(E68-D68))</f>
        <v>0</v>
      </c>
      <c r="J68" s="12">
        <f>Table1[[#This Row],[Enrolment S.Y. 2025-2026 ]]*8</f>
        <v>4080</v>
      </c>
      <c r="K68" s="12"/>
      <c r="L68" s="10"/>
      <c r="M68" s="12"/>
      <c r="N68" s="12">
        <f t="shared" si="8"/>
        <v>4080</v>
      </c>
      <c r="O68" s="12">
        <f t="shared" si="9"/>
        <v>0</v>
      </c>
      <c r="P68" s="12">
        <f>Table1[[#This Row],[Enrolment S.Y. 2025-2026 ]]*8</f>
        <v>4080</v>
      </c>
      <c r="Q68" s="12"/>
      <c r="R68" s="10"/>
      <c r="S68" s="12"/>
      <c r="T68" s="12">
        <f t="shared" si="10"/>
        <v>4080</v>
      </c>
      <c r="U68" s="12">
        <f t="shared" si="11"/>
        <v>0</v>
      </c>
      <c r="V68" s="12">
        <f>Table1[[#This Row],[Enrolment S.Y. 2025-2026 ]]*8</f>
        <v>4080</v>
      </c>
      <c r="W68" s="12"/>
      <c r="X68" s="10"/>
      <c r="Y68" s="12"/>
      <c r="Z68" s="12">
        <f t="shared" si="12"/>
        <v>4080</v>
      </c>
      <c r="AA68" s="12">
        <f t="shared" si="13"/>
        <v>0</v>
      </c>
    </row>
    <row r="69" spans="1:27" ht="19.5">
      <c r="A69" s="10">
        <v>7</v>
      </c>
      <c r="B69" s="11" t="s">
        <v>17</v>
      </c>
      <c r="C69" s="10">
        <v>510</v>
      </c>
      <c r="D69" s="12">
        <f>Table1[[#This Row],[Enrolment S.Y. 2025-2026 ]]*8</f>
        <v>4080</v>
      </c>
      <c r="E69" s="12"/>
      <c r="F69" s="10"/>
      <c r="G69" s="12"/>
      <c r="H69" s="12">
        <f>IF((D69-E69)&lt;0,0,(D69-E69))</f>
        <v>4080</v>
      </c>
      <c r="I69" s="12">
        <f>IF((E69-D69)&lt;0,0,(E69-D69))</f>
        <v>0</v>
      </c>
      <c r="J69" s="12">
        <f>Table1[[#This Row],[Enrolment S.Y. 2025-2026 ]]*8</f>
        <v>4080</v>
      </c>
      <c r="K69" s="12"/>
      <c r="L69" s="10"/>
      <c r="M69" s="12"/>
      <c r="N69" s="12">
        <f t="shared" si="8"/>
        <v>4080</v>
      </c>
      <c r="O69" s="12">
        <f t="shared" si="9"/>
        <v>0</v>
      </c>
      <c r="P69" s="12">
        <f>Table1[[#This Row],[Enrolment S.Y. 2025-2026 ]]*8</f>
        <v>4080</v>
      </c>
      <c r="Q69" s="12"/>
      <c r="R69" s="10"/>
      <c r="S69" s="12"/>
      <c r="T69" s="12">
        <f t="shared" si="10"/>
        <v>4080</v>
      </c>
      <c r="U69" s="12">
        <f t="shared" si="11"/>
        <v>0</v>
      </c>
      <c r="V69" s="12">
        <f>Table1[[#This Row],[Enrolment S.Y. 2025-2026 ]]*8</f>
        <v>4080</v>
      </c>
      <c r="W69" s="12"/>
      <c r="X69" s="10"/>
      <c r="Y69" s="12"/>
      <c r="Z69" s="12">
        <f t="shared" si="12"/>
        <v>4080</v>
      </c>
      <c r="AA69" s="12">
        <f t="shared" si="13"/>
        <v>0</v>
      </c>
    </row>
    <row r="70" spans="1:27" ht="19.5">
      <c r="A70" s="10">
        <v>7</v>
      </c>
      <c r="B70" s="11" t="s">
        <v>22</v>
      </c>
      <c r="C70" s="10">
        <v>510</v>
      </c>
      <c r="D70" s="12">
        <f>Table1[[#This Row],[Enrolment S.Y. 2025-2026 ]]*8</f>
        <v>4080</v>
      </c>
      <c r="E70" s="12"/>
      <c r="F70" s="10"/>
      <c r="G70" s="12"/>
      <c r="H70" s="12">
        <f>IF((D70-E70)&lt;0,0,(D70-E70))</f>
        <v>4080</v>
      </c>
      <c r="I70" s="12">
        <f>IF((E70-D70)&lt;0,0,(E70-D70))</f>
        <v>0</v>
      </c>
      <c r="J70" s="12">
        <f>Table1[[#This Row],[Enrolment S.Y. 2025-2026 ]]*8</f>
        <v>4080</v>
      </c>
      <c r="K70" s="12"/>
      <c r="L70" s="10"/>
      <c r="M70" s="12"/>
      <c r="N70" s="12">
        <f t="shared" ref="N70:N126" si="14">IF((J70-K70)&lt;0,0,(J70-K70))</f>
        <v>4080</v>
      </c>
      <c r="O70" s="12">
        <f t="shared" ref="O70:O126" si="15">IF((K70-J70)&lt;0,0,(K70-J70))</f>
        <v>0</v>
      </c>
      <c r="P70" s="12">
        <f>Table1[[#This Row],[Enrolment S.Y. 2025-2026 ]]*8</f>
        <v>4080</v>
      </c>
      <c r="Q70" s="12"/>
      <c r="R70" s="10"/>
      <c r="S70" s="12"/>
      <c r="T70" s="12">
        <f t="shared" ref="T70:T127" si="16">IF((P70-Q70)&lt;0,0,(P70-Q70))</f>
        <v>4080</v>
      </c>
      <c r="U70" s="12">
        <f t="shared" ref="U70:U127" si="17">IF((Q70-P70)&lt;0,0,(Q70-P70))</f>
        <v>0</v>
      </c>
      <c r="V70" s="12">
        <f>Table1[[#This Row],[Enrolment S.Y. 2025-2026 ]]*8</f>
        <v>4080</v>
      </c>
      <c r="W70" s="12"/>
      <c r="X70" s="10"/>
      <c r="Y70" s="12"/>
      <c r="Z70" s="12">
        <f t="shared" ref="Z70:Z127" si="18">IF((V70-W70)&lt;0,0,(V70-W70))</f>
        <v>4080</v>
      </c>
      <c r="AA70" s="12">
        <f t="shared" ref="AA70:AA127" si="19">IF((W70-V70)&lt;0,0,(W70-V70))</f>
        <v>0</v>
      </c>
    </row>
    <row r="71" spans="1:27" ht="19.5">
      <c r="A71" s="10">
        <v>7</v>
      </c>
      <c r="B71" s="11" t="s">
        <v>19</v>
      </c>
      <c r="C71" s="10">
        <v>510</v>
      </c>
      <c r="D71" s="12">
        <f>Table1[[#This Row],[Enrolment S.Y. 2025-2026 ]]*8</f>
        <v>4080</v>
      </c>
      <c r="E71" s="12"/>
      <c r="F71" s="10"/>
      <c r="G71" s="12"/>
      <c r="H71" s="12">
        <f>IF((D71-E71)&lt;0,0,(D71-E71))</f>
        <v>4080</v>
      </c>
      <c r="I71" s="12">
        <f>IF((E71-D71)&lt;0,0,(E71-D71))</f>
        <v>0</v>
      </c>
      <c r="J71" s="12">
        <f>Table1[[#This Row],[Enrolment S.Y. 2025-2026 ]]*8</f>
        <v>4080</v>
      </c>
      <c r="K71" s="12"/>
      <c r="L71" s="10"/>
      <c r="M71" s="12"/>
      <c r="N71" s="12">
        <f t="shared" si="14"/>
        <v>4080</v>
      </c>
      <c r="O71" s="12">
        <f t="shared" si="15"/>
        <v>0</v>
      </c>
      <c r="P71" s="12">
        <f>Table1[[#This Row],[Enrolment S.Y. 2025-2026 ]]*8</f>
        <v>4080</v>
      </c>
      <c r="Q71" s="12"/>
      <c r="R71" s="10"/>
      <c r="S71" s="12"/>
      <c r="T71" s="12">
        <f t="shared" si="16"/>
        <v>4080</v>
      </c>
      <c r="U71" s="12">
        <f t="shared" si="17"/>
        <v>0</v>
      </c>
      <c r="V71" s="12">
        <f>Table1[[#This Row],[Enrolment S.Y. 2025-2026 ]]*8</f>
        <v>4080</v>
      </c>
      <c r="W71" s="12"/>
      <c r="X71" s="10"/>
      <c r="Y71" s="12"/>
      <c r="Z71" s="12">
        <f t="shared" si="18"/>
        <v>4080</v>
      </c>
      <c r="AA71" s="12">
        <f t="shared" si="19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525</v>
      </c>
      <c r="D73" s="12">
        <f>Table1[[#This Row],[Enrolment S.Y. 2025-2026 ]]*8</f>
        <v>4200</v>
      </c>
      <c r="E73" s="12">
        <v>60</v>
      </c>
      <c r="F73" s="10">
        <v>2025</v>
      </c>
      <c r="G73" s="12" t="s">
        <v>63</v>
      </c>
      <c r="H73" s="12">
        <f>IF((D73-E73)&lt;0,0,(D73-E73))</f>
        <v>4140</v>
      </c>
      <c r="I73" s="12">
        <f>IF((E73-D73)&lt;0,0,(E73-D73))</f>
        <v>0</v>
      </c>
      <c r="J73" s="12">
        <f>Table1[[#This Row],[Enrolment S.Y. 2025-2026 ]]*8</f>
        <v>4200</v>
      </c>
      <c r="K73" s="12"/>
      <c r="L73" s="10"/>
      <c r="M73" s="12"/>
      <c r="N73" s="12">
        <f t="shared" si="14"/>
        <v>4200</v>
      </c>
      <c r="O73" s="12">
        <f t="shared" si="15"/>
        <v>0</v>
      </c>
      <c r="P73" s="12">
        <f>Table1[[#This Row],[Enrolment S.Y. 2025-2026 ]]*8</f>
        <v>4200</v>
      </c>
      <c r="Q73" s="12"/>
      <c r="R73" s="10"/>
      <c r="S73" s="12"/>
      <c r="T73" s="12">
        <f t="shared" si="16"/>
        <v>4200</v>
      </c>
      <c r="U73" s="12">
        <f t="shared" si="17"/>
        <v>0</v>
      </c>
      <c r="V73" s="12">
        <f>Table1[[#This Row],[Enrolment S.Y. 2025-2026 ]]*8</f>
        <v>4200</v>
      </c>
      <c r="W73" s="12"/>
      <c r="X73" s="10"/>
      <c r="Y73" s="12"/>
      <c r="Z73" s="12">
        <f t="shared" si="18"/>
        <v>4200</v>
      </c>
      <c r="AA73" s="12">
        <f t="shared" si="19"/>
        <v>0</v>
      </c>
    </row>
    <row r="74" spans="1:27" ht="19.5">
      <c r="A74" s="10">
        <v>8</v>
      </c>
      <c r="B74" s="11" t="s">
        <v>15</v>
      </c>
      <c r="C74" s="10">
        <v>525</v>
      </c>
      <c r="D74" s="12">
        <f>Table1[[#This Row],[Enrolment S.Y. 2025-2026 ]]*8</f>
        <v>4200</v>
      </c>
      <c r="E74" s="12">
        <v>60</v>
      </c>
      <c r="F74" s="10">
        <v>2025</v>
      </c>
      <c r="G74" s="12" t="s">
        <v>63</v>
      </c>
      <c r="H74" s="12">
        <f>IF((D74-E74)&lt;0,0,(D74-E74))</f>
        <v>4140</v>
      </c>
      <c r="I74" s="12">
        <f>IF((E74-D74)&lt;0,0,(E74-D74))</f>
        <v>0</v>
      </c>
      <c r="J74" s="12">
        <f>Table1[[#This Row],[Enrolment S.Y. 2025-2026 ]]*8</f>
        <v>4200</v>
      </c>
      <c r="K74" s="12"/>
      <c r="L74" s="10"/>
      <c r="M74" s="12"/>
      <c r="N74" s="12">
        <f t="shared" si="14"/>
        <v>4200</v>
      </c>
      <c r="O74" s="12">
        <f t="shared" si="15"/>
        <v>0</v>
      </c>
      <c r="P74" s="12">
        <f>Table1[[#This Row],[Enrolment S.Y. 2025-2026 ]]*8</f>
        <v>4200</v>
      </c>
      <c r="Q74" s="12"/>
      <c r="R74" s="10"/>
      <c r="S74" s="12"/>
      <c r="T74" s="12">
        <f t="shared" si="16"/>
        <v>4200</v>
      </c>
      <c r="U74" s="12">
        <f t="shared" si="17"/>
        <v>0</v>
      </c>
      <c r="V74" s="12">
        <f>Table1[[#This Row],[Enrolment S.Y. 2025-2026 ]]*8</f>
        <v>4200</v>
      </c>
      <c r="W74" s="12"/>
      <c r="X74" s="10"/>
      <c r="Y74" s="12"/>
      <c r="Z74" s="12">
        <f t="shared" si="18"/>
        <v>4200</v>
      </c>
      <c r="AA74" s="12">
        <f t="shared" si="19"/>
        <v>0</v>
      </c>
    </row>
    <row r="75" spans="1:27" ht="19.5">
      <c r="A75" s="10">
        <v>8</v>
      </c>
      <c r="B75" s="11" t="s">
        <v>12</v>
      </c>
      <c r="C75" s="10">
        <v>525</v>
      </c>
      <c r="D75" s="12">
        <f>Table1[[#This Row],[Enrolment S.Y. 2025-2026 ]]*8</f>
        <v>4200</v>
      </c>
      <c r="E75" s="12">
        <v>60</v>
      </c>
      <c r="F75" s="10">
        <v>2025</v>
      </c>
      <c r="G75" s="12" t="s">
        <v>63</v>
      </c>
      <c r="H75" s="12">
        <f>IF((D75-E75)&lt;0,0,(D75-E75))</f>
        <v>4140</v>
      </c>
      <c r="I75" s="12">
        <f>IF((E75-D75)&lt;0,0,(E75-D75))</f>
        <v>0</v>
      </c>
      <c r="J75" s="12">
        <f>Table1[[#This Row],[Enrolment S.Y. 2025-2026 ]]*8</f>
        <v>4200</v>
      </c>
      <c r="K75" s="12"/>
      <c r="L75" s="10"/>
      <c r="M75" s="12"/>
      <c r="N75" s="12">
        <f t="shared" si="14"/>
        <v>4200</v>
      </c>
      <c r="O75" s="12">
        <f t="shared" si="15"/>
        <v>0</v>
      </c>
      <c r="P75" s="12">
        <f>Table1[[#This Row],[Enrolment S.Y. 2025-2026 ]]*8</f>
        <v>4200</v>
      </c>
      <c r="Q75" s="12"/>
      <c r="R75" s="10"/>
      <c r="S75" s="12"/>
      <c r="T75" s="12">
        <f t="shared" si="16"/>
        <v>4200</v>
      </c>
      <c r="U75" s="12">
        <f t="shared" si="17"/>
        <v>0</v>
      </c>
      <c r="V75" s="12">
        <f>Table1[[#This Row],[Enrolment S.Y. 2025-2026 ]]*8</f>
        <v>4200</v>
      </c>
      <c r="W75" s="12"/>
      <c r="X75" s="10"/>
      <c r="Y75" s="12"/>
      <c r="Z75" s="12">
        <f t="shared" si="18"/>
        <v>4200</v>
      </c>
      <c r="AA75" s="12">
        <f t="shared" si="19"/>
        <v>0</v>
      </c>
    </row>
    <row r="76" spans="1:27" ht="19.5">
      <c r="A76" s="10">
        <v>8</v>
      </c>
      <c r="B76" s="11" t="s">
        <v>21</v>
      </c>
      <c r="C76" s="10">
        <v>525</v>
      </c>
      <c r="D76" s="12">
        <f>Table1[[#This Row],[Enrolment S.Y. 2025-2026 ]]*8</f>
        <v>4200</v>
      </c>
      <c r="E76" s="12">
        <v>60</v>
      </c>
      <c r="F76" s="10">
        <v>2025</v>
      </c>
      <c r="G76" s="12" t="s">
        <v>63</v>
      </c>
      <c r="H76" s="12">
        <f>IF((D76-E76)&lt;0,0,(D76-E76))</f>
        <v>4140</v>
      </c>
      <c r="I76" s="12">
        <f>IF((E76-D76)&lt;0,0,(E76-D76))</f>
        <v>0</v>
      </c>
      <c r="J76" s="12">
        <f>Table1[[#This Row],[Enrolment S.Y. 2025-2026 ]]*8</f>
        <v>4200</v>
      </c>
      <c r="K76" s="12"/>
      <c r="L76" s="10"/>
      <c r="M76" s="12"/>
      <c r="N76" s="12">
        <f t="shared" si="14"/>
        <v>4200</v>
      </c>
      <c r="O76" s="12">
        <f t="shared" si="15"/>
        <v>0</v>
      </c>
      <c r="P76" s="12">
        <f>Table1[[#This Row],[Enrolment S.Y. 2025-2026 ]]*8</f>
        <v>4200</v>
      </c>
      <c r="Q76" s="12"/>
      <c r="R76" s="10"/>
      <c r="S76" s="12"/>
      <c r="T76" s="12">
        <f t="shared" si="16"/>
        <v>4200</v>
      </c>
      <c r="U76" s="12">
        <f t="shared" si="17"/>
        <v>0</v>
      </c>
      <c r="V76" s="12">
        <f>Table1[[#This Row],[Enrolment S.Y. 2025-2026 ]]*8</f>
        <v>4200</v>
      </c>
      <c r="W76" s="12"/>
      <c r="X76" s="10"/>
      <c r="Y76" s="12"/>
      <c r="Z76" s="12">
        <f t="shared" si="18"/>
        <v>4200</v>
      </c>
      <c r="AA76" s="12">
        <f t="shared" si="19"/>
        <v>0</v>
      </c>
    </row>
    <row r="77" spans="1:27" ht="19.5">
      <c r="A77" s="10">
        <v>8</v>
      </c>
      <c r="B77" s="11" t="s">
        <v>23</v>
      </c>
      <c r="C77" s="10">
        <v>525</v>
      </c>
      <c r="D77" s="12">
        <f>Table1[[#This Row],[Enrolment S.Y. 2025-2026 ]]*8</f>
        <v>4200</v>
      </c>
      <c r="E77" s="12">
        <v>60</v>
      </c>
      <c r="F77" s="10">
        <v>2025</v>
      </c>
      <c r="G77" s="12" t="s">
        <v>63</v>
      </c>
      <c r="H77" s="12">
        <f>IF((D77-E77)&lt;0,0,(D77-E77))</f>
        <v>4140</v>
      </c>
      <c r="I77" s="12">
        <f>IF((E77-D77)&lt;0,0,(E77-D77))</f>
        <v>0</v>
      </c>
      <c r="J77" s="12">
        <f>Table1[[#This Row],[Enrolment S.Y. 2025-2026 ]]*8</f>
        <v>4200</v>
      </c>
      <c r="K77" s="12"/>
      <c r="L77" s="10"/>
      <c r="M77" s="12"/>
      <c r="N77" s="12">
        <f t="shared" si="14"/>
        <v>4200</v>
      </c>
      <c r="O77" s="12">
        <f t="shared" si="15"/>
        <v>0</v>
      </c>
      <c r="P77" s="12">
        <f>Table1[[#This Row],[Enrolment S.Y. 2025-2026 ]]*8</f>
        <v>4200</v>
      </c>
      <c r="Q77" s="12"/>
      <c r="R77" s="10"/>
      <c r="S77" s="12"/>
      <c r="T77" s="12">
        <f t="shared" si="16"/>
        <v>4200</v>
      </c>
      <c r="U77" s="12">
        <f t="shared" si="17"/>
        <v>0</v>
      </c>
      <c r="V77" s="12">
        <f>Table1[[#This Row],[Enrolment S.Y. 2025-2026 ]]*8</f>
        <v>4200</v>
      </c>
      <c r="W77" s="12"/>
      <c r="X77" s="10"/>
      <c r="Y77" s="12"/>
      <c r="Z77" s="12">
        <f t="shared" si="18"/>
        <v>4200</v>
      </c>
      <c r="AA77" s="12">
        <f t="shared" si="19"/>
        <v>0</v>
      </c>
    </row>
    <row r="78" spans="1:27" ht="19.5">
      <c r="A78" s="10">
        <v>8</v>
      </c>
      <c r="B78" s="11" t="s">
        <v>13</v>
      </c>
      <c r="C78" s="10">
        <v>525</v>
      </c>
      <c r="D78" s="12">
        <f>Table1[[#This Row],[Enrolment S.Y. 2025-2026 ]]*8</f>
        <v>4200</v>
      </c>
      <c r="E78" s="12">
        <v>60</v>
      </c>
      <c r="F78" s="10">
        <v>2025</v>
      </c>
      <c r="G78" s="12" t="s">
        <v>63</v>
      </c>
      <c r="H78" s="12">
        <f>IF((D78-E78)&lt;0,0,(D78-E78))</f>
        <v>4140</v>
      </c>
      <c r="I78" s="12">
        <f>IF((E78-D78)&lt;0,0,(E78-D78))</f>
        <v>0</v>
      </c>
      <c r="J78" s="12">
        <f>Table1[[#This Row],[Enrolment S.Y. 2025-2026 ]]*8</f>
        <v>4200</v>
      </c>
      <c r="K78" s="12"/>
      <c r="L78" s="10"/>
      <c r="M78" s="12"/>
      <c r="N78" s="12">
        <f t="shared" si="14"/>
        <v>4200</v>
      </c>
      <c r="O78" s="12">
        <f t="shared" si="15"/>
        <v>0</v>
      </c>
      <c r="P78" s="12">
        <f>Table1[[#This Row],[Enrolment S.Y. 2025-2026 ]]*8</f>
        <v>4200</v>
      </c>
      <c r="Q78" s="12"/>
      <c r="R78" s="10"/>
      <c r="S78" s="12"/>
      <c r="T78" s="12">
        <f t="shared" si="16"/>
        <v>4200</v>
      </c>
      <c r="U78" s="12">
        <f t="shared" si="17"/>
        <v>0</v>
      </c>
      <c r="V78" s="12">
        <f>Table1[[#This Row],[Enrolment S.Y. 2025-2026 ]]*8</f>
        <v>4200</v>
      </c>
      <c r="W78" s="12"/>
      <c r="X78" s="10"/>
      <c r="Y78" s="12"/>
      <c r="Z78" s="12">
        <f t="shared" si="18"/>
        <v>4200</v>
      </c>
      <c r="AA78" s="12">
        <f t="shared" si="19"/>
        <v>0</v>
      </c>
    </row>
    <row r="79" spans="1:27" ht="19.5">
      <c r="A79" s="10">
        <v>8</v>
      </c>
      <c r="B79" s="11" t="s">
        <v>17</v>
      </c>
      <c r="C79" s="10">
        <v>525</v>
      </c>
      <c r="D79" s="12">
        <f>Table1[[#This Row],[Enrolment S.Y. 2025-2026 ]]*8</f>
        <v>4200</v>
      </c>
      <c r="E79" s="12">
        <v>60</v>
      </c>
      <c r="F79" s="10">
        <v>2025</v>
      </c>
      <c r="G79" s="12" t="s">
        <v>63</v>
      </c>
      <c r="H79" s="12">
        <f>IF((D79-E79)&lt;0,0,(D79-E79))</f>
        <v>4140</v>
      </c>
      <c r="I79" s="12">
        <f>IF((E79-D79)&lt;0,0,(E79-D79))</f>
        <v>0</v>
      </c>
      <c r="J79" s="12">
        <f>Table1[[#This Row],[Enrolment S.Y. 2025-2026 ]]*8</f>
        <v>4200</v>
      </c>
      <c r="K79" s="12"/>
      <c r="L79" s="10"/>
      <c r="M79" s="12"/>
      <c r="N79" s="12">
        <f t="shared" si="14"/>
        <v>4200</v>
      </c>
      <c r="O79" s="12">
        <f t="shared" si="15"/>
        <v>0</v>
      </c>
      <c r="P79" s="12">
        <f>Table1[[#This Row],[Enrolment S.Y. 2025-2026 ]]*8</f>
        <v>4200</v>
      </c>
      <c r="Q79" s="12"/>
      <c r="R79" s="10"/>
      <c r="S79" s="12"/>
      <c r="T79" s="12">
        <f t="shared" si="16"/>
        <v>4200</v>
      </c>
      <c r="U79" s="12">
        <f t="shared" si="17"/>
        <v>0</v>
      </c>
      <c r="V79" s="12">
        <f>Table1[[#This Row],[Enrolment S.Y. 2025-2026 ]]*8</f>
        <v>4200</v>
      </c>
      <c r="W79" s="12"/>
      <c r="X79" s="10"/>
      <c r="Y79" s="12"/>
      <c r="Z79" s="12">
        <f t="shared" si="18"/>
        <v>4200</v>
      </c>
      <c r="AA79" s="12">
        <f t="shared" si="19"/>
        <v>0</v>
      </c>
    </row>
    <row r="80" spans="1:27" ht="19.5">
      <c r="A80" s="10">
        <v>8</v>
      </c>
      <c r="B80" s="11" t="s">
        <v>22</v>
      </c>
      <c r="C80" s="10">
        <v>525</v>
      </c>
      <c r="D80" s="12">
        <f>Table1[[#This Row],[Enrolment S.Y. 2025-2026 ]]*8</f>
        <v>4200</v>
      </c>
      <c r="E80" s="12">
        <v>60</v>
      </c>
      <c r="F80" s="10">
        <v>2025</v>
      </c>
      <c r="G80" s="12" t="s">
        <v>63</v>
      </c>
      <c r="H80" s="12">
        <f>IF((D80-E80)&lt;0,0,(D80-E80))</f>
        <v>4140</v>
      </c>
      <c r="I80" s="12">
        <f>IF((E80-D80)&lt;0,0,(E80-D80))</f>
        <v>0</v>
      </c>
      <c r="J80" s="12">
        <f>Table1[[#This Row],[Enrolment S.Y. 2025-2026 ]]*8</f>
        <v>4200</v>
      </c>
      <c r="K80" s="12"/>
      <c r="L80" s="10"/>
      <c r="M80" s="12"/>
      <c r="N80" s="12">
        <f t="shared" si="14"/>
        <v>4200</v>
      </c>
      <c r="O80" s="12">
        <f t="shared" si="15"/>
        <v>0</v>
      </c>
      <c r="P80" s="12">
        <f>Table1[[#This Row],[Enrolment S.Y. 2025-2026 ]]*8</f>
        <v>4200</v>
      </c>
      <c r="Q80" s="12"/>
      <c r="R80" s="10"/>
      <c r="S80" s="12"/>
      <c r="T80" s="12">
        <f t="shared" si="16"/>
        <v>4200</v>
      </c>
      <c r="U80" s="12">
        <f t="shared" si="17"/>
        <v>0</v>
      </c>
      <c r="V80" s="12">
        <f>Table1[[#This Row],[Enrolment S.Y. 2025-2026 ]]*8</f>
        <v>4200</v>
      </c>
      <c r="W80" s="12"/>
      <c r="X80" s="10"/>
      <c r="Y80" s="12"/>
      <c r="Z80" s="12">
        <f t="shared" si="18"/>
        <v>4200</v>
      </c>
      <c r="AA80" s="12">
        <f t="shared" si="19"/>
        <v>0</v>
      </c>
    </row>
    <row r="81" spans="1:27" ht="19.5">
      <c r="A81" s="10">
        <v>8</v>
      </c>
      <c r="B81" s="11" t="s">
        <v>19</v>
      </c>
      <c r="C81" s="10">
        <v>525</v>
      </c>
      <c r="D81" s="12">
        <f>Table1[[#This Row],[Enrolment S.Y. 2025-2026 ]]*8</f>
        <v>4200</v>
      </c>
      <c r="E81" s="12">
        <v>60</v>
      </c>
      <c r="F81" s="10">
        <v>2025</v>
      </c>
      <c r="G81" s="12" t="s">
        <v>63</v>
      </c>
      <c r="H81" s="12">
        <f>IF((D81-E81)&lt;0,0,(D81-E81))</f>
        <v>4140</v>
      </c>
      <c r="I81" s="12">
        <f>IF((E81-D81)&lt;0,0,(E81-D81))</f>
        <v>0</v>
      </c>
      <c r="J81" s="12">
        <f>Table1[[#This Row],[Enrolment S.Y. 2025-2026 ]]*8</f>
        <v>4200</v>
      </c>
      <c r="K81" s="12"/>
      <c r="L81" s="10"/>
      <c r="M81" s="12"/>
      <c r="N81" s="12">
        <f t="shared" si="14"/>
        <v>4200</v>
      </c>
      <c r="O81" s="12">
        <f t="shared" si="15"/>
        <v>0</v>
      </c>
      <c r="P81" s="12">
        <f>Table1[[#This Row],[Enrolment S.Y. 2025-2026 ]]*8</f>
        <v>4200</v>
      </c>
      <c r="Q81" s="12"/>
      <c r="R81" s="10"/>
      <c r="S81" s="12"/>
      <c r="T81" s="12">
        <f t="shared" si="16"/>
        <v>4200</v>
      </c>
      <c r="U81" s="12">
        <f t="shared" si="17"/>
        <v>0</v>
      </c>
      <c r="V81" s="12">
        <f>Table1[[#This Row],[Enrolment S.Y. 2025-2026 ]]*8</f>
        <v>4200</v>
      </c>
      <c r="W81" s="12"/>
      <c r="X81" s="10"/>
      <c r="Y81" s="12"/>
      <c r="Z81" s="12">
        <f t="shared" si="18"/>
        <v>4200</v>
      </c>
      <c r="AA81" s="12">
        <f t="shared" si="19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453</v>
      </c>
      <c r="D83" s="12">
        <f>Table1[[#This Row],[Enrolment S.Y. 2025-2026 ]]*8</f>
        <v>3624</v>
      </c>
      <c r="E83" s="12">
        <v>1400</v>
      </c>
      <c r="F83" s="10">
        <v>2025</v>
      </c>
      <c r="G83" s="12" t="s">
        <v>63</v>
      </c>
      <c r="H83" s="12">
        <f>IF((D83-E83)&lt;0,0,(D83-E83))</f>
        <v>2224</v>
      </c>
      <c r="I83" s="12">
        <f>IF((E83-D83)&lt;0,0,(E83-D83))</f>
        <v>0</v>
      </c>
      <c r="J83" s="12">
        <f>Table1[[#This Row],[Enrolment S.Y. 2025-2026 ]]*8</f>
        <v>3624</v>
      </c>
      <c r="K83" s="12"/>
      <c r="L83" s="10"/>
      <c r="M83" s="12"/>
      <c r="N83" s="12">
        <f t="shared" si="14"/>
        <v>3624</v>
      </c>
      <c r="O83" s="12">
        <f t="shared" si="15"/>
        <v>0</v>
      </c>
      <c r="P83" s="12">
        <f>Table1[[#This Row],[Enrolment S.Y. 2025-2026 ]]*8</f>
        <v>3624</v>
      </c>
      <c r="Q83" s="12"/>
      <c r="R83" s="10"/>
      <c r="S83" s="12"/>
      <c r="T83" s="12">
        <f t="shared" si="16"/>
        <v>3624</v>
      </c>
      <c r="U83" s="12">
        <f t="shared" si="17"/>
        <v>0</v>
      </c>
      <c r="V83" s="12">
        <f>Table1[[#This Row],[Enrolment S.Y. 2025-2026 ]]*8</f>
        <v>3624</v>
      </c>
      <c r="W83" s="12"/>
      <c r="X83" s="10"/>
      <c r="Y83" s="12"/>
      <c r="Z83" s="12">
        <f t="shared" si="18"/>
        <v>3624</v>
      </c>
      <c r="AA83" s="12">
        <f t="shared" si="19"/>
        <v>0</v>
      </c>
    </row>
    <row r="84" spans="1:27" ht="19.5">
      <c r="A84" s="10">
        <v>9</v>
      </c>
      <c r="B84" s="11" t="s">
        <v>15</v>
      </c>
      <c r="C84" s="10">
        <v>453</v>
      </c>
      <c r="D84" s="12">
        <f>Table1[[#This Row],[Enrolment S.Y. 2025-2026 ]]*8</f>
        <v>3624</v>
      </c>
      <c r="E84" s="12">
        <v>2090</v>
      </c>
      <c r="F84" s="10">
        <v>2025</v>
      </c>
      <c r="G84" s="12" t="s">
        <v>63</v>
      </c>
      <c r="H84" s="12">
        <f>IF((D84-E84)&lt;0,0,(D84-E84))</f>
        <v>1534</v>
      </c>
      <c r="I84" s="12">
        <f>IF((E84-D84)&lt;0,0,(E84-D84))</f>
        <v>0</v>
      </c>
      <c r="J84" s="12">
        <f>Table1[[#This Row],[Enrolment S.Y. 2025-2026 ]]*8</f>
        <v>3624</v>
      </c>
      <c r="K84" s="12"/>
      <c r="L84" s="10"/>
      <c r="M84" s="12"/>
      <c r="N84" s="12">
        <f t="shared" si="14"/>
        <v>3624</v>
      </c>
      <c r="O84" s="12">
        <f t="shared" si="15"/>
        <v>0</v>
      </c>
      <c r="P84" s="12">
        <f>Table1[[#This Row],[Enrolment S.Y. 2025-2026 ]]*8</f>
        <v>3624</v>
      </c>
      <c r="Q84" s="12"/>
      <c r="R84" s="10"/>
      <c r="S84" s="12"/>
      <c r="T84" s="12">
        <f t="shared" si="16"/>
        <v>3624</v>
      </c>
      <c r="U84" s="12">
        <f t="shared" si="17"/>
        <v>0</v>
      </c>
      <c r="V84" s="12">
        <f>Table1[[#This Row],[Enrolment S.Y. 2025-2026 ]]*8</f>
        <v>3624</v>
      </c>
      <c r="W84" s="12"/>
      <c r="X84" s="10"/>
      <c r="Y84" s="12"/>
      <c r="Z84" s="12">
        <f t="shared" si="18"/>
        <v>3624</v>
      </c>
      <c r="AA84" s="12">
        <f t="shared" si="19"/>
        <v>0</v>
      </c>
    </row>
    <row r="85" spans="1:27" ht="19.5">
      <c r="A85" s="10">
        <v>9</v>
      </c>
      <c r="B85" s="11" t="s">
        <v>12</v>
      </c>
      <c r="C85" s="10">
        <v>453</v>
      </c>
      <c r="D85" s="12">
        <f>Table1[[#This Row],[Enrolment S.Y. 2025-2026 ]]*8</f>
        <v>3624</v>
      </c>
      <c r="E85" s="12">
        <v>3914</v>
      </c>
      <c r="F85" s="10">
        <v>2025</v>
      </c>
      <c r="G85" s="12" t="s">
        <v>63</v>
      </c>
      <c r="H85" s="12">
        <f>IF((D85-E85)&lt;0,0,(D85-E85))</f>
        <v>0</v>
      </c>
      <c r="I85" s="12">
        <f>IF((E85-D85)&lt;0,0,(E85-D85))</f>
        <v>290</v>
      </c>
      <c r="J85" s="12">
        <f>Table1[[#This Row],[Enrolment S.Y. 2025-2026 ]]*8</f>
        <v>3624</v>
      </c>
      <c r="K85" s="12"/>
      <c r="L85" s="10"/>
      <c r="M85" s="12"/>
      <c r="N85" s="12">
        <f t="shared" si="14"/>
        <v>3624</v>
      </c>
      <c r="O85" s="12">
        <f t="shared" si="15"/>
        <v>0</v>
      </c>
      <c r="P85" s="12">
        <f>Table1[[#This Row],[Enrolment S.Y. 2025-2026 ]]*8</f>
        <v>3624</v>
      </c>
      <c r="Q85" s="12"/>
      <c r="R85" s="10"/>
      <c r="S85" s="12"/>
      <c r="T85" s="12">
        <f t="shared" si="16"/>
        <v>3624</v>
      </c>
      <c r="U85" s="12">
        <f t="shared" si="17"/>
        <v>0</v>
      </c>
      <c r="V85" s="12">
        <f>Table1[[#This Row],[Enrolment S.Y. 2025-2026 ]]*8</f>
        <v>3624</v>
      </c>
      <c r="W85" s="12"/>
      <c r="X85" s="10"/>
      <c r="Y85" s="12"/>
      <c r="Z85" s="12">
        <f t="shared" si="18"/>
        <v>3624</v>
      </c>
      <c r="AA85" s="12">
        <f t="shared" si="19"/>
        <v>0</v>
      </c>
    </row>
    <row r="86" spans="1:27" ht="19.5">
      <c r="A86" s="10">
        <v>9</v>
      </c>
      <c r="B86" s="11" t="s">
        <v>21</v>
      </c>
      <c r="C86" s="10">
        <v>453</v>
      </c>
      <c r="D86" s="12">
        <f>Table1[[#This Row],[Enrolment S.Y. 2025-2026 ]]*8</f>
        <v>3624</v>
      </c>
      <c r="E86" s="12">
        <v>800</v>
      </c>
      <c r="F86" s="10">
        <v>2025</v>
      </c>
      <c r="G86" s="12" t="s">
        <v>63</v>
      </c>
      <c r="H86" s="12">
        <f>IF((D86-E86)&lt;0,0,(D86-E86))</f>
        <v>2824</v>
      </c>
      <c r="I86" s="12">
        <f>IF((E86-D86)&lt;0,0,(E86-D86))</f>
        <v>0</v>
      </c>
      <c r="J86" s="12">
        <f>Table1[[#This Row],[Enrolment S.Y. 2025-2026 ]]*8</f>
        <v>3624</v>
      </c>
      <c r="K86" s="12"/>
      <c r="L86" s="10"/>
      <c r="M86" s="12"/>
      <c r="N86" s="12">
        <f t="shared" si="14"/>
        <v>3624</v>
      </c>
      <c r="O86" s="12">
        <f t="shared" si="15"/>
        <v>0</v>
      </c>
      <c r="P86" s="12">
        <f>Table1[[#This Row],[Enrolment S.Y. 2025-2026 ]]*8</f>
        <v>3624</v>
      </c>
      <c r="Q86" s="12"/>
      <c r="R86" s="10"/>
      <c r="S86" s="12"/>
      <c r="T86" s="12">
        <f t="shared" si="16"/>
        <v>3624</v>
      </c>
      <c r="U86" s="12">
        <f t="shared" si="17"/>
        <v>0</v>
      </c>
      <c r="V86" s="12">
        <f>Table1[[#This Row],[Enrolment S.Y. 2025-2026 ]]*8</f>
        <v>3624</v>
      </c>
      <c r="W86" s="12"/>
      <c r="X86" s="10"/>
      <c r="Y86" s="12"/>
      <c r="Z86" s="12">
        <f t="shared" si="18"/>
        <v>3624</v>
      </c>
      <c r="AA86" s="12">
        <f t="shared" si="19"/>
        <v>0</v>
      </c>
    </row>
    <row r="87" spans="1:27" ht="19.5">
      <c r="A87" s="10">
        <v>9</v>
      </c>
      <c r="B87" s="11" t="s">
        <v>23</v>
      </c>
      <c r="C87" s="10">
        <v>453</v>
      </c>
      <c r="D87" s="12">
        <f>Table1[[#This Row],[Enrolment S.Y. 2025-2026 ]]*8</f>
        <v>3624</v>
      </c>
      <c r="E87" s="12">
        <v>506</v>
      </c>
      <c r="F87" s="10">
        <v>2025</v>
      </c>
      <c r="G87" s="12" t="s">
        <v>63</v>
      </c>
      <c r="H87" s="12">
        <f>IF((D87-E87)&lt;0,0,(D87-E87))</f>
        <v>3118</v>
      </c>
      <c r="I87" s="12">
        <f>IF((E87-D87)&lt;0,0,(E87-D87))</f>
        <v>0</v>
      </c>
      <c r="J87" s="12">
        <f>Table1[[#This Row],[Enrolment S.Y. 2025-2026 ]]*8</f>
        <v>3624</v>
      </c>
      <c r="K87" s="12"/>
      <c r="L87" s="10"/>
      <c r="M87" s="12"/>
      <c r="N87" s="12">
        <f t="shared" si="14"/>
        <v>3624</v>
      </c>
      <c r="O87" s="12">
        <f t="shared" si="15"/>
        <v>0</v>
      </c>
      <c r="P87" s="12">
        <f>Table1[[#This Row],[Enrolment S.Y. 2025-2026 ]]*8</f>
        <v>3624</v>
      </c>
      <c r="Q87" s="12"/>
      <c r="R87" s="10"/>
      <c r="S87" s="12"/>
      <c r="T87" s="12">
        <f t="shared" si="16"/>
        <v>3624</v>
      </c>
      <c r="U87" s="12">
        <f t="shared" si="17"/>
        <v>0</v>
      </c>
      <c r="V87" s="12">
        <f>Table1[[#This Row],[Enrolment S.Y. 2025-2026 ]]*8</f>
        <v>3624</v>
      </c>
      <c r="W87" s="12"/>
      <c r="X87" s="10"/>
      <c r="Y87" s="12"/>
      <c r="Z87" s="12">
        <f t="shared" si="18"/>
        <v>3624</v>
      </c>
      <c r="AA87" s="12">
        <f t="shared" si="19"/>
        <v>0</v>
      </c>
    </row>
    <row r="88" spans="1:27" ht="19.5">
      <c r="A88" s="10">
        <v>9</v>
      </c>
      <c r="B88" s="11" t="s">
        <v>13</v>
      </c>
      <c r="C88" s="10">
        <v>453</v>
      </c>
      <c r="D88" s="12">
        <f>Table1[[#This Row],[Enrolment S.Y. 2025-2026 ]]*8</f>
        <v>3624</v>
      </c>
      <c r="E88" s="12">
        <v>1600</v>
      </c>
      <c r="F88" s="10">
        <v>2025</v>
      </c>
      <c r="G88" s="12" t="s">
        <v>63</v>
      </c>
      <c r="H88" s="12">
        <f>IF((D88-E88)&lt;0,0,(D88-E88))</f>
        <v>2024</v>
      </c>
      <c r="I88" s="12">
        <f>IF((E88-D88)&lt;0,0,(E88-D88))</f>
        <v>0</v>
      </c>
      <c r="J88" s="12">
        <f>Table1[[#This Row],[Enrolment S.Y. 2025-2026 ]]*8</f>
        <v>3624</v>
      </c>
      <c r="K88" s="12"/>
      <c r="L88" s="10"/>
      <c r="M88" s="12"/>
      <c r="N88" s="12">
        <f t="shared" si="14"/>
        <v>3624</v>
      </c>
      <c r="O88" s="12">
        <f t="shared" si="15"/>
        <v>0</v>
      </c>
      <c r="P88" s="12">
        <f>Table1[[#This Row],[Enrolment S.Y. 2025-2026 ]]*8</f>
        <v>3624</v>
      </c>
      <c r="Q88" s="12"/>
      <c r="R88" s="10"/>
      <c r="S88" s="12"/>
      <c r="T88" s="12">
        <f t="shared" si="16"/>
        <v>3624</v>
      </c>
      <c r="U88" s="12">
        <f t="shared" si="17"/>
        <v>0</v>
      </c>
      <c r="V88" s="12">
        <f>Table1[[#This Row],[Enrolment S.Y. 2025-2026 ]]*8</f>
        <v>3624</v>
      </c>
      <c r="W88" s="12"/>
      <c r="X88" s="10"/>
      <c r="Y88" s="12"/>
      <c r="Z88" s="12">
        <f t="shared" si="18"/>
        <v>3624</v>
      </c>
      <c r="AA88" s="12">
        <f t="shared" si="19"/>
        <v>0</v>
      </c>
    </row>
    <row r="89" spans="1:27" ht="19.5">
      <c r="A89" s="10">
        <v>9</v>
      </c>
      <c r="B89" s="11" t="s">
        <v>17</v>
      </c>
      <c r="C89" s="10">
        <v>453</v>
      </c>
      <c r="D89" s="12">
        <f>Table1[[#This Row],[Enrolment S.Y. 2025-2026 ]]*8</f>
        <v>3624</v>
      </c>
      <c r="E89" s="12">
        <v>1600</v>
      </c>
      <c r="F89" s="10">
        <v>2025</v>
      </c>
      <c r="G89" s="12" t="s">
        <v>63</v>
      </c>
      <c r="H89" s="12">
        <f>IF((D89-E89)&lt;0,0,(D89-E89))</f>
        <v>2024</v>
      </c>
      <c r="I89" s="12">
        <f>IF((E89-D89)&lt;0,0,(E89-D89))</f>
        <v>0</v>
      </c>
      <c r="J89" s="12">
        <f>Table1[[#This Row],[Enrolment S.Y. 2025-2026 ]]*8</f>
        <v>3624</v>
      </c>
      <c r="K89" s="12"/>
      <c r="L89" s="10"/>
      <c r="M89" s="12"/>
      <c r="N89" s="12">
        <f t="shared" si="14"/>
        <v>3624</v>
      </c>
      <c r="O89" s="12">
        <f t="shared" si="15"/>
        <v>0</v>
      </c>
      <c r="P89" s="12">
        <f>Table1[[#This Row],[Enrolment S.Y. 2025-2026 ]]*8</f>
        <v>3624</v>
      </c>
      <c r="Q89" s="12"/>
      <c r="R89" s="10"/>
      <c r="S89" s="12"/>
      <c r="T89" s="12">
        <f t="shared" si="16"/>
        <v>3624</v>
      </c>
      <c r="U89" s="12">
        <f t="shared" si="17"/>
        <v>0</v>
      </c>
      <c r="V89" s="12">
        <f>Table1[[#This Row],[Enrolment S.Y. 2025-2026 ]]*8</f>
        <v>3624</v>
      </c>
      <c r="W89" s="12"/>
      <c r="X89" s="10"/>
      <c r="Y89" s="12"/>
      <c r="Z89" s="12">
        <f t="shared" si="18"/>
        <v>3624</v>
      </c>
      <c r="AA89" s="12">
        <f t="shared" si="19"/>
        <v>0</v>
      </c>
    </row>
    <row r="90" spans="1:27" ht="19.5">
      <c r="A90" s="10">
        <v>9</v>
      </c>
      <c r="B90" s="11" t="s">
        <v>22</v>
      </c>
      <c r="C90" s="10">
        <v>453</v>
      </c>
      <c r="D90" s="12">
        <f>Table1[[#This Row],[Enrolment S.Y. 2025-2026 ]]*8</f>
        <v>3624</v>
      </c>
      <c r="E90" s="12"/>
      <c r="F90" s="10"/>
      <c r="G90" s="12"/>
      <c r="H90" s="12">
        <f>IF((D90-E90)&lt;0,0,(D90-E90))</f>
        <v>3624</v>
      </c>
      <c r="I90" s="12">
        <f>IF((E90-D90)&lt;0,0,(E90-D90))</f>
        <v>0</v>
      </c>
      <c r="J90" s="12">
        <f>Table1[[#This Row],[Enrolment S.Y. 2025-2026 ]]*8</f>
        <v>3624</v>
      </c>
      <c r="K90" s="12"/>
      <c r="L90" s="10"/>
      <c r="M90" s="12"/>
      <c r="N90" s="12">
        <f t="shared" si="14"/>
        <v>3624</v>
      </c>
      <c r="O90" s="12">
        <f t="shared" si="15"/>
        <v>0</v>
      </c>
      <c r="P90" s="12">
        <f>Table1[[#This Row],[Enrolment S.Y. 2025-2026 ]]*8</f>
        <v>3624</v>
      </c>
      <c r="Q90" s="12"/>
      <c r="R90" s="10"/>
      <c r="S90" s="12"/>
      <c r="T90" s="12">
        <f t="shared" si="16"/>
        <v>3624</v>
      </c>
      <c r="U90" s="12">
        <f t="shared" si="17"/>
        <v>0</v>
      </c>
      <c r="V90" s="12">
        <f>Table1[[#This Row],[Enrolment S.Y. 2025-2026 ]]*8</f>
        <v>3624</v>
      </c>
      <c r="W90" s="12"/>
      <c r="X90" s="10"/>
      <c r="Y90" s="12"/>
      <c r="Z90" s="12">
        <f t="shared" si="18"/>
        <v>3624</v>
      </c>
      <c r="AA90" s="12">
        <f t="shared" si="19"/>
        <v>0</v>
      </c>
    </row>
    <row r="91" spans="1:27" ht="19.5">
      <c r="A91" s="10">
        <v>9</v>
      </c>
      <c r="B91" s="11" t="s">
        <v>19</v>
      </c>
      <c r="C91" s="10">
        <v>453</v>
      </c>
      <c r="D91" s="12">
        <f>Table1[[#This Row],[Enrolment S.Y. 2025-2026 ]]*8</f>
        <v>3624</v>
      </c>
      <c r="E91" s="12">
        <v>1900</v>
      </c>
      <c r="F91" s="10">
        <v>2025</v>
      </c>
      <c r="G91" s="12" t="s">
        <v>63</v>
      </c>
      <c r="H91" s="12">
        <f>IF((D91-E91)&lt;0,0,(D91-E91))</f>
        <v>1724</v>
      </c>
      <c r="I91" s="12">
        <f>IF((E91-D91)&lt;0,0,(E91-D91))</f>
        <v>0</v>
      </c>
      <c r="J91" s="12">
        <f>Table1[[#This Row],[Enrolment S.Y. 2025-2026 ]]*8</f>
        <v>3624</v>
      </c>
      <c r="K91" s="12"/>
      <c r="L91" s="10"/>
      <c r="M91" s="12"/>
      <c r="N91" s="12">
        <f t="shared" si="14"/>
        <v>3624</v>
      </c>
      <c r="O91" s="12">
        <f t="shared" si="15"/>
        <v>0</v>
      </c>
      <c r="P91" s="12">
        <f>Table1[[#This Row],[Enrolment S.Y. 2025-2026 ]]*8</f>
        <v>3624</v>
      </c>
      <c r="Q91" s="12"/>
      <c r="R91" s="10"/>
      <c r="S91" s="12"/>
      <c r="T91" s="12">
        <f t="shared" si="16"/>
        <v>3624</v>
      </c>
      <c r="U91" s="12">
        <f t="shared" si="17"/>
        <v>0</v>
      </c>
      <c r="V91" s="12">
        <f>Table1[[#This Row],[Enrolment S.Y. 2025-2026 ]]*8</f>
        <v>3624</v>
      </c>
      <c r="W91" s="12"/>
      <c r="X91" s="10"/>
      <c r="Y91" s="12"/>
      <c r="Z91" s="12">
        <f t="shared" si="18"/>
        <v>3624</v>
      </c>
      <c r="AA91" s="12">
        <f t="shared" si="19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462</v>
      </c>
      <c r="D93" s="12">
        <f>Table1[[#This Row],[Enrolment S.Y. 2025-2026 ]]*8</f>
        <v>3696</v>
      </c>
      <c r="E93" s="12">
        <v>2260</v>
      </c>
      <c r="F93" s="10">
        <v>2025</v>
      </c>
      <c r="G93" s="12" t="s">
        <v>63</v>
      </c>
      <c r="H93" s="12">
        <f>IF((D93-E93)&lt;0,0,(D93-E93))</f>
        <v>1436</v>
      </c>
      <c r="I93" s="12">
        <f>IF((E93-D93)&lt;0,0,(E93-D93))</f>
        <v>0</v>
      </c>
      <c r="J93" s="12">
        <f>Table1[[#This Row],[Enrolment S.Y. 2025-2026 ]]*8</f>
        <v>3696</v>
      </c>
      <c r="K93" s="12"/>
      <c r="L93" s="10"/>
      <c r="M93" s="12"/>
      <c r="N93" s="12">
        <f>IF((J93-K93)&lt;0,0,(J93-K93))</f>
        <v>3696</v>
      </c>
      <c r="O93" s="12">
        <f>IF((K93-J93)&lt;0,0,(K93-J93))</f>
        <v>0</v>
      </c>
      <c r="P93" s="12">
        <f>Table1[[#This Row],[Enrolment S.Y. 2025-2026 ]]*8</f>
        <v>3696</v>
      </c>
      <c r="Q93" s="12"/>
      <c r="R93" s="10"/>
      <c r="S93" s="12"/>
      <c r="T93" s="12">
        <f>IF((P93-Q93)&lt;0,0,(P93-Q93))</f>
        <v>3696</v>
      </c>
      <c r="U93" s="12">
        <f>IF((Q93-P93)&lt;0,0,(Q93-P93))</f>
        <v>0</v>
      </c>
      <c r="V93" s="12">
        <f>Table1[[#This Row],[Enrolment S.Y. 2025-2026 ]]*8</f>
        <v>3696</v>
      </c>
      <c r="W93" s="12"/>
      <c r="X93" s="10"/>
      <c r="Y93" s="12"/>
      <c r="Z93" s="12">
        <f>IF((V93-W93)&lt;0,0,(V93-W93))</f>
        <v>3696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462</v>
      </c>
      <c r="D94" s="12">
        <f>Table1[[#This Row],[Enrolment S.Y. 2025-2026 ]]*8</f>
        <v>3696</v>
      </c>
      <c r="E94" s="12">
        <v>2290</v>
      </c>
      <c r="F94" s="10">
        <v>2025</v>
      </c>
      <c r="G94" s="12" t="s">
        <v>63</v>
      </c>
      <c r="H94" s="12">
        <f>IF((D94-E94)&lt;0,0,(D94-E94))</f>
        <v>1406</v>
      </c>
      <c r="I94" s="12">
        <f>IF((E94-D94)&lt;0,0,(E94-D94))</f>
        <v>0</v>
      </c>
      <c r="J94" s="12">
        <f>Table1[[#This Row],[Enrolment S.Y. 2025-2026 ]]*8</f>
        <v>3696</v>
      </c>
      <c r="K94" s="12"/>
      <c r="L94" s="10"/>
      <c r="M94" s="12"/>
      <c r="N94" s="12">
        <f>IF((J94-K94)&lt;0,0,(J94-K94))</f>
        <v>3696</v>
      </c>
      <c r="O94" s="12">
        <f>IF((K94-J94)&lt;0,0,(K94-J94))</f>
        <v>0</v>
      </c>
      <c r="P94" s="12">
        <f>Table1[[#This Row],[Enrolment S.Y. 2025-2026 ]]*8</f>
        <v>3696</v>
      </c>
      <c r="Q94" s="12"/>
      <c r="R94" s="10"/>
      <c r="S94" s="12"/>
      <c r="T94" s="12">
        <f>IF((P94-Q94)&lt;0,0,(P94-Q94))</f>
        <v>3696</v>
      </c>
      <c r="U94" s="12">
        <f>IF((Q94-P94)&lt;0,0,(Q94-P94))</f>
        <v>0</v>
      </c>
      <c r="V94" s="12">
        <f>Table1[[#This Row],[Enrolment S.Y. 2025-2026 ]]*8</f>
        <v>3696</v>
      </c>
      <c r="W94" s="12"/>
      <c r="X94" s="10"/>
      <c r="Y94" s="12"/>
      <c r="Z94" s="12">
        <f>IF((V94-W94)&lt;0,0,(V94-W94))</f>
        <v>3696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462</v>
      </c>
      <c r="D95" s="12">
        <f>Table1[[#This Row],[Enrolment S.Y. 2025-2026 ]]*8</f>
        <v>3696</v>
      </c>
      <c r="E95" s="12">
        <v>2000</v>
      </c>
      <c r="F95" s="10">
        <v>2025</v>
      </c>
      <c r="G95" s="12" t="s">
        <v>63</v>
      </c>
      <c r="H95" s="12">
        <f>IF((D95-E95)&lt;0,0,(D95-E95))</f>
        <v>1696</v>
      </c>
      <c r="I95" s="12">
        <f>IF((E95-D95)&lt;0,0,(E95-D95))</f>
        <v>0</v>
      </c>
      <c r="J95" s="12">
        <f>Table1[[#This Row],[Enrolment S.Y. 2025-2026 ]]*8</f>
        <v>3696</v>
      </c>
      <c r="K95" s="12"/>
      <c r="L95" s="10"/>
      <c r="M95" s="12"/>
      <c r="N95" s="12">
        <f>IF((J95-K95)&lt;0,0,(J95-K95))</f>
        <v>3696</v>
      </c>
      <c r="O95" s="12">
        <f>IF((K95-J95)&lt;0,0,(K95-J95))</f>
        <v>0</v>
      </c>
      <c r="P95" s="12">
        <f>Table1[[#This Row],[Enrolment S.Y. 2025-2026 ]]*8</f>
        <v>3696</v>
      </c>
      <c r="Q95" s="12"/>
      <c r="R95" s="10"/>
      <c r="S95" s="12"/>
      <c r="T95" s="12">
        <f>IF((P95-Q95)&lt;0,0,(P95-Q95))</f>
        <v>3696</v>
      </c>
      <c r="U95" s="12">
        <f>IF((Q95-P95)&lt;0,0,(Q95-P95))</f>
        <v>0</v>
      </c>
      <c r="V95" s="12">
        <f>Table1[[#This Row],[Enrolment S.Y. 2025-2026 ]]*8</f>
        <v>3696</v>
      </c>
      <c r="W95" s="12"/>
      <c r="X95" s="10"/>
      <c r="Y95" s="12"/>
      <c r="Z95" s="12">
        <f>IF((V95-W95)&lt;0,0,(V95-W95))</f>
        <v>3696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462</v>
      </c>
      <c r="D96" s="12">
        <f>Table1[[#This Row],[Enrolment S.Y. 2025-2026 ]]*8</f>
        <v>3696</v>
      </c>
      <c r="E96" s="12">
        <v>750</v>
      </c>
      <c r="F96" s="10">
        <v>2025</v>
      </c>
      <c r="G96" s="12" t="s">
        <v>63</v>
      </c>
      <c r="H96" s="12">
        <f>IF((D96-E96)&lt;0,0,(D96-E96))</f>
        <v>2946</v>
      </c>
      <c r="I96" s="12">
        <f>IF((E96-D96)&lt;0,0,(E96-D96))</f>
        <v>0</v>
      </c>
      <c r="J96" s="12">
        <f>Table1[[#This Row],[Enrolment S.Y. 2025-2026 ]]*8</f>
        <v>3696</v>
      </c>
      <c r="K96" s="12"/>
      <c r="L96" s="10"/>
      <c r="M96" s="12"/>
      <c r="N96" s="12">
        <f>IF((J96-K96)&lt;0,0,(J96-K96))</f>
        <v>3696</v>
      </c>
      <c r="O96" s="12">
        <f>IF((K96-J96)&lt;0,0,(K96-J96))</f>
        <v>0</v>
      </c>
      <c r="P96" s="12">
        <f>Table1[[#This Row],[Enrolment S.Y. 2025-2026 ]]*8</f>
        <v>3696</v>
      </c>
      <c r="Q96" s="12"/>
      <c r="R96" s="10"/>
      <c r="S96" s="12"/>
      <c r="T96" s="12">
        <f>IF((P96-Q96)&lt;0,0,(P96-Q96))</f>
        <v>3696</v>
      </c>
      <c r="U96" s="12">
        <f>IF((Q96-P96)&lt;0,0,(Q96-P96))</f>
        <v>0</v>
      </c>
      <c r="V96" s="12">
        <f>Table1[[#This Row],[Enrolment S.Y. 2025-2026 ]]*8</f>
        <v>3696</v>
      </c>
      <c r="W96" s="12"/>
      <c r="X96" s="10"/>
      <c r="Y96" s="12"/>
      <c r="Z96" s="12">
        <f>IF((V96-W96)&lt;0,0,(V96-W96))</f>
        <v>3696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462</v>
      </c>
      <c r="D97" s="12">
        <f>Table1[[#This Row],[Enrolment S.Y. 2025-2026 ]]*8</f>
        <v>3696</v>
      </c>
      <c r="E97" s="12">
        <v>900</v>
      </c>
      <c r="F97" s="10">
        <v>2025</v>
      </c>
      <c r="G97" s="12" t="s">
        <v>63</v>
      </c>
      <c r="H97" s="12">
        <f>IF((D97-E97)&lt;0,0,(D97-E97))</f>
        <v>2796</v>
      </c>
      <c r="I97" s="12">
        <f>IF((E97-D97)&lt;0,0,(E97-D97))</f>
        <v>0</v>
      </c>
      <c r="J97" s="12">
        <f>Table1[[#This Row],[Enrolment S.Y. 2025-2026 ]]*8</f>
        <v>3696</v>
      </c>
      <c r="K97" s="12"/>
      <c r="L97" s="10"/>
      <c r="M97" s="12"/>
      <c r="N97" s="12">
        <f>IF((J97-K97)&lt;0,0,(J97-K97))</f>
        <v>3696</v>
      </c>
      <c r="O97" s="12">
        <f>IF((K97-J97)&lt;0,0,(K97-J97))</f>
        <v>0</v>
      </c>
      <c r="P97" s="12">
        <f>Table1[[#This Row],[Enrolment S.Y. 2025-2026 ]]*8</f>
        <v>3696</v>
      </c>
      <c r="Q97" s="12"/>
      <c r="R97" s="10"/>
      <c r="S97" s="12"/>
      <c r="T97" s="12">
        <f>IF((P97-Q97)&lt;0,0,(P97-Q97))</f>
        <v>3696</v>
      </c>
      <c r="U97" s="12">
        <f>IF((Q97-P97)&lt;0,0,(Q97-P97))</f>
        <v>0</v>
      </c>
      <c r="V97" s="12">
        <f>Table1[[#This Row],[Enrolment S.Y. 2025-2026 ]]*8</f>
        <v>3696</v>
      </c>
      <c r="W97" s="12"/>
      <c r="X97" s="10"/>
      <c r="Y97" s="12"/>
      <c r="Z97" s="12">
        <f>IF((V97-W97)&lt;0,0,(V97-W97))</f>
        <v>3696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462</v>
      </c>
      <c r="D98" s="12">
        <f>Table1[[#This Row],[Enrolment S.Y. 2025-2026 ]]*8</f>
        <v>3696</v>
      </c>
      <c r="E98" s="12">
        <v>1300</v>
      </c>
      <c r="F98" s="10">
        <v>2025</v>
      </c>
      <c r="G98" s="12" t="s">
        <v>63</v>
      </c>
      <c r="H98" s="12">
        <f>IF((D98-E98)&lt;0,0,(D98-E98))</f>
        <v>2396</v>
      </c>
      <c r="I98" s="12">
        <f>IF((E98-D98)&lt;0,0,(E98-D98))</f>
        <v>0</v>
      </c>
      <c r="J98" s="12">
        <f>Table1[[#This Row],[Enrolment S.Y. 2025-2026 ]]*8</f>
        <v>3696</v>
      </c>
      <c r="K98" s="12"/>
      <c r="L98" s="10"/>
      <c r="M98" s="12"/>
      <c r="N98" s="12">
        <f>IF((J98-K98)&lt;0,0,(J98-K98))</f>
        <v>3696</v>
      </c>
      <c r="O98" s="12">
        <f>IF((K98-J98)&lt;0,0,(K98-J98))</f>
        <v>0</v>
      </c>
      <c r="P98" s="12">
        <f>Table1[[#This Row],[Enrolment S.Y. 2025-2026 ]]*8</f>
        <v>3696</v>
      </c>
      <c r="Q98" s="12"/>
      <c r="R98" s="10"/>
      <c r="S98" s="12"/>
      <c r="T98" s="12">
        <f>IF((P98-Q98)&lt;0,0,(P98-Q98))</f>
        <v>3696</v>
      </c>
      <c r="U98" s="12">
        <f>IF((Q98-P98)&lt;0,0,(Q98-P98))</f>
        <v>0</v>
      </c>
      <c r="V98" s="12">
        <f>Table1[[#This Row],[Enrolment S.Y. 2025-2026 ]]*8</f>
        <v>3696</v>
      </c>
      <c r="W98" s="12"/>
      <c r="X98" s="10"/>
      <c r="Y98" s="12"/>
      <c r="Z98" s="12">
        <f>IF((V98-W98)&lt;0,0,(V98-W98))</f>
        <v>3696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462</v>
      </c>
      <c r="D99" s="12">
        <f>Table1[[#This Row],[Enrolment S.Y. 2025-2026 ]]*8</f>
        <v>3696</v>
      </c>
      <c r="E99" s="12">
        <v>1100</v>
      </c>
      <c r="F99" s="10">
        <v>2025</v>
      </c>
      <c r="G99" s="12" t="s">
        <v>63</v>
      </c>
      <c r="H99" s="12">
        <f>IF((D99-E99)&lt;0,0,(D99-E99))</f>
        <v>2596</v>
      </c>
      <c r="I99" s="12">
        <f>IF((E99-D99)&lt;0,0,(E99-D99))</f>
        <v>0</v>
      </c>
      <c r="J99" s="12">
        <f>Table1[[#This Row],[Enrolment S.Y. 2025-2026 ]]*8</f>
        <v>3696</v>
      </c>
      <c r="K99" s="12"/>
      <c r="L99" s="10"/>
      <c r="M99" s="12"/>
      <c r="N99" s="12">
        <f>IF((J99-K99)&lt;0,0,(J99-K99))</f>
        <v>3696</v>
      </c>
      <c r="O99" s="12">
        <f>IF((K99-J99)&lt;0,0,(K99-J99))</f>
        <v>0</v>
      </c>
      <c r="P99" s="12">
        <f>Table1[[#This Row],[Enrolment S.Y. 2025-2026 ]]*8</f>
        <v>3696</v>
      </c>
      <c r="Q99" s="12"/>
      <c r="R99" s="10"/>
      <c r="S99" s="12"/>
      <c r="T99" s="12">
        <f>IF((P99-Q99)&lt;0,0,(P99-Q99))</f>
        <v>3696</v>
      </c>
      <c r="U99" s="12">
        <f>IF((Q99-P99)&lt;0,0,(Q99-P99))</f>
        <v>0</v>
      </c>
      <c r="V99" s="12">
        <f>Table1[[#This Row],[Enrolment S.Y. 2025-2026 ]]*8</f>
        <v>3696</v>
      </c>
      <c r="W99" s="12"/>
      <c r="X99" s="10"/>
      <c r="Y99" s="12"/>
      <c r="Z99" s="12">
        <f>IF((V99-W99)&lt;0,0,(V99-W99))</f>
        <v>3696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462</v>
      </c>
      <c r="D100" s="12">
        <f>Table1[[#This Row],[Enrolment S.Y. 2025-2026 ]]*8</f>
        <v>3696</v>
      </c>
      <c r="E100" s="12"/>
      <c r="F100" s="10"/>
      <c r="G100" s="12"/>
      <c r="H100" s="12">
        <f>IF((D100-E100)&lt;0,0,(D100-E100))</f>
        <v>3696</v>
      </c>
      <c r="I100" s="12">
        <f>IF((E100-D100)&lt;0,0,(E100-D100))</f>
        <v>0</v>
      </c>
      <c r="J100" s="12">
        <f>Table1[[#This Row],[Enrolment S.Y. 2025-2026 ]]*8</f>
        <v>3696</v>
      </c>
      <c r="K100" s="12"/>
      <c r="L100" s="10"/>
      <c r="M100" s="12"/>
      <c r="N100" s="12">
        <f>IF((J100-K100)&lt;0,0,(J100-K100))</f>
        <v>3696</v>
      </c>
      <c r="O100" s="12">
        <f>IF((K100-J100)&lt;0,0,(K100-J100))</f>
        <v>0</v>
      </c>
      <c r="P100" s="12">
        <f>Table1[[#This Row],[Enrolment S.Y. 2025-2026 ]]*8</f>
        <v>3696</v>
      </c>
      <c r="Q100" s="12"/>
      <c r="R100" s="10"/>
      <c r="S100" s="12"/>
      <c r="T100" s="12">
        <f>IF((P100-Q100)&lt;0,0,(P100-Q100))</f>
        <v>3696</v>
      </c>
      <c r="U100" s="12">
        <f>IF((Q100-P100)&lt;0,0,(Q100-P100))</f>
        <v>0</v>
      </c>
      <c r="V100" s="12">
        <f>Table1[[#This Row],[Enrolment S.Y. 2025-2026 ]]*8</f>
        <v>3696</v>
      </c>
      <c r="W100" s="12"/>
      <c r="X100" s="10"/>
      <c r="Y100" s="12"/>
      <c r="Z100" s="12">
        <f>IF((V100-W100)&lt;0,0,(V100-W100))</f>
        <v>3696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462</v>
      </c>
      <c r="D101" s="12">
        <f>Table1[[#This Row],[Enrolment S.Y. 2025-2026 ]]*8</f>
        <v>3696</v>
      </c>
      <c r="E101" s="12">
        <v>500</v>
      </c>
      <c r="F101" s="10">
        <v>2025</v>
      </c>
      <c r="G101" s="12" t="s">
        <v>63</v>
      </c>
      <c r="H101" s="12">
        <f>IF((D101-E101)&lt;0,0,(D101-E101))</f>
        <v>3196</v>
      </c>
      <c r="I101" s="12">
        <f>IF((E101-D101)&lt;0,0,(E101-D101))</f>
        <v>0</v>
      </c>
      <c r="J101" s="12">
        <f>Table1[[#This Row],[Enrolment S.Y. 2025-2026 ]]*8</f>
        <v>3696</v>
      </c>
      <c r="K101" s="12"/>
      <c r="L101" s="10"/>
      <c r="M101" s="12"/>
      <c r="N101" s="12">
        <f>IF((J101-K101)&lt;0,0,(J101-K101))</f>
        <v>3696</v>
      </c>
      <c r="O101" s="12">
        <f>IF((K101-J101)&lt;0,0,(K101-J101))</f>
        <v>0</v>
      </c>
      <c r="P101" s="12">
        <f>Table1[[#This Row],[Enrolment S.Y. 2025-2026 ]]*8</f>
        <v>3696</v>
      </c>
      <c r="Q101" s="12"/>
      <c r="R101" s="10"/>
      <c r="S101" s="12"/>
      <c r="T101" s="12">
        <f>IF((P101-Q101)&lt;0,0,(P101-Q101))</f>
        <v>3696</v>
      </c>
      <c r="U101" s="12">
        <f>IF((Q101-P101)&lt;0,0,(Q101-P101))</f>
        <v>0</v>
      </c>
      <c r="V101" s="12">
        <f>Table1[[#This Row],[Enrolment S.Y. 2025-2026 ]]*8</f>
        <v>3696</v>
      </c>
      <c r="W101" s="12"/>
      <c r="X101" s="10"/>
      <c r="Y101" s="12"/>
      <c r="Z101" s="12">
        <f>IF((V101-W101)&lt;0,0,(V101-W101))</f>
        <v>3696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762</v>
      </c>
      <c r="D103" s="5">
        <f>Table1[[#This Row],[Enrolment S.Y. 2025-2026 ]]*8</f>
        <v>6096</v>
      </c>
      <c r="E103" s="5"/>
      <c r="F103" s="1"/>
      <c r="G103" s="5"/>
      <c r="H103" s="5">
        <f>IF((D103-E103)&lt;0,0,(D103-E103))</f>
        <v>6096</v>
      </c>
      <c r="I103" s="5">
        <f>IF((E103-D103)&lt;0,0,(E103-D103))</f>
        <v>0</v>
      </c>
      <c r="J103" s="5">
        <f>Table1[[#This Row],[Enrolment S.Y. 2025-2026 ]]*8</f>
        <v>6096</v>
      </c>
      <c r="K103" s="5"/>
      <c r="L103" s="1"/>
      <c r="M103" s="5"/>
      <c r="N103" s="5">
        <f t="shared" si="14"/>
        <v>6096</v>
      </c>
      <c r="O103" s="5">
        <f t="shared" si="15"/>
        <v>0</v>
      </c>
      <c r="P103" s="5">
        <f>Table1[[#This Row],[Enrolment S.Y. 2025-2026 ]]*8</f>
        <v>6096</v>
      </c>
      <c r="Q103" s="5"/>
      <c r="R103" s="1"/>
      <c r="S103" s="5"/>
      <c r="T103" s="5">
        <f t="shared" si="16"/>
        <v>6096</v>
      </c>
      <c r="U103" s="5">
        <f t="shared" si="17"/>
        <v>0</v>
      </c>
      <c r="V103" s="5">
        <f>Table1[[#This Row],[Enrolment S.Y. 2025-2026 ]]*8</f>
        <v>6096</v>
      </c>
      <c r="W103" s="5"/>
      <c r="X103" s="1"/>
      <c r="Y103" s="5"/>
      <c r="Z103" s="5">
        <f t="shared" si="18"/>
        <v>6096</v>
      </c>
      <c r="AA103" s="5">
        <f t="shared" si="19"/>
        <v>0</v>
      </c>
    </row>
    <row r="104" spans="1:27" ht="19.5">
      <c r="A104" s="1" t="s">
        <v>24</v>
      </c>
      <c r="B104" s="9" t="s">
        <v>26</v>
      </c>
      <c r="C104" s="1">
        <v>762</v>
      </c>
      <c r="D104" s="5">
        <f>Table1[[#This Row],[Enrolment S.Y. 2025-2026 ]]*8</f>
        <v>6096</v>
      </c>
      <c r="E104" s="5"/>
      <c r="F104" s="1"/>
      <c r="G104" s="5"/>
      <c r="H104" s="5">
        <f>IF((D104-E104)&lt;0,0,(D104-E104))</f>
        <v>6096</v>
      </c>
      <c r="I104" s="5">
        <f>IF((E104-D104)&lt;0,0,(E104-D104))</f>
        <v>0</v>
      </c>
      <c r="J104" s="5">
        <f>Table1[[#This Row],[Enrolment S.Y. 2025-2026 ]]*8</f>
        <v>6096</v>
      </c>
      <c r="K104" s="5"/>
      <c r="L104" s="1"/>
      <c r="M104" s="5"/>
      <c r="N104" s="5">
        <f t="shared" si="14"/>
        <v>6096</v>
      </c>
      <c r="O104" s="5">
        <f t="shared" si="15"/>
        <v>0</v>
      </c>
      <c r="P104" s="5">
        <f>Table1[[#This Row],[Enrolment S.Y. 2025-2026 ]]*8</f>
        <v>6096</v>
      </c>
      <c r="Q104" s="5"/>
      <c r="R104" s="1"/>
      <c r="S104" s="5"/>
      <c r="T104" s="5">
        <f t="shared" si="16"/>
        <v>6096</v>
      </c>
      <c r="U104" s="5">
        <f t="shared" si="17"/>
        <v>0</v>
      </c>
      <c r="V104" s="5">
        <f>Table1[[#This Row],[Enrolment S.Y. 2025-2026 ]]*8</f>
        <v>6096</v>
      </c>
      <c r="W104" s="5"/>
      <c r="X104" s="1"/>
      <c r="Y104" s="5"/>
      <c r="Z104" s="5">
        <f t="shared" si="18"/>
        <v>6096</v>
      </c>
      <c r="AA104" s="5">
        <f t="shared" si="19"/>
        <v>0</v>
      </c>
    </row>
    <row r="105" spans="1:27" ht="19.5">
      <c r="A105" s="1" t="s">
        <v>24</v>
      </c>
      <c r="B105" s="9" t="s">
        <v>27</v>
      </c>
      <c r="C105" s="1">
        <v>762</v>
      </c>
      <c r="D105" s="5">
        <f>Table1[[#This Row],[Enrolment S.Y. 2025-2026 ]]*8</f>
        <v>6096</v>
      </c>
      <c r="E105" s="5"/>
      <c r="F105" s="1"/>
      <c r="G105" s="5"/>
      <c r="H105" s="5">
        <f>IF((D105-E105)&lt;0,0,(D105-E105))</f>
        <v>6096</v>
      </c>
      <c r="I105" s="5">
        <f>IF((E105-D105)&lt;0,0,(E105-D105))</f>
        <v>0</v>
      </c>
      <c r="J105" s="5">
        <f>Table1[[#This Row],[Enrolment S.Y. 2025-2026 ]]*8</f>
        <v>6096</v>
      </c>
      <c r="K105" s="5"/>
      <c r="L105" s="1"/>
      <c r="M105" s="5"/>
      <c r="N105" s="5">
        <f t="shared" si="14"/>
        <v>6096</v>
      </c>
      <c r="O105" s="5">
        <f t="shared" si="15"/>
        <v>0</v>
      </c>
      <c r="P105" s="5">
        <f>Table1[[#This Row],[Enrolment S.Y. 2025-2026 ]]*8</f>
        <v>6096</v>
      </c>
      <c r="Q105" s="5"/>
      <c r="R105" s="1"/>
      <c r="S105" s="5"/>
      <c r="T105" s="5">
        <f t="shared" si="16"/>
        <v>6096</v>
      </c>
      <c r="U105" s="5">
        <f t="shared" si="17"/>
        <v>0</v>
      </c>
      <c r="V105" s="5">
        <f>Table1[[#This Row],[Enrolment S.Y. 2025-2026 ]]*8</f>
        <v>6096</v>
      </c>
      <c r="W105" s="5"/>
      <c r="X105" s="1"/>
      <c r="Y105" s="5"/>
      <c r="Z105" s="5">
        <f t="shared" si="18"/>
        <v>6096</v>
      </c>
      <c r="AA105" s="5">
        <f t="shared" si="19"/>
        <v>0</v>
      </c>
    </row>
    <row r="106" spans="1:27" ht="19.5">
      <c r="A106" s="1" t="s">
        <v>24</v>
      </c>
      <c r="B106" s="9" t="s">
        <v>28</v>
      </c>
      <c r="C106" s="1">
        <v>762</v>
      </c>
      <c r="D106" s="5">
        <f>Table1[[#This Row],[Enrolment S.Y. 2025-2026 ]]*8</f>
        <v>6096</v>
      </c>
      <c r="E106" s="5"/>
      <c r="F106" s="1"/>
      <c r="G106" s="5"/>
      <c r="H106" s="5">
        <f>IF((D106-E106)&lt;0,0,(D106-E106))</f>
        <v>6096</v>
      </c>
      <c r="I106" s="5">
        <f>IF((E106-D106)&lt;0,0,(E106-D106))</f>
        <v>0</v>
      </c>
      <c r="J106" s="5">
        <f>Table1[[#This Row],[Enrolment S.Y. 2025-2026 ]]*8</f>
        <v>6096</v>
      </c>
      <c r="K106" s="5"/>
      <c r="L106" s="1"/>
      <c r="M106" s="5"/>
      <c r="N106" s="5">
        <f t="shared" si="14"/>
        <v>6096</v>
      </c>
      <c r="O106" s="5">
        <f t="shared" si="15"/>
        <v>0</v>
      </c>
      <c r="P106" s="5">
        <f>Table1[[#This Row],[Enrolment S.Y. 2025-2026 ]]*8</f>
        <v>6096</v>
      </c>
      <c r="Q106" s="5"/>
      <c r="R106" s="1"/>
      <c r="S106" s="5"/>
      <c r="T106" s="5">
        <f t="shared" si="16"/>
        <v>6096</v>
      </c>
      <c r="U106" s="5">
        <f t="shared" si="17"/>
        <v>0</v>
      </c>
      <c r="V106" s="5">
        <f>Table1[[#This Row],[Enrolment S.Y. 2025-2026 ]]*8</f>
        <v>6096</v>
      </c>
      <c r="W106" s="5"/>
      <c r="X106" s="1"/>
      <c r="Y106" s="5"/>
      <c r="Z106" s="5">
        <f t="shared" si="18"/>
        <v>6096</v>
      </c>
      <c r="AA106" s="5">
        <f t="shared" si="19"/>
        <v>0</v>
      </c>
    </row>
    <row r="107" spans="1:27" ht="38.25">
      <c r="A107" s="1" t="s">
        <v>24</v>
      </c>
      <c r="B107" s="9" t="s">
        <v>29</v>
      </c>
      <c r="C107" s="1">
        <v>762</v>
      </c>
      <c r="D107" s="5">
        <f>Table1[[#This Row],[Enrolment S.Y. 2025-2026 ]]*8</f>
        <v>6096</v>
      </c>
      <c r="E107" s="5"/>
      <c r="F107" s="1"/>
      <c r="G107" s="5"/>
      <c r="H107" s="5">
        <f>IF((D107-E107)&lt;0,0,(D107-E107))</f>
        <v>6096</v>
      </c>
      <c r="I107" s="5">
        <f>IF((E107-D107)&lt;0,0,(E107-D107))</f>
        <v>0</v>
      </c>
      <c r="J107" s="5">
        <f>Table1[[#This Row],[Enrolment S.Y. 2025-2026 ]]*8</f>
        <v>6096</v>
      </c>
      <c r="K107" s="5"/>
      <c r="L107" s="1"/>
      <c r="M107" s="5"/>
      <c r="N107" s="5">
        <f t="shared" si="14"/>
        <v>6096</v>
      </c>
      <c r="O107" s="5">
        <f t="shared" si="15"/>
        <v>0</v>
      </c>
      <c r="P107" s="5">
        <f>Table1[[#This Row],[Enrolment S.Y. 2025-2026 ]]*8</f>
        <v>6096</v>
      </c>
      <c r="Q107" s="5"/>
      <c r="R107" s="1"/>
      <c r="S107" s="5"/>
      <c r="T107" s="5">
        <f t="shared" si="16"/>
        <v>6096</v>
      </c>
      <c r="U107" s="5">
        <f t="shared" si="17"/>
        <v>0</v>
      </c>
      <c r="V107" s="5">
        <f>Table1[[#This Row],[Enrolment S.Y. 2025-2026 ]]*8</f>
        <v>6096</v>
      </c>
      <c r="W107" s="5"/>
      <c r="X107" s="1"/>
      <c r="Y107" s="5"/>
      <c r="Z107" s="5">
        <f t="shared" si="18"/>
        <v>6096</v>
      </c>
      <c r="AA107" s="5">
        <f t="shared" si="19"/>
        <v>0</v>
      </c>
    </row>
    <row r="108" spans="1:27" ht="38.25">
      <c r="A108" s="1" t="s">
        <v>24</v>
      </c>
      <c r="B108" s="9" t="s">
        <v>30</v>
      </c>
      <c r="C108" s="1">
        <v>762</v>
      </c>
      <c r="D108" s="5">
        <f>Table1[[#This Row],[Enrolment S.Y. 2025-2026 ]]*8</f>
        <v>6096</v>
      </c>
      <c r="E108" s="5"/>
      <c r="F108" s="1"/>
      <c r="G108" s="5"/>
      <c r="H108" s="5">
        <f>IF((D108-E108)&lt;0,0,(D108-E108))</f>
        <v>6096</v>
      </c>
      <c r="I108" s="5">
        <f>IF((E108-D108)&lt;0,0,(E108-D108))</f>
        <v>0</v>
      </c>
      <c r="J108" s="5">
        <f>Table1[[#This Row],[Enrolment S.Y. 2025-2026 ]]*8</f>
        <v>6096</v>
      </c>
      <c r="K108" s="5"/>
      <c r="L108" s="1"/>
      <c r="M108" s="5"/>
      <c r="N108" s="5">
        <f t="shared" si="14"/>
        <v>6096</v>
      </c>
      <c r="O108" s="5">
        <f t="shared" si="15"/>
        <v>0</v>
      </c>
      <c r="P108" s="5">
        <f>Table1[[#This Row],[Enrolment S.Y. 2025-2026 ]]*8</f>
        <v>6096</v>
      </c>
      <c r="Q108" s="5"/>
      <c r="R108" s="1"/>
      <c r="S108" s="5"/>
      <c r="T108" s="5">
        <f t="shared" si="16"/>
        <v>6096</v>
      </c>
      <c r="U108" s="5">
        <f t="shared" si="17"/>
        <v>0</v>
      </c>
      <c r="V108" s="5">
        <f>Table1[[#This Row],[Enrolment S.Y. 2025-2026 ]]*8</f>
        <v>6096</v>
      </c>
      <c r="W108" s="5"/>
      <c r="X108" s="1"/>
      <c r="Y108" s="5"/>
      <c r="Z108" s="5">
        <f t="shared" si="18"/>
        <v>6096</v>
      </c>
      <c r="AA108" s="5">
        <f t="shared" si="19"/>
        <v>0</v>
      </c>
    </row>
    <row r="109" spans="1:27" ht="57.75">
      <c r="A109" s="1" t="s">
        <v>24</v>
      </c>
      <c r="B109" s="9" t="s">
        <v>31</v>
      </c>
      <c r="C109" s="1">
        <v>762</v>
      </c>
      <c r="D109" s="5">
        <f>Table1[[#This Row],[Enrolment S.Y. 2025-2026 ]]*8</f>
        <v>6096</v>
      </c>
      <c r="E109" s="5"/>
      <c r="F109" s="1"/>
      <c r="G109" s="5"/>
      <c r="H109" s="5">
        <f>IF((D109-E109)&lt;0,0,(D109-E109))</f>
        <v>6096</v>
      </c>
      <c r="I109" s="5">
        <f>IF((E109-D109)&lt;0,0,(E109-D109))</f>
        <v>0</v>
      </c>
      <c r="J109" s="5">
        <f>Table1[[#This Row],[Enrolment S.Y. 2025-2026 ]]*8</f>
        <v>6096</v>
      </c>
      <c r="K109" s="5"/>
      <c r="L109" s="1"/>
      <c r="M109" s="5"/>
      <c r="N109" s="5">
        <f t="shared" si="14"/>
        <v>6096</v>
      </c>
      <c r="O109" s="5">
        <f t="shared" si="15"/>
        <v>0</v>
      </c>
      <c r="P109" s="5">
        <f>Table1[[#This Row],[Enrolment S.Y. 2025-2026 ]]*8</f>
        <v>6096</v>
      </c>
      <c r="Q109" s="5"/>
      <c r="R109" s="1"/>
      <c r="S109" s="5"/>
      <c r="T109" s="5">
        <f t="shared" si="16"/>
        <v>6096</v>
      </c>
      <c r="U109" s="5">
        <f t="shared" si="17"/>
        <v>0</v>
      </c>
      <c r="V109" s="5">
        <f>Table1[[#This Row],[Enrolment S.Y. 2025-2026 ]]*8</f>
        <v>6096</v>
      </c>
      <c r="W109" s="5"/>
      <c r="X109" s="1"/>
      <c r="Y109" s="5"/>
      <c r="Z109" s="5">
        <f t="shared" si="18"/>
        <v>6096</v>
      </c>
      <c r="AA109" s="5">
        <f t="shared" si="19"/>
        <v>0</v>
      </c>
    </row>
    <row r="110" spans="1:27" ht="38.25">
      <c r="A110" s="1" t="s">
        <v>24</v>
      </c>
      <c r="B110" s="9" t="s">
        <v>32</v>
      </c>
      <c r="C110" s="1">
        <v>762</v>
      </c>
      <c r="D110" s="5">
        <f>Table1[[#This Row],[Enrolment S.Y. 2025-2026 ]]*8</f>
        <v>6096</v>
      </c>
      <c r="E110" s="5"/>
      <c r="F110" s="1"/>
      <c r="G110" s="5"/>
      <c r="H110" s="5">
        <f>IF((D110-E110)&lt;0,0,(D110-E110))</f>
        <v>6096</v>
      </c>
      <c r="I110" s="5">
        <f>IF((E110-D110)&lt;0,0,(E110-D110))</f>
        <v>0</v>
      </c>
      <c r="J110" s="5">
        <f>Table1[[#This Row],[Enrolment S.Y. 2025-2026 ]]*8</f>
        <v>6096</v>
      </c>
      <c r="K110" s="5"/>
      <c r="L110" s="1"/>
      <c r="M110" s="5"/>
      <c r="N110" s="5">
        <f t="shared" si="14"/>
        <v>6096</v>
      </c>
      <c r="O110" s="5">
        <f t="shared" si="15"/>
        <v>0</v>
      </c>
      <c r="P110" s="5">
        <f>Table1[[#This Row],[Enrolment S.Y. 2025-2026 ]]*8</f>
        <v>6096</v>
      </c>
      <c r="Q110" s="5"/>
      <c r="R110" s="1"/>
      <c r="S110" s="5"/>
      <c r="T110" s="5">
        <f t="shared" si="16"/>
        <v>6096</v>
      </c>
      <c r="U110" s="5">
        <f t="shared" si="17"/>
        <v>0</v>
      </c>
      <c r="V110" s="5">
        <f>Table1[[#This Row],[Enrolment S.Y. 2025-2026 ]]*8</f>
        <v>6096</v>
      </c>
      <c r="W110" s="5"/>
      <c r="X110" s="1"/>
      <c r="Y110" s="5"/>
      <c r="Z110" s="5">
        <f t="shared" si="18"/>
        <v>6096</v>
      </c>
      <c r="AA110" s="5">
        <f t="shared" si="19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>IF((D112-E112)&lt;0,0,(D112-E112))</f>
        <v>0</v>
      </c>
      <c r="I112" s="5">
        <f>IF((E112-D112)&lt;0,0,(E112-D112))</f>
        <v>0</v>
      </c>
      <c r="J112" s="5">
        <f>Table1[[#This Row],[Enrolment S.Y. 2025-2026 ]]*8</f>
        <v>0</v>
      </c>
      <c r="K112" s="5"/>
      <c r="L112" s="1"/>
      <c r="M112" s="5"/>
      <c r="N112" s="5">
        <f t="shared" si="14"/>
        <v>0</v>
      </c>
      <c r="O112" s="5">
        <f t="shared" si="15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6"/>
        <v>0</v>
      </c>
      <c r="U112" s="5">
        <f t="shared" si="17"/>
        <v>0</v>
      </c>
      <c r="V112" s="5">
        <f>Table1[[#This Row],[Enrolment S.Y. 2025-2026 ]]*8</f>
        <v>0</v>
      </c>
      <c r="W112" s="5"/>
      <c r="X112" s="1"/>
      <c r="Y112" s="5"/>
      <c r="Z112" s="5">
        <f t="shared" si="18"/>
        <v>0</v>
      </c>
      <c r="AA112" s="5">
        <f t="shared" si="19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>IF((D113-E113)&lt;0,0,(D113-E113))</f>
        <v>0</v>
      </c>
      <c r="I113" s="5">
        <f>IF((E113-D113)&lt;0,0,(E113-D113))</f>
        <v>0</v>
      </c>
      <c r="J113" s="5">
        <f>Table1[[#This Row],[Enrolment S.Y. 2025-2026 ]]*8</f>
        <v>0</v>
      </c>
      <c r="K113" s="5"/>
      <c r="L113" s="1"/>
      <c r="M113" s="5"/>
      <c r="N113" s="5">
        <f t="shared" si="14"/>
        <v>0</v>
      </c>
      <c r="O113" s="5">
        <f t="shared" si="15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6"/>
        <v>0</v>
      </c>
      <c r="U113" s="5">
        <f t="shared" si="17"/>
        <v>0</v>
      </c>
      <c r="V113" s="5">
        <f>Table1[[#This Row],[Enrolment S.Y. 2025-2026 ]]*8</f>
        <v>0</v>
      </c>
      <c r="W113" s="5"/>
      <c r="X113" s="1"/>
      <c r="Y113" s="5"/>
      <c r="Z113" s="5">
        <f t="shared" si="18"/>
        <v>0</v>
      </c>
      <c r="AA113" s="5">
        <f t="shared" si="19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>IF((D114-E114)&lt;0,0,(D114-E114))</f>
        <v>0</v>
      </c>
      <c r="I114" s="5">
        <f>IF((E114-D114)&lt;0,0,(E114-D114))</f>
        <v>0</v>
      </c>
      <c r="J114" s="5">
        <f>Table1[[#This Row],[Enrolment S.Y. 2025-2026 ]]*8</f>
        <v>0</v>
      </c>
      <c r="K114" s="5"/>
      <c r="L114" s="1"/>
      <c r="M114" s="5"/>
      <c r="N114" s="5">
        <f t="shared" si="14"/>
        <v>0</v>
      </c>
      <c r="O114" s="5">
        <f t="shared" si="15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6"/>
        <v>0</v>
      </c>
      <c r="U114" s="5">
        <f t="shared" si="17"/>
        <v>0</v>
      </c>
      <c r="V114" s="5">
        <f>Table1[[#This Row],[Enrolment S.Y. 2025-2026 ]]*8</f>
        <v>0</v>
      </c>
      <c r="W114" s="5"/>
      <c r="X114" s="1"/>
      <c r="Y114" s="5"/>
      <c r="Z114" s="5">
        <f t="shared" si="18"/>
        <v>0</v>
      </c>
      <c r="AA114" s="5">
        <f t="shared" si="19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>IF((D115-E115)&lt;0,0,(D115-E115))</f>
        <v>0</v>
      </c>
      <c r="I115" s="5">
        <f>IF((E115-D115)&lt;0,0,(E115-D115))</f>
        <v>0</v>
      </c>
      <c r="J115" s="5">
        <f>Table1[[#This Row],[Enrolment S.Y. 2025-2026 ]]*8</f>
        <v>0</v>
      </c>
      <c r="K115" s="5"/>
      <c r="L115" s="1"/>
      <c r="M115" s="5"/>
      <c r="N115" s="5">
        <f t="shared" si="14"/>
        <v>0</v>
      </c>
      <c r="O115" s="5">
        <f t="shared" si="15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>IF((D116-E116)&lt;0,0,(D116-E116))</f>
        <v>0</v>
      </c>
      <c r="I116" s="5">
        <f>IF((E116-D116)&lt;0,0,(E116-D116))</f>
        <v>0</v>
      </c>
      <c r="J116" s="5">
        <f>Table1[[#This Row],[Enrolment S.Y. 2025-2026 ]]*8</f>
        <v>0</v>
      </c>
      <c r="K116" s="5"/>
      <c r="L116" s="1"/>
      <c r="M116" s="5"/>
      <c r="N116" s="5">
        <f t="shared" si="14"/>
        <v>0</v>
      </c>
      <c r="O116" s="5">
        <f t="shared" si="15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>IF((D117-E117)&lt;0,0,(D117-E117))</f>
        <v>0</v>
      </c>
      <c r="I117" s="5">
        <f>IF((E117-D117)&lt;0,0,(E117-D117))</f>
        <v>0</v>
      </c>
      <c r="J117" s="5">
        <f>Table1[[#This Row],[Enrolment S.Y. 2025-2026 ]]*8</f>
        <v>0</v>
      </c>
      <c r="K117" s="5"/>
      <c r="L117" s="1"/>
      <c r="M117" s="5"/>
      <c r="N117" s="5">
        <f t="shared" si="14"/>
        <v>0</v>
      </c>
      <c r="O117" s="5">
        <f t="shared" si="15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>IF((D118-E118)&lt;0,0,(D118-E118))</f>
        <v>0</v>
      </c>
      <c r="I118" s="5">
        <f>IF((E118-D118)&lt;0,0,(E118-D118))</f>
        <v>0</v>
      </c>
      <c r="J118" s="5">
        <f>Table1[[#This Row],[Enrolment S.Y. 2025-2026 ]]*8</f>
        <v>0</v>
      </c>
      <c r="K118" s="5"/>
      <c r="L118" s="1"/>
      <c r="M118" s="5"/>
      <c r="N118" s="5">
        <f t="shared" si="14"/>
        <v>0</v>
      </c>
      <c r="O118" s="5">
        <f t="shared" si="15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>IF((D119-E119)&lt;0,0,(D119-E119))</f>
        <v>0</v>
      </c>
      <c r="I119" s="5">
        <f>IF((E119-D119)&lt;0,0,(E119-D119))</f>
        <v>0</v>
      </c>
      <c r="J119" s="5">
        <f>Table1[[#This Row],[Enrolment S.Y. 2025-2026 ]]*8</f>
        <v>0</v>
      </c>
      <c r="K119" s="5"/>
      <c r="L119" s="1"/>
      <c r="M119" s="5"/>
      <c r="N119" s="5">
        <f t="shared" si="14"/>
        <v>0</v>
      </c>
      <c r="O119" s="5">
        <f t="shared" si="15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>IF((D120-E120)&lt;0,0,(D120-E120))</f>
        <v>0</v>
      </c>
      <c r="I120" s="5">
        <f>IF((E120-D120)&lt;0,0,(E120-D120))</f>
        <v>0</v>
      </c>
      <c r="J120" s="5">
        <f>Table1[[#This Row],[Enrolment S.Y. 2025-2026 ]]*8</f>
        <v>0</v>
      </c>
      <c r="K120" s="5"/>
      <c r="L120" s="1"/>
      <c r="M120" s="5"/>
      <c r="N120" s="5">
        <f t="shared" si="14"/>
        <v>0</v>
      </c>
      <c r="O120" s="5">
        <f t="shared" si="15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>IF((D121-E121)&lt;0,0,(D121-E121))</f>
        <v>0</v>
      </c>
      <c r="I121" s="5">
        <f>IF((E121-D121)&lt;0,0,(E121-D121))</f>
        <v>0</v>
      </c>
      <c r="J121" s="5">
        <f>Table1[[#This Row],[Enrolment S.Y. 2025-2026 ]]*8</f>
        <v>0</v>
      </c>
      <c r="K121" s="5"/>
      <c r="L121" s="1"/>
      <c r="M121" s="5"/>
      <c r="N121" s="5">
        <f t="shared" si="14"/>
        <v>0</v>
      </c>
      <c r="O121" s="5">
        <f t="shared" si="15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>IF((D122-E122)&lt;0,0,(D122-E122))</f>
        <v>0</v>
      </c>
      <c r="I122" s="5">
        <f>IF((E122-D122)&lt;0,0,(E122-D122))</f>
        <v>0</v>
      </c>
      <c r="J122" s="5">
        <f>Table1[[#This Row],[Enrolment S.Y. 2025-2026 ]]*8</f>
        <v>0</v>
      </c>
      <c r="K122" s="5"/>
      <c r="L122" s="1"/>
      <c r="M122" s="5"/>
      <c r="N122" s="5">
        <f t="shared" si="14"/>
        <v>0</v>
      </c>
      <c r="O122" s="5">
        <f t="shared" si="15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>IF((D123-E123)&lt;0,0,(D123-E123))</f>
        <v>0</v>
      </c>
      <c r="I123" s="5">
        <f>IF((E123-D123)&lt;0,0,(E123-D123))</f>
        <v>0</v>
      </c>
      <c r="J123" s="5">
        <f>Table1[[#This Row],[Enrolment S.Y. 2025-2026 ]]*8</f>
        <v>0</v>
      </c>
      <c r="K123" s="5"/>
      <c r="L123" s="1"/>
      <c r="M123" s="5"/>
      <c r="N123" s="5">
        <f t="shared" si="14"/>
        <v>0</v>
      </c>
      <c r="O123" s="5">
        <f t="shared" si="15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>IF((D124-E124)&lt;0,0,(D124-E124))</f>
        <v>0</v>
      </c>
      <c r="I124" s="5">
        <f>IF((E124-D124)&lt;0,0,(E124-D124))</f>
        <v>0</v>
      </c>
      <c r="J124" s="5">
        <f>Table1[[#This Row],[Enrolment S.Y. 2025-2026 ]]*8</f>
        <v>0</v>
      </c>
      <c r="K124" s="5"/>
      <c r="L124" s="1"/>
      <c r="M124" s="5"/>
      <c r="N124" s="5">
        <f t="shared" si="14"/>
        <v>0</v>
      </c>
      <c r="O124" s="5">
        <f t="shared" si="15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6"/>
        <v>0</v>
      </c>
      <c r="U124" s="5">
        <f t="shared" si="17"/>
        <v>0</v>
      </c>
      <c r="V124" s="5">
        <f>Table1[[#This Row],[Enrolment S.Y. 2025-2026 ]]*8</f>
        <v>0</v>
      </c>
      <c r="W124" s="5"/>
      <c r="X124" s="1"/>
      <c r="Y124" s="5"/>
      <c r="Z124" s="5">
        <f t="shared" si="18"/>
        <v>0</v>
      </c>
      <c r="AA124" s="5">
        <f t="shared" si="19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>IF((D125-E125)&lt;0,0,(D125-E125))</f>
        <v>0</v>
      </c>
      <c r="I125" s="5">
        <f>IF((E125-D125)&lt;0,0,(E125-D125))</f>
        <v>0</v>
      </c>
      <c r="J125" s="5">
        <f>Table1[[#This Row],[Enrolment S.Y. 2025-2026 ]]*8</f>
        <v>0</v>
      </c>
      <c r="K125" s="5"/>
      <c r="L125" s="1"/>
      <c r="M125" s="5"/>
      <c r="N125" s="5">
        <f t="shared" si="14"/>
        <v>0</v>
      </c>
      <c r="O125" s="5">
        <f t="shared" si="15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6"/>
        <v>0</v>
      </c>
      <c r="U125" s="5">
        <f t="shared" si="17"/>
        <v>0</v>
      </c>
      <c r="V125" s="5">
        <f>Table1[[#This Row],[Enrolment S.Y. 2025-2026 ]]*8</f>
        <v>0</v>
      </c>
      <c r="W125" s="5"/>
      <c r="X125" s="1"/>
      <c r="Y125" s="5"/>
      <c r="Z125" s="5">
        <f t="shared" si="18"/>
        <v>0</v>
      </c>
      <c r="AA125" s="5">
        <f t="shared" si="19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>IF((D126-E126)&lt;0,0,(D126-E126))</f>
        <v>0</v>
      </c>
      <c r="I126" s="5">
        <f>IF((E126-D126)&lt;0,0,(E126-D126))</f>
        <v>0</v>
      </c>
      <c r="J126" s="5">
        <f>Table1[[#This Row],[Enrolment S.Y. 2025-2026 ]]*8</f>
        <v>0</v>
      </c>
      <c r="K126" s="5"/>
      <c r="L126" s="1"/>
      <c r="M126" s="5"/>
      <c r="N126" s="5">
        <f t="shared" si="14"/>
        <v>0</v>
      </c>
      <c r="O126" s="5">
        <f t="shared" si="15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6"/>
        <v>0</v>
      </c>
      <c r="U126" s="5">
        <f t="shared" si="17"/>
        <v>0</v>
      </c>
      <c r="V126" s="5">
        <f>Table1[[#This Row],[Enrolment S.Y. 2025-2026 ]]*8</f>
        <v>0</v>
      </c>
      <c r="W126" s="5"/>
      <c r="X126" s="1"/>
      <c r="Y126" s="5"/>
      <c r="Z126" s="5">
        <f t="shared" si="18"/>
        <v>0</v>
      </c>
      <c r="AA126" s="5">
        <f t="shared" si="19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>IF((D127-E127)&lt;0,0,(D127-E127))</f>
        <v>0</v>
      </c>
      <c r="I127" s="5">
        <f>IF((E127-D127)&lt;0,0,(E127-D127))</f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0">IF((J127-K127)&lt;0,0,(J127-K127))</f>
        <v>0</v>
      </c>
      <c r="O127" s="5">
        <f t="shared" ref="O127" si="21">IF((K127-J127)&lt;0,0,(K127-J127))</f>
        <v>0</v>
      </c>
      <c r="P127" s="5"/>
      <c r="Q127" s="31"/>
      <c r="R127" s="29"/>
      <c r="S127" s="31"/>
      <c r="T127" s="5">
        <f t="shared" si="16"/>
        <v>0</v>
      </c>
      <c r="U127" s="5">
        <f t="shared" si="17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18"/>
        <v>0</v>
      </c>
      <c r="AA127" s="5">
        <f t="shared" si="19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71" zoomScale="55" zoomScaleNormal="55" workbookViewId="0">
      <selection activeCell="C122" sqref="C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510</v>
      </c>
      <c r="D67" s="12">
        <f>Table14[[#This Row],[Enrolment S.Y. 2025-2026 ]]*8</f>
        <v>4080</v>
      </c>
      <c r="E67" s="12"/>
      <c r="F67" s="10"/>
      <c r="G67" s="12"/>
      <c r="H67" s="12">
        <f t="shared" si="0"/>
        <v>4080</v>
      </c>
      <c r="I67" s="12">
        <f t="shared" si="1"/>
        <v>0</v>
      </c>
      <c r="J67" s="12">
        <f>Table14[[#This Row],[Enrolment S.Y. 2025-2026 ]]*8</f>
        <v>4080</v>
      </c>
      <c r="K67" s="12"/>
      <c r="L67" s="10"/>
      <c r="M67" s="12"/>
      <c r="N67" s="12">
        <f t="shared" si="2"/>
        <v>4080</v>
      </c>
      <c r="O67" s="12">
        <f t="shared" si="3"/>
        <v>0</v>
      </c>
      <c r="P67" s="12">
        <f>Table14[[#This Row],[Enrolment S.Y. 2025-2026 ]]*8</f>
        <v>4080</v>
      </c>
      <c r="Q67" s="12"/>
      <c r="R67" s="10"/>
      <c r="S67" s="12"/>
      <c r="T67" s="12">
        <f t="shared" si="4"/>
        <v>4080</v>
      </c>
      <c r="U67" s="12">
        <f t="shared" si="5"/>
        <v>0</v>
      </c>
      <c r="V67" s="12">
        <f>Table14[[#This Row],[Enrolment S.Y. 2025-2026 ]]*8</f>
        <v>4080</v>
      </c>
      <c r="W67" s="12"/>
      <c r="X67" s="10"/>
      <c r="Y67" s="12"/>
      <c r="Z67" s="12">
        <f t="shared" si="6"/>
        <v>4080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510</v>
      </c>
      <c r="D68" s="12">
        <f>Table14[[#This Row],[Enrolment S.Y. 2025-2026 ]]*8</f>
        <v>4080</v>
      </c>
      <c r="E68" s="12"/>
      <c r="F68" s="10"/>
      <c r="G68" s="12"/>
      <c r="H68" s="12">
        <f t="shared" si="0"/>
        <v>4080</v>
      </c>
      <c r="I68" s="12">
        <f t="shared" si="1"/>
        <v>0</v>
      </c>
      <c r="J68" s="12">
        <f>Table14[[#This Row],[Enrolment S.Y. 2025-2026 ]]*8</f>
        <v>4080</v>
      </c>
      <c r="K68" s="12"/>
      <c r="L68" s="10"/>
      <c r="M68" s="12"/>
      <c r="N68" s="12">
        <f t="shared" si="2"/>
        <v>4080</v>
      </c>
      <c r="O68" s="12">
        <f t="shared" si="3"/>
        <v>0</v>
      </c>
      <c r="P68" s="12">
        <f>Table14[[#This Row],[Enrolment S.Y. 2025-2026 ]]*8</f>
        <v>4080</v>
      </c>
      <c r="Q68" s="12"/>
      <c r="R68" s="10"/>
      <c r="S68" s="12"/>
      <c r="T68" s="12">
        <f t="shared" si="4"/>
        <v>4080</v>
      </c>
      <c r="U68" s="12">
        <f t="shared" si="5"/>
        <v>0</v>
      </c>
      <c r="V68" s="12">
        <f>Table14[[#This Row],[Enrolment S.Y. 2025-2026 ]]*8</f>
        <v>4080</v>
      </c>
      <c r="W68" s="12"/>
      <c r="X68" s="10"/>
      <c r="Y68" s="12"/>
      <c r="Z68" s="12">
        <f t="shared" si="6"/>
        <v>4080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510</v>
      </c>
      <c r="D69" s="12">
        <f>Table14[[#This Row],[Enrolment S.Y. 2025-2026 ]]*8</f>
        <v>4080</v>
      </c>
      <c r="E69" s="12"/>
      <c r="F69" s="10"/>
      <c r="G69" s="12"/>
      <c r="H69" s="12">
        <f t="shared" si="0"/>
        <v>4080</v>
      </c>
      <c r="I69" s="12">
        <f t="shared" si="1"/>
        <v>0</v>
      </c>
      <c r="J69" s="12">
        <f>Table14[[#This Row],[Enrolment S.Y. 2025-2026 ]]*8</f>
        <v>4080</v>
      </c>
      <c r="K69" s="12"/>
      <c r="L69" s="10"/>
      <c r="M69" s="12"/>
      <c r="N69" s="12">
        <f t="shared" si="2"/>
        <v>4080</v>
      </c>
      <c r="O69" s="12">
        <f t="shared" si="3"/>
        <v>0</v>
      </c>
      <c r="P69" s="12">
        <f>Table14[[#This Row],[Enrolment S.Y. 2025-2026 ]]*8</f>
        <v>4080</v>
      </c>
      <c r="Q69" s="12"/>
      <c r="R69" s="10"/>
      <c r="S69" s="12"/>
      <c r="T69" s="12">
        <f t="shared" si="4"/>
        <v>4080</v>
      </c>
      <c r="U69" s="12">
        <f t="shared" si="5"/>
        <v>0</v>
      </c>
      <c r="V69" s="12">
        <f>Table14[[#This Row],[Enrolment S.Y. 2025-2026 ]]*8</f>
        <v>4080</v>
      </c>
      <c r="W69" s="12"/>
      <c r="X69" s="10"/>
      <c r="Y69" s="12"/>
      <c r="Z69" s="12">
        <f t="shared" si="6"/>
        <v>4080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510</v>
      </c>
      <c r="D70" s="12">
        <f>Table14[[#This Row],[Enrolment S.Y. 2025-2026 ]]*8</f>
        <v>4080</v>
      </c>
      <c r="E70" s="12"/>
      <c r="F70" s="10"/>
      <c r="G70" s="12"/>
      <c r="H70" s="12">
        <f t="shared" si="0"/>
        <v>4080</v>
      </c>
      <c r="I70" s="12">
        <f t="shared" si="1"/>
        <v>0</v>
      </c>
      <c r="J70" s="12">
        <f>Table14[[#This Row],[Enrolment S.Y. 2025-2026 ]]*8</f>
        <v>4080</v>
      </c>
      <c r="K70" s="12"/>
      <c r="L70" s="10"/>
      <c r="M70" s="12"/>
      <c r="N70" s="12">
        <f t="shared" si="2"/>
        <v>4080</v>
      </c>
      <c r="O70" s="12">
        <f t="shared" si="3"/>
        <v>0</v>
      </c>
      <c r="P70" s="12">
        <f>Table14[[#This Row],[Enrolment S.Y. 2025-2026 ]]*8</f>
        <v>4080</v>
      </c>
      <c r="Q70" s="12"/>
      <c r="R70" s="10"/>
      <c r="S70" s="12"/>
      <c r="T70" s="12">
        <f t="shared" si="4"/>
        <v>4080</v>
      </c>
      <c r="U70" s="12">
        <f t="shared" si="5"/>
        <v>0</v>
      </c>
      <c r="V70" s="12">
        <f>Table14[[#This Row],[Enrolment S.Y. 2025-2026 ]]*8</f>
        <v>4080</v>
      </c>
      <c r="W70" s="12"/>
      <c r="X70" s="10"/>
      <c r="Y70" s="12"/>
      <c r="Z70" s="12">
        <f t="shared" si="6"/>
        <v>4080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510</v>
      </c>
      <c r="D71" s="12">
        <f>Table14[[#This Row],[Enrolment S.Y. 2025-2026 ]]*8</f>
        <v>4080</v>
      </c>
      <c r="E71" s="12"/>
      <c r="F71" s="10"/>
      <c r="G71" s="12"/>
      <c r="H71" s="12">
        <f t="shared" si="0"/>
        <v>4080</v>
      </c>
      <c r="I71" s="12">
        <f t="shared" si="1"/>
        <v>0</v>
      </c>
      <c r="J71" s="12">
        <f>Table14[[#This Row],[Enrolment S.Y. 2025-2026 ]]*8</f>
        <v>4080</v>
      </c>
      <c r="K71" s="12"/>
      <c r="L71" s="10"/>
      <c r="M71" s="12"/>
      <c r="N71" s="12">
        <f t="shared" ref="N71:N77" si="14">IF((J71-K71)&lt;0,0,(J71-K71))</f>
        <v>4080</v>
      </c>
      <c r="O71" s="12">
        <f t="shared" ref="O71:O77" si="15">IF((K71-J71)&lt;0,0,(K71-J71))</f>
        <v>0</v>
      </c>
      <c r="P71" s="12">
        <f>Table14[[#This Row],[Enrolment S.Y. 2025-2026 ]]*8</f>
        <v>4080</v>
      </c>
      <c r="Q71" s="12"/>
      <c r="R71" s="10"/>
      <c r="S71" s="12"/>
      <c r="T71" s="12">
        <f t="shared" si="4"/>
        <v>4080</v>
      </c>
      <c r="U71" s="12">
        <f t="shared" si="5"/>
        <v>0</v>
      </c>
      <c r="V71" s="12">
        <f>Table14[[#This Row],[Enrolment S.Y. 2025-2026 ]]*8</f>
        <v>4080</v>
      </c>
      <c r="W71" s="12"/>
      <c r="X71" s="10"/>
      <c r="Y71" s="12"/>
      <c r="Z71" s="12">
        <f t="shared" si="6"/>
        <v>4080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510</v>
      </c>
      <c r="D72" s="12">
        <f>Table14[[#This Row],[Enrolment S.Y. 2025-2026 ]]*8</f>
        <v>4080</v>
      </c>
      <c r="E72" s="12"/>
      <c r="F72" s="10"/>
      <c r="G72" s="12"/>
      <c r="H72" s="12">
        <f t="shared" si="0"/>
        <v>4080</v>
      </c>
      <c r="I72" s="12">
        <f t="shared" si="1"/>
        <v>0</v>
      </c>
      <c r="J72" s="12">
        <f>Table14[[#This Row],[Enrolment S.Y. 2025-2026 ]]*8</f>
        <v>4080</v>
      </c>
      <c r="K72" s="12"/>
      <c r="L72" s="10"/>
      <c r="M72" s="12"/>
      <c r="N72" s="12">
        <f t="shared" si="14"/>
        <v>4080</v>
      </c>
      <c r="O72" s="12">
        <f t="shared" si="15"/>
        <v>0</v>
      </c>
      <c r="P72" s="12">
        <f>Table14[[#This Row],[Enrolment S.Y. 2025-2026 ]]*8</f>
        <v>4080</v>
      </c>
      <c r="Q72" s="12"/>
      <c r="R72" s="10"/>
      <c r="S72" s="12"/>
      <c r="T72" s="12">
        <f t="shared" si="4"/>
        <v>4080</v>
      </c>
      <c r="U72" s="12">
        <f t="shared" si="5"/>
        <v>0</v>
      </c>
      <c r="V72" s="12">
        <f>Table14[[#This Row],[Enrolment S.Y. 2025-2026 ]]*8</f>
        <v>4080</v>
      </c>
      <c r="W72" s="12"/>
      <c r="X72" s="10"/>
      <c r="Y72" s="12"/>
      <c r="Z72" s="12">
        <f t="shared" si="6"/>
        <v>4080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>
        <v>510</v>
      </c>
      <c r="D73" s="12">
        <f>Table14[[#This Row],[Enrolment S.Y. 2025-2026 ]]*8</f>
        <v>4080</v>
      </c>
      <c r="E73" s="12"/>
      <c r="F73" s="10"/>
      <c r="G73" s="12"/>
      <c r="H73" s="12">
        <f>IF((D73-E73)&lt;0,0,(D73-E73))</f>
        <v>4080</v>
      </c>
      <c r="I73" s="12">
        <f>IF((E73-D73)&lt;0,0,(E73-D73))</f>
        <v>0</v>
      </c>
      <c r="J73" s="12">
        <f>Table14[[#This Row],[Enrolment S.Y. 2025-2026 ]]*8</f>
        <v>4080</v>
      </c>
      <c r="K73" s="12"/>
      <c r="L73" s="10"/>
      <c r="M73" s="12"/>
      <c r="N73" s="12">
        <f t="shared" si="14"/>
        <v>4080</v>
      </c>
      <c r="O73" s="12">
        <f t="shared" si="15"/>
        <v>0</v>
      </c>
      <c r="P73" s="12">
        <f>Table14[[#This Row],[Enrolment S.Y. 2025-2026 ]]*8</f>
        <v>4080</v>
      </c>
      <c r="Q73" s="12"/>
      <c r="R73" s="10"/>
      <c r="S73" s="12"/>
      <c r="T73" s="12">
        <f>IF((P73-Q73)&lt;0,0,(P73-Q73))</f>
        <v>4080</v>
      </c>
      <c r="U73" s="12">
        <f>IF((Q73-P73)&lt;0,0,(Q73-P73))</f>
        <v>0</v>
      </c>
      <c r="V73" s="12">
        <f>Table14[[#This Row],[Enrolment S.Y. 2025-2026 ]]*8</f>
        <v>4080</v>
      </c>
      <c r="W73" s="12"/>
      <c r="X73" s="10"/>
      <c r="Y73" s="12"/>
      <c r="Z73" s="12">
        <f>IF((V73-W73)&lt;0,0,(V73-W73))</f>
        <v>4080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510</v>
      </c>
      <c r="D74" s="12">
        <f>Table14[[#This Row],[Enrolment S.Y. 2025-2026 ]]*8</f>
        <v>4080</v>
      </c>
      <c r="E74" s="12"/>
      <c r="F74" s="10"/>
      <c r="G74" s="12"/>
      <c r="H74" s="12">
        <f t="shared" si="0"/>
        <v>4080</v>
      </c>
      <c r="I74" s="12">
        <f t="shared" si="1"/>
        <v>0</v>
      </c>
      <c r="J74" s="12">
        <f>Table14[[#This Row],[Enrolment S.Y. 2025-2026 ]]*8</f>
        <v>4080</v>
      </c>
      <c r="K74" s="12"/>
      <c r="L74" s="10"/>
      <c r="M74" s="12"/>
      <c r="N74" s="12">
        <f t="shared" si="14"/>
        <v>4080</v>
      </c>
      <c r="O74" s="12">
        <f t="shared" si="15"/>
        <v>0</v>
      </c>
      <c r="P74" s="12">
        <f>Table14[[#This Row],[Enrolment S.Y. 2025-2026 ]]*8</f>
        <v>4080</v>
      </c>
      <c r="Q74" s="12"/>
      <c r="R74" s="10"/>
      <c r="S74" s="12"/>
      <c r="T74" s="12">
        <f t="shared" ref="T74:T122" si="16">IF((P74-Q74)&lt;0,0,(P74-Q74))</f>
        <v>4080</v>
      </c>
      <c r="U74" s="12">
        <f t="shared" ref="U74:U122" si="17">IF((Q74-P74)&lt;0,0,(Q74-P74))</f>
        <v>0</v>
      </c>
      <c r="V74" s="12">
        <f>Table14[[#This Row],[Enrolment S.Y. 2025-2026 ]]*8</f>
        <v>4080</v>
      </c>
      <c r="W74" s="12"/>
      <c r="X74" s="10"/>
      <c r="Y74" s="12"/>
      <c r="Z74" s="12">
        <f t="shared" ref="Z74:Z122" si="18">IF((V74-W74)&lt;0,0,(V74-W74))</f>
        <v>4080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510</v>
      </c>
      <c r="D75" s="12">
        <f>Table14[[#This Row],[Enrolment S.Y. 2025-2026 ]]*8</f>
        <v>4080</v>
      </c>
      <c r="E75" s="12"/>
      <c r="F75" s="10"/>
      <c r="G75" s="12"/>
      <c r="H75" s="12">
        <f t="shared" si="0"/>
        <v>4080</v>
      </c>
      <c r="I75" s="12">
        <f t="shared" si="1"/>
        <v>0</v>
      </c>
      <c r="J75" s="12">
        <f>Table14[[#This Row],[Enrolment S.Y. 2025-2026 ]]*8</f>
        <v>4080</v>
      </c>
      <c r="K75" s="12"/>
      <c r="L75" s="10"/>
      <c r="M75" s="12"/>
      <c r="N75" s="12">
        <f t="shared" si="14"/>
        <v>4080</v>
      </c>
      <c r="O75" s="12">
        <f t="shared" si="15"/>
        <v>0</v>
      </c>
      <c r="P75" s="12">
        <f>Table14[[#This Row],[Enrolment S.Y. 2025-2026 ]]*8</f>
        <v>4080</v>
      </c>
      <c r="Q75" s="12"/>
      <c r="R75" s="10"/>
      <c r="S75" s="12"/>
      <c r="T75" s="12">
        <f t="shared" si="16"/>
        <v>4080</v>
      </c>
      <c r="U75" s="12">
        <f t="shared" si="17"/>
        <v>0</v>
      </c>
      <c r="V75" s="12">
        <f>Table14[[#This Row],[Enrolment S.Y. 2025-2026 ]]*8</f>
        <v>4080</v>
      </c>
      <c r="W75" s="12"/>
      <c r="X75" s="10"/>
      <c r="Y75" s="12"/>
      <c r="Z75" s="12">
        <f t="shared" si="18"/>
        <v>4080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510</v>
      </c>
      <c r="D76" s="12">
        <f>Table14[[#This Row],[Enrolment S.Y. 2025-2026 ]]*8</f>
        <v>4080</v>
      </c>
      <c r="E76" s="12"/>
      <c r="F76" s="10"/>
      <c r="G76" s="12"/>
      <c r="H76" s="12">
        <f>IF((D76-E76)&lt;0,0,(D76-E76))</f>
        <v>4080</v>
      </c>
      <c r="I76" s="12">
        <f>IF((E76-D76)&lt;0,0,(E76-D76))</f>
        <v>0</v>
      </c>
      <c r="J76" s="12">
        <f>Table14[[#This Row],[Enrolment S.Y. 2025-2026 ]]*8</f>
        <v>4080</v>
      </c>
      <c r="K76" s="12"/>
      <c r="L76" s="10"/>
      <c r="M76" s="12"/>
      <c r="N76" s="12">
        <f t="shared" si="14"/>
        <v>4080</v>
      </c>
      <c r="O76" s="12">
        <f t="shared" si="15"/>
        <v>0</v>
      </c>
      <c r="P76" s="12">
        <f>Table14[[#This Row],[Enrolment S.Y. 2025-2026 ]]*8</f>
        <v>4080</v>
      </c>
      <c r="Q76" s="12"/>
      <c r="R76" s="10"/>
      <c r="S76" s="12"/>
      <c r="T76" s="12">
        <f>IF((P76-Q76)&lt;0,0,(P76-Q76))</f>
        <v>4080</v>
      </c>
      <c r="U76" s="12">
        <f>IF((Q76-P76)&lt;0,0,(Q76-P76))</f>
        <v>0</v>
      </c>
      <c r="V76" s="12">
        <f>Table14[[#This Row],[Enrolment S.Y. 2025-2026 ]]*8</f>
        <v>4080</v>
      </c>
      <c r="W76" s="12"/>
      <c r="X76" s="10"/>
      <c r="Y76" s="12"/>
      <c r="Z76" s="12">
        <f>IF((V76-W76)&lt;0,0,(V76-W76))</f>
        <v>4080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510</v>
      </c>
      <c r="D77" s="12">
        <f>Table14[[#This Row],[Enrolment S.Y. 2025-2026 ]]*8</f>
        <v>4080</v>
      </c>
      <c r="E77" s="12"/>
      <c r="F77" s="10"/>
      <c r="G77" s="12"/>
      <c r="H77" s="12">
        <f t="shared" si="0"/>
        <v>4080</v>
      </c>
      <c r="I77" s="12">
        <f t="shared" si="1"/>
        <v>0</v>
      </c>
      <c r="J77" s="12">
        <f>Table14[[#This Row],[Enrolment S.Y. 2025-2026 ]]*8</f>
        <v>4080</v>
      </c>
      <c r="K77" s="12"/>
      <c r="L77" s="10"/>
      <c r="M77" s="12"/>
      <c r="N77" s="12">
        <f t="shared" si="14"/>
        <v>4080</v>
      </c>
      <c r="O77" s="12">
        <f t="shared" si="15"/>
        <v>0</v>
      </c>
      <c r="P77" s="12">
        <f>Table14[[#This Row],[Enrolment S.Y. 2025-2026 ]]*8</f>
        <v>4080</v>
      </c>
      <c r="Q77" s="12"/>
      <c r="R77" s="10"/>
      <c r="S77" s="12"/>
      <c r="T77" s="12">
        <f t="shared" si="16"/>
        <v>4080</v>
      </c>
      <c r="U77" s="12">
        <f t="shared" si="17"/>
        <v>0</v>
      </c>
      <c r="V77" s="12">
        <f>Table14[[#This Row],[Enrolment S.Y. 2025-2026 ]]*8</f>
        <v>4080</v>
      </c>
      <c r="W77" s="12"/>
      <c r="X77" s="10"/>
      <c r="Y77" s="12"/>
      <c r="Z77" s="12">
        <f t="shared" si="18"/>
        <v>4080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525</v>
      </c>
      <c r="D79" s="12">
        <f>Table14[[#This Row],[Enrolment S.Y. 2025-2026 ]]*8</f>
        <v>4200</v>
      </c>
      <c r="E79" s="12"/>
      <c r="F79" s="10"/>
      <c r="G79" s="12"/>
      <c r="H79" s="12">
        <f t="shared" si="0"/>
        <v>4200</v>
      </c>
      <c r="I79" s="12">
        <f t="shared" si="1"/>
        <v>0</v>
      </c>
      <c r="J79" s="12">
        <f>Table14[[#This Row],[Enrolment S.Y. 2025-2026 ]]*8</f>
        <v>4200</v>
      </c>
      <c r="K79" s="12"/>
      <c r="L79" s="10"/>
      <c r="M79" s="12"/>
      <c r="N79" s="12">
        <f t="shared" ref="N74:N122" si="20">IF((J79-K79)&lt;0,0,(J79-K79))</f>
        <v>4200</v>
      </c>
      <c r="O79" s="12">
        <f t="shared" ref="O74:O122" si="21">IF((K79-J79)&lt;0,0,(K79-J79))</f>
        <v>0</v>
      </c>
      <c r="P79" s="12">
        <f>Table14[[#This Row],[Enrolment S.Y. 2025-2026 ]]*8</f>
        <v>4200</v>
      </c>
      <c r="Q79" s="12"/>
      <c r="R79" s="10"/>
      <c r="S79" s="12"/>
      <c r="T79" s="12">
        <f t="shared" si="16"/>
        <v>4200</v>
      </c>
      <c r="U79" s="12">
        <f t="shared" si="17"/>
        <v>0</v>
      </c>
      <c r="V79" s="12">
        <f>Table14[[#This Row],[Enrolment S.Y. 2025-2026 ]]*8</f>
        <v>4200</v>
      </c>
      <c r="W79" s="12"/>
      <c r="X79" s="10"/>
      <c r="Y79" s="12"/>
      <c r="Z79" s="12">
        <f t="shared" si="18"/>
        <v>4200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525</v>
      </c>
      <c r="D80" s="12">
        <f>Table14[[#This Row],[Enrolment S.Y. 2025-2026 ]]*8</f>
        <v>4200</v>
      </c>
      <c r="E80" s="12"/>
      <c r="F80" s="10"/>
      <c r="G80" s="12"/>
      <c r="H80" s="12">
        <f t="shared" si="0"/>
        <v>4200</v>
      </c>
      <c r="I80" s="12">
        <f t="shared" si="1"/>
        <v>0</v>
      </c>
      <c r="J80" s="12">
        <f>Table14[[#This Row],[Enrolment S.Y. 2025-2026 ]]*8</f>
        <v>4200</v>
      </c>
      <c r="K80" s="12"/>
      <c r="L80" s="10"/>
      <c r="M80" s="12"/>
      <c r="N80" s="12">
        <f t="shared" si="20"/>
        <v>4200</v>
      </c>
      <c r="O80" s="12">
        <f t="shared" si="21"/>
        <v>0</v>
      </c>
      <c r="P80" s="12">
        <f>Table14[[#This Row],[Enrolment S.Y. 2025-2026 ]]*8</f>
        <v>4200</v>
      </c>
      <c r="Q80" s="12"/>
      <c r="R80" s="10"/>
      <c r="S80" s="12"/>
      <c r="T80" s="12">
        <f t="shared" si="16"/>
        <v>4200</v>
      </c>
      <c r="U80" s="12">
        <f t="shared" si="17"/>
        <v>0</v>
      </c>
      <c r="V80" s="12">
        <f>Table14[[#This Row],[Enrolment S.Y. 2025-2026 ]]*8</f>
        <v>4200</v>
      </c>
      <c r="W80" s="12"/>
      <c r="X80" s="10"/>
      <c r="Y80" s="12"/>
      <c r="Z80" s="12">
        <f t="shared" si="18"/>
        <v>4200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525</v>
      </c>
      <c r="D81" s="12">
        <f>Table14[[#This Row],[Enrolment S.Y. 2025-2026 ]]*8</f>
        <v>4200</v>
      </c>
      <c r="E81" s="12"/>
      <c r="F81" s="10"/>
      <c r="G81" s="12"/>
      <c r="H81" s="12">
        <f t="shared" si="0"/>
        <v>4200</v>
      </c>
      <c r="I81" s="12">
        <f t="shared" si="1"/>
        <v>0</v>
      </c>
      <c r="J81" s="12">
        <f>Table14[[#This Row],[Enrolment S.Y. 2025-2026 ]]*8</f>
        <v>4200</v>
      </c>
      <c r="K81" s="12"/>
      <c r="L81" s="10"/>
      <c r="M81" s="12"/>
      <c r="N81" s="12">
        <f t="shared" si="20"/>
        <v>4200</v>
      </c>
      <c r="O81" s="12">
        <f t="shared" si="21"/>
        <v>0</v>
      </c>
      <c r="P81" s="12">
        <f>Table14[[#This Row],[Enrolment S.Y. 2025-2026 ]]*8</f>
        <v>4200</v>
      </c>
      <c r="Q81" s="12"/>
      <c r="R81" s="10"/>
      <c r="S81" s="12"/>
      <c r="T81" s="12">
        <f t="shared" si="16"/>
        <v>4200</v>
      </c>
      <c r="U81" s="12">
        <f t="shared" si="17"/>
        <v>0</v>
      </c>
      <c r="V81" s="12">
        <f>Table14[[#This Row],[Enrolment S.Y. 2025-2026 ]]*8</f>
        <v>4200</v>
      </c>
      <c r="W81" s="12"/>
      <c r="X81" s="10"/>
      <c r="Y81" s="12"/>
      <c r="Z81" s="12">
        <f t="shared" si="18"/>
        <v>4200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525</v>
      </c>
      <c r="D82" s="12">
        <f>Table14[[#This Row],[Enrolment S.Y. 2025-2026 ]]*8</f>
        <v>4200</v>
      </c>
      <c r="E82" s="12"/>
      <c r="F82" s="10"/>
      <c r="G82" s="12"/>
      <c r="H82" s="12">
        <f t="shared" si="0"/>
        <v>4200</v>
      </c>
      <c r="I82" s="12">
        <f t="shared" si="1"/>
        <v>0</v>
      </c>
      <c r="J82" s="12">
        <f>Table14[[#This Row],[Enrolment S.Y. 2025-2026 ]]*8</f>
        <v>4200</v>
      </c>
      <c r="K82" s="12"/>
      <c r="L82" s="10"/>
      <c r="M82" s="12"/>
      <c r="N82" s="12">
        <f t="shared" si="20"/>
        <v>4200</v>
      </c>
      <c r="O82" s="12">
        <f t="shared" si="21"/>
        <v>0</v>
      </c>
      <c r="P82" s="12">
        <f>Table14[[#This Row],[Enrolment S.Y. 2025-2026 ]]*8</f>
        <v>4200</v>
      </c>
      <c r="Q82" s="12"/>
      <c r="R82" s="10"/>
      <c r="S82" s="12"/>
      <c r="T82" s="12">
        <f t="shared" si="16"/>
        <v>4200</v>
      </c>
      <c r="U82" s="12">
        <f t="shared" si="17"/>
        <v>0</v>
      </c>
      <c r="V82" s="12">
        <f>Table14[[#This Row],[Enrolment S.Y. 2025-2026 ]]*8</f>
        <v>4200</v>
      </c>
      <c r="W82" s="12"/>
      <c r="X82" s="10"/>
      <c r="Y82" s="12"/>
      <c r="Z82" s="12">
        <f t="shared" si="18"/>
        <v>4200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525</v>
      </c>
      <c r="D83" s="12">
        <f>Table14[[#This Row],[Enrolment S.Y. 2025-2026 ]]*8</f>
        <v>4200</v>
      </c>
      <c r="E83" s="12"/>
      <c r="F83" s="10"/>
      <c r="G83" s="12"/>
      <c r="H83" s="12">
        <f t="shared" si="0"/>
        <v>4200</v>
      </c>
      <c r="I83" s="12">
        <f t="shared" si="1"/>
        <v>0</v>
      </c>
      <c r="J83" s="12">
        <f>Table14[[#This Row],[Enrolment S.Y. 2025-2026 ]]*8</f>
        <v>4200</v>
      </c>
      <c r="K83" s="12"/>
      <c r="L83" s="10"/>
      <c r="M83" s="12"/>
      <c r="N83" s="12">
        <f t="shared" si="20"/>
        <v>4200</v>
      </c>
      <c r="O83" s="12">
        <f t="shared" si="21"/>
        <v>0</v>
      </c>
      <c r="P83" s="12">
        <f>Table14[[#This Row],[Enrolment S.Y. 2025-2026 ]]*8</f>
        <v>4200</v>
      </c>
      <c r="Q83" s="12"/>
      <c r="R83" s="10"/>
      <c r="S83" s="12"/>
      <c r="T83" s="12">
        <f t="shared" si="16"/>
        <v>4200</v>
      </c>
      <c r="U83" s="12">
        <f t="shared" si="17"/>
        <v>0</v>
      </c>
      <c r="V83" s="12">
        <f>Table14[[#This Row],[Enrolment S.Y. 2025-2026 ]]*8</f>
        <v>4200</v>
      </c>
      <c r="W83" s="12"/>
      <c r="X83" s="10"/>
      <c r="Y83" s="12"/>
      <c r="Z83" s="12">
        <f t="shared" si="18"/>
        <v>4200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525</v>
      </c>
      <c r="D84" s="12">
        <f>Table14[[#This Row],[Enrolment S.Y. 2025-2026 ]]*8</f>
        <v>4200</v>
      </c>
      <c r="E84" s="12"/>
      <c r="F84" s="10"/>
      <c r="G84" s="12"/>
      <c r="H84" s="12">
        <f t="shared" ref="H84:H122" si="22">IF((D84-E84)&lt;0,0,(D84-E84))</f>
        <v>4200</v>
      </c>
      <c r="I84" s="12">
        <f t="shared" ref="I84:I122" si="23">IF((E84-D84)&lt;0,0,(E84-D84))</f>
        <v>0</v>
      </c>
      <c r="J84" s="12">
        <f>Table14[[#This Row],[Enrolment S.Y. 2025-2026 ]]*8</f>
        <v>4200</v>
      </c>
      <c r="K84" s="12"/>
      <c r="L84" s="10"/>
      <c r="M84" s="12"/>
      <c r="N84" s="12">
        <f t="shared" ref="N84:N89" si="24">IF((J84-K84)&lt;0,0,(J84-K84))</f>
        <v>4200</v>
      </c>
      <c r="O84" s="12">
        <f t="shared" ref="O84:O89" si="25">IF((K84-J84)&lt;0,0,(K84-J84))</f>
        <v>0</v>
      </c>
      <c r="P84" s="12">
        <f>Table14[[#This Row],[Enrolment S.Y. 2025-2026 ]]*8</f>
        <v>4200</v>
      </c>
      <c r="Q84" s="12"/>
      <c r="R84" s="10"/>
      <c r="S84" s="12"/>
      <c r="T84" s="12">
        <f t="shared" si="16"/>
        <v>4200</v>
      </c>
      <c r="U84" s="12">
        <f t="shared" si="17"/>
        <v>0</v>
      </c>
      <c r="V84" s="12">
        <f>Table14[[#This Row],[Enrolment S.Y. 2025-2026 ]]*8</f>
        <v>4200</v>
      </c>
      <c r="W84" s="12"/>
      <c r="X84" s="10"/>
      <c r="Y84" s="12"/>
      <c r="Z84" s="12">
        <f t="shared" si="18"/>
        <v>4200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525</v>
      </c>
      <c r="D85" s="12">
        <f>Table14[[#This Row],[Enrolment S.Y. 2025-2026 ]]*8</f>
        <v>4200</v>
      </c>
      <c r="E85" s="12"/>
      <c r="F85" s="10"/>
      <c r="G85" s="12"/>
      <c r="H85" s="12">
        <f>IF((D85-E85)&lt;0,0,(D85-E85))</f>
        <v>4200</v>
      </c>
      <c r="I85" s="12">
        <f>IF((E85-D85)&lt;0,0,(E85-D85))</f>
        <v>0</v>
      </c>
      <c r="J85" s="12">
        <f>Table14[[#This Row],[Enrolment S.Y. 2025-2026 ]]*8</f>
        <v>4200</v>
      </c>
      <c r="K85" s="12"/>
      <c r="L85" s="10"/>
      <c r="M85" s="12"/>
      <c r="N85" s="12">
        <f t="shared" si="24"/>
        <v>4200</v>
      </c>
      <c r="O85" s="12">
        <f t="shared" si="25"/>
        <v>0</v>
      </c>
      <c r="P85" s="12">
        <f>Table14[[#This Row],[Enrolment S.Y. 2025-2026 ]]*8</f>
        <v>4200</v>
      </c>
      <c r="Q85" s="12"/>
      <c r="R85" s="10"/>
      <c r="S85" s="12"/>
      <c r="T85" s="12">
        <f>IF((P85-Q85)&lt;0,0,(P85-Q85))</f>
        <v>4200</v>
      </c>
      <c r="U85" s="12">
        <f>IF((Q85-P85)&lt;0,0,(Q85-P85))</f>
        <v>0</v>
      </c>
      <c r="V85" s="12">
        <f>Table14[[#This Row],[Enrolment S.Y. 2025-2026 ]]*8</f>
        <v>4200</v>
      </c>
      <c r="W85" s="12"/>
      <c r="X85" s="10"/>
      <c r="Y85" s="12"/>
      <c r="Z85" s="12">
        <f>IF((V85-W85)&lt;0,0,(V85-W85))</f>
        <v>4200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525</v>
      </c>
      <c r="D86" s="12">
        <f>Table14[[#This Row],[Enrolment S.Y. 2025-2026 ]]*8</f>
        <v>4200</v>
      </c>
      <c r="E86" s="12"/>
      <c r="F86" s="10"/>
      <c r="G86" s="12"/>
      <c r="H86" s="12">
        <f t="shared" si="22"/>
        <v>4200</v>
      </c>
      <c r="I86" s="12">
        <f t="shared" si="23"/>
        <v>0</v>
      </c>
      <c r="J86" s="12">
        <f>Table14[[#This Row],[Enrolment S.Y. 2025-2026 ]]*8</f>
        <v>4200</v>
      </c>
      <c r="K86" s="12"/>
      <c r="L86" s="10"/>
      <c r="M86" s="12"/>
      <c r="N86" s="12">
        <f t="shared" si="24"/>
        <v>4200</v>
      </c>
      <c r="O86" s="12">
        <f t="shared" si="25"/>
        <v>0</v>
      </c>
      <c r="P86" s="12">
        <f>Table14[[#This Row],[Enrolment S.Y. 2025-2026 ]]*8</f>
        <v>4200</v>
      </c>
      <c r="Q86" s="12"/>
      <c r="R86" s="10"/>
      <c r="S86" s="12"/>
      <c r="T86" s="12">
        <f t="shared" si="16"/>
        <v>4200</v>
      </c>
      <c r="U86" s="12">
        <f t="shared" si="17"/>
        <v>0</v>
      </c>
      <c r="V86" s="12">
        <f>Table14[[#This Row],[Enrolment S.Y. 2025-2026 ]]*8</f>
        <v>4200</v>
      </c>
      <c r="W86" s="12"/>
      <c r="X86" s="10"/>
      <c r="Y86" s="12"/>
      <c r="Z86" s="12">
        <f t="shared" si="18"/>
        <v>4200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525</v>
      </c>
      <c r="D87" s="12">
        <f>Table14[[#This Row],[Enrolment S.Y. 2025-2026 ]]*8</f>
        <v>4200</v>
      </c>
      <c r="E87" s="12"/>
      <c r="F87" s="10"/>
      <c r="G87" s="12"/>
      <c r="H87" s="12">
        <f t="shared" si="22"/>
        <v>4200</v>
      </c>
      <c r="I87" s="12">
        <f t="shared" si="23"/>
        <v>0</v>
      </c>
      <c r="J87" s="12">
        <f>Table14[[#This Row],[Enrolment S.Y. 2025-2026 ]]*8</f>
        <v>4200</v>
      </c>
      <c r="K87" s="12"/>
      <c r="L87" s="10"/>
      <c r="M87" s="12"/>
      <c r="N87" s="12">
        <f t="shared" si="24"/>
        <v>4200</v>
      </c>
      <c r="O87" s="12">
        <f t="shared" si="25"/>
        <v>0</v>
      </c>
      <c r="P87" s="12">
        <f>Table14[[#This Row],[Enrolment S.Y. 2025-2026 ]]*8</f>
        <v>4200</v>
      </c>
      <c r="Q87" s="12"/>
      <c r="R87" s="10"/>
      <c r="S87" s="12"/>
      <c r="T87" s="12">
        <f t="shared" si="16"/>
        <v>4200</v>
      </c>
      <c r="U87" s="12">
        <f t="shared" si="17"/>
        <v>0</v>
      </c>
      <c r="V87" s="12">
        <f>Table14[[#This Row],[Enrolment S.Y. 2025-2026 ]]*8</f>
        <v>4200</v>
      </c>
      <c r="W87" s="12"/>
      <c r="X87" s="10"/>
      <c r="Y87" s="12"/>
      <c r="Z87" s="12">
        <f t="shared" si="18"/>
        <v>4200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525</v>
      </c>
      <c r="D88" s="12">
        <f>Table14[[#This Row],[Enrolment S.Y. 2025-2026 ]]*8</f>
        <v>4200</v>
      </c>
      <c r="E88" s="12"/>
      <c r="F88" s="10"/>
      <c r="G88" s="12"/>
      <c r="H88" s="12">
        <f>IF((D88-E88)&lt;0,0,(D88-E88))</f>
        <v>4200</v>
      </c>
      <c r="I88" s="12">
        <f>IF((E88-D88)&lt;0,0,(E88-D88))</f>
        <v>0</v>
      </c>
      <c r="J88" s="12">
        <f>Table14[[#This Row],[Enrolment S.Y. 2025-2026 ]]*8</f>
        <v>4200</v>
      </c>
      <c r="K88" s="12"/>
      <c r="L88" s="10"/>
      <c r="M88" s="12"/>
      <c r="N88" s="12">
        <f t="shared" si="24"/>
        <v>4200</v>
      </c>
      <c r="O88" s="12">
        <f t="shared" si="25"/>
        <v>0</v>
      </c>
      <c r="P88" s="12">
        <f>Table14[[#This Row],[Enrolment S.Y. 2025-2026 ]]*8</f>
        <v>4200</v>
      </c>
      <c r="Q88" s="12"/>
      <c r="R88" s="10"/>
      <c r="S88" s="12"/>
      <c r="T88" s="12">
        <f>IF((P88-Q88)&lt;0,0,(P88-Q88))</f>
        <v>4200</v>
      </c>
      <c r="U88" s="12">
        <f>IF((Q88-P88)&lt;0,0,(Q88-P88))</f>
        <v>0</v>
      </c>
      <c r="V88" s="12">
        <f>Table14[[#This Row],[Enrolment S.Y. 2025-2026 ]]*8</f>
        <v>4200</v>
      </c>
      <c r="W88" s="12"/>
      <c r="X88" s="10"/>
      <c r="Y88" s="12"/>
      <c r="Z88" s="12">
        <f>IF((V88-W88)&lt;0,0,(V88-W88))</f>
        <v>4200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525</v>
      </c>
      <c r="D89" s="12">
        <f>Table14[[#This Row],[Enrolment S.Y. 2025-2026 ]]*8</f>
        <v>4200</v>
      </c>
      <c r="E89" s="12"/>
      <c r="F89" s="10"/>
      <c r="G89" s="12"/>
      <c r="H89" s="12">
        <f t="shared" si="22"/>
        <v>4200</v>
      </c>
      <c r="I89" s="12">
        <f t="shared" si="23"/>
        <v>0</v>
      </c>
      <c r="J89" s="12">
        <f>Table14[[#This Row],[Enrolment S.Y. 2025-2026 ]]*8</f>
        <v>4200</v>
      </c>
      <c r="K89" s="12"/>
      <c r="L89" s="10"/>
      <c r="M89" s="12"/>
      <c r="N89" s="12">
        <f t="shared" si="24"/>
        <v>4200</v>
      </c>
      <c r="O89" s="12">
        <f t="shared" si="25"/>
        <v>0</v>
      </c>
      <c r="P89" s="12">
        <f>Table14[[#This Row],[Enrolment S.Y. 2025-2026 ]]*8</f>
        <v>4200</v>
      </c>
      <c r="Q89" s="12"/>
      <c r="R89" s="10"/>
      <c r="S89" s="12"/>
      <c r="T89" s="12">
        <f t="shared" si="16"/>
        <v>4200</v>
      </c>
      <c r="U89" s="12">
        <f t="shared" si="17"/>
        <v>0</v>
      </c>
      <c r="V89" s="12">
        <f>Table14[[#This Row],[Enrolment S.Y. 2025-2026 ]]*8</f>
        <v>4200</v>
      </c>
      <c r="W89" s="12"/>
      <c r="X89" s="10"/>
      <c r="Y89" s="12"/>
      <c r="Z89" s="12">
        <f t="shared" si="18"/>
        <v>4200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453</v>
      </c>
      <c r="D91" s="12">
        <f>Table14[[#This Row],[Enrolment S.Y. 2025-2026 ]]*8</f>
        <v>3624</v>
      </c>
      <c r="E91" s="12"/>
      <c r="F91" s="10"/>
      <c r="G91" s="12"/>
      <c r="H91" s="12">
        <f t="shared" si="22"/>
        <v>3624</v>
      </c>
      <c r="I91" s="12">
        <f t="shared" si="23"/>
        <v>0</v>
      </c>
      <c r="J91" s="12">
        <f>Table14[[#This Row],[Enrolment S.Y. 2025-2026 ]]*8</f>
        <v>3624</v>
      </c>
      <c r="K91" s="12"/>
      <c r="L91" s="10"/>
      <c r="M91" s="12"/>
      <c r="N91" s="12">
        <f t="shared" si="20"/>
        <v>3624</v>
      </c>
      <c r="O91" s="12">
        <f t="shared" si="21"/>
        <v>0</v>
      </c>
      <c r="P91" s="12">
        <f>Table14[[#This Row],[Enrolment S.Y. 2025-2026 ]]*8</f>
        <v>3624</v>
      </c>
      <c r="Q91" s="12"/>
      <c r="R91" s="10"/>
      <c r="S91" s="12"/>
      <c r="T91" s="12">
        <f t="shared" si="16"/>
        <v>3624</v>
      </c>
      <c r="U91" s="12">
        <f t="shared" si="17"/>
        <v>0</v>
      </c>
      <c r="V91" s="12">
        <f>Table14[[#This Row],[Enrolment S.Y. 2025-2026 ]]*8</f>
        <v>3624</v>
      </c>
      <c r="W91" s="12"/>
      <c r="X91" s="10"/>
      <c r="Y91" s="12"/>
      <c r="Z91" s="12">
        <f t="shared" si="18"/>
        <v>3624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453</v>
      </c>
      <c r="D92" s="12">
        <f>Table14[[#This Row],[Enrolment S.Y. 2025-2026 ]]*8</f>
        <v>3624</v>
      </c>
      <c r="E92" s="12"/>
      <c r="F92" s="10"/>
      <c r="G92" s="12"/>
      <c r="H92" s="12">
        <f t="shared" si="22"/>
        <v>3624</v>
      </c>
      <c r="I92" s="12">
        <f t="shared" si="23"/>
        <v>0</v>
      </c>
      <c r="J92" s="12">
        <f>Table14[[#This Row],[Enrolment S.Y. 2025-2026 ]]*8</f>
        <v>3624</v>
      </c>
      <c r="K92" s="12"/>
      <c r="L92" s="10"/>
      <c r="M92" s="12"/>
      <c r="N92" s="12">
        <f t="shared" si="20"/>
        <v>3624</v>
      </c>
      <c r="O92" s="12">
        <f t="shared" si="21"/>
        <v>0</v>
      </c>
      <c r="P92" s="12">
        <f>Table14[[#This Row],[Enrolment S.Y. 2025-2026 ]]*8</f>
        <v>3624</v>
      </c>
      <c r="Q92" s="12"/>
      <c r="R92" s="10"/>
      <c r="S92" s="12"/>
      <c r="T92" s="12">
        <f t="shared" si="16"/>
        <v>3624</v>
      </c>
      <c r="U92" s="12">
        <f t="shared" si="17"/>
        <v>0</v>
      </c>
      <c r="V92" s="12">
        <f>Table14[[#This Row],[Enrolment S.Y. 2025-2026 ]]*8</f>
        <v>3624</v>
      </c>
      <c r="W92" s="12"/>
      <c r="X92" s="10"/>
      <c r="Y92" s="12"/>
      <c r="Z92" s="12">
        <f t="shared" si="18"/>
        <v>3624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453</v>
      </c>
      <c r="D93" s="12">
        <f>Table14[[#This Row],[Enrolment S.Y. 2025-2026 ]]*8</f>
        <v>3624</v>
      </c>
      <c r="E93" s="12"/>
      <c r="F93" s="10"/>
      <c r="G93" s="12"/>
      <c r="H93" s="12">
        <f t="shared" si="22"/>
        <v>3624</v>
      </c>
      <c r="I93" s="12">
        <f t="shared" si="23"/>
        <v>0</v>
      </c>
      <c r="J93" s="12">
        <f>Table14[[#This Row],[Enrolment S.Y. 2025-2026 ]]*8</f>
        <v>3624</v>
      </c>
      <c r="K93" s="12"/>
      <c r="L93" s="10"/>
      <c r="M93" s="12"/>
      <c r="N93" s="12">
        <f t="shared" si="20"/>
        <v>3624</v>
      </c>
      <c r="O93" s="12">
        <f t="shared" si="21"/>
        <v>0</v>
      </c>
      <c r="P93" s="12">
        <f>Table14[[#This Row],[Enrolment S.Y. 2025-2026 ]]*8</f>
        <v>3624</v>
      </c>
      <c r="Q93" s="12"/>
      <c r="R93" s="10"/>
      <c r="S93" s="12"/>
      <c r="T93" s="12">
        <f t="shared" si="16"/>
        <v>3624</v>
      </c>
      <c r="U93" s="12">
        <f t="shared" si="17"/>
        <v>0</v>
      </c>
      <c r="V93" s="12">
        <f>Table14[[#This Row],[Enrolment S.Y. 2025-2026 ]]*8</f>
        <v>3624</v>
      </c>
      <c r="W93" s="12"/>
      <c r="X93" s="10"/>
      <c r="Y93" s="12"/>
      <c r="Z93" s="12">
        <f t="shared" si="18"/>
        <v>3624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453</v>
      </c>
      <c r="D94" s="12">
        <f>Table14[[#This Row],[Enrolment S.Y. 2025-2026 ]]*8</f>
        <v>3624</v>
      </c>
      <c r="E94" s="12"/>
      <c r="F94" s="10"/>
      <c r="G94" s="12"/>
      <c r="H94" s="12">
        <f t="shared" si="22"/>
        <v>3624</v>
      </c>
      <c r="I94" s="12">
        <f t="shared" si="23"/>
        <v>0</v>
      </c>
      <c r="J94" s="12">
        <f>Table14[[#This Row],[Enrolment S.Y. 2025-2026 ]]*8</f>
        <v>3624</v>
      </c>
      <c r="K94" s="12"/>
      <c r="L94" s="10"/>
      <c r="M94" s="12"/>
      <c r="N94" s="12">
        <f t="shared" si="20"/>
        <v>3624</v>
      </c>
      <c r="O94" s="12">
        <f t="shared" si="21"/>
        <v>0</v>
      </c>
      <c r="P94" s="12">
        <f>Table14[[#This Row],[Enrolment S.Y. 2025-2026 ]]*8</f>
        <v>3624</v>
      </c>
      <c r="Q94" s="12"/>
      <c r="R94" s="10"/>
      <c r="S94" s="12"/>
      <c r="T94" s="12">
        <f t="shared" si="16"/>
        <v>3624</v>
      </c>
      <c r="U94" s="12">
        <f t="shared" si="17"/>
        <v>0</v>
      </c>
      <c r="V94" s="12">
        <f>Table14[[#This Row],[Enrolment S.Y. 2025-2026 ]]*8</f>
        <v>3624</v>
      </c>
      <c r="W94" s="12"/>
      <c r="X94" s="10"/>
      <c r="Y94" s="12"/>
      <c r="Z94" s="12">
        <f t="shared" si="18"/>
        <v>3624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453</v>
      </c>
      <c r="D95" s="12">
        <f>Table14[[#This Row],[Enrolment S.Y. 2025-2026 ]]*8</f>
        <v>3624</v>
      </c>
      <c r="E95" s="12"/>
      <c r="F95" s="10"/>
      <c r="G95" s="12"/>
      <c r="H95" s="12">
        <f t="shared" si="22"/>
        <v>3624</v>
      </c>
      <c r="I95" s="12">
        <f t="shared" si="23"/>
        <v>0</v>
      </c>
      <c r="J95" s="12">
        <f>Table14[[#This Row],[Enrolment S.Y. 2025-2026 ]]*8</f>
        <v>3624</v>
      </c>
      <c r="K95" s="12"/>
      <c r="L95" s="10"/>
      <c r="M95" s="12"/>
      <c r="N95" s="12">
        <f t="shared" si="20"/>
        <v>3624</v>
      </c>
      <c r="O95" s="12">
        <f t="shared" si="21"/>
        <v>0</v>
      </c>
      <c r="P95" s="12">
        <f>Table14[[#This Row],[Enrolment S.Y. 2025-2026 ]]*8</f>
        <v>3624</v>
      </c>
      <c r="Q95" s="12"/>
      <c r="R95" s="10"/>
      <c r="S95" s="12"/>
      <c r="T95" s="12">
        <f t="shared" si="16"/>
        <v>3624</v>
      </c>
      <c r="U95" s="12">
        <f t="shared" si="17"/>
        <v>0</v>
      </c>
      <c r="V95" s="12">
        <f>Table14[[#This Row],[Enrolment S.Y. 2025-2026 ]]*8</f>
        <v>3624</v>
      </c>
      <c r="W95" s="12"/>
      <c r="X95" s="10"/>
      <c r="Y95" s="12"/>
      <c r="Z95" s="12">
        <f t="shared" si="18"/>
        <v>3624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453</v>
      </c>
      <c r="D96" s="12">
        <f>Table14[[#This Row],[Enrolment S.Y. 2025-2026 ]]*8</f>
        <v>3624</v>
      </c>
      <c r="E96" s="12"/>
      <c r="F96" s="10"/>
      <c r="G96" s="12"/>
      <c r="H96" s="12">
        <f t="shared" si="22"/>
        <v>3624</v>
      </c>
      <c r="I96" s="12">
        <f t="shared" si="23"/>
        <v>0</v>
      </c>
      <c r="J96" s="12">
        <f>Table14[[#This Row],[Enrolment S.Y. 2025-2026 ]]*8</f>
        <v>3624</v>
      </c>
      <c r="K96" s="12"/>
      <c r="L96" s="10"/>
      <c r="M96" s="12"/>
      <c r="N96" s="12">
        <f t="shared" si="20"/>
        <v>3624</v>
      </c>
      <c r="O96" s="12">
        <f t="shared" si="21"/>
        <v>0</v>
      </c>
      <c r="P96" s="12">
        <f>Table14[[#This Row],[Enrolment S.Y. 2025-2026 ]]*8</f>
        <v>3624</v>
      </c>
      <c r="Q96" s="12"/>
      <c r="R96" s="10"/>
      <c r="S96" s="12"/>
      <c r="T96" s="12">
        <f t="shared" si="16"/>
        <v>3624</v>
      </c>
      <c r="U96" s="12">
        <f t="shared" si="17"/>
        <v>0</v>
      </c>
      <c r="V96" s="12">
        <f>Table14[[#This Row],[Enrolment S.Y. 2025-2026 ]]*8</f>
        <v>3624</v>
      </c>
      <c r="W96" s="12"/>
      <c r="X96" s="10"/>
      <c r="Y96" s="12"/>
      <c r="Z96" s="12">
        <f t="shared" si="18"/>
        <v>3624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453</v>
      </c>
      <c r="D97" s="12">
        <f>Table14[[#This Row],[Enrolment S.Y. 2025-2026 ]]*8</f>
        <v>3624</v>
      </c>
      <c r="E97" s="12"/>
      <c r="F97" s="10"/>
      <c r="G97" s="12"/>
      <c r="H97" s="12">
        <f>IF((D97-E97)&lt;0,0,(D97-E97))</f>
        <v>3624</v>
      </c>
      <c r="I97" s="12">
        <f>IF((E97-D97)&lt;0,0,(E97-D97))</f>
        <v>0</v>
      </c>
      <c r="J97" s="12">
        <f>Table14[[#This Row],[Enrolment S.Y. 2025-2026 ]]*8</f>
        <v>3624</v>
      </c>
      <c r="K97" s="12"/>
      <c r="L97" s="10"/>
      <c r="M97" s="12"/>
      <c r="N97" s="12">
        <f t="shared" ref="N97:N101" si="26">IF((J97-K97)&lt;0,0,(J97-K97))</f>
        <v>3624</v>
      </c>
      <c r="O97" s="12">
        <f t="shared" ref="O97:O101" si="27">IF((K97-J97)&lt;0,0,(K97-J97))</f>
        <v>0</v>
      </c>
      <c r="P97" s="12">
        <f>Table14[[#This Row],[Enrolment S.Y. 2025-2026 ]]*8</f>
        <v>3624</v>
      </c>
      <c r="Q97" s="12"/>
      <c r="R97" s="10"/>
      <c r="S97" s="12"/>
      <c r="T97" s="12">
        <f>IF((P97-Q97)&lt;0,0,(P97-Q97))</f>
        <v>3624</v>
      </c>
      <c r="U97" s="12">
        <f>IF((Q97-P97)&lt;0,0,(Q97-P97))</f>
        <v>0</v>
      </c>
      <c r="V97" s="12">
        <f>Table14[[#This Row],[Enrolment S.Y. 2025-2026 ]]*8</f>
        <v>3624</v>
      </c>
      <c r="W97" s="12"/>
      <c r="X97" s="10"/>
      <c r="Y97" s="12"/>
      <c r="Z97" s="12">
        <f>IF((V97-W97)&lt;0,0,(V97-W97))</f>
        <v>3624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453</v>
      </c>
      <c r="D98" s="12">
        <f>Table14[[#This Row],[Enrolment S.Y. 2025-2026 ]]*8</f>
        <v>3624</v>
      </c>
      <c r="E98" s="12"/>
      <c r="F98" s="10"/>
      <c r="G98" s="12"/>
      <c r="H98" s="12">
        <f t="shared" si="22"/>
        <v>3624</v>
      </c>
      <c r="I98" s="12">
        <f t="shared" si="23"/>
        <v>0</v>
      </c>
      <c r="J98" s="12">
        <f>Table14[[#This Row],[Enrolment S.Y. 2025-2026 ]]*8</f>
        <v>3624</v>
      </c>
      <c r="K98" s="12"/>
      <c r="L98" s="10"/>
      <c r="M98" s="12"/>
      <c r="N98" s="12">
        <f t="shared" si="26"/>
        <v>3624</v>
      </c>
      <c r="O98" s="12">
        <f t="shared" si="27"/>
        <v>0</v>
      </c>
      <c r="P98" s="12">
        <f>Table14[[#This Row],[Enrolment S.Y. 2025-2026 ]]*8</f>
        <v>3624</v>
      </c>
      <c r="Q98" s="12"/>
      <c r="R98" s="10"/>
      <c r="S98" s="12"/>
      <c r="T98" s="12">
        <f t="shared" si="16"/>
        <v>3624</v>
      </c>
      <c r="U98" s="12">
        <f t="shared" si="17"/>
        <v>0</v>
      </c>
      <c r="V98" s="12">
        <f>Table14[[#This Row],[Enrolment S.Y. 2025-2026 ]]*8</f>
        <v>3624</v>
      </c>
      <c r="W98" s="12"/>
      <c r="X98" s="10"/>
      <c r="Y98" s="12"/>
      <c r="Z98" s="12">
        <f t="shared" si="18"/>
        <v>3624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453</v>
      </c>
      <c r="D99" s="12">
        <f>Table14[[#This Row],[Enrolment S.Y. 2025-2026 ]]*8</f>
        <v>3624</v>
      </c>
      <c r="E99" s="12"/>
      <c r="F99" s="10"/>
      <c r="G99" s="12"/>
      <c r="H99" s="12">
        <f t="shared" si="22"/>
        <v>3624</v>
      </c>
      <c r="I99" s="12">
        <f t="shared" si="23"/>
        <v>0</v>
      </c>
      <c r="J99" s="12">
        <f>Table14[[#This Row],[Enrolment S.Y. 2025-2026 ]]*8</f>
        <v>3624</v>
      </c>
      <c r="K99" s="12"/>
      <c r="L99" s="10"/>
      <c r="M99" s="12"/>
      <c r="N99" s="12">
        <f t="shared" si="26"/>
        <v>3624</v>
      </c>
      <c r="O99" s="12">
        <f t="shared" si="27"/>
        <v>0</v>
      </c>
      <c r="P99" s="12">
        <f>Table14[[#This Row],[Enrolment S.Y. 2025-2026 ]]*8</f>
        <v>3624</v>
      </c>
      <c r="Q99" s="12"/>
      <c r="R99" s="10"/>
      <c r="S99" s="12"/>
      <c r="T99" s="12">
        <f t="shared" si="16"/>
        <v>3624</v>
      </c>
      <c r="U99" s="12">
        <f t="shared" si="17"/>
        <v>0</v>
      </c>
      <c r="V99" s="12">
        <f>Table14[[#This Row],[Enrolment S.Y. 2025-2026 ]]*8</f>
        <v>3624</v>
      </c>
      <c r="W99" s="12"/>
      <c r="X99" s="10"/>
      <c r="Y99" s="12"/>
      <c r="Z99" s="12">
        <f t="shared" si="18"/>
        <v>3624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453</v>
      </c>
      <c r="D100" s="12">
        <f>Table14[[#This Row],[Enrolment S.Y. 2025-2026 ]]*8</f>
        <v>3624</v>
      </c>
      <c r="E100" s="12"/>
      <c r="F100" s="10"/>
      <c r="G100" s="12"/>
      <c r="H100" s="12">
        <f>IF((D100-E100)&lt;0,0,(D100-E100))</f>
        <v>3624</v>
      </c>
      <c r="I100" s="12">
        <f>IF((E100-D100)&lt;0,0,(E100-D100))</f>
        <v>0</v>
      </c>
      <c r="J100" s="12">
        <f>Table14[[#This Row],[Enrolment S.Y. 2025-2026 ]]*8</f>
        <v>3624</v>
      </c>
      <c r="K100" s="12"/>
      <c r="L100" s="10"/>
      <c r="M100" s="12"/>
      <c r="N100" s="12">
        <f t="shared" si="26"/>
        <v>3624</v>
      </c>
      <c r="O100" s="12">
        <f t="shared" si="27"/>
        <v>0</v>
      </c>
      <c r="P100" s="12">
        <f>Table14[[#This Row],[Enrolment S.Y. 2025-2026 ]]*8</f>
        <v>3624</v>
      </c>
      <c r="Q100" s="12"/>
      <c r="R100" s="10"/>
      <c r="S100" s="12"/>
      <c r="T100" s="12">
        <f>IF((P100-Q100)&lt;0,0,(P100-Q100))</f>
        <v>3624</v>
      </c>
      <c r="U100" s="12">
        <f>IF((Q100-P100)&lt;0,0,(Q100-P100))</f>
        <v>0</v>
      </c>
      <c r="V100" s="12">
        <f>Table14[[#This Row],[Enrolment S.Y. 2025-2026 ]]*8</f>
        <v>3624</v>
      </c>
      <c r="W100" s="12"/>
      <c r="X100" s="10"/>
      <c r="Y100" s="12"/>
      <c r="Z100" s="12">
        <f>IF((V100-W100)&lt;0,0,(V100-W100))</f>
        <v>3624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453</v>
      </c>
      <c r="D101" s="12">
        <f>Table14[[#This Row],[Enrolment S.Y. 2025-2026 ]]*8</f>
        <v>3624</v>
      </c>
      <c r="E101" s="12"/>
      <c r="F101" s="10"/>
      <c r="G101" s="12"/>
      <c r="H101" s="12">
        <f t="shared" si="22"/>
        <v>3624</v>
      </c>
      <c r="I101" s="12">
        <f t="shared" si="23"/>
        <v>0</v>
      </c>
      <c r="J101" s="12">
        <f>Table14[[#This Row],[Enrolment S.Y. 2025-2026 ]]*8</f>
        <v>3624</v>
      </c>
      <c r="K101" s="12"/>
      <c r="L101" s="10"/>
      <c r="M101" s="12"/>
      <c r="N101" s="12">
        <f t="shared" si="26"/>
        <v>3624</v>
      </c>
      <c r="O101" s="12">
        <f t="shared" si="27"/>
        <v>0</v>
      </c>
      <c r="P101" s="12">
        <f>Table14[[#This Row],[Enrolment S.Y. 2025-2026 ]]*8</f>
        <v>3624</v>
      </c>
      <c r="Q101" s="12"/>
      <c r="R101" s="10"/>
      <c r="S101" s="12"/>
      <c r="T101" s="12">
        <f t="shared" si="16"/>
        <v>3624</v>
      </c>
      <c r="U101" s="12">
        <f t="shared" si="17"/>
        <v>0</v>
      </c>
      <c r="V101" s="12">
        <f>Table14[[#This Row],[Enrolment S.Y. 2025-2026 ]]*8</f>
        <v>3624</v>
      </c>
      <c r="W101" s="12"/>
      <c r="X101" s="10"/>
      <c r="Y101" s="12"/>
      <c r="Z101" s="12">
        <f t="shared" si="18"/>
        <v>3624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462</v>
      </c>
      <c r="D103" s="12">
        <f>Table14[[#This Row],[Enrolment S.Y. 2025-2026 ]]*8</f>
        <v>3696</v>
      </c>
      <c r="E103" s="12"/>
      <c r="F103" s="10"/>
      <c r="G103" s="12"/>
      <c r="H103" s="12">
        <f t="shared" si="22"/>
        <v>3696</v>
      </c>
      <c r="I103" s="12">
        <f t="shared" si="23"/>
        <v>0</v>
      </c>
      <c r="J103" s="12">
        <f>Table14[[#This Row],[Enrolment S.Y. 2025-2026 ]]*8</f>
        <v>3696</v>
      </c>
      <c r="K103" s="12"/>
      <c r="L103" s="10"/>
      <c r="M103" s="12"/>
      <c r="N103" s="12">
        <f t="shared" si="20"/>
        <v>3696</v>
      </c>
      <c r="O103" s="12">
        <f t="shared" si="21"/>
        <v>0</v>
      </c>
      <c r="P103" s="12">
        <f>Table14[[#This Row],[Enrolment S.Y. 2025-2026 ]]*8</f>
        <v>3696</v>
      </c>
      <c r="Q103" s="12"/>
      <c r="R103" s="10"/>
      <c r="S103" s="12"/>
      <c r="T103" s="12">
        <f t="shared" si="16"/>
        <v>3696</v>
      </c>
      <c r="U103" s="12">
        <f t="shared" si="17"/>
        <v>0</v>
      </c>
      <c r="V103" s="12">
        <f>Table14[[#This Row],[Enrolment S.Y. 2025-2026 ]]*8</f>
        <v>3696</v>
      </c>
      <c r="W103" s="12"/>
      <c r="X103" s="10"/>
      <c r="Y103" s="12"/>
      <c r="Z103" s="12">
        <f t="shared" si="18"/>
        <v>3696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462</v>
      </c>
      <c r="D104" s="12">
        <f>Table14[[#This Row],[Enrolment S.Y. 2025-2026 ]]*8</f>
        <v>3696</v>
      </c>
      <c r="E104" s="12"/>
      <c r="F104" s="10"/>
      <c r="G104" s="12"/>
      <c r="H104" s="12">
        <f t="shared" si="22"/>
        <v>3696</v>
      </c>
      <c r="I104" s="12">
        <f t="shared" si="23"/>
        <v>0</v>
      </c>
      <c r="J104" s="12">
        <f>Table14[[#This Row],[Enrolment S.Y. 2025-2026 ]]*8</f>
        <v>3696</v>
      </c>
      <c r="K104" s="12"/>
      <c r="L104" s="10"/>
      <c r="M104" s="12"/>
      <c r="N104" s="12">
        <f t="shared" si="20"/>
        <v>3696</v>
      </c>
      <c r="O104" s="12">
        <f t="shared" si="21"/>
        <v>0</v>
      </c>
      <c r="P104" s="12">
        <f>Table14[[#This Row],[Enrolment S.Y. 2025-2026 ]]*8</f>
        <v>3696</v>
      </c>
      <c r="Q104" s="12"/>
      <c r="R104" s="10"/>
      <c r="S104" s="12"/>
      <c r="T104" s="12">
        <f t="shared" si="16"/>
        <v>3696</v>
      </c>
      <c r="U104" s="12">
        <f t="shared" si="17"/>
        <v>0</v>
      </c>
      <c r="V104" s="12">
        <f>Table14[[#This Row],[Enrolment S.Y. 2025-2026 ]]*8</f>
        <v>3696</v>
      </c>
      <c r="W104" s="12"/>
      <c r="X104" s="10"/>
      <c r="Y104" s="12"/>
      <c r="Z104" s="12">
        <f t="shared" si="18"/>
        <v>3696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462</v>
      </c>
      <c r="D105" s="12">
        <f>Table14[[#This Row],[Enrolment S.Y. 2025-2026 ]]*8</f>
        <v>3696</v>
      </c>
      <c r="E105" s="12"/>
      <c r="F105" s="10"/>
      <c r="G105" s="12"/>
      <c r="H105" s="12">
        <f t="shared" si="22"/>
        <v>3696</v>
      </c>
      <c r="I105" s="12">
        <f t="shared" si="23"/>
        <v>0</v>
      </c>
      <c r="J105" s="12">
        <f>Table14[[#This Row],[Enrolment S.Y. 2025-2026 ]]*8</f>
        <v>3696</v>
      </c>
      <c r="K105" s="12"/>
      <c r="L105" s="10"/>
      <c r="M105" s="12"/>
      <c r="N105" s="12">
        <f t="shared" si="20"/>
        <v>3696</v>
      </c>
      <c r="O105" s="12">
        <f t="shared" si="21"/>
        <v>0</v>
      </c>
      <c r="P105" s="12">
        <f>Table14[[#This Row],[Enrolment S.Y. 2025-2026 ]]*8</f>
        <v>3696</v>
      </c>
      <c r="Q105" s="12"/>
      <c r="R105" s="10"/>
      <c r="S105" s="12"/>
      <c r="T105" s="12">
        <f t="shared" si="16"/>
        <v>3696</v>
      </c>
      <c r="U105" s="12">
        <f t="shared" si="17"/>
        <v>0</v>
      </c>
      <c r="V105" s="12">
        <f>Table14[[#This Row],[Enrolment S.Y. 2025-2026 ]]*8</f>
        <v>3696</v>
      </c>
      <c r="W105" s="12"/>
      <c r="X105" s="10"/>
      <c r="Y105" s="12"/>
      <c r="Z105" s="12">
        <f t="shared" si="18"/>
        <v>3696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462</v>
      </c>
      <c r="D106" s="12">
        <f>Table14[[#This Row],[Enrolment S.Y. 2025-2026 ]]*8</f>
        <v>3696</v>
      </c>
      <c r="E106" s="12"/>
      <c r="F106" s="10"/>
      <c r="G106" s="12"/>
      <c r="H106" s="12">
        <f t="shared" si="22"/>
        <v>3696</v>
      </c>
      <c r="I106" s="12">
        <f t="shared" si="23"/>
        <v>0</v>
      </c>
      <c r="J106" s="12">
        <f>Table14[[#This Row],[Enrolment S.Y. 2025-2026 ]]*8</f>
        <v>3696</v>
      </c>
      <c r="K106" s="12"/>
      <c r="L106" s="10"/>
      <c r="M106" s="12"/>
      <c r="N106" s="12">
        <f t="shared" si="20"/>
        <v>3696</v>
      </c>
      <c r="O106" s="12">
        <f t="shared" si="21"/>
        <v>0</v>
      </c>
      <c r="P106" s="12">
        <f>Table14[[#This Row],[Enrolment S.Y. 2025-2026 ]]*8</f>
        <v>3696</v>
      </c>
      <c r="Q106" s="12"/>
      <c r="R106" s="10"/>
      <c r="S106" s="12"/>
      <c r="T106" s="12">
        <f t="shared" si="16"/>
        <v>3696</v>
      </c>
      <c r="U106" s="12">
        <f t="shared" si="17"/>
        <v>0</v>
      </c>
      <c r="V106" s="12">
        <f>Table14[[#This Row],[Enrolment S.Y. 2025-2026 ]]*8</f>
        <v>3696</v>
      </c>
      <c r="W106" s="12"/>
      <c r="X106" s="10"/>
      <c r="Y106" s="12"/>
      <c r="Z106" s="12">
        <f t="shared" si="18"/>
        <v>3696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462</v>
      </c>
      <c r="D107" s="12">
        <f>Table14[[#This Row],[Enrolment S.Y. 2025-2026 ]]*8</f>
        <v>3696</v>
      </c>
      <c r="E107" s="12"/>
      <c r="F107" s="10"/>
      <c r="G107" s="12"/>
      <c r="H107" s="12">
        <f t="shared" si="22"/>
        <v>3696</v>
      </c>
      <c r="I107" s="12">
        <f t="shared" si="23"/>
        <v>0</v>
      </c>
      <c r="J107" s="12">
        <f>Table14[[#This Row],[Enrolment S.Y. 2025-2026 ]]*8</f>
        <v>3696</v>
      </c>
      <c r="K107" s="12"/>
      <c r="L107" s="10"/>
      <c r="M107" s="12"/>
      <c r="N107" s="12">
        <f t="shared" si="20"/>
        <v>3696</v>
      </c>
      <c r="O107" s="12">
        <f t="shared" si="21"/>
        <v>0</v>
      </c>
      <c r="P107" s="12">
        <f>Table14[[#This Row],[Enrolment S.Y. 2025-2026 ]]*8</f>
        <v>3696</v>
      </c>
      <c r="Q107" s="12"/>
      <c r="R107" s="10"/>
      <c r="S107" s="12"/>
      <c r="T107" s="12">
        <f t="shared" si="16"/>
        <v>3696</v>
      </c>
      <c r="U107" s="12">
        <f t="shared" si="17"/>
        <v>0</v>
      </c>
      <c r="V107" s="12">
        <f>Table14[[#This Row],[Enrolment S.Y. 2025-2026 ]]*8</f>
        <v>3696</v>
      </c>
      <c r="W107" s="12"/>
      <c r="X107" s="10"/>
      <c r="Y107" s="12"/>
      <c r="Z107" s="12">
        <f t="shared" si="18"/>
        <v>3696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462</v>
      </c>
      <c r="D108" s="12">
        <f>Table14[[#This Row],[Enrolment S.Y. 2025-2026 ]]*8</f>
        <v>3696</v>
      </c>
      <c r="E108" s="12"/>
      <c r="F108" s="10"/>
      <c r="G108" s="12"/>
      <c r="H108" s="12">
        <f t="shared" si="22"/>
        <v>3696</v>
      </c>
      <c r="I108" s="12">
        <f t="shared" si="23"/>
        <v>0</v>
      </c>
      <c r="J108" s="12">
        <f>Table14[[#This Row],[Enrolment S.Y. 2025-2026 ]]*8</f>
        <v>3696</v>
      </c>
      <c r="K108" s="12"/>
      <c r="L108" s="10"/>
      <c r="M108" s="12"/>
      <c r="N108" s="12">
        <f t="shared" si="20"/>
        <v>3696</v>
      </c>
      <c r="O108" s="12">
        <f t="shared" si="21"/>
        <v>0</v>
      </c>
      <c r="P108" s="12">
        <f>Table14[[#This Row],[Enrolment S.Y. 2025-2026 ]]*8</f>
        <v>3696</v>
      </c>
      <c r="Q108" s="12"/>
      <c r="R108" s="10"/>
      <c r="S108" s="12"/>
      <c r="T108" s="12">
        <f t="shared" si="16"/>
        <v>3696</v>
      </c>
      <c r="U108" s="12">
        <f t="shared" si="17"/>
        <v>0</v>
      </c>
      <c r="V108" s="12">
        <f>Table14[[#This Row],[Enrolment S.Y. 2025-2026 ]]*8</f>
        <v>3696</v>
      </c>
      <c r="W108" s="12"/>
      <c r="X108" s="10"/>
      <c r="Y108" s="12"/>
      <c r="Z108" s="12">
        <f t="shared" si="18"/>
        <v>3696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462</v>
      </c>
      <c r="D109" s="12">
        <f>Table14[[#This Row],[Enrolment S.Y. 2025-2026 ]]*8</f>
        <v>3696</v>
      </c>
      <c r="E109" s="12"/>
      <c r="F109" s="10"/>
      <c r="G109" s="12"/>
      <c r="H109" s="12">
        <f>IF((D109-E109)&lt;0,0,(D109-E109))</f>
        <v>3696</v>
      </c>
      <c r="I109" s="12">
        <f>IF((E109-D109)&lt;0,0,(E109-D109))</f>
        <v>0</v>
      </c>
      <c r="J109" s="12">
        <f>Table14[[#This Row],[Enrolment S.Y. 2025-2026 ]]*8</f>
        <v>3696</v>
      </c>
      <c r="K109" s="12"/>
      <c r="L109" s="10"/>
      <c r="M109" s="12"/>
      <c r="N109" s="12">
        <f t="shared" ref="N109:N113" si="28">IF((J109-K109)&lt;0,0,(J109-K109))</f>
        <v>3696</v>
      </c>
      <c r="O109" s="12">
        <f t="shared" ref="O109:O113" si="29">IF((K109-J109)&lt;0,0,(K109-J109))</f>
        <v>0</v>
      </c>
      <c r="P109" s="12">
        <f>Table14[[#This Row],[Enrolment S.Y. 2025-2026 ]]*8</f>
        <v>3696</v>
      </c>
      <c r="Q109" s="12"/>
      <c r="R109" s="10"/>
      <c r="S109" s="12"/>
      <c r="T109" s="12">
        <f>IF((P109-Q109)&lt;0,0,(P109-Q109))</f>
        <v>3696</v>
      </c>
      <c r="U109" s="12">
        <f>IF((Q109-P109)&lt;0,0,(Q109-P109))</f>
        <v>0</v>
      </c>
      <c r="V109" s="12">
        <f>Table14[[#This Row],[Enrolment S.Y. 2025-2026 ]]*8</f>
        <v>3696</v>
      </c>
      <c r="W109" s="12"/>
      <c r="X109" s="10"/>
      <c r="Y109" s="12"/>
      <c r="Z109" s="12">
        <f>IF((V109-W109)&lt;0,0,(V109-W109))</f>
        <v>3696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462</v>
      </c>
      <c r="D110" s="12">
        <f>Table14[[#This Row],[Enrolment S.Y. 2025-2026 ]]*8</f>
        <v>3696</v>
      </c>
      <c r="E110" s="12"/>
      <c r="F110" s="10"/>
      <c r="G110" s="12"/>
      <c r="H110" s="12">
        <f t="shared" si="22"/>
        <v>3696</v>
      </c>
      <c r="I110" s="12">
        <f t="shared" si="23"/>
        <v>0</v>
      </c>
      <c r="J110" s="12">
        <f>Table14[[#This Row],[Enrolment S.Y. 2025-2026 ]]*8</f>
        <v>3696</v>
      </c>
      <c r="K110" s="12"/>
      <c r="L110" s="10"/>
      <c r="M110" s="12"/>
      <c r="N110" s="12">
        <f t="shared" si="28"/>
        <v>3696</v>
      </c>
      <c r="O110" s="12">
        <f t="shared" si="29"/>
        <v>0</v>
      </c>
      <c r="P110" s="12">
        <f>Table14[[#This Row],[Enrolment S.Y. 2025-2026 ]]*8</f>
        <v>3696</v>
      </c>
      <c r="Q110" s="12"/>
      <c r="R110" s="10"/>
      <c r="S110" s="12"/>
      <c r="T110" s="12">
        <f t="shared" si="16"/>
        <v>3696</v>
      </c>
      <c r="U110" s="12">
        <f t="shared" si="17"/>
        <v>0</v>
      </c>
      <c r="V110" s="12">
        <f>Table14[[#This Row],[Enrolment S.Y. 2025-2026 ]]*8</f>
        <v>3696</v>
      </c>
      <c r="W110" s="12"/>
      <c r="X110" s="10"/>
      <c r="Y110" s="12"/>
      <c r="Z110" s="12">
        <f t="shared" si="18"/>
        <v>3696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462</v>
      </c>
      <c r="D111" s="12">
        <f>Table14[[#This Row],[Enrolment S.Y. 2025-2026 ]]*8</f>
        <v>3696</v>
      </c>
      <c r="E111" s="12"/>
      <c r="F111" s="10"/>
      <c r="G111" s="12"/>
      <c r="H111" s="12">
        <f t="shared" si="22"/>
        <v>3696</v>
      </c>
      <c r="I111" s="12">
        <f t="shared" si="23"/>
        <v>0</v>
      </c>
      <c r="J111" s="12">
        <f>Table14[[#This Row],[Enrolment S.Y. 2025-2026 ]]*8</f>
        <v>3696</v>
      </c>
      <c r="K111" s="12"/>
      <c r="L111" s="10"/>
      <c r="M111" s="12"/>
      <c r="N111" s="12">
        <f t="shared" si="28"/>
        <v>3696</v>
      </c>
      <c r="O111" s="12">
        <f t="shared" si="29"/>
        <v>0</v>
      </c>
      <c r="P111" s="12">
        <f>Table14[[#This Row],[Enrolment S.Y. 2025-2026 ]]*8</f>
        <v>3696</v>
      </c>
      <c r="Q111" s="12"/>
      <c r="R111" s="10"/>
      <c r="S111" s="12"/>
      <c r="T111" s="12">
        <f t="shared" si="16"/>
        <v>3696</v>
      </c>
      <c r="U111" s="12">
        <f t="shared" si="17"/>
        <v>0</v>
      </c>
      <c r="V111" s="12">
        <f>Table14[[#This Row],[Enrolment S.Y. 2025-2026 ]]*8</f>
        <v>3696</v>
      </c>
      <c r="W111" s="12"/>
      <c r="X111" s="10"/>
      <c r="Y111" s="12"/>
      <c r="Z111" s="12">
        <f t="shared" si="18"/>
        <v>3696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462</v>
      </c>
      <c r="D112" s="12">
        <f>Table14[[#This Row],[Enrolment S.Y. 2025-2026 ]]*8</f>
        <v>3696</v>
      </c>
      <c r="E112" s="12"/>
      <c r="F112" s="10"/>
      <c r="G112" s="12"/>
      <c r="H112" s="12">
        <f>IF((D112-E112)&lt;0,0,(D112-E112))</f>
        <v>3696</v>
      </c>
      <c r="I112" s="12">
        <f>IF((E112-D112)&lt;0,0,(E112-D112))</f>
        <v>0</v>
      </c>
      <c r="J112" s="12">
        <f>Table14[[#This Row],[Enrolment S.Y. 2025-2026 ]]*8</f>
        <v>3696</v>
      </c>
      <c r="K112" s="12"/>
      <c r="L112" s="10"/>
      <c r="M112" s="12"/>
      <c r="N112" s="12">
        <f t="shared" si="28"/>
        <v>3696</v>
      </c>
      <c r="O112" s="12">
        <f t="shared" si="29"/>
        <v>0</v>
      </c>
      <c r="P112" s="12">
        <f>Table14[[#This Row],[Enrolment S.Y. 2025-2026 ]]*8</f>
        <v>3696</v>
      </c>
      <c r="Q112" s="12"/>
      <c r="R112" s="10"/>
      <c r="S112" s="12"/>
      <c r="T112" s="12">
        <f>IF((P112-Q112)&lt;0,0,(P112-Q112))</f>
        <v>3696</v>
      </c>
      <c r="U112" s="12">
        <f>IF((Q112-P112)&lt;0,0,(Q112-P112))</f>
        <v>0</v>
      </c>
      <c r="V112" s="12">
        <f>Table14[[#This Row],[Enrolment S.Y. 2025-2026 ]]*8</f>
        <v>3696</v>
      </c>
      <c r="W112" s="12"/>
      <c r="X112" s="10"/>
      <c r="Y112" s="12"/>
      <c r="Z112" s="12">
        <f>IF((V112-W112)&lt;0,0,(V112-W112))</f>
        <v>3696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462</v>
      </c>
      <c r="D113" s="12">
        <f>Table14[[#This Row],[Enrolment S.Y. 2025-2026 ]]*8</f>
        <v>3696</v>
      </c>
      <c r="E113" s="12"/>
      <c r="F113" s="10"/>
      <c r="G113" s="12"/>
      <c r="H113" s="12">
        <f t="shared" si="22"/>
        <v>3696</v>
      </c>
      <c r="I113" s="12">
        <f t="shared" si="23"/>
        <v>0</v>
      </c>
      <c r="J113" s="12">
        <f>Table14[[#This Row],[Enrolment S.Y. 2025-2026 ]]*8</f>
        <v>3696</v>
      </c>
      <c r="K113" s="12"/>
      <c r="L113" s="10"/>
      <c r="M113" s="12"/>
      <c r="N113" s="12">
        <f t="shared" si="28"/>
        <v>3696</v>
      </c>
      <c r="O113" s="12">
        <f t="shared" si="29"/>
        <v>0</v>
      </c>
      <c r="P113" s="12">
        <f>Table14[[#This Row],[Enrolment S.Y. 2025-2026 ]]*8</f>
        <v>3696</v>
      </c>
      <c r="Q113" s="12"/>
      <c r="R113" s="10"/>
      <c r="S113" s="12"/>
      <c r="T113" s="12">
        <f t="shared" si="16"/>
        <v>3696</v>
      </c>
      <c r="U113" s="12">
        <f t="shared" si="17"/>
        <v>0</v>
      </c>
      <c r="V113" s="12">
        <f>Table14[[#This Row],[Enrolment S.Y. 2025-2026 ]]*8</f>
        <v>3696</v>
      </c>
      <c r="W113" s="12"/>
      <c r="X113" s="10"/>
      <c r="Y113" s="12"/>
      <c r="Z113" s="12">
        <f t="shared" si="18"/>
        <v>3696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762</v>
      </c>
      <c r="D115" s="5">
        <f>Table14[[#This Row],[Enrolment S.Y. 2025-2026 ]]*8</f>
        <v>6096</v>
      </c>
      <c r="E115" s="5"/>
      <c r="F115" s="1"/>
      <c r="G115" s="5"/>
      <c r="H115" s="5">
        <f t="shared" si="22"/>
        <v>6096</v>
      </c>
      <c r="I115" s="5">
        <f t="shared" si="23"/>
        <v>0</v>
      </c>
      <c r="J115" s="5">
        <f>Table14[[#This Row],[Enrolment S.Y. 2025-2026 ]]*8</f>
        <v>6096</v>
      </c>
      <c r="K115" s="5"/>
      <c r="L115" s="1"/>
      <c r="M115" s="5"/>
      <c r="N115" s="5">
        <f t="shared" si="20"/>
        <v>6096</v>
      </c>
      <c r="O115" s="5">
        <f t="shared" si="21"/>
        <v>0</v>
      </c>
      <c r="P115" s="5">
        <f>Table14[[#This Row],[Enrolment S.Y. 2025-2026 ]]*8</f>
        <v>6096</v>
      </c>
      <c r="Q115" s="5"/>
      <c r="R115" s="1"/>
      <c r="S115" s="5"/>
      <c r="T115" s="5">
        <f t="shared" si="16"/>
        <v>6096</v>
      </c>
      <c r="U115" s="5">
        <f t="shared" si="17"/>
        <v>0</v>
      </c>
      <c r="V115" s="5">
        <f>Table14[[#This Row],[Enrolment S.Y. 2025-2026 ]]*8</f>
        <v>6096</v>
      </c>
      <c r="W115" s="5"/>
      <c r="X115" s="1"/>
      <c r="Y115" s="5"/>
      <c r="Z115" s="5">
        <f t="shared" si="18"/>
        <v>6096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762</v>
      </c>
      <c r="D116" s="5">
        <f>Table14[[#This Row],[Enrolment S.Y. 2025-2026 ]]*8</f>
        <v>6096</v>
      </c>
      <c r="E116" s="5"/>
      <c r="F116" s="1"/>
      <c r="G116" s="5"/>
      <c r="H116" s="5">
        <f t="shared" si="22"/>
        <v>6096</v>
      </c>
      <c r="I116" s="5">
        <f t="shared" si="23"/>
        <v>0</v>
      </c>
      <c r="J116" s="5">
        <f>Table14[[#This Row],[Enrolment S.Y. 2025-2026 ]]*8</f>
        <v>6096</v>
      </c>
      <c r="K116" s="5"/>
      <c r="L116" s="1"/>
      <c r="M116" s="5"/>
      <c r="N116" s="5">
        <f t="shared" si="20"/>
        <v>6096</v>
      </c>
      <c r="O116" s="5">
        <f t="shared" si="21"/>
        <v>0</v>
      </c>
      <c r="P116" s="5">
        <f>Table14[[#This Row],[Enrolment S.Y. 2025-2026 ]]*8</f>
        <v>6096</v>
      </c>
      <c r="Q116" s="5"/>
      <c r="R116" s="1"/>
      <c r="S116" s="5"/>
      <c r="T116" s="5">
        <f t="shared" si="16"/>
        <v>6096</v>
      </c>
      <c r="U116" s="5">
        <f t="shared" si="17"/>
        <v>0</v>
      </c>
      <c r="V116" s="5">
        <f>Table14[[#This Row],[Enrolment S.Y. 2025-2026 ]]*8</f>
        <v>6096</v>
      </c>
      <c r="W116" s="5"/>
      <c r="X116" s="1"/>
      <c r="Y116" s="5"/>
      <c r="Z116" s="5">
        <f t="shared" si="18"/>
        <v>6096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762</v>
      </c>
      <c r="D117" s="5">
        <f>Table14[[#This Row],[Enrolment S.Y. 2025-2026 ]]*8</f>
        <v>6096</v>
      </c>
      <c r="E117" s="5"/>
      <c r="F117" s="1"/>
      <c r="G117" s="5"/>
      <c r="H117" s="5">
        <f t="shared" si="22"/>
        <v>6096</v>
      </c>
      <c r="I117" s="5">
        <f t="shared" si="23"/>
        <v>0</v>
      </c>
      <c r="J117" s="5">
        <f>Table14[[#This Row],[Enrolment S.Y. 2025-2026 ]]*8</f>
        <v>6096</v>
      </c>
      <c r="K117" s="5"/>
      <c r="L117" s="1"/>
      <c r="M117" s="5"/>
      <c r="N117" s="5">
        <f t="shared" si="20"/>
        <v>6096</v>
      </c>
      <c r="O117" s="5">
        <f t="shared" si="21"/>
        <v>0</v>
      </c>
      <c r="P117" s="5">
        <f>Table14[[#This Row],[Enrolment S.Y. 2025-2026 ]]*8</f>
        <v>6096</v>
      </c>
      <c r="Q117" s="5"/>
      <c r="R117" s="1"/>
      <c r="S117" s="5"/>
      <c r="T117" s="5">
        <f t="shared" si="16"/>
        <v>6096</v>
      </c>
      <c r="U117" s="5">
        <f t="shared" si="17"/>
        <v>0</v>
      </c>
      <c r="V117" s="5">
        <f>Table14[[#This Row],[Enrolment S.Y. 2025-2026 ]]*8</f>
        <v>6096</v>
      </c>
      <c r="W117" s="5"/>
      <c r="X117" s="1"/>
      <c r="Y117" s="5"/>
      <c r="Z117" s="5">
        <f t="shared" si="18"/>
        <v>6096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762</v>
      </c>
      <c r="D118" s="5">
        <f>Table14[[#This Row],[Enrolment S.Y. 2025-2026 ]]*8</f>
        <v>6096</v>
      </c>
      <c r="E118" s="5"/>
      <c r="F118" s="1"/>
      <c r="G118" s="5"/>
      <c r="H118" s="5">
        <f t="shared" si="22"/>
        <v>6096</v>
      </c>
      <c r="I118" s="5">
        <f t="shared" si="23"/>
        <v>0</v>
      </c>
      <c r="J118" s="5">
        <f>Table14[[#This Row],[Enrolment S.Y. 2025-2026 ]]*8</f>
        <v>6096</v>
      </c>
      <c r="K118" s="5"/>
      <c r="L118" s="1"/>
      <c r="M118" s="5"/>
      <c r="N118" s="5">
        <f t="shared" si="20"/>
        <v>6096</v>
      </c>
      <c r="O118" s="5">
        <f t="shared" si="21"/>
        <v>0</v>
      </c>
      <c r="P118" s="5">
        <f>Table14[[#This Row],[Enrolment S.Y. 2025-2026 ]]*8</f>
        <v>6096</v>
      </c>
      <c r="Q118" s="5"/>
      <c r="R118" s="1"/>
      <c r="S118" s="5"/>
      <c r="T118" s="5">
        <f t="shared" si="16"/>
        <v>6096</v>
      </c>
      <c r="U118" s="5">
        <f t="shared" si="17"/>
        <v>0</v>
      </c>
      <c r="V118" s="5">
        <f>Table14[[#This Row],[Enrolment S.Y. 2025-2026 ]]*8</f>
        <v>6096</v>
      </c>
      <c r="W118" s="5"/>
      <c r="X118" s="1"/>
      <c r="Y118" s="5"/>
      <c r="Z118" s="5">
        <f t="shared" si="18"/>
        <v>6096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762</v>
      </c>
      <c r="D119" s="5">
        <f>Table14[[#This Row],[Enrolment S.Y. 2025-2026 ]]*8</f>
        <v>6096</v>
      </c>
      <c r="E119" s="5"/>
      <c r="F119" s="1"/>
      <c r="G119" s="5"/>
      <c r="H119" s="5">
        <f t="shared" si="22"/>
        <v>6096</v>
      </c>
      <c r="I119" s="5">
        <f t="shared" si="23"/>
        <v>0</v>
      </c>
      <c r="J119" s="5">
        <f>Table14[[#This Row],[Enrolment S.Y. 2025-2026 ]]*8</f>
        <v>6096</v>
      </c>
      <c r="K119" s="5"/>
      <c r="L119" s="1"/>
      <c r="M119" s="5"/>
      <c r="N119" s="5">
        <f t="shared" si="20"/>
        <v>6096</v>
      </c>
      <c r="O119" s="5">
        <f t="shared" si="21"/>
        <v>0</v>
      </c>
      <c r="P119" s="5">
        <f>Table14[[#This Row],[Enrolment S.Y. 2025-2026 ]]*8</f>
        <v>6096</v>
      </c>
      <c r="Q119" s="5"/>
      <c r="R119" s="1"/>
      <c r="S119" s="5"/>
      <c r="T119" s="5">
        <f t="shared" si="16"/>
        <v>6096</v>
      </c>
      <c r="U119" s="5">
        <f t="shared" si="17"/>
        <v>0</v>
      </c>
      <c r="V119" s="5">
        <f>Table14[[#This Row],[Enrolment S.Y. 2025-2026 ]]*8</f>
        <v>6096</v>
      </c>
      <c r="W119" s="5"/>
      <c r="X119" s="1"/>
      <c r="Y119" s="5"/>
      <c r="Z119" s="5">
        <f t="shared" si="18"/>
        <v>6096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762</v>
      </c>
      <c r="D120" s="5">
        <f>Table14[[#This Row],[Enrolment S.Y. 2025-2026 ]]*8</f>
        <v>6096</v>
      </c>
      <c r="E120" s="5"/>
      <c r="F120" s="1"/>
      <c r="G120" s="5"/>
      <c r="H120" s="5">
        <f t="shared" si="22"/>
        <v>6096</v>
      </c>
      <c r="I120" s="5">
        <f t="shared" si="23"/>
        <v>0</v>
      </c>
      <c r="J120" s="5">
        <f>Table14[[#This Row],[Enrolment S.Y. 2025-2026 ]]*8</f>
        <v>6096</v>
      </c>
      <c r="K120" s="5"/>
      <c r="L120" s="1"/>
      <c r="M120" s="5"/>
      <c r="N120" s="5">
        <f t="shared" si="20"/>
        <v>6096</v>
      </c>
      <c r="O120" s="5">
        <f t="shared" si="21"/>
        <v>0</v>
      </c>
      <c r="P120" s="5">
        <f>Table14[[#This Row],[Enrolment S.Y. 2025-2026 ]]*8</f>
        <v>6096</v>
      </c>
      <c r="Q120" s="5"/>
      <c r="R120" s="1"/>
      <c r="S120" s="5"/>
      <c r="T120" s="5">
        <f t="shared" si="16"/>
        <v>6096</v>
      </c>
      <c r="U120" s="5">
        <f t="shared" si="17"/>
        <v>0</v>
      </c>
      <c r="V120" s="5">
        <f>Table14[[#This Row],[Enrolment S.Y. 2025-2026 ]]*8</f>
        <v>6096</v>
      </c>
      <c r="W120" s="5"/>
      <c r="X120" s="1"/>
      <c r="Y120" s="5"/>
      <c r="Z120" s="5">
        <f t="shared" si="18"/>
        <v>6096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762</v>
      </c>
      <c r="D121" s="5">
        <f>Table14[[#This Row],[Enrolment S.Y. 2025-2026 ]]*8</f>
        <v>6096</v>
      </c>
      <c r="E121" s="5"/>
      <c r="F121" s="1"/>
      <c r="G121" s="5"/>
      <c r="H121" s="5">
        <f t="shared" si="22"/>
        <v>6096</v>
      </c>
      <c r="I121" s="5">
        <f t="shared" si="23"/>
        <v>0</v>
      </c>
      <c r="J121" s="5">
        <f>Table14[[#This Row],[Enrolment S.Y. 2025-2026 ]]*8</f>
        <v>6096</v>
      </c>
      <c r="K121" s="5"/>
      <c r="L121" s="1"/>
      <c r="M121" s="5"/>
      <c r="N121" s="5">
        <f t="shared" si="20"/>
        <v>6096</v>
      </c>
      <c r="O121" s="5">
        <f t="shared" si="21"/>
        <v>0</v>
      </c>
      <c r="P121" s="5">
        <f>Table14[[#This Row],[Enrolment S.Y. 2025-2026 ]]*8</f>
        <v>6096</v>
      </c>
      <c r="Q121" s="5"/>
      <c r="R121" s="1"/>
      <c r="S121" s="5"/>
      <c r="T121" s="5">
        <f t="shared" si="16"/>
        <v>6096</v>
      </c>
      <c r="U121" s="5">
        <f t="shared" si="17"/>
        <v>0</v>
      </c>
      <c r="V121" s="5">
        <f>Table14[[#This Row],[Enrolment S.Y. 2025-2026 ]]*8</f>
        <v>6096</v>
      </c>
      <c r="W121" s="5"/>
      <c r="X121" s="1"/>
      <c r="Y121" s="5"/>
      <c r="Z121" s="5">
        <f t="shared" si="18"/>
        <v>6096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762</v>
      </c>
      <c r="D122" s="5">
        <f>Table14[[#This Row],[Enrolment S.Y. 2025-2026 ]]*8</f>
        <v>6096</v>
      </c>
      <c r="E122" s="5"/>
      <c r="F122" s="1"/>
      <c r="G122" s="5"/>
      <c r="H122" s="5">
        <f t="shared" si="22"/>
        <v>6096</v>
      </c>
      <c r="I122" s="5">
        <f t="shared" si="23"/>
        <v>0</v>
      </c>
      <c r="J122" s="5">
        <f>Table14[[#This Row],[Enrolment S.Y. 2025-2026 ]]*8</f>
        <v>6096</v>
      </c>
      <c r="K122" s="5"/>
      <c r="L122" s="1"/>
      <c r="M122" s="5"/>
      <c r="N122" s="5">
        <f t="shared" si="20"/>
        <v>6096</v>
      </c>
      <c r="O122" s="5">
        <f t="shared" si="21"/>
        <v>0</v>
      </c>
      <c r="P122" s="5">
        <f>Table14[[#This Row],[Enrolment S.Y. 2025-2026 ]]*8</f>
        <v>6096</v>
      </c>
      <c r="Q122" s="5"/>
      <c r="R122" s="1"/>
      <c r="S122" s="5"/>
      <c r="T122" s="5">
        <f t="shared" si="16"/>
        <v>6096</v>
      </c>
      <c r="U122" s="5">
        <f t="shared" si="17"/>
        <v>0</v>
      </c>
      <c r="V122" s="5">
        <f>Table14[[#This Row],[Enrolment S.Y. 2025-2026 ]]*8</f>
        <v>6096</v>
      </c>
      <c r="W122" s="5"/>
      <c r="X122" s="1"/>
      <c r="Y122" s="5"/>
      <c r="Z122" s="5">
        <f t="shared" si="18"/>
        <v>6096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2025-12-18T02:44:55Z</dcterms:modified>
  <cp:category/>
  <cp:contentStatus/>
</cp:coreProperties>
</file>