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70" documentId="13_ncr:1_{BFB59F67-F0DC-4675-A682-EB0734A8026A}" xr6:coauthVersionLast="47" xr6:coauthVersionMax="47" xr10:uidLastSave="{49BEE132-507E-4B57-9797-41D6DB295F64}"/>
  <bookViews>
    <workbookView xWindow="-108" yWindow="-108" windowWidth="23256" windowHeight="12456" firstSheet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5" i="1" l="1"/>
  <c r="N109" i="5"/>
  <c r="O109" i="5"/>
  <c r="P109" i="5"/>
  <c r="T109" i="5" s="1"/>
  <c r="N110" i="5"/>
  <c r="O110" i="5"/>
  <c r="P110" i="5"/>
  <c r="U110" i="5" s="1"/>
  <c r="N111" i="5"/>
  <c r="O111" i="5"/>
  <c r="P111" i="5"/>
  <c r="N112" i="5"/>
  <c r="O112" i="5"/>
  <c r="P112" i="5"/>
  <c r="N113" i="5"/>
  <c r="O113" i="5"/>
  <c r="P113" i="5"/>
  <c r="N97" i="5"/>
  <c r="O97" i="5"/>
  <c r="P97" i="5"/>
  <c r="T97" i="5" s="1"/>
  <c r="N98" i="5"/>
  <c r="O98" i="5"/>
  <c r="P98" i="5"/>
  <c r="N99" i="5"/>
  <c r="O99" i="5"/>
  <c r="P99" i="5"/>
  <c r="N100" i="5"/>
  <c r="O100" i="5"/>
  <c r="P100" i="5"/>
  <c r="N101" i="5"/>
  <c r="O101" i="5"/>
  <c r="P101" i="5"/>
  <c r="N84" i="5"/>
  <c r="O84" i="5"/>
  <c r="P84" i="5"/>
  <c r="N85" i="5"/>
  <c r="O85" i="5"/>
  <c r="P85" i="5"/>
  <c r="N86" i="5"/>
  <c r="O86" i="5"/>
  <c r="P86" i="5"/>
  <c r="N87" i="5"/>
  <c r="O87" i="5"/>
  <c r="P87" i="5"/>
  <c r="N88" i="5"/>
  <c r="O88" i="5"/>
  <c r="P88" i="5"/>
  <c r="N89" i="5"/>
  <c r="O89" i="5"/>
  <c r="P89" i="5"/>
  <c r="N71" i="5"/>
  <c r="O71" i="5"/>
  <c r="P71" i="5"/>
  <c r="N72" i="5"/>
  <c r="O72" i="5"/>
  <c r="P72" i="5"/>
  <c r="N73" i="5"/>
  <c r="O73" i="5"/>
  <c r="P73" i="5"/>
  <c r="N74" i="5"/>
  <c r="O74" i="5"/>
  <c r="P74" i="5"/>
  <c r="N75" i="5"/>
  <c r="O75" i="5"/>
  <c r="P75" i="5"/>
  <c r="N76" i="5"/>
  <c r="O76" i="5"/>
  <c r="P76" i="5"/>
  <c r="N77" i="5"/>
  <c r="O77" i="5"/>
  <c r="P77" i="5"/>
  <c r="N61" i="5"/>
  <c r="O61" i="5"/>
  <c r="P61" i="5"/>
  <c r="T61" i="5" s="1"/>
  <c r="N62" i="5"/>
  <c r="O62" i="5"/>
  <c r="P62" i="5"/>
  <c r="N63" i="5"/>
  <c r="O63" i="5"/>
  <c r="P63" i="5"/>
  <c r="N64" i="5"/>
  <c r="O64" i="5"/>
  <c r="P64" i="5"/>
  <c r="N65" i="5"/>
  <c r="O65" i="5"/>
  <c r="P65" i="5"/>
  <c r="N48" i="5"/>
  <c r="O48" i="5"/>
  <c r="P48" i="5"/>
  <c r="N49" i="5"/>
  <c r="O49" i="5"/>
  <c r="P49" i="5"/>
  <c r="U49" i="5" s="1"/>
  <c r="N50" i="5"/>
  <c r="O50" i="5"/>
  <c r="P50" i="5"/>
  <c r="N51" i="5"/>
  <c r="O51" i="5"/>
  <c r="P51" i="5"/>
  <c r="N52" i="5"/>
  <c r="O52" i="5"/>
  <c r="P52" i="5"/>
  <c r="U52" i="5" s="1"/>
  <c r="N53" i="5"/>
  <c r="O53" i="5"/>
  <c r="P53" i="5"/>
  <c r="N36" i="5"/>
  <c r="O36" i="5"/>
  <c r="P36" i="5"/>
  <c r="N37" i="5"/>
  <c r="O37" i="5"/>
  <c r="P37" i="5"/>
  <c r="N38" i="5"/>
  <c r="O38" i="5"/>
  <c r="P38" i="5"/>
  <c r="N39" i="5"/>
  <c r="O39" i="5"/>
  <c r="P39" i="5"/>
  <c r="N40" i="5"/>
  <c r="O40" i="5"/>
  <c r="P40" i="5"/>
  <c r="N41" i="5"/>
  <c r="O41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O3" i="4"/>
  <c r="N3" i="4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9" i="1"/>
  <c r="G99" i="1"/>
  <c r="H98" i="1"/>
  <c r="G98" i="1"/>
  <c r="H97" i="1"/>
  <c r="G97" i="1"/>
  <c r="H96" i="1"/>
  <c r="G96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12" i="4" l="1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<sst xmlns="http://schemas.openxmlformats.org/spreadsheetml/2006/main" count="407" uniqueCount="92">
  <si>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</si>
  <si>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</si>
  <si>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</si>
  <si>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</si>
  <si>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</si>
  <si>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</si>
  <si>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</si>
  <si>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</si>
  <si>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</si>
  <si>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</si>
  <si>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</si>
  <si>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</si>
  <si>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</si>
  <si>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</si>
  <si>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</si>
  <si>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</si>
  <si>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</si>
  <si>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</si>
  <si>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</si>
  <si>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</si>
  <si>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CO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</si>
  <si>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</si>
  <si>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</si>
  <si>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</si>
  <si>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</si>
  <si>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</si>
  <si>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</si>
  <si>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</si>
  <si>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</si>
  <si>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Earth &amp; Life Science</t>
  </si>
  <si>
    <t>Contemporary Philippine Arts</t>
  </si>
  <si>
    <t>Statistics and Probability</t>
  </si>
  <si>
    <t>Media and Information Literacy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</si>
  <si>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</si>
  <si>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</si>
  <si>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</si>
  <si>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</si>
  <si>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</si>
  <si>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</si>
  <si>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</si>
  <si>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</si>
  <si>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</si>
  <si>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</si>
  <si>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</si>
  <si>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</si>
  <si>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</si>
  <si>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</si>
  <si>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</si>
  <si>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</si>
  <si>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</si>
  <si>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</si>
  <si>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</si>
  <si>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</si>
  <si>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</si>
  <si>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</si>
  <si>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</si>
  <si>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</si>
  <si>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</si>
  <si>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</si>
  <si>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</si>
  <si>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</si>
  <si>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</si>
  <si>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</si>
  <si>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>General Mathematics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</si>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</sst>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6" totalsRowShown="0" headerRowDxfId="62" headerRowBorderDxfId="60" tableBorderDxfId="61">
  <autoFilter ref="A1:H146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9"/>
  <sheetViews>
    <sheetView tabSelected="1" zoomScale="85" zoomScaleNormal="85" workbookViewId="0">
      <pane ySplit="1" topLeftCell="A57" activePane="bottomLeft" state="frozen"/>
      <selection pane="bottomLeft" activeCell="F63" sqref="F63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>
        <v>179</v>
      </c>
      <c r="E51" s="10">
        <v>2025</v>
      </c>
      <c r="F51" s="12" t="s">
        <v>20</v>
      </c>
      <c r="G51" s="3">
        <f t="shared" ref="G51:G59" si="10">IF((C51-D51)&lt;0,0,C51-D51)</f>
        <v>0</v>
      </c>
      <c r="H51" s="4">
        <f t="shared" ref="H51:H59" si="11">IF((D51-C51)&lt;0,0,D51-C51)</f>
        <v>179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>
        <v>179</v>
      </c>
      <c r="E53" s="10">
        <v>2024</v>
      </c>
      <c r="F53" s="12" t="s">
        <v>20</v>
      </c>
      <c r="G53" s="3">
        <f t="shared" si="10"/>
        <v>0</v>
      </c>
      <c r="H53" s="4">
        <f t="shared" si="11"/>
        <v>179</v>
      </c>
    </row>
    <row r="54" spans="1:8" ht="27.75" customHeight="1">
      <c r="A54" s="10">
        <v>7</v>
      </c>
      <c r="B54" s="11" t="s">
        <v>21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>
        <v>179</v>
      </c>
      <c r="E55" s="10">
        <v>2025</v>
      </c>
      <c r="F55" s="12" t="s">
        <v>20</v>
      </c>
      <c r="G55" s="3">
        <f t="shared" si="10"/>
        <v>0</v>
      </c>
      <c r="H55" s="4">
        <f t="shared" si="11"/>
        <v>179</v>
      </c>
    </row>
    <row r="56" spans="1:8" ht="27.75" customHeight="1">
      <c r="A56" s="10">
        <v>7</v>
      </c>
      <c r="B56" s="11" t="s">
        <v>13</v>
      </c>
      <c r="C56" s="10"/>
      <c r="D56" s="10">
        <v>179</v>
      </c>
      <c r="E56" s="10">
        <v>2024</v>
      </c>
      <c r="F56" s="12" t="s">
        <v>20</v>
      </c>
      <c r="G56" s="3">
        <f t="shared" si="10"/>
        <v>0</v>
      </c>
      <c r="H56" s="4">
        <f t="shared" si="11"/>
        <v>179</v>
      </c>
    </row>
    <row r="57" spans="1:8" ht="27.75" customHeight="1">
      <c r="A57" s="10">
        <v>7</v>
      </c>
      <c r="B57" s="11" t="s">
        <v>17</v>
      </c>
      <c r="C57" s="10"/>
      <c r="D57" s="10">
        <v>179</v>
      </c>
      <c r="E57" s="10">
        <v>2024</v>
      </c>
      <c r="F57" s="12" t="s">
        <v>20</v>
      </c>
      <c r="G57" s="3">
        <f t="shared" si="10"/>
        <v>0</v>
      </c>
      <c r="H57" s="4">
        <f t="shared" si="11"/>
        <v>179</v>
      </c>
    </row>
    <row r="58" spans="1:8" ht="27.75" customHeight="1">
      <c r="A58" s="10">
        <v>7</v>
      </c>
      <c r="B58" s="11" t="s">
        <v>22</v>
      </c>
      <c r="C58" s="10"/>
      <c r="D58" s="10">
        <v>179</v>
      </c>
      <c r="E58" s="10">
        <v>2025</v>
      </c>
      <c r="F58" s="12" t="s">
        <v>20</v>
      </c>
      <c r="G58" s="3">
        <f t="shared" si="10"/>
        <v>0</v>
      </c>
      <c r="H58" s="4">
        <f t="shared" si="11"/>
        <v>179</v>
      </c>
    </row>
    <row r="59" spans="1:8" ht="27.75" customHeight="1">
      <c r="A59" s="10">
        <v>7</v>
      </c>
      <c r="B59" s="11" t="s">
        <v>19</v>
      </c>
      <c r="C59" s="10"/>
      <c r="D59" s="10">
        <v>179</v>
      </c>
      <c r="E59" s="10">
        <v>2025</v>
      </c>
      <c r="F59" s="12" t="s">
        <v>20</v>
      </c>
      <c r="G59" s="3">
        <f t="shared" si="10"/>
        <v>0</v>
      </c>
      <c r="H59" s="4">
        <f t="shared" si="11"/>
        <v>179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>
        <v>173</v>
      </c>
      <c r="E63" s="10">
        <v>2025</v>
      </c>
      <c r="F63" s="12" t="s">
        <v>20</v>
      </c>
      <c r="G63" s="3">
        <f t="shared" si="12"/>
        <v>0</v>
      </c>
      <c r="H63" s="4">
        <f t="shared" si="13"/>
        <v>173</v>
      </c>
    </row>
    <row r="64" spans="1:8" ht="27.75" customHeight="1">
      <c r="A64" s="10">
        <v>8</v>
      </c>
      <c r="B64" s="11" t="s">
        <v>21</v>
      </c>
      <c r="C64" s="10"/>
      <c r="D64" s="10">
        <v>173</v>
      </c>
      <c r="E64" s="10">
        <v>2025</v>
      </c>
      <c r="F64" s="12" t="s">
        <v>20</v>
      </c>
      <c r="G64" s="3">
        <f t="shared" si="12"/>
        <v>0</v>
      </c>
      <c r="H64" s="4">
        <f t="shared" si="13"/>
        <v>173</v>
      </c>
    </row>
    <row r="65" spans="1:8" ht="27.75" customHeight="1">
      <c r="A65" s="10">
        <v>8</v>
      </c>
      <c r="B65" s="11" t="s">
        <v>23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/>
      <c r="D91" s="1">
        <v>321</v>
      </c>
      <c r="E91" s="1">
        <v>2024</v>
      </c>
      <c r="F91" s="5" t="s">
        <v>20</v>
      </c>
      <c r="G91" s="3">
        <f t="shared" ref="G91:G99" si="18">IF((C91-D91)&lt;0,0,C91-D91)</f>
        <v>0</v>
      </c>
      <c r="H91" s="4">
        <f t="shared" ref="H91:H99" si="19">IF((D91-C91)&lt;0,0,D91-C91)</f>
        <v>321</v>
      </c>
    </row>
    <row r="92" spans="1:8" ht="27.75" customHeight="1">
      <c r="A92" s="1" t="s">
        <v>24</v>
      </c>
      <c r="B92" s="9" t="s">
        <v>26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/>
      <c r="D93" s="1">
        <v>321</v>
      </c>
      <c r="E93" s="1">
        <v>2024</v>
      </c>
      <c r="F93" s="5" t="s">
        <v>20</v>
      </c>
      <c r="G93" s="3">
        <f t="shared" si="18"/>
        <v>0</v>
      </c>
      <c r="H93" s="4">
        <f t="shared" si="19"/>
        <v>321</v>
      </c>
    </row>
    <row r="94" spans="1:8" ht="27.75" customHeight="1">
      <c r="A94" s="1" t="s">
        <v>24</v>
      </c>
      <c r="B94" s="9" t="s">
        <v>28</v>
      </c>
      <c r="C94" s="1"/>
      <c r="D94" s="1">
        <v>321</v>
      </c>
      <c r="E94" s="1">
        <v>2025</v>
      </c>
      <c r="F94" s="5" t="s">
        <v>20</v>
      </c>
      <c r="G94" s="3">
        <f t="shared" si="18"/>
        <v>0</v>
      </c>
      <c r="H94" s="4">
        <f t="shared" si="19"/>
        <v>321</v>
      </c>
    </row>
    <row r="95" spans="1:8" ht="35.25" customHeight="1">
      <c r="A95" s="1" t="s">
        <v>24</v>
      </c>
      <c r="B95" s="9" t="s">
        <v>29</v>
      </c>
      <c r="C95" s="1"/>
      <c r="D95" s="1">
        <v>321</v>
      </c>
      <c r="E95" s="1">
        <v>2024</v>
      </c>
      <c r="F95" s="5" t="s">
        <v>20</v>
      </c>
      <c r="G95" s="3">
        <v>0</v>
      </c>
      <c r="H95" s="4">
        <f t="shared" si="19"/>
        <v>321</v>
      </c>
    </row>
    <row r="96" spans="1:8" ht="40.5" customHeight="1">
      <c r="A96" s="1" t="s">
        <v>24</v>
      </c>
      <c r="B96" s="9" t="s">
        <v>30</v>
      </c>
      <c r="C96" s="1"/>
      <c r="D96" s="1">
        <v>321</v>
      </c>
      <c r="E96" s="1">
        <v>2025</v>
      </c>
      <c r="F96" s="5" t="s">
        <v>20</v>
      </c>
      <c r="G96" s="3">
        <f t="shared" si="18"/>
        <v>0</v>
      </c>
      <c r="H96" s="4">
        <f t="shared" si="19"/>
        <v>321</v>
      </c>
    </row>
    <row r="97" spans="1:8" ht="38.25" customHeight="1">
      <c r="A97" s="1" t="s">
        <v>24</v>
      </c>
      <c r="B97" s="9" t="s">
        <v>31</v>
      </c>
      <c r="C97" s="1"/>
      <c r="D97" s="1">
        <v>321</v>
      </c>
      <c r="E97" s="1">
        <v>2025</v>
      </c>
      <c r="F97" s="5" t="s">
        <v>20</v>
      </c>
      <c r="G97" s="3">
        <f t="shared" si="18"/>
        <v>0</v>
      </c>
      <c r="H97" s="4">
        <f t="shared" si="19"/>
        <v>321</v>
      </c>
    </row>
    <row r="98" spans="1:8" ht="27.75" customHeight="1">
      <c r="A98" s="1" t="s">
        <v>24</v>
      </c>
      <c r="B98" s="9" t="s">
        <v>32</v>
      </c>
      <c r="C98" s="1"/>
      <c r="D98" s="1">
        <v>321</v>
      </c>
      <c r="E98" s="1">
        <v>2025</v>
      </c>
      <c r="F98" s="5" t="s">
        <v>20</v>
      </c>
      <c r="G98" s="3">
        <f t="shared" si="18"/>
        <v>0</v>
      </c>
      <c r="H98" s="4">
        <f t="shared" si="19"/>
        <v>321</v>
      </c>
    </row>
    <row r="99" spans="1:8" ht="47.25" customHeight="1">
      <c r="A99" s="1" t="s">
        <v>24</v>
      </c>
      <c r="B99" s="9" t="s">
        <v>31</v>
      </c>
      <c r="C99" s="1"/>
      <c r="D99" s="1">
        <v>321</v>
      </c>
      <c r="E99" s="1">
        <v>2025</v>
      </c>
      <c r="F99" s="5" t="s">
        <v>20</v>
      </c>
      <c r="G99" s="3">
        <f t="shared" si="18"/>
        <v>0</v>
      </c>
      <c r="H99" s="4">
        <f t="shared" si="19"/>
        <v>321</v>
      </c>
    </row>
  </sheetData>
  <protectedRanges>
    <protectedRange sqref="C1:E99" name="Textbooks"/>
    <protectedRange sqref="F1:F99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9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zoomScale="70" zoomScaleNormal="70" workbookViewId="0">
      <pane ySplit="2" topLeftCell="A3" activePane="bottomLeft" state="frozen"/>
      <selection pane="bottomLeft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0" t="s">
        <v>33</v>
      </c>
      <c r="E1" s="40"/>
      <c r="F1" s="40"/>
      <c r="G1" s="40"/>
      <c r="H1" s="40"/>
      <c r="I1" s="40"/>
      <c r="J1" s="41" t="s">
        <v>34</v>
      </c>
      <c r="K1" s="41"/>
      <c r="L1" s="41"/>
      <c r="M1" s="41"/>
      <c r="N1" s="41"/>
      <c r="O1" s="41"/>
      <c r="P1" s="42" t="s">
        <v>35</v>
      </c>
      <c r="Q1" s="42"/>
      <c r="R1" s="42"/>
      <c r="S1" s="42"/>
      <c r="T1" s="42"/>
      <c r="U1" s="42"/>
      <c r="V1" s="43" t="s">
        <v>36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44" t="s">
        <v>46</v>
      </c>
      <c r="N2" s="44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45" t="s">
        <v>58</v>
      </c>
      <c r="Z2" s="45" t="s">
        <v>59</v>
      </c>
      <c r="AA2" s="26" t="s">
        <v>60</v>
      </c>
    </row>
    <row r="3" spans="1:27" ht="30.6" customHeight="1">
      <c r="A3" s="39" t="s">
        <v>61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62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62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62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21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22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21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23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22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21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23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22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21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23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22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24</v>
      </c>
      <c r="B103" s="9" t="s">
        <v>25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24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24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24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24</v>
      </c>
      <c r="B107" s="9" t="s">
        <v>30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24</v>
      </c>
      <c r="B108" s="9" t="s">
        <v>63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24</v>
      </c>
      <c r="B109" s="9" t="s">
        <v>32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24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zoomScale="55" zoomScaleNormal="55" workbookViewId="0">
      <pane ySplit="2" topLeftCell="A65" activePane="bottomLeft" state="frozen"/>
      <selection pane="bottomLeft" activeCell="B1" sqref="B1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0" t="s">
        <v>33</v>
      </c>
      <c r="E1" s="40"/>
      <c r="F1" s="40"/>
      <c r="G1" s="40"/>
      <c r="H1" s="40"/>
      <c r="I1" s="40"/>
      <c r="J1" s="41" t="s">
        <v>34</v>
      </c>
      <c r="K1" s="41"/>
      <c r="L1" s="41"/>
      <c r="M1" s="41"/>
      <c r="N1" s="41"/>
      <c r="O1" s="41"/>
      <c r="P1" s="42" t="s">
        <v>35</v>
      </c>
      <c r="Q1" s="42"/>
      <c r="R1" s="42"/>
      <c r="S1" s="42"/>
      <c r="T1" s="42"/>
      <c r="U1" s="42"/>
      <c r="V1" s="43" t="s">
        <v>36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64</v>
      </c>
      <c r="E2" s="20" t="s">
        <v>65</v>
      </c>
      <c r="F2" s="21" t="s">
        <v>66</v>
      </c>
      <c r="G2" s="24" t="s">
        <v>67</v>
      </c>
      <c r="H2" s="17" t="s">
        <v>68</v>
      </c>
      <c r="I2" s="24" t="s">
        <v>69</v>
      </c>
      <c r="J2" s="22" t="s">
        <v>70</v>
      </c>
      <c r="K2" s="22" t="s">
        <v>71</v>
      </c>
      <c r="L2" s="23" t="s">
        <v>72</v>
      </c>
      <c r="M2" s="44" t="s">
        <v>73</v>
      </c>
      <c r="N2" s="44" t="s">
        <v>74</v>
      </c>
      <c r="O2" s="22" t="s">
        <v>75</v>
      </c>
      <c r="P2" s="24" t="s">
        <v>76</v>
      </c>
      <c r="Q2" s="24" t="s">
        <v>77</v>
      </c>
      <c r="R2" s="25" t="s">
        <v>78</v>
      </c>
      <c r="S2" s="17" t="s">
        <v>79</v>
      </c>
      <c r="T2" s="17" t="s">
        <v>80</v>
      </c>
      <c r="U2" s="24" t="s">
        <v>81</v>
      </c>
      <c r="V2" s="26" t="s">
        <v>82</v>
      </c>
      <c r="W2" s="26" t="s">
        <v>83</v>
      </c>
      <c r="X2" s="27" t="s">
        <v>84</v>
      </c>
      <c r="Y2" s="45" t="s">
        <v>85</v>
      </c>
      <c r="Z2" s="45" t="s">
        <v>86</v>
      </c>
      <c r="AA2" s="26" t="s">
        <v>87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62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62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62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88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89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90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91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88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89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90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91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88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89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90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91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21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88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89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22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90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91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21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23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88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89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22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90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91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21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23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88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89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22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90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91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21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23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88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89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22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90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91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24</v>
      </c>
      <c r="B115" s="9" t="s">
        <v>25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24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24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24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24</v>
      </c>
      <c r="B119" s="9" t="s">
        <v>30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24</v>
      </c>
      <c r="B120" s="9" t="s">
        <v>63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24</v>
      </c>
      <c r="B121" s="9" t="s">
        <v>32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24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2025-11-19T20:48:15Z</dcterms:created>
  <dcterms:modified xsi:type="dcterms:W3CDTF">2025-12-04T05:10:10Z</dcterms:modified>
  <cp:category/>
  <cp:contentStatus/>
</cp:coreProperties>
</file>