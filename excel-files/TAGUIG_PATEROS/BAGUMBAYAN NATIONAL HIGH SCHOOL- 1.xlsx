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/>
  <xr:revisionPtr revIDLastSave="68" documentId="11_21C1986EC3BCA2B4366620E3550E7958752250F5" xr6:coauthVersionLast="47" xr6:coauthVersionMax="47" xr10:uidLastSave="{D5481A18-B1EF-4AA7-BB48-47F44B53D5E2}"/>
  <bookViews>
    <workbookView xWindow="0" yWindow="0" windowWidth="21600" windowHeight="9600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2" i="5" l="1"/>
  <c r="D122" i="5"/>
  <c r="J121" i="5"/>
  <c r="D121" i="5"/>
  <c r="J120" i="5"/>
  <c r="D120" i="5"/>
  <c r="J119" i="5"/>
  <c r="D119" i="5"/>
  <c r="J118" i="5"/>
  <c r="D118" i="5"/>
  <c r="J117" i="5"/>
  <c r="D117" i="5"/>
  <c r="J116" i="5"/>
  <c r="D116" i="5"/>
  <c r="J115" i="5"/>
  <c r="D115" i="5"/>
  <c r="O113" i="5"/>
  <c r="N113" i="5"/>
  <c r="O112" i="5"/>
  <c r="N112" i="5"/>
  <c r="O111" i="5"/>
  <c r="N111" i="5"/>
  <c r="O110" i="5"/>
  <c r="N110" i="5"/>
  <c r="O109" i="5"/>
  <c r="N109" i="5"/>
  <c r="O108" i="5"/>
  <c r="N108" i="5"/>
  <c r="O107" i="5"/>
  <c r="N107" i="5"/>
  <c r="O106" i="5"/>
  <c r="N106" i="5"/>
  <c r="O105" i="5"/>
  <c r="N105" i="5"/>
  <c r="O104" i="5"/>
  <c r="N104" i="5"/>
  <c r="O103" i="5"/>
  <c r="N103" i="5"/>
  <c r="O101" i="5"/>
  <c r="N101" i="5"/>
  <c r="O100" i="5"/>
  <c r="N100" i="5"/>
  <c r="O99" i="5"/>
  <c r="N99" i="5"/>
  <c r="O98" i="5"/>
  <c r="N98" i="5"/>
  <c r="O97" i="5"/>
  <c r="N97" i="5"/>
  <c r="O96" i="5"/>
  <c r="N96" i="5"/>
  <c r="O95" i="5"/>
  <c r="N95" i="5"/>
  <c r="O94" i="5"/>
  <c r="N94" i="5"/>
  <c r="O93" i="5"/>
  <c r="N93" i="5"/>
  <c r="O92" i="5"/>
  <c r="N92" i="5"/>
  <c r="O91" i="5"/>
  <c r="N91" i="5"/>
  <c r="O89" i="5"/>
  <c r="N89" i="5"/>
  <c r="O88" i="5"/>
  <c r="N88" i="5"/>
  <c r="O87" i="5"/>
  <c r="N87" i="5"/>
  <c r="O86" i="5"/>
  <c r="N86" i="5"/>
  <c r="O85" i="5"/>
  <c r="N85" i="5"/>
  <c r="O84" i="5"/>
  <c r="N84" i="5"/>
  <c r="O83" i="5"/>
  <c r="N83" i="5"/>
  <c r="O82" i="5"/>
  <c r="N82" i="5"/>
  <c r="O81" i="5"/>
  <c r="N81" i="5"/>
  <c r="O80" i="5"/>
  <c r="N80" i="5"/>
  <c r="O79" i="5"/>
  <c r="N79" i="5"/>
  <c r="O77" i="5"/>
  <c r="N77" i="5"/>
  <c r="O76" i="5"/>
  <c r="N76" i="5"/>
  <c r="O75" i="5"/>
  <c r="N75" i="5"/>
  <c r="O74" i="5"/>
  <c r="N74" i="5"/>
  <c r="O73" i="5"/>
  <c r="N73" i="5"/>
  <c r="O72" i="5"/>
  <c r="N72" i="5"/>
  <c r="O71" i="5"/>
  <c r="N71" i="5"/>
  <c r="O70" i="5"/>
  <c r="N70" i="5"/>
  <c r="O69" i="5"/>
  <c r="N69" i="5"/>
  <c r="O68" i="5"/>
  <c r="N68" i="5"/>
  <c r="O67" i="5"/>
  <c r="N67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V122" i="5"/>
  <c r="P122" i="5"/>
  <c r="V121" i="5"/>
  <c r="P121" i="5"/>
  <c r="V120" i="5"/>
  <c r="P120" i="5"/>
  <c r="V119" i="5"/>
  <c r="P119" i="5"/>
  <c r="V118" i="5"/>
  <c r="P118" i="5"/>
  <c r="V117" i="5"/>
  <c r="P117" i="5"/>
  <c r="V116" i="5"/>
  <c r="P116" i="5"/>
  <c r="V115" i="5"/>
  <c r="P115" i="5"/>
  <c r="V113" i="5"/>
  <c r="P113" i="5"/>
  <c r="V112" i="5"/>
  <c r="P112" i="5"/>
  <c r="V111" i="5"/>
  <c r="P111" i="5"/>
  <c r="V110" i="5"/>
  <c r="P110" i="5"/>
  <c r="V109" i="5"/>
  <c r="P109" i="5"/>
  <c r="V108" i="5"/>
  <c r="P108" i="5"/>
  <c r="V107" i="5"/>
  <c r="P107" i="5"/>
  <c r="V106" i="5"/>
  <c r="P106" i="5"/>
  <c r="V105" i="5"/>
  <c r="P105" i="5"/>
  <c r="V104" i="5"/>
  <c r="P104" i="5"/>
  <c r="V103" i="5"/>
  <c r="P103" i="5"/>
  <c r="V101" i="5"/>
  <c r="P101" i="5"/>
  <c r="V100" i="5"/>
  <c r="P100" i="5"/>
  <c r="V99" i="5"/>
  <c r="P99" i="5"/>
  <c r="V98" i="5"/>
  <c r="P98" i="5"/>
  <c r="V97" i="5"/>
  <c r="P97" i="5"/>
  <c r="V96" i="5"/>
  <c r="P96" i="5"/>
  <c r="V95" i="5"/>
  <c r="P95" i="5"/>
  <c r="V94" i="5"/>
  <c r="P94" i="5"/>
  <c r="V93" i="5"/>
  <c r="P93" i="5"/>
  <c r="V92" i="5"/>
  <c r="P92" i="5"/>
  <c r="V91" i="5"/>
  <c r="P91" i="5"/>
  <c r="V89" i="5"/>
  <c r="P89" i="5"/>
  <c r="V88" i="5"/>
  <c r="P88" i="5"/>
  <c r="V87" i="5"/>
  <c r="P87" i="5"/>
  <c r="V86" i="5"/>
  <c r="P86" i="5"/>
  <c r="V85" i="5"/>
  <c r="P85" i="5"/>
  <c r="V84" i="5"/>
  <c r="P84" i="5"/>
  <c r="V83" i="5"/>
  <c r="P83" i="5"/>
  <c r="V82" i="5"/>
  <c r="P82" i="5"/>
  <c r="V81" i="5"/>
  <c r="P81" i="5"/>
  <c r="V80" i="5"/>
  <c r="P80" i="5"/>
  <c r="V79" i="5"/>
  <c r="P79" i="5"/>
  <c r="V77" i="5"/>
  <c r="P77" i="5"/>
  <c r="V76" i="5"/>
  <c r="P76" i="5"/>
  <c r="V75" i="5"/>
  <c r="P75" i="5"/>
  <c r="V74" i="5"/>
  <c r="P74" i="5"/>
  <c r="V73" i="5"/>
  <c r="P73" i="5"/>
  <c r="V72" i="5"/>
  <c r="P72" i="5"/>
  <c r="V71" i="5"/>
  <c r="P71" i="5"/>
  <c r="V70" i="5"/>
  <c r="P70" i="5"/>
  <c r="V69" i="5"/>
  <c r="P69" i="5"/>
  <c r="V68" i="5"/>
  <c r="P68" i="5"/>
  <c r="V67" i="5"/>
  <c r="P67" i="5"/>
  <c r="V65" i="5"/>
  <c r="P65" i="5"/>
  <c r="J65" i="5"/>
  <c r="D65" i="5"/>
  <c r="V64" i="5"/>
  <c r="P64" i="5"/>
  <c r="J64" i="5"/>
  <c r="D64" i="5"/>
  <c r="V63" i="5"/>
  <c r="P63" i="5"/>
  <c r="J63" i="5"/>
  <c r="D63" i="5"/>
  <c r="V62" i="5"/>
  <c r="P62" i="5"/>
  <c r="J62" i="5"/>
  <c r="D62" i="5"/>
  <c r="V61" i="5"/>
  <c r="P61" i="5"/>
  <c r="J61" i="5"/>
  <c r="D61" i="5"/>
  <c r="V60" i="5"/>
  <c r="P60" i="5"/>
  <c r="J60" i="5"/>
  <c r="D60" i="5"/>
  <c r="V59" i="5"/>
  <c r="P59" i="5"/>
  <c r="J59" i="5"/>
  <c r="D59" i="5"/>
  <c r="V58" i="5"/>
  <c r="P58" i="5"/>
  <c r="J58" i="5"/>
  <c r="D58" i="5"/>
  <c r="V57" i="5"/>
  <c r="P57" i="5"/>
  <c r="J57" i="5"/>
  <c r="D57" i="5"/>
  <c r="V56" i="5"/>
  <c r="P56" i="5"/>
  <c r="J56" i="5"/>
  <c r="D56" i="5"/>
  <c r="V55" i="5"/>
  <c r="P55" i="5"/>
  <c r="J55" i="5"/>
  <c r="D55" i="5"/>
  <c r="V53" i="5"/>
  <c r="P53" i="5"/>
  <c r="J53" i="5"/>
  <c r="D53" i="5"/>
  <c r="V52" i="5"/>
  <c r="P52" i="5"/>
  <c r="J52" i="5"/>
  <c r="D52" i="5"/>
  <c r="V51" i="5"/>
  <c r="P51" i="5"/>
  <c r="J51" i="5"/>
  <c r="D51" i="5"/>
  <c r="V50" i="5"/>
  <c r="P50" i="5"/>
  <c r="J50" i="5"/>
  <c r="D50" i="5"/>
  <c r="V49" i="5"/>
  <c r="P49" i="5"/>
  <c r="J49" i="5"/>
  <c r="D49" i="5"/>
  <c r="V48" i="5"/>
  <c r="P48" i="5"/>
  <c r="J48" i="5"/>
  <c r="D48" i="5"/>
  <c r="V47" i="5"/>
  <c r="P47" i="5"/>
  <c r="J47" i="5"/>
  <c r="D47" i="5"/>
  <c r="V46" i="5"/>
  <c r="P46" i="5"/>
  <c r="J46" i="5"/>
  <c r="D46" i="5"/>
  <c r="V45" i="5"/>
  <c r="P45" i="5"/>
  <c r="J45" i="5"/>
  <c r="D45" i="5"/>
  <c r="V44" i="5"/>
  <c r="P44" i="5"/>
  <c r="J44" i="5"/>
  <c r="D44" i="5"/>
  <c r="V43" i="5"/>
  <c r="P43" i="5"/>
  <c r="J43" i="5"/>
  <c r="D43" i="5"/>
  <c r="V41" i="5"/>
  <c r="P41" i="5"/>
  <c r="J41" i="5"/>
  <c r="D41" i="5"/>
  <c r="V40" i="5"/>
  <c r="P40" i="5"/>
  <c r="J40" i="5"/>
  <c r="D40" i="5"/>
  <c r="V39" i="5"/>
  <c r="P39" i="5"/>
  <c r="J39" i="5"/>
  <c r="D39" i="5"/>
  <c r="V38" i="5"/>
  <c r="P38" i="5"/>
  <c r="J38" i="5"/>
  <c r="D38" i="5"/>
  <c r="V37" i="5"/>
  <c r="P37" i="5"/>
  <c r="J37" i="5"/>
  <c r="D37" i="5"/>
  <c r="V36" i="5"/>
  <c r="P36" i="5"/>
  <c r="J36" i="5"/>
  <c r="D36" i="5"/>
  <c r="V35" i="5"/>
  <c r="P35" i="5"/>
  <c r="J35" i="5"/>
  <c r="D35" i="5"/>
  <c r="V34" i="5"/>
  <c r="P34" i="5"/>
  <c r="J34" i="5"/>
  <c r="D34" i="5"/>
  <c r="V33" i="5"/>
  <c r="P33" i="5"/>
  <c r="J33" i="5"/>
  <c r="D33" i="5"/>
  <c r="V32" i="5"/>
  <c r="P32" i="5"/>
  <c r="J32" i="5"/>
  <c r="D32" i="5"/>
  <c r="V31" i="5"/>
  <c r="P31" i="5"/>
  <c r="J31" i="5"/>
  <c r="D31" i="5"/>
  <c r="V29" i="5"/>
  <c r="P29" i="5"/>
  <c r="J29" i="5"/>
  <c r="D29" i="5"/>
  <c r="V28" i="5"/>
  <c r="P28" i="5"/>
  <c r="J28" i="5"/>
  <c r="D28" i="5"/>
  <c r="V27" i="5"/>
  <c r="P27" i="5"/>
  <c r="J27" i="5"/>
  <c r="D27" i="5"/>
  <c r="V26" i="5"/>
  <c r="P26" i="5"/>
  <c r="J26" i="5"/>
  <c r="D26" i="5"/>
  <c r="V25" i="5"/>
  <c r="P25" i="5"/>
  <c r="J25" i="5"/>
  <c r="D25" i="5"/>
  <c r="V24" i="5"/>
  <c r="P24" i="5"/>
  <c r="J24" i="5"/>
  <c r="D24" i="5"/>
  <c r="V23" i="5"/>
  <c r="P23" i="5"/>
  <c r="J23" i="5"/>
  <c r="D23" i="5"/>
  <c r="V22" i="5"/>
  <c r="P22" i="5"/>
  <c r="J22" i="5"/>
  <c r="D22" i="5"/>
  <c r="V21" i="5"/>
  <c r="P21" i="5"/>
  <c r="J21" i="5"/>
  <c r="D21" i="5"/>
  <c r="V19" i="5"/>
  <c r="P19" i="5"/>
  <c r="J19" i="5"/>
  <c r="D19" i="5"/>
  <c r="V18" i="5"/>
  <c r="P18" i="5"/>
  <c r="J18" i="5"/>
  <c r="D18" i="5"/>
  <c r="V17" i="5"/>
  <c r="P17" i="5"/>
  <c r="J17" i="5"/>
  <c r="D17" i="5"/>
  <c r="V16" i="5"/>
  <c r="P16" i="5"/>
  <c r="J16" i="5"/>
  <c r="D16" i="5"/>
  <c r="V15" i="5"/>
  <c r="P15" i="5"/>
  <c r="J15" i="5"/>
  <c r="D15" i="5"/>
  <c r="V14" i="5"/>
  <c r="P14" i="5"/>
  <c r="J14" i="5"/>
  <c r="D14" i="5"/>
  <c r="V13" i="5"/>
  <c r="P13" i="5"/>
  <c r="J13" i="5"/>
  <c r="D13" i="5"/>
  <c r="V12" i="5"/>
  <c r="P12" i="5"/>
  <c r="J12" i="5"/>
  <c r="D12" i="5"/>
  <c r="V10" i="5"/>
  <c r="P10" i="5"/>
  <c r="J10" i="5"/>
  <c r="D10" i="5"/>
  <c r="V9" i="5"/>
  <c r="P9" i="5"/>
  <c r="J9" i="5"/>
  <c r="D9" i="5"/>
  <c r="V8" i="5"/>
  <c r="P8" i="5"/>
  <c r="J8" i="5"/>
  <c r="D8" i="5"/>
  <c r="V7" i="5"/>
  <c r="P7" i="5"/>
  <c r="J7" i="5"/>
  <c r="D7" i="5"/>
  <c r="V6" i="5"/>
  <c r="P6" i="5"/>
  <c r="J6" i="5"/>
  <c r="D6" i="5"/>
  <c r="V5" i="5"/>
  <c r="P5" i="5"/>
  <c r="J5" i="5"/>
  <c r="D5" i="5"/>
  <c r="V4" i="5"/>
  <c r="P4" i="5"/>
  <c r="J4" i="5"/>
  <c r="D4" i="5"/>
  <c r="V3" i="5"/>
  <c r="P3" i="5"/>
  <c r="J3" i="5"/>
  <c r="D3" i="5"/>
  <c r="V70" i="4"/>
  <c r="U70" i="4"/>
  <c r="T70" i="4"/>
  <c r="J70" i="4"/>
  <c r="I70" i="4"/>
  <c r="H70" i="4"/>
  <c r="V69" i="4"/>
  <c r="P69" i="4"/>
  <c r="J69" i="4"/>
  <c r="I69" i="4"/>
  <c r="H69" i="4"/>
  <c r="V68" i="4"/>
  <c r="P68" i="4"/>
  <c r="J68" i="4"/>
  <c r="I68" i="4"/>
  <c r="H68" i="4"/>
  <c r="V67" i="4"/>
  <c r="P67" i="4"/>
  <c r="J67" i="4"/>
  <c r="I67" i="4"/>
  <c r="H67" i="4"/>
  <c r="V66" i="4"/>
  <c r="P66" i="4"/>
  <c r="J66" i="4"/>
  <c r="I66" i="4"/>
  <c r="H66" i="4"/>
  <c r="V65" i="4"/>
  <c r="P65" i="4"/>
  <c r="J65" i="4"/>
  <c r="I65" i="4"/>
  <c r="H65" i="4"/>
  <c r="V64" i="4"/>
  <c r="P64" i="4"/>
  <c r="J64" i="4"/>
  <c r="I64" i="4"/>
  <c r="H64" i="4"/>
  <c r="V63" i="4"/>
  <c r="P63" i="4"/>
  <c r="J63" i="4"/>
  <c r="I63" i="4"/>
  <c r="H63" i="4"/>
  <c r="V62" i="4"/>
  <c r="P62" i="4"/>
  <c r="J62" i="4"/>
  <c r="I62" i="4"/>
  <c r="H62" i="4"/>
  <c r="V61" i="4"/>
  <c r="P61" i="4"/>
  <c r="J61" i="4"/>
  <c r="I61" i="4"/>
  <c r="H61" i="4"/>
  <c r="V60" i="4"/>
  <c r="P60" i="4"/>
  <c r="J60" i="4"/>
  <c r="I60" i="4"/>
  <c r="H60" i="4"/>
  <c r="V59" i="4"/>
  <c r="P59" i="4"/>
  <c r="J59" i="4"/>
  <c r="I59" i="4"/>
  <c r="H59" i="4"/>
  <c r="V58" i="4"/>
  <c r="P58" i="4"/>
  <c r="J58" i="4"/>
  <c r="I58" i="4"/>
  <c r="H58" i="4"/>
  <c r="V57" i="4"/>
  <c r="P57" i="4"/>
  <c r="J57" i="4"/>
  <c r="I57" i="4"/>
  <c r="H57" i="4"/>
  <c r="V56" i="4"/>
  <c r="P56" i="4"/>
  <c r="J56" i="4"/>
  <c r="I56" i="4"/>
  <c r="H56" i="4"/>
  <c r="V55" i="4"/>
  <c r="P55" i="4"/>
  <c r="J55" i="4"/>
  <c r="I55" i="4"/>
  <c r="H55" i="4"/>
  <c r="V53" i="4"/>
  <c r="P53" i="4"/>
  <c r="J53" i="4"/>
  <c r="D53" i="4"/>
  <c r="V52" i="4"/>
  <c r="P52" i="4"/>
  <c r="J52" i="4"/>
  <c r="D52" i="4"/>
  <c r="V51" i="4"/>
  <c r="P51" i="4"/>
  <c r="J51" i="4"/>
  <c r="D51" i="4"/>
  <c r="V50" i="4"/>
  <c r="P50" i="4"/>
  <c r="J50" i="4"/>
  <c r="D50" i="4"/>
  <c r="V49" i="4"/>
  <c r="P49" i="4"/>
  <c r="J49" i="4"/>
  <c r="D49" i="4"/>
  <c r="V48" i="4"/>
  <c r="P48" i="4"/>
  <c r="J48" i="4"/>
  <c r="D48" i="4"/>
  <c r="V47" i="4"/>
  <c r="P47" i="4"/>
  <c r="J47" i="4"/>
  <c r="D47" i="4"/>
  <c r="V46" i="4"/>
  <c r="P46" i="4"/>
  <c r="J46" i="4"/>
  <c r="D46" i="4"/>
  <c r="V44" i="4"/>
  <c r="P44" i="4"/>
  <c r="J44" i="4"/>
  <c r="D44" i="4"/>
  <c r="V43" i="4"/>
  <c r="P43" i="4"/>
  <c r="J43" i="4"/>
  <c r="D43" i="4"/>
  <c r="V42" i="4"/>
  <c r="P42" i="4"/>
  <c r="J42" i="4"/>
  <c r="D42" i="4"/>
  <c r="V41" i="4"/>
  <c r="P41" i="4"/>
  <c r="J41" i="4"/>
  <c r="D41" i="4"/>
  <c r="V40" i="4"/>
  <c r="P40" i="4"/>
  <c r="J40" i="4"/>
  <c r="D40" i="4"/>
  <c r="V39" i="4"/>
  <c r="P39" i="4"/>
  <c r="J39" i="4"/>
  <c r="D39" i="4"/>
  <c r="V38" i="4"/>
  <c r="P38" i="4"/>
  <c r="J38" i="4"/>
  <c r="D38" i="4"/>
  <c r="V37" i="4"/>
  <c r="P37" i="4"/>
  <c r="J37" i="4"/>
  <c r="D37" i="4"/>
  <c r="V36" i="4"/>
  <c r="P36" i="4"/>
  <c r="J36" i="4"/>
  <c r="D36" i="4"/>
  <c r="V34" i="4"/>
  <c r="P34" i="4"/>
  <c r="J34" i="4"/>
  <c r="D34" i="4"/>
  <c r="V33" i="4"/>
  <c r="P33" i="4"/>
  <c r="J33" i="4"/>
  <c r="D33" i="4"/>
  <c r="V32" i="4"/>
  <c r="P32" i="4"/>
  <c r="J32" i="4"/>
  <c r="D32" i="4"/>
  <c r="V31" i="4"/>
  <c r="P31" i="4"/>
  <c r="J31" i="4"/>
  <c r="D31" i="4"/>
  <c r="V30" i="4"/>
  <c r="P30" i="4"/>
  <c r="J30" i="4"/>
  <c r="D30" i="4"/>
  <c r="V29" i="4"/>
  <c r="P29" i="4"/>
  <c r="J29" i="4"/>
  <c r="D29" i="4"/>
  <c r="V28" i="4"/>
  <c r="P28" i="4"/>
  <c r="J28" i="4"/>
  <c r="D28" i="4"/>
  <c r="V27" i="4"/>
  <c r="P27" i="4"/>
  <c r="J27" i="4"/>
  <c r="D27" i="4"/>
  <c r="V26" i="4"/>
  <c r="P26" i="4"/>
  <c r="J26" i="4"/>
  <c r="D26" i="4"/>
  <c r="V24" i="4"/>
  <c r="P24" i="4"/>
  <c r="J24" i="4"/>
  <c r="D24" i="4"/>
  <c r="V23" i="4"/>
  <c r="P23" i="4"/>
  <c r="J23" i="4"/>
  <c r="D23" i="4"/>
  <c r="V22" i="4"/>
  <c r="P22" i="4"/>
  <c r="J22" i="4"/>
  <c r="D22" i="4"/>
  <c r="V21" i="4"/>
  <c r="P21" i="4"/>
  <c r="J21" i="4"/>
  <c r="D21" i="4"/>
  <c r="V20" i="4"/>
  <c r="P20" i="4"/>
  <c r="J20" i="4"/>
  <c r="D20" i="4"/>
  <c r="V19" i="4"/>
  <c r="P19" i="4"/>
  <c r="J19" i="4"/>
  <c r="D19" i="4"/>
  <c r="V18" i="4"/>
  <c r="P18" i="4"/>
  <c r="J18" i="4"/>
  <c r="D18" i="4"/>
  <c r="V17" i="4"/>
  <c r="P17" i="4"/>
  <c r="J17" i="4"/>
  <c r="D17" i="4"/>
  <c r="V16" i="4"/>
  <c r="P16" i="4"/>
  <c r="J16" i="4"/>
  <c r="D16" i="4"/>
  <c r="V14" i="4"/>
  <c r="P14" i="4"/>
  <c r="J14" i="4"/>
  <c r="D14" i="4"/>
  <c r="V13" i="4"/>
  <c r="P13" i="4"/>
  <c r="J13" i="4"/>
  <c r="D13" i="4"/>
  <c r="V12" i="4"/>
  <c r="P12" i="4"/>
  <c r="J12" i="4"/>
  <c r="D12" i="4"/>
  <c r="V11" i="4"/>
  <c r="P11" i="4"/>
  <c r="J11" i="4"/>
  <c r="D11" i="4"/>
  <c r="V10" i="4"/>
  <c r="P10" i="4"/>
  <c r="J10" i="4"/>
  <c r="D10" i="4"/>
  <c r="V9" i="4"/>
  <c r="P9" i="4"/>
  <c r="J9" i="4"/>
  <c r="D9" i="4"/>
  <c r="V8" i="4"/>
  <c r="P8" i="4"/>
  <c r="J8" i="4"/>
  <c r="D8" i="4"/>
  <c r="V7" i="4"/>
  <c r="P7" i="4"/>
  <c r="J7" i="4"/>
  <c r="D7" i="4"/>
  <c r="V6" i="4"/>
  <c r="P6" i="4"/>
  <c r="J6" i="4"/>
  <c r="D6" i="4"/>
  <c r="V3" i="4"/>
  <c r="P3" i="4"/>
  <c r="J3" i="4"/>
  <c r="D3" i="4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6" i="1"/>
  <c r="G6" i="1"/>
  <c r="H5" i="1"/>
  <c r="G5" i="1"/>
  <c r="H4" i="1"/>
  <c r="G4" i="1"/>
  <c r="H3" i="1"/>
  <c r="G3" i="1"/>
  <c r="H2" i="1"/>
  <c r="G2" i="1"/>
  <c r="I3" i="4" l="1"/>
  <c r="H3" i="4"/>
  <c r="O3" i="4"/>
  <c r="N3" i="4"/>
  <c r="U3" i="4"/>
  <c r="T3" i="4"/>
  <c r="AA3" i="4"/>
  <c r="Z3" i="4"/>
  <c r="I6" i="4"/>
  <c r="H6" i="4"/>
  <c r="O6" i="4"/>
  <c r="N6" i="4"/>
  <c r="U6" i="4"/>
  <c r="T6" i="4"/>
  <c r="AA6" i="4"/>
  <c r="Z6" i="4"/>
  <c r="I7" i="4"/>
  <c r="H7" i="4"/>
  <c r="O7" i="4"/>
  <c r="N7" i="4"/>
  <c r="U7" i="4"/>
  <c r="T7" i="4"/>
  <c r="AA7" i="4"/>
  <c r="Z7" i="4"/>
  <c r="I8" i="4"/>
  <c r="H8" i="4"/>
  <c r="O8" i="4"/>
  <c r="N8" i="4"/>
  <c r="U8" i="4"/>
  <c r="T8" i="4"/>
  <c r="AA8" i="4"/>
  <c r="Z8" i="4"/>
  <c r="I9" i="4"/>
  <c r="H9" i="4"/>
  <c r="O9" i="4"/>
  <c r="N9" i="4"/>
  <c r="U9" i="4"/>
  <c r="T9" i="4"/>
  <c r="AA9" i="4"/>
  <c r="Z9" i="4"/>
  <c r="I10" i="4"/>
  <c r="H10" i="4"/>
  <c r="O10" i="4"/>
  <c r="N10" i="4"/>
  <c r="U10" i="4"/>
  <c r="T10" i="4"/>
  <c r="AA10" i="4"/>
  <c r="Z10" i="4"/>
  <c r="I11" i="4"/>
  <c r="H11" i="4"/>
  <c r="O11" i="4"/>
  <c r="N11" i="4"/>
  <c r="U11" i="4"/>
  <c r="T11" i="4"/>
  <c r="AA11" i="4"/>
  <c r="Z11" i="4"/>
  <c r="I12" i="4"/>
  <c r="H12" i="4"/>
  <c r="O12" i="4"/>
  <c r="N12" i="4"/>
  <c r="U12" i="4"/>
  <c r="T12" i="4"/>
  <c r="AA12" i="4"/>
  <c r="Z12" i="4"/>
  <c r="I13" i="4"/>
  <c r="H13" i="4"/>
  <c r="O13" i="4"/>
  <c r="N13" i="4"/>
  <c r="U13" i="4"/>
  <c r="T13" i="4"/>
  <c r="AA13" i="4"/>
  <c r="Z13" i="4"/>
  <c r="I14" i="4"/>
  <c r="H14" i="4"/>
  <c r="O14" i="4"/>
  <c r="N14" i="4"/>
  <c r="U14" i="4"/>
  <c r="T14" i="4"/>
  <c r="AA14" i="4"/>
  <c r="Z14" i="4"/>
  <c r="I16" i="4"/>
  <c r="H16" i="4"/>
  <c r="O16" i="4"/>
  <c r="N16" i="4"/>
  <c r="U16" i="4"/>
  <c r="T16" i="4"/>
  <c r="AA16" i="4"/>
  <c r="Z16" i="4"/>
  <c r="I17" i="4"/>
  <c r="H17" i="4"/>
  <c r="O17" i="4"/>
  <c r="N17" i="4"/>
  <c r="U17" i="4"/>
  <c r="T17" i="4"/>
  <c r="AA17" i="4"/>
  <c r="Z17" i="4"/>
  <c r="I18" i="4"/>
  <c r="H18" i="4"/>
  <c r="O18" i="4"/>
  <c r="N18" i="4"/>
  <c r="U18" i="4"/>
  <c r="T18" i="4"/>
  <c r="AA18" i="4"/>
  <c r="Z18" i="4"/>
  <c r="I19" i="4"/>
  <c r="H19" i="4"/>
  <c r="O19" i="4"/>
  <c r="N19" i="4"/>
  <c r="U19" i="4"/>
  <c r="T19" i="4"/>
  <c r="AA19" i="4"/>
  <c r="Z19" i="4"/>
  <c r="I20" i="4"/>
  <c r="H20" i="4"/>
  <c r="O20" i="4"/>
  <c r="N20" i="4"/>
  <c r="U20" i="4"/>
  <c r="T20" i="4"/>
  <c r="AA20" i="4"/>
  <c r="Z20" i="4"/>
  <c r="I21" i="4"/>
  <c r="H21" i="4"/>
  <c r="O21" i="4"/>
  <c r="N21" i="4"/>
  <c r="U21" i="4"/>
  <c r="T21" i="4"/>
  <c r="AA21" i="4"/>
  <c r="Z21" i="4"/>
  <c r="I22" i="4"/>
  <c r="H22" i="4"/>
  <c r="O22" i="4"/>
  <c r="N22" i="4"/>
  <c r="U22" i="4"/>
  <c r="T22" i="4"/>
  <c r="AA22" i="4"/>
  <c r="Z22" i="4"/>
  <c r="I23" i="4"/>
  <c r="H23" i="4"/>
  <c r="O23" i="4"/>
  <c r="N23" i="4"/>
  <c r="U23" i="4"/>
  <c r="T23" i="4"/>
  <c r="AA23" i="4"/>
  <c r="Z23" i="4"/>
  <c r="I24" i="4"/>
  <c r="H24" i="4"/>
  <c r="O24" i="4"/>
  <c r="N24" i="4"/>
  <c r="U24" i="4"/>
  <c r="T24" i="4"/>
  <c r="AA24" i="4"/>
  <c r="Z24" i="4"/>
  <c r="I26" i="4"/>
  <c r="H26" i="4"/>
  <c r="O26" i="4"/>
  <c r="N26" i="4"/>
  <c r="U26" i="4"/>
  <c r="T26" i="4"/>
  <c r="AA26" i="4"/>
  <c r="Z26" i="4"/>
  <c r="I27" i="4"/>
  <c r="H27" i="4"/>
  <c r="O27" i="4"/>
  <c r="N27" i="4"/>
  <c r="U27" i="4"/>
  <c r="T27" i="4"/>
  <c r="AA27" i="4"/>
  <c r="Z27" i="4"/>
  <c r="I28" i="4"/>
  <c r="H28" i="4"/>
  <c r="O28" i="4"/>
  <c r="N28" i="4"/>
  <c r="U28" i="4"/>
  <c r="T28" i="4"/>
  <c r="AA28" i="4"/>
  <c r="Z28" i="4"/>
  <c r="I29" i="4"/>
  <c r="H29" i="4"/>
  <c r="O29" i="4"/>
  <c r="N29" i="4"/>
  <c r="U29" i="4"/>
  <c r="T29" i="4"/>
  <c r="AA29" i="4"/>
  <c r="Z29" i="4"/>
  <c r="I30" i="4"/>
  <c r="H30" i="4"/>
  <c r="O30" i="4"/>
  <c r="N30" i="4"/>
  <c r="U30" i="4"/>
  <c r="T30" i="4"/>
  <c r="AA30" i="4"/>
  <c r="Z30" i="4"/>
  <c r="I31" i="4"/>
  <c r="H31" i="4"/>
  <c r="O31" i="4"/>
  <c r="N31" i="4"/>
  <c r="U31" i="4"/>
  <c r="T31" i="4"/>
  <c r="AA31" i="4"/>
  <c r="Z31" i="4"/>
  <c r="I32" i="4"/>
  <c r="H32" i="4"/>
  <c r="O32" i="4"/>
  <c r="N32" i="4"/>
  <c r="U32" i="4"/>
  <c r="T32" i="4"/>
  <c r="AA32" i="4"/>
  <c r="Z32" i="4"/>
  <c r="I33" i="4"/>
  <c r="H33" i="4"/>
  <c r="O33" i="4"/>
  <c r="N33" i="4"/>
  <c r="U33" i="4"/>
  <c r="T33" i="4"/>
  <c r="AA33" i="4"/>
  <c r="Z33" i="4"/>
  <c r="I34" i="4"/>
  <c r="H34" i="4"/>
  <c r="O34" i="4"/>
  <c r="N34" i="4"/>
  <c r="U34" i="4"/>
  <c r="T34" i="4"/>
  <c r="AA34" i="4"/>
  <c r="Z34" i="4"/>
  <c r="I36" i="4"/>
  <c r="H36" i="4"/>
  <c r="O36" i="4"/>
  <c r="N36" i="4"/>
  <c r="U36" i="4"/>
  <c r="T36" i="4"/>
  <c r="AA36" i="4"/>
  <c r="Z36" i="4"/>
  <c r="I37" i="4"/>
  <c r="H37" i="4"/>
  <c r="O37" i="4"/>
  <c r="N37" i="4"/>
  <c r="U37" i="4"/>
  <c r="T37" i="4"/>
  <c r="AA37" i="4"/>
  <c r="Z37" i="4"/>
  <c r="I38" i="4"/>
  <c r="H38" i="4"/>
  <c r="O38" i="4"/>
  <c r="N38" i="4"/>
  <c r="U38" i="4"/>
  <c r="T38" i="4"/>
  <c r="AA38" i="4"/>
  <c r="Z38" i="4"/>
  <c r="I39" i="4"/>
  <c r="H39" i="4"/>
  <c r="O39" i="4"/>
  <c r="N39" i="4"/>
  <c r="U39" i="4"/>
  <c r="T39" i="4"/>
  <c r="AA39" i="4"/>
  <c r="Z39" i="4"/>
  <c r="I40" i="4"/>
  <c r="H40" i="4"/>
  <c r="O40" i="4"/>
  <c r="N40" i="4"/>
  <c r="U40" i="4"/>
  <c r="T40" i="4"/>
  <c r="AA40" i="4"/>
  <c r="Z40" i="4"/>
  <c r="I41" i="4"/>
  <c r="H41" i="4"/>
  <c r="O41" i="4"/>
  <c r="N41" i="4"/>
  <c r="U41" i="4"/>
  <c r="T41" i="4"/>
  <c r="AA41" i="4"/>
  <c r="Z41" i="4"/>
  <c r="I42" i="4"/>
  <c r="H42" i="4"/>
  <c r="O42" i="4"/>
  <c r="N42" i="4"/>
  <c r="U42" i="4"/>
  <c r="T42" i="4"/>
  <c r="AA42" i="4"/>
  <c r="Z42" i="4"/>
  <c r="I43" i="4"/>
  <c r="H43" i="4"/>
  <c r="O43" i="4"/>
  <c r="N43" i="4"/>
  <c r="U43" i="4"/>
  <c r="T43" i="4"/>
  <c r="AA43" i="4"/>
  <c r="Z43" i="4"/>
  <c r="I44" i="4"/>
  <c r="H44" i="4"/>
  <c r="O44" i="4"/>
  <c r="N44" i="4"/>
  <c r="U44" i="4"/>
  <c r="T44" i="4"/>
  <c r="AA44" i="4"/>
  <c r="Z44" i="4"/>
  <c r="I46" i="4"/>
  <c r="H46" i="4"/>
  <c r="O46" i="4"/>
  <c r="N46" i="4"/>
  <c r="U46" i="4"/>
  <c r="T46" i="4"/>
  <c r="AA46" i="4"/>
  <c r="Z46" i="4"/>
  <c r="I47" i="4"/>
  <c r="H47" i="4"/>
  <c r="O47" i="4"/>
  <c r="N47" i="4"/>
  <c r="U47" i="4"/>
  <c r="T47" i="4"/>
  <c r="AA47" i="4"/>
  <c r="Z47" i="4"/>
  <c r="I48" i="4"/>
  <c r="H48" i="4"/>
  <c r="O48" i="4"/>
  <c r="N48" i="4"/>
  <c r="U48" i="4"/>
  <c r="T48" i="4"/>
  <c r="AA48" i="4"/>
  <c r="Z48" i="4"/>
  <c r="I49" i="4"/>
  <c r="H49" i="4"/>
  <c r="O49" i="4"/>
  <c r="N49" i="4"/>
  <c r="U49" i="4"/>
  <c r="T49" i="4"/>
  <c r="AA49" i="4"/>
  <c r="Z49" i="4"/>
  <c r="I50" i="4"/>
  <c r="H50" i="4"/>
  <c r="O50" i="4"/>
  <c r="N50" i="4"/>
  <c r="U50" i="4"/>
  <c r="T50" i="4"/>
  <c r="AA50" i="4"/>
  <c r="Z50" i="4"/>
  <c r="I51" i="4"/>
  <c r="H51" i="4"/>
  <c r="O51" i="4"/>
  <c r="N51" i="4"/>
  <c r="U51" i="4"/>
  <c r="T51" i="4"/>
  <c r="AA51" i="4"/>
  <c r="Z51" i="4"/>
  <c r="I52" i="4"/>
  <c r="H52" i="4"/>
  <c r="O52" i="4"/>
  <c r="N52" i="4"/>
  <c r="U52" i="4"/>
  <c r="T52" i="4"/>
  <c r="AA52" i="4"/>
  <c r="Z52" i="4"/>
  <c r="I53" i="4"/>
  <c r="H53" i="4"/>
  <c r="O53" i="4"/>
  <c r="N53" i="4"/>
  <c r="U53" i="4"/>
  <c r="T53" i="4"/>
  <c r="AA53" i="4"/>
  <c r="Z53" i="4"/>
  <c r="O55" i="4"/>
  <c r="N55" i="4"/>
  <c r="U55" i="4"/>
  <c r="T55" i="4"/>
  <c r="AA55" i="4"/>
  <c r="Z55" i="4"/>
  <c r="O56" i="4"/>
  <c r="N56" i="4"/>
  <c r="U56" i="4"/>
  <c r="T56" i="4"/>
  <c r="AA56" i="4"/>
  <c r="Z56" i="4"/>
  <c r="O57" i="4"/>
  <c r="N57" i="4"/>
  <c r="U57" i="4"/>
  <c r="T57" i="4"/>
  <c r="AA57" i="4"/>
  <c r="Z57" i="4"/>
  <c r="O58" i="4"/>
  <c r="N58" i="4"/>
  <c r="U58" i="4"/>
  <c r="T58" i="4"/>
  <c r="AA58" i="4"/>
  <c r="Z58" i="4"/>
  <c r="O59" i="4"/>
  <c r="N59" i="4"/>
  <c r="U59" i="4"/>
  <c r="T59" i="4"/>
  <c r="AA59" i="4"/>
  <c r="Z59" i="4"/>
  <c r="O60" i="4"/>
  <c r="N60" i="4"/>
  <c r="U60" i="4"/>
  <c r="T60" i="4"/>
  <c r="AA60" i="4"/>
  <c r="Z60" i="4"/>
  <c r="O61" i="4"/>
  <c r="N61" i="4"/>
  <c r="U61" i="4"/>
  <c r="T61" i="4"/>
  <c r="AA61" i="4"/>
  <c r="Z61" i="4"/>
  <c r="O62" i="4"/>
  <c r="N62" i="4"/>
  <c r="U62" i="4"/>
  <c r="T62" i="4"/>
  <c r="AA62" i="4"/>
  <c r="Z62" i="4"/>
  <c r="O63" i="4"/>
  <c r="N63" i="4"/>
  <c r="U63" i="4"/>
  <c r="T63" i="4"/>
  <c r="AA63" i="4"/>
  <c r="Z63" i="4"/>
  <c r="O64" i="4"/>
  <c r="N64" i="4"/>
  <c r="U64" i="4"/>
  <c r="T64" i="4"/>
  <c r="AA64" i="4"/>
  <c r="Z64" i="4"/>
  <c r="O65" i="4"/>
  <c r="N65" i="4"/>
  <c r="U65" i="4"/>
  <c r="T65" i="4"/>
  <c r="AA65" i="4"/>
  <c r="Z65" i="4"/>
  <c r="O66" i="4"/>
  <c r="N66" i="4"/>
  <c r="U66" i="4"/>
  <c r="T66" i="4"/>
  <c r="AA66" i="4"/>
  <c r="Z66" i="4"/>
  <c r="O67" i="4"/>
  <c r="N67" i="4"/>
  <c r="U67" i="4"/>
  <c r="T67" i="4"/>
  <c r="AA67" i="4"/>
  <c r="Z67" i="4"/>
  <c r="O68" i="4"/>
  <c r="N68" i="4"/>
  <c r="U68" i="4"/>
  <c r="T68" i="4"/>
  <c r="AA68" i="4"/>
  <c r="Z68" i="4"/>
  <c r="O69" i="4"/>
  <c r="N69" i="4"/>
  <c r="U69" i="4"/>
  <c r="T69" i="4"/>
  <c r="AA69" i="4"/>
  <c r="Z69" i="4"/>
  <c r="O70" i="4"/>
  <c r="N70" i="4"/>
  <c r="AA70" i="4"/>
  <c r="Z70" i="4"/>
  <c r="I115" i="5"/>
  <c r="H115" i="5"/>
  <c r="O115" i="5"/>
  <c r="N115" i="5"/>
  <c r="I116" i="5"/>
  <c r="H116" i="5"/>
  <c r="O116" i="5"/>
  <c r="N116" i="5"/>
  <c r="I117" i="5"/>
  <c r="H117" i="5"/>
  <c r="O117" i="5"/>
  <c r="N117" i="5"/>
  <c r="I118" i="5"/>
  <c r="H118" i="5"/>
  <c r="O118" i="5"/>
  <c r="N118" i="5"/>
  <c r="I119" i="5"/>
  <c r="H119" i="5"/>
  <c r="O119" i="5"/>
  <c r="N119" i="5"/>
  <c r="I120" i="5"/>
  <c r="H120" i="5"/>
  <c r="O120" i="5"/>
  <c r="N120" i="5"/>
  <c r="I121" i="5"/>
  <c r="H121" i="5"/>
  <c r="O121" i="5"/>
  <c r="N121" i="5"/>
  <c r="I122" i="5"/>
  <c r="H122" i="5"/>
  <c r="O122" i="5"/>
  <c r="N122" i="5"/>
  <c r="I3" i="5"/>
  <c r="H3" i="5"/>
  <c r="O3" i="5"/>
  <c r="N3" i="5"/>
  <c r="U3" i="5"/>
  <c r="T3" i="5"/>
  <c r="AA3" i="5"/>
  <c r="Z3" i="5"/>
  <c r="I4" i="5"/>
  <c r="H4" i="5"/>
  <c r="O4" i="5"/>
  <c r="N4" i="5"/>
  <c r="U4" i="5"/>
  <c r="T4" i="5"/>
  <c r="AA4" i="5"/>
  <c r="Z4" i="5"/>
  <c r="I5" i="5"/>
  <c r="H5" i="5"/>
  <c r="O5" i="5"/>
  <c r="N5" i="5"/>
  <c r="U5" i="5"/>
  <c r="T5" i="5"/>
  <c r="AA5" i="5"/>
  <c r="Z5" i="5"/>
  <c r="I6" i="5"/>
  <c r="H6" i="5"/>
  <c r="O6" i="5"/>
  <c r="N6" i="5"/>
  <c r="U6" i="5"/>
  <c r="T6" i="5"/>
  <c r="AA6" i="5"/>
  <c r="Z6" i="5"/>
  <c r="I7" i="5"/>
  <c r="H7" i="5"/>
  <c r="O7" i="5"/>
  <c r="N7" i="5"/>
  <c r="U7" i="5"/>
  <c r="T7" i="5"/>
  <c r="AA7" i="5"/>
  <c r="Z7" i="5"/>
  <c r="I8" i="5"/>
  <c r="H8" i="5"/>
  <c r="O8" i="5"/>
  <c r="N8" i="5"/>
  <c r="U8" i="5"/>
  <c r="T8" i="5"/>
  <c r="AA8" i="5"/>
  <c r="Z8" i="5"/>
  <c r="I9" i="5"/>
  <c r="H9" i="5"/>
  <c r="O9" i="5"/>
  <c r="N9" i="5"/>
  <c r="U9" i="5"/>
  <c r="T9" i="5"/>
  <c r="AA9" i="5"/>
  <c r="Z9" i="5"/>
  <c r="I10" i="5"/>
  <c r="H10" i="5"/>
  <c r="O10" i="5"/>
  <c r="N10" i="5"/>
  <c r="U10" i="5"/>
  <c r="T10" i="5"/>
  <c r="AA10" i="5"/>
  <c r="Z10" i="5"/>
  <c r="I12" i="5"/>
  <c r="H12" i="5"/>
  <c r="O12" i="5"/>
  <c r="N12" i="5"/>
  <c r="U12" i="5"/>
  <c r="T12" i="5"/>
  <c r="AA12" i="5"/>
  <c r="Z12" i="5"/>
  <c r="I13" i="5"/>
  <c r="H13" i="5"/>
  <c r="O13" i="5"/>
  <c r="N13" i="5"/>
  <c r="U13" i="5"/>
  <c r="T13" i="5"/>
  <c r="AA13" i="5"/>
  <c r="Z13" i="5"/>
  <c r="I14" i="5"/>
  <c r="H14" i="5"/>
  <c r="O14" i="5"/>
  <c r="N14" i="5"/>
  <c r="U14" i="5"/>
  <c r="T14" i="5"/>
  <c r="AA14" i="5"/>
  <c r="Z14" i="5"/>
  <c r="I15" i="5"/>
  <c r="H15" i="5"/>
  <c r="O15" i="5"/>
  <c r="N15" i="5"/>
  <c r="U15" i="5"/>
  <c r="T15" i="5"/>
  <c r="AA15" i="5"/>
  <c r="Z15" i="5"/>
  <c r="I16" i="5"/>
  <c r="H16" i="5"/>
  <c r="O16" i="5"/>
  <c r="N16" i="5"/>
  <c r="U16" i="5"/>
  <c r="T16" i="5"/>
  <c r="AA16" i="5"/>
  <c r="Z16" i="5"/>
  <c r="I17" i="5"/>
  <c r="H17" i="5"/>
  <c r="O17" i="5"/>
  <c r="N17" i="5"/>
  <c r="U17" i="5"/>
  <c r="T17" i="5"/>
  <c r="AA17" i="5"/>
  <c r="Z17" i="5"/>
  <c r="I18" i="5"/>
  <c r="H18" i="5"/>
  <c r="O18" i="5"/>
  <c r="N18" i="5"/>
  <c r="U18" i="5"/>
  <c r="T18" i="5"/>
  <c r="AA18" i="5"/>
  <c r="Z18" i="5"/>
  <c r="I19" i="5"/>
  <c r="H19" i="5"/>
  <c r="O19" i="5"/>
  <c r="N19" i="5"/>
  <c r="U19" i="5"/>
  <c r="T19" i="5"/>
  <c r="AA19" i="5"/>
  <c r="Z19" i="5"/>
  <c r="I21" i="5"/>
  <c r="H21" i="5"/>
  <c r="O21" i="5"/>
  <c r="N21" i="5"/>
  <c r="U21" i="5"/>
  <c r="T21" i="5"/>
  <c r="AA21" i="5"/>
  <c r="Z21" i="5"/>
  <c r="I22" i="5"/>
  <c r="H22" i="5"/>
  <c r="O22" i="5"/>
  <c r="N22" i="5"/>
  <c r="U22" i="5"/>
  <c r="T22" i="5"/>
  <c r="AA22" i="5"/>
  <c r="Z22" i="5"/>
  <c r="I23" i="5"/>
  <c r="H23" i="5"/>
  <c r="O23" i="5"/>
  <c r="N23" i="5"/>
  <c r="U23" i="5"/>
  <c r="T23" i="5"/>
  <c r="AA23" i="5"/>
  <c r="Z23" i="5"/>
  <c r="I24" i="5"/>
  <c r="H24" i="5"/>
  <c r="O24" i="5"/>
  <c r="N24" i="5"/>
  <c r="U24" i="5"/>
  <c r="T24" i="5"/>
  <c r="AA24" i="5"/>
  <c r="Z24" i="5"/>
  <c r="I25" i="5"/>
  <c r="H25" i="5"/>
  <c r="O25" i="5"/>
  <c r="N25" i="5"/>
  <c r="U25" i="5"/>
  <c r="T25" i="5"/>
  <c r="AA25" i="5"/>
  <c r="Z25" i="5"/>
  <c r="I26" i="5"/>
  <c r="H26" i="5"/>
  <c r="O26" i="5"/>
  <c r="N26" i="5"/>
  <c r="U26" i="5"/>
  <c r="T26" i="5"/>
  <c r="AA26" i="5"/>
  <c r="Z26" i="5"/>
  <c r="I27" i="5"/>
  <c r="H27" i="5"/>
  <c r="O27" i="5"/>
  <c r="N27" i="5"/>
  <c r="U27" i="5"/>
  <c r="T27" i="5"/>
  <c r="AA27" i="5"/>
  <c r="Z27" i="5"/>
  <c r="I28" i="5"/>
  <c r="H28" i="5"/>
  <c r="O28" i="5"/>
  <c r="N28" i="5"/>
  <c r="U28" i="5"/>
  <c r="T28" i="5"/>
  <c r="AA28" i="5"/>
  <c r="Z28" i="5"/>
  <c r="I29" i="5"/>
  <c r="H29" i="5"/>
  <c r="O29" i="5"/>
  <c r="N29" i="5"/>
  <c r="U29" i="5"/>
  <c r="T29" i="5"/>
  <c r="AA29" i="5"/>
  <c r="Z29" i="5"/>
  <c r="I31" i="5"/>
  <c r="H31" i="5"/>
  <c r="O31" i="5"/>
  <c r="N31" i="5"/>
  <c r="U31" i="5"/>
  <c r="T31" i="5"/>
  <c r="AA31" i="5"/>
  <c r="Z31" i="5"/>
  <c r="I32" i="5"/>
  <c r="H32" i="5"/>
  <c r="O32" i="5"/>
  <c r="N32" i="5"/>
  <c r="U32" i="5"/>
  <c r="T32" i="5"/>
  <c r="AA32" i="5"/>
  <c r="Z32" i="5"/>
  <c r="I33" i="5"/>
  <c r="H33" i="5"/>
  <c r="O33" i="5"/>
  <c r="N33" i="5"/>
  <c r="U33" i="5"/>
  <c r="T33" i="5"/>
  <c r="AA33" i="5"/>
  <c r="Z33" i="5"/>
  <c r="I34" i="5"/>
  <c r="H34" i="5"/>
  <c r="O34" i="5"/>
  <c r="N34" i="5"/>
  <c r="U34" i="5"/>
  <c r="T34" i="5"/>
  <c r="AA34" i="5"/>
  <c r="Z34" i="5"/>
  <c r="I35" i="5"/>
  <c r="H35" i="5"/>
  <c r="O35" i="5"/>
  <c r="N35" i="5"/>
  <c r="U35" i="5"/>
  <c r="T35" i="5"/>
  <c r="AA35" i="5"/>
  <c r="Z35" i="5"/>
  <c r="I36" i="5"/>
  <c r="H36" i="5"/>
  <c r="O36" i="5"/>
  <c r="N36" i="5"/>
  <c r="U36" i="5"/>
  <c r="T36" i="5"/>
  <c r="AA36" i="5"/>
  <c r="Z36" i="5"/>
  <c r="I37" i="5"/>
  <c r="H37" i="5"/>
  <c r="O37" i="5"/>
  <c r="N37" i="5"/>
  <c r="U37" i="5"/>
  <c r="T37" i="5"/>
  <c r="AA37" i="5"/>
  <c r="Z37" i="5"/>
  <c r="I38" i="5"/>
  <c r="H38" i="5"/>
  <c r="O38" i="5"/>
  <c r="N38" i="5"/>
  <c r="U38" i="5"/>
  <c r="T38" i="5"/>
  <c r="AA38" i="5"/>
  <c r="Z38" i="5"/>
  <c r="I39" i="5"/>
  <c r="H39" i="5"/>
  <c r="O39" i="5"/>
  <c r="N39" i="5"/>
  <c r="U39" i="5"/>
  <c r="T39" i="5"/>
  <c r="AA39" i="5"/>
  <c r="Z39" i="5"/>
  <c r="I40" i="5"/>
  <c r="H40" i="5"/>
  <c r="O40" i="5"/>
  <c r="N40" i="5"/>
  <c r="U40" i="5"/>
  <c r="T40" i="5"/>
  <c r="AA40" i="5"/>
  <c r="Z40" i="5"/>
  <c r="I41" i="5"/>
  <c r="H41" i="5"/>
  <c r="O41" i="5"/>
  <c r="N41" i="5"/>
  <c r="U41" i="5"/>
  <c r="T41" i="5"/>
  <c r="AA41" i="5"/>
  <c r="Z41" i="5"/>
  <c r="I43" i="5"/>
  <c r="H43" i="5"/>
  <c r="O43" i="5"/>
  <c r="N43" i="5"/>
  <c r="U43" i="5"/>
  <c r="T43" i="5"/>
  <c r="AA43" i="5"/>
  <c r="Z43" i="5"/>
  <c r="I44" i="5"/>
  <c r="H44" i="5"/>
  <c r="O44" i="5"/>
  <c r="N44" i="5"/>
  <c r="U44" i="5"/>
  <c r="T44" i="5"/>
  <c r="AA44" i="5"/>
  <c r="Z44" i="5"/>
  <c r="I45" i="5"/>
  <c r="H45" i="5"/>
  <c r="O45" i="5"/>
  <c r="N45" i="5"/>
  <c r="U45" i="5"/>
  <c r="T45" i="5"/>
  <c r="AA45" i="5"/>
  <c r="Z45" i="5"/>
  <c r="I46" i="5"/>
  <c r="H46" i="5"/>
  <c r="O46" i="5"/>
  <c r="N46" i="5"/>
  <c r="U46" i="5"/>
  <c r="T46" i="5"/>
  <c r="AA46" i="5"/>
  <c r="Z46" i="5"/>
  <c r="I47" i="5"/>
  <c r="H47" i="5"/>
  <c r="O47" i="5"/>
  <c r="N47" i="5"/>
  <c r="U47" i="5"/>
  <c r="T47" i="5"/>
  <c r="AA47" i="5"/>
  <c r="Z47" i="5"/>
  <c r="I48" i="5"/>
  <c r="H48" i="5"/>
  <c r="O48" i="5"/>
  <c r="N48" i="5"/>
  <c r="U48" i="5"/>
  <c r="T48" i="5"/>
  <c r="AA48" i="5"/>
  <c r="Z48" i="5"/>
  <c r="I49" i="5"/>
  <c r="H49" i="5"/>
  <c r="O49" i="5"/>
  <c r="N49" i="5"/>
  <c r="U49" i="5"/>
  <c r="T49" i="5"/>
  <c r="AA49" i="5"/>
  <c r="Z49" i="5"/>
  <c r="I50" i="5"/>
  <c r="H50" i="5"/>
  <c r="O50" i="5"/>
  <c r="N50" i="5"/>
  <c r="U50" i="5"/>
  <c r="T50" i="5"/>
  <c r="AA50" i="5"/>
  <c r="Z50" i="5"/>
  <c r="I51" i="5"/>
  <c r="H51" i="5"/>
  <c r="O51" i="5"/>
  <c r="N51" i="5"/>
  <c r="U51" i="5"/>
  <c r="T51" i="5"/>
  <c r="AA51" i="5"/>
  <c r="Z51" i="5"/>
  <c r="I52" i="5"/>
  <c r="H52" i="5"/>
  <c r="O52" i="5"/>
  <c r="N52" i="5"/>
  <c r="U52" i="5"/>
  <c r="T52" i="5"/>
  <c r="AA52" i="5"/>
  <c r="Z52" i="5"/>
  <c r="I53" i="5"/>
  <c r="H53" i="5"/>
  <c r="O53" i="5"/>
  <c r="N53" i="5"/>
  <c r="U53" i="5"/>
  <c r="T53" i="5"/>
  <c r="AA53" i="5"/>
  <c r="Z53" i="5"/>
  <c r="I55" i="5"/>
  <c r="H55" i="5"/>
  <c r="O55" i="5"/>
  <c r="N55" i="5"/>
  <c r="U55" i="5"/>
  <c r="T55" i="5"/>
  <c r="AA55" i="5"/>
  <c r="Z55" i="5"/>
  <c r="I56" i="5"/>
  <c r="H56" i="5"/>
  <c r="O56" i="5"/>
  <c r="N56" i="5"/>
  <c r="U56" i="5"/>
  <c r="T56" i="5"/>
  <c r="AA56" i="5"/>
  <c r="Z56" i="5"/>
  <c r="I57" i="5"/>
  <c r="H57" i="5"/>
  <c r="O57" i="5"/>
  <c r="N57" i="5"/>
  <c r="U57" i="5"/>
  <c r="T57" i="5"/>
  <c r="AA57" i="5"/>
  <c r="Z57" i="5"/>
  <c r="I58" i="5"/>
  <c r="H58" i="5"/>
  <c r="O58" i="5"/>
  <c r="N58" i="5"/>
  <c r="U58" i="5"/>
  <c r="T58" i="5"/>
  <c r="AA58" i="5"/>
  <c r="Z58" i="5"/>
  <c r="I59" i="5"/>
  <c r="H59" i="5"/>
  <c r="O59" i="5"/>
  <c r="N59" i="5"/>
  <c r="U59" i="5"/>
  <c r="T59" i="5"/>
  <c r="AA59" i="5"/>
  <c r="Z59" i="5"/>
  <c r="I60" i="5"/>
  <c r="H60" i="5"/>
  <c r="O60" i="5"/>
  <c r="N60" i="5"/>
  <c r="U60" i="5"/>
  <c r="T60" i="5"/>
  <c r="AA60" i="5"/>
  <c r="Z60" i="5"/>
  <c r="I61" i="5"/>
  <c r="H61" i="5"/>
  <c r="O61" i="5"/>
  <c r="N61" i="5"/>
  <c r="U61" i="5"/>
  <c r="T61" i="5"/>
  <c r="AA61" i="5"/>
  <c r="Z61" i="5"/>
  <c r="I62" i="5"/>
  <c r="H62" i="5"/>
  <c r="O62" i="5"/>
  <c r="N62" i="5"/>
  <c r="U62" i="5"/>
  <c r="T62" i="5"/>
  <c r="AA62" i="5"/>
  <c r="Z62" i="5"/>
  <c r="I63" i="5"/>
  <c r="H63" i="5"/>
  <c r="O63" i="5"/>
  <c r="N63" i="5"/>
  <c r="U63" i="5"/>
  <c r="T63" i="5"/>
  <c r="AA63" i="5"/>
  <c r="Z63" i="5"/>
  <c r="I64" i="5"/>
  <c r="H64" i="5"/>
  <c r="O64" i="5"/>
  <c r="N64" i="5"/>
  <c r="U64" i="5"/>
  <c r="T64" i="5"/>
  <c r="AA64" i="5"/>
  <c r="Z64" i="5"/>
  <c r="I65" i="5"/>
  <c r="H65" i="5"/>
  <c r="O65" i="5"/>
  <c r="N65" i="5"/>
  <c r="U65" i="5"/>
  <c r="T65" i="5"/>
  <c r="AA65" i="5"/>
  <c r="Z65" i="5"/>
  <c r="U67" i="5"/>
  <c r="T67" i="5"/>
  <c r="AA67" i="5"/>
  <c r="Z67" i="5"/>
  <c r="U68" i="5"/>
  <c r="T68" i="5"/>
  <c r="AA68" i="5"/>
  <c r="Z68" i="5"/>
  <c r="U69" i="5"/>
  <c r="T69" i="5"/>
  <c r="AA69" i="5"/>
  <c r="Z69" i="5"/>
  <c r="U70" i="5"/>
  <c r="T70" i="5"/>
  <c r="AA70" i="5"/>
  <c r="Z70" i="5"/>
  <c r="U71" i="5"/>
  <c r="T71" i="5"/>
  <c r="AA71" i="5"/>
  <c r="Z71" i="5"/>
  <c r="U72" i="5"/>
  <c r="T72" i="5"/>
  <c r="AA72" i="5"/>
  <c r="Z72" i="5"/>
  <c r="U73" i="5"/>
  <c r="T73" i="5"/>
  <c r="AA73" i="5"/>
  <c r="Z73" i="5"/>
  <c r="U74" i="5"/>
  <c r="T74" i="5"/>
  <c r="AA74" i="5"/>
  <c r="Z74" i="5"/>
  <c r="U75" i="5"/>
  <c r="T75" i="5"/>
  <c r="AA75" i="5"/>
  <c r="Z75" i="5"/>
  <c r="U76" i="5"/>
  <c r="T76" i="5"/>
  <c r="AA76" i="5"/>
  <c r="Z76" i="5"/>
  <c r="U77" i="5"/>
  <c r="T77" i="5"/>
  <c r="AA77" i="5"/>
  <c r="Z77" i="5"/>
  <c r="U79" i="5"/>
  <c r="T79" i="5"/>
  <c r="AA79" i="5"/>
  <c r="Z79" i="5"/>
  <c r="U80" i="5"/>
  <c r="T80" i="5"/>
  <c r="AA80" i="5"/>
  <c r="Z80" i="5"/>
  <c r="U81" i="5"/>
  <c r="T81" i="5"/>
  <c r="AA81" i="5"/>
  <c r="Z81" i="5"/>
  <c r="U82" i="5"/>
  <c r="T82" i="5"/>
  <c r="AA82" i="5"/>
  <c r="Z82" i="5"/>
  <c r="U83" i="5"/>
  <c r="T83" i="5"/>
  <c r="AA83" i="5"/>
  <c r="Z83" i="5"/>
  <c r="U84" i="5"/>
  <c r="T84" i="5"/>
  <c r="AA84" i="5"/>
  <c r="Z84" i="5"/>
  <c r="U85" i="5"/>
  <c r="T85" i="5"/>
  <c r="AA85" i="5"/>
  <c r="Z85" i="5"/>
  <c r="U86" i="5"/>
  <c r="T86" i="5"/>
  <c r="AA86" i="5"/>
  <c r="Z86" i="5"/>
  <c r="U87" i="5"/>
  <c r="T87" i="5"/>
  <c r="AA87" i="5"/>
  <c r="Z87" i="5"/>
  <c r="U88" i="5"/>
  <c r="T88" i="5"/>
  <c r="AA88" i="5"/>
  <c r="Z88" i="5"/>
  <c r="U89" i="5"/>
  <c r="T89" i="5"/>
  <c r="AA89" i="5"/>
  <c r="Z89" i="5"/>
  <c r="U91" i="5"/>
  <c r="T91" i="5"/>
  <c r="AA91" i="5"/>
  <c r="Z91" i="5"/>
  <c r="U92" i="5"/>
  <c r="T92" i="5"/>
  <c r="AA92" i="5"/>
  <c r="Z92" i="5"/>
  <c r="U93" i="5"/>
  <c r="T93" i="5"/>
  <c r="AA93" i="5"/>
  <c r="Z93" i="5"/>
  <c r="U94" i="5"/>
  <c r="T94" i="5"/>
  <c r="AA94" i="5"/>
  <c r="Z94" i="5"/>
  <c r="U95" i="5"/>
  <c r="T95" i="5"/>
  <c r="AA95" i="5"/>
  <c r="Z95" i="5"/>
  <c r="U96" i="5"/>
  <c r="T96" i="5"/>
  <c r="AA96" i="5"/>
  <c r="Z96" i="5"/>
  <c r="U97" i="5"/>
  <c r="T97" i="5"/>
  <c r="AA97" i="5"/>
  <c r="Z97" i="5"/>
  <c r="U98" i="5"/>
  <c r="T98" i="5"/>
  <c r="AA98" i="5"/>
  <c r="Z98" i="5"/>
  <c r="U99" i="5"/>
  <c r="T99" i="5"/>
  <c r="AA99" i="5"/>
  <c r="Z99" i="5"/>
  <c r="U100" i="5"/>
  <c r="T100" i="5"/>
  <c r="AA100" i="5"/>
  <c r="Z100" i="5"/>
  <c r="U101" i="5"/>
  <c r="T101" i="5"/>
  <c r="AA101" i="5"/>
  <c r="Z101" i="5"/>
  <c r="U103" i="5"/>
  <c r="T103" i="5"/>
  <c r="AA103" i="5"/>
  <c r="Z103" i="5"/>
  <c r="U104" i="5"/>
  <c r="T104" i="5"/>
  <c r="AA104" i="5"/>
  <c r="Z104" i="5"/>
  <c r="U105" i="5"/>
  <c r="T105" i="5"/>
  <c r="AA105" i="5"/>
  <c r="Z105" i="5"/>
  <c r="U106" i="5"/>
  <c r="T106" i="5"/>
  <c r="AA106" i="5"/>
  <c r="Z106" i="5"/>
  <c r="U107" i="5"/>
  <c r="T107" i="5"/>
  <c r="AA107" i="5"/>
  <c r="Z107" i="5"/>
  <c r="U108" i="5"/>
  <c r="T108" i="5"/>
  <c r="AA108" i="5"/>
  <c r="Z108" i="5"/>
  <c r="U109" i="5"/>
  <c r="T109" i="5"/>
  <c r="AA109" i="5"/>
  <c r="Z109" i="5"/>
  <c r="U110" i="5"/>
  <c r="T110" i="5"/>
  <c r="AA110" i="5"/>
  <c r="Z110" i="5"/>
  <c r="U111" i="5"/>
  <c r="T111" i="5"/>
  <c r="AA111" i="5"/>
  <c r="Z111" i="5"/>
  <c r="U112" i="5"/>
  <c r="T112" i="5"/>
  <c r="AA112" i="5"/>
  <c r="Z112" i="5"/>
  <c r="U113" i="5"/>
  <c r="T113" i="5"/>
  <c r="AA113" i="5"/>
  <c r="Z113" i="5"/>
  <c r="U115" i="5"/>
  <c r="T115" i="5"/>
  <c r="AA115" i="5"/>
  <c r="Z115" i="5"/>
  <c r="U116" i="5"/>
  <c r="T116" i="5"/>
  <c r="AA116" i="5"/>
  <c r="Z116" i="5"/>
  <c r="U117" i="5"/>
  <c r="T117" i="5"/>
  <c r="AA117" i="5"/>
  <c r="Z117" i="5"/>
  <c r="U118" i="5"/>
  <c r="T118" i="5"/>
  <c r="AA118" i="5"/>
  <c r="Z118" i="5"/>
  <c r="U119" i="5"/>
  <c r="T119" i="5"/>
  <c r="AA119" i="5"/>
  <c r="Z119" i="5"/>
  <c r="U120" i="5"/>
  <c r="T120" i="5"/>
  <c r="AA120" i="5"/>
  <c r="Z120" i="5"/>
  <c r="U121" i="5"/>
  <c r="T121" i="5"/>
  <c r="AA121" i="5"/>
  <c r="Z121" i="5"/>
  <c r="U122" i="5"/>
  <c r="T122" i="5"/>
  <c r="AA122" i="5"/>
  <c r="Z122" i="5"/>
</calcChain>
</file>

<file path=xl/sharedStrings.xml><?xml version="1.0" encoding="utf-8"?>
<sst xmlns="http://schemas.openxmlformats.org/spreadsheetml/2006/main" count="380" uniqueCount="93">
  <si>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</si>
  <si>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</si>
  <si>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</si>
  <si>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</si>
  <si>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</si>
  <si>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</si>
  <si>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</si>
  <si>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</si>
  <si>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</si>
  <si>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</si>
  <si>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</si>
  <si>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</si>
  <si>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</si>
  <si>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</si>
  <si>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</si>
  <si>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</si>
  <si>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</si>
  <si>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</si>
  <si>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</si>
  <si>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</si>
  <si>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</si>
  <si>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</si>
  <si>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</si>
  <si>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</si>
  <si>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</si>
  <si>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</si>
  <si>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</si>
  <si>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</si>
  <si>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</si>
  <si>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</si>
  <si>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</si>
  <si>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</si>
  <si>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</si>
  <si>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</si>
  <si>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</si>
  <si>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</si>
  <si>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</si>
  <si>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</si>
  <si>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</si>
  <si>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</si>
  <si>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</si>
  <si>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</si>
  <si>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</si>
  <si>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</si>
  <si>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</si>
  <si>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</si>
  <si>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</si>
  <si>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</si>
  <si>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</si>
  <si>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</si>
  <si>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</si>
  <si>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</si>
  <si>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</si>
  <si>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</si>
  <si>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</si>
  <si>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</si>
  <si>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</si>
  <si>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</si>
  <si>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</si>
  <si>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</si>
  <si>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</si>
  <si>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</si>
  <si>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</si>
  <si>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</si>
  <si>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</si>
  <si>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</si>
  <si>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</si>
  <si>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</si>
  <si>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</si>
  <si>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</si>
  <si>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</si>
  <si>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</si>
  <si>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</si>
  <si>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</si>
  <si>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</si>
  <si>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</si>
  <si>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</si>
  <si>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</si>
  <si>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</si>
  <si>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</si>
  <si>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</si>
  <si>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</si>
  <si>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</si>
  <si>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</si>
  <si>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</si>
  <si>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</si>
  <si>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MAPEH</t>
  </si>
  <si>
    <t>PE</t>
  </si>
  <si>
    <t>Health</t>
  </si>
  <si>
    <t>Music</t>
  </si>
  <si>
    <t>Arts</t>
  </si>
  <si>
    <t xml:space="preserve">  </t>
  </si>
  <si>
    <t>SDO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</si>
</sst>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charset val="134"/>
      <scheme val="minor"/>
    </font>
    <font>
      <b/>
      <sz val="12"/>
      <color theme="0"/>
      <name val="Aptos Narrow"/>
      <charset val="134"/>
      <scheme val="minor"/>
    </font>
    <font>
      <sz val="12"/>
      <color theme="0"/>
      <name val="Aptos Narrow"/>
      <charset val="134"/>
      <scheme val="minor"/>
    </font>
    <font>
      <b/>
      <sz val="11"/>
      <color theme="1"/>
      <name val="Bookman Old Style"/>
      <charset val="134"/>
    </font>
    <font>
      <sz val="11"/>
      <color theme="1"/>
      <name val="Bookman Old Style"/>
      <charset val="134"/>
    </font>
    <font>
      <b/>
      <sz val="11"/>
      <color rgb="FFFFFFFF"/>
      <name val="Bookman Old Style"/>
      <charset val="134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b/>
      <sz val="12"/>
      <color theme="2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5"/>
      <color rgb="FF000000"/>
      <name val="Bookman Old Style"/>
      <charset val="134"/>
    </font>
    <font>
      <b/>
      <sz val="15"/>
      <color theme="1"/>
      <name val="Bookman Old Style"/>
      <family val="1"/>
    </font>
    <font>
      <sz val="11"/>
      <color rgb="FF000000"/>
      <name val="Aptos Narrow"/>
      <family val="2"/>
      <charset val="134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43AEE2"/>
      </top>
      <bottom style="thin">
        <color rgb="FF43AEE2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9" fillId="0" borderId="0" xfId="0" applyFont="1"/>
    <xf numFmtId="0" fontId="6" fillId="2" borderId="3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9" fillId="2" borderId="0" xfId="0" applyFont="1" applyFill="1"/>
    <xf numFmtId="0" fontId="5" fillId="9" borderId="1" xfId="0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left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vertical="center" wrapText="1"/>
    </xf>
    <xf numFmtId="0" fontId="6" fillId="12" borderId="4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7" fillId="11" borderId="6" xfId="0" applyFont="1" applyFill="1" applyBorder="1" applyAlignment="1">
      <alignment vertical="center" wrapText="1"/>
    </xf>
    <xf numFmtId="0" fontId="6" fillId="11" borderId="7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6" fillId="12" borderId="5" xfId="0" applyFont="1" applyFill="1" applyBorder="1" applyAlignment="1">
      <alignment horizontal="center" vertical="center" wrapText="1"/>
    </xf>
    <xf numFmtId="0" fontId="10" fillId="13" borderId="4" xfId="0" applyFont="1" applyFill="1" applyBorder="1" applyAlignment="1">
      <alignment horizontal="center" wrapText="1"/>
    </xf>
    <xf numFmtId="0" fontId="10" fillId="13" borderId="3" xfId="0" applyFont="1" applyFill="1" applyBorder="1" applyAlignment="1">
      <alignment horizontal="center" wrapText="1"/>
    </xf>
    <xf numFmtId="0" fontId="11" fillId="14" borderId="4" xfId="0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 vertical="center" wrapText="1"/>
    </xf>
    <xf numFmtId="0" fontId="12" fillId="15" borderId="11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0" xfId="0" applyFill="1" applyBorder="1"/>
    <xf numFmtId="0" fontId="11" fillId="16" borderId="4" xfId="0" applyFont="1" applyFill="1" applyBorder="1" applyAlignment="1">
      <alignment horizontal="center" vertical="center" wrapText="1"/>
    </xf>
    <xf numFmtId="0" fontId="11" fillId="16" borderId="3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</cellXfs>
  <cellStyles count="1">
    <cellStyle name="Normal" xfId="0" builtinId="0"/>
  </cellStyles>
  <dxfs count="54"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H145" totalsRowShown="0">
  <autoFilter ref="A1:H145" xr:uid="{00000000-0009-0000-0100-000002000000}"/>
  <tableColumns count="8">
    <tableColumn id="1" xr3:uid="{00000000-0010-0000-0000-000001000000}" name="Grade Level"/>
    <tableColumn id="2" xr3:uid="{00000000-0010-0000-0000-000002000000}" name="SUBJECTS"/>
    <tableColumn id="3" xr3:uid="{00000000-0010-0000-0000-000003000000}" name="Enrolment S.Y. 2025-2026 "/>
    <tableColumn id="4" xr3:uid="{00000000-0010-0000-0000-000004000000}" name="Quantity of Textbooks Received"/>
    <tableColumn id="5" xr3:uid="{00000000-0010-0000-0000-000005000000}" name="Year of Delivery-TX"/>
    <tableColumn id="6" xr3:uid="{00000000-0010-0000-0000-000006000000}" name="SOURCE-TX (CO,RO, SDO)"/>
    <tableColumn id="7" xr3:uid="{00000000-0010-0000-0000-000007000000}" name="GAP-TX"/>
    <tableColumn id="8" xr3:uid="{00000000-0010-0000-0000-000008000000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2:AA70" totalsRowShown="0">
  <autoFilter ref="A2:AA70" xr:uid="{00000000-0009-0000-0100-000001000000}"/>
  <tableColumns count="27">
    <tableColumn id="1" xr3:uid="{00000000-0010-0000-0100-000001000000}" name="Grade Level" dataDxfId="53"/>
    <tableColumn id="2" xr3:uid="{00000000-0010-0000-0100-000002000000}" name="SUBJECTS" dataDxfId="52"/>
    <tableColumn id="3" xr3:uid="{00000000-0010-0000-0100-000003000000}" name="Enrolment S.Y. 2025-2026 " dataDxfId="51"/>
    <tableColumn id="4" xr3:uid="{00000000-0010-0000-0100-000004000000}" name="Quantity based on Target LAS - Q1 " dataDxfId="50">
      <calculatedColumnFormula>Table1[[#This Row],[Enrolment S.Y. 2025-2026 ]]*8</calculatedColumnFormula>
    </tableColumn>
    <tableColumn id="5" xr3:uid="{00000000-0010-0000-0100-000005000000}" name="Quantity of Learning Activity Sheets Received (Quantity received x No. of LAS) - Q1" dataDxfId="49"/>
    <tableColumn id="6" xr3:uid="{00000000-0010-0000-0100-000006000000}" name="Year of Delivery-LAS - Q1" dataDxfId="48"/>
    <tableColumn id="7" xr3:uid="{00000000-0010-0000-0100-000007000000}" name="SOURCE - LAS (CO,RO, SDO) - Q1" dataDxfId="47"/>
    <tableColumn id="8" xr3:uid="{00000000-0010-0000-0100-000008000000}" name="GAP - LAS - Q1" dataDxfId="46">
      <calculatedColumnFormula>IF((D3-E3)&lt;0,0,(D3-E3))</calculatedColumnFormula>
    </tableColumn>
    <tableColumn id="9" xr3:uid="{00000000-0010-0000-0100-000009000000}" name="SURPLUS - LAS - Q1" dataDxfId="45">
      <calculatedColumnFormula>IF((E3-D3)&lt;0,0,(E3-D3))</calculatedColumnFormula>
    </tableColumn>
    <tableColumn id="10" xr3:uid="{00000000-0010-0000-0100-00000A000000}" name="Quantity based on Target LAS - Q2" dataDxfId="44">
      <calculatedColumnFormula>Table1[[#This Row],[Enrolment S.Y. 2025-2026 ]]*8</calculatedColumnFormula>
    </tableColumn>
    <tableColumn id="11" xr3:uid="{00000000-0010-0000-0100-00000B000000}" name="Quantity of Learning Activity Sheets Received (Quantity received x No. of LAS) Q2" dataDxfId="43"/>
    <tableColumn id="12" xr3:uid="{00000000-0010-0000-0100-00000C000000}" name="Year of Delivery-LAS Q2" dataDxfId="42"/>
    <tableColumn id="13" xr3:uid="{00000000-0010-0000-0100-00000D000000}" name="SOURCE-LAS (CO,RO, SDO) Q2" dataDxfId="41"/>
    <tableColumn id="14" xr3:uid="{00000000-0010-0000-0100-00000E000000}" name="GAP - LAS -Q2" dataDxfId="40"/>
    <tableColumn id="15" xr3:uid="{00000000-0010-0000-0100-00000F000000}" name="SURPLUS - LAS -Q2" dataDxfId="39"/>
    <tableColumn id="16" xr3:uid="{00000000-0010-0000-0100-000010000000}" name="Quantity based on Target LAS - Q3" dataDxfId="38">
      <calculatedColumnFormula>#REF!*8</calculatedColumnFormula>
    </tableColumn>
    <tableColumn id="17" xr3:uid="{00000000-0010-0000-0100-000011000000}" name="Quantity of Learning Activity Sheets Received (Quantity received x No. of LAS) - Q3" dataDxfId="37"/>
    <tableColumn id="18" xr3:uid="{00000000-0010-0000-0100-000012000000}" name="Year of Delivery-LAS - Q3" dataDxfId="36"/>
    <tableColumn id="19" xr3:uid="{00000000-0010-0000-0100-000013000000}" name="SOURCE-LAS (CO,RO, SDO) - Q3" dataDxfId="35"/>
    <tableColumn id="20" xr3:uid="{00000000-0010-0000-0100-000014000000}" name="GAP - LAS - Q3" dataDxfId="34">
      <calculatedColumnFormula>IF((P3-Q3)&lt;0,0,(P3-Q3))</calculatedColumnFormula>
    </tableColumn>
    <tableColumn id="21" xr3:uid="{00000000-0010-0000-0100-000015000000}" name="SURPLUS - LAS - Q3" dataDxfId="33">
      <calculatedColumnFormula>IF((Q3-P3)&lt;0,0,(Q3-P3))</calculatedColumnFormula>
    </tableColumn>
    <tableColumn id="22" xr3:uid="{00000000-0010-0000-0100-000016000000}" name="Quantity based on Target LAS - Q4" dataDxfId="32">
      <calculatedColumnFormula>Table1[[#This Row],[Enrolment S.Y. 2025-2026 ]]*8</calculatedColumnFormula>
    </tableColumn>
    <tableColumn id="23" xr3:uid="{00000000-0010-0000-0100-000017000000}" name="Quantity of Learning Activity Sheets Received (Quantity received x No. of LAS)- Q4" dataDxfId="31"/>
    <tableColumn id="24" xr3:uid="{00000000-0010-0000-0100-000018000000}" name="Year of Delivery - LAS - Q4" dataDxfId="30"/>
    <tableColumn id="25" xr3:uid="{00000000-0010-0000-0100-000019000000}" name="SOURCE - LAS (CO,RO, SDO) - Q4" dataDxfId="29"/>
    <tableColumn id="26" xr3:uid="{00000000-0010-0000-0100-00001A000000}" name="GAP - LAS - Q4" dataDxfId="28">
      <calculatedColumnFormula>IF((V3-W3)&lt;0,0,(V3-W3))</calculatedColumnFormula>
    </tableColumn>
    <tableColumn id="27" xr3:uid="{00000000-0010-0000-0100-00001B000000}" name="SURPLUS - LAS - Q4" dataDxfId="27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4" displayName="Table14" ref="A2:AA164" totalsRowShown="0">
  <autoFilter ref="A2:AA164" xr:uid="{00000000-0009-0000-0100-000003000000}"/>
  <tableColumns count="27">
    <tableColumn id="1" xr3:uid="{00000000-0010-0000-0200-000001000000}" name="Grade Level" dataDxfId="26"/>
    <tableColumn id="2" xr3:uid="{00000000-0010-0000-0200-000002000000}" name="SUBJECTS" dataDxfId="25"/>
    <tableColumn id="3" xr3:uid="{00000000-0010-0000-0200-000003000000}" name="Enrolment S.Y. 2025-2026 " dataDxfId="24"/>
    <tableColumn id="4" xr3:uid="{00000000-0010-0000-0200-000004000000}" name="Quantity based on Target ADM-SLM - Q1 " dataDxfId="23">
      <calculatedColumnFormula>Table14[[#This Row],[Enrolment S.Y. 2025-2026 ]]*8</calculatedColumnFormula>
    </tableColumn>
    <tableColumn id="5" xr3:uid="{00000000-0010-0000-0200-000005000000}" name="Quantity of ADM-SLM Received (Quantity received x No. of ADM-SLM) - Q1" dataDxfId="22"/>
    <tableColumn id="6" xr3:uid="{00000000-0010-0000-0200-000006000000}" name="Year of Delivery - ADM-SLM - Q1" dataDxfId="21"/>
    <tableColumn id="7" xr3:uid="{00000000-0010-0000-0200-000007000000}" name="SOURCE - ADM-SLM (CO,RO, SDO) - Q1" dataDxfId="20"/>
    <tableColumn id="8" xr3:uid="{00000000-0010-0000-0200-000008000000}" name="GAP - ADM-SLM - Q1" dataDxfId="19">
      <calculatedColumnFormula>IF((D3-E3)&lt;0,0,(D3-E3))</calculatedColumnFormula>
    </tableColumn>
    <tableColumn id="9" xr3:uid="{00000000-0010-0000-0200-000009000000}" name="SURPLUS - ADM-SLM - Q1" dataDxfId="18">
      <calculatedColumnFormula>IF((E3-D3)&lt;0,0,(E3-D3))</calculatedColumnFormula>
    </tableColumn>
    <tableColumn id="10" xr3:uid="{00000000-0010-0000-0200-00000A000000}" name="Quantity based on Target ADM-SLM - Q2" dataDxfId="17">
      <calculatedColumnFormula>Table14[[#This Row],[Enrolment S.Y. 2025-2026 ]]*8</calculatedColumnFormula>
    </tableColumn>
    <tableColumn id="11" xr3:uid="{00000000-0010-0000-0200-00000B000000}" name="Quantity of ADM-SLM Received (Quantity received x No. of ADM-SLM) - Q2" dataDxfId="16"/>
    <tableColumn id="12" xr3:uid="{00000000-0010-0000-0200-00000C000000}" name="Year of Delivery - ADM-SLM Q2" dataDxfId="15"/>
    <tableColumn id="13" xr3:uid="{00000000-0010-0000-0200-00000D000000}" name="SOURCE - ADM-SLM (CO,RO, SDO) Q2" dataDxfId="14"/>
    <tableColumn id="14" xr3:uid="{00000000-0010-0000-0200-00000E000000}" name="GAP - ADM-SLM - Q2" dataDxfId="13"/>
    <tableColumn id="15" xr3:uid="{00000000-0010-0000-0200-00000F000000}" name="SURPLUS - ADM-SLM -Q2" dataDxfId="12"/>
    <tableColumn id="16" xr3:uid="{00000000-0010-0000-0200-000010000000}" name="Quantity based on Target ADM-SLM - Q3" dataDxfId="11">
      <calculatedColumnFormula>#REF!*8</calculatedColumnFormula>
    </tableColumn>
    <tableColumn id="17" xr3:uid="{00000000-0010-0000-0200-000011000000}" name="Quantity of ADM-SLM Received (Quantity received x No. of ADM-SLM) - Q3" dataDxfId="10"/>
    <tableColumn id="18" xr3:uid="{00000000-0010-0000-0200-000012000000}" name="Year of Delivery - ADM-SLM - Q3" dataDxfId="9"/>
    <tableColumn id="19" xr3:uid="{00000000-0010-0000-0200-000013000000}" name="SOURCE - ADM-SLM(CO,RO, SDO) - Q3" dataDxfId="8"/>
    <tableColumn id="20" xr3:uid="{00000000-0010-0000-0200-000014000000}" name="GAP - ADM-SLM - Q3" dataDxfId="7">
      <calculatedColumnFormula>IF((P3-Q3)&lt;0,0,(P3-Q3))</calculatedColumnFormula>
    </tableColumn>
    <tableColumn id="21" xr3:uid="{00000000-0010-0000-0200-000015000000}" name="SURPLUS - ADM-SLM - Q3" dataDxfId="6">
      <calculatedColumnFormula>IF((Q3-P3)&lt;0,0,(Q3-P3))</calculatedColumnFormula>
    </tableColumn>
    <tableColumn id="22" xr3:uid="{00000000-0010-0000-0200-000016000000}" name="Quantity based on Target ADM-SLM - Q4" dataDxfId="5">
      <calculatedColumnFormula>Table14[[#This Row],[Enrolment S.Y. 2025-2026 ]]*8</calculatedColumnFormula>
    </tableColumn>
    <tableColumn id="23" xr3:uid="{00000000-0010-0000-0200-000017000000}" name="Quantity of ADM-SLM Received (Quantity received x No. of ADM-SLM)- Q4" dataDxfId="4"/>
    <tableColumn id="24" xr3:uid="{00000000-0010-0000-0200-000018000000}" name="Year of Delivery - ADM-SLM- Q4" dataDxfId="3"/>
    <tableColumn id="25" xr3:uid="{00000000-0010-0000-0200-000019000000}" name="SOURCE - ADM-SLM - (CO,RO, SDO) - Q4" dataDxfId="2"/>
    <tableColumn id="26" xr3:uid="{00000000-0010-0000-0200-00001A000000}" name="GAP - ADM-SLM - Q4" dataDxfId="1">
      <calculatedColumnFormula>IF((V3-W3)&lt;0,0,(V3-W3))</calculatedColumnFormula>
    </tableColumn>
    <tableColumn id="27" xr3:uid="{00000000-0010-0000-0200-00001B000000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91" sqref="E91:E98"/>
    </sheetView>
  </sheetViews>
  <sheetFormatPr defaultColWidth="9" defaultRowHeight="13.5"/>
  <cols>
    <col min="1" max="1" width="10.125" customWidth="1"/>
    <col min="2" max="2" width="27.875" customWidth="1"/>
    <col min="3" max="5" width="24.875" customWidth="1"/>
    <col min="6" max="6" width="19.125" customWidth="1"/>
    <col min="7" max="7" width="15.125" customWidth="1"/>
    <col min="8" max="8" width="16.125" customWidth="1"/>
  </cols>
  <sheetData>
    <row r="1" spans="1:8" s="16" customFormat="1" ht="64.900000000000006" customHeight="1">
      <c r="A1" s="4" t="s">
        <v>0</v>
      </c>
      <c r="B1" s="4" t="s">
        <v>1</v>
      </c>
      <c r="C1" s="6" t="s">
        <v>2</v>
      </c>
      <c r="D1" s="6" t="s">
        <v>3</v>
      </c>
      <c r="E1" s="6" t="s">
        <v>4</v>
      </c>
      <c r="F1" s="9" t="s">
        <v>5</v>
      </c>
      <c r="G1" s="20" t="s">
        <v>6</v>
      </c>
      <c r="H1" s="21" t="s">
        <v>7</v>
      </c>
    </row>
    <row r="2" spans="1:8" ht="42.75" hidden="1" customHeight="1">
      <c r="A2" s="22">
        <v>1</v>
      </c>
      <c r="B2" s="23" t="s">
        <v>8</v>
      </c>
      <c r="C2" s="22"/>
      <c r="D2" s="22"/>
      <c r="E2" s="22"/>
      <c r="F2" s="24"/>
      <c r="G2" s="17">
        <f>IF((C2-D2)&lt;0,0,C2-D2)</f>
        <v>0</v>
      </c>
      <c r="H2" s="18">
        <f>IF((D2-C2)&lt;0,0,D2-C2)</f>
        <v>0</v>
      </c>
    </row>
    <row r="3" spans="1:8" ht="29.25" hidden="1" customHeight="1">
      <c r="A3" s="22">
        <v>1</v>
      </c>
      <c r="B3" s="23" t="s">
        <v>9</v>
      </c>
      <c r="C3" s="22"/>
      <c r="D3" s="22"/>
      <c r="E3" s="22"/>
      <c r="F3" s="24"/>
      <c r="G3" s="17">
        <f>IF((C3-D3)&lt;0,0,C3-D3)</f>
        <v>0</v>
      </c>
      <c r="H3" s="18">
        <f>IF((D3-C3)&lt;0,0,D3-C3)</f>
        <v>0</v>
      </c>
    </row>
    <row r="4" spans="1:8" ht="21" hidden="1" customHeight="1">
      <c r="A4" s="22">
        <v>1</v>
      </c>
      <c r="B4" s="23" t="s">
        <v>10</v>
      </c>
      <c r="C4" s="22"/>
      <c r="D4" s="22"/>
      <c r="E4" s="22"/>
      <c r="F4" s="24"/>
      <c r="G4" s="17">
        <f>IF((C4-D4)&lt;0,0,C4-D4)</f>
        <v>0</v>
      </c>
      <c r="H4" s="18">
        <f>IF((D4-C4)&lt;0,0,D4-C4)</f>
        <v>0</v>
      </c>
    </row>
    <row r="5" spans="1:8" ht="25.5" hidden="1" customHeight="1">
      <c r="A5" s="22">
        <v>1</v>
      </c>
      <c r="B5" s="23" t="s">
        <v>11</v>
      </c>
      <c r="C5" s="22"/>
      <c r="D5" s="22"/>
      <c r="E5" s="22"/>
      <c r="F5" s="24"/>
      <c r="G5" s="17">
        <f t="shared" ref="G5:G6" si="0">IF((C5-D5)&lt;0,0,C5-D5)</f>
        <v>0</v>
      </c>
      <c r="H5" s="18">
        <f t="shared" ref="H5:H6" si="1">IF((D5-C5)&lt;0,0,D5-C5)</f>
        <v>0</v>
      </c>
    </row>
    <row r="6" spans="1:8" ht="19.5" hidden="1">
      <c r="A6" s="22">
        <v>1</v>
      </c>
      <c r="B6" s="23" t="s">
        <v>12</v>
      </c>
      <c r="C6" s="22"/>
      <c r="D6" s="22"/>
      <c r="E6" s="22"/>
      <c r="F6" s="24"/>
      <c r="G6" s="17">
        <f t="shared" si="0"/>
        <v>0</v>
      </c>
      <c r="H6" s="18">
        <f t="shared" si="1"/>
        <v>0</v>
      </c>
    </row>
    <row r="7" spans="1:8" hidden="1">
      <c r="C7" s="16"/>
      <c r="D7" s="16"/>
      <c r="E7" s="16"/>
    </row>
    <row r="8" spans="1:8" ht="39.75" hidden="1" customHeight="1">
      <c r="A8" s="22">
        <v>2</v>
      </c>
      <c r="B8" s="23" t="s">
        <v>8</v>
      </c>
      <c r="C8" s="22"/>
      <c r="D8" s="22"/>
      <c r="E8" s="22"/>
      <c r="F8" s="24"/>
      <c r="G8" s="17">
        <f>IF((C8-D8)&lt;0,0,C8-D8)</f>
        <v>0</v>
      </c>
      <c r="H8" s="18">
        <f>IF((D8-C8)&lt;0,0,D8-C8)</f>
        <v>0</v>
      </c>
    </row>
    <row r="9" spans="1:8" ht="29.25" hidden="1" customHeight="1">
      <c r="A9" s="22">
        <v>2</v>
      </c>
      <c r="B9" s="23" t="s">
        <v>9</v>
      </c>
      <c r="C9" s="22"/>
      <c r="D9" s="22"/>
      <c r="E9" s="22"/>
      <c r="F9" s="24"/>
      <c r="G9" s="17">
        <f>IF((C9-D9)&lt;0,0,C9-D9)</f>
        <v>0</v>
      </c>
      <c r="H9" s="18">
        <f>IF((D9-C9)&lt;0,0,D9-C9)</f>
        <v>0</v>
      </c>
    </row>
    <row r="10" spans="1:8" ht="28.5" hidden="1" customHeight="1">
      <c r="A10" s="22">
        <v>2</v>
      </c>
      <c r="B10" s="23" t="s">
        <v>10</v>
      </c>
      <c r="C10" s="22"/>
      <c r="D10" s="22"/>
      <c r="E10" s="22"/>
      <c r="F10" s="24"/>
      <c r="G10" s="17">
        <f>IF((C10-D10)&lt;0,0,C10-D10)</f>
        <v>0</v>
      </c>
      <c r="H10" s="18">
        <f>IF((D10-C10)&lt;0,0,D10-C10)</f>
        <v>0</v>
      </c>
    </row>
    <row r="11" spans="1:8" ht="24" hidden="1" customHeight="1">
      <c r="A11" s="22">
        <v>2</v>
      </c>
      <c r="B11" s="23" t="s">
        <v>11</v>
      </c>
      <c r="C11" s="22"/>
      <c r="D11" s="22"/>
      <c r="E11" s="22"/>
      <c r="F11" s="24"/>
      <c r="G11" s="17">
        <f>IF((C11-D11)&lt;0,0,C11-D11)</f>
        <v>0</v>
      </c>
      <c r="H11" s="18">
        <f>IF((D11-C11)&lt;0,0,D11-C11)</f>
        <v>0</v>
      </c>
    </row>
    <row r="12" spans="1:8" ht="19.5" hidden="1">
      <c r="A12" s="22">
        <v>2</v>
      </c>
      <c r="B12" s="23" t="s">
        <v>12</v>
      </c>
      <c r="C12" s="22"/>
      <c r="D12" s="22"/>
      <c r="E12" s="22"/>
      <c r="F12" s="24"/>
      <c r="G12" s="17">
        <f>IF((C12-D12)&lt;0,0,C12-D12)</f>
        <v>0</v>
      </c>
      <c r="H12" s="18">
        <f>IF((D12-C12)&lt;0,0,D12-C12)</f>
        <v>0</v>
      </c>
    </row>
    <row r="13" spans="1:8" hidden="1">
      <c r="C13" s="16"/>
      <c r="D13" s="16"/>
      <c r="E13" s="16"/>
    </row>
    <row r="14" spans="1:8" ht="49.5" hidden="1" customHeight="1">
      <c r="A14" s="22">
        <v>3</v>
      </c>
      <c r="B14" s="23" t="s">
        <v>8</v>
      </c>
      <c r="C14" s="22"/>
      <c r="D14" s="22"/>
      <c r="E14" s="22"/>
      <c r="F14" s="24"/>
      <c r="G14" s="17">
        <f t="shared" ref="G14:G19" si="2">IF((C14-D14)&lt;0,0,C14-D14)</f>
        <v>0</v>
      </c>
      <c r="H14" s="18">
        <f t="shared" ref="H14:H19" si="3">IF((D14-C14)&lt;0,0,D14-C14)</f>
        <v>0</v>
      </c>
    </row>
    <row r="15" spans="1:8" ht="29.25" hidden="1" customHeight="1">
      <c r="A15" s="22">
        <v>3</v>
      </c>
      <c r="B15" s="23" t="s">
        <v>9</v>
      </c>
      <c r="C15" s="22"/>
      <c r="D15" s="22"/>
      <c r="E15" s="22"/>
      <c r="F15" s="24"/>
      <c r="G15" s="17">
        <f t="shared" si="2"/>
        <v>0</v>
      </c>
      <c r="H15" s="18">
        <f t="shared" si="3"/>
        <v>0</v>
      </c>
    </row>
    <row r="16" spans="1:8" ht="27" hidden="1" customHeight="1">
      <c r="A16" s="22">
        <v>3</v>
      </c>
      <c r="B16" s="23" t="s">
        <v>10</v>
      </c>
      <c r="C16" s="22"/>
      <c r="D16" s="22"/>
      <c r="E16" s="22"/>
      <c r="F16" s="24"/>
      <c r="G16" s="17">
        <f t="shared" si="2"/>
        <v>0</v>
      </c>
      <c r="H16" s="18">
        <f t="shared" si="3"/>
        <v>0</v>
      </c>
    </row>
    <row r="17" spans="1:8" ht="23.25" hidden="1" customHeight="1">
      <c r="A17" s="22">
        <v>3</v>
      </c>
      <c r="B17" s="23" t="s">
        <v>13</v>
      </c>
      <c r="C17" s="22"/>
      <c r="D17" s="22"/>
      <c r="E17" s="22"/>
      <c r="F17" s="24"/>
      <c r="G17" s="17">
        <f t="shared" si="2"/>
        <v>0</v>
      </c>
      <c r="H17" s="18">
        <f t="shared" si="3"/>
        <v>0</v>
      </c>
    </row>
    <row r="18" spans="1:8" ht="21" hidden="1" customHeight="1">
      <c r="A18" s="22">
        <v>3</v>
      </c>
      <c r="B18" s="23" t="s">
        <v>11</v>
      </c>
      <c r="C18" s="22"/>
      <c r="D18" s="22"/>
      <c r="E18" s="22"/>
      <c r="F18" s="24"/>
      <c r="G18" s="17">
        <f t="shared" si="2"/>
        <v>0</v>
      </c>
      <c r="H18" s="18">
        <f t="shared" si="3"/>
        <v>0</v>
      </c>
    </row>
    <row r="19" spans="1:8" ht="19.5" hidden="1">
      <c r="A19" s="22">
        <v>3</v>
      </c>
      <c r="B19" s="23" t="s">
        <v>12</v>
      </c>
      <c r="C19" s="22"/>
      <c r="D19" s="22"/>
      <c r="E19" s="22"/>
      <c r="F19" s="24"/>
      <c r="G19" s="17">
        <f t="shared" si="2"/>
        <v>0</v>
      </c>
      <c r="H19" s="18">
        <f t="shared" si="3"/>
        <v>0</v>
      </c>
    </row>
    <row r="20" spans="1:8" hidden="1">
      <c r="A20" s="2"/>
      <c r="B20" s="2"/>
      <c r="C20" s="19"/>
      <c r="D20" s="19"/>
      <c r="E20" s="19"/>
      <c r="F20" s="2"/>
      <c r="G20" s="2"/>
      <c r="H20" s="2"/>
    </row>
    <row r="21" spans="1:8" ht="28.5" hidden="1" customHeight="1">
      <c r="A21" s="22">
        <v>4</v>
      </c>
      <c r="B21" s="25" t="s">
        <v>14</v>
      </c>
      <c r="C21" s="22"/>
      <c r="D21" s="22"/>
      <c r="E21" s="22"/>
      <c r="F21" s="24"/>
      <c r="G21" s="17">
        <f t="shared" ref="G21:G29" si="4">IF((C21-D21)&lt;0,0,C21-D21)</f>
        <v>0</v>
      </c>
      <c r="H21" s="18">
        <f t="shared" ref="H21:H29" si="5">IF((D21-C21)&lt;0,0,D21-C21)</f>
        <v>0</v>
      </c>
    </row>
    <row r="22" spans="1:8" ht="24" hidden="1" customHeight="1">
      <c r="A22" s="22">
        <v>4</v>
      </c>
      <c r="B22" s="25" t="s">
        <v>15</v>
      </c>
      <c r="C22" s="22"/>
      <c r="D22" s="22"/>
      <c r="E22" s="22"/>
      <c r="F22" s="24"/>
      <c r="G22" s="17">
        <f t="shared" si="4"/>
        <v>0</v>
      </c>
      <c r="H22" s="18">
        <f t="shared" si="5"/>
        <v>0</v>
      </c>
    </row>
    <row r="23" spans="1:8" ht="19.5" hidden="1">
      <c r="A23" s="22">
        <v>4</v>
      </c>
      <c r="B23" s="25" t="s">
        <v>12</v>
      </c>
      <c r="C23" s="22"/>
      <c r="D23" s="22"/>
      <c r="E23" s="22"/>
      <c r="F23" s="24"/>
      <c r="G23" s="17">
        <f t="shared" si="4"/>
        <v>0</v>
      </c>
      <c r="H23" s="18">
        <f t="shared" si="5"/>
        <v>0</v>
      </c>
    </row>
    <row r="24" spans="1:8" ht="27" hidden="1" customHeight="1">
      <c r="A24" s="22">
        <v>4</v>
      </c>
      <c r="B24" s="25" t="s">
        <v>10</v>
      </c>
      <c r="C24" s="22"/>
      <c r="D24" s="22"/>
      <c r="E24" s="22"/>
      <c r="F24" s="24"/>
      <c r="G24" s="17">
        <f t="shared" si="4"/>
        <v>0</v>
      </c>
      <c r="H24" s="18">
        <f t="shared" si="5"/>
        <v>0</v>
      </c>
    </row>
    <row r="25" spans="1:8" ht="33.75" hidden="1" customHeight="1">
      <c r="A25" s="22">
        <v>4</v>
      </c>
      <c r="B25" s="25" t="s">
        <v>16</v>
      </c>
      <c r="C25" s="22"/>
      <c r="D25" s="22"/>
      <c r="E25" s="22"/>
      <c r="F25" s="24"/>
      <c r="G25" s="17">
        <f t="shared" si="4"/>
        <v>0</v>
      </c>
      <c r="H25" s="18">
        <f t="shared" si="5"/>
        <v>0</v>
      </c>
    </row>
    <row r="26" spans="1:8" ht="33.75" hidden="1" customHeight="1">
      <c r="A26" s="22">
        <v>4</v>
      </c>
      <c r="B26" s="25" t="s">
        <v>13</v>
      </c>
      <c r="C26" s="22"/>
      <c r="D26" s="22"/>
      <c r="E26" s="22"/>
      <c r="F26" s="24"/>
      <c r="G26" s="17">
        <f t="shared" si="4"/>
        <v>0</v>
      </c>
      <c r="H26" s="18">
        <f t="shared" si="5"/>
        <v>0</v>
      </c>
    </row>
    <row r="27" spans="1:8" ht="33.75" hidden="1" customHeight="1">
      <c r="A27" s="22">
        <v>4</v>
      </c>
      <c r="B27" s="25" t="s">
        <v>17</v>
      </c>
      <c r="C27" s="22"/>
      <c r="D27" s="22"/>
      <c r="E27" s="22"/>
      <c r="F27" s="24"/>
      <c r="G27" s="17">
        <f t="shared" si="4"/>
        <v>0</v>
      </c>
      <c r="H27" s="18">
        <f t="shared" si="5"/>
        <v>0</v>
      </c>
    </row>
    <row r="28" spans="1:8" ht="27.75" hidden="1" customHeight="1">
      <c r="A28" s="22">
        <v>4</v>
      </c>
      <c r="B28" s="25" t="s">
        <v>18</v>
      </c>
      <c r="C28" s="22"/>
      <c r="D28" s="22"/>
      <c r="E28" s="22"/>
      <c r="F28" s="24"/>
      <c r="G28" s="17">
        <f t="shared" si="4"/>
        <v>0</v>
      </c>
      <c r="H28" s="18">
        <f t="shared" si="5"/>
        <v>0</v>
      </c>
    </row>
    <row r="29" spans="1:8" ht="27.75" hidden="1" customHeight="1">
      <c r="A29" s="22">
        <v>4</v>
      </c>
      <c r="B29" s="25" t="s">
        <v>19</v>
      </c>
      <c r="C29" s="22"/>
      <c r="D29" s="22"/>
      <c r="E29" s="22"/>
      <c r="F29" s="24"/>
      <c r="G29" s="17">
        <f t="shared" si="4"/>
        <v>0</v>
      </c>
      <c r="H29" s="18">
        <f t="shared" si="5"/>
        <v>0</v>
      </c>
    </row>
    <row r="30" spans="1:8" ht="27.75" hidden="1" customHeight="1">
      <c r="A30" s="2"/>
      <c r="B30" s="2"/>
      <c r="C30" s="19"/>
      <c r="D30" s="19"/>
      <c r="E30" s="19"/>
      <c r="F30" s="2"/>
      <c r="G30" s="2"/>
      <c r="H30" s="2"/>
    </row>
    <row r="31" spans="1:8" ht="27.75" hidden="1" customHeight="1">
      <c r="A31" s="22">
        <v>5</v>
      </c>
      <c r="B31" s="25" t="s">
        <v>14</v>
      </c>
      <c r="C31" s="22"/>
      <c r="D31" s="22"/>
      <c r="E31" s="22"/>
      <c r="F31" s="24"/>
      <c r="G31" s="17">
        <f t="shared" ref="G31:G39" si="6">IF((C31-D31)&lt;0,0,C31-D31)</f>
        <v>0</v>
      </c>
      <c r="H31" s="18">
        <f t="shared" ref="H31:H39" si="7">IF((D31-C31)&lt;0,0,D31-C31)</f>
        <v>0</v>
      </c>
    </row>
    <row r="32" spans="1:8" ht="27.75" hidden="1" customHeight="1">
      <c r="A32" s="22">
        <v>5</v>
      </c>
      <c r="B32" s="25" t="s">
        <v>15</v>
      </c>
      <c r="C32" s="22"/>
      <c r="D32" s="22"/>
      <c r="E32" s="22"/>
      <c r="F32" s="24"/>
      <c r="G32" s="17">
        <f t="shared" si="6"/>
        <v>0</v>
      </c>
      <c r="H32" s="18">
        <f t="shared" si="7"/>
        <v>0</v>
      </c>
    </row>
    <row r="33" spans="1:8" ht="27.75" hidden="1" customHeight="1">
      <c r="A33" s="22">
        <v>5</v>
      </c>
      <c r="B33" s="25" t="s">
        <v>12</v>
      </c>
      <c r="C33" s="22"/>
      <c r="D33" s="22"/>
      <c r="E33" s="22"/>
      <c r="F33" s="24"/>
      <c r="G33" s="17">
        <f t="shared" si="6"/>
        <v>0</v>
      </c>
      <c r="H33" s="18">
        <f t="shared" si="7"/>
        <v>0</v>
      </c>
    </row>
    <row r="34" spans="1:8" ht="27.75" hidden="1" customHeight="1">
      <c r="A34" s="22">
        <v>5</v>
      </c>
      <c r="B34" s="25" t="s">
        <v>10</v>
      </c>
      <c r="C34" s="22"/>
      <c r="D34" s="22"/>
      <c r="E34" s="22"/>
      <c r="F34" s="24"/>
      <c r="G34" s="17">
        <f t="shared" si="6"/>
        <v>0</v>
      </c>
      <c r="H34" s="18">
        <f t="shared" si="7"/>
        <v>0</v>
      </c>
    </row>
    <row r="35" spans="1:8" ht="39" hidden="1" customHeight="1">
      <c r="A35" s="22">
        <v>5</v>
      </c>
      <c r="B35" s="25" t="s">
        <v>16</v>
      </c>
      <c r="C35" s="22"/>
      <c r="D35" s="22"/>
      <c r="E35" s="22"/>
      <c r="F35" s="24"/>
      <c r="G35" s="17">
        <f t="shared" si="6"/>
        <v>0</v>
      </c>
      <c r="H35" s="18">
        <f t="shared" si="7"/>
        <v>0</v>
      </c>
    </row>
    <row r="36" spans="1:8" ht="27.75" hidden="1" customHeight="1">
      <c r="A36" s="22">
        <v>5</v>
      </c>
      <c r="B36" s="25" t="s">
        <v>13</v>
      </c>
      <c r="C36" s="22"/>
      <c r="D36" s="22"/>
      <c r="E36" s="22"/>
      <c r="F36" s="24"/>
      <c r="G36" s="17">
        <f t="shared" si="6"/>
        <v>0</v>
      </c>
      <c r="H36" s="18">
        <f t="shared" si="7"/>
        <v>0</v>
      </c>
    </row>
    <row r="37" spans="1:8" ht="27.75" hidden="1" customHeight="1">
      <c r="A37" s="22">
        <v>5</v>
      </c>
      <c r="B37" s="25" t="s">
        <v>17</v>
      </c>
      <c r="C37" s="22"/>
      <c r="D37" s="22"/>
      <c r="E37" s="22"/>
      <c r="F37" s="24"/>
      <c r="G37" s="17">
        <f t="shared" si="6"/>
        <v>0</v>
      </c>
      <c r="H37" s="18">
        <f t="shared" si="7"/>
        <v>0</v>
      </c>
    </row>
    <row r="38" spans="1:8" ht="27.75" hidden="1" customHeight="1">
      <c r="A38" s="22">
        <v>5</v>
      </c>
      <c r="B38" s="25" t="s">
        <v>18</v>
      </c>
      <c r="C38" s="22"/>
      <c r="D38" s="22"/>
      <c r="E38" s="22"/>
      <c r="F38" s="24"/>
      <c r="G38" s="17">
        <f t="shared" si="6"/>
        <v>0</v>
      </c>
      <c r="H38" s="18">
        <f t="shared" si="7"/>
        <v>0</v>
      </c>
    </row>
    <row r="39" spans="1:8" ht="27.75" hidden="1" customHeight="1">
      <c r="A39" s="22">
        <v>5</v>
      </c>
      <c r="B39" s="25" t="s">
        <v>19</v>
      </c>
      <c r="C39" s="22"/>
      <c r="D39" s="22"/>
      <c r="E39" s="22"/>
      <c r="F39" s="24"/>
      <c r="G39" s="17">
        <f t="shared" si="6"/>
        <v>0</v>
      </c>
      <c r="H39" s="18">
        <f t="shared" si="7"/>
        <v>0</v>
      </c>
    </row>
    <row r="40" spans="1:8" ht="27.75" hidden="1" customHeight="1">
      <c r="A40" s="2"/>
      <c r="B40" s="2"/>
      <c r="C40" s="19"/>
      <c r="D40" s="19"/>
      <c r="E40" s="19"/>
      <c r="F40" s="2"/>
      <c r="G40" s="2"/>
      <c r="H40" s="2"/>
    </row>
    <row r="41" spans="1:8" ht="27.75" hidden="1" customHeight="1">
      <c r="A41" s="22">
        <v>6</v>
      </c>
      <c r="B41" s="25" t="s">
        <v>14</v>
      </c>
      <c r="C41" s="22"/>
      <c r="D41" s="22"/>
      <c r="E41" s="22"/>
      <c r="F41" s="24"/>
      <c r="G41" s="17">
        <f t="shared" ref="G41:G49" si="8">IF((C41-D41)&lt;0,0,C41-D41)</f>
        <v>0</v>
      </c>
      <c r="H41" s="18">
        <f t="shared" ref="H41:H49" si="9">IF((D41-C41)&lt;0,0,D41-C41)</f>
        <v>0</v>
      </c>
    </row>
    <row r="42" spans="1:8" ht="27.75" hidden="1" customHeight="1">
      <c r="A42" s="22">
        <v>6</v>
      </c>
      <c r="B42" s="25" t="s">
        <v>15</v>
      </c>
      <c r="C42" s="22"/>
      <c r="D42" s="22"/>
      <c r="E42" s="22"/>
      <c r="F42" s="24"/>
      <c r="G42" s="17">
        <f t="shared" si="8"/>
        <v>0</v>
      </c>
      <c r="H42" s="18">
        <f t="shared" si="9"/>
        <v>0</v>
      </c>
    </row>
    <row r="43" spans="1:8" ht="27.75" hidden="1" customHeight="1">
      <c r="A43" s="22">
        <v>6</v>
      </c>
      <c r="B43" s="25" t="s">
        <v>12</v>
      </c>
      <c r="C43" s="22"/>
      <c r="D43" s="22"/>
      <c r="E43" s="22"/>
      <c r="F43" s="24"/>
      <c r="G43" s="17">
        <f t="shared" si="8"/>
        <v>0</v>
      </c>
      <c r="H43" s="18">
        <f t="shared" si="9"/>
        <v>0</v>
      </c>
    </row>
    <row r="44" spans="1:8" ht="27.75" hidden="1" customHeight="1">
      <c r="A44" s="22">
        <v>6</v>
      </c>
      <c r="B44" s="25" t="s">
        <v>10</v>
      </c>
      <c r="C44" s="22"/>
      <c r="D44" s="22"/>
      <c r="E44" s="22"/>
      <c r="F44" s="24"/>
      <c r="G44" s="17">
        <f t="shared" si="8"/>
        <v>0</v>
      </c>
      <c r="H44" s="18">
        <f t="shared" si="9"/>
        <v>0</v>
      </c>
    </row>
    <row r="45" spans="1:8" ht="36.75" hidden="1" customHeight="1">
      <c r="A45" s="22">
        <v>6</v>
      </c>
      <c r="B45" s="25" t="s">
        <v>16</v>
      </c>
      <c r="C45" s="22"/>
      <c r="D45" s="22"/>
      <c r="E45" s="22"/>
      <c r="F45" s="24"/>
      <c r="G45" s="17">
        <f t="shared" si="8"/>
        <v>0</v>
      </c>
      <c r="H45" s="18">
        <f t="shared" si="9"/>
        <v>0</v>
      </c>
    </row>
    <row r="46" spans="1:8" ht="27.75" hidden="1" customHeight="1">
      <c r="A46" s="22">
        <v>6</v>
      </c>
      <c r="B46" s="25" t="s">
        <v>13</v>
      </c>
      <c r="C46" s="22"/>
      <c r="D46" s="22"/>
      <c r="E46" s="22"/>
      <c r="F46" s="24"/>
      <c r="G46" s="17">
        <f t="shared" si="8"/>
        <v>0</v>
      </c>
      <c r="H46" s="18">
        <f t="shared" si="9"/>
        <v>0</v>
      </c>
    </row>
    <row r="47" spans="1:8" ht="27.75" hidden="1" customHeight="1">
      <c r="A47" s="22">
        <v>6</v>
      </c>
      <c r="B47" s="25" t="s">
        <v>17</v>
      </c>
      <c r="C47" s="22"/>
      <c r="D47" s="22"/>
      <c r="E47" s="22"/>
      <c r="F47" s="24"/>
      <c r="G47" s="17">
        <f t="shared" si="8"/>
        <v>0</v>
      </c>
      <c r="H47" s="18">
        <f t="shared" si="9"/>
        <v>0</v>
      </c>
    </row>
    <row r="48" spans="1:8" ht="27.75" hidden="1" customHeight="1">
      <c r="A48" s="22">
        <v>6</v>
      </c>
      <c r="B48" s="25" t="s">
        <v>18</v>
      </c>
      <c r="C48" s="22"/>
      <c r="D48" s="22"/>
      <c r="E48" s="22"/>
      <c r="F48" s="24"/>
      <c r="G48" s="17">
        <f t="shared" si="8"/>
        <v>0</v>
      </c>
      <c r="H48" s="18">
        <f t="shared" si="9"/>
        <v>0</v>
      </c>
    </row>
    <row r="49" spans="1:8" ht="27.75" hidden="1" customHeight="1">
      <c r="A49" s="22">
        <v>6</v>
      </c>
      <c r="B49" s="25" t="s">
        <v>19</v>
      </c>
      <c r="C49" s="22"/>
      <c r="D49" s="22"/>
      <c r="E49" s="22"/>
      <c r="F49" s="24"/>
      <c r="G49" s="17">
        <f t="shared" si="8"/>
        <v>0</v>
      </c>
      <c r="H49" s="18">
        <f t="shared" si="9"/>
        <v>0</v>
      </c>
    </row>
    <row r="50" spans="1:8" ht="27.75" customHeight="1">
      <c r="A50" s="2"/>
      <c r="B50" s="2"/>
      <c r="C50" s="19"/>
      <c r="D50" s="19"/>
      <c r="E50" s="19"/>
      <c r="F50" s="2"/>
      <c r="G50" s="2"/>
      <c r="H50" s="2"/>
    </row>
    <row r="51" spans="1:8" ht="27.75" customHeight="1">
      <c r="A51" s="26">
        <v>7</v>
      </c>
      <c r="B51" s="27" t="s">
        <v>14</v>
      </c>
      <c r="C51" s="26">
        <v>914</v>
      </c>
      <c r="D51" s="26">
        <v>1102</v>
      </c>
      <c r="E51" s="26">
        <v>2025</v>
      </c>
      <c r="F51" s="28" t="s">
        <v>20</v>
      </c>
      <c r="G51" s="17">
        <f t="shared" ref="G51:G59" si="10">IF((C51-D51)&lt;0,0,C51-D51)</f>
        <v>0</v>
      </c>
      <c r="H51" s="18">
        <f t="shared" ref="H51:H59" si="11">IF((D51-C51)&lt;0,0,D51-C51)</f>
        <v>188</v>
      </c>
    </row>
    <row r="52" spans="1:8" ht="27.75" customHeight="1">
      <c r="A52" s="26">
        <v>7</v>
      </c>
      <c r="B52" s="27" t="s">
        <v>15</v>
      </c>
      <c r="C52" s="26"/>
      <c r="D52" s="26"/>
      <c r="E52" s="26"/>
      <c r="F52" s="28"/>
      <c r="G52" s="17">
        <f t="shared" si="10"/>
        <v>0</v>
      </c>
      <c r="H52" s="18">
        <f t="shared" si="11"/>
        <v>0</v>
      </c>
    </row>
    <row r="53" spans="1:8" ht="27.75" customHeight="1">
      <c r="A53" s="26">
        <v>7</v>
      </c>
      <c r="B53" s="27" t="s">
        <v>12</v>
      </c>
      <c r="C53" s="26">
        <v>914</v>
      </c>
      <c r="D53" s="26">
        <v>742</v>
      </c>
      <c r="E53" s="26">
        <v>2024</v>
      </c>
      <c r="F53" s="28" t="s">
        <v>20</v>
      </c>
      <c r="G53" s="17">
        <f t="shared" si="10"/>
        <v>172</v>
      </c>
      <c r="H53" s="18">
        <f t="shared" si="11"/>
        <v>0</v>
      </c>
    </row>
    <row r="54" spans="1:8" ht="27.75" customHeight="1">
      <c r="A54" s="26">
        <v>7</v>
      </c>
      <c r="B54" s="27" t="s">
        <v>21</v>
      </c>
      <c r="C54" s="26">
        <v>914</v>
      </c>
      <c r="D54" s="26">
        <v>7</v>
      </c>
      <c r="E54" s="26">
        <v>2024</v>
      </c>
      <c r="F54" s="28" t="s">
        <v>20</v>
      </c>
      <c r="G54" s="17">
        <f t="shared" si="10"/>
        <v>907</v>
      </c>
      <c r="H54" s="18">
        <f t="shared" si="11"/>
        <v>0</v>
      </c>
    </row>
    <row r="55" spans="1:8" ht="39" customHeight="1">
      <c r="A55" s="26">
        <v>7</v>
      </c>
      <c r="B55" s="27" t="s">
        <v>16</v>
      </c>
      <c r="C55" s="26">
        <v>914</v>
      </c>
      <c r="D55" s="26">
        <v>1102</v>
      </c>
      <c r="E55" s="26">
        <v>2025</v>
      </c>
      <c r="F55" s="28" t="s">
        <v>20</v>
      </c>
      <c r="G55" s="17">
        <f t="shared" si="10"/>
        <v>0</v>
      </c>
      <c r="H55" s="18">
        <f t="shared" si="11"/>
        <v>188</v>
      </c>
    </row>
    <row r="56" spans="1:8" ht="27.75" customHeight="1">
      <c r="A56" s="26">
        <v>7</v>
      </c>
      <c r="B56" s="27" t="s">
        <v>13</v>
      </c>
      <c r="C56" s="26">
        <v>914</v>
      </c>
      <c r="D56" s="26">
        <v>749</v>
      </c>
      <c r="E56" s="26">
        <v>2024</v>
      </c>
      <c r="F56" s="28" t="s">
        <v>20</v>
      </c>
      <c r="G56" s="17">
        <f t="shared" si="10"/>
        <v>165</v>
      </c>
      <c r="H56" s="18">
        <f t="shared" si="11"/>
        <v>0</v>
      </c>
    </row>
    <row r="57" spans="1:8" ht="27.75" customHeight="1">
      <c r="A57" s="26">
        <v>7</v>
      </c>
      <c r="B57" s="27" t="s">
        <v>17</v>
      </c>
      <c r="C57" s="26">
        <v>914</v>
      </c>
      <c r="D57" s="26">
        <v>1102</v>
      </c>
      <c r="E57" s="26">
        <v>2025</v>
      </c>
      <c r="F57" s="28" t="s">
        <v>20</v>
      </c>
      <c r="G57" s="17">
        <f t="shared" si="10"/>
        <v>0</v>
      </c>
      <c r="H57" s="18">
        <f t="shared" si="11"/>
        <v>188</v>
      </c>
    </row>
    <row r="58" spans="1:8" ht="27.75" customHeight="1">
      <c r="A58" s="26">
        <v>7</v>
      </c>
      <c r="B58" s="27" t="s">
        <v>22</v>
      </c>
      <c r="C58" s="26"/>
      <c r="D58" s="26"/>
      <c r="E58" s="26"/>
      <c r="F58" s="28"/>
      <c r="G58" s="17">
        <f t="shared" si="10"/>
        <v>0</v>
      </c>
      <c r="H58" s="18">
        <f t="shared" si="11"/>
        <v>0</v>
      </c>
    </row>
    <row r="59" spans="1:8" ht="27.75" customHeight="1">
      <c r="A59" s="26">
        <v>7</v>
      </c>
      <c r="B59" s="27" t="s">
        <v>19</v>
      </c>
      <c r="C59" s="26">
        <v>914</v>
      </c>
      <c r="D59" s="26">
        <v>1102</v>
      </c>
      <c r="E59" s="26">
        <v>2025</v>
      </c>
      <c r="F59" s="28" t="s">
        <v>20</v>
      </c>
      <c r="G59" s="17">
        <f t="shared" si="10"/>
        <v>0</v>
      </c>
      <c r="H59" s="18">
        <f t="shared" si="11"/>
        <v>188</v>
      </c>
    </row>
    <row r="60" spans="1:8" ht="27.75" customHeight="1">
      <c r="A60" s="2"/>
      <c r="B60" s="2"/>
      <c r="C60" s="19"/>
      <c r="D60" s="19"/>
      <c r="E60" s="19"/>
      <c r="F60" s="2"/>
      <c r="G60" s="2"/>
      <c r="H60" s="2"/>
    </row>
    <row r="61" spans="1:8" ht="27.75" customHeight="1">
      <c r="A61" s="26">
        <v>8</v>
      </c>
      <c r="B61" s="27" t="s">
        <v>14</v>
      </c>
      <c r="C61" s="26">
        <v>868</v>
      </c>
      <c r="D61" s="26">
        <v>702</v>
      </c>
      <c r="E61" s="26">
        <v>2025</v>
      </c>
      <c r="F61" s="28" t="s">
        <v>20</v>
      </c>
      <c r="G61" s="17">
        <f t="shared" ref="G61:G69" si="12">IF((C61-D61)&lt;0,0,C61-D61)</f>
        <v>166</v>
      </c>
      <c r="H61" s="18">
        <f t="shared" ref="H61:H69" si="13">IF((D61-C61)&lt;0,0,D61-C61)</f>
        <v>0</v>
      </c>
    </row>
    <row r="62" spans="1:8" ht="27.75" customHeight="1">
      <c r="A62" s="26">
        <v>8</v>
      </c>
      <c r="B62" s="27" t="s">
        <v>15</v>
      </c>
      <c r="C62" s="26">
        <v>868</v>
      </c>
      <c r="D62" s="26">
        <v>784</v>
      </c>
      <c r="E62" s="26">
        <v>2024</v>
      </c>
      <c r="F62" s="28" t="s">
        <v>20</v>
      </c>
      <c r="G62" s="17">
        <f t="shared" si="12"/>
        <v>84</v>
      </c>
      <c r="H62" s="18">
        <f t="shared" si="13"/>
        <v>0</v>
      </c>
    </row>
    <row r="63" spans="1:8" ht="27.75" customHeight="1">
      <c r="A63" s="26">
        <v>8</v>
      </c>
      <c r="B63" s="27" t="s">
        <v>12</v>
      </c>
      <c r="C63" s="26">
        <v>868</v>
      </c>
      <c r="D63" s="26">
        <v>740</v>
      </c>
      <c r="E63" s="26">
        <v>2024</v>
      </c>
      <c r="F63" s="28" t="s">
        <v>20</v>
      </c>
      <c r="G63" s="17">
        <f t="shared" si="12"/>
        <v>128</v>
      </c>
      <c r="H63" s="18">
        <f t="shared" si="13"/>
        <v>0</v>
      </c>
    </row>
    <row r="64" spans="1:8" ht="27.75" customHeight="1">
      <c r="A64" s="26">
        <v>8</v>
      </c>
      <c r="B64" s="27" t="s">
        <v>21</v>
      </c>
      <c r="C64" s="26">
        <v>868</v>
      </c>
      <c r="D64" s="26">
        <v>1029</v>
      </c>
      <c r="E64" s="26">
        <v>2025</v>
      </c>
      <c r="F64" s="28" t="s">
        <v>20</v>
      </c>
      <c r="G64" s="17">
        <f t="shared" si="12"/>
        <v>0</v>
      </c>
      <c r="H64" s="18">
        <f t="shared" si="13"/>
        <v>161</v>
      </c>
    </row>
    <row r="65" spans="1:8" ht="27.75" customHeight="1">
      <c r="A65" s="26">
        <v>8</v>
      </c>
      <c r="B65" s="27" t="s">
        <v>23</v>
      </c>
      <c r="C65" s="26">
        <v>868</v>
      </c>
      <c r="D65" s="26">
        <v>8</v>
      </c>
      <c r="E65" s="26">
        <v>2024</v>
      </c>
      <c r="F65" s="28" t="s">
        <v>20</v>
      </c>
      <c r="G65" s="17">
        <f t="shared" si="12"/>
        <v>860</v>
      </c>
      <c r="H65" s="18">
        <f t="shared" si="13"/>
        <v>0</v>
      </c>
    </row>
    <row r="66" spans="1:8" ht="27.75" customHeight="1">
      <c r="A66" s="26">
        <v>8</v>
      </c>
      <c r="B66" s="27" t="s">
        <v>13</v>
      </c>
      <c r="C66" s="26">
        <v>868</v>
      </c>
      <c r="D66" s="26">
        <v>541</v>
      </c>
      <c r="E66" s="26">
        <v>2024</v>
      </c>
      <c r="F66" s="28" t="s">
        <v>20</v>
      </c>
      <c r="G66" s="17">
        <f t="shared" si="12"/>
        <v>327</v>
      </c>
      <c r="H66" s="18">
        <f t="shared" si="13"/>
        <v>0</v>
      </c>
    </row>
    <row r="67" spans="1:8" ht="27.75" customHeight="1">
      <c r="A67" s="26">
        <v>8</v>
      </c>
      <c r="B67" s="27" t="s">
        <v>17</v>
      </c>
      <c r="C67" s="26">
        <v>868</v>
      </c>
      <c r="D67" s="26">
        <v>670</v>
      </c>
      <c r="E67" s="26">
        <v>2024</v>
      </c>
      <c r="F67" s="28" t="s">
        <v>20</v>
      </c>
      <c r="G67" s="17">
        <f t="shared" si="12"/>
        <v>198</v>
      </c>
      <c r="H67" s="18">
        <f t="shared" si="13"/>
        <v>0</v>
      </c>
    </row>
    <row r="68" spans="1:8" ht="27.75" customHeight="1">
      <c r="A68" s="26">
        <v>8</v>
      </c>
      <c r="B68" s="27" t="s">
        <v>22</v>
      </c>
      <c r="C68" s="26"/>
      <c r="D68" s="26"/>
      <c r="E68" s="26"/>
      <c r="F68" s="28"/>
      <c r="G68" s="17">
        <f t="shared" si="12"/>
        <v>0</v>
      </c>
      <c r="H68" s="18">
        <f t="shared" si="13"/>
        <v>0</v>
      </c>
    </row>
    <row r="69" spans="1:8" ht="27.75" customHeight="1">
      <c r="A69" s="26">
        <v>8</v>
      </c>
      <c r="B69" s="27" t="s">
        <v>19</v>
      </c>
      <c r="C69" s="26">
        <v>868</v>
      </c>
      <c r="D69" s="26">
        <v>555</v>
      </c>
      <c r="E69" s="26">
        <v>2024</v>
      </c>
      <c r="F69" s="28" t="s">
        <v>20</v>
      </c>
      <c r="G69" s="17">
        <f t="shared" si="12"/>
        <v>313</v>
      </c>
      <c r="H69" s="18">
        <f t="shared" si="13"/>
        <v>0</v>
      </c>
    </row>
    <row r="70" spans="1:8" ht="27.75" customHeight="1">
      <c r="A70" s="2"/>
      <c r="B70" s="2"/>
      <c r="C70" s="19"/>
      <c r="D70" s="19"/>
      <c r="E70" s="19"/>
      <c r="F70" s="2"/>
      <c r="G70" s="2"/>
      <c r="H70" s="2"/>
    </row>
    <row r="71" spans="1:8" ht="27.75" customHeight="1">
      <c r="A71" s="26">
        <v>9</v>
      </c>
      <c r="B71" s="27" t="s">
        <v>14</v>
      </c>
      <c r="C71" s="26">
        <v>723</v>
      </c>
      <c r="D71" s="26">
        <v>658</v>
      </c>
      <c r="E71" s="26">
        <v>2024</v>
      </c>
      <c r="F71" s="28" t="s">
        <v>20</v>
      </c>
      <c r="G71" s="17">
        <f t="shared" ref="G71:G79" si="14">IF((C71-D71)&lt;0,0,C71-D71)</f>
        <v>65</v>
      </c>
      <c r="H71" s="18">
        <f t="shared" ref="H71:H79" si="15">IF((D71-C71)&lt;0,0,D71-C71)</f>
        <v>0</v>
      </c>
    </row>
    <row r="72" spans="1:8" ht="27.75" customHeight="1">
      <c r="A72" s="26">
        <v>9</v>
      </c>
      <c r="B72" s="27" t="s">
        <v>15</v>
      </c>
      <c r="C72" s="26">
        <v>723</v>
      </c>
      <c r="D72" s="26">
        <v>1466</v>
      </c>
      <c r="E72" s="26">
        <v>2024</v>
      </c>
      <c r="F72" s="28" t="s">
        <v>20</v>
      </c>
      <c r="G72" s="17">
        <f t="shared" si="14"/>
        <v>0</v>
      </c>
      <c r="H72" s="18">
        <f t="shared" si="15"/>
        <v>743</v>
      </c>
    </row>
    <row r="73" spans="1:8" ht="27.75" customHeight="1">
      <c r="A73" s="26">
        <v>9</v>
      </c>
      <c r="B73" s="27" t="s">
        <v>12</v>
      </c>
      <c r="C73" s="26">
        <v>723</v>
      </c>
      <c r="D73" s="26">
        <v>588</v>
      </c>
      <c r="E73" s="26">
        <v>2024</v>
      </c>
      <c r="F73" s="28" t="s">
        <v>20</v>
      </c>
      <c r="G73" s="17">
        <f t="shared" si="14"/>
        <v>135</v>
      </c>
      <c r="H73" s="18">
        <f t="shared" si="15"/>
        <v>0</v>
      </c>
    </row>
    <row r="74" spans="1:8" ht="27.75" customHeight="1">
      <c r="A74" s="26">
        <v>9</v>
      </c>
      <c r="B74" s="27" t="s">
        <v>21</v>
      </c>
      <c r="C74" s="26">
        <v>723</v>
      </c>
      <c r="D74" s="26">
        <v>926</v>
      </c>
      <c r="E74" s="26">
        <v>2024</v>
      </c>
      <c r="F74" s="28" t="s">
        <v>20</v>
      </c>
      <c r="G74" s="17">
        <f t="shared" si="14"/>
        <v>0</v>
      </c>
      <c r="H74" s="18">
        <f t="shared" si="15"/>
        <v>203</v>
      </c>
    </row>
    <row r="75" spans="1:8" ht="27.75" customHeight="1">
      <c r="A75" s="26">
        <v>9</v>
      </c>
      <c r="B75" s="27" t="s">
        <v>23</v>
      </c>
      <c r="C75" s="26">
        <v>723</v>
      </c>
      <c r="D75" s="26">
        <v>1399</v>
      </c>
      <c r="E75" s="26">
        <v>2024</v>
      </c>
      <c r="F75" s="28" t="s">
        <v>20</v>
      </c>
      <c r="G75" s="17">
        <f t="shared" si="14"/>
        <v>0</v>
      </c>
      <c r="H75" s="18">
        <f t="shared" si="15"/>
        <v>676</v>
      </c>
    </row>
    <row r="76" spans="1:8" ht="27.75" customHeight="1">
      <c r="A76" s="26">
        <v>9</v>
      </c>
      <c r="B76" s="27" t="s">
        <v>13</v>
      </c>
      <c r="C76" s="26">
        <v>723</v>
      </c>
      <c r="D76" s="26">
        <v>579</v>
      </c>
      <c r="E76" s="26">
        <v>2024</v>
      </c>
      <c r="F76" s="28" t="s">
        <v>20</v>
      </c>
      <c r="G76" s="17">
        <f t="shared" si="14"/>
        <v>144</v>
      </c>
      <c r="H76" s="18">
        <f t="shared" si="15"/>
        <v>0</v>
      </c>
    </row>
    <row r="77" spans="1:8" ht="27.75" customHeight="1">
      <c r="A77" s="26">
        <v>9</v>
      </c>
      <c r="B77" s="27" t="s">
        <v>17</v>
      </c>
      <c r="C77" s="26">
        <v>723</v>
      </c>
      <c r="D77" s="26">
        <v>687</v>
      </c>
      <c r="E77" s="26">
        <v>2024</v>
      </c>
      <c r="F77" s="28" t="s">
        <v>20</v>
      </c>
      <c r="G77" s="17">
        <f t="shared" si="14"/>
        <v>36</v>
      </c>
      <c r="H77" s="18">
        <f t="shared" si="15"/>
        <v>0</v>
      </c>
    </row>
    <row r="78" spans="1:8" ht="27.75" customHeight="1">
      <c r="A78" s="26">
        <v>9</v>
      </c>
      <c r="B78" s="27" t="s">
        <v>22</v>
      </c>
      <c r="C78" s="26"/>
      <c r="D78" s="26"/>
      <c r="E78" s="26"/>
      <c r="F78" s="28"/>
      <c r="G78" s="17">
        <f t="shared" si="14"/>
        <v>0</v>
      </c>
      <c r="H78" s="18">
        <f t="shared" si="15"/>
        <v>0</v>
      </c>
    </row>
    <row r="79" spans="1:8" ht="27.75" customHeight="1">
      <c r="A79" s="26">
        <v>9</v>
      </c>
      <c r="B79" s="27" t="s">
        <v>19</v>
      </c>
      <c r="C79" s="26">
        <v>723</v>
      </c>
      <c r="D79" s="26">
        <v>520</v>
      </c>
      <c r="E79" s="26">
        <v>2024</v>
      </c>
      <c r="F79" s="28" t="s">
        <v>20</v>
      </c>
      <c r="G79" s="17">
        <f t="shared" si="14"/>
        <v>203</v>
      </c>
      <c r="H79" s="18">
        <f t="shared" si="15"/>
        <v>0</v>
      </c>
    </row>
    <row r="80" spans="1:8" ht="27.75" customHeight="1">
      <c r="A80" s="2"/>
      <c r="B80" s="19"/>
      <c r="C80" s="19"/>
      <c r="D80" s="19"/>
      <c r="E80" s="19"/>
      <c r="F80" s="2"/>
      <c r="G80" s="2"/>
      <c r="H80" s="2"/>
    </row>
    <row r="81" spans="1:8" ht="27.75" customHeight="1">
      <c r="A81" s="26">
        <v>10</v>
      </c>
      <c r="B81" s="27" t="s">
        <v>14</v>
      </c>
      <c r="C81" s="26">
        <v>944</v>
      </c>
      <c r="D81" s="26">
        <v>283</v>
      </c>
      <c r="E81" s="26">
        <v>2024</v>
      </c>
      <c r="F81" s="28" t="s">
        <v>20</v>
      </c>
      <c r="G81" s="17">
        <f t="shared" ref="G81:G89" si="16">IF((C81-D81)&lt;0,0,C81-D81)</f>
        <v>661</v>
      </c>
      <c r="H81" s="18">
        <f t="shared" ref="H81:H89" si="17">IF((D81-C81)&lt;0,0,D81-C81)</f>
        <v>0</v>
      </c>
    </row>
    <row r="82" spans="1:8" ht="27.75" customHeight="1">
      <c r="A82" s="26">
        <v>10</v>
      </c>
      <c r="B82" s="27" t="s">
        <v>15</v>
      </c>
      <c r="C82" s="26">
        <v>944</v>
      </c>
      <c r="D82" s="26">
        <v>796</v>
      </c>
      <c r="E82" s="26">
        <v>2024</v>
      </c>
      <c r="F82" s="28" t="s">
        <v>20</v>
      </c>
      <c r="G82" s="17">
        <f t="shared" si="16"/>
        <v>148</v>
      </c>
      <c r="H82" s="18">
        <f t="shared" si="17"/>
        <v>0</v>
      </c>
    </row>
    <row r="83" spans="1:8" ht="27.75" customHeight="1">
      <c r="A83" s="26">
        <v>10</v>
      </c>
      <c r="B83" s="27" t="s">
        <v>12</v>
      </c>
      <c r="C83" s="26">
        <v>944</v>
      </c>
      <c r="D83" s="26">
        <v>390</v>
      </c>
      <c r="E83" s="26">
        <v>2024</v>
      </c>
      <c r="F83" s="28" t="s">
        <v>20</v>
      </c>
      <c r="G83" s="17">
        <f t="shared" si="16"/>
        <v>554</v>
      </c>
      <c r="H83" s="18">
        <f t="shared" si="17"/>
        <v>0</v>
      </c>
    </row>
    <row r="84" spans="1:8" ht="27.75" customHeight="1">
      <c r="A84" s="26">
        <v>10</v>
      </c>
      <c r="B84" s="27" t="s">
        <v>21</v>
      </c>
      <c r="C84" s="26">
        <v>944</v>
      </c>
      <c r="D84" s="26">
        <v>408</v>
      </c>
      <c r="E84" s="26">
        <v>2024</v>
      </c>
      <c r="F84" s="28" t="s">
        <v>20</v>
      </c>
      <c r="G84" s="17">
        <f t="shared" si="16"/>
        <v>536</v>
      </c>
      <c r="H84" s="18">
        <f t="shared" si="17"/>
        <v>0</v>
      </c>
    </row>
    <row r="85" spans="1:8" ht="27.75" customHeight="1">
      <c r="A85" s="26">
        <v>10</v>
      </c>
      <c r="B85" s="27" t="s">
        <v>23</v>
      </c>
      <c r="C85" s="26">
        <v>944</v>
      </c>
      <c r="D85" s="26">
        <v>899</v>
      </c>
      <c r="E85" s="26">
        <v>2024</v>
      </c>
      <c r="F85" s="28" t="s">
        <v>20</v>
      </c>
      <c r="G85" s="17">
        <f t="shared" si="16"/>
        <v>45</v>
      </c>
      <c r="H85" s="18">
        <f t="shared" si="17"/>
        <v>0</v>
      </c>
    </row>
    <row r="86" spans="1:8" ht="27.75" customHeight="1">
      <c r="A86" s="26">
        <v>10</v>
      </c>
      <c r="B86" s="27" t="s">
        <v>13</v>
      </c>
      <c r="C86" s="26">
        <v>944</v>
      </c>
      <c r="D86" s="26">
        <v>600</v>
      </c>
      <c r="E86" s="26">
        <v>2024</v>
      </c>
      <c r="F86" s="28" t="s">
        <v>20</v>
      </c>
      <c r="G86" s="17">
        <f t="shared" si="16"/>
        <v>344</v>
      </c>
      <c r="H86" s="18">
        <f t="shared" si="17"/>
        <v>0</v>
      </c>
    </row>
    <row r="87" spans="1:8" ht="27.75" customHeight="1">
      <c r="A87" s="26">
        <v>10</v>
      </c>
      <c r="B87" s="27" t="s">
        <v>17</v>
      </c>
      <c r="C87" s="26">
        <v>944</v>
      </c>
      <c r="D87" s="26">
        <v>816</v>
      </c>
      <c r="E87" s="26">
        <v>2024</v>
      </c>
      <c r="F87" s="28" t="s">
        <v>20</v>
      </c>
      <c r="G87" s="17">
        <f t="shared" si="16"/>
        <v>128</v>
      </c>
      <c r="H87" s="18">
        <f t="shared" si="17"/>
        <v>0</v>
      </c>
    </row>
    <row r="88" spans="1:8" ht="27.75" customHeight="1">
      <c r="A88" s="26">
        <v>10</v>
      </c>
      <c r="B88" s="27" t="s">
        <v>22</v>
      </c>
      <c r="C88" s="26"/>
      <c r="D88" s="26"/>
      <c r="E88" s="26"/>
      <c r="F88" s="28"/>
      <c r="G88" s="17">
        <f t="shared" si="16"/>
        <v>0</v>
      </c>
      <c r="H88" s="18">
        <f t="shared" si="17"/>
        <v>0</v>
      </c>
    </row>
    <row r="89" spans="1:8" ht="27.75" customHeight="1">
      <c r="A89" s="26">
        <v>10</v>
      </c>
      <c r="B89" s="27" t="s">
        <v>19</v>
      </c>
      <c r="C89" s="26">
        <v>944</v>
      </c>
      <c r="D89" s="26">
        <v>1025</v>
      </c>
      <c r="E89" s="26">
        <v>2024</v>
      </c>
      <c r="F89" s="28" t="s">
        <v>20</v>
      </c>
      <c r="G89" s="17">
        <f t="shared" si="16"/>
        <v>0</v>
      </c>
      <c r="H89" s="18">
        <f t="shared" si="17"/>
        <v>81</v>
      </c>
    </row>
    <row r="90" spans="1:8" ht="27.75" customHeight="1">
      <c r="A90" s="2"/>
      <c r="B90" s="2"/>
      <c r="C90" s="19"/>
      <c r="D90" s="19"/>
      <c r="E90" s="19"/>
      <c r="F90" s="2"/>
      <c r="G90" s="2"/>
      <c r="H90" s="2"/>
    </row>
    <row r="91" spans="1:8" ht="39.75" customHeight="1">
      <c r="A91" s="22" t="s">
        <v>24</v>
      </c>
      <c r="B91" s="25" t="s">
        <v>25</v>
      </c>
      <c r="C91" s="22">
        <v>743</v>
      </c>
      <c r="D91" s="22">
        <v>160</v>
      </c>
      <c r="E91" s="22">
        <v>2024</v>
      </c>
      <c r="F91" s="28" t="s">
        <v>20</v>
      </c>
      <c r="G91" s="17">
        <f t="shared" ref="G91:G98" si="18">IF((C91-D91)&lt;0,0,C91-D91)</f>
        <v>583</v>
      </c>
      <c r="H91" s="18">
        <f t="shared" ref="H91:H98" si="19">IF((D91-C91)&lt;0,0,D91-C91)</f>
        <v>0</v>
      </c>
    </row>
    <row r="92" spans="1:8" ht="27.75" customHeight="1">
      <c r="A92" s="22" t="s">
        <v>24</v>
      </c>
      <c r="B92" s="25" t="s">
        <v>26</v>
      </c>
      <c r="C92" s="22"/>
      <c r="D92" s="22"/>
      <c r="E92" s="22"/>
      <c r="F92" s="24"/>
      <c r="G92" s="17">
        <f t="shared" si="18"/>
        <v>0</v>
      </c>
      <c r="H92" s="18">
        <f t="shared" si="19"/>
        <v>0</v>
      </c>
    </row>
    <row r="93" spans="1:8" ht="27.75" customHeight="1">
      <c r="A93" s="22" t="s">
        <v>24</v>
      </c>
      <c r="B93" s="25" t="s">
        <v>27</v>
      </c>
      <c r="C93" s="22"/>
      <c r="D93" s="22"/>
      <c r="E93" s="22"/>
      <c r="F93" s="24"/>
      <c r="G93" s="17">
        <f t="shared" si="18"/>
        <v>0</v>
      </c>
      <c r="H93" s="18">
        <f t="shared" si="19"/>
        <v>0</v>
      </c>
    </row>
    <row r="94" spans="1:8" ht="27.75" customHeight="1">
      <c r="A94" s="22" t="s">
        <v>24</v>
      </c>
      <c r="B94" s="25" t="s">
        <v>28</v>
      </c>
      <c r="C94" s="22">
        <v>743</v>
      </c>
      <c r="D94" s="22">
        <v>453</v>
      </c>
      <c r="E94" s="22">
        <v>2025</v>
      </c>
      <c r="F94" s="28" t="s">
        <v>20</v>
      </c>
      <c r="G94" s="17">
        <f t="shared" si="18"/>
        <v>290</v>
      </c>
      <c r="H94" s="18">
        <f t="shared" si="19"/>
        <v>0</v>
      </c>
    </row>
    <row r="95" spans="1:8" ht="40.5" customHeight="1">
      <c r="A95" s="22" t="s">
        <v>24</v>
      </c>
      <c r="B95" s="25" t="s">
        <v>29</v>
      </c>
      <c r="C95" s="22">
        <v>743</v>
      </c>
      <c r="D95" s="22">
        <v>453</v>
      </c>
      <c r="E95" s="22">
        <v>2025</v>
      </c>
      <c r="F95" s="28" t="s">
        <v>20</v>
      </c>
      <c r="G95" s="17">
        <f t="shared" si="18"/>
        <v>290</v>
      </c>
      <c r="H95" s="18">
        <f t="shared" si="19"/>
        <v>0</v>
      </c>
    </row>
    <row r="96" spans="1:8" ht="38.25" customHeight="1">
      <c r="A96" s="22" t="s">
        <v>24</v>
      </c>
      <c r="B96" s="25" t="s">
        <v>30</v>
      </c>
      <c r="C96" s="22">
        <v>743</v>
      </c>
      <c r="D96" s="22">
        <v>453</v>
      </c>
      <c r="E96" s="22">
        <v>2025</v>
      </c>
      <c r="F96" s="28" t="s">
        <v>20</v>
      </c>
      <c r="G96" s="17">
        <f t="shared" si="18"/>
        <v>290</v>
      </c>
      <c r="H96" s="18">
        <f t="shared" si="19"/>
        <v>0</v>
      </c>
    </row>
    <row r="97" spans="1:8" ht="56.45" customHeight="1">
      <c r="A97" s="22" t="s">
        <v>24</v>
      </c>
      <c r="B97" s="25" t="s">
        <v>31</v>
      </c>
      <c r="C97" s="22">
        <v>743</v>
      </c>
      <c r="D97" s="22">
        <v>453</v>
      </c>
      <c r="E97" s="22">
        <v>2025</v>
      </c>
      <c r="F97" s="28" t="s">
        <v>20</v>
      </c>
      <c r="G97" s="17">
        <f t="shared" si="18"/>
        <v>290</v>
      </c>
      <c r="H97" s="18">
        <f t="shared" si="19"/>
        <v>0</v>
      </c>
    </row>
    <row r="98" spans="1:8" ht="47.25" customHeight="1">
      <c r="A98" s="22" t="s">
        <v>24</v>
      </c>
      <c r="B98" s="25" t="s">
        <v>32</v>
      </c>
      <c r="C98" s="22">
        <v>743</v>
      </c>
      <c r="D98" s="22">
        <v>453</v>
      </c>
      <c r="E98" s="22">
        <v>2025</v>
      </c>
      <c r="F98" s="28" t="s">
        <v>20</v>
      </c>
      <c r="G98" s="17">
        <f t="shared" si="18"/>
        <v>290</v>
      </c>
      <c r="H98" s="18">
        <f t="shared" si="19"/>
        <v>0</v>
      </c>
    </row>
  </sheetData>
  <protectedRanges>
    <protectedRange sqref="C1:E98" name="Textbooks"/>
    <protectedRange sqref="F1:F98" name="SOURCE"/>
  </protectedRanges>
  <dataValidations count="3">
    <dataValidation type="list" allowBlank="1" showInputMessage="1" showErrorMessage="1" sqref="E2:E6 E8:E12 E14:E19 E21:E29 E31:E39 E41:E49" xr:uid="{00000000-0002-0000-0000-000000000000}">
      <formula1>"2024,2025"</formula1>
    </dataValidation>
    <dataValidation type="list" allowBlank="1" showInputMessage="1" showErrorMessage="1" sqref="F2:F6 F8:F12 F14:F19 F21:F29 F31:F39 F41:F49 F51:F59 F61:F69 F71:F79 F81:F89 F91:F98" xr:uid="{00000000-0002-0000-0000-000001000000}">
      <formula1>"CO,RO,SDO"</formula1>
    </dataValidation>
    <dataValidation type="list" allowBlank="1" showInputMessage="1" showErrorMessage="1" sqref="E51:E59 E61:E69 E71:E79 E81:E89 E91:E98" xr:uid="{BF46D274-15C2-4257-88F1-48AF7875F575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11"/>
  <sheetViews>
    <sheetView zoomScale="70" zoomScaleNormal="70" workbookViewId="0">
      <selection activeCell="B5" sqref="B5"/>
    </sheetView>
  </sheetViews>
  <sheetFormatPr defaultColWidth="9" defaultRowHeight="13.5"/>
  <cols>
    <col min="1" max="1" width="9.5" customWidth="1"/>
    <col min="2" max="2" width="27.875" customWidth="1"/>
    <col min="3" max="3" width="17.125" customWidth="1"/>
    <col min="4" max="4" width="26.125" customWidth="1"/>
    <col min="5" max="5" width="23.125" customWidth="1"/>
    <col min="6" max="6" width="24.875" customWidth="1"/>
    <col min="7" max="7" width="18.5" customWidth="1"/>
    <col min="8" max="9" width="20.875" customWidth="1"/>
    <col min="10" max="10" width="13.75" customWidth="1"/>
    <col min="11" max="11" width="35.5" customWidth="1"/>
    <col min="12" max="12" width="24.875" customWidth="1"/>
    <col min="13" max="13" width="31.5" customWidth="1"/>
    <col min="14" max="15" width="20.875" customWidth="1"/>
    <col min="16" max="16" width="21.5" customWidth="1"/>
    <col min="17" max="17" width="33.5" customWidth="1"/>
    <col min="18" max="18" width="25.875" customWidth="1"/>
    <col min="19" max="19" width="32.875" customWidth="1"/>
    <col min="20" max="21" width="20.875" customWidth="1"/>
    <col min="22" max="22" width="16.125" customWidth="1"/>
    <col min="23" max="23" width="25" customWidth="1"/>
    <col min="24" max="24" width="15.25" customWidth="1"/>
    <col min="25" max="25" width="20.875" customWidth="1"/>
    <col min="26" max="26" width="14.875" customWidth="1"/>
    <col min="27" max="27" width="15.125" customWidth="1"/>
  </cols>
  <sheetData>
    <row r="1" spans="1:27" s="1" customFormat="1" ht="34.15" customHeight="1">
      <c r="D1" s="44" t="s">
        <v>33</v>
      </c>
      <c r="E1" s="44"/>
      <c r="F1" s="44"/>
      <c r="G1" s="44"/>
      <c r="H1" s="44"/>
      <c r="I1" s="44"/>
      <c r="J1" s="45" t="s">
        <v>34</v>
      </c>
      <c r="K1" s="45"/>
      <c r="L1" s="45"/>
      <c r="M1" s="45"/>
      <c r="N1" s="45"/>
      <c r="O1" s="45"/>
      <c r="P1" s="46" t="s">
        <v>35</v>
      </c>
      <c r="Q1" s="46"/>
      <c r="R1" s="46"/>
      <c r="S1" s="46"/>
      <c r="T1" s="46"/>
      <c r="U1" s="46"/>
      <c r="V1" s="47" t="s">
        <v>36</v>
      </c>
      <c r="W1" s="47"/>
      <c r="X1" s="47"/>
      <c r="Y1" s="47"/>
      <c r="Z1" s="47"/>
      <c r="AA1" s="47"/>
    </row>
    <row r="2" spans="1:27" ht="69.599999999999994" customHeight="1">
      <c r="A2" s="4" t="s">
        <v>0</v>
      </c>
      <c r="B2" s="4" t="s">
        <v>1</v>
      </c>
      <c r="C2" s="6" t="s">
        <v>2</v>
      </c>
      <c r="D2" s="7" t="s">
        <v>37</v>
      </c>
      <c r="E2" s="7" t="s">
        <v>38</v>
      </c>
      <c r="F2" s="8" t="s">
        <v>39</v>
      </c>
      <c r="G2" s="9" t="s">
        <v>40</v>
      </c>
      <c r="H2" s="9" t="s">
        <v>41</v>
      </c>
      <c r="I2" s="9" t="s">
        <v>42</v>
      </c>
      <c r="J2" s="10" t="s">
        <v>43</v>
      </c>
      <c r="K2" s="10" t="s">
        <v>44</v>
      </c>
      <c r="L2" s="11" t="s">
        <v>45</v>
      </c>
      <c r="M2" s="10" t="s">
        <v>46</v>
      </c>
      <c r="N2" s="10" t="s">
        <v>47</v>
      </c>
      <c r="O2" s="10" t="s">
        <v>48</v>
      </c>
      <c r="P2" s="9" t="s">
        <v>49</v>
      </c>
      <c r="Q2" s="9" t="s">
        <v>50</v>
      </c>
      <c r="R2" s="12" t="s">
        <v>51</v>
      </c>
      <c r="S2" s="9" t="s">
        <v>52</v>
      </c>
      <c r="T2" s="9" t="s">
        <v>53</v>
      </c>
      <c r="U2" s="9" t="s">
        <v>54</v>
      </c>
      <c r="V2" s="13" t="s">
        <v>55</v>
      </c>
      <c r="W2" s="13" t="s">
        <v>56</v>
      </c>
      <c r="X2" s="14" t="s">
        <v>57</v>
      </c>
      <c r="Y2" s="13" t="s">
        <v>58</v>
      </c>
      <c r="Z2" s="13" t="s">
        <v>59</v>
      </c>
      <c r="AA2" s="13" t="s">
        <v>60</v>
      </c>
    </row>
    <row r="3" spans="1:27" ht="30.6" customHeight="1">
      <c r="A3" s="29" t="s">
        <v>61</v>
      </c>
      <c r="B3" s="25"/>
      <c r="C3" s="22"/>
      <c r="D3" s="24">
        <f>Table1[[#This Row],[Enrolment S.Y. 2025-2026 ]]*8</f>
        <v>0</v>
      </c>
      <c r="E3" s="24"/>
      <c r="F3" s="22"/>
      <c r="G3" s="24"/>
      <c r="H3" s="24">
        <f>IF((D3-E3)&lt;0,0,(D3-E3))</f>
        <v>0</v>
      </c>
      <c r="I3" s="24">
        <f>IF((E3-D3)&lt;0,0,(E3-D3))</f>
        <v>0</v>
      </c>
      <c r="J3" s="24">
        <f>Table1[[#This Row],[Enrolment S.Y. 2025-2026 ]]*8</f>
        <v>0</v>
      </c>
      <c r="K3" s="24"/>
      <c r="L3" s="22"/>
      <c r="M3" s="24"/>
      <c r="N3" s="24">
        <f t="shared" ref="N3" si="0">IF((J3-K3)&lt;0,0,(J3-K3))</f>
        <v>0</v>
      </c>
      <c r="O3" s="24">
        <f t="shared" ref="O3" si="1">IF((K3-J3)&lt;0,0,(K3-J3))</f>
        <v>0</v>
      </c>
      <c r="P3" s="24">
        <f>Table1[[#This Row],[Enrolment S.Y. 2025-2026 ]]*8</f>
        <v>0</v>
      </c>
      <c r="Q3" s="24"/>
      <c r="R3" s="22"/>
      <c r="S3" s="24"/>
      <c r="T3" s="24">
        <f>IF((P3-Q3)&lt;0,0,(P3-Q3))</f>
        <v>0</v>
      </c>
      <c r="U3" s="24">
        <f>IF((Q3-P3)&lt;0,0,(Q3-P3))</f>
        <v>0</v>
      </c>
      <c r="V3" s="24">
        <f>Table1[[#This Row],[Enrolment S.Y. 2025-2026 ]]*8</f>
        <v>0</v>
      </c>
      <c r="W3" s="24"/>
      <c r="X3" s="22"/>
      <c r="Y3" s="24"/>
      <c r="Z3" s="24">
        <f>IF((V3-W3)&lt;0,0,(V3-W3))</f>
        <v>0</v>
      </c>
      <c r="AA3" s="24">
        <f>IF((W3-V3)&lt;0,0,(W3-V3))</f>
        <v>0</v>
      </c>
    </row>
    <row r="4" spans="1:27" s="2" customFormat="1" ht="19.5">
      <c r="J4" s="15"/>
      <c r="N4" s="15"/>
      <c r="O4" s="15"/>
      <c r="P4" s="15"/>
      <c r="S4" s="24"/>
      <c r="T4" s="15"/>
      <c r="U4" s="15"/>
      <c r="V4" s="15"/>
      <c r="Z4" s="15"/>
      <c r="AA4" s="15"/>
    </row>
    <row r="5" spans="1:27" ht="42" customHeight="1">
      <c r="A5" s="2"/>
      <c r="B5" s="2"/>
      <c r="C5" s="2"/>
      <c r="D5" s="2"/>
      <c r="E5" s="2"/>
      <c r="F5" s="2"/>
      <c r="G5" s="2"/>
      <c r="H5" s="2"/>
      <c r="I5" s="2"/>
      <c r="J5" s="15"/>
      <c r="K5" s="2"/>
      <c r="L5" s="2"/>
      <c r="M5" s="24"/>
      <c r="N5" s="15"/>
      <c r="O5" s="15"/>
      <c r="P5" s="15"/>
      <c r="Q5" s="2"/>
      <c r="R5" s="2"/>
      <c r="S5" s="24"/>
      <c r="T5" s="15"/>
      <c r="U5" s="15"/>
      <c r="V5" s="15"/>
      <c r="W5" s="2"/>
      <c r="X5" s="2"/>
      <c r="Y5" s="24"/>
      <c r="Z5" s="15"/>
      <c r="AA5" s="15"/>
    </row>
    <row r="6" spans="1:27" ht="21">
      <c r="A6" s="26">
        <v>7</v>
      </c>
      <c r="B6" s="27" t="s">
        <v>14</v>
      </c>
      <c r="C6" s="26"/>
      <c r="D6" s="28">
        <f>Table1[[#This Row],[Enrolment S.Y. 2025-2026 ]]*8</f>
        <v>0</v>
      </c>
      <c r="E6" s="28"/>
      <c r="F6" s="26"/>
      <c r="G6" s="28"/>
      <c r="H6" s="28">
        <f t="shared" ref="H6:H20" si="2">IF((D6-E6)&lt;0,0,(D6-E6))</f>
        <v>0</v>
      </c>
      <c r="I6" s="28">
        <f t="shared" ref="I6:I20" si="3">IF((E6-D6)&lt;0,0,(E6-D6))</f>
        <v>0</v>
      </c>
      <c r="J6" s="28">
        <f>Table1[[#This Row],[Enrolment S.Y. 2025-2026 ]]*8</f>
        <v>0</v>
      </c>
      <c r="K6" s="28"/>
      <c r="L6" s="26"/>
      <c r="M6" s="28"/>
      <c r="N6" s="28">
        <f t="shared" ref="N6:N12" si="4">IF((J6-K6)&lt;0,0,(J6-K6))</f>
        <v>0</v>
      </c>
      <c r="O6" s="28">
        <f t="shared" ref="O6:O12" si="5">IF((K6-J6)&lt;0,0,(K6-J6))</f>
        <v>0</v>
      </c>
      <c r="P6" s="28">
        <f>Table1[[#This Row],[Enrolment S.Y. 2025-2026 ]]*8</f>
        <v>0</v>
      </c>
      <c r="Q6" s="28"/>
      <c r="R6" s="26"/>
      <c r="S6" s="28"/>
      <c r="T6" s="28">
        <f t="shared" ref="T6:T12" si="6">IF((P6-Q6)&lt;0,0,(P6-Q6))</f>
        <v>0</v>
      </c>
      <c r="U6" s="28">
        <f t="shared" ref="U6:U12" si="7">IF((Q6-P6)&lt;0,0,(Q6-P6))</f>
        <v>0</v>
      </c>
      <c r="V6" s="28">
        <f>Table1[[#This Row],[Enrolment S.Y. 2025-2026 ]]*8</f>
        <v>0</v>
      </c>
      <c r="W6" s="28"/>
      <c r="X6" s="26"/>
      <c r="Y6" s="28"/>
      <c r="Z6" s="28">
        <f t="shared" ref="Z6:Z12" si="8">IF((V6-W6)&lt;0,0,(V6-W6))</f>
        <v>0</v>
      </c>
      <c r="AA6" s="28">
        <f t="shared" ref="AA6:AA12" si="9">IF((W6-V6)&lt;0,0,(W6-V6))</f>
        <v>0</v>
      </c>
    </row>
    <row r="7" spans="1:27" ht="21">
      <c r="A7" s="26">
        <v>7</v>
      </c>
      <c r="B7" s="27" t="s">
        <v>15</v>
      </c>
      <c r="C7" s="26"/>
      <c r="D7" s="28">
        <f>Table1[[#This Row],[Enrolment S.Y. 2025-2026 ]]*8</f>
        <v>0</v>
      </c>
      <c r="E7" s="28"/>
      <c r="F7" s="26"/>
      <c r="G7" s="28"/>
      <c r="H7" s="28">
        <f t="shared" si="2"/>
        <v>0</v>
      </c>
      <c r="I7" s="28">
        <f t="shared" si="3"/>
        <v>0</v>
      </c>
      <c r="J7" s="28">
        <f>Table1[[#This Row],[Enrolment S.Y. 2025-2026 ]]*8</f>
        <v>0</v>
      </c>
      <c r="K7" s="28"/>
      <c r="L7" s="26"/>
      <c r="M7" s="28"/>
      <c r="N7" s="28">
        <f t="shared" si="4"/>
        <v>0</v>
      </c>
      <c r="O7" s="28">
        <f t="shared" si="5"/>
        <v>0</v>
      </c>
      <c r="P7" s="28">
        <f>Table1[[#This Row],[Enrolment S.Y. 2025-2026 ]]*8</f>
        <v>0</v>
      </c>
      <c r="Q7" s="28"/>
      <c r="R7" s="26"/>
      <c r="S7" s="28"/>
      <c r="T7" s="28">
        <f t="shared" si="6"/>
        <v>0</v>
      </c>
      <c r="U7" s="28">
        <f t="shared" si="7"/>
        <v>0</v>
      </c>
      <c r="V7" s="28">
        <f>Table1[[#This Row],[Enrolment S.Y. 2025-2026 ]]*8</f>
        <v>0</v>
      </c>
      <c r="W7" s="28"/>
      <c r="X7" s="26"/>
      <c r="Y7" s="28"/>
      <c r="Z7" s="28">
        <f t="shared" si="8"/>
        <v>0</v>
      </c>
      <c r="AA7" s="28">
        <f t="shared" si="9"/>
        <v>0</v>
      </c>
    </row>
    <row r="8" spans="1:27" ht="21">
      <c r="A8" s="26">
        <v>7</v>
      </c>
      <c r="B8" s="27" t="s">
        <v>12</v>
      </c>
      <c r="C8" s="26"/>
      <c r="D8" s="28">
        <f>Table1[[#This Row],[Enrolment S.Y. 2025-2026 ]]*8</f>
        <v>0</v>
      </c>
      <c r="E8" s="28"/>
      <c r="F8" s="26"/>
      <c r="G8" s="28"/>
      <c r="H8" s="28">
        <f t="shared" si="2"/>
        <v>0</v>
      </c>
      <c r="I8" s="28">
        <f t="shared" si="3"/>
        <v>0</v>
      </c>
      <c r="J8" s="28">
        <f>Table1[[#This Row],[Enrolment S.Y. 2025-2026 ]]*8</f>
        <v>0</v>
      </c>
      <c r="K8" s="28"/>
      <c r="L8" s="26"/>
      <c r="M8" s="28"/>
      <c r="N8" s="28">
        <f t="shared" si="4"/>
        <v>0</v>
      </c>
      <c r="O8" s="28">
        <f t="shared" si="5"/>
        <v>0</v>
      </c>
      <c r="P8" s="28">
        <f>Table1[[#This Row],[Enrolment S.Y. 2025-2026 ]]*8</f>
        <v>0</v>
      </c>
      <c r="Q8" s="28"/>
      <c r="R8" s="26"/>
      <c r="S8" s="28"/>
      <c r="T8" s="28">
        <f t="shared" si="6"/>
        <v>0</v>
      </c>
      <c r="U8" s="28">
        <f t="shared" si="7"/>
        <v>0</v>
      </c>
      <c r="V8" s="28">
        <f>Table1[[#This Row],[Enrolment S.Y. 2025-2026 ]]*8</f>
        <v>0</v>
      </c>
      <c r="W8" s="28"/>
      <c r="X8" s="26"/>
      <c r="Y8" s="28"/>
      <c r="Z8" s="28">
        <f t="shared" si="8"/>
        <v>0</v>
      </c>
      <c r="AA8" s="28">
        <f t="shared" si="9"/>
        <v>0</v>
      </c>
    </row>
    <row r="9" spans="1:27" ht="21">
      <c r="A9" s="26">
        <v>7</v>
      </c>
      <c r="B9" s="27" t="s">
        <v>21</v>
      </c>
      <c r="C9" s="26"/>
      <c r="D9" s="28">
        <f>Table1[[#This Row],[Enrolment S.Y. 2025-2026 ]]*8</f>
        <v>0</v>
      </c>
      <c r="E9" s="28"/>
      <c r="F9" s="26"/>
      <c r="G9" s="28"/>
      <c r="H9" s="28">
        <f t="shared" si="2"/>
        <v>0</v>
      </c>
      <c r="I9" s="28">
        <f t="shared" si="3"/>
        <v>0</v>
      </c>
      <c r="J9" s="28">
        <f>Table1[[#This Row],[Enrolment S.Y. 2025-2026 ]]*8</f>
        <v>0</v>
      </c>
      <c r="K9" s="28"/>
      <c r="L9" s="26"/>
      <c r="M9" s="28"/>
      <c r="N9" s="28">
        <f t="shared" si="4"/>
        <v>0</v>
      </c>
      <c r="O9" s="28">
        <f t="shared" si="5"/>
        <v>0</v>
      </c>
      <c r="P9" s="28">
        <f>Table1[[#This Row],[Enrolment S.Y. 2025-2026 ]]*8</f>
        <v>0</v>
      </c>
      <c r="Q9" s="28"/>
      <c r="R9" s="26"/>
      <c r="S9" s="28"/>
      <c r="T9" s="28">
        <f t="shared" si="6"/>
        <v>0</v>
      </c>
      <c r="U9" s="28">
        <f t="shared" si="7"/>
        <v>0</v>
      </c>
      <c r="V9" s="28">
        <f>Table1[[#This Row],[Enrolment S.Y. 2025-2026 ]]*8</f>
        <v>0</v>
      </c>
      <c r="W9" s="28"/>
      <c r="X9" s="26"/>
      <c r="Y9" s="28"/>
      <c r="Z9" s="28">
        <f t="shared" si="8"/>
        <v>0</v>
      </c>
      <c r="AA9" s="28">
        <f t="shared" si="9"/>
        <v>0</v>
      </c>
    </row>
    <row r="10" spans="1:27" ht="21">
      <c r="A10" s="26">
        <v>7</v>
      </c>
      <c r="B10" s="27" t="s">
        <v>16</v>
      </c>
      <c r="C10" s="26"/>
      <c r="D10" s="28">
        <f>Table1[[#This Row],[Enrolment S.Y. 2025-2026 ]]*8</f>
        <v>0</v>
      </c>
      <c r="E10" s="28"/>
      <c r="F10" s="26"/>
      <c r="G10" s="28"/>
      <c r="H10" s="28">
        <f t="shared" si="2"/>
        <v>0</v>
      </c>
      <c r="I10" s="28">
        <f t="shared" si="3"/>
        <v>0</v>
      </c>
      <c r="J10" s="28">
        <f>Table1[[#This Row],[Enrolment S.Y. 2025-2026 ]]*8</f>
        <v>0</v>
      </c>
      <c r="K10" s="28"/>
      <c r="L10" s="26"/>
      <c r="M10" s="28"/>
      <c r="N10" s="28">
        <f t="shared" si="4"/>
        <v>0</v>
      </c>
      <c r="O10" s="28">
        <f t="shared" si="5"/>
        <v>0</v>
      </c>
      <c r="P10" s="28">
        <f>Table1[[#This Row],[Enrolment S.Y. 2025-2026 ]]*8</f>
        <v>0</v>
      </c>
      <c r="Q10" s="28"/>
      <c r="R10" s="26"/>
      <c r="S10" s="28"/>
      <c r="T10" s="28">
        <f t="shared" si="6"/>
        <v>0</v>
      </c>
      <c r="U10" s="28">
        <f t="shared" si="7"/>
        <v>0</v>
      </c>
      <c r="V10" s="28">
        <f>Table1[[#This Row],[Enrolment S.Y. 2025-2026 ]]*8</f>
        <v>0</v>
      </c>
      <c r="W10" s="28"/>
      <c r="X10" s="26"/>
      <c r="Y10" s="28"/>
      <c r="Z10" s="28">
        <f t="shared" si="8"/>
        <v>0</v>
      </c>
      <c r="AA10" s="28">
        <f t="shared" si="9"/>
        <v>0</v>
      </c>
    </row>
    <row r="11" spans="1:27" ht="21">
      <c r="A11" s="26">
        <v>7</v>
      </c>
      <c r="B11" s="27" t="s">
        <v>13</v>
      </c>
      <c r="C11" s="26"/>
      <c r="D11" s="28">
        <f>Table1[[#This Row],[Enrolment S.Y. 2025-2026 ]]*8</f>
        <v>0</v>
      </c>
      <c r="E11" s="28"/>
      <c r="F11" s="26"/>
      <c r="G11" s="28"/>
      <c r="H11" s="28">
        <f t="shared" si="2"/>
        <v>0</v>
      </c>
      <c r="I11" s="28">
        <f t="shared" si="3"/>
        <v>0</v>
      </c>
      <c r="J11" s="28">
        <f>Table1[[#This Row],[Enrolment S.Y. 2025-2026 ]]*8</f>
        <v>0</v>
      </c>
      <c r="K11" s="28"/>
      <c r="L11" s="26"/>
      <c r="M11" s="28"/>
      <c r="N11" s="28">
        <f t="shared" si="4"/>
        <v>0</v>
      </c>
      <c r="O11" s="28">
        <f t="shared" si="5"/>
        <v>0</v>
      </c>
      <c r="P11" s="28">
        <f>Table1[[#This Row],[Enrolment S.Y. 2025-2026 ]]*8</f>
        <v>0</v>
      </c>
      <c r="Q11" s="28"/>
      <c r="R11" s="26"/>
      <c r="S11" s="28"/>
      <c r="T11" s="28">
        <f t="shared" si="6"/>
        <v>0</v>
      </c>
      <c r="U11" s="28">
        <f t="shared" si="7"/>
        <v>0</v>
      </c>
      <c r="V11" s="28">
        <f>Table1[[#This Row],[Enrolment S.Y. 2025-2026 ]]*8</f>
        <v>0</v>
      </c>
      <c r="W11" s="28"/>
      <c r="X11" s="26"/>
      <c r="Y11" s="28"/>
      <c r="Z11" s="28">
        <f t="shared" si="8"/>
        <v>0</v>
      </c>
      <c r="AA11" s="28">
        <f t="shared" si="9"/>
        <v>0</v>
      </c>
    </row>
    <row r="12" spans="1:27" ht="21">
      <c r="A12" s="26">
        <v>7</v>
      </c>
      <c r="B12" s="27" t="s">
        <v>17</v>
      </c>
      <c r="C12" s="26"/>
      <c r="D12" s="28">
        <f>Table1[[#This Row],[Enrolment S.Y. 2025-2026 ]]*8</f>
        <v>0</v>
      </c>
      <c r="E12" s="28"/>
      <c r="F12" s="26"/>
      <c r="G12" s="28"/>
      <c r="H12" s="28">
        <f t="shared" si="2"/>
        <v>0</v>
      </c>
      <c r="I12" s="28">
        <f t="shared" si="3"/>
        <v>0</v>
      </c>
      <c r="J12" s="28">
        <f>Table1[[#This Row],[Enrolment S.Y. 2025-2026 ]]*8</f>
        <v>0</v>
      </c>
      <c r="K12" s="28"/>
      <c r="L12" s="26"/>
      <c r="M12" s="28"/>
      <c r="N12" s="28">
        <f t="shared" si="4"/>
        <v>0</v>
      </c>
      <c r="O12" s="28">
        <f t="shared" si="5"/>
        <v>0</v>
      </c>
      <c r="P12" s="28">
        <f>Table1[[#This Row],[Enrolment S.Y. 2025-2026 ]]*8</f>
        <v>0</v>
      </c>
      <c r="Q12" s="28"/>
      <c r="R12" s="26"/>
      <c r="S12" s="28"/>
      <c r="T12" s="28">
        <f t="shared" si="6"/>
        <v>0</v>
      </c>
      <c r="U12" s="28">
        <f t="shared" si="7"/>
        <v>0</v>
      </c>
      <c r="V12" s="28">
        <f>Table1[[#This Row],[Enrolment S.Y. 2025-2026 ]]*8</f>
        <v>0</v>
      </c>
      <c r="W12" s="28"/>
      <c r="X12" s="26"/>
      <c r="Y12" s="28"/>
      <c r="Z12" s="28">
        <f t="shared" si="8"/>
        <v>0</v>
      </c>
      <c r="AA12" s="28">
        <f t="shared" si="9"/>
        <v>0</v>
      </c>
    </row>
    <row r="13" spans="1:27" s="2" customFormat="1" ht="21">
      <c r="A13" s="26">
        <v>7</v>
      </c>
      <c r="B13" s="27" t="s">
        <v>22</v>
      </c>
      <c r="C13" s="26"/>
      <c r="D13" s="28">
        <f>Table1[[#This Row],[Enrolment S.Y. 2025-2026 ]]*8</f>
        <v>0</v>
      </c>
      <c r="E13" s="28"/>
      <c r="F13" s="26"/>
      <c r="G13" s="28"/>
      <c r="H13" s="28">
        <f t="shared" si="2"/>
        <v>0</v>
      </c>
      <c r="I13" s="28">
        <f t="shared" si="3"/>
        <v>0</v>
      </c>
      <c r="J13" s="28">
        <f>Table1[[#This Row],[Enrolment S.Y. 2025-2026 ]]*8</f>
        <v>0</v>
      </c>
      <c r="K13" s="28"/>
      <c r="L13" s="26"/>
      <c r="M13" s="28"/>
      <c r="N13" s="28">
        <f t="shared" ref="N13:N69" si="10">IF((J13-K13)&lt;0,0,(J13-K13))</f>
        <v>0</v>
      </c>
      <c r="O13" s="28">
        <f t="shared" ref="O13:O69" si="11">IF((K13-J13)&lt;0,0,(K13-J13))</f>
        <v>0</v>
      </c>
      <c r="P13" s="28">
        <f>Table1[[#This Row],[Enrolment S.Y. 2025-2026 ]]*8</f>
        <v>0</v>
      </c>
      <c r="Q13" s="28"/>
      <c r="R13" s="26"/>
      <c r="S13" s="28"/>
      <c r="T13" s="28">
        <f t="shared" ref="T13:T70" si="12">IF((P13-Q13)&lt;0,0,(P13-Q13))</f>
        <v>0</v>
      </c>
      <c r="U13" s="28">
        <f t="shared" ref="U13:U70" si="13">IF((Q13-P13)&lt;0,0,(Q13-P13))</f>
        <v>0</v>
      </c>
      <c r="V13" s="28">
        <f>Table1[[#This Row],[Enrolment S.Y. 2025-2026 ]]*8</f>
        <v>0</v>
      </c>
      <c r="W13" s="28"/>
      <c r="X13" s="26"/>
      <c r="Y13" s="28"/>
      <c r="Z13" s="28">
        <f t="shared" ref="Z13:Z70" si="14">IF((V13-W13)&lt;0,0,(V13-W13))</f>
        <v>0</v>
      </c>
      <c r="AA13" s="28">
        <f t="shared" ref="AA13:AA70" si="15">IF((W13-V13)&lt;0,0,(W13-V13))</f>
        <v>0</v>
      </c>
    </row>
    <row r="14" spans="1:27" ht="21">
      <c r="A14" s="26">
        <v>7</v>
      </c>
      <c r="B14" s="27" t="s">
        <v>19</v>
      </c>
      <c r="C14" s="26"/>
      <c r="D14" s="28">
        <f>Table1[[#This Row],[Enrolment S.Y. 2025-2026 ]]*8</f>
        <v>0</v>
      </c>
      <c r="E14" s="28"/>
      <c r="F14" s="26"/>
      <c r="G14" s="28"/>
      <c r="H14" s="28">
        <f t="shared" si="2"/>
        <v>0</v>
      </c>
      <c r="I14" s="28">
        <f t="shared" si="3"/>
        <v>0</v>
      </c>
      <c r="J14" s="28">
        <f>Table1[[#This Row],[Enrolment S.Y. 2025-2026 ]]*8</f>
        <v>0</v>
      </c>
      <c r="K14" s="28"/>
      <c r="L14" s="26"/>
      <c r="M14" s="28"/>
      <c r="N14" s="28">
        <f t="shared" si="10"/>
        <v>0</v>
      </c>
      <c r="O14" s="28">
        <f t="shared" si="11"/>
        <v>0</v>
      </c>
      <c r="P14" s="28">
        <f>Table1[[#This Row],[Enrolment S.Y. 2025-2026 ]]*8</f>
        <v>0</v>
      </c>
      <c r="Q14" s="28"/>
      <c r="R14" s="26"/>
      <c r="S14" s="28"/>
      <c r="T14" s="28">
        <f t="shared" si="12"/>
        <v>0</v>
      </c>
      <c r="U14" s="28">
        <f t="shared" si="13"/>
        <v>0</v>
      </c>
      <c r="V14" s="28">
        <f>Table1[[#This Row],[Enrolment S.Y. 2025-2026 ]]*8</f>
        <v>0</v>
      </c>
      <c r="W14" s="28"/>
      <c r="X14" s="26"/>
      <c r="Y14" s="28"/>
      <c r="Z14" s="28">
        <f t="shared" si="14"/>
        <v>0</v>
      </c>
      <c r="AA14" s="28">
        <f t="shared" si="15"/>
        <v>0</v>
      </c>
    </row>
    <row r="15" spans="1:27" ht="18">
      <c r="A15" s="2"/>
      <c r="B15" s="2"/>
      <c r="C15" s="2"/>
      <c r="D15" s="2"/>
      <c r="E15" s="2"/>
      <c r="F15" s="2"/>
      <c r="G15" s="2"/>
      <c r="H15" s="2"/>
      <c r="I15" s="2"/>
      <c r="J15" s="15"/>
      <c r="K15" s="2"/>
      <c r="L15" s="2"/>
      <c r="M15" s="24"/>
      <c r="N15" s="15"/>
      <c r="O15" s="15"/>
      <c r="P15" s="15"/>
      <c r="Q15" s="2"/>
      <c r="R15" s="2"/>
      <c r="S15" s="24"/>
      <c r="T15" s="15"/>
      <c r="U15" s="15"/>
      <c r="V15" s="15"/>
      <c r="W15" s="2"/>
      <c r="X15" s="2"/>
      <c r="Y15" s="24"/>
      <c r="Z15" s="15"/>
      <c r="AA15" s="15"/>
    </row>
    <row r="16" spans="1:27" ht="21">
      <c r="A16" s="26">
        <v>8</v>
      </c>
      <c r="B16" s="27" t="s">
        <v>14</v>
      </c>
      <c r="C16" s="26"/>
      <c r="D16" s="28">
        <f>Table1[[#This Row],[Enrolment S.Y. 2025-2026 ]]*8</f>
        <v>0</v>
      </c>
      <c r="E16" s="28"/>
      <c r="F16" s="26"/>
      <c r="G16" s="28"/>
      <c r="H16" s="28">
        <f t="shared" si="2"/>
        <v>0</v>
      </c>
      <c r="I16" s="28">
        <f t="shared" si="3"/>
        <v>0</v>
      </c>
      <c r="J16" s="28">
        <f>Table1[[#This Row],[Enrolment S.Y. 2025-2026 ]]*8</f>
        <v>0</v>
      </c>
      <c r="K16" s="28"/>
      <c r="L16" s="26"/>
      <c r="M16" s="28"/>
      <c r="N16" s="28">
        <f t="shared" si="10"/>
        <v>0</v>
      </c>
      <c r="O16" s="28">
        <f t="shared" si="11"/>
        <v>0</v>
      </c>
      <c r="P16" s="28">
        <f>Table1[[#This Row],[Enrolment S.Y. 2025-2026 ]]*8</f>
        <v>0</v>
      </c>
      <c r="Q16" s="28"/>
      <c r="R16" s="26"/>
      <c r="S16" s="28"/>
      <c r="T16" s="28">
        <f t="shared" si="12"/>
        <v>0</v>
      </c>
      <c r="U16" s="28">
        <f t="shared" si="13"/>
        <v>0</v>
      </c>
      <c r="V16" s="28">
        <f>Table1[[#This Row],[Enrolment S.Y. 2025-2026 ]]*8</f>
        <v>0</v>
      </c>
      <c r="W16" s="28"/>
      <c r="X16" s="26"/>
      <c r="Y16" s="28"/>
      <c r="Z16" s="28">
        <f t="shared" si="14"/>
        <v>0</v>
      </c>
      <c r="AA16" s="28">
        <f t="shared" si="15"/>
        <v>0</v>
      </c>
    </row>
    <row r="17" spans="1:27" ht="21">
      <c r="A17" s="26">
        <v>8</v>
      </c>
      <c r="B17" s="27" t="s">
        <v>15</v>
      </c>
      <c r="C17" s="26"/>
      <c r="D17" s="28">
        <f>Table1[[#This Row],[Enrolment S.Y. 2025-2026 ]]*8</f>
        <v>0</v>
      </c>
      <c r="E17" s="28"/>
      <c r="F17" s="26"/>
      <c r="G17" s="28"/>
      <c r="H17" s="28">
        <f t="shared" si="2"/>
        <v>0</v>
      </c>
      <c r="I17" s="28">
        <f t="shared" si="3"/>
        <v>0</v>
      </c>
      <c r="J17" s="28">
        <f>Table1[[#This Row],[Enrolment S.Y. 2025-2026 ]]*8</f>
        <v>0</v>
      </c>
      <c r="K17" s="28"/>
      <c r="L17" s="26"/>
      <c r="M17" s="28"/>
      <c r="N17" s="28">
        <f t="shared" si="10"/>
        <v>0</v>
      </c>
      <c r="O17" s="28">
        <f t="shared" si="11"/>
        <v>0</v>
      </c>
      <c r="P17" s="28">
        <f>Table1[[#This Row],[Enrolment S.Y. 2025-2026 ]]*8</f>
        <v>0</v>
      </c>
      <c r="Q17" s="28"/>
      <c r="R17" s="26"/>
      <c r="S17" s="28"/>
      <c r="T17" s="28">
        <f t="shared" si="12"/>
        <v>0</v>
      </c>
      <c r="U17" s="28">
        <f t="shared" si="13"/>
        <v>0</v>
      </c>
      <c r="V17" s="28">
        <f>Table1[[#This Row],[Enrolment S.Y. 2025-2026 ]]*8</f>
        <v>0</v>
      </c>
      <c r="W17" s="28"/>
      <c r="X17" s="26"/>
      <c r="Y17" s="28"/>
      <c r="Z17" s="28">
        <f t="shared" si="14"/>
        <v>0</v>
      </c>
      <c r="AA17" s="28">
        <f t="shared" si="15"/>
        <v>0</v>
      </c>
    </row>
    <row r="18" spans="1:27" ht="21">
      <c r="A18" s="26">
        <v>8</v>
      </c>
      <c r="B18" s="27" t="s">
        <v>12</v>
      </c>
      <c r="C18" s="26"/>
      <c r="D18" s="28">
        <f>Table1[[#This Row],[Enrolment S.Y. 2025-2026 ]]*8</f>
        <v>0</v>
      </c>
      <c r="E18" s="28"/>
      <c r="F18" s="26"/>
      <c r="G18" s="28"/>
      <c r="H18" s="28">
        <f t="shared" si="2"/>
        <v>0</v>
      </c>
      <c r="I18" s="28">
        <f t="shared" si="3"/>
        <v>0</v>
      </c>
      <c r="J18" s="28">
        <f>Table1[[#This Row],[Enrolment S.Y. 2025-2026 ]]*8</f>
        <v>0</v>
      </c>
      <c r="K18" s="28"/>
      <c r="L18" s="26"/>
      <c r="M18" s="28"/>
      <c r="N18" s="28">
        <f t="shared" si="10"/>
        <v>0</v>
      </c>
      <c r="O18" s="28">
        <f t="shared" si="11"/>
        <v>0</v>
      </c>
      <c r="P18" s="28">
        <f>Table1[[#This Row],[Enrolment S.Y. 2025-2026 ]]*8</f>
        <v>0</v>
      </c>
      <c r="Q18" s="28"/>
      <c r="R18" s="26"/>
      <c r="S18" s="28"/>
      <c r="T18" s="28">
        <f t="shared" si="12"/>
        <v>0</v>
      </c>
      <c r="U18" s="28">
        <f t="shared" si="13"/>
        <v>0</v>
      </c>
      <c r="V18" s="28">
        <f>Table1[[#This Row],[Enrolment S.Y. 2025-2026 ]]*8</f>
        <v>0</v>
      </c>
      <c r="W18" s="28"/>
      <c r="X18" s="26"/>
      <c r="Y18" s="28"/>
      <c r="Z18" s="28">
        <f t="shared" si="14"/>
        <v>0</v>
      </c>
      <c r="AA18" s="28">
        <f t="shared" si="15"/>
        <v>0</v>
      </c>
    </row>
    <row r="19" spans="1:27" ht="21">
      <c r="A19" s="26">
        <v>8</v>
      </c>
      <c r="B19" s="27" t="s">
        <v>21</v>
      </c>
      <c r="C19" s="26"/>
      <c r="D19" s="28">
        <f>Table1[[#This Row],[Enrolment S.Y. 2025-2026 ]]*8</f>
        <v>0</v>
      </c>
      <c r="E19" s="28"/>
      <c r="F19" s="26"/>
      <c r="G19" s="28"/>
      <c r="H19" s="28">
        <f t="shared" si="2"/>
        <v>0</v>
      </c>
      <c r="I19" s="28">
        <f t="shared" si="3"/>
        <v>0</v>
      </c>
      <c r="J19" s="28">
        <f>Table1[[#This Row],[Enrolment S.Y. 2025-2026 ]]*8</f>
        <v>0</v>
      </c>
      <c r="K19" s="28"/>
      <c r="L19" s="26"/>
      <c r="M19" s="28"/>
      <c r="N19" s="28">
        <f t="shared" si="10"/>
        <v>0</v>
      </c>
      <c r="O19" s="28">
        <f t="shared" si="11"/>
        <v>0</v>
      </c>
      <c r="P19" s="28">
        <f>Table1[[#This Row],[Enrolment S.Y. 2025-2026 ]]*8</f>
        <v>0</v>
      </c>
      <c r="Q19" s="28"/>
      <c r="R19" s="26"/>
      <c r="S19" s="28"/>
      <c r="T19" s="28">
        <f t="shared" si="12"/>
        <v>0</v>
      </c>
      <c r="U19" s="28">
        <f t="shared" si="13"/>
        <v>0</v>
      </c>
      <c r="V19" s="28">
        <f>Table1[[#This Row],[Enrolment S.Y. 2025-2026 ]]*8</f>
        <v>0</v>
      </c>
      <c r="W19" s="28"/>
      <c r="X19" s="26"/>
      <c r="Y19" s="28"/>
      <c r="Z19" s="28">
        <f t="shared" si="14"/>
        <v>0</v>
      </c>
      <c r="AA19" s="28">
        <f t="shared" si="15"/>
        <v>0</v>
      </c>
    </row>
    <row r="20" spans="1:27" ht="21">
      <c r="A20" s="26">
        <v>8</v>
      </c>
      <c r="B20" s="27" t="s">
        <v>23</v>
      </c>
      <c r="C20" s="26"/>
      <c r="D20" s="28">
        <f>Table1[[#This Row],[Enrolment S.Y. 2025-2026 ]]*8</f>
        <v>0</v>
      </c>
      <c r="E20" s="28"/>
      <c r="F20" s="26"/>
      <c r="G20" s="28"/>
      <c r="H20" s="28">
        <f t="shared" si="2"/>
        <v>0</v>
      </c>
      <c r="I20" s="28">
        <f t="shared" si="3"/>
        <v>0</v>
      </c>
      <c r="J20" s="28">
        <f>Table1[[#This Row],[Enrolment S.Y. 2025-2026 ]]*8</f>
        <v>0</v>
      </c>
      <c r="K20" s="28"/>
      <c r="L20" s="26"/>
      <c r="M20" s="28"/>
      <c r="N20" s="28">
        <f t="shared" si="10"/>
        <v>0</v>
      </c>
      <c r="O20" s="28">
        <f t="shared" si="11"/>
        <v>0</v>
      </c>
      <c r="P20" s="28">
        <f>Table1[[#This Row],[Enrolment S.Y. 2025-2026 ]]*8</f>
        <v>0</v>
      </c>
      <c r="Q20" s="28"/>
      <c r="R20" s="26"/>
      <c r="S20" s="28"/>
      <c r="T20" s="28">
        <f t="shared" si="12"/>
        <v>0</v>
      </c>
      <c r="U20" s="28">
        <f t="shared" si="13"/>
        <v>0</v>
      </c>
      <c r="V20" s="28">
        <f>Table1[[#This Row],[Enrolment S.Y. 2025-2026 ]]*8</f>
        <v>0</v>
      </c>
      <c r="W20" s="28"/>
      <c r="X20" s="26"/>
      <c r="Y20" s="28"/>
      <c r="Z20" s="28">
        <f t="shared" si="14"/>
        <v>0</v>
      </c>
      <c r="AA20" s="28">
        <f t="shared" si="15"/>
        <v>0</v>
      </c>
    </row>
    <row r="21" spans="1:27" ht="21">
      <c r="A21" s="26">
        <v>8</v>
      </c>
      <c r="B21" s="27" t="s">
        <v>13</v>
      </c>
      <c r="C21" s="26"/>
      <c r="D21" s="28">
        <f>Table1[[#This Row],[Enrolment S.Y. 2025-2026 ]]*8</f>
        <v>0</v>
      </c>
      <c r="E21" s="28"/>
      <c r="F21" s="26"/>
      <c r="G21" s="28"/>
      <c r="H21" s="28">
        <f t="shared" ref="H21:H70" si="16">IF((D21-E21)&lt;0,0,(D21-E21))</f>
        <v>0</v>
      </c>
      <c r="I21" s="28">
        <f t="shared" ref="I21:I70" si="17">IF((E21-D21)&lt;0,0,(E21-D21))</f>
        <v>0</v>
      </c>
      <c r="J21" s="28">
        <f>Table1[[#This Row],[Enrolment S.Y. 2025-2026 ]]*8</f>
        <v>0</v>
      </c>
      <c r="K21" s="28"/>
      <c r="L21" s="26"/>
      <c r="M21" s="28"/>
      <c r="N21" s="28">
        <f t="shared" si="10"/>
        <v>0</v>
      </c>
      <c r="O21" s="28">
        <f t="shared" si="11"/>
        <v>0</v>
      </c>
      <c r="P21" s="28">
        <f>Table1[[#This Row],[Enrolment S.Y. 2025-2026 ]]*8</f>
        <v>0</v>
      </c>
      <c r="Q21" s="28"/>
      <c r="R21" s="26"/>
      <c r="S21" s="28"/>
      <c r="T21" s="28">
        <f t="shared" si="12"/>
        <v>0</v>
      </c>
      <c r="U21" s="28">
        <f t="shared" si="13"/>
        <v>0</v>
      </c>
      <c r="V21" s="28">
        <f>Table1[[#This Row],[Enrolment S.Y. 2025-2026 ]]*8</f>
        <v>0</v>
      </c>
      <c r="W21" s="28"/>
      <c r="X21" s="26"/>
      <c r="Y21" s="28"/>
      <c r="Z21" s="28">
        <f t="shared" si="14"/>
        <v>0</v>
      </c>
      <c r="AA21" s="28">
        <f t="shared" si="15"/>
        <v>0</v>
      </c>
    </row>
    <row r="22" spans="1:27" s="2" customFormat="1" ht="21">
      <c r="A22" s="26">
        <v>8</v>
      </c>
      <c r="B22" s="27" t="s">
        <v>17</v>
      </c>
      <c r="C22" s="26"/>
      <c r="D22" s="28">
        <f>Table1[[#This Row],[Enrolment S.Y. 2025-2026 ]]*8</f>
        <v>0</v>
      </c>
      <c r="E22" s="28"/>
      <c r="F22" s="26"/>
      <c r="G22" s="28"/>
      <c r="H22" s="28">
        <f t="shared" si="16"/>
        <v>0</v>
      </c>
      <c r="I22" s="28">
        <f t="shared" si="17"/>
        <v>0</v>
      </c>
      <c r="J22" s="28">
        <f>Table1[[#This Row],[Enrolment S.Y. 2025-2026 ]]*8</f>
        <v>0</v>
      </c>
      <c r="K22" s="28"/>
      <c r="L22" s="26"/>
      <c r="M22" s="28"/>
      <c r="N22" s="28">
        <f t="shared" si="10"/>
        <v>0</v>
      </c>
      <c r="O22" s="28">
        <f t="shared" si="11"/>
        <v>0</v>
      </c>
      <c r="P22" s="28">
        <f>Table1[[#This Row],[Enrolment S.Y. 2025-2026 ]]*8</f>
        <v>0</v>
      </c>
      <c r="Q22" s="28"/>
      <c r="R22" s="26"/>
      <c r="S22" s="28"/>
      <c r="T22" s="28">
        <f t="shared" si="12"/>
        <v>0</v>
      </c>
      <c r="U22" s="28">
        <f t="shared" si="13"/>
        <v>0</v>
      </c>
      <c r="V22" s="28">
        <f>Table1[[#This Row],[Enrolment S.Y. 2025-2026 ]]*8</f>
        <v>0</v>
      </c>
      <c r="W22" s="28"/>
      <c r="X22" s="26"/>
      <c r="Y22" s="28"/>
      <c r="Z22" s="28">
        <f t="shared" si="14"/>
        <v>0</v>
      </c>
      <c r="AA22" s="28">
        <f t="shared" si="15"/>
        <v>0</v>
      </c>
    </row>
    <row r="23" spans="1:27" ht="21">
      <c r="A23" s="26">
        <v>8</v>
      </c>
      <c r="B23" s="27" t="s">
        <v>22</v>
      </c>
      <c r="C23" s="26"/>
      <c r="D23" s="28">
        <f>Table1[[#This Row],[Enrolment S.Y. 2025-2026 ]]*8</f>
        <v>0</v>
      </c>
      <c r="E23" s="28"/>
      <c r="F23" s="26"/>
      <c r="G23" s="28"/>
      <c r="H23" s="28">
        <f t="shared" si="16"/>
        <v>0</v>
      </c>
      <c r="I23" s="28">
        <f t="shared" si="17"/>
        <v>0</v>
      </c>
      <c r="J23" s="28">
        <f>Table1[[#This Row],[Enrolment S.Y. 2025-2026 ]]*8</f>
        <v>0</v>
      </c>
      <c r="K23" s="28"/>
      <c r="L23" s="26"/>
      <c r="M23" s="28"/>
      <c r="N23" s="28">
        <f t="shared" si="10"/>
        <v>0</v>
      </c>
      <c r="O23" s="28">
        <f t="shared" si="11"/>
        <v>0</v>
      </c>
      <c r="P23" s="28">
        <f>Table1[[#This Row],[Enrolment S.Y. 2025-2026 ]]*8</f>
        <v>0</v>
      </c>
      <c r="Q23" s="28"/>
      <c r="R23" s="26"/>
      <c r="S23" s="28"/>
      <c r="T23" s="28">
        <f t="shared" si="12"/>
        <v>0</v>
      </c>
      <c r="U23" s="28">
        <f t="shared" si="13"/>
        <v>0</v>
      </c>
      <c r="V23" s="28">
        <f>Table1[[#This Row],[Enrolment S.Y. 2025-2026 ]]*8</f>
        <v>0</v>
      </c>
      <c r="W23" s="28"/>
      <c r="X23" s="26"/>
      <c r="Y23" s="28"/>
      <c r="Z23" s="28">
        <f t="shared" si="14"/>
        <v>0</v>
      </c>
      <c r="AA23" s="28">
        <f t="shared" si="15"/>
        <v>0</v>
      </c>
    </row>
    <row r="24" spans="1:27" ht="21">
      <c r="A24" s="26">
        <v>8</v>
      </c>
      <c r="B24" s="27" t="s">
        <v>19</v>
      </c>
      <c r="C24" s="26"/>
      <c r="D24" s="28">
        <f>Table1[[#This Row],[Enrolment S.Y. 2025-2026 ]]*8</f>
        <v>0</v>
      </c>
      <c r="E24" s="28"/>
      <c r="F24" s="26"/>
      <c r="G24" s="28"/>
      <c r="H24" s="28">
        <f t="shared" si="16"/>
        <v>0</v>
      </c>
      <c r="I24" s="28">
        <f t="shared" si="17"/>
        <v>0</v>
      </c>
      <c r="J24" s="28">
        <f>Table1[[#This Row],[Enrolment S.Y. 2025-2026 ]]*8</f>
        <v>0</v>
      </c>
      <c r="K24" s="28"/>
      <c r="L24" s="26"/>
      <c r="M24" s="28"/>
      <c r="N24" s="28">
        <f t="shared" si="10"/>
        <v>0</v>
      </c>
      <c r="O24" s="28">
        <f t="shared" si="11"/>
        <v>0</v>
      </c>
      <c r="P24" s="28">
        <f>Table1[[#This Row],[Enrolment S.Y. 2025-2026 ]]*8</f>
        <v>0</v>
      </c>
      <c r="Q24" s="28"/>
      <c r="R24" s="26"/>
      <c r="S24" s="28"/>
      <c r="T24" s="28">
        <f t="shared" si="12"/>
        <v>0</v>
      </c>
      <c r="U24" s="28">
        <f t="shared" si="13"/>
        <v>0</v>
      </c>
      <c r="V24" s="28">
        <f>Table1[[#This Row],[Enrolment S.Y. 2025-2026 ]]*8</f>
        <v>0</v>
      </c>
      <c r="W24" s="28"/>
      <c r="X24" s="26"/>
      <c r="Y24" s="28"/>
      <c r="Z24" s="28">
        <f t="shared" si="14"/>
        <v>0</v>
      </c>
      <c r="AA24" s="28">
        <f t="shared" si="15"/>
        <v>0</v>
      </c>
    </row>
    <row r="25" spans="1:27" ht="18">
      <c r="A25" s="2"/>
      <c r="B25" s="2"/>
      <c r="C25" s="2"/>
      <c r="D25" s="2"/>
      <c r="E25" s="2"/>
      <c r="F25" s="2"/>
      <c r="G25" s="2"/>
      <c r="H25" s="2"/>
      <c r="I25" s="2"/>
      <c r="J25" s="15"/>
      <c r="K25" s="2"/>
      <c r="L25" s="2"/>
      <c r="M25" s="24"/>
      <c r="N25" s="15"/>
      <c r="O25" s="15"/>
      <c r="P25" s="15"/>
      <c r="Q25" s="2"/>
      <c r="R25" s="2"/>
      <c r="S25" s="24"/>
      <c r="T25" s="15"/>
      <c r="U25" s="15"/>
      <c r="V25" s="15"/>
      <c r="W25" s="2"/>
      <c r="X25" s="2"/>
      <c r="Y25" s="24"/>
      <c r="Z25" s="15"/>
      <c r="AA25" s="15"/>
    </row>
    <row r="26" spans="1:27" ht="21">
      <c r="A26" s="26">
        <v>9</v>
      </c>
      <c r="B26" s="27" t="s">
        <v>14</v>
      </c>
      <c r="C26" s="26"/>
      <c r="D26" s="28">
        <f>Table1[[#This Row],[Enrolment S.Y. 2025-2026 ]]*8</f>
        <v>0</v>
      </c>
      <c r="E26" s="28"/>
      <c r="F26" s="26"/>
      <c r="G26" s="28"/>
      <c r="H26" s="28">
        <f t="shared" si="16"/>
        <v>0</v>
      </c>
      <c r="I26" s="28">
        <f t="shared" si="17"/>
        <v>0</v>
      </c>
      <c r="J26" s="28">
        <f>Table1[[#This Row],[Enrolment S.Y. 2025-2026 ]]*8</f>
        <v>0</v>
      </c>
      <c r="K26" s="28"/>
      <c r="L26" s="26"/>
      <c r="M26" s="28"/>
      <c r="N26" s="28">
        <f t="shared" si="10"/>
        <v>0</v>
      </c>
      <c r="O26" s="28">
        <f t="shared" si="11"/>
        <v>0</v>
      </c>
      <c r="P26" s="28">
        <f>Table1[[#This Row],[Enrolment S.Y. 2025-2026 ]]*8</f>
        <v>0</v>
      </c>
      <c r="Q26" s="28"/>
      <c r="R26" s="26"/>
      <c r="S26" s="28"/>
      <c r="T26" s="28">
        <f t="shared" si="12"/>
        <v>0</v>
      </c>
      <c r="U26" s="28">
        <f t="shared" si="13"/>
        <v>0</v>
      </c>
      <c r="V26" s="28">
        <f>Table1[[#This Row],[Enrolment S.Y. 2025-2026 ]]*8</f>
        <v>0</v>
      </c>
      <c r="W26" s="28"/>
      <c r="X26" s="26"/>
      <c r="Y26" s="28"/>
      <c r="Z26" s="28">
        <f t="shared" si="14"/>
        <v>0</v>
      </c>
      <c r="AA26" s="28">
        <f t="shared" si="15"/>
        <v>0</v>
      </c>
    </row>
    <row r="27" spans="1:27" ht="21">
      <c r="A27" s="26">
        <v>9</v>
      </c>
      <c r="B27" s="27" t="s">
        <v>15</v>
      </c>
      <c r="C27" s="26"/>
      <c r="D27" s="28">
        <f>Table1[[#This Row],[Enrolment S.Y. 2025-2026 ]]*8</f>
        <v>0</v>
      </c>
      <c r="E27" s="28"/>
      <c r="F27" s="26"/>
      <c r="G27" s="28"/>
      <c r="H27" s="28">
        <f t="shared" si="16"/>
        <v>0</v>
      </c>
      <c r="I27" s="28">
        <f t="shared" si="17"/>
        <v>0</v>
      </c>
      <c r="J27" s="28">
        <f>Table1[[#This Row],[Enrolment S.Y. 2025-2026 ]]*8</f>
        <v>0</v>
      </c>
      <c r="K27" s="28"/>
      <c r="L27" s="26"/>
      <c r="M27" s="28"/>
      <c r="N27" s="28">
        <f t="shared" si="10"/>
        <v>0</v>
      </c>
      <c r="O27" s="28">
        <f t="shared" si="11"/>
        <v>0</v>
      </c>
      <c r="P27" s="28">
        <f>Table1[[#This Row],[Enrolment S.Y. 2025-2026 ]]*8</f>
        <v>0</v>
      </c>
      <c r="Q27" s="28"/>
      <c r="R27" s="26"/>
      <c r="S27" s="28"/>
      <c r="T27" s="28">
        <f t="shared" si="12"/>
        <v>0</v>
      </c>
      <c r="U27" s="28">
        <f t="shared" si="13"/>
        <v>0</v>
      </c>
      <c r="V27" s="28">
        <f>Table1[[#This Row],[Enrolment S.Y. 2025-2026 ]]*8</f>
        <v>0</v>
      </c>
      <c r="W27" s="28"/>
      <c r="X27" s="26"/>
      <c r="Y27" s="28"/>
      <c r="Z27" s="28">
        <f t="shared" si="14"/>
        <v>0</v>
      </c>
      <c r="AA27" s="28">
        <f t="shared" si="15"/>
        <v>0</v>
      </c>
    </row>
    <row r="28" spans="1:27" ht="21">
      <c r="A28" s="26">
        <v>9</v>
      </c>
      <c r="B28" s="27" t="s">
        <v>12</v>
      </c>
      <c r="C28" s="26"/>
      <c r="D28" s="28">
        <f>Table1[[#This Row],[Enrolment S.Y. 2025-2026 ]]*8</f>
        <v>0</v>
      </c>
      <c r="E28" s="28"/>
      <c r="F28" s="26"/>
      <c r="G28" s="28"/>
      <c r="H28" s="28">
        <f t="shared" si="16"/>
        <v>0</v>
      </c>
      <c r="I28" s="28">
        <f t="shared" si="17"/>
        <v>0</v>
      </c>
      <c r="J28" s="28">
        <f>Table1[[#This Row],[Enrolment S.Y. 2025-2026 ]]*8</f>
        <v>0</v>
      </c>
      <c r="K28" s="28"/>
      <c r="L28" s="26"/>
      <c r="M28" s="28"/>
      <c r="N28" s="28">
        <f t="shared" si="10"/>
        <v>0</v>
      </c>
      <c r="O28" s="28">
        <f t="shared" si="11"/>
        <v>0</v>
      </c>
      <c r="P28" s="28">
        <f>Table1[[#This Row],[Enrolment S.Y. 2025-2026 ]]*8</f>
        <v>0</v>
      </c>
      <c r="Q28" s="28"/>
      <c r="R28" s="26"/>
      <c r="S28" s="28"/>
      <c r="T28" s="28">
        <f t="shared" si="12"/>
        <v>0</v>
      </c>
      <c r="U28" s="28">
        <f t="shared" si="13"/>
        <v>0</v>
      </c>
      <c r="V28" s="28">
        <f>Table1[[#This Row],[Enrolment S.Y. 2025-2026 ]]*8</f>
        <v>0</v>
      </c>
      <c r="W28" s="28"/>
      <c r="X28" s="26"/>
      <c r="Y28" s="28"/>
      <c r="Z28" s="28">
        <f t="shared" si="14"/>
        <v>0</v>
      </c>
      <c r="AA28" s="28">
        <f t="shared" si="15"/>
        <v>0</v>
      </c>
    </row>
    <row r="29" spans="1:27" ht="21">
      <c r="A29" s="26">
        <v>9</v>
      </c>
      <c r="B29" s="27" t="s">
        <v>21</v>
      </c>
      <c r="C29" s="26"/>
      <c r="D29" s="28">
        <f>Table1[[#This Row],[Enrolment S.Y. 2025-2026 ]]*8</f>
        <v>0</v>
      </c>
      <c r="E29" s="28"/>
      <c r="F29" s="26"/>
      <c r="G29" s="28"/>
      <c r="H29" s="28">
        <f t="shared" si="16"/>
        <v>0</v>
      </c>
      <c r="I29" s="28">
        <f t="shared" si="17"/>
        <v>0</v>
      </c>
      <c r="J29" s="28">
        <f>Table1[[#This Row],[Enrolment S.Y. 2025-2026 ]]*8</f>
        <v>0</v>
      </c>
      <c r="K29" s="28"/>
      <c r="L29" s="26"/>
      <c r="M29" s="28"/>
      <c r="N29" s="28">
        <f t="shared" si="10"/>
        <v>0</v>
      </c>
      <c r="O29" s="28">
        <f t="shared" si="11"/>
        <v>0</v>
      </c>
      <c r="P29" s="28">
        <f>Table1[[#This Row],[Enrolment S.Y. 2025-2026 ]]*8</f>
        <v>0</v>
      </c>
      <c r="Q29" s="28"/>
      <c r="R29" s="26"/>
      <c r="S29" s="28"/>
      <c r="T29" s="28">
        <f t="shared" si="12"/>
        <v>0</v>
      </c>
      <c r="U29" s="28">
        <f t="shared" si="13"/>
        <v>0</v>
      </c>
      <c r="V29" s="28">
        <f>Table1[[#This Row],[Enrolment S.Y. 2025-2026 ]]*8</f>
        <v>0</v>
      </c>
      <c r="W29" s="28"/>
      <c r="X29" s="26"/>
      <c r="Y29" s="28"/>
      <c r="Z29" s="28">
        <f t="shared" si="14"/>
        <v>0</v>
      </c>
      <c r="AA29" s="28">
        <f t="shared" si="15"/>
        <v>0</v>
      </c>
    </row>
    <row r="30" spans="1:27" ht="21">
      <c r="A30" s="26">
        <v>9</v>
      </c>
      <c r="B30" s="27" t="s">
        <v>23</v>
      </c>
      <c r="C30" s="26"/>
      <c r="D30" s="28">
        <f>Table1[[#This Row],[Enrolment S.Y. 2025-2026 ]]*8</f>
        <v>0</v>
      </c>
      <c r="E30" s="28"/>
      <c r="F30" s="26"/>
      <c r="G30" s="28"/>
      <c r="H30" s="28">
        <f t="shared" si="16"/>
        <v>0</v>
      </c>
      <c r="I30" s="28">
        <f t="shared" si="17"/>
        <v>0</v>
      </c>
      <c r="J30" s="28">
        <f>Table1[[#This Row],[Enrolment S.Y. 2025-2026 ]]*8</f>
        <v>0</v>
      </c>
      <c r="K30" s="28"/>
      <c r="L30" s="26"/>
      <c r="M30" s="28"/>
      <c r="N30" s="28">
        <f t="shared" si="10"/>
        <v>0</v>
      </c>
      <c r="O30" s="28">
        <f t="shared" si="11"/>
        <v>0</v>
      </c>
      <c r="P30" s="28">
        <f>Table1[[#This Row],[Enrolment S.Y. 2025-2026 ]]*8</f>
        <v>0</v>
      </c>
      <c r="Q30" s="28"/>
      <c r="R30" s="26"/>
      <c r="S30" s="28"/>
      <c r="T30" s="28">
        <f t="shared" si="12"/>
        <v>0</v>
      </c>
      <c r="U30" s="28">
        <f t="shared" si="13"/>
        <v>0</v>
      </c>
      <c r="V30" s="28">
        <f>Table1[[#This Row],[Enrolment S.Y. 2025-2026 ]]*8</f>
        <v>0</v>
      </c>
      <c r="W30" s="28"/>
      <c r="X30" s="26"/>
      <c r="Y30" s="28"/>
      <c r="Z30" s="28">
        <f t="shared" si="14"/>
        <v>0</v>
      </c>
      <c r="AA30" s="28">
        <f t="shared" si="15"/>
        <v>0</v>
      </c>
    </row>
    <row r="31" spans="1:27" ht="21">
      <c r="A31" s="26">
        <v>9</v>
      </c>
      <c r="B31" s="27" t="s">
        <v>13</v>
      </c>
      <c r="C31" s="26"/>
      <c r="D31" s="28">
        <f>Table1[[#This Row],[Enrolment S.Y. 2025-2026 ]]*8</f>
        <v>0</v>
      </c>
      <c r="E31" s="28"/>
      <c r="F31" s="26"/>
      <c r="G31" s="28"/>
      <c r="H31" s="28">
        <f t="shared" si="16"/>
        <v>0</v>
      </c>
      <c r="I31" s="28">
        <f t="shared" si="17"/>
        <v>0</v>
      </c>
      <c r="J31" s="28">
        <f>Table1[[#This Row],[Enrolment S.Y. 2025-2026 ]]*8</f>
        <v>0</v>
      </c>
      <c r="K31" s="28"/>
      <c r="L31" s="26"/>
      <c r="M31" s="28"/>
      <c r="N31" s="28">
        <f t="shared" si="10"/>
        <v>0</v>
      </c>
      <c r="O31" s="28">
        <f t="shared" si="11"/>
        <v>0</v>
      </c>
      <c r="P31" s="28">
        <f>Table1[[#This Row],[Enrolment S.Y. 2025-2026 ]]*8</f>
        <v>0</v>
      </c>
      <c r="Q31" s="28"/>
      <c r="R31" s="26"/>
      <c r="S31" s="28"/>
      <c r="T31" s="28">
        <f t="shared" si="12"/>
        <v>0</v>
      </c>
      <c r="U31" s="28">
        <f t="shared" si="13"/>
        <v>0</v>
      </c>
      <c r="V31" s="28">
        <f>Table1[[#This Row],[Enrolment S.Y. 2025-2026 ]]*8</f>
        <v>0</v>
      </c>
      <c r="W31" s="28"/>
      <c r="X31" s="26"/>
      <c r="Y31" s="28"/>
      <c r="Z31" s="28">
        <f t="shared" si="14"/>
        <v>0</v>
      </c>
      <c r="AA31" s="28">
        <f t="shared" si="15"/>
        <v>0</v>
      </c>
    </row>
    <row r="32" spans="1:27" s="2" customFormat="1" ht="21">
      <c r="A32" s="26">
        <v>9</v>
      </c>
      <c r="B32" s="27" t="s">
        <v>17</v>
      </c>
      <c r="C32" s="26"/>
      <c r="D32" s="28">
        <f>Table1[[#This Row],[Enrolment S.Y. 2025-2026 ]]*8</f>
        <v>0</v>
      </c>
      <c r="E32" s="28"/>
      <c r="F32" s="26"/>
      <c r="G32" s="28"/>
      <c r="H32" s="28">
        <f t="shared" si="16"/>
        <v>0</v>
      </c>
      <c r="I32" s="28">
        <f t="shared" si="17"/>
        <v>0</v>
      </c>
      <c r="J32" s="28">
        <f>Table1[[#This Row],[Enrolment S.Y. 2025-2026 ]]*8</f>
        <v>0</v>
      </c>
      <c r="K32" s="28"/>
      <c r="L32" s="26"/>
      <c r="M32" s="28"/>
      <c r="N32" s="28">
        <f t="shared" si="10"/>
        <v>0</v>
      </c>
      <c r="O32" s="28">
        <f t="shared" si="11"/>
        <v>0</v>
      </c>
      <c r="P32" s="28">
        <f>Table1[[#This Row],[Enrolment S.Y. 2025-2026 ]]*8</f>
        <v>0</v>
      </c>
      <c r="Q32" s="28"/>
      <c r="R32" s="26"/>
      <c r="S32" s="28"/>
      <c r="T32" s="28">
        <f t="shared" si="12"/>
        <v>0</v>
      </c>
      <c r="U32" s="28">
        <f t="shared" si="13"/>
        <v>0</v>
      </c>
      <c r="V32" s="28">
        <f>Table1[[#This Row],[Enrolment S.Y. 2025-2026 ]]*8</f>
        <v>0</v>
      </c>
      <c r="W32" s="28"/>
      <c r="X32" s="26"/>
      <c r="Y32" s="28"/>
      <c r="Z32" s="28">
        <f t="shared" si="14"/>
        <v>0</v>
      </c>
      <c r="AA32" s="28">
        <f t="shared" si="15"/>
        <v>0</v>
      </c>
    </row>
    <row r="33" spans="1:27" ht="21">
      <c r="A33" s="26">
        <v>9</v>
      </c>
      <c r="B33" s="27" t="s">
        <v>22</v>
      </c>
      <c r="C33" s="26"/>
      <c r="D33" s="28">
        <f>Table1[[#This Row],[Enrolment S.Y. 2025-2026 ]]*8</f>
        <v>0</v>
      </c>
      <c r="E33" s="28"/>
      <c r="F33" s="26"/>
      <c r="G33" s="28"/>
      <c r="H33" s="28">
        <f t="shared" si="16"/>
        <v>0</v>
      </c>
      <c r="I33" s="28">
        <f t="shared" si="17"/>
        <v>0</v>
      </c>
      <c r="J33" s="28">
        <f>Table1[[#This Row],[Enrolment S.Y. 2025-2026 ]]*8</f>
        <v>0</v>
      </c>
      <c r="K33" s="28"/>
      <c r="L33" s="26"/>
      <c r="M33" s="28"/>
      <c r="N33" s="28">
        <f t="shared" si="10"/>
        <v>0</v>
      </c>
      <c r="O33" s="28">
        <f t="shared" si="11"/>
        <v>0</v>
      </c>
      <c r="P33" s="28">
        <f>Table1[[#This Row],[Enrolment S.Y. 2025-2026 ]]*8</f>
        <v>0</v>
      </c>
      <c r="Q33" s="28"/>
      <c r="R33" s="26"/>
      <c r="S33" s="28"/>
      <c r="T33" s="28">
        <f t="shared" si="12"/>
        <v>0</v>
      </c>
      <c r="U33" s="28">
        <f t="shared" si="13"/>
        <v>0</v>
      </c>
      <c r="V33" s="28">
        <f>Table1[[#This Row],[Enrolment S.Y. 2025-2026 ]]*8</f>
        <v>0</v>
      </c>
      <c r="W33" s="28"/>
      <c r="X33" s="26"/>
      <c r="Y33" s="28"/>
      <c r="Z33" s="28">
        <f t="shared" si="14"/>
        <v>0</v>
      </c>
      <c r="AA33" s="28">
        <f t="shared" si="15"/>
        <v>0</v>
      </c>
    </row>
    <row r="34" spans="1:27" ht="21">
      <c r="A34" s="26">
        <v>9</v>
      </c>
      <c r="B34" s="27" t="s">
        <v>19</v>
      </c>
      <c r="C34" s="26"/>
      <c r="D34" s="28">
        <f>Table1[[#This Row],[Enrolment S.Y. 2025-2026 ]]*8</f>
        <v>0</v>
      </c>
      <c r="E34" s="28"/>
      <c r="F34" s="26"/>
      <c r="G34" s="28"/>
      <c r="H34" s="28">
        <f t="shared" si="16"/>
        <v>0</v>
      </c>
      <c r="I34" s="28">
        <f t="shared" si="17"/>
        <v>0</v>
      </c>
      <c r="J34" s="28">
        <f>Table1[[#This Row],[Enrolment S.Y. 2025-2026 ]]*8</f>
        <v>0</v>
      </c>
      <c r="K34" s="28"/>
      <c r="L34" s="26"/>
      <c r="M34" s="28"/>
      <c r="N34" s="28">
        <f t="shared" si="10"/>
        <v>0</v>
      </c>
      <c r="O34" s="28">
        <f t="shared" si="11"/>
        <v>0</v>
      </c>
      <c r="P34" s="28">
        <f>Table1[[#This Row],[Enrolment S.Y. 2025-2026 ]]*8</f>
        <v>0</v>
      </c>
      <c r="Q34" s="28"/>
      <c r="R34" s="26"/>
      <c r="S34" s="28"/>
      <c r="T34" s="28">
        <f t="shared" si="12"/>
        <v>0</v>
      </c>
      <c r="U34" s="28">
        <f t="shared" si="13"/>
        <v>0</v>
      </c>
      <c r="V34" s="28">
        <f>Table1[[#This Row],[Enrolment S.Y. 2025-2026 ]]*8</f>
        <v>0</v>
      </c>
      <c r="W34" s="28"/>
      <c r="X34" s="26"/>
      <c r="Y34" s="28"/>
      <c r="Z34" s="28">
        <f t="shared" si="14"/>
        <v>0</v>
      </c>
      <c r="AA34" s="28">
        <f t="shared" si="15"/>
        <v>0</v>
      </c>
    </row>
    <row r="35" spans="1:27" ht="18">
      <c r="A35" s="2"/>
      <c r="B35" s="2"/>
      <c r="C35" s="2"/>
      <c r="D35" s="2"/>
      <c r="E35" s="2"/>
      <c r="F35" s="2"/>
      <c r="G35" s="2"/>
      <c r="H35" s="2"/>
      <c r="I35" s="2"/>
      <c r="J35" s="15"/>
      <c r="K35" s="2"/>
      <c r="L35" s="2"/>
      <c r="M35" s="24"/>
      <c r="N35" s="15"/>
      <c r="O35" s="15"/>
      <c r="P35" s="15"/>
      <c r="Q35" s="2"/>
      <c r="R35" s="2"/>
      <c r="S35" s="24"/>
      <c r="T35" s="15"/>
      <c r="U35" s="15"/>
      <c r="V35" s="15"/>
      <c r="W35" s="2"/>
      <c r="X35" s="2"/>
      <c r="Y35" s="24"/>
      <c r="Z35" s="15"/>
      <c r="AA35" s="15"/>
    </row>
    <row r="36" spans="1:27" ht="21">
      <c r="A36" s="26">
        <v>10</v>
      </c>
      <c r="B36" s="27" t="s">
        <v>14</v>
      </c>
      <c r="C36" s="26"/>
      <c r="D36" s="28">
        <f>Table1[[#This Row],[Enrolment S.Y. 2025-2026 ]]*8</f>
        <v>0</v>
      </c>
      <c r="E36" s="28"/>
      <c r="F36" s="26"/>
      <c r="G36" s="28"/>
      <c r="H36" s="28">
        <f t="shared" ref="H36:H44" si="18">IF((D36-E36)&lt;0,0,(D36-E36))</f>
        <v>0</v>
      </c>
      <c r="I36" s="28">
        <f t="shared" ref="I36:I44" si="19">IF((E36-D36)&lt;0,0,(E36-D36))</f>
        <v>0</v>
      </c>
      <c r="J36" s="28">
        <f>Table1[[#This Row],[Enrolment S.Y. 2025-2026 ]]*8</f>
        <v>0</v>
      </c>
      <c r="K36" s="28"/>
      <c r="L36" s="26"/>
      <c r="M36" s="28"/>
      <c r="N36" s="28">
        <f t="shared" ref="N36:N44" si="20">IF((J36-K36)&lt;0,0,(J36-K36))</f>
        <v>0</v>
      </c>
      <c r="O36" s="28">
        <f t="shared" ref="O36:O44" si="21">IF((K36-J36)&lt;0,0,(K36-J36))</f>
        <v>0</v>
      </c>
      <c r="P36" s="28">
        <f>Table1[[#This Row],[Enrolment S.Y. 2025-2026 ]]*8</f>
        <v>0</v>
      </c>
      <c r="Q36" s="28"/>
      <c r="R36" s="26"/>
      <c r="S36" s="28"/>
      <c r="T36" s="28">
        <f t="shared" ref="T36:T44" si="22">IF((P36-Q36)&lt;0,0,(P36-Q36))</f>
        <v>0</v>
      </c>
      <c r="U36" s="28">
        <f t="shared" ref="U36:U44" si="23">IF((Q36-P36)&lt;0,0,(Q36-P36))</f>
        <v>0</v>
      </c>
      <c r="V36" s="28">
        <f>Table1[[#This Row],[Enrolment S.Y. 2025-2026 ]]*8</f>
        <v>0</v>
      </c>
      <c r="W36" s="28"/>
      <c r="X36" s="26"/>
      <c r="Y36" s="28"/>
      <c r="Z36" s="28">
        <f t="shared" ref="Z36:Z44" si="24">IF((V36-W36)&lt;0,0,(V36-W36))</f>
        <v>0</v>
      </c>
      <c r="AA36" s="28">
        <f t="shared" ref="AA36:AA44" si="25">IF((W36-V36)&lt;0,0,(W36-V36))</f>
        <v>0</v>
      </c>
    </row>
    <row r="37" spans="1:27" ht="21">
      <c r="A37" s="26">
        <v>10</v>
      </c>
      <c r="B37" s="27" t="s">
        <v>15</v>
      </c>
      <c r="C37" s="26"/>
      <c r="D37" s="28">
        <f>Table1[[#This Row],[Enrolment S.Y. 2025-2026 ]]*8</f>
        <v>0</v>
      </c>
      <c r="E37" s="28"/>
      <c r="F37" s="26"/>
      <c r="G37" s="28"/>
      <c r="H37" s="28">
        <f t="shared" si="18"/>
        <v>0</v>
      </c>
      <c r="I37" s="28">
        <f t="shared" si="19"/>
        <v>0</v>
      </c>
      <c r="J37" s="28">
        <f>Table1[[#This Row],[Enrolment S.Y. 2025-2026 ]]*8</f>
        <v>0</v>
      </c>
      <c r="K37" s="28"/>
      <c r="L37" s="26"/>
      <c r="M37" s="28"/>
      <c r="N37" s="28">
        <f t="shared" si="20"/>
        <v>0</v>
      </c>
      <c r="O37" s="28">
        <f t="shared" si="21"/>
        <v>0</v>
      </c>
      <c r="P37" s="28">
        <f>Table1[[#This Row],[Enrolment S.Y. 2025-2026 ]]*8</f>
        <v>0</v>
      </c>
      <c r="Q37" s="28"/>
      <c r="R37" s="26"/>
      <c r="S37" s="28"/>
      <c r="T37" s="28">
        <f t="shared" si="22"/>
        <v>0</v>
      </c>
      <c r="U37" s="28">
        <f t="shared" si="23"/>
        <v>0</v>
      </c>
      <c r="V37" s="28">
        <f>Table1[[#This Row],[Enrolment S.Y. 2025-2026 ]]*8</f>
        <v>0</v>
      </c>
      <c r="W37" s="28"/>
      <c r="X37" s="26"/>
      <c r="Y37" s="28"/>
      <c r="Z37" s="28">
        <f t="shared" si="24"/>
        <v>0</v>
      </c>
      <c r="AA37" s="28">
        <f t="shared" si="25"/>
        <v>0</v>
      </c>
    </row>
    <row r="38" spans="1:27" ht="21">
      <c r="A38" s="26">
        <v>10</v>
      </c>
      <c r="B38" s="27" t="s">
        <v>12</v>
      </c>
      <c r="C38" s="26"/>
      <c r="D38" s="28">
        <f>Table1[[#This Row],[Enrolment S.Y. 2025-2026 ]]*8</f>
        <v>0</v>
      </c>
      <c r="E38" s="28"/>
      <c r="F38" s="26"/>
      <c r="G38" s="28"/>
      <c r="H38" s="28">
        <f t="shared" si="18"/>
        <v>0</v>
      </c>
      <c r="I38" s="28">
        <f t="shared" si="19"/>
        <v>0</v>
      </c>
      <c r="J38" s="28">
        <f>Table1[[#This Row],[Enrolment S.Y. 2025-2026 ]]*8</f>
        <v>0</v>
      </c>
      <c r="K38" s="28"/>
      <c r="L38" s="26"/>
      <c r="M38" s="28"/>
      <c r="N38" s="28">
        <f t="shared" si="20"/>
        <v>0</v>
      </c>
      <c r="O38" s="28">
        <f t="shared" si="21"/>
        <v>0</v>
      </c>
      <c r="P38" s="28">
        <f>Table1[[#This Row],[Enrolment S.Y. 2025-2026 ]]*8</f>
        <v>0</v>
      </c>
      <c r="Q38" s="28"/>
      <c r="R38" s="26"/>
      <c r="S38" s="28"/>
      <c r="T38" s="28">
        <f t="shared" si="22"/>
        <v>0</v>
      </c>
      <c r="U38" s="28">
        <f t="shared" si="23"/>
        <v>0</v>
      </c>
      <c r="V38" s="28">
        <f>Table1[[#This Row],[Enrolment S.Y. 2025-2026 ]]*8</f>
        <v>0</v>
      </c>
      <c r="W38" s="28"/>
      <c r="X38" s="26"/>
      <c r="Y38" s="28"/>
      <c r="Z38" s="28">
        <f t="shared" si="24"/>
        <v>0</v>
      </c>
      <c r="AA38" s="28">
        <f t="shared" si="25"/>
        <v>0</v>
      </c>
    </row>
    <row r="39" spans="1:27" ht="21">
      <c r="A39" s="26">
        <v>10</v>
      </c>
      <c r="B39" s="27" t="s">
        <v>21</v>
      </c>
      <c r="C39" s="26"/>
      <c r="D39" s="28">
        <f>Table1[[#This Row],[Enrolment S.Y. 2025-2026 ]]*8</f>
        <v>0</v>
      </c>
      <c r="E39" s="28"/>
      <c r="F39" s="26"/>
      <c r="G39" s="28"/>
      <c r="H39" s="28">
        <f t="shared" si="18"/>
        <v>0</v>
      </c>
      <c r="I39" s="28">
        <f t="shared" si="19"/>
        <v>0</v>
      </c>
      <c r="J39" s="28">
        <f>Table1[[#This Row],[Enrolment S.Y. 2025-2026 ]]*8</f>
        <v>0</v>
      </c>
      <c r="K39" s="28"/>
      <c r="L39" s="26"/>
      <c r="M39" s="28"/>
      <c r="N39" s="28">
        <f t="shared" si="20"/>
        <v>0</v>
      </c>
      <c r="O39" s="28">
        <f t="shared" si="21"/>
        <v>0</v>
      </c>
      <c r="P39" s="28">
        <f>Table1[[#This Row],[Enrolment S.Y. 2025-2026 ]]*8</f>
        <v>0</v>
      </c>
      <c r="Q39" s="28"/>
      <c r="R39" s="26"/>
      <c r="S39" s="28"/>
      <c r="T39" s="28">
        <f t="shared" si="22"/>
        <v>0</v>
      </c>
      <c r="U39" s="28">
        <f t="shared" si="23"/>
        <v>0</v>
      </c>
      <c r="V39" s="28">
        <f>Table1[[#This Row],[Enrolment S.Y. 2025-2026 ]]*8</f>
        <v>0</v>
      </c>
      <c r="W39" s="28"/>
      <c r="X39" s="26"/>
      <c r="Y39" s="28"/>
      <c r="Z39" s="28">
        <f t="shared" si="24"/>
        <v>0</v>
      </c>
      <c r="AA39" s="28">
        <f t="shared" si="25"/>
        <v>0</v>
      </c>
    </row>
    <row r="40" spans="1:27" ht="21">
      <c r="A40" s="26">
        <v>10</v>
      </c>
      <c r="B40" s="27" t="s">
        <v>23</v>
      </c>
      <c r="C40" s="26"/>
      <c r="D40" s="28">
        <f>Table1[[#This Row],[Enrolment S.Y. 2025-2026 ]]*8</f>
        <v>0</v>
      </c>
      <c r="E40" s="28"/>
      <c r="F40" s="26"/>
      <c r="G40" s="28"/>
      <c r="H40" s="28">
        <f t="shared" si="18"/>
        <v>0</v>
      </c>
      <c r="I40" s="28">
        <f t="shared" si="19"/>
        <v>0</v>
      </c>
      <c r="J40" s="28">
        <f>Table1[[#This Row],[Enrolment S.Y. 2025-2026 ]]*8</f>
        <v>0</v>
      </c>
      <c r="K40" s="28"/>
      <c r="L40" s="26"/>
      <c r="M40" s="28"/>
      <c r="N40" s="28">
        <f t="shared" si="20"/>
        <v>0</v>
      </c>
      <c r="O40" s="28">
        <f t="shared" si="21"/>
        <v>0</v>
      </c>
      <c r="P40" s="28">
        <f>Table1[[#This Row],[Enrolment S.Y. 2025-2026 ]]*8</f>
        <v>0</v>
      </c>
      <c r="Q40" s="28"/>
      <c r="R40" s="26"/>
      <c r="S40" s="28"/>
      <c r="T40" s="28">
        <f t="shared" si="22"/>
        <v>0</v>
      </c>
      <c r="U40" s="28">
        <f t="shared" si="23"/>
        <v>0</v>
      </c>
      <c r="V40" s="28">
        <f>Table1[[#This Row],[Enrolment S.Y. 2025-2026 ]]*8</f>
        <v>0</v>
      </c>
      <c r="W40" s="28"/>
      <c r="X40" s="26"/>
      <c r="Y40" s="28"/>
      <c r="Z40" s="28">
        <f t="shared" si="24"/>
        <v>0</v>
      </c>
      <c r="AA40" s="28">
        <f t="shared" si="25"/>
        <v>0</v>
      </c>
    </row>
    <row r="41" spans="1:27" ht="21">
      <c r="A41" s="26">
        <v>10</v>
      </c>
      <c r="B41" s="27" t="s">
        <v>13</v>
      </c>
      <c r="C41" s="26"/>
      <c r="D41" s="28">
        <f>Table1[[#This Row],[Enrolment S.Y. 2025-2026 ]]*8</f>
        <v>0</v>
      </c>
      <c r="E41" s="28"/>
      <c r="F41" s="26"/>
      <c r="G41" s="28"/>
      <c r="H41" s="28">
        <f t="shared" si="18"/>
        <v>0</v>
      </c>
      <c r="I41" s="28">
        <f t="shared" si="19"/>
        <v>0</v>
      </c>
      <c r="J41" s="28">
        <f>Table1[[#This Row],[Enrolment S.Y. 2025-2026 ]]*8</f>
        <v>0</v>
      </c>
      <c r="K41" s="28"/>
      <c r="L41" s="26"/>
      <c r="M41" s="28"/>
      <c r="N41" s="28">
        <f t="shared" si="20"/>
        <v>0</v>
      </c>
      <c r="O41" s="28">
        <f t="shared" si="21"/>
        <v>0</v>
      </c>
      <c r="P41" s="28">
        <f>Table1[[#This Row],[Enrolment S.Y. 2025-2026 ]]*8</f>
        <v>0</v>
      </c>
      <c r="Q41" s="28"/>
      <c r="R41" s="26"/>
      <c r="S41" s="28"/>
      <c r="T41" s="28">
        <f t="shared" si="22"/>
        <v>0</v>
      </c>
      <c r="U41" s="28">
        <f t="shared" si="23"/>
        <v>0</v>
      </c>
      <c r="V41" s="28">
        <f>Table1[[#This Row],[Enrolment S.Y. 2025-2026 ]]*8</f>
        <v>0</v>
      </c>
      <c r="W41" s="28"/>
      <c r="X41" s="26"/>
      <c r="Y41" s="28"/>
      <c r="Z41" s="28">
        <f t="shared" si="24"/>
        <v>0</v>
      </c>
      <c r="AA41" s="28">
        <f t="shared" si="25"/>
        <v>0</v>
      </c>
    </row>
    <row r="42" spans="1:27" s="2" customFormat="1" ht="21">
      <c r="A42" s="26">
        <v>10</v>
      </c>
      <c r="B42" s="27" t="s">
        <v>17</v>
      </c>
      <c r="C42" s="26"/>
      <c r="D42" s="28">
        <f>Table1[[#This Row],[Enrolment S.Y. 2025-2026 ]]*8</f>
        <v>0</v>
      </c>
      <c r="E42" s="28"/>
      <c r="F42" s="26"/>
      <c r="G42" s="28"/>
      <c r="H42" s="28">
        <f t="shared" si="18"/>
        <v>0</v>
      </c>
      <c r="I42" s="28">
        <f t="shared" si="19"/>
        <v>0</v>
      </c>
      <c r="J42" s="28">
        <f>Table1[[#This Row],[Enrolment S.Y. 2025-2026 ]]*8</f>
        <v>0</v>
      </c>
      <c r="K42" s="28"/>
      <c r="L42" s="26"/>
      <c r="M42" s="28"/>
      <c r="N42" s="28">
        <f t="shared" si="20"/>
        <v>0</v>
      </c>
      <c r="O42" s="28">
        <f t="shared" si="21"/>
        <v>0</v>
      </c>
      <c r="P42" s="28">
        <f>Table1[[#This Row],[Enrolment S.Y. 2025-2026 ]]*8</f>
        <v>0</v>
      </c>
      <c r="Q42" s="28"/>
      <c r="R42" s="26"/>
      <c r="S42" s="28"/>
      <c r="T42" s="28">
        <f t="shared" si="22"/>
        <v>0</v>
      </c>
      <c r="U42" s="28">
        <f t="shared" si="23"/>
        <v>0</v>
      </c>
      <c r="V42" s="28">
        <f>Table1[[#This Row],[Enrolment S.Y. 2025-2026 ]]*8</f>
        <v>0</v>
      </c>
      <c r="W42" s="28"/>
      <c r="X42" s="26"/>
      <c r="Y42" s="28"/>
      <c r="Z42" s="28">
        <f t="shared" si="24"/>
        <v>0</v>
      </c>
      <c r="AA42" s="28">
        <f t="shared" si="25"/>
        <v>0</v>
      </c>
    </row>
    <row r="43" spans="1:27" ht="21">
      <c r="A43" s="26">
        <v>10</v>
      </c>
      <c r="B43" s="27" t="s">
        <v>22</v>
      </c>
      <c r="C43" s="26"/>
      <c r="D43" s="28">
        <f>Table1[[#This Row],[Enrolment S.Y. 2025-2026 ]]*8</f>
        <v>0</v>
      </c>
      <c r="E43" s="28"/>
      <c r="F43" s="26"/>
      <c r="G43" s="28"/>
      <c r="H43" s="28">
        <f t="shared" si="18"/>
        <v>0</v>
      </c>
      <c r="I43" s="28">
        <f t="shared" si="19"/>
        <v>0</v>
      </c>
      <c r="J43" s="28">
        <f>Table1[[#This Row],[Enrolment S.Y. 2025-2026 ]]*8</f>
        <v>0</v>
      </c>
      <c r="K43" s="28"/>
      <c r="L43" s="26"/>
      <c r="M43" s="28"/>
      <c r="N43" s="28">
        <f t="shared" si="20"/>
        <v>0</v>
      </c>
      <c r="O43" s="28">
        <f t="shared" si="21"/>
        <v>0</v>
      </c>
      <c r="P43" s="28">
        <f>Table1[[#This Row],[Enrolment S.Y. 2025-2026 ]]*8</f>
        <v>0</v>
      </c>
      <c r="Q43" s="28"/>
      <c r="R43" s="26"/>
      <c r="S43" s="28"/>
      <c r="T43" s="28">
        <f t="shared" si="22"/>
        <v>0</v>
      </c>
      <c r="U43" s="28">
        <f t="shared" si="23"/>
        <v>0</v>
      </c>
      <c r="V43" s="28">
        <f>Table1[[#This Row],[Enrolment S.Y. 2025-2026 ]]*8</f>
        <v>0</v>
      </c>
      <c r="W43" s="28"/>
      <c r="X43" s="26"/>
      <c r="Y43" s="28"/>
      <c r="Z43" s="28">
        <f t="shared" si="24"/>
        <v>0</v>
      </c>
      <c r="AA43" s="28">
        <f t="shared" si="25"/>
        <v>0</v>
      </c>
    </row>
    <row r="44" spans="1:27" ht="21">
      <c r="A44" s="26">
        <v>10</v>
      </c>
      <c r="B44" s="27" t="s">
        <v>19</v>
      </c>
      <c r="C44" s="26"/>
      <c r="D44" s="28">
        <f>Table1[[#This Row],[Enrolment S.Y. 2025-2026 ]]*8</f>
        <v>0</v>
      </c>
      <c r="E44" s="28"/>
      <c r="F44" s="26"/>
      <c r="G44" s="28"/>
      <c r="H44" s="28">
        <f t="shared" si="18"/>
        <v>0</v>
      </c>
      <c r="I44" s="28">
        <f t="shared" si="19"/>
        <v>0</v>
      </c>
      <c r="J44" s="28">
        <f>Table1[[#This Row],[Enrolment S.Y. 2025-2026 ]]*8</f>
        <v>0</v>
      </c>
      <c r="K44" s="28"/>
      <c r="L44" s="26"/>
      <c r="M44" s="28"/>
      <c r="N44" s="28">
        <f t="shared" si="20"/>
        <v>0</v>
      </c>
      <c r="O44" s="28">
        <f t="shared" si="21"/>
        <v>0</v>
      </c>
      <c r="P44" s="28">
        <f>Table1[[#This Row],[Enrolment S.Y. 2025-2026 ]]*8</f>
        <v>0</v>
      </c>
      <c r="Q44" s="28"/>
      <c r="R44" s="26"/>
      <c r="S44" s="28"/>
      <c r="T44" s="28">
        <f t="shared" si="22"/>
        <v>0</v>
      </c>
      <c r="U44" s="28">
        <f t="shared" si="23"/>
        <v>0</v>
      </c>
      <c r="V44" s="28">
        <f>Table1[[#This Row],[Enrolment S.Y. 2025-2026 ]]*8</f>
        <v>0</v>
      </c>
      <c r="W44" s="28"/>
      <c r="X44" s="26"/>
      <c r="Y44" s="28"/>
      <c r="Z44" s="28">
        <f t="shared" si="24"/>
        <v>0</v>
      </c>
      <c r="AA44" s="28">
        <f t="shared" si="25"/>
        <v>0</v>
      </c>
    </row>
    <row r="45" spans="1:27" ht="18">
      <c r="A45" s="2"/>
      <c r="B45" s="2"/>
      <c r="C45" s="2"/>
      <c r="D45" s="2"/>
      <c r="E45" s="2"/>
      <c r="F45" s="2"/>
      <c r="G45" s="2"/>
      <c r="H45" s="2"/>
      <c r="I45" s="2"/>
      <c r="J45" s="15"/>
      <c r="K45" s="2"/>
      <c r="L45" s="2"/>
      <c r="M45" s="24"/>
      <c r="N45" s="15"/>
      <c r="O45" s="15"/>
      <c r="P45" s="15"/>
      <c r="Q45" s="2"/>
      <c r="R45" s="2"/>
      <c r="S45" s="24"/>
      <c r="T45" s="15"/>
      <c r="U45" s="15"/>
      <c r="V45" s="15"/>
      <c r="W45" s="2"/>
      <c r="X45" s="2"/>
      <c r="Y45" s="24"/>
      <c r="Z45" s="15"/>
      <c r="AA45" s="15"/>
    </row>
    <row r="46" spans="1:27" ht="40.5">
      <c r="A46" s="22" t="s">
        <v>24</v>
      </c>
      <c r="B46" s="25" t="s">
        <v>25</v>
      </c>
      <c r="C46" s="22"/>
      <c r="D46" s="24">
        <f>Table1[[#This Row],[Enrolment S.Y. 2025-2026 ]]*8</f>
        <v>0</v>
      </c>
      <c r="E46" s="24"/>
      <c r="F46" s="22"/>
      <c r="G46" s="24"/>
      <c r="H46" s="24">
        <f t="shared" si="16"/>
        <v>0</v>
      </c>
      <c r="I46" s="24">
        <f t="shared" si="17"/>
        <v>0</v>
      </c>
      <c r="J46" s="24">
        <f>Table1[[#This Row],[Enrolment S.Y. 2025-2026 ]]*8</f>
        <v>0</v>
      </c>
      <c r="K46" s="24"/>
      <c r="L46" s="22"/>
      <c r="M46" s="24"/>
      <c r="N46" s="24">
        <f t="shared" si="10"/>
        <v>0</v>
      </c>
      <c r="O46" s="24">
        <f t="shared" si="11"/>
        <v>0</v>
      </c>
      <c r="P46" s="24">
        <f>Table1[[#This Row],[Enrolment S.Y. 2025-2026 ]]*8</f>
        <v>0</v>
      </c>
      <c r="Q46" s="24"/>
      <c r="R46" s="22"/>
      <c r="S46" s="24"/>
      <c r="T46" s="24">
        <f t="shared" si="12"/>
        <v>0</v>
      </c>
      <c r="U46" s="24">
        <f t="shared" si="13"/>
        <v>0</v>
      </c>
      <c r="V46" s="24">
        <f>Table1[[#This Row],[Enrolment S.Y. 2025-2026 ]]*8</f>
        <v>0</v>
      </c>
      <c r="W46" s="24"/>
      <c r="X46" s="22"/>
      <c r="Y46" s="24"/>
      <c r="Z46" s="24">
        <f t="shared" si="14"/>
        <v>0</v>
      </c>
      <c r="AA46" s="24">
        <f t="shared" si="15"/>
        <v>0</v>
      </c>
    </row>
    <row r="47" spans="1:27" ht="21">
      <c r="A47" s="22" t="s">
        <v>24</v>
      </c>
      <c r="B47" s="25" t="s">
        <v>26</v>
      </c>
      <c r="C47" s="22"/>
      <c r="D47" s="24">
        <f>Table1[[#This Row],[Enrolment S.Y. 2025-2026 ]]*8</f>
        <v>0</v>
      </c>
      <c r="E47" s="24"/>
      <c r="F47" s="22"/>
      <c r="G47" s="24"/>
      <c r="H47" s="24">
        <f t="shared" si="16"/>
        <v>0</v>
      </c>
      <c r="I47" s="24">
        <f t="shared" si="17"/>
        <v>0</v>
      </c>
      <c r="J47" s="24">
        <f>Table1[[#This Row],[Enrolment S.Y. 2025-2026 ]]*8</f>
        <v>0</v>
      </c>
      <c r="K47" s="24"/>
      <c r="L47" s="22"/>
      <c r="M47" s="24"/>
      <c r="N47" s="24">
        <f t="shared" si="10"/>
        <v>0</v>
      </c>
      <c r="O47" s="24">
        <f t="shared" si="11"/>
        <v>0</v>
      </c>
      <c r="P47" s="24">
        <f>Table1[[#This Row],[Enrolment S.Y. 2025-2026 ]]*8</f>
        <v>0</v>
      </c>
      <c r="Q47" s="24"/>
      <c r="R47" s="22"/>
      <c r="S47" s="24"/>
      <c r="T47" s="24">
        <f t="shared" si="12"/>
        <v>0</v>
      </c>
      <c r="U47" s="24">
        <f t="shared" si="13"/>
        <v>0</v>
      </c>
      <c r="V47" s="24">
        <f>Table1[[#This Row],[Enrolment S.Y. 2025-2026 ]]*8</f>
        <v>0</v>
      </c>
      <c r="W47" s="24"/>
      <c r="X47" s="22"/>
      <c r="Y47" s="24"/>
      <c r="Z47" s="24">
        <f t="shared" si="14"/>
        <v>0</v>
      </c>
      <c r="AA47" s="24">
        <f t="shared" si="15"/>
        <v>0</v>
      </c>
    </row>
    <row r="48" spans="1:27" ht="21">
      <c r="A48" s="22" t="s">
        <v>24</v>
      </c>
      <c r="B48" s="25" t="s">
        <v>27</v>
      </c>
      <c r="C48" s="22"/>
      <c r="D48" s="24">
        <f>Table1[[#This Row],[Enrolment S.Y. 2025-2026 ]]*8</f>
        <v>0</v>
      </c>
      <c r="E48" s="24"/>
      <c r="F48" s="22"/>
      <c r="G48" s="24"/>
      <c r="H48" s="24">
        <f t="shared" si="16"/>
        <v>0</v>
      </c>
      <c r="I48" s="24">
        <f t="shared" si="17"/>
        <v>0</v>
      </c>
      <c r="J48" s="24">
        <f>Table1[[#This Row],[Enrolment S.Y. 2025-2026 ]]*8</f>
        <v>0</v>
      </c>
      <c r="K48" s="24"/>
      <c r="L48" s="22"/>
      <c r="M48" s="24"/>
      <c r="N48" s="24">
        <f t="shared" si="10"/>
        <v>0</v>
      </c>
      <c r="O48" s="24">
        <f t="shared" si="11"/>
        <v>0</v>
      </c>
      <c r="P48" s="24">
        <f>Table1[[#This Row],[Enrolment S.Y. 2025-2026 ]]*8</f>
        <v>0</v>
      </c>
      <c r="Q48" s="24"/>
      <c r="R48" s="22"/>
      <c r="S48" s="24"/>
      <c r="T48" s="24">
        <f t="shared" si="12"/>
        <v>0</v>
      </c>
      <c r="U48" s="24">
        <f t="shared" si="13"/>
        <v>0</v>
      </c>
      <c r="V48" s="24">
        <f>Table1[[#This Row],[Enrolment S.Y. 2025-2026 ]]*8</f>
        <v>0</v>
      </c>
      <c r="W48" s="24"/>
      <c r="X48" s="22"/>
      <c r="Y48" s="24"/>
      <c r="Z48" s="24">
        <f t="shared" si="14"/>
        <v>0</v>
      </c>
      <c r="AA48" s="24">
        <f t="shared" si="15"/>
        <v>0</v>
      </c>
    </row>
    <row r="49" spans="1:27" ht="21">
      <c r="A49" s="22" t="s">
        <v>24</v>
      </c>
      <c r="B49" s="25" t="s">
        <v>28</v>
      </c>
      <c r="C49" s="22"/>
      <c r="D49" s="24">
        <f>Table1[[#This Row],[Enrolment S.Y. 2025-2026 ]]*8</f>
        <v>0</v>
      </c>
      <c r="E49" s="24"/>
      <c r="F49" s="22"/>
      <c r="G49" s="24"/>
      <c r="H49" s="24">
        <f t="shared" si="16"/>
        <v>0</v>
      </c>
      <c r="I49" s="24">
        <f t="shared" si="17"/>
        <v>0</v>
      </c>
      <c r="J49" s="24">
        <f>Table1[[#This Row],[Enrolment S.Y. 2025-2026 ]]*8</f>
        <v>0</v>
      </c>
      <c r="K49" s="24"/>
      <c r="L49" s="22"/>
      <c r="M49" s="24"/>
      <c r="N49" s="24">
        <f t="shared" si="10"/>
        <v>0</v>
      </c>
      <c r="O49" s="24">
        <f t="shared" si="11"/>
        <v>0</v>
      </c>
      <c r="P49" s="24">
        <f>Table1[[#This Row],[Enrolment S.Y. 2025-2026 ]]*8</f>
        <v>0</v>
      </c>
      <c r="Q49" s="24"/>
      <c r="R49" s="22"/>
      <c r="S49" s="24"/>
      <c r="T49" s="24">
        <f t="shared" si="12"/>
        <v>0</v>
      </c>
      <c r="U49" s="24">
        <f t="shared" si="13"/>
        <v>0</v>
      </c>
      <c r="V49" s="24">
        <f>Table1[[#This Row],[Enrolment S.Y. 2025-2026 ]]*8</f>
        <v>0</v>
      </c>
      <c r="W49" s="24"/>
      <c r="X49" s="22"/>
      <c r="Y49" s="24"/>
      <c r="Z49" s="24">
        <f t="shared" si="14"/>
        <v>0</v>
      </c>
      <c r="AA49" s="24">
        <f t="shared" si="15"/>
        <v>0</v>
      </c>
    </row>
    <row r="50" spans="1:27" ht="40.5">
      <c r="A50" s="22" t="s">
        <v>24</v>
      </c>
      <c r="B50" s="25" t="s">
        <v>29</v>
      </c>
      <c r="C50" s="22"/>
      <c r="D50" s="24">
        <f>Table1[[#This Row],[Enrolment S.Y. 2025-2026 ]]*8</f>
        <v>0</v>
      </c>
      <c r="E50" s="24"/>
      <c r="F50" s="22"/>
      <c r="G50" s="24"/>
      <c r="H50" s="24">
        <f t="shared" si="16"/>
        <v>0</v>
      </c>
      <c r="I50" s="24">
        <f t="shared" si="17"/>
        <v>0</v>
      </c>
      <c r="J50" s="24">
        <f>Table1[[#This Row],[Enrolment S.Y. 2025-2026 ]]*8</f>
        <v>0</v>
      </c>
      <c r="K50" s="24"/>
      <c r="L50" s="22"/>
      <c r="M50" s="24"/>
      <c r="N50" s="24">
        <f t="shared" si="10"/>
        <v>0</v>
      </c>
      <c r="O50" s="24">
        <f t="shared" si="11"/>
        <v>0</v>
      </c>
      <c r="P50" s="24">
        <f>Table1[[#This Row],[Enrolment S.Y. 2025-2026 ]]*8</f>
        <v>0</v>
      </c>
      <c r="Q50" s="24"/>
      <c r="R50" s="22"/>
      <c r="S50" s="24"/>
      <c r="T50" s="24">
        <f t="shared" si="12"/>
        <v>0</v>
      </c>
      <c r="U50" s="24">
        <f t="shared" si="13"/>
        <v>0</v>
      </c>
      <c r="V50" s="24">
        <f>Table1[[#This Row],[Enrolment S.Y. 2025-2026 ]]*8</f>
        <v>0</v>
      </c>
      <c r="W50" s="24"/>
      <c r="X50" s="22"/>
      <c r="Y50" s="24"/>
      <c r="Z50" s="24">
        <f t="shared" si="14"/>
        <v>0</v>
      </c>
      <c r="AA50" s="24">
        <f t="shared" si="15"/>
        <v>0</v>
      </c>
    </row>
    <row r="51" spans="1:27" ht="21">
      <c r="A51" s="22" t="s">
        <v>24</v>
      </c>
      <c r="B51" s="25" t="s">
        <v>30</v>
      </c>
      <c r="C51" s="22"/>
      <c r="D51" s="24">
        <f>Table1[[#This Row],[Enrolment S.Y. 2025-2026 ]]*8</f>
        <v>0</v>
      </c>
      <c r="E51" s="24"/>
      <c r="F51" s="22"/>
      <c r="G51" s="24"/>
      <c r="H51" s="24">
        <f t="shared" si="16"/>
        <v>0</v>
      </c>
      <c r="I51" s="24">
        <f t="shared" si="17"/>
        <v>0</v>
      </c>
      <c r="J51" s="24">
        <f>Table1[[#This Row],[Enrolment S.Y. 2025-2026 ]]*8</f>
        <v>0</v>
      </c>
      <c r="K51" s="24"/>
      <c r="L51" s="22"/>
      <c r="M51" s="24"/>
      <c r="N51" s="24">
        <f t="shared" si="10"/>
        <v>0</v>
      </c>
      <c r="O51" s="24">
        <f t="shared" si="11"/>
        <v>0</v>
      </c>
      <c r="P51" s="24">
        <f>Table1[[#This Row],[Enrolment S.Y. 2025-2026 ]]*8</f>
        <v>0</v>
      </c>
      <c r="Q51" s="24"/>
      <c r="R51" s="22"/>
      <c r="S51" s="24"/>
      <c r="T51" s="24">
        <f t="shared" si="12"/>
        <v>0</v>
      </c>
      <c r="U51" s="24">
        <f t="shared" si="13"/>
        <v>0</v>
      </c>
      <c r="V51" s="24">
        <f>Table1[[#This Row],[Enrolment S.Y. 2025-2026 ]]*8</f>
        <v>0</v>
      </c>
      <c r="W51" s="24"/>
      <c r="X51" s="22"/>
      <c r="Y51" s="24"/>
      <c r="Z51" s="24">
        <f t="shared" si="14"/>
        <v>0</v>
      </c>
      <c r="AA51" s="24">
        <f t="shared" si="15"/>
        <v>0</v>
      </c>
    </row>
    <row r="52" spans="1:27" s="2" customFormat="1" ht="40.5">
      <c r="A52" s="22" t="s">
        <v>24</v>
      </c>
      <c r="B52" s="25" t="s">
        <v>31</v>
      </c>
      <c r="C52" s="22"/>
      <c r="D52" s="24">
        <f>Table1[[#This Row],[Enrolment S.Y. 2025-2026 ]]*8</f>
        <v>0</v>
      </c>
      <c r="E52" s="24"/>
      <c r="F52" s="22"/>
      <c r="G52" s="24"/>
      <c r="H52" s="24">
        <f t="shared" si="16"/>
        <v>0</v>
      </c>
      <c r="I52" s="24">
        <f t="shared" si="17"/>
        <v>0</v>
      </c>
      <c r="J52" s="24">
        <f>Table1[[#This Row],[Enrolment S.Y. 2025-2026 ]]*8</f>
        <v>0</v>
      </c>
      <c r="K52" s="24"/>
      <c r="L52" s="22"/>
      <c r="M52" s="24"/>
      <c r="N52" s="24">
        <f t="shared" si="10"/>
        <v>0</v>
      </c>
      <c r="O52" s="24">
        <f t="shared" si="11"/>
        <v>0</v>
      </c>
      <c r="P52" s="24">
        <f>Table1[[#This Row],[Enrolment S.Y. 2025-2026 ]]*8</f>
        <v>0</v>
      </c>
      <c r="Q52" s="24"/>
      <c r="R52" s="22"/>
      <c r="S52" s="24"/>
      <c r="T52" s="24">
        <f t="shared" si="12"/>
        <v>0</v>
      </c>
      <c r="U52" s="24">
        <f t="shared" si="13"/>
        <v>0</v>
      </c>
      <c r="V52" s="24">
        <f>Table1[[#This Row],[Enrolment S.Y. 2025-2026 ]]*8</f>
        <v>0</v>
      </c>
      <c r="W52" s="24"/>
      <c r="X52" s="22"/>
      <c r="Y52" s="24"/>
      <c r="Z52" s="24">
        <f t="shared" si="14"/>
        <v>0</v>
      </c>
      <c r="AA52" s="24">
        <f t="shared" si="15"/>
        <v>0</v>
      </c>
    </row>
    <row r="53" spans="1:27" ht="40.5">
      <c r="A53" s="22" t="s">
        <v>24</v>
      </c>
      <c r="B53" s="25" t="s">
        <v>32</v>
      </c>
      <c r="C53" s="22"/>
      <c r="D53" s="24">
        <f>Table1[[#This Row],[Enrolment S.Y. 2025-2026 ]]*8</f>
        <v>0</v>
      </c>
      <c r="E53" s="24"/>
      <c r="F53" s="22"/>
      <c r="G53" s="24"/>
      <c r="H53" s="24">
        <f t="shared" si="16"/>
        <v>0</v>
      </c>
      <c r="I53" s="24">
        <f t="shared" si="17"/>
        <v>0</v>
      </c>
      <c r="J53" s="24">
        <f>Table1[[#This Row],[Enrolment S.Y. 2025-2026 ]]*8</f>
        <v>0</v>
      </c>
      <c r="K53" s="24"/>
      <c r="L53" s="22"/>
      <c r="M53" s="24"/>
      <c r="N53" s="24">
        <f t="shared" si="10"/>
        <v>0</v>
      </c>
      <c r="O53" s="24">
        <f t="shared" si="11"/>
        <v>0</v>
      </c>
      <c r="P53" s="24">
        <f>Table1[[#This Row],[Enrolment S.Y. 2025-2026 ]]*8</f>
        <v>0</v>
      </c>
      <c r="Q53" s="24"/>
      <c r="R53" s="22"/>
      <c r="S53" s="24"/>
      <c r="T53" s="24">
        <f t="shared" si="12"/>
        <v>0</v>
      </c>
      <c r="U53" s="24">
        <f t="shared" si="13"/>
        <v>0</v>
      </c>
      <c r="V53" s="24">
        <f>Table1[[#This Row],[Enrolment S.Y. 2025-2026 ]]*8</f>
        <v>0</v>
      </c>
      <c r="W53" s="24"/>
      <c r="X53" s="22"/>
      <c r="Y53" s="24"/>
      <c r="Z53" s="24">
        <f t="shared" si="14"/>
        <v>0</v>
      </c>
      <c r="AA53" s="24">
        <f t="shared" si="15"/>
        <v>0</v>
      </c>
    </row>
    <row r="54" spans="1:27" ht="18">
      <c r="A54" s="2"/>
      <c r="B54" s="2"/>
      <c r="C54" s="2"/>
      <c r="D54" s="2"/>
      <c r="E54" s="2"/>
      <c r="F54" s="2"/>
      <c r="G54" s="2"/>
      <c r="H54" s="2"/>
      <c r="I54" s="2"/>
      <c r="J54" s="15"/>
      <c r="K54" s="2"/>
      <c r="L54" s="2"/>
      <c r="M54" s="2"/>
      <c r="N54" s="15"/>
      <c r="O54" s="15"/>
      <c r="P54" s="15"/>
      <c r="Q54" s="2"/>
      <c r="R54" s="2"/>
      <c r="S54" s="2"/>
      <c r="T54" s="15"/>
      <c r="U54" s="15"/>
      <c r="V54" s="15"/>
      <c r="W54" s="2"/>
      <c r="X54" s="2"/>
      <c r="Y54" s="2"/>
      <c r="Z54" s="15"/>
      <c r="AA54" s="15"/>
    </row>
    <row r="55" spans="1:27" ht="18">
      <c r="A55" s="22"/>
      <c r="B55" s="25"/>
      <c r="C55" s="22"/>
      <c r="D55" s="24"/>
      <c r="E55" s="24"/>
      <c r="F55" s="22"/>
      <c r="G55" s="24"/>
      <c r="H55" s="24">
        <f t="shared" si="16"/>
        <v>0</v>
      </c>
      <c r="I55" s="24">
        <f t="shared" si="17"/>
        <v>0</v>
      </c>
      <c r="J55" s="24">
        <f>Table1[[#This Row],[Enrolment S.Y. 2025-2026 ]]*8</f>
        <v>0</v>
      </c>
      <c r="K55" s="24"/>
      <c r="L55" s="22"/>
      <c r="M55" s="24"/>
      <c r="N55" s="24">
        <f t="shared" si="10"/>
        <v>0</v>
      </c>
      <c r="O55" s="24">
        <f t="shared" si="11"/>
        <v>0</v>
      </c>
      <c r="P55" s="24">
        <f>Table1[[#This Row],[Enrolment S.Y. 2025-2026 ]]*8</f>
        <v>0</v>
      </c>
      <c r="Q55" s="24"/>
      <c r="R55" s="22"/>
      <c r="S55" s="24"/>
      <c r="T55" s="24">
        <f t="shared" si="12"/>
        <v>0</v>
      </c>
      <c r="U55" s="24">
        <f t="shared" si="13"/>
        <v>0</v>
      </c>
      <c r="V55" s="24">
        <f>Table1[[#This Row],[Enrolment S.Y. 2025-2026 ]]*8</f>
        <v>0</v>
      </c>
      <c r="W55" s="24"/>
      <c r="X55" s="22"/>
      <c r="Y55" s="24"/>
      <c r="Z55" s="24">
        <f t="shared" si="14"/>
        <v>0</v>
      </c>
      <c r="AA55" s="24">
        <f t="shared" si="15"/>
        <v>0</v>
      </c>
    </row>
    <row r="56" spans="1:27" ht="18">
      <c r="A56" s="22"/>
      <c r="B56" s="25"/>
      <c r="C56" s="22"/>
      <c r="D56" s="24"/>
      <c r="E56" s="24"/>
      <c r="F56" s="22"/>
      <c r="G56" s="24"/>
      <c r="H56" s="24">
        <f t="shared" si="16"/>
        <v>0</v>
      </c>
      <c r="I56" s="24">
        <f t="shared" si="17"/>
        <v>0</v>
      </c>
      <c r="J56" s="24">
        <f>Table1[[#This Row],[Enrolment S.Y. 2025-2026 ]]*8</f>
        <v>0</v>
      </c>
      <c r="K56" s="24"/>
      <c r="L56" s="22"/>
      <c r="M56" s="24"/>
      <c r="N56" s="24">
        <f t="shared" si="10"/>
        <v>0</v>
      </c>
      <c r="O56" s="24">
        <f t="shared" si="11"/>
        <v>0</v>
      </c>
      <c r="P56" s="24">
        <f>Table1[[#This Row],[Enrolment S.Y. 2025-2026 ]]*8</f>
        <v>0</v>
      </c>
      <c r="Q56" s="24"/>
      <c r="R56" s="22"/>
      <c r="S56" s="24"/>
      <c r="T56" s="24">
        <f t="shared" si="12"/>
        <v>0</v>
      </c>
      <c r="U56" s="24">
        <f t="shared" si="13"/>
        <v>0</v>
      </c>
      <c r="V56" s="24">
        <f>Table1[[#This Row],[Enrolment S.Y. 2025-2026 ]]*8</f>
        <v>0</v>
      </c>
      <c r="W56" s="24"/>
      <c r="X56" s="22"/>
      <c r="Y56" s="24"/>
      <c r="Z56" s="24">
        <f t="shared" si="14"/>
        <v>0</v>
      </c>
      <c r="AA56" s="24">
        <f t="shared" si="15"/>
        <v>0</v>
      </c>
    </row>
    <row r="57" spans="1:27" ht="18">
      <c r="A57" s="22"/>
      <c r="B57" s="25"/>
      <c r="C57" s="22"/>
      <c r="D57" s="24"/>
      <c r="E57" s="24"/>
      <c r="F57" s="22"/>
      <c r="G57" s="24"/>
      <c r="H57" s="24">
        <f t="shared" si="16"/>
        <v>0</v>
      </c>
      <c r="I57" s="24">
        <f t="shared" si="17"/>
        <v>0</v>
      </c>
      <c r="J57" s="24">
        <f>Table1[[#This Row],[Enrolment S.Y. 2025-2026 ]]*8</f>
        <v>0</v>
      </c>
      <c r="K57" s="24"/>
      <c r="L57" s="22"/>
      <c r="M57" s="24"/>
      <c r="N57" s="24">
        <f t="shared" si="10"/>
        <v>0</v>
      </c>
      <c r="O57" s="24">
        <f t="shared" si="11"/>
        <v>0</v>
      </c>
      <c r="P57" s="24">
        <f>Table1[[#This Row],[Enrolment S.Y. 2025-2026 ]]*8</f>
        <v>0</v>
      </c>
      <c r="Q57" s="24"/>
      <c r="R57" s="22"/>
      <c r="S57" s="24"/>
      <c r="T57" s="24">
        <f t="shared" si="12"/>
        <v>0</v>
      </c>
      <c r="U57" s="24">
        <f t="shared" si="13"/>
        <v>0</v>
      </c>
      <c r="V57" s="24">
        <f>Table1[[#This Row],[Enrolment S.Y. 2025-2026 ]]*8</f>
        <v>0</v>
      </c>
      <c r="W57" s="24"/>
      <c r="X57" s="22"/>
      <c r="Y57" s="24"/>
      <c r="Z57" s="24">
        <f t="shared" si="14"/>
        <v>0</v>
      </c>
      <c r="AA57" s="24">
        <f t="shared" si="15"/>
        <v>0</v>
      </c>
    </row>
    <row r="58" spans="1:27" ht="18">
      <c r="A58" s="22"/>
      <c r="B58" s="25"/>
      <c r="C58" s="22"/>
      <c r="D58" s="24"/>
      <c r="E58" s="24"/>
      <c r="F58" s="22"/>
      <c r="G58" s="24"/>
      <c r="H58" s="24">
        <f t="shared" si="16"/>
        <v>0</v>
      </c>
      <c r="I58" s="24">
        <f t="shared" si="17"/>
        <v>0</v>
      </c>
      <c r="J58" s="24">
        <f>Table1[[#This Row],[Enrolment S.Y. 2025-2026 ]]*8</f>
        <v>0</v>
      </c>
      <c r="K58" s="24"/>
      <c r="L58" s="22"/>
      <c r="M58" s="24"/>
      <c r="N58" s="24">
        <f t="shared" si="10"/>
        <v>0</v>
      </c>
      <c r="O58" s="24">
        <f t="shared" si="11"/>
        <v>0</v>
      </c>
      <c r="P58" s="24">
        <f>Table1[[#This Row],[Enrolment S.Y. 2025-2026 ]]*8</f>
        <v>0</v>
      </c>
      <c r="Q58" s="24"/>
      <c r="R58" s="22"/>
      <c r="S58" s="24"/>
      <c r="T58" s="24">
        <f t="shared" si="12"/>
        <v>0</v>
      </c>
      <c r="U58" s="24">
        <f t="shared" si="13"/>
        <v>0</v>
      </c>
      <c r="V58" s="24">
        <f>Table1[[#This Row],[Enrolment S.Y. 2025-2026 ]]*8</f>
        <v>0</v>
      </c>
      <c r="W58" s="24"/>
      <c r="X58" s="22"/>
      <c r="Y58" s="24"/>
      <c r="Z58" s="24">
        <f t="shared" si="14"/>
        <v>0</v>
      </c>
      <c r="AA58" s="24">
        <f t="shared" si="15"/>
        <v>0</v>
      </c>
    </row>
    <row r="59" spans="1:27" ht="18">
      <c r="A59" s="22"/>
      <c r="B59" s="25"/>
      <c r="C59" s="22"/>
      <c r="D59" s="24"/>
      <c r="E59" s="24"/>
      <c r="F59" s="22"/>
      <c r="G59" s="24"/>
      <c r="H59" s="24">
        <f t="shared" si="16"/>
        <v>0</v>
      </c>
      <c r="I59" s="24">
        <f t="shared" si="17"/>
        <v>0</v>
      </c>
      <c r="J59" s="24">
        <f>Table1[[#This Row],[Enrolment S.Y. 2025-2026 ]]*8</f>
        <v>0</v>
      </c>
      <c r="K59" s="24"/>
      <c r="L59" s="22"/>
      <c r="M59" s="24"/>
      <c r="N59" s="24">
        <f t="shared" si="10"/>
        <v>0</v>
      </c>
      <c r="O59" s="24">
        <f t="shared" si="11"/>
        <v>0</v>
      </c>
      <c r="P59" s="24">
        <f>Table1[[#This Row],[Enrolment S.Y. 2025-2026 ]]*8</f>
        <v>0</v>
      </c>
      <c r="Q59" s="24"/>
      <c r="R59" s="22"/>
      <c r="S59" s="24"/>
      <c r="T59" s="24">
        <f t="shared" si="12"/>
        <v>0</v>
      </c>
      <c r="U59" s="24">
        <f t="shared" si="13"/>
        <v>0</v>
      </c>
      <c r="V59" s="24">
        <f>Table1[[#This Row],[Enrolment S.Y. 2025-2026 ]]*8</f>
        <v>0</v>
      </c>
      <c r="W59" s="24"/>
      <c r="X59" s="22"/>
      <c r="Y59" s="24"/>
      <c r="Z59" s="24">
        <f t="shared" si="14"/>
        <v>0</v>
      </c>
      <c r="AA59" s="24">
        <f t="shared" si="15"/>
        <v>0</v>
      </c>
    </row>
    <row r="60" spans="1:27" ht="18">
      <c r="A60" s="22"/>
      <c r="B60" s="25"/>
      <c r="C60" s="22"/>
      <c r="D60" s="24"/>
      <c r="E60" s="24"/>
      <c r="F60" s="22"/>
      <c r="G60" s="24"/>
      <c r="H60" s="24">
        <f t="shared" si="16"/>
        <v>0</v>
      </c>
      <c r="I60" s="24">
        <f t="shared" si="17"/>
        <v>0</v>
      </c>
      <c r="J60" s="24">
        <f>Table1[[#This Row],[Enrolment S.Y. 2025-2026 ]]*8</f>
        <v>0</v>
      </c>
      <c r="K60" s="24"/>
      <c r="L60" s="22"/>
      <c r="M60" s="24"/>
      <c r="N60" s="24">
        <f t="shared" si="10"/>
        <v>0</v>
      </c>
      <c r="O60" s="24">
        <f t="shared" si="11"/>
        <v>0</v>
      </c>
      <c r="P60" s="24">
        <f>Table1[[#This Row],[Enrolment S.Y. 2025-2026 ]]*8</f>
        <v>0</v>
      </c>
      <c r="Q60" s="24"/>
      <c r="R60" s="22"/>
      <c r="S60" s="24"/>
      <c r="T60" s="24">
        <f t="shared" si="12"/>
        <v>0</v>
      </c>
      <c r="U60" s="24">
        <f t="shared" si="13"/>
        <v>0</v>
      </c>
      <c r="V60" s="24">
        <f>Table1[[#This Row],[Enrolment S.Y. 2025-2026 ]]*8</f>
        <v>0</v>
      </c>
      <c r="W60" s="24"/>
      <c r="X60" s="22"/>
      <c r="Y60" s="24"/>
      <c r="Z60" s="24">
        <f t="shared" si="14"/>
        <v>0</v>
      </c>
      <c r="AA60" s="24">
        <f t="shared" si="15"/>
        <v>0</v>
      </c>
    </row>
    <row r="61" spans="1:27" ht="18">
      <c r="A61" s="22"/>
      <c r="B61" s="25"/>
      <c r="C61" s="22"/>
      <c r="D61" s="24"/>
      <c r="E61" s="24"/>
      <c r="F61" s="22"/>
      <c r="G61" s="24"/>
      <c r="H61" s="24">
        <f t="shared" si="16"/>
        <v>0</v>
      </c>
      <c r="I61" s="24">
        <f t="shared" si="17"/>
        <v>0</v>
      </c>
      <c r="J61" s="24">
        <f>Table1[[#This Row],[Enrolment S.Y. 2025-2026 ]]*8</f>
        <v>0</v>
      </c>
      <c r="K61" s="24"/>
      <c r="L61" s="22"/>
      <c r="M61" s="24"/>
      <c r="N61" s="24">
        <f t="shared" si="10"/>
        <v>0</v>
      </c>
      <c r="O61" s="24">
        <f t="shared" si="11"/>
        <v>0</v>
      </c>
      <c r="P61" s="24">
        <f>Table1[[#This Row],[Enrolment S.Y. 2025-2026 ]]*8</f>
        <v>0</v>
      </c>
      <c r="Q61" s="24"/>
      <c r="R61" s="22"/>
      <c r="S61" s="24"/>
      <c r="T61" s="24">
        <f t="shared" si="12"/>
        <v>0</v>
      </c>
      <c r="U61" s="24">
        <f t="shared" si="13"/>
        <v>0</v>
      </c>
      <c r="V61" s="24">
        <f>Table1[[#This Row],[Enrolment S.Y. 2025-2026 ]]*8</f>
        <v>0</v>
      </c>
      <c r="W61" s="24"/>
      <c r="X61" s="22"/>
      <c r="Y61" s="24"/>
      <c r="Z61" s="24">
        <f t="shared" si="14"/>
        <v>0</v>
      </c>
      <c r="AA61" s="24">
        <f t="shared" si="15"/>
        <v>0</v>
      </c>
    </row>
    <row r="62" spans="1:27" s="2" customFormat="1" ht="18">
      <c r="A62" s="22"/>
      <c r="B62" s="25"/>
      <c r="C62" s="22"/>
      <c r="D62" s="24"/>
      <c r="E62" s="24"/>
      <c r="F62" s="22"/>
      <c r="G62" s="24"/>
      <c r="H62" s="24">
        <f t="shared" si="16"/>
        <v>0</v>
      </c>
      <c r="I62" s="24">
        <f t="shared" si="17"/>
        <v>0</v>
      </c>
      <c r="J62" s="24">
        <f>Table1[[#This Row],[Enrolment S.Y. 2025-2026 ]]*8</f>
        <v>0</v>
      </c>
      <c r="K62" s="24"/>
      <c r="L62" s="22"/>
      <c r="M62" s="24"/>
      <c r="N62" s="24">
        <f t="shared" si="10"/>
        <v>0</v>
      </c>
      <c r="O62" s="24">
        <f t="shared" si="11"/>
        <v>0</v>
      </c>
      <c r="P62" s="24">
        <f>Table1[[#This Row],[Enrolment S.Y. 2025-2026 ]]*8</f>
        <v>0</v>
      </c>
      <c r="Q62" s="24"/>
      <c r="R62" s="22"/>
      <c r="S62" s="24"/>
      <c r="T62" s="24">
        <f t="shared" si="12"/>
        <v>0</v>
      </c>
      <c r="U62" s="24">
        <f t="shared" si="13"/>
        <v>0</v>
      </c>
      <c r="V62" s="24">
        <f>Table1[[#This Row],[Enrolment S.Y. 2025-2026 ]]*8</f>
        <v>0</v>
      </c>
      <c r="W62" s="24"/>
      <c r="X62" s="22"/>
      <c r="Y62" s="24"/>
      <c r="Z62" s="24">
        <f t="shared" si="14"/>
        <v>0</v>
      </c>
      <c r="AA62" s="24">
        <f t="shared" si="15"/>
        <v>0</v>
      </c>
    </row>
    <row r="63" spans="1:27" ht="18">
      <c r="A63" s="22"/>
      <c r="B63" s="25"/>
      <c r="C63" s="22"/>
      <c r="D63" s="24"/>
      <c r="E63" s="24"/>
      <c r="F63" s="22"/>
      <c r="G63" s="24"/>
      <c r="H63" s="24">
        <f t="shared" si="16"/>
        <v>0</v>
      </c>
      <c r="I63" s="24">
        <f t="shared" si="17"/>
        <v>0</v>
      </c>
      <c r="J63" s="24">
        <f>Table1[[#This Row],[Enrolment S.Y. 2025-2026 ]]*8</f>
        <v>0</v>
      </c>
      <c r="K63" s="24"/>
      <c r="L63" s="22"/>
      <c r="M63" s="24"/>
      <c r="N63" s="24">
        <f t="shared" si="10"/>
        <v>0</v>
      </c>
      <c r="O63" s="24">
        <f t="shared" si="11"/>
        <v>0</v>
      </c>
      <c r="P63" s="24">
        <f>Table1[[#This Row],[Enrolment S.Y. 2025-2026 ]]*8</f>
        <v>0</v>
      </c>
      <c r="Q63" s="24"/>
      <c r="R63" s="22"/>
      <c r="S63" s="24"/>
      <c r="T63" s="24">
        <f t="shared" si="12"/>
        <v>0</v>
      </c>
      <c r="U63" s="24">
        <f t="shared" si="13"/>
        <v>0</v>
      </c>
      <c r="V63" s="24">
        <f>Table1[[#This Row],[Enrolment S.Y. 2025-2026 ]]*8</f>
        <v>0</v>
      </c>
      <c r="W63" s="24"/>
      <c r="X63" s="22"/>
      <c r="Y63" s="24"/>
      <c r="Z63" s="24">
        <f t="shared" si="14"/>
        <v>0</v>
      </c>
      <c r="AA63" s="24">
        <f t="shared" si="15"/>
        <v>0</v>
      </c>
    </row>
    <row r="64" spans="1:27" ht="18">
      <c r="A64" s="22"/>
      <c r="B64" s="25"/>
      <c r="C64" s="22"/>
      <c r="D64" s="24"/>
      <c r="E64" s="24"/>
      <c r="F64" s="22"/>
      <c r="G64" s="24"/>
      <c r="H64" s="24">
        <f t="shared" si="16"/>
        <v>0</v>
      </c>
      <c r="I64" s="24">
        <f t="shared" si="17"/>
        <v>0</v>
      </c>
      <c r="J64" s="24">
        <f>Table1[[#This Row],[Enrolment S.Y. 2025-2026 ]]*8</f>
        <v>0</v>
      </c>
      <c r="K64" s="24"/>
      <c r="L64" s="22"/>
      <c r="M64" s="24"/>
      <c r="N64" s="24">
        <f t="shared" si="10"/>
        <v>0</v>
      </c>
      <c r="O64" s="24">
        <f t="shared" si="11"/>
        <v>0</v>
      </c>
      <c r="P64" s="24">
        <f>Table1[[#This Row],[Enrolment S.Y. 2025-2026 ]]*8</f>
        <v>0</v>
      </c>
      <c r="Q64" s="24"/>
      <c r="R64" s="22"/>
      <c r="S64" s="24"/>
      <c r="T64" s="24">
        <f t="shared" si="12"/>
        <v>0</v>
      </c>
      <c r="U64" s="24">
        <f t="shared" si="13"/>
        <v>0</v>
      </c>
      <c r="V64" s="24">
        <f>Table1[[#This Row],[Enrolment S.Y. 2025-2026 ]]*8</f>
        <v>0</v>
      </c>
      <c r="W64" s="24"/>
      <c r="X64" s="22"/>
      <c r="Y64" s="24"/>
      <c r="Z64" s="24">
        <f t="shared" si="14"/>
        <v>0</v>
      </c>
      <c r="AA64" s="24">
        <f t="shared" si="15"/>
        <v>0</v>
      </c>
    </row>
    <row r="65" spans="1:27" ht="18">
      <c r="A65" s="22"/>
      <c r="B65" s="25"/>
      <c r="C65" s="22"/>
      <c r="D65" s="24"/>
      <c r="E65" s="24"/>
      <c r="F65" s="22"/>
      <c r="G65" s="24"/>
      <c r="H65" s="24">
        <f t="shared" si="16"/>
        <v>0</v>
      </c>
      <c r="I65" s="24">
        <f t="shared" si="17"/>
        <v>0</v>
      </c>
      <c r="J65" s="24">
        <f>Table1[[#This Row],[Enrolment S.Y. 2025-2026 ]]*8</f>
        <v>0</v>
      </c>
      <c r="K65" s="24"/>
      <c r="L65" s="22"/>
      <c r="M65" s="24"/>
      <c r="N65" s="24">
        <f t="shared" si="10"/>
        <v>0</v>
      </c>
      <c r="O65" s="24">
        <f t="shared" si="11"/>
        <v>0</v>
      </c>
      <c r="P65" s="24">
        <f>Table1[[#This Row],[Enrolment S.Y. 2025-2026 ]]*8</f>
        <v>0</v>
      </c>
      <c r="Q65" s="24"/>
      <c r="R65" s="22"/>
      <c r="S65" s="24"/>
      <c r="T65" s="24">
        <f t="shared" si="12"/>
        <v>0</v>
      </c>
      <c r="U65" s="24">
        <f t="shared" si="13"/>
        <v>0</v>
      </c>
      <c r="V65" s="24">
        <f>Table1[[#This Row],[Enrolment S.Y. 2025-2026 ]]*8</f>
        <v>0</v>
      </c>
      <c r="W65" s="24"/>
      <c r="X65" s="22"/>
      <c r="Y65" s="24"/>
      <c r="Z65" s="24">
        <f t="shared" si="14"/>
        <v>0</v>
      </c>
      <c r="AA65" s="24">
        <f t="shared" si="15"/>
        <v>0</v>
      </c>
    </row>
    <row r="66" spans="1:27" ht="18">
      <c r="A66" s="22"/>
      <c r="B66" s="25"/>
      <c r="C66" s="22"/>
      <c r="D66" s="24"/>
      <c r="E66" s="24"/>
      <c r="F66" s="22"/>
      <c r="G66" s="24"/>
      <c r="H66" s="24">
        <f t="shared" si="16"/>
        <v>0</v>
      </c>
      <c r="I66" s="24">
        <f t="shared" si="17"/>
        <v>0</v>
      </c>
      <c r="J66" s="24">
        <f>Table1[[#This Row],[Enrolment S.Y. 2025-2026 ]]*8</f>
        <v>0</v>
      </c>
      <c r="K66" s="24"/>
      <c r="L66" s="22"/>
      <c r="M66" s="24"/>
      <c r="N66" s="24">
        <f t="shared" si="10"/>
        <v>0</v>
      </c>
      <c r="O66" s="24">
        <f t="shared" si="11"/>
        <v>0</v>
      </c>
      <c r="P66" s="24">
        <f>Table1[[#This Row],[Enrolment S.Y. 2025-2026 ]]*8</f>
        <v>0</v>
      </c>
      <c r="Q66" s="24"/>
      <c r="R66" s="22"/>
      <c r="S66" s="24"/>
      <c r="T66" s="24">
        <f t="shared" si="12"/>
        <v>0</v>
      </c>
      <c r="U66" s="24">
        <f t="shared" si="13"/>
        <v>0</v>
      </c>
      <c r="V66" s="24">
        <f>Table1[[#This Row],[Enrolment S.Y. 2025-2026 ]]*8</f>
        <v>0</v>
      </c>
      <c r="W66" s="24"/>
      <c r="X66" s="22"/>
      <c r="Y66" s="24"/>
      <c r="Z66" s="24">
        <f t="shared" si="14"/>
        <v>0</v>
      </c>
      <c r="AA66" s="24">
        <f t="shared" si="15"/>
        <v>0</v>
      </c>
    </row>
    <row r="67" spans="1:27" ht="18">
      <c r="A67" s="22"/>
      <c r="B67" s="25"/>
      <c r="C67" s="22"/>
      <c r="D67" s="24"/>
      <c r="E67" s="24"/>
      <c r="F67" s="22"/>
      <c r="G67" s="24"/>
      <c r="H67" s="24">
        <f t="shared" si="16"/>
        <v>0</v>
      </c>
      <c r="I67" s="24">
        <f t="shared" si="17"/>
        <v>0</v>
      </c>
      <c r="J67" s="24">
        <f>Table1[[#This Row],[Enrolment S.Y. 2025-2026 ]]*8</f>
        <v>0</v>
      </c>
      <c r="K67" s="24"/>
      <c r="L67" s="22"/>
      <c r="M67" s="24"/>
      <c r="N67" s="24">
        <f t="shared" si="10"/>
        <v>0</v>
      </c>
      <c r="O67" s="24">
        <f t="shared" si="11"/>
        <v>0</v>
      </c>
      <c r="P67" s="24">
        <f>Table1[[#This Row],[Enrolment S.Y. 2025-2026 ]]*8</f>
        <v>0</v>
      </c>
      <c r="Q67" s="24"/>
      <c r="R67" s="22"/>
      <c r="S67" s="24"/>
      <c r="T67" s="24">
        <f t="shared" si="12"/>
        <v>0</v>
      </c>
      <c r="U67" s="24">
        <f t="shared" si="13"/>
        <v>0</v>
      </c>
      <c r="V67" s="24">
        <f>Table1[[#This Row],[Enrolment S.Y. 2025-2026 ]]*8</f>
        <v>0</v>
      </c>
      <c r="W67" s="24"/>
      <c r="X67" s="22"/>
      <c r="Y67" s="24"/>
      <c r="Z67" s="24">
        <f t="shared" si="14"/>
        <v>0</v>
      </c>
      <c r="AA67" s="24">
        <f t="shared" si="15"/>
        <v>0</v>
      </c>
    </row>
    <row r="68" spans="1:27" ht="18">
      <c r="A68" s="22"/>
      <c r="B68" s="25"/>
      <c r="C68" s="22"/>
      <c r="D68" s="24"/>
      <c r="E68" s="24"/>
      <c r="F68" s="22"/>
      <c r="G68" s="24"/>
      <c r="H68" s="24">
        <f t="shared" si="16"/>
        <v>0</v>
      </c>
      <c r="I68" s="24">
        <f t="shared" si="17"/>
        <v>0</v>
      </c>
      <c r="J68" s="24">
        <f>Table1[[#This Row],[Enrolment S.Y. 2025-2026 ]]*8</f>
        <v>0</v>
      </c>
      <c r="K68" s="24"/>
      <c r="L68" s="22"/>
      <c r="M68" s="24"/>
      <c r="N68" s="24">
        <f t="shared" si="10"/>
        <v>0</v>
      </c>
      <c r="O68" s="24">
        <f t="shared" si="11"/>
        <v>0</v>
      </c>
      <c r="P68" s="24">
        <f>Table1[[#This Row],[Enrolment S.Y. 2025-2026 ]]*8</f>
        <v>0</v>
      </c>
      <c r="Q68" s="24"/>
      <c r="R68" s="22"/>
      <c r="S68" s="24"/>
      <c r="T68" s="24">
        <f t="shared" si="12"/>
        <v>0</v>
      </c>
      <c r="U68" s="24">
        <f t="shared" si="13"/>
        <v>0</v>
      </c>
      <c r="V68" s="24">
        <f>Table1[[#This Row],[Enrolment S.Y. 2025-2026 ]]*8</f>
        <v>0</v>
      </c>
      <c r="W68" s="24"/>
      <c r="X68" s="22"/>
      <c r="Y68" s="24"/>
      <c r="Z68" s="24">
        <f t="shared" si="14"/>
        <v>0</v>
      </c>
      <c r="AA68" s="24">
        <f t="shared" si="15"/>
        <v>0</v>
      </c>
    </row>
    <row r="69" spans="1:27" ht="18">
      <c r="A69" s="22"/>
      <c r="B69" s="25"/>
      <c r="C69" s="22"/>
      <c r="D69" s="24"/>
      <c r="E69" s="24"/>
      <c r="F69" s="22"/>
      <c r="G69" s="24"/>
      <c r="H69" s="24">
        <f t="shared" si="16"/>
        <v>0</v>
      </c>
      <c r="I69" s="24">
        <f t="shared" si="17"/>
        <v>0</v>
      </c>
      <c r="J69" s="24">
        <f>Table1[[#This Row],[Enrolment S.Y. 2025-2026 ]]*8</f>
        <v>0</v>
      </c>
      <c r="K69" s="24"/>
      <c r="L69" s="22"/>
      <c r="M69" s="24"/>
      <c r="N69" s="24">
        <f t="shared" si="10"/>
        <v>0</v>
      </c>
      <c r="O69" s="24">
        <f t="shared" si="11"/>
        <v>0</v>
      </c>
      <c r="P69" s="24">
        <f>Table1[[#This Row],[Enrolment S.Y. 2025-2026 ]]*8</f>
        <v>0</v>
      </c>
      <c r="Q69" s="24"/>
      <c r="R69" s="22"/>
      <c r="S69" s="24"/>
      <c r="T69" s="24">
        <f t="shared" si="12"/>
        <v>0</v>
      </c>
      <c r="U69" s="24">
        <f t="shared" si="13"/>
        <v>0</v>
      </c>
      <c r="V69" s="24">
        <f>Table1[[#This Row],[Enrolment S.Y. 2025-2026 ]]*8</f>
        <v>0</v>
      </c>
      <c r="W69" s="24"/>
      <c r="X69" s="22"/>
      <c r="Y69" s="24"/>
      <c r="Z69" s="24">
        <f t="shared" si="14"/>
        <v>0</v>
      </c>
      <c r="AA69" s="24">
        <f t="shared" si="15"/>
        <v>0</v>
      </c>
    </row>
    <row r="70" spans="1:27" ht="18">
      <c r="A70" s="30"/>
      <c r="B70" s="31"/>
      <c r="C70" s="30"/>
      <c r="D70" s="24"/>
      <c r="E70" s="32"/>
      <c r="F70" s="30"/>
      <c r="G70" s="32"/>
      <c r="H70" s="24">
        <f t="shared" si="16"/>
        <v>0</v>
      </c>
      <c r="I70" s="24">
        <f t="shared" si="17"/>
        <v>0</v>
      </c>
      <c r="J70" s="24">
        <f>Table1[[#This Row],[Enrolment S.Y. 2025-2026 ]]*8</f>
        <v>0</v>
      </c>
      <c r="K70" s="32"/>
      <c r="L70" s="30"/>
      <c r="M70" s="32"/>
      <c r="N70" s="24">
        <f t="shared" ref="N70" si="26">IF((J70-K70)&lt;0,0,(J70-K70))</f>
        <v>0</v>
      </c>
      <c r="O70" s="24">
        <f t="shared" ref="O70" si="27">IF((K70-J70)&lt;0,0,(K70-J70))</f>
        <v>0</v>
      </c>
      <c r="P70" s="24"/>
      <c r="Q70" s="32"/>
      <c r="R70" s="22"/>
      <c r="S70" s="32"/>
      <c r="T70" s="24">
        <f t="shared" si="12"/>
        <v>0</v>
      </c>
      <c r="U70" s="24">
        <f t="shared" si="13"/>
        <v>0</v>
      </c>
      <c r="V70" s="24">
        <f>Table1[[#This Row],[Enrolment S.Y. 2025-2026 ]]*8</f>
        <v>0</v>
      </c>
      <c r="W70" s="32"/>
      <c r="X70" s="30"/>
      <c r="Y70" s="32"/>
      <c r="Z70" s="24">
        <f t="shared" si="14"/>
        <v>0</v>
      </c>
      <c r="AA70" s="24">
        <f t="shared" si="15"/>
        <v>0</v>
      </c>
    </row>
    <row r="72" spans="1:27" s="2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2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2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2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2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16:C24 C26:C34 C36:C44 C46:C53 C55:C70 C6:C14" name="Textbooks"/>
    <protectedRange sqref="J2:L3 D2:F3 N3:R3 N70:R70 K6:L14 K16:L24 K26:L34 K36:L44 K46:L53 K55:L70 J4:J70 Z4:AA70 Q55:R69 P2:R2 V2:X3 N4:P69 D6:F14 H6:I14 Q6:R14 W6:X14 D16:F24 H16:I24 Q16:R24 W16:X24 D26:F34 H26:I34 Q26:R34 W26:X34 D36:F44 H36:I44 Q36:R44 W36:X44 D46:F53 H46:I53 Q46:R53 W46:X53 D55:F70 H55:I70 W55:X70 T4:V70" name="LAS"/>
    <protectedRange sqref="G2:I3 M2:O2 S2:U3 Y2:AA3 G55:G70 M55:M70 S55:S70 Y55:Y70 G36:G44 S4:S53 G46:G53 G6:G14 M5:M53 M3 Y5:Y53 G16:G24 G26:G34" name="SOURCE"/>
  </protectedRanges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X55:X70 F6:F14 F16:F24 F26:F34 F36:F44 F46:F53 F55:F70 L6:L14 L16:L24 L26:L34 L36:L44 L46:L53 L55:L70 R6:R14 R16:R24 R26:R34 R36:R44 R46:R53 R55:R70 X6:X14 X16:X24 X26:X34 X36:X44 X46:X53" xr:uid="{00000000-0002-0000-0100-000000000000}">
      <formula1>"2024,2025,2026"</formula1>
    </dataValidation>
    <dataValidation type="list" allowBlank="1" showInputMessage="1" showErrorMessage="1" sqref="G6:G14 G16:G24 G26:G34 G36:G44 G46:G53 Y5:Y53 S4:S53 M5:M53" xr:uid="{00000000-0002-0000-0100-000001000000}">
      <formula1>"CO,RO,SDO,LGU,SCHOOL"</formula1>
    </dataValidation>
    <dataValidation type="list" allowBlank="1" showInputMessage="1" showErrorMessage="1" sqref="G55:G70 M55:M70 S55:S70 Y55:Y70" xr:uid="{00000000-0002-0000-0100-000002000000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94"/>
  <sheetViews>
    <sheetView tabSelected="1" zoomScale="55" zoomScaleNormal="55" workbookViewId="0">
      <selection activeCell="F115" sqref="F115:F122"/>
    </sheetView>
  </sheetViews>
  <sheetFormatPr defaultColWidth="9" defaultRowHeight="13.5"/>
  <cols>
    <col min="1" max="1" width="9.5" customWidth="1"/>
    <col min="2" max="2" width="27.875" customWidth="1"/>
    <col min="3" max="3" width="17.125" customWidth="1"/>
    <col min="4" max="4" width="16.5" customWidth="1"/>
    <col min="5" max="5" width="23.125" customWidth="1"/>
    <col min="6" max="6" width="24.875" customWidth="1"/>
    <col min="7" max="7" width="18.5" customWidth="1"/>
    <col min="8" max="9" width="20.875" customWidth="1"/>
    <col min="10" max="10" width="13.75" customWidth="1"/>
    <col min="11" max="11" width="24.5" customWidth="1"/>
    <col min="12" max="12" width="18.125" customWidth="1"/>
    <col min="13" max="15" width="20.875" customWidth="1"/>
    <col min="16" max="16" width="21.5" customWidth="1"/>
    <col min="17" max="17" width="29.125" customWidth="1"/>
    <col min="18" max="18" width="25.875" customWidth="1"/>
    <col min="19" max="19" width="32.875" customWidth="1"/>
    <col min="20" max="21" width="20.875" customWidth="1"/>
    <col min="22" max="22" width="16.125" customWidth="1"/>
    <col min="23" max="23" width="25" customWidth="1"/>
    <col min="24" max="24" width="15.25" customWidth="1"/>
    <col min="25" max="25" width="20.875" customWidth="1"/>
    <col min="26" max="26" width="14.875" customWidth="1"/>
    <col min="27" max="27" width="15.125" customWidth="1"/>
  </cols>
  <sheetData>
    <row r="1" spans="1:27" s="1" customFormat="1" ht="34.15" customHeight="1">
      <c r="B1" s="3"/>
      <c r="D1" s="44" t="s">
        <v>33</v>
      </c>
      <c r="E1" s="44"/>
      <c r="F1" s="44"/>
      <c r="G1" s="44"/>
      <c r="H1" s="44"/>
      <c r="I1" s="44"/>
      <c r="J1" s="45" t="s">
        <v>34</v>
      </c>
      <c r="K1" s="45"/>
      <c r="L1" s="45"/>
      <c r="M1" s="45"/>
      <c r="N1" s="45"/>
      <c r="O1" s="45"/>
      <c r="P1" s="46" t="s">
        <v>35</v>
      </c>
      <c r="Q1" s="46"/>
      <c r="R1" s="46"/>
      <c r="S1" s="46"/>
      <c r="T1" s="46"/>
      <c r="U1" s="46"/>
      <c r="V1" s="47" t="s">
        <v>36</v>
      </c>
      <c r="W1" s="47"/>
      <c r="X1" s="47"/>
      <c r="Y1" s="47"/>
      <c r="Z1" s="47"/>
      <c r="AA1" s="47"/>
    </row>
    <row r="2" spans="1:27" ht="69.599999999999994" customHeight="1">
      <c r="A2" s="4" t="s">
        <v>0</v>
      </c>
      <c r="B2" s="5" t="s">
        <v>1</v>
      </c>
      <c r="C2" s="6" t="s">
        <v>2</v>
      </c>
      <c r="D2" s="7" t="s">
        <v>62</v>
      </c>
      <c r="E2" s="7" t="s">
        <v>63</v>
      </c>
      <c r="F2" s="8" t="s">
        <v>64</v>
      </c>
      <c r="G2" s="9" t="s">
        <v>65</v>
      </c>
      <c r="H2" s="9" t="s">
        <v>66</v>
      </c>
      <c r="I2" s="9" t="s">
        <v>67</v>
      </c>
      <c r="J2" s="10" t="s">
        <v>68</v>
      </c>
      <c r="K2" s="10" t="s">
        <v>69</v>
      </c>
      <c r="L2" s="11" t="s">
        <v>70</v>
      </c>
      <c r="M2" s="10" t="s">
        <v>71</v>
      </c>
      <c r="N2" s="10" t="s">
        <v>72</v>
      </c>
      <c r="O2" s="10" t="s">
        <v>73</v>
      </c>
      <c r="P2" s="9" t="s">
        <v>74</v>
      </c>
      <c r="Q2" s="9" t="s">
        <v>75</v>
      </c>
      <c r="R2" s="12" t="s">
        <v>76</v>
      </c>
      <c r="S2" s="9" t="s">
        <v>77</v>
      </c>
      <c r="T2" s="9" t="s">
        <v>78</v>
      </c>
      <c r="U2" s="9" t="s">
        <v>79</v>
      </c>
      <c r="V2" s="13" t="s">
        <v>80</v>
      </c>
      <c r="W2" s="13" t="s">
        <v>81</v>
      </c>
      <c r="X2" s="14" t="s">
        <v>82</v>
      </c>
      <c r="Y2" s="13" t="s">
        <v>83</v>
      </c>
      <c r="Z2" s="13" t="s">
        <v>84</v>
      </c>
      <c r="AA2" s="13" t="s">
        <v>85</v>
      </c>
    </row>
    <row r="3" spans="1:27" ht="36.75" hidden="1" customHeight="1">
      <c r="A3" s="22">
        <v>1</v>
      </c>
      <c r="B3" s="23" t="s">
        <v>8</v>
      </c>
      <c r="C3" s="22"/>
      <c r="D3" s="24">
        <f>Table14[[#This Row],[Enrolment S.Y. 2025-2026 ]]*8</f>
        <v>0</v>
      </c>
      <c r="E3" s="24"/>
      <c r="F3" s="22"/>
      <c r="G3" s="24"/>
      <c r="H3" s="24">
        <f t="shared" ref="H3:H83" si="0">IF((D3-E3)&lt;0,0,(D3-E3))</f>
        <v>0</v>
      </c>
      <c r="I3" s="24">
        <f t="shared" ref="I3:I83" si="1">IF((E3-D3)&lt;0,0,(E3-D3))</f>
        <v>0</v>
      </c>
      <c r="J3" s="24">
        <f>Table14[[#This Row],[Enrolment S.Y. 2025-2026 ]]*8</f>
        <v>0</v>
      </c>
      <c r="K3" s="24"/>
      <c r="L3" s="22"/>
      <c r="M3" s="24"/>
      <c r="N3" s="24">
        <f t="shared" ref="N3:N70" si="2">IF((J3-K3)&lt;0,0,(J3-K3))</f>
        <v>0</v>
      </c>
      <c r="O3" s="24">
        <f t="shared" ref="O3:O70" si="3">IF((K3-J3)&lt;0,0,(K3-J3))</f>
        <v>0</v>
      </c>
      <c r="P3" s="24">
        <f>Table14[[#This Row],[Enrolment S.Y. 2025-2026 ]]*8</f>
        <v>0</v>
      </c>
      <c r="Q3" s="24"/>
      <c r="R3" s="22"/>
      <c r="S3" s="24"/>
      <c r="T3" s="24">
        <f t="shared" ref="T3:T72" si="4">IF((P3-Q3)&lt;0,0,(P3-Q3))</f>
        <v>0</v>
      </c>
      <c r="U3" s="24">
        <f t="shared" ref="U3:U72" si="5">IF((Q3-P3)&lt;0,0,(Q3-P3))</f>
        <v>0</v>
      </c>
      <c r="V3" s="24">
        <f>Table14[[#This Row],[Enrolment S.Y. 2025-2026 ]]*8</f>
        <v>0</v>
      </c>
      <c r="W3" s="24"/>
      <c r="X3" s="22"/>
      <c r="Y3" s="24"/>
      <c r="Z3" s="24">
        <f t="shared" ref="Z3:Z72" si="6">IF((V3-W3)&lt;0,0,(V3-W3))</f>
        <v>0</v>
      </c>
      <c r="AA3" s="24">
        <f t="shared" ref="AA3:AA72" si="7">IF((W3-V3)&lt;0,0,(W3-V3))</f>
        <v>0</v>
      </c>
    </row>
    <row r="4" spans="1:27" ht="19.5" hidden="1">
      <c r="A4" s="22">
        <v>1</v>
      </c>
      <c r="B4" s="23" t="s">
        <v>9</v>
      </c>
      <c r="C4" s="22"/>
      <c r="D4" s="24">
        <f>Table14[[#This Row],[Enrolment S.Y. 2025-2026 ]]*8</f>
        <v>0</v>
      </c>
      <c r="E4" s="24"/>
      <c r="F4" s="22"/>
      <c r="G4" s="24"/>
      <c r="H4" s="24">
        <f t="shared" si="0"/>
        <v>0</v>
      </c>
      <c r="I4" s="24">
        <f t="shared" si="1"/>
        <v>0</v>
      </c>
      <c r="J4" s="24">
        <f>Table14[[#This Row],[Enrolment S.Y. 2025-2026 ]]*8</f>
        <v>0</v>
      </c>
      <c r="K4" s="24"/>
      <c r="L4" s="22"/>
      <c r="M4" s="24"/>
      <c r="N4" s="24">
        <f t="shared" si="2"/>
        <v>0</v>
      </c>
      <c r="O4" s="24">
        <f t="shared" si="3"/>
        <v>0</v>
      </c>
      <c r="P4" s="24">
        <f>Table14[[#This Row],[Enrolment S.Y. 2025-2026 ]]*8</f>
        <v>0</v>
      </c>
      <c r="Q4" s="24"/>
      <c r="R4" s="22"/>
      <c r="S4" s="24"/>
      <c r="T4" s="24">
        <f t="shared" si="4"/>
        <v>0</v>
      </c>
      <c r="U4" s="24">
        <f t="shared" si="5"/>
        <v>0</v>
      </c>
      <c r="V4" s="24">
        <f>Table14[[#This Row],[Enrolment S.Y. 2025-2026 ]]*8</f>
        <v>0</v>
      </c>
      <c r="W4" s="24"/>
      <c r="X4" s="22"/>
      <c r="Y4" s="24"/>
      <c r="Z4" s="24">
        <f t="shared" si="6"/>
        <v>0</v>
      </c>
      <c r="AA4" s="24">
        <f t="shared" si="7"/>
        <v>0</v>
      </c>
    </row>
    <row r="5" spans="1:27" ht="19.5" hidden="1">
      <c r="A5" s="22">
        <v>1</v>
      </c>
      <c r="B5" s="23" t="s">
        <v>10</v>
      </c>
      <c r="C5" s="22"/>
      <c r="D5" s="24">
        <f>Table14[[#This Row],[Enrolment S.Y. 2025-2026 ]]*8</f>
        <v>0</v>
      </c>
      <c r="E5" s="24"/>
      <c r="F5" s="22"/>
      <c r="G5" s="24"/>
      <c r="H5" s="24">
        <f t="shared" si="0"/>
        <v>0</v>
      </c>
      <c r="I5" s="24">
        <f t="shared" si="1"/>
        <v>0</v>
      </c>
      <c r="J5" s="24">
        <f>Table14[[#This Row],[Enrolment S.Y. 2025-2026 ]]*8</f>
        <v>0</v>
      </c>
      <c r="K5" s="24"/>
      <c r="L5" s="22"/>
      <c r="M5" s="24"/>
      <c r="N5" s="24">
        <f t="shared" si="2"/>
        <v>0</v>
      </c>
      <c r="O5" s="24">
        <f t="shared" si="3"/>
        <v>0</v>
      </c>
      <c r="P5" s="24">
        <f>Table14[[#This Row],[Enrolment S.Y. 2025-2026 ]]*8</f>
        <v>0</v>
      </c>
      <c r="Q5" s="24"/>
      <c r="R5" s="22"/>
      <c r="S5" s="24"/>
      <c r="T5" s="24">
        <f t="shared" si="4"/>
        <v>0</v>
      </c>
      <c r="U5" s="24">
        <f t="shared" si="5"/>
        <v>0</v>
      </c>
      <c r="V5" s="24">
        <f>Table14[[#This Row],[Enrolment S.Y. 2025-2026 ]]*8</f>
        <v>0</v>
      </c>
      <c r="W5" s="24"/>
      <c r="X5" s="22"/>
      <c r="Y5" s="24"/>
      <c r="Z5" s="24">
        <f t="shared" si="6"/>
        <v>0</v>
      </c>
      <c r="AA5" s="24">
        <f t="shared" si="7"/>
        <v>0</v>
      </c>
    </row>
    <row r="6" spans="1:27" ht="19.5" hidden="1">
      <c r="A6" s="22">
        <v>1</v>
      </c>
      <c r="B6" s="23" t="s">
        <v>11</v>
      </c>
      <c r="C6" s="22"/>
      <c r="D6" s="24">
        <f>Table14[[#This Row],[Enrolment S.Y. 2025-2026 ]]*8</f>
        <v>0</v>
      </c>
      <c r="E6" s="24"/>
      <c r="F6" s="22"/>
      <c r="G6" s="24"/>
      <c r="H6" s="24">
        <f t="shared" si="0"/>
        <v>0</v>
      </c>
      <c r="I6" s="24">
        <f t="shared" si="1"/>
        <v>0</v>
      </c>
      <c r="J6" s="24">
        <f>Table14[[#This Row],[Enrolment S.Y. 2025-2026 ]]*8</f>
        <v>0</v>
      </c>
      <c r="K6" s="24"/>
      <c r="L6" s="22"/>
      <c r="M6" s="24"/>
      <c r="N6" s="24">
        <f t="shared" si="2"/>
        <v>0</v>
      </c>
      <c r="O6" s="24">
        <f t="shared" si="3"/>
        <v>0</v>
      </c>
      <c r="P6" s="24">
        <f>Table14[[#This Row],[Enrolment S.Y. 2025-2026 ]]*8</f>
        <v>0</v>
      </c>
      <c r="Q6" s="24"/>
      <c r="R6" s="22"/>
      <c r="S6" s="24"/>
      <c r="T6" s="24">
        <f t="shared" si="4"/>
        <v>0</v>
      </c>
      <c r="U6" s="24">
        <f t="shared" si="5"/>
        <v>0</v>
      </c>
      <c r="V6" s="24">
        <f>Table14[[#This Row],[Enrolment S.Y. 2025-2026 ]]*8</f>
        <v>0</v>
      </c>
      <c r="W6" s="24"/>
      <c r="X6" s="22"/>
      <c r="Y6" s="24"/>
      <c r="Z6" s="24">
        <f t="shared" si="6"/>
        <v>0</v>
      </c>
      <c r="AA6" s="24">
        <f t="shared" si="7"/>
        <v>0</v>
      </c>
    </row>
    <row r="7" spans="1:27" ht="19.5" hidden="1">
      <c r="A7" s="22">
        <v>1</v>
      </c>
      <c r="B7" s="23" t="s">
        <v>12</v>
      </c>
      <c r="C7" s="22"/>
      <c r="D7" s="24">
        <f>Table14[[#This Row],[Enrolment S.Y. 2025-2026 ]]*8</f>
        <v>0</v>
      </c>
      <c r="E7" s="24"/>
      <c r="F7" s="22"/>
      <c r="G7" s="24"/>
      <c r="H7" s="24">
        <f t="shared" si="0"/>
        <v>0</v>
      </c>
      <c r="I7" s="24">
        <f t="shared" si="1"/>
        <v>0</v>
      </c>
      <c r="J7" s="24">
        <f>Table14[[#This Row],[Enrolment S.Y. 2025-2026 ]]*8</f>
        <v>0</v>
      </c>
      <c r="K7" s="24"/>
      <c r="L7" s="22"/>
      <c r="M7" s="24"/>
      <c r="N7" s="24">
        <f t="shared" si="2"/>
        <v>0</v>
      </c>
      <c r="O7" s="24">
        <f t="shared" si="3"/>
        <v>0</v>
      </c>
      <c r="P7" s="24">
        <f>Table14[[#This Row],[Enrolment S.Y. 2025-2026 ]]*8</f>
        <v>0</v>
      </c>
      <c r="Q7" s="24"/>
      <c r="R7" s="22"/>
      <c r="S7" s="24"/>
      <c r="T7" s="24">
        <f t="shared" si="4"/>
        <v>0</v>
      </c>
      <c r="U7" s="24">
        <f t="shared" si="5"/>
        <v>0</v>
      </c>
      <c r="V7" s="24">
        <f>Table14[[#This Row],[Enrolment S.Y. 2025-2026 ]]*8</f>
        <v>0</v>
      </c>
      <c r="W7" s="24"/>
      <c r="X7" s="22"/>
      <c r="Y7" s="24"/>
      <c r="Z7" s="24">
        <f t="shared" si="6"/>
        <v>0</v>
      </c>
      <c r="AA7" s="24">
        <f t="shared" si="7"/>
        <v>0</v>
      </c>
    </row>
    <row r="8" spans="1:27" ht="19.5" hidden="1">
      <c r="A8" s="22">
        <v>1</v>
      </c>
      <c r="B8" s="25" t="s">
        <v>14</v>
      </c>
      <c r="C8" s="22"/>
      <c r="D8" s="24">
        <f>Table14[[#This Row],[Enrolment S.Y. 2025-2026 ]]*8</f>
        <v>0</v>
      </c>
      <c r="E8" s="24"/>
      <c r="F8" s="22"/>
      <c r="G8" s="24"/>
      <c r="H8" s="24">
        <f t="shared" si="0"/>
        <v>0</v>
      </c>
      <c r="I8" s="24">
        <f t="shared" si="1"/>
        <v>0</v>
      </c>
      <c r="J8" s="24">
        <f>Table14[[#This Row],[Enrolment S.Y. 2025-2026 ]]*8</f>
        <v>0</v>
      </c>
      <c r="K8" s="24"/>
      <c r="L8" s="22"/>
      <c r="M8" s="24"/>
      <c r="N8" s="24">
        <f t="shared" si="2"/>
        <v>0</v>
      </c>
      <c r="O8" s="24">
        <f t="shared" si="3"/>
        <v>0</v>
      </c>
      <c r="P8" s="24">
        <f>Table14[[#This Row],[Enrolment S.Y. 2025-2026 ]]*8</f>
        <v>0</v>
      </c>
      <c r="Q8" s="24"/>
      <c r="R8" s="22"/>
      <c r="S8" s="24"/>
      <c r="T8" s="24">
        <f t="shared" si="4"/>
        <v>0</v>
      </c>
      <c r="U8" s="24">
        <f t="shared" si="5"/>
        <v>0</v>
      </c>
      <c r="V8" s="24">
        <f>Table14[[#This Row],[Enrolment S.Y. 2025-2026 ]]*8</f>
        <v>0</v>
      </c>
      <c r="W8" s="24"/>
      <c r="X8" s="22"/>
      <c r="Y8" s="24"/>
      <c r="Z8" s="24">
        <f t="shared" si="6"/>
        <v>0</v>
      </c>
      <c r="AA8" s="24">
        <f t="shared" si="7"/>
        <v>0</v>
      </c>
    </row>
    <row r="9" spans="1:27" ht="19.5" hidden="1">
      <c r="A9" s="22">
        <v>1</v>
      </c>
      <c r="B9" s="25" t="s">
        <v>15</v>
      </c>
      <c r="C9" s="22"/>
      <c r="D9" s="24">
        <f>Table14[[#This Row],[Enrolment S.Y. 2025-2026 ]]*8</f>
        <v>0</v>
      </c>
      <c r="E9" s="24"/>
      <c r="F9" s="22"/>
      <c r="G9" s="24"/>
      <c r="H9" s="24">
        <f t="shared" si="0"/>
        <v>0</v>
      </c>
      <c r="I9" s="24">
        <f t="shared" si="1"/>
        <v>0</v>
      </c>
      <c r="J9" s="24">
        <f>Table14[[#This Row],[Enrolment S.Y. 2025-2026 ]]*8</f>
        <v>0</v>
      </c>
      <c r="K9" s="24"/>
      <c r="L9" s="22"/>
      <c r="M9" s="24"/>
      <c r="N9" s="24">
        <f t="shared" si="2"/>
        <v>0</v>
      </c>
      <c r="O9" s="24">
        <f t="shared" si="3"/>
        <v>0</v>
      </c>
      <c r="P9" s="24">
        <f>Table14[[#This Row],[Enrolment S.Y. 2025-2026 ]]*8</f>
        <v>0</v>
      </c>
      <c r="Q9" s="24"/>
      <c r="R9" s="22"/>
      <c r="S9" s="24"/>
      <c r="T9" s="24">
        <f t="shared" si="4"/>
        <v>0</v>
      </c>
      <c r="U9" s="24">
        <f t="shared" si="5"/>
        <v>0</v>
      </c>
      <c r="V9" s="24">
        <f>Table14[[#This Row],[Enrolment S.Y. 2025-2026 ]]*8</f>
        <v>0</v>
      </c>
      <c r="W9" s="24"/>
      <c r="X9" s="22"/>
      <c r="Y9" s="24"/>
      <c r="Z9" s="24">
        <f t="shared" si="6"/>
        <v>0</v>
      </c>
      <c r="AA9" s="24">
        <f t="shared" si="7"/>
        <v>0</v>
      </c>
    </row>
    <row r="10" spans="1:27" ht="19.5" hidden="1">
      <c r="A10" s="22">
        <v>1</v>
      </c>
      <c r="B10" s="25" t="s">
        <v>86</v>
      </c>
      <c r="C10" s="22"/>
      <c r="D10" s="24">
        <f>Table14[[#This Row],[Enrolment S.Y. 2025-2026 ]]*8</f>
        <v>0</v>
      </c>
      <c r="E10" s="24"/>
      <c r="F10" s="22"/>
      <c r="G10" s="24"/>
      <c r="H10" s="24">
        <f t="shared" si="0"/>
        <v>0</v>
      </c>
      <c r="I10" s="24">
        <f t="shared" si="1"/>
        <v>0</v>
      </c>
      <c r="J10" s="24">
        <f>Table14[[#This Row],[Enrolment S.Y. 2025-2026 ]]*8</f>
        <v>0</v>
      </c>
      <c r="K10" s="24"/>
      <c r="L10" s="22"/>
      <c r="M10" s="24"/>
      <c r="N10" s="24">
        <f t="shared" si="2"/>
        <v>0</v>
      </c>
      <c r="O10" s="24">
        <f t="shared" si="3"/>
        <v>0</v>
      </c>
      <c r="P10" s="24">
        <f>Table14[[#This Row],[Enrolment S.Y. 2025-2026 ]]*8</f>
        <v>0</v>
      </c>
      <c r="Q10" s="24"/>
      <c r="R10" s="22"/>
      <c r="S10" s="24"/>
      <c r="T10" s="24">
        <f t="shared" si="4"/>
        <v>0</v>
      </c>
      <c r="U10" s="24">
        <f t="shared" si="5"/>
        <v>0</v>
      </c>
      <c r="V10" s="24">
        <f>Table14[[#This Row],[Enrolment S.Y. 2025-2026 ]]*8</f>
        <v>0</v>
      </c>
      <c r="W10" s="24"/>
      <c r="X10" s="22"/>
      <c r="Y10" s="24"/>
      <c r="Z10" s="24">
        <f t="shared" si="6"/>
        <v>0</v>
      </c>
      <c r="AA10" s="24">
        <f t="shared" si="7"/>
        <v>0</v>
      </c>
    </row>
    <row r="11" spans="1:27" s="2" customFormat="1" hidden="1"/>
    <row r="12" spans="1:27" ht="19.5" hidden="1">
      <c r="A12" s="22">
        <v>2</v>
      </c>
      <c r="B12" s="23" t="s">
        <v>8</v>
      </c>
      <c r="C12" s="22"/>
      <c r="D12" s="24">
        <f>Table14[[#This Row],[Enrolment S.Y. 2025-2026 ]]*8</f>
        <v>0</v>
      </c>
      <c r="E12" s="24"/>
      <c r="F12" s="22"/>
      <c r="G12" s="24"/>
      <c r="H12" s="24">
        <f t="shared" si="0"/>
        <v>0</v>
      </c>
      <c r="I12" s="24">
        <f t="shared" si="1"/>
        <v>0</v>
      </c>
      <c r="J12" s="24">
        <f>Table14[[#This Row],[Enrolment S.Y. 2025-2026 ]]*8</f>
        <v>0</v>
      </c>
      <c r="K12" s="24"/>
      <c r="L12" s="22"/>
      <c r="M12" s="24"/>
      <c r="N12" s="24">
        <f t="shared" si="2"/>
        <v>0</v>
      </c>
      <c r="O12" s="24">
        <f t="shared" si="3"/>
        <v>0</v>
      </c>
      <c r="P12" s="24">
        <f>Table14[[#This Row],[Enrolment S.Y. 2025-2026 ]]*8</f>
        <v>0</v>
      </c>
      <c r="Q12" s="24"/>
      <c r="R12" s="22"/>
      <c r="S12" s="24"/>
      <c r="T12" s="24">
        <f t="shared" si="4"/>
        <v>0</v>
      </c>
      <c r="U12" s="24">
        <f t="shared" si="5"/>
        <v>0</v>
      </c>
      <c r="V12" s="24">
        <f>Table14[[#This Row],[Enrolment S.Y. 2025-2026 ]]*8</f>
        <v>0</v>
      </c>
      <c r="W12" s="24"/>
      <c r="X12" s="22"/>
      <c r="Y12" s="24"/>
      <c r="Z12" s="24">
        <f t="shared" si="6"/>
        <v>0</v>
      </c>
      <c r="AA12" s="24">
        <f t="shared" si="7"/>
        <v>0</v>
      </c>
    </row>
    <row r="13" spans="1:27" ht="19.5" hidden="1">
      <c r="A13" s="22">
        <v>2</v>
      </c>
      <c r="B13" s="23" t="s">
        <v>9</v>
      </c>
      <c r="C13" s="22"/>
      <c r="D13" s="24">
        <f>Table14[[#This Row],[Enrolment S.Y. 2025-2026 ]]*8</f>
        <v>0</v>
      </c>
      <c r="E13" s="24"/>
      <c r="F13" s="22"/>
      <c r="G13" s="24"/>
      <c r="H13" s="24">
        <f t="shared" si="0"/>
        <v>0</v>
      </c>
      <c r="I13" s="24">
        <f t="shared" si="1"/>
        <v>0</v>
      </c>
      <c r="J13" s="24">
        <f>Table14[[#This Row],[Enrolment S.Y. 2025-2026 ]]*8</f>
        <v>0</v>
      </c>
      <c r="K13" s="24"/>
      <c r="L13" s="22"/>
      <c r="M13" s="24"/>
      <c r="N13" s="24">
        <f t="shared" si="2"/>
        <v>0</v>
      </c>
      <c r="O13" s="24">
        <f t="shared" si="3"/>
        <v>0</v>
      </c>
      <c r="P13" s="24">
        <f>Table14[[#This Row],[Enrolment S.Y. 2025-2026 ]]*8</f>
        <v>0</v>
      </c>
      <c r="Q13" s="24"/>
      <c r="R13" s="22"/>
      <c r="S13" s="24"/>
      <c r="T13" s="24">
        <f t="shared" si="4"/>
        <v>0</v>
      </c>
      <c r="U13" s="24">
        <f t="shared" si="5"/>
        <v>0</v>
      </c>
      <c r="V13" s="24">
        <f>Table14[[#This Row],[Enrolment S.Y. 2025-2026 ]]*8</f>
        <v>0</v>
      </c>
      <c r="W13" s="24"/>
      <c r="X13" s="22"/>
      <c r="Y13" s="24"/>
      <c r="Z13" s="24">
        <f t="shared" si="6"/>
        <v>0</v>
      </c>
      <c r="AA13" s="24">
        <f t="shared" si="7"/>
        <v>0</v>
      </c>
    </row>
    <row r="14" spans="1:27" ht="19.5" hidden="1">
      <c r="A14" s="22">
        <v>2</v>
      </c>
      <c r="B14" s="23" t="s">
        <v>10</v>
      </c>
      <c r="C14" s="22"/>
      <c r="D14" s="24">
        <f>Table14[[#This Row],[Enrolment S.Y. 2025-2026 ]]*8</f>
        <v>0</v>
      </c>
      <c r="E14" s="24"/>
      <c r="F14" s="22"/>
      <c r="G14" s="24"/>
      <c r="H14" s="24">
        <f t="shared" si="0"/>
        <v>0</v>
      </c>
      <c r="I14" s="24">
        <f t="shared" si="1"/>
        <v>0</v>
      </c>
      <c r="J14" s="24">
        <f>Table14[[#This Row],[Enrolment S.Y. 2025-2026 ]]*8</f>
        <v>0</v>
      </c>
      <c r="K14" s="24"/>
      <c r="L14" s="22"/>
      <c r="M14" s="24"/>
      <c r="N14" s="24">
        <f t="shared" si="2"/>
        <v>0</v>
      </c>
      <c r="O14" s="24">
        <f t="shared" si="3"/>
        <v>0</v>
      </c>
      <c r="P14" s="24">
        <f>Table14[[#This Row],[Enrolment S.Y. 2025-2026 ]]*8</f>
        <v>0</v>
      </c>
      <c r="Q14" s="24"/>
      <c r="R14" s="22"/>
      <c r="S14" s="24"/>
      <c r="T14" s="24">
        <f t="shared" si="4"/>
        <v>0</v>
      </c>
      <c r="U14" s="24">
        <f t="shared" si="5"/>
        <v>0</v>
      </c>
      <c r="V14" s="24">
        <f>Table14[[#This Row],[Enrolment S.Y. 2025-2026 ]]*8</f>
        <v>0</v>
      </c>
      <c r="W14" s="24"/>
      <c r="X14" s="22"/>
      <c r="Y14" s="24"/>
      <c r="Z14" s="24">
        <f t="shared" si="6"/>
        <v>0</v>
      </c>
      <c r="AA14" s="24">
        <f t="shared" si="7"/>
        <v>0</v>
      </c>
    </row>
    <row r="15" spans="1:27" ht="19.5" hidden="1">
      <c r="A15" s="22">
        <v>2</v>
      </c>
      <c r="B15" s="23" t="s">
        <v>11</v>
      </c>
      <c r="C15" s="22"/>
      <c r="D15" s="24">
        <f>Table14[[#This Row],[Enrolment S.Y. 2025-2026 ]]*8</f>
        <v>0</v>
      </c>
      <c r="E15" s="24"/>
      <c r="F15" s="22"/>
      <c r="G15" s="24"/>
      <c r="H15" s="24">
        <f t="shared" si="0"/>
        <v>0</v>
      </c>
      <c r="I15" s="24">
        <f t="shared" si="1"/>
        <v>0</v>
      </c>
      <c r="J15" s="24">
        <f>Table14[[#This Row],[Enrolment S.Y. 2025-2026 ]]*8</f>
        <v>0</v>
      </c>
      <c r="K15" s="24"/>
      <c r="L15" s="22"/>
      <c r="M15" s="24"/>
      <c r="N15" s="24">
        <f t="shared" si="2"/>
        <v>0</v>
      </c>
      <c r="O15" s="24">
        <f t="shared" si="3"/>
        <v>0</v>
      </c>
      <c r="P15" s="24">
        <f>Table14[[#This Row],[Enrolment S.Y. 2025-2026 ]]*8</f>
        <v>0</v>
      </c>
      <c r="Q15" s="24"/>
      <c r="R15" s="22"/>
      <c r="S15" s="24"/>
      <c r="T15" s="24">
        <f t="shared" si="4"/>
        <v>0</v>
      </c>
      <c r="U15" s="24">
        <f t="shared" si="5"/>
        <v>0</v>
      </c>
      <c r="V15" s="24">
        <f>Table14[[#This Row],[Enrolment S.Y. 2025-2026 ]]*8</f>
        <v>0</v>
      </c>
      <c r="W15" s="24"/>
      <c r="X15" s="22"/>
      <c r="Y15" s="24"/>
      <c r="Z15" s="24">
        <f t="shared" si="6"/>
        <v>0</v>
      </c>
      <c r="AA15" s="24">
        <f t="shared" si="7"/>
        <v>0</v>
      </c>
    </row>
    <row r="16" spans="1:27" ht="19.5" hidden="1">
      <c r="A16" s="22">
        <v>2</v>
      </c>
      <c r="B16" s="23" t="s">
        <v>12</v>
      </c>
      <c r="C16" s="22"/>
      <c r="D16" s="24">
        <f>Table14[[#This Row],[Enrolment S.Y. 2025-2026 ]]*8</f>
        <v>0</v>
      </c>
      <c r="E16" s="24"/>
      <c r="F16" s="22"/>
      <c r="G16" s="24"/>
      <c r="H16" s="24">
        <f t="shared" si="0"/>
        <v>0</v>
      </c>
      <c r="I16" s="24">
        <f t="shared" si="1"/>
        <v>0</v>
      </c>
      <c r="J16" s="24">
        <f>Table14[[#This Row],[Enrolment S.Y. 2025-2026 ]]*8</f>
        <v>0</v>
      </c>
      <c r="K16" s="24"/>
      <c r="L16" s="22"/>
      <c r="M16" s="24"/>
      <c r="N16" s="24">
        <f t="shared" si="2"/>
        <v>0</v>
      </c>
      <c r="O16" s="24">
        <f t="shared" si="3"/>
        <v>0</v>
      </c>
      <c r="P16" s="24">
        <f>Table14[[#This Row],[Enrolment S.Y. 2025-2026 ]]*8</f>
        <v>0</v>
      </c>
      <c r="Q16" s="24"/>
      <c r="R16" s="22"/>
      <c r="S16" s="24"/>
      <c r="T16" s="24">
        <f t="shared" si="4"/>
        <v>0</v>
      </c>
      <c r="U16" s="24">
        <f t="shared" si="5"/>
        <v>0</v>
      </c>
      <c r="V16" s="24">
        <f>Table14[[#This Row],[Enrolment S.Y. 2025-2026 ]]*8</f>
        <v>0</v>
      </c>
      <c r="W16" s="24"/>
      <c r="X16" s="22"/>
      <c r="Y16" s="24"/>
      <c r="Z16" s="24">
        <f t="shared" si="6"/>
        <v>0</v>
      </c>
      <c r="AA16" s="24">
        <f t="shared" si="7"/>
        <v>0</v>
      </c>
    </row>
    <row r="17" spans="1:27" ht="19.5" hidden="1">
      <c r="A17" s="22">
        <v>2</v>
      </c>
      <c r="B17" s="25" t="s">
        <v>15</v>
      </c>
      <c r="C17" s="22"/>
      <c r="D17" s="24">
        <f>Table14[[#This Row],[Enrolment S.Y. 2025-2026 ]]*8</f>
        <v>0</v>
      </c>
      <c r="E17" s="24"/>
      <c r="F17" s="22"/>
      <c r="G17" s="24"/>
      <c r="H17" s="24">
        <f t="shared" si="0"/>
        <v>0</v>
      </c>
      <c r="I17" s="24">
        <f t="shared" si="1"/>
        <v>0</v>
      </c>
      <c r="J17" s="24">
        <f>Table14[[#This Row],[Enrolment S.Y. 2025-2026 ]]*8</f>
        <v>0</v>
      </c>
      <c r="K17" s="24"/>
      <c r="L17" s="22"/>
      <c r="M17" s="24"/>
      <c r="N17" s="24">
        <f t="shared" si="2"/>
        <v>0</v>
      </c>
      <c r="O17" s="24">
        <f t="shared" si="3"/>
        <v>0</v>
      </c>
      <c r="P17" s="24">
        <f>Table14[[#This Row],[Enrolment S.Y. 2025-2026 ]]*8</f>
        <v>0</v>
      </c>
      <c r="Q17" s="24"/>
      <c r="R17" s="22"/>
      <c r="S17" s="24"/>
      <c r="T17" s="24">
        <f t="shared" si="4"/>
        <v>0</v>
      </c>
      <c r="U17" s="24">
        <f t="shared" si="5"/>
        <v>0</v>
      </c>
      <c r="V17" s="24">
        <f>Table14[[#This Row],[Enrolment S.Y. 2025-2026 ]]*8</f>
        <v>0</v>
      </c>
      <c r="W17" s="24"/>
      <c r="X17" s="22"/>
      <c r="Y17" s="24"/>
      <c r="Z17" s="24">
        <f t="shared" si="6"/>
        <v>0</v>
      </c>
      <c r="AA17" s="24">
        <f t="shared" si="7"/>
        <v>0</v>
      </c>
    </row>
    <row r="18" spans="1:27" ht="19.5" hidden="1">
      <c r="A18" s="22">
        <v>2</v>
      </c>
      <c r="B18" s="25" t="s">
        <v>14</v>
      </c>
      <c r="C18" s="22"/>
      <c r="D18" s="24">
        <f>Table14[[#This Row],[Enrolment S.Y. 2025-2026 ]]*8</f>
        <v>0</v>
      </c>
      <c r="E18" s="24"/>
      <c r="F18" s="22"/>
      <c r="G18" s="24"/>
      <c r="H18" s="24">
        <f t="shared" si="0"/>
        <v>0</v>
      </c>
      <c r="I18" s="24">
        <f t="shared" si="1"/>
        <v>0</v>
      </c>
      <c r="J18" s="24">
        <f>Table14[[#This Row],[Enrolment S.Y. 2025-2026 ]]*8</f>
        <v>0</v>
      </c>
      <c r="K18" s="24"/>
      <c r="L18" s="22"/>
      <c r="M18" s="24"/>
      <c r="N18" s="24">
        <f t="shared" si="2"/>
        <v>0</v>
      </c>
      <c r="O18" s="24">
        <f t="shared" si="3"/>
        <v>0</v>
      </c>
      <c r="P18" s="24">
        <f>Table14[[#This Row],[Enrolment S.Y. 2025-2026 ]]*8</f>
        <v>0</v>
      </c>
      <c r="Q18" s="24"/>
      <c r="R18" s="22"/>
      <c r="S18" s="24"/>
      <c r="T18" s="24">
        <f t="shared" si="4"/>
        <v>0</v>
      </c>
      <c r="U18" s="24">
        <f t="shared" si="5"/>
        <v>0</v>
      </c>
      <c r="V18" s="24">
        <f>Table14[[#This Row],[Enrolment S.Y. 2025-2026 ]]*8</f>
        <v>0</v>
      </c>
      <c r="W18" s="24"/>
      <c r="X18" s="22"/>
      <c r="Y18" s="24"/>
      <c r="Z18" s="24">
        <f t="shared" si="6"/>
        <v>0</v>
      </c>
      <c r="AA18" s="24">
        <f t="shared" si="7"/>
        <v>0</v>
      </c>
    </row>
    <row r="19" spans="1:27" ht="19.5" hidden="1">
      <c r="A19" s="22">
        <v>2</v>
      </c>
      <c r="B19" s="25" t="s">
        <v>86</v>
      </c>
      <c r="C19" s="22"/>
      <c r="D19" s="24">
        <f>Table14[[#This Row],[Enrolment S.Y. 2025-2026 ]]*8</f>
        <v>0</v>
      </c>
      <c r="E19" s="24"/>
      <c r="F19" s="22"/>
      <c r="G19" s="24"/>
      <c r="H19" s="24">
        <f t="shared" si="0"/>
        <v>0</v>
      </c>
      <c r="I19" s="24">
        <f t="shared" si="1"/>
        <v>0</v>
      </c>
      <c r="J19" s="24">
        <f>Table14[[#This Row],[Enrolment S.Y. 2025-2026 ]]*8</f>
        <v>0</v>
      </c>
      <c r="K19" s="24"/>
      <c r="L19" s="22"/>
      <c r="M19" s="24"/>
      <c r="N19" s="24">
        <f t="shared" si="2"/>
        <v>0</v>
      </c>
      <c r="O19" s="24">
        <f t="shared" si="3"/>
        <v>0</v>
      </c>
      <c r="P19" s="24">
        <f>Table14[[#This Row],[Enrolment S.Y. 2025-2026 ]]*8</f>
        <v>0</v>
      </c>
      <c r="Q19" s="24"/>
      <c r="R19" s="22"/>
      <c r="S19" s="24"/>
      <c r="T19" s="24">
        <f t="shared" si="4"/>
        <v>0</v>
      </c>
      <c r="U19" s="24">
        <f t="shared" si="5"/>
        <v>0</v>
      </c>
      <c r="V19" s="24">
        <f>Table14[[#This Row],[Enrolment S.Y. 2025-2026 ]]*8</f>
        <v>0</v>
      </c>
      <c r="W19" s="24"/>
      <c r="X19" s="22"/>
      <c r="Y19" s="24"/>
      <c r="Z19" s="24">
        <f t="shared" si="6"/>
        <v>0</v>
      </c>
      <c r="AA19" s="24">
        <f t="shared" si="7"/>
        <v>0</v>
      </c>
    </row>
    <row r="20" spans="1:27" s="2" customFormat="1" hidden="1"/>
    <row r="21" spans="1:27" ht="19.5" hidden="1">
      <c r="A21" s="22">
        <v>3</v>
      </c>
      <c r="B21" s="23" t="s">
        <v>8</v>
      </c>
      <c r="C21" s="22"/>
      <c r="D21" s="24">
        <f>Table14[[#This Row],[Enrolment S.Y. 2025-2026 ]]*8</f>
        <v>0</v>
      </c>
      <c r="E21" s="24"/>
      <c r="F21" s="22"/>
      <c r="G21" s="24"/>
      <c r="H21" s="24">
        <f t="shared" si="0"/>
        <v>0</v>
      </c>
      <c r="I21" s="24">
        <f t="shared" si="1"/>
        <v>0</v>
      </c>
      <c r="J21" s="24">
        <f>Table14[[#This Row],[Enrolment S.Y. 2025-2026 ]]*8</f>
        <v>0</v>
      </c>
      <c r="K21" s="24"/>
      <c r="L21" s="22"/>
      <c r="M21" s="24"/>
      <c r="N21" s="24">
        <f t="shared" si="2"/>
        <v>0</v>
      </c>
      <c r="O21" s="24">
        <f t="shared" si="3"/>
        <v>0</v>
      </c>
      <c r="P21" s="24">
        <f>Table14[[#This Row],[Enrolment S.Y. 2025-2026 ]]*8</f>
        <v>0</v>
      </c>
      <c r="Q21" s="24"/>
      <c r="R21" s="22"/>
      <c r="S21" s="24"/>
      <c r="T21" s="24">
        <f t="shared" si="4"/>
        <v>0</v>
      </c>
      <c r="U21" s="24">
        <f t="shared" si="5"/>
        <v>0</v>
      </c>
      <c r="V21" s="24">
        <f>Table14[[#This Row],[Enrolment S.Y. 2025-2026 ]]*8</f>
        <v>0</v>
      </c>
      <c r="W21" s="24"/>
      <c r="X21" s="22"/>
      <c r="Y21" s="24"/>
      <c r="Z21" s="24">
        <f t="shared" si="6"/>
        <v>0</v>
      </c>
      <c r="AA21" s="24">
        <f t="shared" si="7"/>
        <v>0</v>
      </c>
    </row>
    <row r="22" spans="1:27" ht="19.5" hidden="1">
      <c r="A22" s="22">
        <v>3</v>
      </c>
      <c r="B22" s="23" t="s">
        <v>9</v>
      </c>
      <c r="C22" s="22"/>
      <c r="D22" s="24">
        <f>Table14[[#This Row],[Enrolment S.Y. 2025-2026 ]]*8</f>
        <v>0</v>
      </c>
      <c r="E22" s="24"/>
      <c r="F22" s="22"/>
      <c r="G22" s="24"/>
      <c r="H22" s="24">
        <f t="shared" si="0"/>
        <v>0</v>
      </c>
      <c r="I22" s="24">
        <f t="shared" si="1"/>
        <v>0</v>
      </c>
      <c r="J22" s="24">
        <f>Table14[[#This Row],[Enrolment S.Y. 2025-2026 ]]*8</f>
        <v>0</v>
      </c>
      <c r="K22" s="24"/>
      <c r="L22" s="22"/>
      <c r="M22" s="24"/>
      <c r="N22" s="24">
        <f t="shared" si="2"/>
        <v>0</v>
      </c>
      <c r="O22" s="24">
        <f t="shared" si="3"/>
        <v>0</v>
      </c>
      <c r="P22" s="24">
        <f>Table14[[#This Row],[Enrolment S.Y. 2025-2026 ]]*8</f>
        <v>0</v>
      </c>
      <c r="Q22" s="24"/>
      <c r="R22" s="22"/>
      <c r="S22" s="24"/>
      <c r="T22" s="24">
        <f t="shared" si="4"/>
        <v>0</v>
      </c>
      <c r="U22" s="24">
        <f t="shared" si="5"/>
        <v>0</v>
      </c>
      <c r="V22" s="24">
        <f>Table14[[#This Row],[Enrolment S.Y. 2025-2026 ]]*8</f>
        <v>0</v>
      </c>
      <c r="W22" s="24"/>
      <c r="X22" s="22"/>
      <c r="Y22" s="24"/>
      <c r="Z22" s="24">
        <f t="shared" si="6"/>
        <v>0</v>
      </c>
      <c r="AA22" s="24">
        <f t="shared" si="7"/>
        <v>0</v>
      </c>
    </row>
    <row r="23" spans="1:27" ht="19.5" hidden="1">
      <c r="A23" s="22">
        <v>3</v>
      </c>
      <c r="B23" s="23" t="s">
        <v>10</v>
      </c>
      <c r="C23" s="22"/>
      <c r="D23" s="24">
        <f>Table14[[#This Row],[Enrolment S.Y. 2025-2026 ]]*8</f>
        <v>0</v>
      </c>
      <c r="E23" s="24"/>
      <c r="F23" s="22"/>
      <c r="G23" s="24"/>
      <c r="H23" s="24">
        <f t="shared" si="0"/>
        <v>0</v>
      </c>
      <c r="I23" s="24">
        <f t="shared" si="1"/>
        <v>0</v>
      </c>
      <c r="J23" s="24">
        <f>Table14[[#This Row],[Enrolment S.Y. 2025-2026 ]]*8</f>
        <v>0</v>
      </c>
      <c r="K23" s="24"/>
      <c r="L23" s="22"/>
      <c r="M23" s="24"/>
      <c r="N23" s="24">
        <f t="shared" si="2"/>
        <v>0</v>
      </c>
      <c r="O23" s="24">
        <f t="shared" si="3"/>
        <v>0</v>
      </c>
      <c r="P23" s="24">
        <f>Table14[[#This Row],[Enrolment S.Y. 2025-2026 ]]*8</f>
        <v>0</v>
      </c>
      <c r="Q23" s="24"/>
      <c r="R23" s="22"/>
      <c r="S23" s="24"/>
      <c r="T23" s="24">
        <f t="shared" si="4"/>
        <v>0</v>
      </c>
      <c r="U23" s="24">
        <f t="shared" si="5"/>
        <v>0</v>
      </c>
      <c r="V23" s="24">
        <f>Table14[[#This Row],[Enrolment S.Y. 2025-2026 ]]*8</f>
        <v>0</v>
      </c>
      <c r="W23" s="24"/>
      <c r="X23" s="22"/>
      <c r="Y23" s="24"/>
      <c r="Z23" s="24">
        <f t="shared" si="6"/>
        <v>0</v>
      </c>
      <c r="AA23" s="24">
        <f t="shared" si="7"/>
        <v>0</v>
      </c>
    </row>
    <row r="24" spans="1:27" ht="19.5" hidden="1">
      <c r="A24" s="22">
        <v>3</v>
      </c>
      <c r="B24" s="23" t="s">
        <v>13</v>
      </c>
      <c r="C24" s="22"/>
      <c r="D24" s="24">
        <f>Table14[[#This Row],[Enrolment S.Y. 2025-2026 ]]*8</f>
        <v>0</v>
      </c>
      <c r="E24" s="24"/>
      <c r="F24" s="22"/>
      <c r="G24" s="24"/>
      <c r="H24" s="24">
        <f t="shared" si="0"/>
        <v>0</v>
      </c>
      <c r="I24" s="24">
        <f t="shared" si="1"/>
        <v>0</v>
      </c>
      <c r="J24" s="24">
        <f>Table14[[#This Row],[Enrolment S.Y. 2025-2026 ]]*8</f>
        <v>0</v>
      </c>
      <c r="K24" s="24"/>
      <c r="L24" s="22"/>
      <c r="M24" s="24"/>
      <c r="N24" s="24">
        <f t="shared" si="2"/>
        <v>0</v>
      </c>
      <c r="O24" s="24">
        <f t="shared" si="3"/>
        <v>0</v>
      </c>
      <c r="P24" s="24">
        <f>Table14[[#This Row],[Enrolment S.Y. 2025-2026 ]]*8</f>
        <v>0</v>
      </c>
      <c r="Q24" s="24"/>
      <c r="R24" s="22"/>
      <c r="S24" s="24"/>
      <c r="T24" s="24">
        <f t="shared" si="4"/>
        <v>0</v>
      </c>
      <c r="U24" s="24">
        <f t="shared" si="5"/>
        <v>0</v>
      </c>
      <c r="V24" s="24">
        <f>Table14[[#This Row],[Enrolment S.Y. 2025-2026 ]]*8</f>
        <v>0</v>
      </c>
      <c r="W24" s="24"/>
      <c r="X24" s="22"/>
      <c r="Y24" s="24"/>
      <c r="Z24" s="24">
        <f t="shared" si="6"/>
        <v>0</v>
      </c>
      <c r="AA24" s="24">
        <f t="shared" si="7"/>
        <v>0</v>
      </c>
    </row>
    <row r="25" spans="1:27" ht="19.5" hidden="1">
      <c r="A25" s="22">
        <v>3</v>
      </c>
      <c r="B25" s="23" t="s">
        <v>11</v>
      </c>
      <c r="C25" s="22"/>
      <c r="D25" s="24">
        <f>Table14[[#This Row],[Enrolment S.Y. 2025-2026 ]]*8</f>
        <v>0</v>
      </c>
      <c r="E25" s="24"/>
      <c r="F25" s="22"/>
      <c r="G25" s="24"/>
      <c r="H25" s="24">
        <f t="shared" si="0"/>
        <v>0</v>
      </c>
      <c r="I25" s="24">
        <f t="shared" si="1"/>
        <v>0</v>
      </c>
      <c r="J25" s="24">
        <f>Table14[[#This Row],[Enrolment S.Y. 2025-2026 ]]*8</f>
        <v>0</v>
      </c>
      <c r="K25" s="24"/>
      <c r="L25" s="22"/>
      <c r="M25" s="24"/>
      <c r="N25" s="24">
        <f t="shared" si="2"/>
        <v>0</v>
      </c>
      <c r="O25" s="24">
        <f t="shared" si="3"/>
        <v>0</v>
      </c>
      <c r="P25" s="24">
        <f>Table14[[#This Row],[Enrolment S.Y. 2025-2026 ]]*8</f>
        <v>0</v>
      </c>
      <c r="Q25" s="24"/>
      <c r="R25" s="22"/>
      <c r="S25" s="24"/>
      <c r="T25" s="24">
        <f t="shared" si="4"/>
        <v>0</v>
      </c>
      <c r="U25" s="24">
        <f t="shared" si="5"/>
        <v>0</v>
      </c>
      <c r="V25" s="24">
        <f>Table14[[#This Row],[Enrolment S.Y. 2025-2026 ]]*8</f>
        <v>0</v>
      </c>
      <c r="W25" s="24"/>
      <c r="X25" s="22"/>
      <c r="Y25" s="24"/>
      <c r="Z25" s="24">
        <f t="shared" si="6"/>
        <v>0</v>
      </c>
      <c r="AA25" s="24">
        <f t="shared" si="7"/>
        <v>0</v>
      </c>
    </row>
    <row r="26" spans="1:27" ht="19.5" hidden="1">
      <c r="A26" s="22">
        <v>3</v>
      </c>
      <c r="B26" s="23" t="s">
        <v>12</v>
      </c>
      <c r="C26" s="22"/>
      <c r="D26" s="24">
        <f>Table14[[#This Row],[Enrolment S.Y. 2025-2026 ]]*8</f>
        <v>0</v>
      </c>
      <c r="E26" s="24"/>
      <c r="F26" s="22"/>
      <c r="G26" s="24"/>
      <c r="H26" s="24">
        <f t="shared" si="0"/>
        <v>0</v>
      </c>
      <c r="I26" s="24">
        <f t="shared" si="1"/>
        <v>0</v>
      </c>
      <c r="J26" s="24">
        <f>Table14[[#This Row],[Enrolment S.Y. 2025-2026 ]]*8</f>
        <v>0</v>
      </c>
      <c r="K26" s="24"/>
      <c r="L26" s="22"/>
      <c r="M26" s="24"/>
      <c r="N26" s="24">
        <f t="shared" si="2"/>
        <v>0</v>
      </c>
      <c r="O26" s="24">
        <f t="shared" si="3"/>
        <v>0</v>
      </c>
      <c r="P26" s="24">
        <f>Table14[[#This Row],[Enrolment S.Y. 2025-2026 ]]*8</f>
        <v>0</v>
      </c>
      <c r="Q26" s="24"/>
      <c r="R26" s="22"/>
      <c r="S26" s="24"/>
      <c r="T26" s="24">
        <f t="shared" si="4"/>
        <v>0</v>
      </c>
      <c r="U26" s="24">
        <f t="shared" si="5"/>
        <v>0</v>
      </c>
      <c r="V26" s="24">
        <f>Table14[[#This Row],[Enrolment S.Y. 2025-2026 ]]*8</f>
        <v>0</v>
      </c>
      <c r="W26" s="24"/>
      <c r="X26" s="22"/>
      <c r="Y26" s="24"/>
      <c r="Z26" s="24">
        <f t="shared" si="6"/>
        <v>0</v>
      </c>
      <c r="AA26" s="24">
        <f t="shared" si="7"/>
        <v>0</v>
      </c>
    </row>
    <row r="27" spans="1:27" ht="19.5" hidden="1">
      <c r="A27" s="22">
        <v>3</v>
      </c>
      <c r="B27" s="25" t="s">
        <v>14</v>
      </c>
      <c r="C27" s="22"/>
      <c r="D27" s="24">
        <f>Table14[[#This Row],[Enrolment S.Y. 2025-2026 ]]*8</f>
        <v>0</v>
      </c>
      <c r="E27" s="24"/>
      <c r="F27" s="22"/>
      <c r="G27" s="24"/>
      <c r="H27" s="24">
        <f t="shared" si="0"/>
        <v>0</v>
      </c>
      <c r="I27" s="24">
        <f t="shared" si="1"/>
        <v>0</v>
      </c>
      <c r="J27" s="24">
        <f>Table14[[#This Row],[Enrolment S.Y. 2025-2026 ]]*8</f>
        <v>0</v>
      </c>
      <c r="K27" s="24"/>
      <c r="L27" s="22"/>
      <c r="M27" s="24"/>
      <c r="N27" s="24">
        <f t="shared" si="2"/>
        <v>0</v>
      </c>
      <c r="O27" s="24">
        <f t="shared" si="3"/>
        <v>0</v>
      </c>
      <c r="P27" s="24">
        <f>Table14[[#This Row],[Enrolment S.Y. 2025-2026 ]]*8</f>
        <v>0</v>
      </c>
      <c r="Q27" s="24"/>
      <c r="R27" s="22"/>
      <c r="S27" s="24"/>
      <c r="T27" s="24">
        <f t="shared" si="4"/>
        <v>0</v>
      </c>
      <c r="U27" s="24">
        <f t="shared" si="5"/>
        <v>0</v>
      </c>
      <c r="V27" s="24">
        <f>Table14[[#This Row],[Enrolment S.Y. 2025-2026 ]]*8</f>
        <v>0</v>
      </c>
      <c r="W27" s="24"/>
      <c r="X27" s="22"/>
      <c r="Y27" s="24"/>
      <c r="Z27" s="24">
        <f t="shared" si="6"/>
        <v>0</v>
      </c>
      <c r="AA27" s="24">
        <f t="shared" si="7"/>
        <v>0</v>
      </c>
    </row>
    <row r="28" spans="1:27" ht="19.5" hidden="1">
      <c r="A28" s="22">
        <v>3</v>
      </c>
      <c r="B28" s="25" t="s">
        <v>15</v>
      </c>
      <c r="C28" s="22"/>
      <c r="D28" s="24">
        <f>Table14[[#This Row],[Enrolment S.Y. 2025-2026 ]]*8</f>
        <v>0</v>
      </c>
      <c r="E28" s="24"/>
      <c r="F28" s="22"/>
      <c r="G28" s="24"/>
      <c r="H28" s="24">
        <f t="shared" si="0"/>
        <v>0</v>
      </c>
      <c r="I28" s="24">
        <f t="shared" si="1"/>
        <v>0</v>
      </c>
      <c r="J28" s="24">
        <f>Table14[[#This Row],[Enrolment S.Y. 2025-2026 ]]*8</f>
        <v>0</v>
      </c>
      <c r="K28" s="24"/>
      <c r="L28" s="22"/>
      <c r="M28" s="24"/>
      <c r="N28" s="24">
        <f t="shared" si="2"/>
        <v>0</v>
      </c>
      <c r="O28" s="24">
        <f t="shared" si="3"/>
        <v>0</v>
      </c>
      <c r="P28" s="24">
        <f>Table14[[#This Row],[Enrolment S.Y. 2025-2026 ]]*8</f>
        <v>0</v>
      </c>
      <c r="Q28" s="24"/>
      <c r="R28" s="22"/>
      <c r="S28" s="24"/>
      <c r="T28" s="24">
        <f t="shared" si="4"/>
        <v>0</v>
      </c>
      <c r="U28" s="24">
        <f t="shared" si="5"/>
        <v>0</v>
      </c>
      <c r="V28" s="24">
        <f>Table14[[#This Row],[Enrolment S.Y. 2025-2026 ]]*8</f>
        <v>0</v>
      </c>
      <c r="W28" s="24"/>
      <c r="X28" s="22"/>
      <c r="Y28" s="24"/>
      <c r="Z28" s="24">
        <f t="shared" si="6"/>
        <v>0</v>
      </c>
      <c r="AA28" s="24">
        <f t="shared" si="7"/>
        <v>0</v>
      </c>
    </row>
    <row r="29" spans="1:27" ht="19.5" hidden="1">
      <c r="A29" s="22">
        <v>3</v>
      </c>
      <c r="B29" s="25" t="s">
        <v>86</v>
      </c>
      <c r="C29" s="22"/>
      <c r="D29" s="24">
        <f>Table14[[#This Row],[Enrolment S.Y. 2025-2026 ]]*8</f>
        <v>0</v>
      </c>
      <c r="E29" s="24"/>
      <c r="F29" s="22"/>
      <c r="G29" s="24"/>
      <c r="H29" s="24">
        <f t="shared" si="0"/>
        <v>0</v>
      </c>
      <c r="I29" s="24">
        <f t="shared" si="1"/>
        <v>0</v>
      </c>
      <c r="J29" s="24">
        <f>Table14[[#This Row],[Enrolment S.Y. 2025-2026 ]]*8</f>
        <v>0</v>
      </c>
      <c r="K29" s="24"/>
      <c r="L29" s="22"/>
      <c r="M29" s="24"/>
      <c r="N29" s="24">
        <f t="shared" si="2"/>
        <v>0</v>
      </c>
      <c r="O29" s="24">
        <f t="shared" si="3"/>
        <v>0</v>
      </c>
      <c r="P29" s="24">
        <f>Table14[[#This Row],[Enrolment S.Y. 2025-2026 ]]*8</f>
        <v>0</v>
      </c>
      <c r="Q29" s="24"/>
      <c r="R29" s="22"/>
      <c r="S29" s="24"/>
      <c r="T29" s="24">
        <f t="shared" si="4"/>
        <v>0</v>
      </c>
      <c r="U29" s="24">
        <f t="shared" si="5"/>
        <v>0</v>
      </c>
      <c r="V29" s="24">
        <f>Table14[[#This Row],[Enrolment S.Y. 2025-2026 ]]*8</f>
        <v>0</v>
      </c>
      <c r="W29" s="24"/>
      <c r="X29" s="22"/>
      <c r="Y29" s="24"/>
      <c r="Z29" s="24">
        <f t="shared" si="6"/>
        <v>0</v>
      </c>
      <c r="AA29" s="24">
        <f t="shared" si="7"/>
        <v>0</v>
      </c>
    </row>
    <row r="30" spans="1:27" s="2" customFormat="1" hidden="1"/>
    <row r="31" spans="1:27" ht="19.5" hidden="1">
      <c r="A31" s="22">
        <v>4</v>
      </c>
      <c r="B31" s="25" t="s">
        <v>14</v>
      </c>
      <c r="C31" s="22"/>
      <c r="D31" s="24">
        <f>Table14[[#This Row],[Enrolment S.Y. 2025-2026 ]]*8</f>
        <v>0</v>
      </c>
      <c r="E31" s="24"/>
      <c r="F31" s="22"/>
      <c r="G31" s="24"/>
      <c r="H31" s="24">
        <f t="shared" si="0"/>
        <v>0</v>
      </c>
      <c r="I31" s="24">
        <f t="shared" si="1"/>
        <v>0</v>
      </c>
      <c r="J31" s="24">
        <f>Table14[[#This Row],[Enrolment S.Y. 2025-2026 ]]*8</f>
        <v>0</v>
      </c>
      <c r="K31" s="24"/>
      <c r="L31" s="22"/>
      <c r="M31" s="24"/>
      <c r="N31" s="24">
        <f t="shared" si="2"/>
        <v>0</v>
      </c>
      <c r="O31" s="24">
        <f t="shared" si="3"/>
        <v>0</v>
      </c>
      <c r="P31" s="24">
        <f>Table14[[#This Row],[Enrolment S.Y. 2025-2026 ]]*8</f>
        <v>0</v>
      </c>
      <c r="Q31" s="24"/>
      <c r="R31" s="22"/>
      <c r="S31" s="24"/>
      <c r="T31" s="24">
        <f t="shared" si="4"/>
        <v>0</v>
      </c>
      <c r="U31" s="24">
        <f t="shared" si="5"/>
        <v>0</v>
      </c>
      <c r="V31" s="24">
        <f>Table14[[#This Row],[Enrolment S.Y. 2025-2026 ]]*8</f>
        <v>0</v>
      </c>
      <c r="W31" s="24"/>
      <c r="X31" s="22"/>
      <c r="Y31" s="24"/>
      <c r="Z31" s="24">
        <f t="shared" si="6"/>
        <v>0</v>
      </c>
      <c r="AA31" s="24">
        <f t="shared" si="7"/>
        <v>0</v>
      </c>
    </row>
    <row r="32" spans="1:27" ht="19.5" hidden="1">
      <c r="A32" s="22">
        <v>4</v>
      </c>
      <c r="B32" s="25" t="s">
        <v>15</v>
      </c>
      <c r="C32" s="22"/>
      <c r="D32" s="24">
        <f>Table14[[#This Row],[Enrolment S.Y. 2025-2026 ]]*8</f>
        <v>0</v>
      </c>
      <c r="E32" s="24"/>
      <c r="F32" s="22"/>
      <c r="G32" s="24"/>
      <c r="H32" s="24">
        <f t="shared" si="0"/>
        <v>0</v>
      </c>
      <c r="I32" s="24">
        <f t="shared" si="1"/>
        <v>0</v>
      </c>
      <c r="J32" s="24">
        <f>Table14[[#This Row],[Enrolment S.Y. 2025-2026 ]]*8</f>
        <v>0</v>
      </c>
      <c r="K32" s="24"/>
      <c r="L32" s="22"/>
      <c r="M32" s="24"/>
      <c r="N32" s="24">
        <f t="shared" si="2"/>
        <v>0</v>
      </c>
      <c r="O32" s="24">
        <f t="shared" si="3"/>
        <v>0</v>
      </c>
      <c r="P32" s="24">
        <f>Table14[[#This Row],[Enrolment S.Y. 2025-2026 ]]*8</f>
        <v>0</v>
      </c>
      <c r="Q32" s="24"/>
      <c r="R32" s="22"/>
      <c r="S32" s="24"/>
      <c r="T32" s="24">
        <f t="shared" si="4"/>
        <v>0</v>
      </c>
      <c r="U32" s="24">
        <f t="shared" si="5"/>
        <v>0</v>
      </c>
      <c r="V32" s="24">
        <f>Table14[[#This Row],[Enrolment S.Y. 2025-2026 ]]*8</f>
        <v>0</v>
      </c>
      <c r="W32" s="24"/>
      <c r="X32" s="22"/>
      <c r="Y32" s="24"/>
      <c r="Z32" s="24">
        <f t="shared" si="6"/>
        <v>0</v>
      </c>
      <c r="AA32" s="24">
        <f t="shared" si="7"/>
        <v>0</v>
      </c>
    </row>
    <row r="33" spans="1:27" ht="19.5" hidden="1">
      <c r="A33" s="22">
        <v>4</v>
      </c>
      <c r="B33" s="25" t="s">
        <v>12</v>
      </c>
      <c r="C33" s="22"/>
      <c r="D33" s="24">
        <f>Table14[[#This Row],[Enrolment S.Y. 2025-2026 ]]*8</f>
        <v>0</v>
      </c>
      <c r="E33" s="24"/>
      <c r="F33" s="22"/>
      <c r="G33" s="24"/>
      <c r="H33" s="24">
        <f t="shared" si="0"/>
        <v>0</v>
      </c>
      <c r="I33" s="24">
        <f t="shared" si="1"/>
        <v>0</v>
      </c>
      <c r="J33" s="24">
        <f>Table14[[#This Row],[Enrolment S.Y. 2025-2026 ]]*8</f>
        <v>0</v>
      </c>
      <c r="K33" s="24"/>
      <c r="L33" s="22"/>
      <c r="M33" s="24"/>
      <c r="N33" s="24">
        <f t="shared" si="2"/>
        <v>0</v>
      </c>
      <c r="O33" s="24">
        <f t="shared" si="3"/>
        <v>0</v>
      </c>
      <c r="P33" s="24">
        <f>Table14[[#This Row],[Enrolment S.Y. 2025-2026 ]]*8</f>
        <v>0</v>
      </c>
      <c r="Q33" s="24"/>
      <c r="R33" s="22"/>
      <c r="S33" s="24"/>
      <c r="T33" s="24">
        <f t="shared" si="4"/>
        <v>0</v>
      </c>
      <c r="U33" s="24">
        <f t="shared" si="5"/>
        <v>0</v>
      </c>
      <c r="V33" s="24">
        <f>Table14[[#This Row],[Enrolment S.Y. 2025-2026 ]]*8</f>
        <v>0</v>
      </c>
      <c r="W33" s="24"/>
      <c r="X33" s="22"/>
      <c r="Y33" s="24"/>
      <c r="Z33" s="24">
        <f t="shared" si="6"/>
        <v>0</v>
      </c>
      <c r="AA33" s="24">
        <f t="shared" si="7"/>
        <v>0</v>
      </c>
    </row>
    <row r="34" spans="1:27" ht="19.5" hidden="1">
      <c r="A34" s="22">
        <v>4</v>
      </c>
      <c r="B34" s="25" t="s">
        <v>10</v>
      </c>
      <c r="C34" s="22"/>
      <c r="D34" s="24">
        <f>Table14[[#This Row],[Enrolment S.Y. 2025-2026 ]]*8</f>
        <v>0</v>
      </c>
      <c r="E34" s="24"/>
      <c r="F34" s="22"/>
      <c r="G34" s="24"/>
      <c r="H34" s="24">
        <f t="shared" si="0"/>
        <v>0</v>
      </c>
      <c r="I34" s="24">
        <f t="shared" si="1"/>
        <v>0</v>
      </c>
      <c r="J34" s="24">
        <f>Table14[[#This Row],[Enrolment S.Y. 2025-2026 ]]*8</f>
        <v>0</v>
      </c>
      <c r="K34" s="24"/>
      <c r="L34" s="22"/>
      <c r="M34" s="24"/>
      <c r="N34" s="24">
        <f t="shared" si="2"/>
        <v>0</v>
      </c>
      <c r="O34" s="24">
        <f t="shared" si="3"/>
        <v>0</v>
      </c>
      <c r="P34" s="24">
        <f>Table14[[#This Row],[Enrolment S.Y. 2025-2026 ]]*8</f>
        <v>0</v>
      </c>
      <c r="Q34" s="24"/>
      <c r="R34" s="22"/>
      <c r="S34" s="24"/>
      <c r="T34" s="24">
        <f t="shared" si="4"/>
        <v>0</v>
      </c>
      <c r="U34" s="24">
        <f t="shared" si="5"/>
        <v>0</v>
      </c>
      <c r="V34" s="24">
        <f>Table14[[#This Row],[Enrolment S.Y. 2025-2026 ]]*8</f>
        <v>0</v>
      </c>
      <c r="W34" s="24"/>
      <c r="X34" s="22"/>
      <c r="Y34" s="24"/>
      <c r="Z34" s="24">
        <f t="shared" si="6"/>
        <v>0</v>
      </c>
      <c r="AA34" s="24">
        <f t="shared" si="7"/>
        <v>0</v>
      </c>
    </row>
    <row r="35" spans="1:27" ht="19.5" hidden="1">
      <c r="A35" s="22">
        <v>4</v>
      </c>
      <c r="B35" s="25" t="s">
        <v>16</v>
      </c>
      <c r="C35" s="22"/>
      <c r="D35" s="24">
        <f>Table14[[#This Row],[Enrolment S.Y. 2025-2026 ]]*8</f>
        <v>0</v>
      </c>
      <c r="E35" s="24"/>
      <c r="F35" s="22"/>
      <c r="G35" s="24"/>
      <c r="H35" s="24">
        <f t="shared" si="0"/>
        <v>0</v>
      </c>
      <c r="I35" s="24">
        <f t="shared" si="1"/>
        <v>0</v>
      </c>
      <c r="J35" s="24">
        <f>Table14[[#This Row],[Enrolment S.Y. 2025-2026 ]]*8</f>
        <v>0</v>
      </c>
      <c r="K35" s="24"/>
      <c r="L35" s="22"/>
      <c r="M35" s="24"/>
      <c r="N35" s="24">
        <f t="shared" si="2"/>
        <v>0</v>
      </c>
      <c r="O35" s="24">
        <f t="shared" si="3"/>
        <v>0</v>
      </c>
      <c r="P35" s="24">
        <f>Table14[[#This Row],[Enrolment S.Y. 2025-2026 ]]*8</f>
        <v>0</v>
      </c>
      <c r="Q35" s="24"/>
      <c r="R35" s="22"/>
      <c r="S35" s="24"/>
      <c r="T35" s="24">
        <f t="shared" si="4"/>
        <v>0</v>
      </c>
      <c r="U35" s="24">
        <f t="shared" si="5"/>
        <v>0</v>
      </c>
      <c r="V35" s="24">
        <f>Table14[[#This Row],[Enrolment S.Y. 2025-2026 ]]*8</f>
        <v>0</v>
      </c>
      <c r="W35" s="24"/>
      <c r="X35" s="22"/>
      <c r="Y35" s="24"/>
      <c r="Z35" s="24">
        <f t="shared" si="6"/>
        <v>0</v>
      </c>
      <c r="AA35" s="24">
        <f t="shared" si="7"/>
        <v>0</v>
      </c>
    </row>
    <row r="36" spans="1:27" ht="19.5" hidden="1">
      <c r="A36" s="22">
        <v>4</v>
      </c>
      <c r="B36" s="25" t="s">
        <v>13</v>
      </c>
      <c r="C36" s="22"/>
      <c r="D36" s="24">
        <f>Table14[[#This Row],[Enrolment S.Y. 2025-2026 ]]*8</f>
        <v>0</v>
      </c>
      <c r="E36" s="24"/>
      <c r="F36" s="22"/>
      <c r="G36" s="24"/>
      <c r="H36" s="24">
        <f t="shared" si="0"/>
        <v>0</v>
      </c>
      <c r="I36" s="24">
        <f t="shared" si="1"/>
        <v>0</v>
      </c>
      <c r="J36" s="24">
        <f>Table14[[#This Row],[Enrolment S.Y. 2025-2026 ]]*8</f>
        <v>0</v>
      </c>
      <c r="K36" s="24"/>
      <c r="L36" s="22"/>
      <c r="M36" s="24"/>
      <c r="N36" s="24">
        <f t="shared" ref="N36:N41" si="8">IF((J36-K36)&lt;0,0,(J36-K36))</f>
        <v>0</v>
      </c>
      <c r="O36" s="24">
        <f t="shared" ref="O36:O41" si="9">IF((K36-J36)&lt;0,0,(K36-J36))</f>
        <v>0</v>
      </c>
      <c r="P36" s="24">
        <f>Table14[[#This Row],[Enrolment S.Y. 2025-2026 ]]*8</f>
        <v>0</v>
      </c>
      <c r="Q36" s="24"/>
      <c r="R36" s="22"/>
      <c r="S36" s="24"/>
      <c r="T36" s="24">
        <f t="shared" si="4"/>
        <v>0</v>
      </c>
      <c r="U36" s="24">
        <f t="shared" si="5"/>
        <v>0</v>
      </c>
      <c r="V36" s="24">
        <f>Table14[[#This Row],[Enrolment S.Y. 2025-2026 ]]*8</f>
        <v>0</v>
      </c>
      <c r="W36" s="24"/>
      <c r="X36" s="22"/>
      <c r="Y36" s="24"/>
      <c r="Z36" s="24">
        <f t="shared" si="6"/>
        <v>0</v>
      </c>
      <c r="AA36" s="24">
        <f t="shared" si="7"/>
        <v>0</v>
      </c>
    </row>
    <row r="37" spans="1:27" ht="19.5" hidden="1">
      <c r="A37" s="33">
        <v>4</v>
      </c>
      <c r="B37" s="25" t="s">
        <v>87</v>
      </c>
      <c r="C37" s="24"/>
      <c r="D37" s="24">
        <f>Table14[[#This Row],[Enrolment S.Y. 2025-2026 ]]*8</f>
        <v>0</v>
      </c>
      <c r="E37" s="24"/>
      <c r="F37" s="22"/>
      <c r="G37" s="24"/>
      <c r="H37" s="24">
        <f t="shared" si="0"/>
        <v>0</v>
      </c>
      <c r="I37" s="24">
        <f t="shared" si="1"/>
        <v>0</v>
      </c>
      <c r="J37" s="24">
        <f>Table14[[#This Row],[Enrolment S.Y. 2025-2026 ]]*8</f>
        <v>0</v>
      </c>
      <c r="K37" s="24"/>
      <c r="L37" s="22"/>
      <c r="M37" s="24"/>
      <c r="N37" s="24">
        <f t="shared" si="8"/>
        <v>0</v>
      </c>
      <c r="O37" s="24">
        <f t="shared" si="9"/>
        <v>0</v>
      </c>
      <c r="P37" s="24">
        <f>Table14[[#This Row],[Enrolment S.Y. 2025-2026 ]]*8</f>
        <v>0</v>
      </c>
      <c r="Q37" s="24"/>
      <c r="R37" s="22"/>
      <c r="S37" s="24"/>
      <c r="T37" s="24">
        <f t="shared" si="4"/>
        <v>0</v>
      </c>
      <c r="U37" s="24">
        <f t="shared" si="5"/>
        <v>0</v>
      </c>
      <c r="V37" s="24">
        <f>Table14[[#This Row],[Enrolment S.Y. 2025-2026 ]]*8</f>
        <v>0</v>
      </c>
      <c r="W37" s="24"/>
      <c r="X37" s="22"/>
      <c r="Y37" s="24"/>
      <c r="Z37" s="24">
        <f t="shared" si="6"/>
        <v>0</v>
      </c>
      <c r="AA37" s="24">
        <f t="shared" si="7"/>
        <v>0</v>
      </c>
    </row>
    <row r="38" spans="1:27" ht="19.5" hidden="1">
      <c r="A38" s="22">
        <v>4</v>
      </c>
      <c r="B38" s="25" t="s">
        <v>88</v>
      </c>
      <c r="C38" s="22"/>
      <c r="D38" s="24">
        <f>Table14[[#This Row],[Enrolment S.Y. 2025-2026 ]]*8</f>
        <v>0</v>
      </c>
      <c r="E38" s="24"/>
      <c r="F38" s="22"/>
      <c r="G38" s="24"/>
      <c r="H38" s="24">
        <f t="shared" si="0"/>
        <v>0</v>
      </c>
      <c r="I38" s="24">
        <f t="shared" si="1"/>
        <v>0</v>
      </c>
      <c r="J38" s="24">
        <f>Table14[[#This Row],[Enrolment S.Y. 2025-2026 ]]*8</f>
        <v>0</v>
      </c>
      <c r="K38" s="24"/>
      <c r="L38" s="22"/>
      <c r="M38" s="24"/>
      <c r="N38" s="24">
        <f t="shared" si="8"/>
        <v>0</v>
      </c>
      <c r="O38" s="24">
        <f t="shared" si="9"/>
        <v>0</v>
      </c>
      <c r="P38" s="24">
        <f>Table14[[#This Row],[Enrolment S.Y. 2025-2026 ]]*8</f>
        <v>0</v>
      </c>
      <c r="Q38" s="24"/>
      <c r="R38" s="22"/>
      <c r="S38" s="24"/>
      <c r="T38" s="24">
        <f t="shared" si="4"/>
        <v>0</v>
      </c>
      <c r="U38" s="24">
        <f t="shared" si="5"/>
        <v>0</v>
      </c>
      <c r="V38" s="24">
        <f>Table14[[#This Row],[Enrolment S.Y. 2025-2026 ]]*8</f>
        <v>0</v>
      </c>
      <c r="W38" s="24"/>
      <c r="X38" s="22"/>
      <c r="Y38" s="24"/>
      <c r="Z38" s="24">
        <f t="shared" si="6"/>
        <v>0</v>
      </c>
      <c r="AA38" s="24">
        <f t="shared" si="7"/>
        <v>0</v>
      </c>
    </row>
    <row r="39" spans="1:27" ht="19.5" hidden="1">
      <c r="A39" s="22">
        <v>4</v>
      </c>
      <c r="B39" s="25" t="s">
        <v>18</v>
      </c>
      <c r="C39" s="22"/>
      <c r="D39" s="24">
        <f>Table14[[#This Row],[Enrolment S.Y. 2025-2026 ]]*8</f>
        <v>0</v>
      </c>
      <c r="E39" s="24"/>
      <c r="F39" s="22"/>
      <c r="G39" s="24"/>
      <c r="H39" s="24">
        <f t="shared" si="0"/>
        <v>0</v>
      </c>
      <c r="I39" s="24">
        <f t="shared" si="1"/>
        <v>0</v>
      </c>
      <c r="J39" s="24">
        <f>Table14[[#This Row],[Enrolment S.Y. 2025-2026 ]]*8</f>
        <v>0</v>
      </c>
      <c r="K39" s="24"/>
      <c r="L39" s="22"/>
      <c r="M39" s="24"/>
      <c r="N39" s="24">
        <f t="shared" si="8"/>
        <v>0</v>
      </c>
      <c r="O39" s="24">
        <f t="shared" si="9"/>
        <v>0</v>
      </c>
      <c r="P39" s="24">
        <f>Table14[[#This Row],[Enrolment S.Y. 2025-2026 ]]*8</f>
        <v>0</v>
      </c>
      <c r="Q39" s="24"/>
      <c r="R39" s="22"/>
      <c r="S39" s="24"/>
      <c r="T39" s="24">
        <f t="shared" si="4"/>
        <v>0</v>
      </c>
      <c r="U39" s="24">
        <f t="shared" si="5"/>
        <v>0</v>
      </c>
      <c r="V39" s="24">
        <f>Table14[[#This Row],[Enrolment S.Y. 2025-2026 ]]*8</f>
        <v>0</v>
      </c>
      <c r="W39" s="24"/>
      <c r="X39" s="22"/>
      <c r="Y39" s="24"/>
      <c r="Z39" s="24">
        <f t="shared" si="6"/>
        <v>0</v>
      </c>
      <c r="AA39" s="24">
        <f t="shared" si="7"/>
        <v>0</v>
      </c>
    </row>
    <row r="40" spans="1:27" ht="19.5" hidden="1">
      <c r="A40" s="33">
        <v>4</v>
      </c>
      <c r="B40" s="25" t="s">
        <v>89</v>
      </c>
      <c r="C40" s="24"/>
      <c r="D40" s="24">
        <f>Table14[[#This Row],[Enrolment S.Y. 2025-2026 ]]*8</f>
        <v>0</v>
      </c>
      <c r="E40" s="24"/>
      <c r="F40" s="22"/>
      <c r="G40" s="24"/>
      <c r="H40" s="24">
        <f t="shared" si="0"/>
        <v>0</v>
      </c>
      <c r="I40" s="24">
        <f t="shared" si="1"/>
        <v>0</v>
      </c>
      <c r="J40" s="24">
        <f>Table14[[#This Row],[Enrolment S.Y. 2025-2026 ]]*8</f>
        <v>0</v>
      </c>
      <c r="K40" s="24"/>
      <c r="L40" s="22"/>
      <c r="M40" s="24"/>
      <c r="N40" s="24">
        <f t="shared" si="8"/>
        <v>0</v>
      </c>
      <c r="O40" s="24">
        <f t="shared" si="9"/>
        <v>0</v>
      </c>
      <c r="P40" s="24">
        <f>Table14[[#This Row],[Enrolment S.Y. 2025-2026 ]]*8</f>
        <v>0</v>
      </c>
      <c r="Q40" s="24"/>
      <c r="R40" s="22"/>
      <c r="S40" s="24"/>
      <c r="T40" s="24">
        <f t="shared" si="4"/>
        <v>0</v>
      </c>
      <c r="U40" s="24">
        <f t="shared" si="5"/>
        <v>0</v>
      </c>
      <c r="V40" s="24">
        <f>Table14[[#This Row],[Enrolment S.Y. 2025-2026 ]]*8</f>
        <v>0</v>
      </c>
      <c r="W40" s="24"/>
      <c r="X40" s="22"/>
      <c r="Y40" s="24"/>
      <c r="Z40" s="24">
        <f t="shared" si="6"/>
        <v>0</v>
      </c>
      <c r="AA40" s="24">
        <f t="shared" si="7"/>
        <v>0</v>
      </c>
    </row>
    <row r="41" spans="1:27" ht="19.5" hidden="1">
      <c r="A41" s="22">
        <v>4</v>
      </c>
      <c r="B41" s="25" t="s">
        <v>90</v>
      </c>
      <c r="C41" s="22"/>
      <c r="D41" s="24">
        <f>Table14[[#This Row],[Enrolment S.Y. 2025-2026 ]]*8</f>
        <v>0</v>
      </c>
      <c r="E41" s="24"/>
      <c r="F41" s="22"/>
      <c r="G41" s="24"/>
      <c r="H41" s="24">
        <f t="shared" si="0"/>
        <v>0</v>
      </c>
      <c r="I41" s="24">
        <f t="shared" si="1"/>
        <v>0</v>
      </c>
      <c r="J41" s="24">
        <f>Table14[[#This Row],[Enrolment S.Y. 2025-2026 ]]*8</f>
        <v>0</v>
      </c>
      <c r="K41" s="24"/>
      <c r="L41" s="22"/>
      <c r="M41" s="24"/>
      <c r="N41" s="24">
        <f t="shared" si="8"/>
        <v>0</v>
      </c>
      <c r="O41" s="24">
        <f t="shared" si="9"/>
        <v>0</v>
      </c>
      <c r="P41" s="24">
        <f>Table14[[#This Row],[Enrolment S.Y. 2025-2026 ]]*8</f>
        <v>0</v>
      </c>
      <c r="Q41" s="24"/>
      <c r="R41" s="22"/>
      <c r="S41" s="24"/>
      <c r="T41" s="24">
        <f t="shared" si="4"/>
        <v>0</v>
      </c>
      <c r="U41" s="24">
        <f t="shared" si="5"/>
        <v>0</v>
      </c>
      <c r="V41" s="24">
        <f>Table14[[#This Row],[Enrolment S.Y. 2025-2026 ]]*8</f>
        <v>0</v>
      </c>
      <c r="W41" s="24"/>
      <c r="X41" s="22"/>
      <c r="Y41" s="24"/>
      <c r="Z41" s="24">
        <f t="shared" si="6"/>
        <v>0</v>
      </c>
      <c r="AA41" s="24">
        <f t="shared" si="7"/>
        <v>0</v>
      </c>
    </row>
    <row r="42" spans="1:27" s="2" customFormat="1" hidden="1"/>
    <row r="43" spans="1:27" ht="19.5" hidden="1">
      <c r="A43" s="22">
        <v>5</v>
      </c>
      <c r="B43" s="25" t="s">
        <v>14</v>
      </c>
      <c r="C43" s="22"/>
      <c r="D43" s="24">
        <f>Table14[[#This Row],[Enrolment S.Y. 2025-2026 ]]*8</f>
        <v>0</v>
      </c>
      <c r="E43" s="24"/>
      <c r="F43" s="22"/>
      <c r="G43" s="24"/>
      <c r="H43" s="24">
        <f t="shared" si="0"/>
        <v>0</v>
      </c>
      <c r="I43" s="24">
        <f t="shared" si="1"/>
        <v>0</v>
      </c>
      <c r="J43" s="24">
        <f>Table14[[#This Row],[Enrolment S.Y. 2025-2026 ]]*8</f>
        <v>0</v>
      </c>
      <c r="K43" s="24"/>
      <c r="L43" s="22"/>
      <c r="M43" s="24"/>
      <c r="N43" s="24">
        <f t="shared" si="2"/>
        <v>0</v>
      </c>
      <c r="O43" s="24">
        <f t="shared" si="3"/>
        <v>0</v>
      </c>
      <c r="P43" s="24">
        <f>Table14[[#This Row],[Enrolment S.Y. 2025-2026 ]]*8</f>
        <v>0</v>
      </c>
      <c r="Q43" s="24"/>
      <c r="R43" s="22"/>
      <c r="S43" s="24"/>
      <c r="T43" s="24">
        <f t="shared" si="4"/>
        <v>0</v>
      </c>
      <c r="U43" s="24">
        <f t="shared" si="5"/>
        <v>0</v>
      </c>
      <c r="V43" s="24">
        <f>Table14[[#This Row],[Enrolment S.Y. 2025-2026 ]]*8</f>
        <v>0</v>
      </c>
      <c r="W43" s="24"/>
      <c r="X43" s="22"/>
      <c r="Y43" s="24"/>
      <c r="Z43" s="24">
        <f t="shared" si="6"/>
        <v>0</v>
      </c>
      <c r="AA43" s="24">
        <f t="shared" si="7"/>
        <v>0</v>
      </c>
    </row>
    <row r="44" spans="1:27" ht="19.5" hidden="1">
      <c r="A44" s="22">
        <v>5</v>
      </c>
      <c r="B44" s="25" t="s">
        <v>15</v>
      </c>
      <c r="C44" s="22"/>
      <c r="D44" s="24">
        <f>Table14[[#This Row],[Enrolment S.Y. 2025-2026 ]]*8</f>
        <v>0</v>
      </c>
      <c r="E44" s="24"/>
      <c r="F44" s="22"/>
      <c r="G44" s="24"/>
      <c r="H44" s="24">
        <f t="shared" si="0"/>
        <v>0</v>
      </c>
      <c r="I44" s="24">
        <f t="shared" si="1"/>
        <v>0</v>
      </c>
      <c r="J44" s="24">
        <f>Table14[[#This Row],[Enrolment S.Y. 2025-2026 ]]*8</f>
        <v>0</v>
      </c>
      <c r="K44" s="24"/>
      <c r="L44" s="22"/>
      <c r="M44" s="24"/>
      <c r="N44" s="24">
        <f t="shared" si="2"/>
        <v>0</v>
      </c>
      <c r="O44" s="24">
        <f t="shared" si="3"/>
        <v>0</v>
      </c>
      <c r="P44" s="24">
        <f>Table14[[#This Row],[Enrolment S.Y. 2025-2026 ]]*8</f>
        <v>0</v>
      </c>
      <c r="Q44" s="24"/>
      <c r="R44" s="22"/>
      <c r="S44" s="24"/>
      <c r="T44" s="24">
        <f t="shared" si="4"/>
        <v>0</v>
      </c>
      <c r="U44" s="24">
        <f t="shared" si="5"/>
        <v>0</v>
      </c>
      <c r="V44" s="24">
        <f>Table14[[#This Row],[Enrolment S.Y. 2025-2026 ]]*8</f>
        <v>0</v>
      </c>
      <c r="W44" s="24"/>
      <c r="X44" s="22"/>
      <c r="Y44" s="24"/>
      <c r="Z44" s="24">
        <f t="shared" si="6"/>
        <v>0</v>
      </c>
      <c r="AA44" s="24">
        <f t="shared" si="7"/>
        <v>0</v>
      </c>
    </row>
    <row r="45" spans="1:27" ht="19.5" hidden="1">
      <c r="A45" s="22">
        <v>5</v>
      </c>
      <c r="B45" s="25" t="s">
        <v>12</v>
      </c>
      <c r="C45" s="22"/>
      <c r="D45" s="24">
        <f>Table14[[#This Row],[Enrolment S.Y. 2025-2026 ]]*8</f>
        <v>0</v>
      </c>
      <c r="E45" s="24"/>
      <c r="F45" s="22"/>
      <c r="G45" s="24"/>
      <c r="H45" s="24">
        <f t="shared" si="0"/>
        <v>0</v>
      </c>
      <c r="I45" s="24">
        <f t="shared" si="1"/>
        <v>0</v>
      </c>
      <c r="J45" s="24">
        <f>Table14[[#This Row],[Enrolment S.Y. 2025-2026 ]]*8</f>
        <v>0</v>
      </c>
      <c r="K45" s="24"/>
      <c r="L45" s="22"/>
      <c r="M45" s="24"/>
      <c r="N45" s="24">
        <f t="shared" si="2"/>
        <v>0</v>
      </c>
      <c r="O45" s="24">
        <f t="shared" si="3"/>
        <v>0</v>
      </c>
      <c r="P45" s="24">
        <f>Table14[[#This Row],[Enrolment S.Y. 2025-2026 ]]*8</f>
        <v>0</v>
      </c>
      <c r="Q45" s="24"/>
      <c r="R45" s="22"/>
      <c r="S45" s="24"/>
      <c r="T45" s="24">
        <f t="shared" si="4"/>
        <v>0</v>
      </c>
      <c r="U45" s="24">
        <f t="shared" si="5"/>
        <v>0</v>
      </c>
      <c r="V45" s="24">
        <f>Table14[[#This Row],[Enrolment S.Y. 2025-2026 ]]*8</f>
        <v>0</v>
      </c>
      <c r="W45" s="24"/>
      <c r="X45" s="22"/>
      <c r="Y45" s="24"/>
      <c r="Z45" s="24">
        <f t="shared" si="6"/>
        <v>0</v>
      </c>
      <c r="AA45" s="24">
        <f t="shared" si="7"/>
        <v>0</v>
      </c>
    </row>
    <row r="46" spans="1:27" ht="19.5" hidden="1">
      <c r="A46" s="22">
        <v>5</v>
      </c>
      <c r="B46" s="25" t="s">
        <v>10</v>
      </c>
      <c r="C46" s="22"/>
      <c r="D46" s="24">
        <f>Table14[[#This Row],[Enrolment S.Y. 2025-2026 ]]*8</f>
        <v>0</v>
      </c>
      <c r="E46" s="24"/>
      <c r="F46" s="22"/>
      <c r="G46" s="24"/>
      <c r="H46" s="24">
        <f t="shared" si="0"/>
        <v>0</v>
      </c>
      <c r="I46" s="24">
        <f t="shared" si="1"/>
        <v>0</v>
      </c>
      <c r="J46" s="24">
        <f>Table14[[#This Row],[Enrolment S.Y. 2025-2026 ]]*8</f>
        <v>0</v>
      </c>
      <c r="K46" s="24"/>
      <c r="L46" s="22"/>
      <c r="M46" s="24"/>
      <c r="N46" s="24">
        <f t="shared" si="2"/>
        <v>0</v>
      </c>
      <c r="O46" s="24">
        <f t="shared" si="3"/>
        <v>0</v>
      </c>
      <c r="P46" s="24">
        <f>Table14[[#This Row],[Enrolment S.Y. 2025-2026 ]]*8</f>
        <v>0</v>
      </c>
      <c r="Q46" s="24"/>
      <c r="R46" s="22"/>
      <c r="S46" s="24"/>
      <c r="T46" s="24">
        <f t="shared" si="4"/>
        <v>0</v>
      </c>
      <c r="U46" s="24">
        <f t="shared" si="5"/>
        <v>0</v>
      </c>
      <c r="V46" s="24">
        <f>Table14[[#This Row],[Enrolment S.Y. 2025-2026 ]]*8</f>
        <v>0</v>
      </c>
      <c r="W46" s="24"/>
      <c r="X46" s="22"/>
      <c r="Y46" s="24"/>
      <c r="Z46" s="24">
        <f t="shared" si="6"/>
        <v>0</v>
      </c>
      <c r="AA46" s="24">
        <f t="shared" si="7"/>
        <v>0</v>
      </c>
    </row>
    <row r="47" spans="1:27" ht="19.5" hidden="1">
      <c r="A47" s="22">
        <v>5</v>
      </c>
      <c r="B47" s="25" t="s">
        <v>16</v>
      </c>
      <c r="C47" s="22"/>
      <c r="D47" s="24">
        <f>Table14[[#This Row],[Enrolment S.Y. 2025-2026 ]]*8</f>
        <v>0</v>
      </c>
      <c r="E47" s="24"/>
      <c r="F47" s="22"/>
      <c r="G47" s="24"/>
      <c r="H47" s="24">
        <f t="shared" si="0"/>
        <v>0</v>
      </c>
      <c r="I47" s="24">
        <f t="shared" si="1"/>
        <v>0</v>
      </c>
      <c r="J47" s="24">
        <f>Table14[[#This Row],[Enrolment S.Y. 2025-2026 ]]*8</f>
        <v>0</v>
      </c>
      <c r="K47" s="24"/>
      <c r="L47" s="22"/>
      <c r="M47" s="24"/>
      <c r="N47" s="24">
        <f t="shared" si="2"/>
        <v>0</v>
      </c>
      <c r="O47" s="24">
        <f t="shared" si="3"/>
        <v>0</v>
      </c>
      <c r="P47" s="24">
        <f>Table14[[#This Row],[Enrolment S.Y. 2025-2026 ]]*8</f>
        <v>0</v>
      </c>
      <c r="Q47" s="24"/>
      <c r="R47" s="22"/>
      <c r="S47" s="24"/>
      <c r="T47" s="24">
        <f t="shared" si="4"/>
        <v>0</v>
      </c>
      <c r="U47" s="24">
        <f t="shared" si="5"/>
        <v>0</v>
      </c>
      <c r="V47" s="24">
        <f>Table14[[#This Row],[Enrolment S.Y. 2025-2026 ]]*8</f>
        <v>0</v>
      </c>
      <c r="W47" s="24"/>
      <c r="X47" s="22"/>
      <c r="Y47" s="24"/>
      <c r="Z47" s="24">
        <f t="shared" si="6"/>
        <v>0</v>
      </c>
      <c r="AA47" s="24">
        <f t="shared" si="7"/>
        <v>0</v>
      </c>
    </row>
    <row r="48" spans="1:27" ht="19.5" hidden="1">
      <c r="A48" s="22">
        <v>5</v>
      </c>
      <c r="B48" s="25" t="s">
        <v>13</v>
      </c>
      <c r="C48" s="22"/>
      <c r="D48" s="24">
        <f>Table14[[#This Row],[Enrolment S.Y. 2025-2026 ]]*8</f>
        <v>0</v>
      </c>
      <c r="E48" s="24"/>
      <c r="F48" s="22"/>
      <c r="G48" s="24"/>
      <c r="H48" s="24">
        <f t="shared" si="0"/>
        <v>0</v>
      </c>
      <c r="I48" s="24">
        <f t="shared" si="1"/>
        <v>0</v>
      </c>
      <c r="J48" s="24">
        <f>Table14[[#This Row],[Enrolment S.Y. 2025-2026 ]]*8</f>
        <v>0</v>
      </c>
      <c r="K48" s="24"/>
      <c r="L48" s="22"/>
      <c r="M48" s="24"/>
      <c r="N48" s="24">
        <f t="shared" ref="N48:N53" si="10">IF((J48-K48)&lt;0,0,(J48-K48))</f>
        <v>0</v>
      </c>
      <c r="O48" s="24">
        <f t="shared" ref="O48:O53" si="11">IF((K48-J48)&lt;0,0,(K48-J48))</f>
        <v>0</v>
      </c>
      <c r="P48" s="24">
        <f>Table14[[#This Row],[Enrolment S.Y. 2025-2026 ]]*8</f>
        <v>0</v>
      </c>
      <c r="Q48" s="24"/>
      <c r="R48" s="22"/>
      <c r="S48" s="24"/>
      <c r="T48" s="24">
        <f t="shared" si="4"/>
        <v>0</v>
      </c>
      <c r="U48" s="24">
        <f t="shared" si="5"/>
        <v>0</v>
      </c>
      <c r="V48" s="24">
        <f>Table14[[#This Row],[Enrolment S.Y. 2025-2026 ]]*8</f>
        <v>0</v>
      </c>
      <c r="W48" s="24"/>
      <c r="X48" s="22"/>
      <c r="Y48" s="24"/>
      <c r="Z48" s="24">
        <f t="shared" si="6"/>
        <v>0</v>
      </c>
      <c r="AA48" s="24">
        <f t="shared" si="7"/>
        <v>0</v>
      </c>
    </row>
    <row r="49" spans="1:27" ht="19.5" hidden="1">
      <c r="A49" s="33">
        <v>5</v>
      </c>
      <c r="B49" s="25" t="s">
        <v>87</v>
      </c>
      <c r="C49" s="24"/>
      <c r="D49" s="24">
        <f>Table14[[#This Row],[Enrolment S.Y. 2025-2026 ]]*8</f>
        <v>0</v>
      </c>
      <c r="E49" s="24"/>
      <c r="F49" s="22"/>
      <c r="G49" s="24"/>
      <c r="H49" s="24">
        <f t="shared" si="0"/>
        <v>0</v>
      </c>
      <c r="I49" s="24">
        <f t="shared" si="1"/>
        <v>0</v>
      </c>
      <c r="J49" s="24">
        <f>Table14[[#This Row],[Enrolment S.Y. 2025-2026 ]]*8</f>
        <v>0</v>
      </c>
      <c r="K49" s="24"/>
      <c r="L49" s="22"/>
      <c r="M49" s="24"/>
      <c r="N49" s="24">
        <f t="shared" si="10"/>
        <v>0</v>
      </c>
      <c r="O49" s="24">
        <f t="shared" si="11"/>
        <v>0</v>
      </c>
      <c r="P49" s="24">
        <f>Table14[[#This Row],[Enrolment S.Y. 2025-2026 ]]*8</f>
        <v>0</v>
      </c>
      <c r="Q49" s="24"/>
      <c r="R49" s="22"/>
      <c r="S49" s="24"/>
      <c r="T49" s="24">
        <f t="shared" si="4"/>
        <v>0</v>
      </c>
      <c r="U49" s="24">
        <f t="shared" si="5"/>
        <v>0</v>
      </c>
      <c r="V49" s="24">
        <f>Table14[[#This Row],[Enrolment S.Y. 2025-2026 ]]*8</f>
        <v>0</v>
      </c>
      <c r="W49" s="24"/>
      <c r="X49" s="22"/>
      <c r="Y49" s="24"/>
      <c r="Z49" s="24">
        <f t="shared" si="6"/>
        <v>0</v>
      </c>
      <c r="AA49" s="24">
        <f t="shared" si="7"/>
        <v>0</v>
      </c>
    </row>
    <row r="50" spans="1:27" ht="19.5" hidden="1">
      <c r="A50" s="22">
        <v>5</v>
      </c>
      <c r="B50" s="25" t="s">
        <v>88</v>
      </c>
      <c r="C50" s="22"/>
      <c r="D50" s="24">
        <f>Table14[[#This Row],[Enrolment S.Y. 2025-2026 ]]*8</f>
        <v>0</v>
      </c>
      <c r="E50" s="24"/>
      <c r="F50" s="22"/>
      <c r="G50" s="24"/>
      <c r="H50" s="24">
        <f t="shared" si="0"/>
        <v>0</v>
      </c>
      <c r="I50" s="24">
        <f t="shared" si="1"/>
        <v>0</v>
      </c>
      <c r="J50" s="24">
        <f>Table14[[#This Row],[Enrolment S.Y. 2025-2026 ]]*8</f>
        <v>0</v>
      </c>
      <c r="K50" s="24"/>
      <c r="L50" s="22"/>
      <c r="M50" s="24"/>
      <c r="N50" s="24">
        <f t="shared" si="10"/>
        <v>0</v>
      </c>
      <c r="O50" s="24">
        <f t="shared" si="11"/>
        <v>0</v>
      </c>
      <c r="P50" s="24">
        <f>Table14[[#This Row],[Enrolment S.Y. 2025-2026 ]]*8</f>
        <v>0</v>
      </c>
      <c r="Q50" s="24"/>
      <c r="R50" s="22"/>
      <c r="S50" s="24"/>
      <c r="T50" s="24">
        <f t="shared" si="4"/>
        <v>0</v>
      </c>
      <c r="U50" s="24">
        <f t="shared" si="5"/>
        <v>0</v>
      </c>
      <c r="V50" s="24">
        <f>Table14[[#This Row],[Enrolment S.Y. 2025-2026 ]]*8</f>
        <v>0</v>
      </c>
      <c r="W50" s="24"/>
      <c r="X50" s="22"/>
      <c r="Y50" s="24"/>
      <c r="Z50" s="24">
        <f t="shared" si="6"/>
        <v>0</v>
      </c>
      <c r="AA50" s="24">
        <f t="shared" si="7"/>
        <v>0</v>
      </c>
    </row>
    <row r="51" spans="1:27" ht="19.5" hidden="1">
      <c r="A51" s="22">
        <v>5</v>
      </c>
      <c r="B51" s="25" t="s">
        <v>18</v>
      </c>
      <c r="C51" s="22"/>
      <c r="D51" s="24">
        <f>Table14[[#This Row],[Enrolment S.Y. 2025-2026 ]]*8</f>
        <v>0</v>
      </c>
      <c r="E51" s="24"/>
      <c r="F51" s="22"/>
      <c r="G51" s="24"/>
      <c r="H51" s="24">
        <f t="shared" si="0"/>
        <v>0</v>
      </c>
      <c r="I51" s="24">
        <f t="shared" si="1"/>
        <v>0</v>
      </c>
      <c r="J51" s="24">
        <f>Table14[[#This Row],[Enrolment S.Y. 2025-2026 ]]*8</f>
        <v>0</v>
      </c>
      <c r="K51" s="24"/>
      <c r="L51" s="22"/>
      <c r="M51" s="24"/>
      <c r="N51" s="24">
        <f t="shared" si="10"/>
        <v>0</v>
      </c>
      <c r="O51" s="24">
        <f t="shared" si="11"/>
        <v>0</v>
      </c>
      <c r="P51" s="24">
        <f>Table14[[#This Row],[Enrolment S.Y. 2025-2026 ]]*8</f>
        <v>0</v>
      </c>
      <c r="Q51" s="24"/>
      <c r="R51" s="22"/>
      <c r="S51" s="24"/>
      <c r="T51" s="24">
        <f t="shared" si="4"/>
        <v>0</v>
      </c>
      <c r="U51" s="24">
        <f t="shared" si="5"/>
        <v>0</v>
      </c>
      <c r="V51" s="24">
        <f>Table14[[#This Row],[Enrolment S.Y. 2025-2026 ]]*8</f>
        <v>0</v>
      </c>
      <c r="W51" s="24"/>
      <c r="X51" s="22"/>
      <c r="Y51" s="24"/>
      <c r="Z51" s="24">
        <f t="shared" si="6"/>
        <v>0</v>
      </c>
      <c r="AA51" s="24">
        <f t="shared" si="7"/>
        <v>0</v>
      </c>
    </row>
    <row r="52" spans="1:27" ht="19.5" hidden="1">
      <c r="A52" s="33">
        <v>5</v>
      </c>
      <c r="B52" s="25" t="s">
        <v>89</v>
      </c>
      <c r="C52" s="24"/>
      <c r="D52" s="24">
        <f>Table14[[#This Row],[Enrolment S.Y. 2025-2026 ]]*8</f>
        <v>0</v>
      </c>
      <c r="E52" s="24"/>
      <c r="F52" s="22"/>
      <c r="G52" s="24"/>
      <c r="H52" s="24">
        <f t="shared" si="0"/>
        <v>0</v>
      </c>
      <c r="I52" s="24">
        <f t="shared" si="1"/>
        <v>0</v>
      </c>
      <c r="J52" s="24">
        <f>Table14[[#This Row],[Enrolment S.Y. 2025-2026 ]]*8</f>
        <v>0</v>
      </c>
      <c r="K52" s="24"/>
      <c r="L52" s="22"/>
      <c r="M52" s="24"/>
      <c r="N52" s="24">
        <f t="shared" si="10"/>
        <v>0</v>
      </c>
      <c r="O52" s="24">
        <f t="shared" si="11"/>
        <v>0</v>
      </c>
      <c r="P52" s="24">
        <f>Table14[[#This Row],[Enrolment S.Y. 2025-2026 ]]*8</f>
        <v>0</v>
      </c>
      <c r="Q52" s="24"/>
      <c r="R52" s="22"/>
      <c r="S52" s="24"/>
      <c r="T52" s="24">
        <f t="shared" si="4"/>
        <v>0</v>
      </c>
      <c r="U52" s="24">
        <f t="shared" si="5"/>
        <v>0</v>
      </c>
      <c r="V52" s="24">
        <f>Table14[[#This Row],[Enrolment S.Y. 2025-2026 ]]*8</f>
        <v>0</v>
      </c>
      <c r="W52" s="24"/>
      <c r="X52" s="22"/>
      <c r="Y52" s="24"/>
      <c r="Z52" s="24">
        <f t="shared" si="6"/>
        <v>0</v>
      </c>
      <c r="AA52" s="24">
        <f t="shared" si="7"/>
        <v>0</v>
      </c>
    </row>
    <row r="53" spans="1:27" ht="19.5" hidden="1">
      <c r="A53" s="22">
        <v>5</v>
      </c>
      <c r="B53" s="25" t="s">
        <v>90</v>
      </c>
      <c r="C53" s="22"/>
      <c r="D53" s="24">
        <f>Table14[[#This Row],[Enrolment S.Y. 2025-2026 ]]*8</f>
        <v>0</v>
      </c>
      <c r="E53" s="24"/>
      <c r="F53" s="22"/>
      <c r="G53" s="24"/>
      <c r="H53" s="24">
        <f t="shared" si="0"/>
        <v>0</v>
      </c>
      <c r="I53" s="24">
        <f t="shared" si="1"/>
        <v>0</v>
      </c>
      <c r="J53" s="24">
        <f>Table14[[#This Row],[Enrolment S.Y. 2025-2026 ]]*8</f>
        <v>0</v>
      </c>
      <c r="K53" s="24"/>
      <c r="L53" s="22"/>
      <c r="M53" s="24"/>
      <c r="N53" s="24">
        <f t="shared" si="10"/>
        <v>0</v>
      </c>
      <c r="O53" s="24">
        <f t="shared" si="11"/>
        <v>0</v>
      </c>
      <c r="P53" s="24">
        <f>Table14[[#This Row],[Enrolment S.Y. 2025-2026 ]]*8</f>
        <v>0</v>
      </c>
      <c r="Q53" s="24"/>
      <c r="R53" s="22"/>
      <c r="S53" s="24"/>
      <c r="T53" s="24">
        <f t="shared" si="4"/>
        <v>0</v>
      </c>
      <c r="U53" s="24">
        <f t="shared" si="5"/>
        <v>0</v>
      </c>
      <c r="V53" s="24">
        <f>Table14[[#This Row],[Enrolment S.Y. 2025-2026 ]]*8</f>
        <v>0</v>
      </c>
      <c r="W53" s="24"/>
      <c r="X53" s="22"/>
      <c r="Y53" s="24"/>
      <c r="Z53" s="24">
        <f t="shared" si="6"/>
        <v>0</v>
      </c>
      <c r="AA53" s="24">
        <f t="shared" si="7"/>
        <v>0</v>
      </c>
    </row>
    <row r="54" spans="1:27" s="2" customFormat="1"/>
    <row r="55" spans="1:27" ht="19.5" hidden="1">
      <c r="A55" s="22">
        <v>6</v>
      </c>
      <c r="B55" s="25" t="s">
        <v>14</v>
      </c>
      <c r="C55" s="22"/>
      <c r="D55" s="24">
        <f>Table14[[#This Row],[Enrolment S.Y. 2025-2026 ]]*8</f>
        <v>0</v>
      </c>
      <c r="E55" s="24"/>
      <c r="F55" s="22"/>
      <c r="G55" s="24"/>
      <c r="H55" s="24">
        <f t="shared" si="0"/>
        <v>0</v>
      </c>
      <c r="I55" s="24">
        <f t="shared" si="1"/>
        <v>0</v>
      </c>
      <c r="J55" s="24">
        <f>Table14[[#This Row],[Enrolment S.Y. 2025-2026 ]]*8</f>
        <v>0</v>
      </c>
      <c r="K55" s="24"/>
      <c r="L55" s="22"/>
      <c r="M55" s="24"/>
      <c r="N55" s="24">
        <f t="shared" si="2"/>
        <v>0</v>
      </c>
      <c r="O55" s="24">
        <f t="shared" si="3"/>
        <v>0</v>
      </c>
      <c r="P55" s="24">
        <f>Table14[[#This Row],[Enrolment S.Y. 2025-2026 ]]*8</f>
        <v>0</v>
      </c>
      <c r="Q55" s="24"/>
      <c r="R55" s="22"/>
      <c r="S55" s="24"/>
      <c r="T55" s="24">
        <f t="shared" si="4"/>
        <v>0</v>
      </c>
      <c r="U55" s="24">
        <f t="shared" si="5"/>
        <v>0</v>
      </c>
      <c r="V55" s="24">
        <f>Table14[[#This Row],[Enrolment S.Y. 2025-2026 ]]*8</f>
        <v>0</v>
      </c>
      <c r="W55" s="24"/>
      <c r="X55" s="22"/>
      <c r="Y55" s="24"/>
      <c r="Z55" s="24">
        <f t="shared" si="6"/>
        <v>0</v>
      </c>
      <c r="AA55" s="24">
        <f t="shared" si="7"/>
        <v>0</v>
      </c>
    </row>
    <row r="56" spans="1:27" ht="19.5" hidden="1">
      <c r="A56" s="22">
        <v>6</v>
      </c>
      <c r="B56" s="25" t="s">
        <v>15</v>
      </c>
      <c r="C56" s="22"/>
      <c r="D56" s="24">
        <f>Table14[[#This Row],[Enrolment S.Y. 2025-2026 ]]*8</f>
        <v>0</v>
      </c>
      <c r="E56" s="24"/>
      <c r="F56" s="22"/>
      <c r="G56" s="24"/>
      <c r="H56" s="24">
        <f t="shared" si="0"/>
        <v>0</v>
      </c>
      <c r="I56" s="24">
        <f t="shared" si="1"/>
        <v>0</v>
      </c>
      <c r="J56" s="24">
        <f>Table14[[#This Row],[Enrolment S.Y. 2025-2026 ]]*8</f>
        <v>0</v>
      </c>
      <c r="K56" s="24"/>
      <c r="L56" s="22"/>
      <c r="M56" s="24"/>
      <c r="N56" s="24">
        <f t="shared" si="2"/>
        <v>0</v>
      </c>
      <c r="O56" s="24">
        <f t="shared" si="3"/>
        <v>0</v>
      </c>
      <c r="P56" s="24">
        <f>Table14[[#This Row],[Enrolment S.Y. 2025-2026 ]]*8</f>
        <v>0</v>
      </c>
      <c r="Q56" s="24"/>
      <c r="R56" s="22"/>
      <c r="S56" s="24"/>
      <c r="T56" s="24">
        <f t="shared" si="4"/>
        <v>0</v>
      </c>
      <c r="U56" s="24">
        <f t="shared" si="5"/>
        <v>0</v>
      </c>
      <c r="V56" s="24">
        <f>Table14[[#This Row],[Enrolment S.Y. 2025-2026 ]]*8</f>
        <v>0</v>
      </c>
      <c r="W56" s="24"/>
      <c r="X56" s="22"/>
      <c r="Y56" s="24"/>
      <c r="Z56" s="24">
        <f t="shared" si="6"/>
        <v>0</v>
      </c>
      <c r="AA56" s="24">
        <f t="shared" si="7"/>
        <v>0</v>
      </c>
    </row>
    <row r="57" spans="1:27" ht="19.5" hidden="1">
      <c r="A57" s="22">
        <v>6</v>
      </c>
      <c r="B57" s="25" t="s">
        <v>12</v>
      </c>
      <c r="C57" s="22"/>
      <c r="D57" s="24">
        <f>Table14[[#This Row],[Enrolment S.Y. 2025-2026 ]]*8</f>
        <v>0</v>
      </c>
      <c r="E57" s="24"/>
      <c r="F57" s="22"/>
      <c r="G57" s="24"/>
      <c r="H57" s="24">
        <f t="shared" si="0"/>
        <v>0</v>
      </c>
      <c r="I57" s="24">
        <f t="shared" si="1"/>
        <v>0</v>
      </c>
      <c r="J57" s="24">
        <f>Table14[[#This Row],[Enrolment S.Y. 2025-2026 ]]*8</f>
        <v>0</v>
      </c>
      <c r="K57" s="24"/>
      <c r="L57" s="22"/>
      <c r="M57" s="24"/>
      <c r="N57" s="24">
        <f t="shared" si="2"/>
        <v>0</v>
      </c>
      <c r="O57" s="24">
        <f t="shared" si="3"/>
        <v>0</v>
      </c>
      <c r="P57" s="24">
        <f>Table14[[#This Row],[Enrolment S.Y. 2025-2026 ]]*8</f>
        <v>0</v>
      </c>
      <c r="Q57" s="24"/>
      <c r="R57" s="22"/>
      <c r="S57" s="24"/>
      <c r="T57" s="24">
        <f t="shared" si="4"/>
        <v>0</v>
      </c>
      <c r="U57" s="24">
        <f t="shared" si="5"/>
        <v>0</v>
      </c>
      <c r="V57" s="24">
        <f>Table14[[#This Row],[Enrolment S.Y. 2025-2026 ]]*8</f>
        <v>0</v>
      </c>
      <c r="W57" s="24"/>
      <c r="X57" s="22"/>
      <c r="Y57" s="24"/>
      <c r="Z57" s="24">
        <f t="shared" si="6"/>
        <v>0</v>
      </c>
      <c r="AA57" s="24">
        <f t="shared" si="7"/>
        <v>0</v>
      </c>
    </row>
    <row r="58" spans="1:27" ht="19.5" hidden="1">
      <c r="A58" s="22">
        <v>6</v>
      </c>
      <c r="B58" s="25" t="s">
        <v>10</v>
      </c>
      <c r="C58" s="22"/>
      <c r="D58" s="24">
        <f>Table14[[#This Row],[Enrolment S.Y. 2025-2026 ]]*8</f>
        <v>0</v>
      </c>
      <c r="E58" s="24"/>
      <c r="F58" s="22"/>
      <c r="G58" s="24"/>
      <c r="H58" s="24">
        <f t="shared" si="0"/>
        <v>0</v>
      </c>
      <c r="I58" s="24">
        <f t="shared" si="1"/>
        <v>0</v>
      </c>
      <c r="J58" s="24">
        <f>Table14[[#This Row],[Enrolment S.Y. 2025-2026 ]]*8</f>
        <v>0</v>
      </c>
      <c r="K58" s="24"/>
      <c r="L58" s="22"/>
      <c r="M58" s="24"/>
      <c r="N58" s="24">
        <f t="shared" si="2"/>
        <v>0</v>
      </c>
      <c r="O58" s="24">
        <f t="shared" si="3"/>
        <v>0</v>
      </c>
      <c r="P58" s="24">
        <f>Table14[[#This Row],[Enrolment S.Y. 2025-2026 ]]*8</f>
        <v>0</v>
      </c>
      <c r="Q58" s="24"/>
      <c r="R58" s="22"/>
      <c r="S58" s="24"/>
      <c r="T58" s="24">
        <f t="shared" si="4"/>
        <v>0</v>
      </c>
      <c r="U58" s="24">
        <f t="shared" si="5"/>
        <v>0</v>
      </c>
      <c r="V58" s="24">
        <f>Table14[[#This Row],[Enrolment S.Y. 2025-2026 ]]*8</f>
        <v>0</v>
      </c>
      <c r="W58" s="24"/>
      <c r="X58" s="22"/>
      <c r="Y58" s="24"/>
      <c r="Z58" s="24">
        <f t="shared" si="6"/>
        <v>0</v>
      </c>
      <c r="AA58" s="24">
        <f t="shared" si="7"/>
        <v>0</v>
      </c>
    </row>
    <row r="59" spans="1:27" ht="19.5" hidden="1">
      <c r="A59" s="22">
        <v>6</v>
      </c>
      <c r="B59" s="25" t="s">
        <v>16</v>
      </c>
      <c r="C59" s="22"/>
      <c r="D59" s="24">
        <f>Table14[[#This Row],[Enrolment S.Y. 2025-2026 ]]*8</f>
        <v>0</v>
      </c>
      <c r="E59" s="24"/>
      <c r="F59" s="22"/>
      <c r="G59" s="24"/>
      <c r="H59" s="24">
        <f t="shared" si="0"/>
        <v>0</v>
      </c>
      <c r="I59" s="24">
        <f t="shared" si="1"/>
        <v>0</v>
      </c>
      <c r="J59" s="24">
        <f>Table14[[#This Row],[Enrolment S.Y. 2025-2026 ]]*8</f>
        <v>0</v>
      </c>
      <c r="K59" s="24"/>
      <c r="L59" s="22"/>
      <c r="M59" s="24"/>
      <c r="N59" s="24">
        <f t="shared" si="2"/>
        <v>0</v>
      </c>
      <c r="O59" s="24">
        <f t="shared" si="3"/>
        <v>0</v>
      </c>
      <c r="P59" s="24">
        <f>Table14[[#This Row],[Enrolment S.Y. 2025-2026 ]]*8</f>
        <v>0</v>
      </c>
      <c r="Q59" s="24"/>
      <c r="R59" s="22"/>
      <c r="S59" s="24"/>
      <c r="T59" s="24">
        <f t="shared" si="4"/>
        <v>0</v>
      </c>
      <c r="U59" s="24">
        <f t="shared" si="5"/>
        <v>0</v>
      </c>
      <c r="V59" s="24">
        <f>Table14[[#This Row],[Enrolment S.Y. 2025-2026 ]]*8</f>
        <v>0</v>
      </c>
      <c r="W59" s="24"/>
      <c r="X59" s="22"/>
      <c r="Y59" s="24"/>
      <c r="Z59" s="24">
        <f t="shared" si="6"/>
        <v>0</v>
      </c>
      <c r="AA59" s="24">
        <f t="shared" si="7"/>
        <v>0</v>
      </c>
    </row>
    <row r="60" spans="1:27" ht="19.5" hidden="1">
      <c r="A60" s="22">
        <v>6</v>
      </c>
      <c r="B60" s="25" t="s">
        <v>13</v>
      </c>
      <c r="C60" s="22"/>
      <c r="D60" s="24">
        <f>Table14[[#This Row],[Enrolment S.Y. 2025-2026 ]]*8</f>
        <v>0</v>
      </c>
      <c r="E60" s="24"/>
      <c r="F60" s="22"/>
      <c r="G60" s="24"/>
      <c r="H60" s="24">
        <f t="shared" si="0"/>
        <v>0</v>
      </c>
      <c r="I60" s="24">
        <f t="shared" si="1"/>
        <v>0</v>
      </c>
      <c r="J60" s="24">
        <f>Table14[[#This Row],[Enrolment S.Y. 2025-2026 ]]*8</f>
        <v>0</v>
      </c>
      <c r="K60" s="24"/>
      <c r="L60" s="22"/>
      <c r="M60" s="24"/>
      <c r="N60" s="24">
        <f t="shared" si="2"/>
        <v>0</v>
      </c>
      <c r="O60" s="24">
        <f t="shared" si="3"/>
        <v>0</v>
      </c>
      <c r="P60" s="24">
        <f>Table14[[#This Row],[Enrolment S.Y. 2025-2026 ]]*8</f>
        <v>0</v>
      </c>
      <c r="Q60" s="24"/>
      <c r="R60" s="22"/>
      <c r="S60" s="24"/>
      <c r="T60" s="24">
        <f t="shared" si="4"/>
        <v>0</v>
      </c>
      <c r="U60" s="24">
        <f t="shared" si="5"/>
        <v>0</v>
      </c>
      <c r="V60" s="24">
        <f>Table14[[#This Row],[Enrolment S.Y. 2025-2026 ]]*8</f>
        <v>0</v>
      </c>
      <c r="W60" s="24"/>
      <c r="X60" s="22"/>
      <c r="Y60" s="24"/>
      <c r="Z60" s="24">
        <f t="shared" si="6"/>
        <v>0</v>
      </c>
      <c r="AA60" s="24">
        <f t="shared" si="7"/>
        <v>0</v>
      </c>
    </row>
    <row r="61" spans="1:27" ht="19.5" hidden="1">
      <c r="A61" s="33">
        <v>6</v>
      </c>
      <c r="B61" s="25" t="s">
        <v>87</v>
      </c>
      <c r="C61" s="24"/>
      <c r="D61" s="24">
        <f>Table14[[#This Row],[Enrolment S.Y. 2025-2026 ]]*8</f>
        <v>0</v>
      </c>
      <c r="E61" s="24"/>
      <c r="F61" s="22"/>
      <c r="G61" s="24"/>
      <c r="H61" s="24">
        <f t="shared" si="0"/>
        <v>0</v>
      </c>
      <c r="I61" s="24">
        <f t="shared" si="1"/>
        <v>0</v>
      </c>
      <c r="J61" s="24">
        <f>Table14[[#This Row],[Enrolment S.Y. 2025-2026 ]]*8</f>
        <v>0</v>
      </c>
      <c r="K61" s="24"/>
      <c r="L61" s="22"/>
      <c r="M61" s="24"/>
      <c r="N61" s="24">
        <f t="shared" ref="N61:N65" si="12">IF((J61-K61)&lt;0,0,(J61-K61))</f>
        <v>0</v>
      </c>
      <c r="O61" s="24">
        <f t="shared" ref="O61:O65" si="13">IF((K61-J61)&lt;0,0,(K61-J61))</f>
        <v>0</v>
      </c>
      <c r="P61" s="24">
        <f>Table14[[#This Row],[Enrolment S.Y. 2025-2026 ]]*8</f>
        <v>0</v>
      </c>
      <c r="Q61" s="24"/>
      <c r="R61" s="22"/>
      <c r="S61" s="24"/>
      <c r="T61" s="24">
        <f t="shared" si="4"/>
        <v>0</v>
      </c>
      <c r="U61" s="24">
        <f t="shared" si="5"/>
        <v>0</v>
      </c>
      <c r="V61" s="24">
        <f>Table14[[#This Row],[Enrolment S.Y. 2025-2026 ]]*8</f>
        <v>0</v>
      </c>
      <c r="W61" s="24"/>
      <c r="X61" s="22"/>
      <c r="Y61" s="24"/>
      <c r="Z61" s="24">
        <f t="shared" si="6"/>
        <v>0</v>
      </c>
      <c r="AA61" s="24">
        <f t="shared" si="7"/>
        <v>0</v>
      </c>
    </row>
    <row r="62" spans="1:27" ht="19.5" hidden="1">
      <c r="A62" s="22">
        <v>6</v>
      </c>
      <c r="B62" s="25" t="s">
        <v>88</v>
      </c>
      <c r="C62" s="22"/>
      <c r="D62" s="24">
        <f>Table14[[#This Row],[Enrolment S.Y. 2025-2026 ]]*8</f>
        <v>0</v>
      </c>
      <c r="E62" s="24"/>
      <c r="F62" s="22"/>
      <c r="G62" s="24"/>
      <c r="H62" s="24">
        <f t="shared" si="0"/>
        <v>0</v>
      </c>
      <c r="I62" s="24">
        <f t="shared" si="1"/>
        <v>0</v>
      </c>
      <c r="J62" s="24">
        <f>Table14[[#This Row],[Enrolment S.Y. 2025-2026 ]]*8</f>
        <v>0</v>
      </c>
      <c r="K62" s="24"/>
      <c r="L62" s="22"/>
      <c r="M62" s="24"/>
      <c r="N62" s="24">
        <f t="shared" si="12"/>
        <v>0</v>
      </c>
      <c r="O62" s="24">
        <f t="shared" si="13"/>
        <v>0</v>
      </c>
      <c r="P62" s="24">
        <f>Table14[[#This Row],[Enrolment S.Y. 2025-2026 ]]*8</f>
        <v>0</v>
      </c>
      <c r="Q62" s="24"/>
      <c r="R62" s="22"/>
      <c r="S62" s="24"/>
      <c r="T62" s="24">
        <f t="shared" si="4"/>
        <v>0</v>
      </c>
      <c r="U62" s="24">
        <f t="shared" si="5"/>
        <v>0</v>
      </c>
      <c r="V62" s="24">
        <f>Table14[[#This Row],[Enrolment S.Y. 2025-2026 ]]*8</f>
        <v>0</v>
      </c>
      <c r="W62" s="24"/>
      <c r="X62" s="22"/>
      <c r="Y62" s="24"/>
      <c r="Z62" s="24">
        <f t="shared" si="6"/>
        <v>0</v>
      </c>
      <c r="AA62" s="24">
        <f t="shared" si="7"/>
        <v>0</v>
      </c>
    </row>
    <row r="63" spans="1:27" ht="19.5" hidden="1">
      <c r="A63" s="22">
        <v>6</v>
      </c>
      <c r="B63" s="25" t="s">
        <v>18</v>
      </c>
      <c r="C63" s="22"/>
      <c r="D63" s="24">
        <f>Table14[[#This Row],[Enrolment S.Y. 2025-2026 ]]*8</f>
        <v>0</v>
      </c>
      <c r="E63" s="24"/>
      <c r="F63" s="22"/>
      <c r="G63" s="24"/>
      <c r="H63" s="24">
        <f t="shared" si="0"/>
        <v>0</v>
      </c>
      <c r="I63" s="24">
        <f t="shared" si="1"/>
        <v>0</v>
      </c>
      <c r="J63" s="24">
        <f>Table14[[#This Row],[Enrolment S.Y. 2025-2026 ]]*8</f>
        <v>0</v>
      </c>
      <c r="K63" s="24"/>
      <c r="L63" s="22"/>
      <c r="M63" s="24"/>
      <c r="N63" s="24">
        <f t="shared" si="12"/>
        <v>0</v>
      </c>
      <c r="O63" s="24">
        <f t="shared" si="13"/>
        <v>0</v>
      </c>
      <c r="P63" s="24">
        <f>Table14[[#This Row],[Enrolment S.Y. 2025-2026 ]]*8</f>
        <v>0</v>
      </c>
      <c r="Q63" s="24"/>
      <c r="R63" s="22"/>
      <c r="S63" s="24"/>
      <c r="T63" s="24">
        <f t="shared" si="4"/>
        <v>0</v>
      </c>
      <c r="U63" s="24">
        <f t="shared" si="5"/>
        <v>0</v>
      </c>
      <c r="V63" s="24">
        <f>Table14[[#This Row],[Enrolment S.Y. 2025-2026 ]]*8</f>
        <v>0</v>
      </c>
      <c r="W63" s="24"/>
      <c r="X63" s="22"/>
      <c r="Y63" s="24"/>
      <c r="Z63" s="24">
        <f t="shared" si="6"/>
        <v>0</v>
      </c>
      <c r="AA63" s="24">
        <f t="shared" si="7"/>
        <v>0</v>
      </c>
    </row>
    <row r="64" spans="1:27" ht="19.5" hidden="1">
      <c r="A64" s="33">
        <v>6</v>
      </c>
      <c r="B64" s="25" t="s">
        <v>89</v>
      </c>
      <c r="C64" s="24"/>
      <c r="D64" s="24">
        <f>Table14[[#This Row],[Enrolment S.Y. 2025-2026 ]]*8</f>
        <v>0</v>
      </c>
      <c r="E64" s="24"/>
      <c r="F64" s="22"/>
      <c r="G64" s="24"/>
      <c r="H64" s="24">
        <f t="shared" si="0"/>
        <v>0</v>
      </c>
      <c r="I64" s="24">
        <f t="shared" si="1"/>
        <v>0</v>
      </c>
      <c r="J64" s="24">
        <f>Table14[[#This Row],[Enrolment S.Y. 2025-2026 ]]*8</f>
        <v>0</v>
      </c>
      <c r="K64" s="24"/>
      <c r="L64" s="22"/>
      <c r="M64" s="24"/>
      <c r="N64" s="24">
        <f t="shared" si="12"/>
        <v>0</v>
      </c>
      <c r="O64" s="24">
        <f t="shared" si="13"/>
        <v>0</v>
      </c>
      <c r="P64" s="24">
        <f>Table14[[#This Row],[Enrolment S.Y. 2025-2026 ]]*8</f>
        <v>0</v>
      </c>
      <c r="Q64" s="24"/>
      <c r="R64" s="22"/>
      <c r="S64" s="24"/>
      <c r="T64" s="24">
        <f t="shared" si="4"/>
        <v>0</v>
      </c>
      <c r="U64" s="24">
        <f t="shared" si="5"/>
        <v>0</v>
      </c>
      <c r="V64" s="24">
        <f>Table14[[#This Row],[Enrolment S.Y. 2025-2026 ]]*8</f>
        <v>0</v>
      </c>
      <c r="W64" s="24"/>
      <c r="X64" s="22"/>
      <c r="Y64" s="24"/>
      <c r="Z64" s="24">
        <f t="shared" si="6"/>
        <v>0</v>
      </c>
      <c r="AA64" s="24">
        <f t="shared" si="7"/>
        <v>0</v>
      </c>
    </row>
    <row r="65" spans="1:27" ht="19.5" hidden="1">
      <c r="A65" s="22">
        <v>6</v>
      </c>
      <c r="B65" s="25" t="s">
        <v>90</v>
      </c>
      <c r="C65" s="22"/>
      <c r="D65" s="24">
        <f>Table14[[#This Row],[Enrolment S.Y. 2025-2026 ]]*8</f>
        <v>0</v>
      </c>
      <c r="E65" s="24"/>
      <c r="F65" s="22"/>
      <c r="G65" s="24"/>
      <c r="H65" s="24">
        <f t="shared" si="0"/>
        <v>0</v>
      </c>
      <c r="I65" s="24">
        <f t="shared" si="1"/>
        <v>0</v>
      </c>
      <c r="J65" s="24">
        <f>Table14[[#This Row],[Enrolment S.Y. 2025-2026 ]]*8</f>
        <v>0</v>
      </c>
      <c r="K65" s="24"/>
      <c r="L65" s="22"/>
      <c r="M65" s="24"/>
      <c r="N65" s="24">
        <f t="shared" si="12"/>
        <v>0</v>
      </c>
      <c r="O65" s="24">
        <f t="shared" si="13"/>
        <v>0</v>
      </c>
      <c r="P65" s="24">
        <f>Table14[[#This Row],[Enrolment S.Y. 2025-2026 ]]*8</f>
        <v>0</v>
      </c>
      <c r="Q65" s="24"/>
      <c r="R65" s="22"/>
      <c r="S65" s="24"/>
      <c r="T65" s="24">
        <f t="shared" si="4"/>
        <v>0</v>
      </c>
      <c r="U65" s="24">
        <f t="shared" si="5"/>
        <v>0</v>
      </c>
      <c r="V65" s="24">
        <f>Table14[[#This Row],[Enrolment S.Y. 2025-2026 ]]*8</f>
        <v>0</v>
      </c>
      <c r="W65" s="24"/>
      <c r="X65" s="22"/>
      <c r="Y65" s="24"/>
      <c r="Z65" s="24">
        <f t="shared" si="6"/>
        <v>0</v>
      </c>
      <c r="AA65" s="24">
        <f t="shared" si="7"/>
        <v>0</v>
      </c>
    </row>
    <row r="66" spans="1:27" s="2" customFormat="1"/>
    <row r="67" spans="1:27" ht="21">
      <c r="A67" s="26">
        <v>7</v>
      </c>
      <c r="B67" s="27" t="s">
        <v>14</v>
      </c>
      <c r="C67" s="26"/>
      <c r="D67" s="35">
        <v>0</v>
      </c>
      <c r="E67" s="35" t="s">
        <v>91</v>
      </c>
      <c r="F67" s="36"/>
      <c r="G67" s="35"/>
      <c r="H67" s="35">
        <v>0</v>
      </c>
      <c r="I67" s="35">
        <v>0</v>
      </c>
      <c r="J67" s="35">
        <v>0</v>
      </c>
      <c r="K67" s="37"/>
      <c r="L67" s="38"/>
      <c r="M67" s="37"/>
      <c r="N67" s="37">
        <f t="shared" ref="N67:N122" si="14">IF((J67-K67)&lt;0,0,(J67-K67))</f>
        <v>0</v>
      </c>
      <c r="O67" s="37">
        <f t="shared" ref="O67:O122" si="15">IF((K67-J67)&lt;0,0,(K67-J67))</f>
        <v>0</v>
      </c>
      <c r="P67" s="28">
        <f>Table14[[#This Row],[Enrolment S.Y. 2025-2026 ]]*8</f>
        <v>0</v>
      </c>
      <c r="Q67" s="28"/>
      <c r="R67" s="26"/>
      <c r="S67" s="28"/>
      <c r="T67" s="28">
        <f t="shared" si="4"/>
        <v>0</v>
      </c>
      <c r="U67" s="28">
        <f t="shared" si="5"/>
        <v>0</v>
      </c>
      <c r="V67" s="28">
        <f>Table14[[#This Row],[Enrolment S.Y. 2025-2026 ]]*8</f>
        <v>0</v>
      </c>
      <c r="W67" s="28"/>
      <c r="X67" s="26"/>
      <c r="Y67" s="28"/>
      <c r="Z67" s="28">
        <f t="shared" si="6"/>
        <v>0</v>
      </c>
      <c r="AA67" s="28">
        <f t="shared" si="7"/>
        <v>0</v>
      </c>
    </row>
    <row r="68" spans="1:27" ht="21">
      <c r="A68" s="26">
        <v>7</v>
      </c>
      <c r="B68" s="27" t="s">
        <v>15</v>
      </c>
      <c r="C68" s="26"/>
      <c r="D68" s="35">
        <v>0</v>
      </c>
      <c r="E68" s="35">
        <v>60</v>
      </c>
      <c r="F68" s="36">
        <v>2025</v>
      </c>
      <c r="G68" s="35" t="s">
        <v>92</v>
      </c>
      <c r="H68" s="35">
        <v>0</v>
      </c>
      <c r="I68" s="35">
        <v>60</v>
      </c>
      <c r="J68" s="35">
        <v>0</v>
      </c>
      <c r="K68" s="37"/>
      <c r="L68" s="38"/>
      <c r="M68" s="37"/>
      <c r="N68" s="37">
        <f t="shared" si="14"/>
        <v>0</v>
      </c>
      <c r="O68" s="37">
        <f t="shared" si="15"/>
        <v>0</v>
      </c>
      <c r="P68" s="28">
        <f>Table14[[#This Row],[Enrolment S.Y. 2025-2026 ]]*8</f>
        <v>0</v>
      </c>
      <c r="Q68" s="28"/>
      <c r="R68" s="26"/>
      <c r="S68" s="28"/>
      <c r="T68" s="28">
        <f t="shared" si="4"/>
        <v>0</v>
      </c>
      <c r="U68" s="28">
        <f t="shared" si="5"/>
        <v>0</v>
      </c>
      <c r="V68" s="28">
        <f>Table14[[#This Row],[Enrolment S.Y. 2025-2026 ]]*8</f>
        <v>0</v>
      </c>
      <c r="W68" s="28"/>
      <c r="X68" s="26"/>
      <c r="Y68" s="28"/>
      <c r="Z68" s="28">
        <f t="shared" si="6"/>
        <v>0</v>
      </c>
      <c r="AA68" s="28">
        <f t="shared" si="7"/>
        <v>0</v>
      </c>
    </row>
    <row r="69" spans="1:27" ht="21">
      <c r="A69" s="26">
        <v>7</v>
      </c>
      <c r="B69" s="27" t="s">
        <v>12</v>
      </c>
      <c r="C69" s="26"/>
      <c r="D69" s="35">
        <v>0</v>
      </c>
      <c r="E69" s="35"/>
      <c r="F69" s="36"/>
      <c r="G69" s="35"/>
      <c r="H69" s="35">
        <v>0</v>
      </c>
      <c r="I69" s="35">
        <v>0</v>
      </c>
      <c r="J69" s="35">
        <v>0</v>
      </c>
      <c r="K69" s="37"/>
      <c r="L69" s="38"/>
      <c r="M69" s="37"/>
      <c r="N69" s="37">
        <f t="shared" si="14"/>
        <v>0</v>
      </c>
      <c r="O69" s="37">
        <f t="shared" si="15"/>
        <v>0</v>
      </c>
      <c r="P69" s="28">
        <f>Table14[[#This Row],[Enrolment S.Y. 2025-2026 ]]*8</f>
        <v>0</v>
      </c>
      <c r="Q69" s="28"/>
      <c r="R69" s="26"/>
      <c r="S69" s="28"/>
      <c r="T69" s="28">
        <f t="shared" si="4"/>
        <v>0</v>
      </c>
      <c r="U69" s="28">
        <f t="shared" si="5"/>
        <v>0</v>
      </c>
      <c r="V69" s="28">
        <f>Table14[[#This Row],[Enrolment S.Y. 2025-2026 ]]*8</f>
        <v>0</v>
      </c>
      <c r="W69" s="28"/>
      <c r="X69" s="26"/>
      <c r="Y69" s="28"/>
      <c r="Z69" s="28">
        <f t="shared" si="6"/>
        <v>0</v>
      </c>
      <c r="AA69" s="28">
        <f t="shared" si="7"/>
        <v>0</v>
      </c>
    </row>
    <row r="70" spans="1:27" ht="21">
      <c r="A70" s="26">
        <v>7</v>
      </c>
      <c r="B70" s="27" t="s">
        <v>21</v>
      </c>
      <c r="C70" s="26"/>
      <c r="D70" s="35">
        <v>0</v>
      </c>
      <c r="E70" s="35"/>
      <c r="F70" s="36"/>
      <c r="G70" s="35"/>
      <c r="H70" s="35">
        <v>0</v>
      </c>
      <c r="I70" s="35">
        <v>0</v>
      </c>
      <c r="J70" s="35">
        <v>0</v>
      </c>
      <c r="K70" s="37"/>
      <c r="L70" s="38"/>
      <c r="M70" s="37"/>
      <c r="N70" s="37">
        <f t="shared" si="14"/>
        <v>0</v>
      </c>
      <c r="O70" s="37">
        <f t="shared" si="15"/>
        <v>0</v>
      </c>
      <c r="P70" s="28">
        <f>Table14[[#This Row],[Enrolment S.Y. 2025-2026 ]]*8</f>
        <v>0</v>
      </c>
      <c r="Q70" s="28"/>
      <c r="R70" s="26"/>
      <c r="S70" s="28"/>
      <c r="T70" s="28">
        <f t="shared" si="4"/>
        <v>0</v>
      </c>
      <c r="U70" s="28">
        <f t="shared" si="5"/>
        <v>0</v>
      </c>
      <c r="V70" s="28">
        <f>Table14[[#This Row],[Enrolment S.Y. 2025-2026 ]]*8</f>
        <v>0</v>
      </c>
      <c r="W70" s="28"/>
      <c r="X70" s="26"/>
      <c r="Y70" s="28"/>
      <c r="Z70" s="28">
        <f t="shared" si="6"/>
        <v>0</v>
      </c>
      <c r="AA70" s="28">
        <f t="shared" si="7"/>
        <v>0</v>
      </c>
    </row>
    <row r="71" spans="1:27" ht="21">
      <c r="A71" s="26">
        <v>7</v>
      </c>
      <c r="B71" s="27" t="s">
        <v>16</v>
      </c>
      <c r="C71" s="26"/>
      <c r="D71" s="35">
        <v>0</v>
      </c>
      <c r="E71" s="35"/>
      <c r="F71" s="36"/>
      <c r="G71" s="35"/>
      <c r="H71" s="35">
        <v>0</v>
      </c>
      <c r="I71" s="35">
        <v>0</v>
      </c>
      <c r="J71" s="35">
        <v>0</v>
      </c>
      <c r="K71" s="37"/>
      <c r="L71" s="38"/>
      <c r="M71" s="37"/>
      <c r="N71" s="37">
        <f t="shared" si="14"/>
        <v>0</v>
      </c>
      <c r="O71" s="37">
        <f t="shared" si="15"/>
        <v>0</v>
      </c>
      <c r="P71" s="28">
        <f>Table14[[#This Row],[Enrolment S.Y. 2025-2026 ]]*8</f>
        <v>0</v>
      </c>
      <c r="Q71" s="28"/>
      <c r="R71" s="26"/>
      <c r="S71" s="28"/>
      <c r="T71" s="28">
        <f t="shared" si="4"/>
        <v>0</v>
      </c>
      <c r="U71" s="28">
        <f t="shared" si="5"/>
        <v>0</v>
      </c>
      <c r="V71" s="28">
        <f>Table14[[#This Row],[Enrolment S.Y. 2025-2026 ]]*8</f>
        <v>0</v>
      </c>
      <c r="W71" s="28"/>
      <c r="X71" s="26"/>
      <c r="Y71" s="28"/>
      <c r="Z71" s="28">
        <f t="shared" si="6"/>
        <v>0</v>
      </c>
      <c r="AA71" s="28">
        <f t="shared" si="7"/>
        <v>0</v>
      </c>
    </row>
    <row r="72" spans="1:27" ht="21">
      <c r="A72" s="26">
        <v>7</v>
      </c>
      <c r="B72" s="27" t="s">
        <v>13</v>
      </c>
      <c r="C72" s="26"/>
      <c r="D72" s="35">
        <v>0</v>
      </c>
      <c r="E72" s="35"/>
      <c r="F72" s="36"/>
      <c r="G72" s="35"/>
      <c r="H72" s="35">
        <v>0</v>
      </c>
      <c r="I72" s="35">
        <v>0</v>
      </c>
      <c r="J72" s="35">
        <v>0</v>
      </c>
      <c r="K72" s="37"/>
      <c r="L72" s="38"/>
      <c r="M72" s="37"/>
      <c r="N72" s="37">
        <f t="shared" si="14"/>
        <v>0</v>
      </c>
      <c r="O72" s="37">
        <f t="shared" si="15"/>
        <v>0</v>
      </c>
      <c r="P72" s="28">
        <f>Table14[[#This Row],[Enrolment S.Y. 2025-2026 ]]*8</f>
        <v>0</v>
      </c>
      <c r="Q72" s="28"/>
      <c r="R72" s="26"/>
      <c r="S72" s="28"/>
      <c r="T72" s="28">
        <f t="shared" si="4"/>
        <v>0</v>
      </c>
      <c r="U72" s="28">
        <f t="shared" si="5"/>
        <v>0</v>
      </c>
      <c r="V72" s="28">
        <f>Table14[[#This Row],[Enrolment S.Y. 2025-2026 ]]*8</f>
        <v>0</v>
      </c>
      <c r="W72" s="28"/>
      <c r="X72" s="26"/>
      <c r="Y72" s="28"/>
      <c r="Z72" s="28">
        <f t="shared" si="6"/>
        <v>0</v>
      </c>
      <c r="AA72" s="28">
        <f t="shared" si="7"/>
        <v>0</v>
      </c>
    </row>
    <row r="73" spans="1:27" ht="21">
      <c r="A73" s="34">
        <v>7</v>
      </c>
      <c r="B73" s="27" t="s">
        <v>87</v>
      </c>
      <c r="C73" s="28"/>
      <c r="D73" s="35">
        <v>0</v>
      </c>
      <c r="E73" s="35"/>
      <c r="F73" s="36"/>
      <c r="G73" s="35"/>
      <c r="H73" s="35">
        <v>0</v>
      </c>
      <c r="I73" s="35">
        <v>0</v>
      </c>
      <c r="J73" s="35">
        <v>0</v>
      </c>
      <c r="K73" s="37"/>
      <c r="L73" s="38"/>
      <c r="M73" s="37"/>
      <c r="N73" s="37">
        <f t="shared" si="14"/>
        <v>0</v>
      </c>
      <c r="O73" s="37">
        <f t="shared" si="15"/>
        <v>0</v>
      </c>
      <c r="P73" s="28">
        <f>Table14[[#This Row],[Enrolment S.Y. 2025-2026 ]]*8</f>
        <v>0</v>
      </c>
      <c r="Q73" s="28"/>
      <c r="R73" s="26"/>
      <c r="S73" s="28"/>
      <c r="T73" s="28">
        <f>IF((P73-Q73)&lt;0,0,(P73-Q73))</f>
        <v>0</v>
      </c>
      <c r="U73" s="28">
        <f>IF((Q73-P73)&lt;0,0,(Q73-P73))</f>
        <v>0</v>
      </c>
      <c r="V73" s="28">
        <f>Table14[[#This Row],[Enrolment S.Y. 2025-2026 ]]*8</f>
        <v>0</v>
      </c>
      <c r="W73" s="28"/>
      <c r="X73" s="26"/>
      <c r="Y73" s="28"/>
      <c r="Z73" s="28">
        <f>IF((V73-W73)&lt;0,0,(V73-W73))</f>
        <v>0</v>
      </c>
      <c r="AA73" s="28">
        <f>IF((W73-V73)&lt;0,0,(W73-V73))</f>
        <v>0</v>
      </c>
    </row>
    <row r="74" spans="1:27" ht="21">
      <c r="A74" s="26">
        <v>7</v>
      </c>
      <c r="B74" s="27" t="s">
        <v>88</v>
      </c>
      <c r="C74" s="26"/>
      <c r="D74" s="35">
        <v>0</v>
      </c>
      <c r="E74" s="35"/>
      <c r="F74" s="36"/>
      <c r="G74" s="35"/>
      <c r="H74" s="35">
        <v>0</v>
      </c>
      <c r="I74" s="35">
        <v>0</v>
      </c>
      <c r="J74" s="35">
        <v>0</v>
      </c>
      <c r="K74" s="37"/>
      <c r="L74" s="38"/>
      <c r="M74" s="37"/>
      <c r="N74" s="37">
        <f t="shared" si="14"/>
        <v>0</v>
      </c>
      <c r="O74" s="37">
        <f t="shared" si="15"/>
        <v>0</v>
      </c>
      <c r="P74" s="28">
        <f>Table14[[#This Row],[Enrolment S.Y. 2025-2026 ]]*8</f>
        <v>0</v>
      </c>
      <c r="Q74" s="28"/>
      <c r="R74" s="26"/>
      <c r="S74" s="28"/>
      <c r="T74" s="28">
        <f t="shared" ref="T74:T122" si="16">IF((P74-Q74)&lt;0,0,(P74-Q74))</f>
        <v>0</v>
      </c>
      <c r="U74" s="28">
        <f t="shared" ref="U74:U122" si="17">IF((Q74-P74)&lt;0,0,(Q74-P74))</f>
        <v>0</v>
      </c>
      <c r="V74" s="28">
        <f>Table14[[#This Row],[Enrolment S.Y. 2025-2026 ]]*8</f>
        <v>0</v>
      </c>
      <c r="W74" s="28"/>
      <c r="X74" s="26"/>
      <c r="Y74" s="28"/>
      <c r="Z74" s="28">
        <f t="shared" ref="Z74:Z122" si="18">IF((V74-W74)&lt;0,0,(V74-W74))</f>
        <v>0</v>
      </c>
      <c r="AA74" s="28">
        <f t="shared" ref="AA74:AA122" si="19">IF((W74-V74)&lt;0,0,(W74-V74))</f>
        <v>0</v>
      </c>
    </row>
    <row r="75" spans="1:27" ht="21">
      <c r="A75" s="26">
        <v>7</v>
      </c>
      <c r="B75" s="27" t="s">
        <v>22</v>
      </c>
      <c r="C75" s="26"/>
      <c r="D75" s="35">
        <v>0</v>
      </c>
      <c r="E75" s="35"/>
      <c r="F75" s="36"/>
      <c r="G75" s="35"/>
      <c r="H75" s="35">
        <v>0</v>
      </c>
      <c r="I75" s="35">
        <v>0</v>
      </c>
      <c r="J75" s="35">
        <v>0</v>
      </c>
      <c r="K75" s="37"/>
      <c r="L75" s="38"/>
      <c r="M75" s="37"/>
      <c r="N75" s="37">
        <f t="shared" si="14"/>
        <v>0</v>
      </c>
      <c r="O75" s="37">
        <f t="shared" si="15"/>
        <v>0</v>
      </c>
      <c r="P75" s="28">
        <f>Table14[[#This Row],[Enrolment S.Y. 2025-2026 ]]*8</f>
        <v>0</v>
      </c>
      <c r="Q75" s="28"/>
      <c r="R75" s="26"/>
      <c r="S75" s="28"/>
      <c r="T75" s="28">
        <f t="shared" si="16"/>
        <v>0</v>
      </c>
      <c r="U75" s="28">
        <f t="shared" si="17"/>
        <v>0</v>
      </c>
      <c r="V75" s="28">
        <f>Table14[[#This Row],[Enrolment S.Y. 2025-2026 ]]*8</f>
        <v>0</v>
      </c>
      <c r="W75" s="28"/>
      <c r="X75" s="26"/>
      <c r="Y75" s="28"/>
      <c r="Z75" s="28">
        <f t="shared" si="18"/>
        <v>0</v>
      </c>
      <c r="AA75" s="28">
        <f t="shared" si="19"/>
        <v>0</v>
      </c>
    </row>
    <row r="76" spans="1:27" ht="21">
      <c r="A76" s="34">
        <v>7</v>
      </c>
      <c r="B76" s="27" t="s">
        <v>89</v>
      </c>
      <c r="C76" s="28"/>
      <c r="D76" s="35">
        <v>0</v>
      </c>
      <c r="E76" s="35"/>
      <c r="F76" s="36"/>
      <c r="G76" s="35"/>
      <c r="H76" s="35">
        <v>0</v>
      </c>
      <c r="I76" s="35">
        <v>0</v>
      </c>
      <c r="J76" s="35">
        <v>0</v>
      </c>
      <c r="K76" s="37"/>
      <c r="L76" s="38"/>
      <c r="M76" s="37"/>
      <c r="N76" s="37">
        <f t="shared" si="14"/>
        <v>0</v>
      </c>
      <c r="O76" s="37">
        <f t="shared" si="15"/>
        <v>0</v>
      </c>
      <c r="P76" s="28">
        <f>Table14[[#This Row],[Enrolment S.Y. 2025-2026 ]]*8</f>
        <v>0</v>
      </c>
      <c r="Q76" s="28"/>
      <c r="R76" s="26"/>
      <c r="S76" s="28"/>
      <c r="T76" s="28">
        <f t="shared" si="16"/>
        <v>0</v>
      </c>
      <c r="U76" s="28">
        <f t="shared" si="17"/>
        <v>0</v>
      </c>
      <c r="V76" s="28">
        <f>Table14[[#This Row],[Enrolment S.Y. 2025-2026 ]]*8</f>
        <v>0</v>
      </c>
      <c r="W76" s="28"/>
      <c r="X76" s="26"/>
      <c r="Y76" s="28"/>
      <c r="Z76" s="28">
        <f t="shared" si="18"/>
        <v>0</v>
      </c>
      <c r="AA76" s="28">
        <f t="shared" si="19"/>
        <v>0</v>
      </c>
    </row>
    <row r="77" spans="1:27" ht="21">
      <c r="A77" s="26">
        <v>7</v>
      </c>
      <c r="B77" s="27" t="s">
        <v>90</v>
      </c>
      <c r="C77" s="26"/>
      <c r="D77" s="35">
        <v>0</v>
      </c>
      <c r="E77" s="35"/>
      <c r="F77" s="36"/>
      <c r="G77" s="35"/>
      <c r="H77" s="35">
        <v>0</v>
      </c>
      <c r="I77" s="35">
        <v>0</v>
      </c>
      <c r="J77" s="35">
        <v>0</v>
      </c>
      <c r="K77" s="37"/>
      <c r="L77" s="38"/>
      <c r="M77" s="37"/>
      <c r="N77" s="37">
        <f t="shared" si="14"/>
        <v>0</v>
      </c>
      <c r="O77" s="37">
        <f t="shared" si="15"/>
        <v>0</v>
      </c>
      <c r="P77" s="28">
        <f>Table14[[#This Row],[Enrolment S.Y. 2025-2026 ]]*8</f>
        <v>0</v>
      </c>
      <c r="Q77" s="28"/>
      <c r="R77" s="26"/>
      <c r="S77" s="28"/>
      <c r="T77" s="28">
        <f t="shared" si="16"/>
        <v>0</v>
      </c>
      <c r="U77" s="28">
        <f t="shared" si="17"/>
        <v>0</v>
      </c>
      <c r="V77" s="28">
        <f>Table14[[#This Row],[Enrolment S.Y. 2025-2026 ]]*8</f>
        <v>0</v>
      </c>
      <c r="W77" s="28"/>
      <c r="X77" s="26"/>
      <c r="Y77" s="28"/>
      <c r="Z77" s="28">
        <f t="shared" si="18"/>
        <v>0</v>
      </c>
      <c r="AA77" s="28">
        <f t="shared" si="19"/>
        <v>0</v>
      </c>
    </row>
    <row r="78" spans="1:27" s="2" customFormat="1">
      <c r="D78" s="39"/>
      <c r="E78" s="39"/>
      <c r="F78" s="39"/>
      <c r="G78" s="39"/>
      <c r="H78" s="39"/>
      <c r="I78" s="39"/>
      <c r="J78" s="39"/>
      <c r="K78" s="40"/>
      <c r="L78" s="40"/>
      <c r="M78" s="41"/>
      <c r="N78" s="41"/>
      <c r="O78" s="41"/>
    </row>
    <row r="79" spans="1:27" ht="21">
      <c r="A79" s="26">
        <v>8</v>
      </c>
      <c r="B79" s="27" t="s">
        <v>14</v>
      </c>
      <c r="C79" s="26"/>
      <c r="D79" s="35">
        <v>0</v>
      </c>
      <c r="E79" s="35"/>
      <c r="F79" s="36"/>
      <c r="G79" s="35"/>
      <c r="H79" s="35">
        <v>0</v>
      </c>
      <c r="I79" s="35">
        <v>0</v>
      </c>
      <c r="J79" s="35">
        <v>0</v>
      </c>
      <c r="K79" s="37"/>
      <c r="L79" s="38"/>
      <c r="M79" s="37"/>
      <c r="N79" s="37">
        <f t="shared" ref="N79:N122" si="20">IF((J79-K79)&lt;0,0,(J79-K79))</f>
        <v>0</v>
      </c>
      <c r="O79" s="37">
        <f t="shared" ref="O79:O122" si="21">IF((K79-J79)&lt;0,0,(K79-J79))</f>
        <v>0</v>
      </c>
      <c r="P79" s="28">
        <f>Table14[[#This Row],[Enrolment S.Y. 2025-2026 ]]*8</f>
        <v>0</v>
      </c>
      <c r="Q79" s="28"/>
      <c r="R79" s="26"/>
      <c r="S79" s="28"/>
      <c r="T79" s="28">
        <f t="shared" si="16"/>
        <v>0</v>
      </c>
      <c r="U79" s="28">
        <f t="shared" si="17"/>
        <v>0</v>
      </c>
      <c r="V79" s="28">
        <f>Table14[[#This Row],[Enrolment S.Y. 2025-2026 ]]*8</f>
        <v>0</v>
      </c>
      <c r="W79" s="28"/>
      <c r="X79" s="26"/>
      <c r="Y79" s="28"/>
      <c r="Z79" s="28">
        <f t="shared" si="18"/>
        <v>0</v>
      </c>
      <c r="AA79" s="28">
        <f t="shared" si="19"/>
        <v>0</v>
      </c>
    </row>
    <row r="80" spans="1:27" ht="21">
      <c r="A80" s="26">
        <v>8</v>
      </c>
      <c r="B80" s="27" t="s">
        <v>15</v>
      </c>
      <c r="C80" s="26"/>
      <c r="D80" s="35">
        <v>0</v>
      </c>
      <c r="E80" s="35"/>
      <c r="F80" s="36"/>
      <c r="G80" s="35"/>
      <c r="H80" s="35">
        <v>0</v>
      </c>
      <c r="I80" s="35">
        <v>0</v>
      </c>
      <c r="J80" s="35">
        <v>0</v>
      </c>
      <c r="K80" s="37"/>
      <c r="L80" s="38"/>
      <c r="M80" s="37"/>
      <c r="N80" s="37">
        <f t="shared" si="20"/>
        <v>0</v>
      </c>
      <c r="O80" s="37">
        <f t="shared" si="21"/>
        <v>0</v>
      </c>
      <c r="P80" s="28">
        <f>Table14[[#This Row],[Enrolment S.Y. 2025-2026 ]]*8</f>
        <v>0</v>
      </c>
      <c r="Q80" s="28"/>
      <c r="R80" s="26"/>
      <c r="S80" s="28"/>
      <c r="T80" s="28">
        <f t="shared" si="16"/>
        <v>0</v>
      </c>
      <c r="U80" s="28">
        <f t="shared" si="17"/>
        <v>0</v>
      </c>
      <c r="V80" s="28">
        <f>Table14[[#This Row],[Enrolment S.Y. 2025-2026 ]]*8</f>
        <v>0</v>
      </c>
      <c r="W80" s="28"/>
      <c r="X80" s="26"/>
      <c r="Y80" s="28"/>
      <c r="Z80" s="28">
        <f t="shared" si="18"/>
        <v>0</v>
      </c>
      <c r="AA80" s="28">
        <f t="shared" si="19"/>
        <v>0</v>
      </c>
    </row>
    <row r="81" spans="1:27" ht="21">
      <c r="A81" s="26">
        <v>8</v>
      </c>
      <c r="B81" s="27" t="s">
        <v>12</v>
      </c>
      <c r="C81" s="26"/>
      <c r="D81" s="35">
        <v>0</v>
      </c>
      <c r="E81" s="35"/>
      <c r="F81" s="36"/>
      <c r="G81" s="35"/>
      <c r="H81" s="35">
        <v>0</v>
      </c>
      <c r="I81" s="35">
        <v>0</v>
      </c>
      <c r="J81" s="35">
        <v>0</v>
      </c>
      <c r="K81" s="37"/>
      <c r="L81" s="38"/>
      <c r="M81" s="37"/>
      <c r="N81" s="37">
        <f t="shared" si="20"/>
        <v>0</v>
      </c>
      <c r="O81" s="37">
        <f t="shared" si="21"/>
        <v>0</v>
      </c>
      <c r="P81" s="28">
        <f>Table14[[#This Row],[Enrolment S.Y. 2025-2026 ]]*8</f>
        <v>0</v>
      </c>
      <c r="Q81" s="28"/>
      <c r="R81" s="26"/>
      <c r="S81" s="28"/>
      <c r="T81" s="28">
        <f t="shared" si="16"/>
        <v>0</v>
      </c>
      <c r="U81" s="28">
        <f t="shared" si="17"/>
        <v>0</v>
      </c>
      <c r="V81" s="28">
        <f>Table14[[#This Row],[Enrolment S.Y. 2025-2026 ]]*8</f>
        <v>0</v>
      </c>
      <c r="W81" s="28"/>
      <c r="X81" s="26"/>
      <c r="Y81" s="28"/>
      <c r="Z81" s="28">
        <f t="shared" si="18"/>
        <v>0</v>
      </c>
      <c r="AA81" s="28">
        <f t="shared" si="19"/>
        <v>0</v>
      </c>
    </row>
    <row r="82" spans="1:27" ht="21">
      <c r="A82" s="26">
        <v>8</v>
      </c>
      <c r="B82" s="27" t="s">
        <v>21</v>
      </c>
      <c r="C82" s="26"/>
      <c r="D82" s="35">
        <v>0</v>
      </c>
      <c r="E82" s="35"/>
      <c r="F82" s="36"/>
      <c r="G82" s="35"/>
      <c r="H82" s="35">
        <v>0</v>
      </c>
      <c r="I82" s="35">
        <v>0</v>
      </c>
      <c r="J82" s="35">
        <v>0</v>
      </c>
      <c r="K82" s="37"/>
      <c r="L82" s="38"/>
      <c r="M82" s="37"/>
      <c r="N82" s="37">
        <f t="shared" si="20"/>
        <v>0</v>
      </c>
      <c r="O82" s="37">
        <f t="shared" si="21"/>
        <v>0</v>
      </c>
      <c r="P82" s="28">
        <f>Table14[[#This Row],[Enrolment S.Y. 2025-2026 ]]*8</f>
        <v>0</v>
      </c>
      <c r="Q82" s="28"/>
      <c r="R82" s="26"/>
      <c r="S82" s="28"/>
      <c r="T82" s="28">
        <f t="shared" si="16"/>
        <v>0</v>
      </c>
      <c r="U82" s="28">
        <f t="shared" si="17"/>
        <v>0</v>
      </c>
      <c r="V82" s="28">
        <f>Table14[[#This Row],[Enrolment S.Y. 2025-2026 ]]*8</f>
        <v>0</v>
      </c>
      <c r="W82" s="28"/>
      <c r="X82" s="26"/>
      <c r="Y82" s="28"/>
      <c r="Z82" s="28">
        <f t="shared" si="18"/>
        <v>0</v>
      </c>
      <c r="AA82" s="28">
        <f t="shared" si="19"/>
        <v>0</v>
      </c>
    </row>
    <row r="83" spans="1:27" ht="21">
      <c r="A83" s="26">
        <v>8</v>
      </c>
      <c r="B83" s="27" t="s">
        <v>23</v>
      </c>
      <c r="C83" s="26"/>
      <c r="D83" s="35">
        <v>0</v>
      </c>
      <c r="E83" s="35"/>
      <c r="F83" s="36"/>
      <c r="G83" s="35"/>
      <c r="H83" s="35">
        <v>0</v>
      </c>
      <c r="I83" s="35">
        <v>0</v>
      </c>
      <c r="J83" s="35">
        <v>0</v>
      </c>
      <c r="K83" s="37"/>
      <c r="L83" s="38"/>
      <c r="M83" s="37"/>
      <c r="N83" s="37">
        <f t="shared" si="20"/>
        <v>0</v>
      </c>
      <c r="O83" s="37">
        <f t="shared" si="21"/>
        <v>0</v>
      </c>
      <c r="P83" s="28">
        <f>Table14[[#This Row],[Enrolment S.Y. 2025-2026 ]]*8</f>
        <v>0</v>
      </c>
      <c r="Q83" s="28"/>
      <c r="R83" s="26"/>
      <c r="S83" s="28"/>
      <c r="T83" s="28">
        <f t="shared" si="16"/>
        <v>0</v>
      </c>
      <c r="U83" s="28">
        <f t="shared" si="17"/>
        <v>0</v>
      </c>
      <c r="V83" s="28">
        <f>Table14[[#This Row],[Enrolment S.Y. 2025-2026 ]]*8</f>
        <v>0</v>
      </c>
      <c r="W83" s="28"/>
      <c r="X83" s="26"/>
      <c r="Y83" s="28"/>
      <c r="Z83" s="28">
        <f t="shared" si="18"/>
        <v>0</v>
      </c>
      <c r="AA83" s="28">
        <f t="shared" si="19"/>
        <v>0</v>
      </c>
    </row>
    <row r="84" spans="1:27" ht="21">
      <c r="A84" s="26">
        <v>8</v>
      </c>
      <c r="B84" s="27" t="s">
        <v>13</v>
      </c>
      <c r="C84" s="26"/>
      <c r="D84" s="35">
        <v>0</v>
      </c>
      <c r="E84" s="35"/>
      <c r="F84" s="36"/>
      <c r="G84" s="35"/>
      <c r="H84" s="35">
        <v>0</v>
      </c>
      <c r="I84" s="35">
        <v>0</v>
      </c>
      <c r="J84" s="35">
        <v>0</v>
      </c>
      <c r="K84" s="37"/>
      <c r="L84" s="38"/>
      <c r="M84" s="37"/>
      <c r="N84" s="37">
        <f t="shared" si="20"/>
        <v>0</v>
      </c>
      <c r="O84" s="37">
        <f t="shared" si="21"/>
        <v>0</v>
      </c>
      <c r="P84" s="28">
        <f>Table14[[#This Row],[Enrolment S.Y. 2025-2026 ]]*8</f>
        <v>0</v>
      </c>
      <c r="Q84" s="28"/>
      <c r="R84" s="26"/>
      <c r="S84" s="28"/>
      <c r="T84" s="28">
        <f t="shared" si="16"/>
        <v>0</v>
      </c>
      <c r="U84" s="28">
        <f t="shared" si="17"/>
        <v>0</v>
      </c>
      <c r="V84" s="28">
        <f>Table14[[#This Row],[Enrolment S.Y. 2025-2026 ]]*8</f>
        <v>0</v>
      </c>
      <c r="W84" s="28"/>
      <c r="X84" s="26"/>
      <c r="Y84" s="28"/>
      <c r="Z84" s="28">
        <f t="shared" si="18"/>
        <v>0</v>
      </c>
      <c r="AA84" s="28">
        <f t="shared" si="19"/>
        <v>0</v>
      </c>
    </row>
    <row r="85" spans="1:27" ht="21">
      <c r="A85" s="34">
        <v>8</v>
      </c>
      <c r="B85" s="27" t="s">
        <v>87</v>
      </c>
      <c r="C85" s="28"/>
      <c r="D85" s="35">
        <v>0</v>
      </c>
      <c r="E85" s="35"/>
      <c r="F85" s="36"/>
      <c r="G85" s="35"/>
      <c r="H85" s="35">
        <v>0</v>
      </c>
      <c r="I85" s="35">
        <v>0</v>
      </c>
      <c r="J85" s="35">
        <v>0</v>
      </c>
      <c r="K85" s="37"/>
      <c r="L85" s="38"/>
      <c r="M85" s="37"/>
      <c r="N85" s="37">
        <f t="shared" si="20"/>
        <v>0</v>
      </c>
      <c r="O85" s="37">
        <f t="shared" si="21"/>
        <v>0</v>
      </c>
      <c r="P85" s="28">
        <f>Table14[[#This Row],[Enrolment S.Y. 2025-2026 ]]*8</f>
        <v>0</v>
      </c>
      <c r="Q85" s="28"/>
      <c r="R85" s="26"/>
      <c r="S85" s="28"/>
      <c r="T85" s="28">
        <f t="shared" si="16"/>
        <v>0</v>
      </c>
      <c r="U85" s="28">
        <f t="shared" si="17"/>
        <v>0</v>
      </c>
      <c r="V85" s="28">
        <f>Table14[[#This Row],[Enrolment S.Y. 2025-2026 ]]*8</f>
        <v>0</v>
      </c>
      <c r="W85" s="28"/>
      <c r="X85" s="26"/>
      <c r="Y85" s="28"/>
      <c r="Z85" s="28">
        <f t="shared" si="18"/>
        <v>0</v>
      </c>
      <c r="AA85" s="28">
        <f t="shared" si="19"/>
        <v>0</v>
      </c>
    </row>
    <row r="86" spans="1:27" ht="21">
      <c r="A86" s="26">
        <v>8</v>
      </c>
      <c r="B86" s="27" t="s">
        <v>88</v>
      </c>
      <c r="C86" s="26"/>
      <c r="D86" s="35">
        <v>0</v>
      </c>
      <c r="E86" s="35"/>
      <c r="F86" s="36"/>
      <c r="G86" s="35"/>
      <c r="H86" s="35">
        <v>0</v>
      </c>
      <c r="I86" s="35">
        <v>0</v>
      </c>
      <c r="J86" s="35">
        <v>0</v>
      </c>
      <c r="K86" s="37"/>
      <c r="L86" s="38"/>
      <c r="M86" s="37"/>
      <c r="N86" s="37">
        <f t="shared" si="20"/>
        <v>0</v>
      </c>
      <c r="O86" s="37">
        <f t="shared" si="21"/>
        <v>0</v>
      </c>
      <c r="P86" s="28">
        <f>Table14[[#This Row],[Enrolment S.Y. 2025-2026 ]]*8</f>
        <v>0</v>
      </c>
      <c r="Q86" s="28"/>
      <c r="R86" s="26"/>
      <c r="S86" s="28"/>
      <c r="T86" s="28">
        <f t="shared" si="16"/>
        <v>0</v>
      </c>
      <c r="U86" s="28">
        <f t="shared" si="17"/>
        <v>0</v>
      </c>
      <c r="V86" s="28">
        <f>Table14[[#This Row],[Enrolment S.Y. 2025-2026 ]]*8</f>
        <v>0</v>
      </c>
      <c r="W86" s="28"/>
      <c r="X86" s="26"/>
      <c r="Y86" s="28"/>
      <c r="Z86" s="28">
        <f t="shared" si="18"/>
        <v>0</v>
      </c>
      <c r="AA86" s="28">
        <f t="shared" si="19"/>
        <v>0</v>
      </c>
    </row>
    <row r="87" spans="1:27" ht="21">
      <c r="A87" s="26">
        <v>8</v>
      </c>
      <c r="B87" s="27" t="s">
        <v>22</v>
      </c>
      <c r="C87" s="26"/>
      <c r="D87" s="35">
        <v>0</v>
      </c>
      <c r="E87" s="35"/>
      <c r="F87" s="36"/>
      <c r="G87" s="35"/>
      <c r="H87" s="35">
        <v>0</v>
      </c>
      <c r="I87" s="35">
        <v>0</v>
      </c>
      <c r="J87" s="35">
        <v>0</v>
      </c>
      <c r="K87" s="37"/>
      <c r="L87" s="38"/>
      <c r="M87" s="37"/>
      <c r="N87" s="37">
        <f t="shared" si="20"/>
        <v>0</v>
      </c>
      <c r="O87" s="37">
        <f t="shared" si="21"/>
        <v>0</v>
      </c>
      <c r="P87" s="28">
        <f>Table14[[#This Row],[Enrolment S.Y. 2025-2026 ]]*8</f>
        <v>0</v>
      </c>
      <c r="Q87" s="28"/>
      <c r="R87" s="26"/>
      <c r="S87" s="28"/>
      <c r="T87" s="28">
        <f t="shared" si="16"/>
        <v>0</v>
      </c>
      <c r="U87" s="28">
        <f t="shared" si="17"/>
        <v>0</v>
      </c>
      <c r="V87" s="28">
        <f>Table14[[#This Row],[Enrolment S.Y. 2025-2026 ]]*8</f>
        <v>0</v>
      </c>
      <c r="W87" s="28"/>
      <c r="X87" s="26"/>
      <c r="Y87" s="28"/>
      <c r="Z87" s="28">
        <f t="shared" si="18"/>
        <v>0</v>
      </c>
      <c r="AA87" s="28">
        <f t="shared" si="19"/>
        <v>0</v>
      </c>
    </row>
    <row r="88" spans="1:27" ht="21">
      <c r="A88" s="34">
        <v>8</v>
      </c>
      <c r="B88" s="27" t="s">
        <v>89</v>
      </c>
      <c r="C88" s="28"/>
      <c r="D88" s="35">
        <v>0</v>
      </c>
      <c r="E88" s="35"/>
      <c r="F88" s="36"/>
      <c r="G88" s="35"/>
      <c r="H88" s="35">
        <v>0</v>
      </c>
      <c r="I88" s="35">
        <v>0</v>
      </c>
      <c r="J88" s="35">
        <v>0</v>
      </c>
      <c r="K88" s="37"/>
      <c r="L88" s="38"/>
      <c r="M88" s="37"/>
      <c r="N88" s="37">
        <f t="shared" si="20"/>
        <v>0</v>
      </c>
      <c r="O88" s="37">
        <f t="shared" si="21"/>
        <v>0</v>
      </c>
      <c r="P88" s="28">
        <f>Table14[[#This Row],[Enrolment S.Y. 2025-2026 ]]*8</f>
        <v>0</v>
      </c>
      <c r="Q88" s="28"/>
      <c r="R88" s="26"/>
      <c r="S88" s="28"/>
      <c r="T88" s="28">
        <f t="shared" si="16"/>
        <v>0</v>
      </c>
      <c r="U88" s="28">
        <f t="shared" si="17"/>
        <v>0</v>
      </c>
      <c r="V88" s="28">
        <f>Table14[[#This Row],[Enrolment S.Y. 2025-2026 ]]*8</f>
        <v>0</v>
      </c>
      <c r="W88" s="28"/>
      <c r="X88" s="26"/>
      <c r="Y88" s="28"/>
      <c r="Z88" s="28">
        <f t="shared" si="18"/>
        <v>0</v>
      </c>
      <c r="AA88" s="28">
        <f t="shared" si="19"/>
        <v>0</v>
      </c>
    </row>
    <row r="89" spans="1:27" ht="21">
      <c r="A89" s="26">
        <v>8</v>
      </c>
      <c r="B89" s="27" t="s">
        <v>90</v>
      </c>
      <c r="C89" s="26"/>
      <c r="D89" s="35">
        <v>0</v>
      </c>
      <c r="E89" s="35"/>
      <c r="F89" s="36"/>
      <c r="G89" s="35"/>
      <c r="H89" s="35">
        <v>0</v>
      </c>
      <c r="I89" s="35">
        <v>0</v>
      </c>
      <c r="J89" s="35">
        <v>0</v>
      </c>
      <c r="K89" s="37"/>
      <c r="L89" s="38"/>
      <c r="M89" s="37"/>
      <c r="N89" s="37">
        <f t="shared" si="20"/>
        <v>0</v>
      </c>
      <c r="O89" s="37">
        <f t="shared" si="21"/>
        <v>0</v>
      </c>
      <c r="P89" s="28">
        <f>Table14[[#This Row],[Enrolment S.Y. 2025-2026 ]]*8</f>
        <v>0</v>
      </c>
      <c r="Q89" s="28"/>
      <c r="R89" s="26"/>
      <c r="S89" s="28"/>
      <c r="T89" s="28">
        <f t="shared" si="16"/>
        <v>0</v>
      </c>
      <c r="U89" s="28">
        <f t="shared" si="17"/>
        <v>0</v>
      </c>
      <c r="V89" s="28">
        <f>Table14[[#This Row],[Enrolment S.Y. 2025-2026 ]]*8</f>
        <v>0</v>
      </c>
      <c r="W89" s="28"/>
      <c r="X89" s="26"/>
      <c r="Y89" s="28"/>
      <c r="Z89" s="28">
        <f t="shared" si="18"/>
        <v>0</v>
      </c>
      <c r="AA89" s="28">
        <f t="shared" si="19"/>
        <v>0</v>
      </c>
    </row>
    <row r="90" spans="1:27" s="2" customFormat="1">
      <c r="D90" s="39"/>
      <c r="E90" s="39"/>
      <c r="F90" s="39"/>
      <c r="G90" s="39"/>
      <c r="H90" s="39"/>
      <c r="I90" s="39"/>
      <c r="J90" s="39"/>
      <c r="K90" s="40"/>
      <c r="L90" s="40"/>
      <c r="M90" s="41"/>
      <c r="N90" s="41"/>
      <c r="O90" s="41"/>
    </row>
    <row r="91" spans="1:27" ht="21">
      <c r="A91" s="26">
        <v>9</v>
      </c>
      <c r="B91" s="27" t="s">
        <v>14</v>
      </c>
      <c r="C91" s="26"/>
      <c r="D91" s="35">
        <v>0</v>
      </c>
      <c r="E91" s="35"/>
      <c r="F91" s="36"/>
      <c r="G91" s="35"/>
      <c r="H91" s="35">
        <v>0</v>
      </c>
      <c r="I91" s="35">
        <v>0</v>
      </c>
      <c r="J91" s="35">
        <v>0</v>
      </c>
      <c r="K91" s="37"/>
      <c r="L91" s="38"/>
      <c r="M91" s="37"/>
      <c r="N91" s="37">
        <f t="shared" si="20"/>
        <v>0</v>
      </c>
      <c r="O91" s="37">
        <f t="shared" si="21"/>
        <v>0</v>
      </c>
      <c r="P91" s="28">
        <f>Table14[[#This Row],[Enrolment S.Y. 2025-2026 ]]*8</f>
        <v>0</v>
      </c>
      <c r="Q91" s="28"/>
      <c r="R91" s="26"/>
      <c r="S91" s="28"/>
      <c r="T91" s="28">
        <f t="shared" si="16"/>
        <v>0</v>
      </c>
      <c r="U91" s="28">
        <f t="shared" si="17"/>
        <v>0</v>
      </c>
      <c r="V91" s="28">
        <f>Table14[[#This Row],[Enrolment S.Y. 2025-2026 ]]*8</f>
        <v>0</v>
      </c>
      <c r="W91" s="28"/>
      <c r="X91" s="26"/>
      <c r="Y91" s="28"/>
      <c r="Z91" s="28">
        <f t="shared" si="18"/>
        <v>0</v>
      </c>
      <c r="AA91" s="28">
        <f t="shared" si="19"/>
        <v>0</v>
      </c>
    </row>
    <row r="92" spans="1:27" ht="21">
      <c r="A92" s="26">
        <v>9</v>
      </c>
      <c r="B92" s="27" t="s">
        <v>15</v>
      </c>
      <c r="C92" s="26"/>
      <c r="D92" s="35">
        <v>723</v>
      </c>
      <c r="E92" s="35">
        <v>195</v>
      </c>
      <c r="F92" s="36">
        <v>2025</v>
      </c>
      <c r="G92" s="35" t="s">
        <v>92</v>
      </c>
      <c r="H92" s="35">
        <v>528</v>
      </c>
      <c r="I92" s="35">
        <v>0</v>
      </c>
      <c r="J92" s="35">
        <v>0</v>
      </c>
      <c r="K92" s="37"/>
      <c r="L92" s="38"/>
      <c r="M92" s="37"/>
      <c r="N92" s="37">
        <f t="shared" si="20"/>
        <v>0</v>
      </c>
      <c r="O92" s="37">
        <f t="shared" si="21"/>
        <v>0</v>
      </c>
      <c r="P92" s="28">
        <f>Table14[[#This Row],[Enrolment S.Y. 2025-2026 ]]*8</f>
        <v>0</v>
      </c>
      <c r="Q92" s="28"/>
      <c r="R92" s="26"/>
      <c r="S92" s="28"/>
      <c r="T92" s="28">
        <f t="shared" si="16"/>
        <v>0</v>
      </c>
      <c r="U92" s="28">
        <f t="shared" si="17"/>
        <v>0</v>
      </c>
      <c r="V92" s="28">
        <f>Table14[[#This Row],[Enrolment S.Y. 2025-2026 ]]*8</f>
        <v>0</v>
      </c>
      <c r="W92" s="28"/>
      <c r="X92" s="26"/>
      <c r="Y92" s="28"/>
      <c r="Z92" s="28">
        <f t="shared" si="18"/>
        <v>0</v>
      </c>
      <c r="AA92" s="28">
        <f t="shared" si="19"/>
        <v>0</v>
      </c>
    </row>
    <row r="93" spans="1:27" ht="21">
      <c r="A93" s="26">
        <v>9</v>
      </c>
      <c r="B93" s="27" t="s">
        <v>12</v>
      </c>
      <c r="C93" s="26"/>
      <c r="D93" s="35">
        <v>723</v>
      </c>
      <c r="E93" s="35">
        <v>195</v>
      </c>
      <c r="F93" s="36">
        <v>2025</v>
      </c>
      <c r="G93" s="35" t="s">
        <v>92</v>
      </c>
      <c r="H93" s="35">
        <v>528</v>
      </c>
      <c r="I93" s="35">
        <v>0</v>
      </c>
      <c r="J93" s="35">
        <v>0</v>
      </c>
      <c r="K93" s="37"/>
      <c r="L93" s="38"/>
      <c r="M93" s="37"/>
      <c r="N93" s="37">
        <f t="shared" si="20"/>
        <v>0</v>
      </c>
      <c r="O93" s="37">
        <f t="shared" si="21"/>
        <v>0</v>
      </c>
      <c r="P93" s="28">
        <f>Table14[[#This Row],[Enrolment S.Y. 2025-2026 ]]*8</f>
        <v>0</v>
      </c>
      <c r="Q93" s="28"/>
      <c r="R93" s="26"/>
      <c r="S93" s="28"/>
      <c r="T93" s="28">
        <f t="shared" si="16"/>
        <v>0</v>
      </c>
      <c r="U93" s="28">
        <f t="shared" si="17"/>
        <v>0</v>
      </c>
      <c r="V93" s="28">
        <f>Table14[[#This Row],[Enrolment S.Y. 2025-2026 ]]*8</f>
        <v>0</v>
      </c>
      <c r="W93" s="28"/>
      <c r="X93" s="26"/>
      <c r="Y93" s="28"/>
      <c r="Z93" s="28">
        <f t="shared" si="18"/>
        <v>0</v>
      </c>
      <c r="AA93" s="28">
        <f t="shared" si="19"/>
        <v>0</v>
      </c>
    </row>
    <row r="94" spans="1:27" ht="21">
      <c r="A94" s="26">
        <v>9</v>
      </c>
      <c r="B94" s="27" t="s">
        <v>21</v>
      </c>
      <c r="C94" s="26"/>
      <c r="D94" s="35">
        <v>0</v>
      </c>
      <c r="E94" s="35"/>
      <c r="F94" s="36"/>
      <c r="G94" s="35"/>
      <c r="H94" s="35">
        <v>0</v>
      </c>
      <c r="I94" s="35">
        <v>0</v>
      </c>
      <c r="J94" s="35">
        <v>0</v>
      </c>
      <c r="K94" s="37"/>
      <c r="L94" s="38"/>
      <c r="M94" s="37"/>
      <c r="N94" s="37">
        <f t="shared" si="20"/>
        <v>0</v>
      </c>
      <c r="O94" s="37">
        <f t="shared" si="21"/>
        <v>0</v>
      </c>
      <c r="P94" s="28">
        <f>Table14[[#This Row],[Enrolment S.Y. 2025-2026 ]]*8</f>
        <v>0</v>
      </c>
      <c r="Q94" s="28"/>
      <c r="R94" s="26"/>
      <c r="S94" s="28"/>
      <c r="T94" s="28">
        <f t="shared" si="16"/>
        <v>0</v>
      </c>
      <c r="U94" s="28">
        <f t="shared" si="17"/>
        <v>0</v>
      </c>
      <c r="V94" s="28">
        <f>Table14[[#This Row],[Enrolment S.Y. 2025-2026 ]]*8</f>
        <v>0</v>
      </c>
      <c r="W94" s="28"/>
      <c r="X94" s="26"/>
      <c r="Y94" s="28"/>
      <c r="Z94" s="28">
        <f t="shared" si="18"/>
        <v>0</v>
      </c>
      <c r="AA94" s="28">
        <f t="shared" si="19"/>
        <v>0</v>
      </c>
    </row>
    <row r="95" spans="1:27" ht="21">
      <c r="A95" s="26">
        <v>9</v>
      </c>
      <c r="B95" s="27" t="s">
        <v>23</v>
      </c>
      <c r="C95" s="26"/>
      <c r="D95" s="35">
        <v>0</v>
      </c>
      <c r="E95" s="35"/>
      <c r="F95" s="36"/>
      <c r="G95" s="35"/>
      <c r="H95" s="35">
        <v>0</v>
      </c>
      <c r="I95" s="35">
        <v>0</v>
      </c>
      <c r="J95" s="35">
        <v>0</v>
      </c>
      <c r="K95" s="37"/>
      <c r="L95" s="38"/>
      <c r="M95" s="37"/>
      <c r="N95" s="37">
        <f t="shared" si="20"/>
        <v>0</v>
      </c>
      <c r="O95" s="37">
        <f t="shared" si="21"/>
        <v>0</v>
      </c>
      <c r="P95" s="28">
        <f>Table14[[#This Row],[Enrolment S.Y. 2025-2026 ]]*8</f>
        <v>0</v>
      </c>
      <c r="Q95" s="28"/>
      <c r="R95" s="26"/>
      <c r="S95" s="28"/>
      <c r="T95" s="28">
        <f t="shared" si="16"/>
        <v>0</v>
      </c>
      <c r="U95" s="28">
        <f t="shared" si="17"/>
        <v>0</v>
      </c>
      <c r="V95" s="28">
        <f>Table14[[#This Row],[Enrolment S.Y. 2025-2026 ]]*8</f>
        <v>0</v>
      </c>
      <c r="W95" s="28"/>
      <c r="X95" s="26"/>
      <c r="Y95" s="28"/>
      <c r="Z95" s="28">
        <f t="shared" si="18"/>
        <v>0</v>
      </c>
      <c r="AA95" s="28">
        <f t="shared" si="19"/>
        <v>0</v>
      </c>
    </row>
    <row r="96" spans="1:27" ht="21">
      <c r="A96" s="26">
        <v>9</v>
      </c>
      <c r="B96" s="27" t="s">
        <v>13</v>
      </c>
      <c r="C96" s="26"/>
      <c r="D96" s="35">
        <v>0</v>
      </c>
      <c r="E96" s="35"/>
      <c r="F96" s="36"/>
      <c r="G96" s="35"/>
      <c r="H96" s="35">
        <v>0</v>
      </c>
      <c r="I96" s="35">
        <v>0</v>
      </c>
      <c r="J96" s="35">
        <v>0</v>
      </c>
      <c r="K96" s="37"/>
      <c r="L96" s="38"/>
      <c r="M96" s="37"/>
      <c r="N96" s="37">
        <f t="shared" si="20"/>
        <v>0</v>
      </c>
      <c r="O96" s="37">
        <f t="shared" si="21"/>
        <v>0</v>
      </c>
      <c r="P96" s="28">
        <f>Table14[[#This Row],[Enrolment S.Y. 2025-2026 ]]*8</f>
        <v>0</v>
      </c>
      <c r="Q96" s="28"/>
      <c r="R96" s="26"/>
      <c r="S96" s="28"/>
      <c r="T96" s="28">
        <f t="shared" si="16"/>
        <v>0</v>
      </c>
      <c r="U96" s="28">
        <f t="shared" si="17"/>
        <v>0</v>
      </c>
      <c r="V96" s="28">
        <f>Table14[[#This Row],[Enrolment S.Y. 2025-2026 ]]*8</f>
        <v>0</v>
      </c>
      <c r="W96" s="28"/>
      <c r="X96" s="26"/>
      <c r="Y96" s="28"/>
      <c r="Z96" s="28">
        <f t="shared" si="18"/>
        <v>0</v>
      </c>
      <c r="AA96" s="28">
        <f t="shared" si="19"/>
        <v>0</v>
      </c>
    </row>
    <row r="97" spans="1:27" ht="21">
      <c r="A97" s="34">
        <v>9</v>
      </c>
      <c r="B97" s="27" t="s">
        <v>87</v>
      </c>
      <c r="C97" s="26"/>
      <c r="D97" s="35">
        <v>0</v>
      </c>
      <c r="E97" s="35"/>
      <c r="F97" s="36"/>
      <c r="G97" s="35"/>
      <c r="H97" s="35">
        <v>0</v>
      </c>
      <c r="I97" s="35">
        <v>0</v>
      </c>
      <c r="J97" s="35">
        <v>0</v>
      </c>
      <c r="K97" s="37"/>
      <c r="L97" s="38"/>
      <c r="M97" s="37"/>
      <c r="N97" s="37">
        <f t="shared" si="20"/>
        <v>0</v>
      </c>
      <c r="O97" s="37">
        <f t="shared" si="21"/>
        <v>0</v>
      </c>
      <c r="P97" s="28">
        <f>Table14[[#This Row],[Enrolment S.Y. 2025-2026 ]]*8</f>
        <v>0</v>
      </c>
      <c r="Q97" s="28"/>
      <c r="R97" s="26"/>
      <c r="S97" s="28"/>
      <c r="T97" s="28">
        <f t="shared" si="16"/>
        <v>0</v>
      </c>
      <c r="U97" s="28">
        <f t="shared" si="17"/>
        <v>0</v>
      </c>
      <c r="V97" s="28">
        <f>Table14[[#This Row],[Enrolment S.Y. 2025-2026 ]]*8</f>
        <v>0</v>
      </c>
      <c r="W97" s="28"/>
      <c r="X97" s="26"/>
      <c r="Y97" s="28"/>
      <c r="Z97" s="28">
        <f t="shared" si="18"/>
        <v>0</v>
      </c>
      <c r="AA97" s="28">
        <f t="shared" si="19"/>
        <v>0</v>
      </c>
    </row>
    <row r="98" spans="1:27" ht="21">
      <c r="A98" s="26">
        <v>9</v>
      </c>
      <c r="B98" s="27" t="s">
        <v>88</v>
      </c>
      <c r="C98" s="26"/>
      <c r="D98" s="35">
        <v>0</v>
      </c>
      <c r="E98" s="35"/>
      <c r="F98" s="36"/>
      <c r="G98" s="35"/>
      <c r="H98" s="35">
        <v>0</v>
      </c>
      <c r="I98" s="35">
        <v>0</v>
      </c>
      <c r="J98" s="35">
        <v>0</v>
      </c>
      <c r="K98" s="37"/>
      <c r="L98" s="38"/>
      <c r="M98" s="37"/>
      <c r="N98" s="37">
        <f t="shared" si="20"/>
        <v>0</v>
      </c>
      <c r="O98" s="37">
        <f t="shared" si="21"/>
        <v>0</v>
      </c>
      <c r="P98" s="28">
        <f>Table14[[#This Row],[Enrolment S.Y. 2025-2026 ]]*8</f>
        <v>0</v>
      </c>
      <c r="Q98" s="28"/>
      <c r="R98" s="26"/>
      <c r="S98" s="28"/>
      <c r="T98" s="28">
        <f t="shared" si="16"/>
        <v>0</v>
      </c>
      <c r="U98" s="28">
        <f t="shared" si="17"/>
        <v>0</v>
      </c>
      <c r="V98" s="28">
        <f>Table14[[#This Row],[Enrolment S.Y. 2025-2026 ]]*8</f>
        <v>0</v>
      </c>
      <c r="W98" s="28"/>
      <c r="X98" s="26"/>
      <c r="Y98" s="28"/>
      <c r="Z98" s="28">
        <f t="shared" si="18"/>
        <v>0</v>
      </c>
      <c r="AA98" s="28">
        <f t="shared" si="19"/>
        <v>0</v>
      </c>
    </row>
    <row r="99" spans="1:27" ht="21">
      <c r="A99" s="26">
        <v>9</v>
      </c>
      <c r="B99" s="27" t="s">
        <v>22</v>
      </c>
      <c r="C99" s="26"/>
      <c r="D99" s="35">
        <v>0</v>
      </c>
      <c r="E99" s="35"/>
      <c r="F99" s="36"/>
      <c r="G99" s="35"/>
      <c r="H99" s="35">
        <v>0</v>
      </c>
      <c r="I99" s="35">
        <v>0</v>
      </c>
      <c r="J99" s="35">
        <v>0</v>
      </c>
      <c r="K99" s="37"/>
      <c r="L99" s="38"/>
      <c r="M99" s="37"/>
      <c r="N99" s="37">
        <f t="shared" si="20"/>
        <v>0</v>
      </c>
      <c r="O99" s="37">
        <f t="shared" si="21"/>
        <v>0</v>
      </c>
      <c r="P99" s="28">
        <f>Table14[[#This Row],[Enrolment S.Y. 2025-2026 ]]*8</f>
        <v>0</v>
      </c>
      <c r="Q99" s="28"/>
      <c r="R99" s="26"/>
      <c r="S99" s="28"/>
      <c r="T99" s="28">
        <f t="shared" si="16"/>
        <v>0</v>
      </c>
      <c r="U99" s="28">
        <f t="shared" si="17"/>
        <v>0</v>
      </c>
      <c r="V99" s="28">
        <f>Table14[[#This Row],[Enrolment S.Y. 2025-2026 ]]*8</f>
        <v>0</v>
      </c>
      <c r="W99" s="28"/>
      <c r="X99" s="26"/>
      <c r="Y99" s="28"/>
      <c r="Z99" s="28">
        <f t="shared" si="18"/>
        <v>0</v>
      </c>
      <c r="AA99" s="28">
        <f t="shared" si="19"/>
        <v>0</v>
      </c>
    </row>
    <row r="100" spans="1:27" ht="21">
      <c r="A100" s="34">
        <v>9</v>
      </c>
      <c r="B100" s="27" t="s">
        <v>89</v>
      </c>
      <c r="C100" s="26"/>
      <c r="D100" s="35">
        <v>0</v>
      </c>
      <c r="E100" s="35"/>
      <c r="F100" s="36"/>
      <c r="G100" s="35"/>
      <c r="H100" s="35">
        <v>0</v>
      </c>
      <c r="I100" s="35">
        <v>0</v>
      </c>
      <c r="J100" s="35">
        <v>0</v>
      </c>
      <c r="K100" s="37"/>
      <c r="L100" s="38"/>
      <c r="M100" s="37"/>
      <c r="N100" s="37">
        <f t="shared" si="20"/>
        <v>0</v>
      </c>
      <c r="O100" s="37">
        <f t="shared" si="21"/>
        <v>0</v>
      </c>
      <c r="P100" s="28">
        <f>Table14[[#This Row],[Enrolment S.Y. 2025-2026 ]]*8</f>
        <v>0</v>
      </c>
      <c r="Q100" s="28"/>
      <c r="R100" s="26"/>
      <c r="S100" s="28"/>
      <c r="T100" s="28">
        <f t="shared" si="16"/>
        <v>0</v>
      </c>
      <c r="U100" s="28">
        <f t="shared" si="17"/>
        <v>0</v>
      </c>
      <c r="V100" s="28">
        <f>Table14[[#This Row],[Enrolment S.Y. 2025-2026 ]]*8</f>
        <v>0</v>
      </c>
      <c r="W100" s="28"/>
      <c r="X100" s="26"/>
      <c r="Y100" s="28"/>
      <c r="Z100" s="28">
        <f t="shared" si="18"/>
        <v>0</v>
      </c>
      <c r="AA100" s="28">
        <f t="shared" si="19"/>
        <v>0</v>
      </c>
    </row>
    <row r="101" spans="1:27" ht="21">
      <c r="A101" s="26">
        <v>9</v>
      </c>
      <c r="B101" s="27" t="s">
        <v>90</v>
      </c>
      <c r="C101" s="26"/>
      <c r="D101" s="35">
        <v>0</v>
      </c>
      <c r="E101" s="35"/>
      <c r="F101" s="36"/>
      <c r="G101" s="35"/>
      <c r="H101" s="35">
        <v>0</v>
      </c>
      <c r="I101" s="35">
        <v>0</v>
      </c>
      <c r="J101" s="35">
        <v>0</v>
      </c>
      <c r="K101" s="37"/>
      <c r="L101" s="38"/>
      <c r="M101" s="37"/>
      <c r="N101" s="37">
        <f t="shared" si="20"/>
        <v>0</v>
      </c>
      <c r="O101" s="37">
        <f t="shared" si="21"/>
        <v>0</v>
      </c>
      <c r="P101" s="28">
        <f>Table14[[#This Row],[Enrolment S.Y. 2025-2026 ]]*8</f>
        <v>0</v>
      </c>
      <c r="Q101" s="28"/>
      <c r="R101" s="26"/>
      <c r="S101" s="28"/>
      <c r="T101" s="28">
        <f t="shared" si="16"/>
        <v>0</v>
      </c>
      <c r="U101" s="28">
        <f t="shared" si="17"/>
        <v>0</v>
      </c>
      <c r="V101" s="28">
        <f>Table14[[#This Row],[Enrolment S.Y. 2025-2026 ]]*8</f>
        <v>0</v>
      </c>
      <c r="W101" s="28"/>
      <c r="X101" s="26"/>
      <c r="Y101" s="28"/>
      <c r="Z101" s="28">
        <f t="shared" si="18"/>
        <v>0</v>
      </c>
      <c r="AA101" s="28">
        <f t="shared" si="19"/>
        <v>0</v>
      </c>
    </row>
    <row r="102" spans="1:27" s="2" customFormat="1">
      <c r="D102" s="39"/>
      <c r="E102" s="39"/>
      <c r="F102" s="39"/>
      <c r="G102" s="39"/>
      <c r="H102" s="39"/>
      <c r="I102" s="39"/>
      <c r="J102" s="39"/>
      <c r="K102" s="40"/>
      <c r="L102" s="40"/>
      <c r="M102" s="41"/>
      <c r="N102" s="41"/>
      <c r="O102" s="41"/>
    </row>
    <row r="103" spans="1:27" ht="21">
      <c r="A103" s="26">
        <v>10</v>
      </c>
      <c r="B103" s="27" t="s">
        <v>14</v>
      </c>
      <c r="C103" s="26"/>
      <c r="D103" s="35">
        <v>944</v>
      </c>
      <c r="E103" s="35">
        <v>260</v>
      </c>
      <c r="F103" s="36">
        <v>2025</v>
      </c>
      <c r="G103" s="35" t="s">
        <v>92</v>
      </c>
      <c r="H103" s="35">
        <v>684</v>
      </c>
      <c r="I103" s="35">
        <v>0</v>
      </c>
      <c r="J103" s="35">
        <v>0</v>
      </c>
      <c r="K103" s="37"/>
      <c r="L103" s="38"/>
      <c r="M103" s="37"/>
      <c r="N103" s="37">
        <f t="shared" si="20"/>
        <v>0</v>
      </c>
      <c r="O103" s="37">
        <f t="shared" si="21"/>
        <v>0</v>
      </c>
      <c r="P103" s="28">
        <f>Table14[[#This Row],[Enrolment S.Y. 2025-2026 ]]*8</f>
        <v>0</v>
      </c>
      <c r="Q103" s="28"/>
      <c r="R103" s="26"/>
      <c r="S103" s="28"/>
      <c r="T103" s="28">
        <f t="shared" si="16"/>
        <v>0</v>
      </c>
      <c r="U103" s="28">
        <f t="shared" si="17"/>
        <v>0</v>
      </c>
      <c r="V103" s="28">
        <f>Table14[[#This Row],[Enrolment S.Y. 2025-2026 ]]*8</f>
        <v>0</v>
      </c>
      <c r="W103" s="28"/>
      <c r="X103" s="26"/>
      <c r="Y103" s="28"/>
      <c r="Z103" s="28">
        <f t="shared" si="18"/>
        <v>0</v>
      </c>
      <c r="AA103" s="28">
        <f t="shared" si="19"/>
        <v>0</v>
      </c>
    </row>
    <row r="104" spans="1:27" ht="21">
      <c r="A104" s="26">
        <v>10</v>
      </c>
      <c r="B104" s="27" t="s">
        <v>15</v>
      </c>
      <c r="C104" s="26"/>
      <c r="D104" s="35">
        <v>944</v>
      </c>
      <c r="E104" s="35">
        <v>260</v>
      </c>
      <c r="F104" s="36">
        <v>2025</v>
      </c>
      <c r="G104" s="35" t="s">
        <v>92</v>
      </c>
      <c r="H104" s="35">
        <v>684</v>
      </c>
      <c r="I104" s="35">
        <v>0</v>
      </c>
      <c r="J104" s="35">
        <v>0</v>
      </c>
      <c r="K104" s="37"/>
      <c r="L104" s="38"/>
      <c r="M104" s="37"/>
      <c r="N104" s="37">
        <f t="shared" si="20"/>
        <v>0</v>
      </c>
      <c r="O104" s="37">
        <f t="shared" si="21"/>
        <v>0</v>
      </c>
      <c r="P104" s="28">
        <f>Table14[[#This Row],[Enrolment S.Y. 2025-2026 ]]*8</f>
        <v>0</v>
      </c>
      <c r="Q104" s="28"/>
      <c r="R104" s="26"/>
      <c r="S104" s="28"/>
      <c r="T104" s="28">
        <f t="shared" si="16"/>
        <v>0</v>
      </c>
      <c r="U104" s="28">
        <f t="shared" si="17"/>
        <v>0</v>
      </c>
      <c r="V104" s="28">
        <f>Table14[[#This Row],[Enrolment S.Y. 2025-2026 ]]*8</f>
        <v>0</v>
      </c>
      <c r="W104" s="28"/>
      <c r="X104" s="26"/>
      <c r="Y104" s="28"/>
      <c r="Z104" s="28">
        <f t="shared" si="18"/>
        <v>0</v>
      </c>
      <c r="AA104" s="28">
        <f t="shared" si="19"/>
        <v>0</v>
      </c>
    </row>
    <row r="105" spans="1:27" ht="21">
      <c r="A105" s="26">
        <v>10</v>
      </c>
      <c r="B105" s="27" t="s">
        <v>12</v>
      </c>
      <c r="C105" s="26"/>
      <c r="D105" s="35">
        <v>944</v>
      </c>
      <c r="E105" s="35">
        <v>260</v>
      </c>
      <c r="F105" s="36">
        <v>2025</v>
      </c>
      <c r="G105" s="35" t="s">
        <v>92</v>
      </c>
      <c r="H105" s="35">
        <v>684</v>
      </c>
      <c r="I105" s="35">
        <v>0</v>
      </c>
      <c r="J105" s="35">
        <v>0</v>
      </c>
      <c r="K105" s="37"/>
      <c r="L105" s="38"/>
      <c r="M105" s="37"/>
      <c r="N105" s="37">
        <f t="shared" si="20"/>
        <v>0</v>
      </c>
      <c r="O105" s="37">
        <f t="shared" si="21"/>
        <v>0</v>
      </c>
      <c r="P105" s="28">
        <f>Table14[[#This Row],[Enrolment S.Y. 2025-2026 ]]*8</f>
        <v>0</v>
      </c>
      <c r="Q105" s="28"/>
      <c r="R105" s="26"/>
      <c r="S105" s="28"/>
      <c r="T105" s="28">
        <f t="shared" si="16"/>
        <v>0</v>
      </c>
      <c r="U105" s="28">
        <f t="shared" si="17"/>
        <v>0</v>
      </c>
      <c r="V105" s="28">
        <f>Table14[[#This Row],[Enrolment S.Y. 2025-2026 ]]*8</f>
        <v>0</v>
      </c>
      <c r="W105" s="28"/>
      <c r="X105" s="26"/>
      <c r="Y105" s="28"/>
      <c r="Z105" s="28">
        <f t="shared" si="18"/>
        <v>0</v>
      </c>
      <c r="AA105" s="28">
        <f t="shared" si="19"/>
        <v>0</v>
      </c>
    </row>
    <row r="106" spans="1:27" ht="21">
      <c r="A106" s="26">
        <v>10</v>
      </c>
      <c r="B106" s="27" t="s">
        <v>21</v>
      </c>
      <c r="C106" s="26"/>
      <c r="D106" s="35">
        <v>944</v>
      </c>
      <c r="E106" s="35"/>
      <c r="F106" s="36"/>
      <c r="G106" s="35"/>
      <c r="H106" s="35">
        <v>944</v>
      </c>
      <c r="I106" s="35">
        <v>0</v>
      </c>
      <c r="J106" s="35">
        <v>0</v>
      </c>
      <c r="K106" s="37"/>
      <c r="L106" s="38"/>
      <c r="M106" s="37"/>
      <c r="N106" s="37">
        <f t="shared" si="20"/>
        <v>0</v>
      </c>
      <c r="O106" s="37">
        <f t="shared" si="21"/>
        <v>0</v>
      </c>
      <c r="P106" s="28">
        <f>Table14[[#This Row],[Enrolment S.Y. 2025-2026 ]]*8</f>
        <v>0</v>
      </c>
      <c r="Q106" s="28"/>
      <c r="R106" s="26"/>
      <c r="S106" s="28"/>
      <c r="T106" s="28">
        <f t="shared" si="16"/>
        <v>0</v>
      </c>
      <c r="U106" s="28">
        <f t="shared" si="17"/>
        <v>0</v>
      </c>
      <c r="V106" s="28">
        <f>Table14[[#This Row],[Enrolment S.Y. 2025-2026 ]]*8</f>
        <v>0</v>
      </c>
      <c r="W106" s="28"/>
      <c r="X106" s="26"/>
      <c r="Y106" s="28"/>
      <c r="Z106" s="28">
        <f t="shared" si="18"/>
        <v>0</v>
      </c>
      <c r="AA106" s="28">
        <f t="shared" si="19"/>
        <v>0</v>
      </c>
    </row>
    <row r="107" spans="1:27" ht="21">
      <c r="A107" s="26">
        <v>10</v>
      </c>
      <c r="B107" s="27" t="s">
        <v>23</v>
      </c>
      <c r="C107" s="26"/>
      <c r="D107" s="35">
        <v>944</v>
      </c>
      <c r="E107" s="35"/>
      <c r="F107" s="36"/>
      <c r="G107" s="35"/>
      <c r="H107" s="35">
        <v>944</v>
      </c>
      <c r="I107" s="35">
        <v>0</v>
      </c>
      <c r="J107" s="35">
        <v>0</v>
      </c>
      <c r="K107" s="37"/>
      <c r="L107" s="38"/>
      <c r="M107" s="37"/>
      <c r="N107" s="37">
        <f t="shared" si="20"/>
        <v>0</v>
      </c>
      <c r="O107" s="37">
        <f t="shared" si="21"/>
        <v>0</v>
      </c>
      <c r="P107" s="28">
        <f>Table14[[#This Row],[Enrolment S.Y. 2025-2026 ]]*8</f>
        <v>0</v>
      </c>
      <c r="Q107" s="28"/>
      <c r="R107" s="26"/>
      <c r="S107" s="28"/>
      <c r="T107" s="28">
        <f t="shared" si="16"/>
        <v>0</v>
      </c>
      <c r="U107" s="28">
        <f t="shared" si="17"/>
        <v>0</v>
      </c>
      <c r="V107" s="28">
        <f>Table14[[#This Row],[Enrolment S.Y. 2025-2026 ]]*8</f>
        <v>0</v>
      </c>
      <c r="W107" s="28"/>
      <c r="X107" s="26"/>
      <c r="Y107" s="28"/>
      <c r="Z107" s="28">
        <f t="shared" si="18"/>
        <v>0</v>
      </c>
      <c r="AA107" s="28">
        <f t="shared" si="19"/>
        <v>0</v>
      </c>
    </row>
    <row r="108" spans="1:27" ht="21">
      <c r="A108" s="26">
        <v>10</v>
      </c>
      <c r="B108" s="27" t="s">
        <v>13</v>
      </c>
      <c r="C108" s="26"/>
      <c r="D108" s="35">
        <v>944</v>
      </c>
      <c r="E108" s="35"/>
      <c r="F108" s="36"/>
      <c r="G108" s="35"/>
      <c r="H108" s="35">
        <v>944</v>
      </c>
      <c r="I108" s="35">
        <v>0</v>
      </c>
      <c r="J108" s="35">
        <v>0</v>
      </c>
      <c r="K108" s="37"/>
      <c r="L108" s="38"/>
      <c r="M108" s="37"/>
      <c r="N108" s="37">
        <f t="shared" si="20"/>
        <v>0</v>
      </c>
      <c r="O108" s="37">
        <f t="shared" si="21"/>
        <v>0</v>
      </c>
      <c r="P108" s="28">
        <f>Table14[[#This Row],[Enrolment S.Y. 2025-2026 ]]*8</f>
        <v>0</v>
      </c>
      <c r="Q108" s="28"/>
      <c r="R108" s="26"/>
      <c r="S108" s="28"/>
      <c r="T108" s="28">
        <f t="shared" si="16"/>
        <v>0</v>
      </c>
      <c r="U108" s="28">
        <f t="shared" si="17"/>
        <v>0</v>
      </c>
      <c r="V108" s="28">
        <f>Table14[[#This Row],[Enrolment S.Y. 2025-2026 ]]*8</f>
        <v>0</v>
      </c>
      <c r="W108" s="28"/>
      <c r="X108" s="26"/>
      <c r="Y108" s="28"/>
      <c r="Z108" s="28">
        <f t="shared" si="18"/>
        <v>0</v>
      </c>
      <c r="AA108" s="28">
        <f t="shared" si="19"/>
        <v>0</v>
      </c>
    </row>
    <row r="109" spans="1:27" ht="21">
      <c r="A109" s="34">
        <v>10</v>
      </c>
      <c r="B109" s="27" t="s">
        <v>87</v>
      </c>
      <c r="C109" s="26"/>
      <c r="D109" s="35">
        <v>944</v>
      </c>
      <c r="E109" s="35"/>
      <c r="F109" s="36"/>
      <c r="G109" s="35"/>
      <c r="H109" s="35">
        <v>944</v>
      </c>
      <c r="I109" s="35">
        <v>0</v>
      </c>
      <c r="J109" s="35">
        <v>0</v>
      </c>
      <c r="K109" s="37"/>
      <c r="L109" s="38"/>
      <c r="M109" s="37"/>
      <c r="N109" s="37">
        <f t="shared" si="20"/>
        <v>0</v>
      </c>
      <c r="O109" s="37">
        <f t="shared" si="21"/>
        <v>0</v>
      </c>
      <c r="P109" s="28">
        <f>Table14[[#This Row],[Enrolment S.Y. 2025-2026 ]]*8</f>
        <v>0</v>
      </c>
      <c r="Q109" s="28"/>
      <c r="R109" s="26"/>
      <c r="S109" s="28"/>
      <c r="T109" s="28">
        <f t="shared" si="16"/>
        <v>0</v>
      </c>
      <c r="U109" s="28">
        <f t="shared" si="17"/>
        <v>0</v>
      </c>
      <c r="V109" s="28">
        <f>Table14[[#This Row],[Enrolment S.Y. 2025-2026 ]]*8</f>
        <v>0</v>
      </c>
      <c r="W109" s="28"/>
      <c r="X109" s="26"/>
      <c r="Y109" s="28"/>
      <c r="Z109" s="28">
        <f t="shared" si="18"/>
        <v>0</v>
      </c>
      <c r="AA109" s="28">
        <f t="shared" si="19"/>
        <v>0</v>
      </c>
    </row>
    <row r="110" spans="1:27" ht="21">
      <c r="A110" s="26">
        <v>10</v>
      </c>
      <c r="B110" s="27" t="s">
        <v>88</v>
      </c>
      <c r="C110" s="26"/>
      <c r="D110" s="35">
        <v>944</v>
      </c>
      <c r="E110" s="35"/>
      <c r="F110" s="36"/>
      <c r="G110" s="35"/>
      <c r="H110" s="35">
        <v>944</v>
      </c>
      <c r="I110" s="35">
        <v>0</v>
      </c>
      <c r="J110" s="35">
        <v>0</v>
      </c>
      <c r="K110" s="37"/>
      <c r="L110" s="38"/>
      <c r="M110" s="37"/>
      <c r="N110" s="37">
        <f t="shared" si="20"/>
        <v>0</v>
      </c>
      <c r="O110" s="37">
        <f t="shared" si="21"/>
        <v>0</v>
      </c>
      <c r="P110" s="28">
        <f>Table14[[#This Row],[Enrolment S.Y. 2025-2026 ]]*8</f>
        <v>0</v>
      </c>
      <c r="Q110" s="28"/>
      <c r="R110" s="26"/>
      <c r="S110" s="28"/>
      <c r="T110" s="28">
        <f t="shared" si="16"/>
        <v>0</v>
      </c>
      <c r="U110" s="28">
        <f t="shared" si="17"/>
        <v>0</v>
      </c>
      <c r="V110" s="28">
        <f>Table14[[#This Row],[Enrolment S.Y. 2025-2026 ]]*8</f>
        <v>0</v>
      </c>
      <c r="W110" s="28"/>
      <c r="X110" s="26"/>
      <c r="Y110" s="28"/>
      <c r="Z110" s="28">
        <f t="shared" si="18"/>
        <v>0</v>
      </c>
      <c r="AA110" s="28">
        <f t="shared" si="19"/>
        <v>0</v>
      </c>
    </row>
    <row r="111" spans="1:27" ht="21">
      <c r="A111" s="26">
        <v>10</v>
      </c>
      <c r="B111" s="27" t="s">
        <v>22</v>
      </c>
      <c r="C111" s="26"/>
      <c r="D111" s="35">
        <v>944</v>
      </c>
      <c r="E111" s="35"/>
      <c r="F111" s="36"/>
      <c r="G111" s="35"/>
      <c r="H111" s="35">
        <v>944</v>
      </c>
      <c r="I111" s="35">
        <v>0</v>
      </c>
      <c r="J111" s="35">
        <v>0</v>
      </c>
      <c r="K111" s="37"/>
      <c r="L111" s="38"/>
      <c r="M111" s="37"/>
      <c r="N111" s="37">
        <f t="shared" si="20"/>
        <v>0</v>
      </c>
      <c r="O111" s="37">
        <f t="shared" si="21"/>
        <v>0</v>
      </c>
      <c r="P111" s="28">
        <f>Table14[[#This Row],[Enrolment S.Y. 2025-2026 ]]*8</f>
        <v>0</v>
      </c>
      <c r="Q111" s="28"/>
      <c r="R111" s="26"/>
      <c r="S111" s="28"/>
      <c r="T111" s="28">
        <f t="shared" si="16"/>
        <v>0</v>
      </c>
      <c r="U111" s="28">
        <f t="shared" si="17"/>
        <v>0</v>
      </c>
      <c r="V111" s="28">
        <f>Table14[[#This Row],[Enrolment S.Y. 2025-2026 ]]*8</f>
        <v>0</v>
      </c>
      <c r="W111" s="28"/>
      <c r="X111" s="26"/>
      <c r="Y111" s="28"/>
      <c r="Z111" s="28">
        <f t="shared" si="18"/>
        <v>0</v>
      </c>
      <c r="AA111" s="28">
        <f t="shared" si="19"/>
        <v>0</v>
      </c>
    </row>
    <row r="112" spans="1:27" ht="21">
      <c r="A112" s="34">
        <v>10</v>
      </c>
      <c r="B112" s="27" t="s">
        <v>89</v>
      </c>
      <c r="C112" s="26"/>
      <c r="D112" s="35">
        <v>944</v>
      </c>
      <c r="E112" s="35"/>
      <c r="F112" s="36"/>
      <c r="G112" s="35"/>
      <c r="H112" s="35">
        <v>944</v>
      </c>
      <c r="I112" s="35">
        <v>0</v>
      </c>
      <c r="J112" s="35">
        <v>0</v>
      </c>
      <c r="K112" s="37"/>
      <c r="L112" s="38"/>
      <c r="M112" s="37"/>
      <c r="N112" s="37">
        <f t="shared" si="20"/>
        <v>0</v>
      </c>
      <c r="O112" s="37">
        <f t="shared" si="21"/>
        <v>0</v>
      </c>
      <c r="P112" s="28">
        <f>Table14[[#This Row],[Enrolment S.Y. 2025-2026 ]]*8</f>
        <v>0</v>
      </c>
      <c r="Q112" s="28"/>
      <c r="R112" s="26"/>
      <c r="S112" s="28"/>
      <c r="T112" s="28">
        <f t="shared" si="16"/>
        <v>0</v>
      </c>
      <c r="U112" s="28">
        <f t="shared" si="17"/>
        <v>0</v>
      </c>
      <c r="V112" s="28">
        <f>Table14[[#This Row],[Enrolment S.Y. 2025-2026 ]]*8</f>
        <v>0</v>
      </c>
      <c r="W112" s="28"/>
      <c r="X112" s="26"/>
      <c r="Y112" s="28"/>
      <c r="Z112" s="28">
        <f t="shared" si="18"/>
        <v>0</v>
      </c>
      <c r="AA112" s="28">
        <f t="shared" si="19"/>
        <v>0</v>
      </c>
    </row>
    <row r="113" spans="1:28" ht="21">
      <c r="A113" s="26">
        <v>10</v>
      </c>
      <c r="B113" s="27" t="s">
        <v>90</v>
      </c>
      <c r="C113" s="26"/>
      <c r="D113" s="35">
        <v>944</v>
      </c>
      <c r="E113" s="35"/>
      <c r="F113" s="36"/>
      <c r="G113" s="35"/>
      <c r="H113" s="35">
        <v>944</v>
      </c>
      <c r="I113" s="35">
        <v>0</v>
      </c>
      <c r="J113" s="35">
        <v>0</v>
      </c>
      <c r="K113" s="37"/>
      <c r="L113" s="38"/>
      <c r="M113" s="37"/>
      <c r="N113" s="37">
        <f t="shared" si="20"/>
        <v>0</v>
      </c>
      <c r="O113" s="37">
        <f t="shared" si="21"/>
        <v>0</v>
      </c>
      <c r="P113" s="28">
        <f>Table14[[#This Row],[Enrolment S.Y. 2025-2026 ]]*8</f>
        <v>0</v>
      </c>
      <c r="Q113" s="28"/>
      <c r="R113" s="26"/>
      <c r="S113" s="28"/>
      <c r="T113" s="28">
        <f t="shared" si="16"/>
        <v>0</v>
      </c>
      <c r="U113" s="28">
        <f t="shared" si="17"/>
        <v>0</v>
      </c>
      <c r="V113" s="28">
        <f>Table14[[#This Row],[Enrolment S.Y. 2025-2026 ]]*8</f>
        <v>0</v>
      </c>
      <c r="W113" s="28"/>
      <c r="X113" s="26"/>
      <c r="Y113" s="28"/>
      <c r="Z113" s="28">
        <f t="shared" si="18"/>
        <v>0</v>
      </c>
      <c r="AA113" s="28">
        <f t="shared" si="19"/>
        <v>0</v>
      </c>
    </row>
    <row r="114" spans="1:28" s="2" customFormat="1">
      <c r="D114" s="40"/>
      <c r="E114" s="40"/>
      <c r="F114" s="40"/>
      <c r="G114" s="40"/>
      <c r="H114" s="40"/>
      <c r="I114" s="40"/>
      <c r="J114" s="40"/>
      <c r="K114" s="40"/>
      <c r="L114" s="40"/>
      <c r="M114" s="41"/>
      <c r="N114" s="41"/>
      <c r="O114" s="41"/>
    </row>
    <row r="115" spans="1:28" ht="40.5">
      <c r="A115" s="22" t="s">
        <v>24</v>
      </c>
      <c r="B115" s="25" t="s">
        <v>25</v>
      </c>
      <c r="C115" s="22"/>
      <c r="D115" s="42">
        <f>Table14[[#This Row],[Enrolment S.Y. 2025-2026 ]]*8</f>
        <v>0</v>
      </c>
      <c r="E115" s="42"/>
      <c r="F115" s="43"/>
      <c r="G115" s="42"/>
      <c r="H115" s="42">
        <f t="shared" ref="H115:H122" si="22">IF((D115-E115)&lt;0,0,(D115-E115))</f>
        <v>0</v>
      </c>
      <c r="I115" s="42">
        <f t="shared" ref="I115:I122" si="23">IF((E115-D115)&lt;0,0,(E115-D115))</f>
        <v>0</v>
      </c>
      <c r="J115" s="42">
        <f>Table14[[#This Row],[Enrolment S.Y. 2025-2026 ]]*8</f>
        <v>0</v>
      </c>
      <c r="K115" s="42"/>
      <c r="L115" s="43"/>
      <c r="M115" s="42"/>
      <c r="N115" s="42">
        <f t="shared" si="20"/>
        <v>0</v>
      </c>
      <c r="O115" s="42">
        <f t="shared" si="21"/>
        <v>0</v>
      </c>
      <c r="P115" s="24">
        <f>Table14[[#This Row],[Enrolment S.Y. 2025-2026 ]]*8</f>
        <v>0</v>
      </c>
      <c r="Q115" s="24"/>
      <c r="R115" s="22"/>
      <c r="S115" s="24"/>
      <c r="T115" s="24">
        <f t="shared" si="16"/>
        <v>0</v>
      </c>
      <c r="U115" s="24">
        <f t="shared" si="17"/>
        <v>0</v>
      </c>
      <c r="V115" s="24">
        <f>Table14[[#This Row],[Enrolment S.Y. 2025-2026 ]]*8</f>
        <v>0</v>
      </c>
      <c r="W115" s="24"/>
      <c r="X115" s="22"/>
      <c r="Y115" s="24"/>
      <c r="Z115" s="24">
        <f t="shared" si="18"/>
        <v>0</v>
      </c>
      <c r="AA115" s="24">
        <f t="shared" si="19"/>
        <v>0</v>
      </c>
    </row>
    <row r="116" spans="1:28" ht="21">
      <c r="A116" s="22" t="s">
        <v>24</v>
      </c>
      <c r="B116" s="25" t="s">
        <v>26</v>
      </c>
      <c r="C116" s="22"/>
      <c r="D116" s="42">
        <f>Table14[[#This Row],[Enrolment S.Y. 2025-2026 ]]*8</f>
        <v>0</v>
      </c>
      <c r="E116" s="42"/>
      <c r="F116" s="43"/>
      <c r="G116" s="42"/>
      <c r="H116" s="42">
        <f t="shared" si="22"/>
        <v>0</v>
      </c>
      <c r="I116" s="42">
        <f t="shared" si="23"/>
        <v>0</v>
      </c>
      <c r="J116" s="42">
        <f>Table14[[#This Row],[Enrolment S.Y. 2025-2026 ]]*8</f>
        <v>0</v>
      </c>
      <c r="K116" s="42"/>
      <c r="L116" s="43"/>
      <c r="M116" s="42"/>
      <c r="N116" s="42">
        <f t="shared" si="20"/>
        <v>0</v>
      </c>
      <c r="O116" s="42">
        <f t="shared" si="21"/>
        <v>0</v>
      </c>
      <c r="P116" s="24">
        <f>Table14[[#This Row],[Enrolment S.Y. 2025-2026 ]]*8</f>
        <v>0</v>
      </c>
      <c r="Q116" s="24"/>
      <c r="R116" s="22"/>
      <c r="S116" s="24"/>
      <c r="T116" s="24">
        <f t="shared" si="16"/>
        <v>0</v>
      </c>
      <c r="U116" s="24">
        <f t="shared" si="17"/>
        <v>0</v>
      </c>
      <c r="V116" s="24">
        <f>Table14[[#This Row],[Enrolment S.Y. 2025-2026 ]]*8</f>
        <v>0</v>
      </c>
      <c r="W116" s="24"/>
      <c r="X116" s="22"/>
      <c r="Y116" s="24"/>
      <c r="Z116" s="24">
        <f t="shared" si="18"/>
        <v>0</v>
      </c>
      <c r="AA116" s="24">
        <f t="shared" si="19"/>
        <v>0</v>
      </c>
    </row>
    <row r="117" spans="1:28" ht="21">
      <c r="A117" s="22" t="s">
        <v>24</v>
      </c>
      <c r="B117" s="25" t="s">
        <v>27</v>
      </c>
      <c r="C117" s="22"/>
      <c r="D117" s="42">
        <f>Table14[[#This Row],[Enrolment S.Y. 2025-2026 ]]*8</f>
        <v>0</v>
      </c>
      <c r="E117" s="42"/>
      <c r="F117" s="43"/>
      <c r="G117" s="42"/>
      <c r="H117" s="42">
        <f t="shared" si="22"/>
        <v>0</v>
      </c>
      <c r="I117" s="42">
        <f t="shared" si="23"/>
        <v>0</v>
      </c>
      <c r="J117" s="42">
        <f>Table14[[#This Row],[Enrolment S.Y. 2025-2026 ]]*8</f>
        <v>0</v>
      </c>
      <c r="K117" s="42"/>
      <c r="L117" s="43"/>
      <c r="M117" s="42"/>
      <c r="N117" s="42">
        <f t="shared" si="20"/>
        <v>0</v>
      </c>
      <c r="O117" s="42">
        <f t="shared" si="21"/>
        <v>0</v>
      </c>
      <c r="P117" s="24">
        <f>Table14[[#This Row],[Enrolment S.Y. 2025-2026 ]]*8</f>
        <v>0</v>
      </c>
      <c r="Q117" s="24"/>
      <c r="R117" s="22"/>
      <c r="S117" s="24"/>
      <c r="T117" s="24">
        <f t="shared" si="16"/>
        <v>0</v>
      </c>
      <c r="U117" s="24">
        <f t="shared" si="17"/>
        <v>0</v>
      </c>
      <c r="V117" s="24">
        <f>Table14[[#This Row],[Enrolment S.Y. 2025-2026 ]]*8</f>
        <v>0</v>
      </c>
      <c r="W117" s="24"/>
      <c r="X117" s="22"/>
      <c r="Y117" s="24"/>
      <c r="Z117" s="24">
        <f t="shared" si="18"/>
        <v>0</v>
      </c>
      <c r="AA117" s="24">
        <f t="shared" si="19"/>
        <v>0</v>
      </c>
    </row>
    <row r="118" spans="1:28" ht="21">
      <c r="A118" s="22" t="s">
        <v>24</v>
      </c>
      <c r="B118" s="25" t="s">
        <v>28</v>
      </c>
      <c r="C118" s="22"/>
      <c r="D118" s="42">
        <f>Table14[[#This Row],[Enrolment S.Y. 2025-2026 ]]*8</f>
        <v>0</v>
      </c>
      <c r="E118" s="42"/>
      <c r="F118" s="43"/>
      <c r="G118" s="42"/>
      <c r="H118" s="42">
        <f t="shared" si="22"/>
        <v>0</v>
      </c>
      <c r="I118" s="42">
        <f t="shared" si="23"/>
        <v>0</v>
      </c>
      <c r="J118" s="42">
        <f>Table14[[#This Row],[Enrolment S.Y. 2025-2026 ]]*8</f>
        <v>0</v>
      </c>
      <c r="K118" s="42"/>
      <c r="L118" s="43"/>
      <c r="M118" s="42"/>
      <c r="N118" s="42">
        <f t="shared" si="20"/>
        <v>0</v>
      </c>
      <c r="O118" s="42">
        <f t="shared" si="21"/>
        <v>0</v>
      </c>
      <c r="P118" s="24">
        <f>Table14[[#This Row],[Enrolment S.Y. 2025-2026 ]]*8</f>
        <v>0</v>
      </c>
      <c r="Q118" s="24"/>
      <c r="R118" s="22"/>
      <c r="S118" s="24"/>
      <c r="T118" s="24">
        <f t="shared" si="16"/>
        <v>0</v>
      </c>
      <c r="U118" s="24">
        <f t="shared" si="17"/>
        <v>0</v>
      </c>
      <c r="V118" s="24">
        <f>Table14[[#This Row],[Enrolment S.Y. 2025-2026 ]]*8</f>
        <v>0</v>
      </c>
      <c r="W118" s="24"/>
      <c r="X118" s="22"/>
      <c r="Y118" s="24"/>
      <c r="Z118" s="24">
        <f t="shared" si="18"/>
        <v>0</v>
      </c>
      <c r="AA118" s="24">
        <f t="shared" si="19"/>
        <v>0</v>
      </c>
    </row>
    <row r="119" spans="1:28" ht="40.5">
      <c r="A119" s="22" t="s">
        <v>24</v>
      </c>
      <c r="B119" s="25" t="s">
        <v>29</v>
      </c>
      <c r="C119" s="22"/>
      <c r="D119" s="42">
        <f>Table14[[#This Row],[Enrolment S.Y. 2025-2026 ]]*8</f>
        <v>0</v>
      </c>
      <c r="E119" s="42"/>
      <c r="F119" s="43"/>
      <c r="G119" s="42"/>
      <c r="H119" s="42">
        <f t="shared" si="22"/>
        <v>0</v>
      </c>
      <c r="I119" s="42">
        <f t="shared" si="23"/>
        <v>0</v>
      </c>
      <c r="J119" s="42">
        <f>Table14[[#This Row],[Enrolment S.Y. 2025-2026 ]]*8</f>
        <v>0</v>
      </c>
      <c r="K119" s="42"/>
      <c r="L119" s="43"/>
      <c r="M119" s="42"/>
      <c r="N119" s="42">
        <f t="shared" si="20"/>
        <v>0</v>
      </c>
      <c r="O119" s="42">
        <f t="shared" si="21"/>
        <v>0</v>
      </c>
      <c r="P119" s="24">
        <f>Table14[[#This Row],[Enrolment S.Y. 2025-2026 ]]*8</f>
        <v>0</v>
      </c>
      <c r="Q119" s="24"/>
      <c r="R119" s="22"/>
      <c r="S119" s="24"/>
      <c r="T119" s="24">
        <f t="shared" si="16"/>
        <v>0</v>
      </c>
      <c r="U119" s="24">
        <f t="shared" si="17"/>
        <v>0</v>
      </c>
      <c r="V119" s="24">
        <f>Table14[[#This Row],[Enrolment S.Y. 2025-2026 ]]*8</f>
        <v>0</v>
      </c>
      <c r="W119" s="24"/>
      <c r="X119" s="22"/>
      <c r="Y119" s="24"/>
      <c r="Z119" s="24">
        <f t="shared" si="18"/>
        <v>0</v>
      </c>
      <c r="AA119" s="24">
        <f t="shared" si="19"/>
        <v>0</v>
      </c>
    </row>
    <row r="120" spans="1:28" ht="21">
      <c r="A120" s="22" t="s">
        <v>24</v>
      </c>
      <c r="B120" s="25" t="s">
        <v>30</v>
      </c>
      <c r="C120" s="22"/>
      <c r="D120" s="42">
        <f>Table14[[#This Row],[Enrolment S.Y. 2025-2026 ]]*8</f>
        <v>0</v>
      </c>
      <c r="E120" s="42"/>
      <c r="F120" s="43"/>
      <c r="G120" s="42"/>
      <c r="H120" s="42">
        <f t="shared" si="22"/>
        <v>0</v>
      </c>
      <c r="I120" s="42">
        <f t="shared" si="23"/>
        <v>0</v>
      </c>
      <c r="J120" s="42">
        <f>Table14[[#This Row],[Enrolment S.Y. 2025-2026 ]]*8</f>
        <v>0</v>
      </c>
      <c r="K120" s="42"/>
      <c r="L120" s="43"/>
      <c r="M120" s="42"/>
      <c r="N120" s="42">
        <f t="shared" si="20"/>
        <v>0</v>
      </c>
      <c r="O120" s="42">
        <f t="shared" si="21"/>
        <v>0</v>
      </c>
      <c r="P120" s="24">
        <f>Table14[[#This Row],[Enrolment S.Y. 2025-2026 ]]*8</f>
        <v>0</v>
      </c>
      <c r="Q120" s="24"/>
      <c r="R120" s="22"/>
      <c r="S120" s="24"/>
      <c r="T120" s="24">
        <f t="shared" si="16"/>
        <v>0</v>
      </c>
      <c r="U120" s="24">
        <f t="shared" si="17"/>
        <v>0</v>
      </c>
      <c r="V120" s="24">
        <f>Table14[[#This Row],[Enrolment S.Y. 2025-2026 ]]*8</f>
        <v>0</v>
      </c>
      <c r="W120" s="24"/>
      <c r="X120" s="22"/>
      <c r="Y120" s="24"/>
      <c r="Z120" s="24">
        <f t="shared" si="18"/>
        <v>0</v>
      </c>
      <c r="AA120" s="24">
        <f t="shared" si="19"/>
        <v>0</v>
      </c>
    </row>
    <row r="121" spans="1:28" ht="40.5">
      <c r="A121" s="22" t="s">
        <v>24</v>
      </c>
      <c r="B121" s="25" t="s">
        <v>31</v>
      </c>
      <c r="C121" s="22"/>
      <c r="D121" s="42">
        <f>Table14[[#This Row],[Enrolment S.Y. 2025-2026 ]]*8</f>
        <v>0</v>
      </c>
      <c r="E121" s="42"/>
      <c r="F121" s="43"/>
      <c r="G121" s="42"/>
      <c r="H121" s="42">
        <f t="shared" si="22"/>
        <v>0</v>
      </c>
      <c r="I121" s="42">
        <f t="shared" si="23"/>
        <v>0</v>
      </c>
      <c r="J121" s="42">
        <f>Table14[[#This Row],[Enrolment S.Y. 2025-2026 ]]*8</f>
        <v>0</v>
      </c>
      <c r="K121" s="42"/>
      <c r="L121" s="43"/>
      <c r="M121" s="42"/>
      <c r="N121" s="42">
        <f t="shared" si="20"/>
        <v>0</v>
      </c>
      <c r="O121" s="42">
        <f t="shared" si="21"/>
        <v>0</v>
      </c>
      <c r="P121" s="24">
        <f>Table14[[#This Row],[Enrolment S.Y. 2025-2026 ]]*8</f>
        <v>0</v>
      </c>
      <c r="Q121" s="24"/>
      <c r="R121" s="22"/>
      <c r="S121" s="24"/>
      <c r="T121" s="24">
        <f t="shared" si="16"/>
        <v>0</v>
      </c>
      <c r="U121" s="24">
        <f t="shared" si="17"/>
        <v>0</v>
      </c>
      <c r="V121" s="24">
        <f>Table14[[#This Row],[Enrolment S.Y. 2025-2026 ]]*8</f>
        <v>0</v>
      </c>
      <c r="W121" s="24"/>
      <c r="X121" s="22"/>
      <c r="Y121" s="24"/>
      <c r="Z121" s="24">
        <f t="shared" si="18"/>
        <v>0</v>
      </c>
      <c r="AA121" s="24">
        <f t="shared" si="19"/>
        <v>0</v>
      </c>
    </row>
    <row r="122" spans="1:28" ht="40.5">
      <c r="A122" s="22" t="s">
        <v>24</v>
      </c>
      <c r="B122" s="25" t="s">
        <v>32</v>
      </c>
      <c r="C122" s="22"/>
      <c r="D122" s="42">
        <f>Table14[[#This Row],[Enrolment S.Y. 2025-2026 ]]*8</f>
        <v>0</v>
      </c>
      <c r="E122" s="42"/>
      <c r="F122" s="43"/>
      <c r="G122" s="42"/>
      <c r="H122" s="42">
        <f t="shared" si="22"/>
        <v>0</v>
      </c>
      <c r="I122" s="42">
        <f t="shared" si="23"/>
        <v>0</v>
      </c>
      <c r="J122" s="42">
        <f>Table14[[#This Row],[Enrolment S.Y. 2025-2026 ]]*8</f>
        <v>0</v>
      </c>
      <c r="K122" s="42"/>
      <c r="L122" s="43"/>
      <c r="M122" s="42"/>
      <c r="N122" s="42">
        <f t="shared" si="20"/>
        <v>0</v>
      </c>
      <c r="O122" s="42">
        <f t="shared" si="21"/>
        <v>0</v>
      </c>
      <c r="P122" s="24">
        <f>Table14[[#This Row],[Enrolment S.Y. 2025-2026 ]]*8</f>
        <v>0</v>
      </c>
      <c r="Q122" s="24"/>
      <c r="R122" s="22"/>
      <c r="S122" s="24"/>
      <c r="T122" s="24">
        <f t="shared" si="16"/>
        <v>0</v>
      </c>
      <c r="U122" s="24">
        <f t="shared" si="17"/>
        <v>0</v>
      </c>
      <c r="V122" s="24">
        <f>Table14[[#This Row],[Enrolment S.Y. 2025-2026 ]]*8</f>
        <v>0</v>
      </c>
      <c r="W122" s="24"/>
      <c r="X122" s="22"/>
      <c r="Y122" s="24"/>
      <c r="Z122" s="24">
        <f t="shared" si="18"/>
        <v>0</v>
      </c>
      <c r="AA122" s="24">
        <f t="shared" si="19"/>
        <v>0</v>
      </c>
    </row>
    <row r="123" spans="1:28" s="2" customFormat="1" ht="18">
      <c r="D123" s="26"/>
      <c r="E123" s="26"/>
      <c r="F123" s="26"/>
      <c r="G123" s="28"/>
      <c r="H123" s="17"/>
      <c r="I123" s="18"/>
    </row>
    <row r="124" spans="1:28" ht="18">
      <c r="A124" s="2"/>
      <c r="B124" s="2"/>
      <c r="C124" s="2"/>
      <c r="D124" s="26"/>
      <c r="E124" s="26"/>
      <c r="F124" s="26"/>
      <c r="G124" s="28"/>
      <c r="H124" s="17"/>
      <c r="I124" s="18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8">
      <c r="A125" s="2"/>
      <c r="B125" s="2"/>
      <c r="C125" s="2"/>
      <c r="D125" s="26"/>
      <c r="E125" s="26"/>
      <c r="F125" s="26"/>
      <c r="G125" s="28"/>
      <c r="H125" s="17"/>
      <c r="I125" s="18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>
      <c r="A126" s="2"/>
      <c r="B126" s="2"/>
      <c r="C126" s="2"/>
      <c r="D126" s="19"/>
      <c r="E126" s="19"/>
      <c r="F126" s="19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8">
      <c r="A127" s="2"/>
      <c r="B127" s="2"/>
      <c r="C127" s="2"/>
      <c r="D127" s="26"/>
      <c r="E127" s="26"/>
      <c r="F127" s="26"/>
      <c r="G127" s="28"/>
      <c r="H127" s="17"/>
      <c r="I127" s="18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8">
      <c r="A128" s="2"/>
      <c r="B128" s="2"/>
      <c r="C128" s="2"/>
      <c r="D128" s="26"/>
      <c r="E128" s="26"/>
      <c r="F128" s="26"/>
      <c r="G128" s="28"/>
      <c r="H128" s="17"/>
      <c r="I128" s="18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8">
      <c r="A129" s="2"/>
      <c r="B129" s="2"/>
      <c r="C129" s="2"/>
      <c r="D129" s="26"/>
      <c r="E129" s="26"/>
      <c r="F129" s="26"/>
      <c r="G129" s="28"/>
      <c r="H129" s="17"/>
      <c r="I129" s="18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8">
      <c r="A130" s="2"/>
      <c r="B130" s="2"/>
      <c r="C130" s="2"/>
      <c r="D130" s="26"/>
      <c r="E130" s="26"/>
      <c r="F130" s="26"/>
      <c r="G130" s="28"/>
      <c r="H130" s="17"/>
      <c r="I130" s="18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8">
      <c r="A131" s="2"/>
      <c r="B131" s="2"/>
      <c r="C131" s="2"/>
      <c r="D131" s="26"/>
      <c r="E131" s="26"/>
      <c r="F131" s="26"/>
      <c r="G131" s="28"/>
      <c r="H131" s="17"/>
      <c r="I131" s="18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8">
      <c r="A132" s="2"/>
      <c r="B132" s="2"/>
      <c r="C132" s="2"/>
      <c r="D132" s="26"/>
      <c r="E132" s="26"/>
      <c r="F132" s="26"/>
      <c r="G132" s="28"/>
      <c r="H132" s="17"/>
      <c r="I132" s="18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8">
      <c r="A133" s="2"/>
      <c r="B133" s="2"/>
      <c r="C133" s="2"/>
      <c r="D133" s="26"/>
      <c r="E133" s="26"/>
      <c r="F133" s="26"/>
      <c r="G133" s="28"/>
      <c r="H133" s="17"/>
      <c r="I133" s="18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8">
      <c r="A134" s="2"/>
      <c r="B134" s="2"/>
      <c r="C134" s="2"/>
      <c r="D134" s="26"/>
      <c r="E134" s="26"/>
      <c r="F134" s="26"/>
      <c r="G134" s="28"/>
      <c r="H134" s="17"/>
      <c r="I134" s="18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8">
      <c r="A135" s="2"/>
      <c r="B135" s="2"/>
      <c r="C135" s="2"/>
      <c r="D135" s="26"/>
      <c r="E135" s="26"/>
      <c r="F135" s="26"/>
      <c r="G135" s="28"/>
      <c r="H135" s="17"/>
      <c r="I135" s="18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>
      <c r="A136" s="2"/>
      <c r="B136" s="2"/>
      <c r="C136" s="2"/>
      <c r="D136" s="19"/>
      <c r="E136" s="19"/>
      <c r="F136" s="19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8">
      <c r="A137" s="2"/>
      <c r="B137" s="2"/>
      <c r="C137" s="2"/>
      <c r="D137" s="26"/>
      <c r="E137" s="26"/>
      <c r="F137" s="26"/>
      <c r="G137" s="28"/>
      <c r="H137" s="17"/>
      <c r="I137" s="18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8">
      <c r="A138" s="2"/>
      <c r="B138" s="2"/>
      <c r="C138" s="2"/>
      <c r="D138" s="26"/>
      <c r="E138" s="26"/>
      <c r="F138" s="26"/>
      <c r="G138" s="28"/>
      <c r="H138" s="17"/>
      <c r="I138" s="18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8">
      <c r="A139" s="2"/>
      <c r="B139" s="2"/>
      <c r="C139" s="2"/>
      <c r="D139" s="26"/>
      <c r="E139" s="26"/>
      <c r="F139" s="26"/>
      <c r="G139" s="28"/>
      <c r="H139" s="17"/>
      <c r="I139" s="18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8">
      <c r="A140" s="2"/>
      <c r="B140" s="2"/>
      <c r="C140" s="2"/>
      <c r="D140" s="26"/>
      <c r="E140" s="26"/>
      <c r="F140" s="26"/>
      <c r="G140" s="28"/>
      <c r="H140" s="17"/>
      <c r="I140" s="18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8">
      <c r="A141" s="33"/>
      <c r="B141" s="25"/>
      <c r="C141" s="24"/>
      <c r="D141" s="26"/>
      <c r="E141" s="26"/>
      <c r="F141" s="26"/>
      <c r="G141" s="28"/>
      <c r="H141" s="17"/>
      <c r="I141" s="18"/>
      <c r="J141" s="24"/>
      <c r="K141" s="24"/>
      <c r="L141" s="22"/>
      <c r="M141" s="24"/>
      <c r="N141" s="24"/>
      <c r="O141" s="24"/>
      <c r="P141" s="24"/>
      <c r="Q141" s="24"/>
      <c r="R141" s="22"/>
      <c r="S141" s="24"/>
      <c r="T141" s="24">
        <f t="shared" ref="T141:T164" si="24">IF((P141-Q141)&lt;0,0,(P141-Q141))</f>
        <v>0</v>
      </c>
      <c r="U141" s="24">
        <f t="shared" ref="U141:U164" si="25">IF((Q141-P141)&lt;0,0,(Q141-P141))</f>
        <v>0</v>
      </c>
      <c r="V141" s="24">
        <f>Table14[[#This Row],[Enrolment S.Y. 2025-2026 ]]*8</f>
        <v>0</v>
      </c>
      <c r="W141" s="24"/>
      <c r="X141" s="22"/>
      <c r="Y141" s="24"/>
      <c r="Z141" s="24">
        <f t="shared" ref="Z141:Z164" si="26">IF((V141-W141)&lt;0,0,(V141-W141))</f>
        <v>0</v>
      </c>
      <c r="AA141" s="24">
        <f t="shared" ref="AA141:AA164" si="27">IF((W141-V141)&lt;0,0,(W141-V141))</f>
        <v>0</v>
      </c>
    </row>
    <row r="142" spans="1:28" ht="18">
      <c r="A142" s="33"/>
      <c r="B142" s="25"/>
      <c r="C142" s="24"/>
      <c r="D142" s="26"/>
      <c r="E142" s="26"/>
      <c r="F142" s="26"/>
      <c r="G142" s="28"/>
      <c r="H142" s="17"/>
      <c r="I142" s="18"/>
      <c r="J142" s="24"/>
      <c r="K142" s="24"/>
      <c r="L142" s="22"/>
      <c r="M142" s="24"/>
      <c r="N142" s="24"/>
      <c r="O142" s="24"/>
      <c r="P142" s="24"/>
      <c r="Q142" s="24"/>
      <c r="R142" s="22"/>
      <c r="S142" s="24"/>
      <c r="T142" s="24">
        <f t="shared" si="24"/>
        <v>0</v>
      </c>
      <c r="U142" s="24">
        <f t="shared" si="25"/>
        <v>0</v>
      </c>
      <c r="V142" s="24">
        <f>Table14[[#This Row],[Enrolment S.Y. 2025-2026 ]]*8</f>
        <v>0</v>
      </c>
      <c r="W142" s="24"/>
      <c r="X142" s="22"/>
      <c r="Y142" s="24"/>
      <c r="Z142" s="24">
        <f t="shared" si="26"/>
        <v>0</v>
      </c>
      <c r="AA142" s="24">
        <f t="shared" si="27"/>
        <v>0</v>
      </c>
    </row>
    <row r="143" spans="1:28" ht="18">
      <c r="A143" s="33"/>
      <c r="B143" s="25"/>
      <c r="C143" s="24"/>
      <c r="D143" s="26"/>
      <c r="E143" s="26"/>
      <c r="F143" s="26"/>
      <c r="G143" s="28"/>
      <c r="H143" s="17"/>
      <c r="I143" s="18"/>
      <c r="J143" s="24"/>
      <c r="K143" s="24"/>
      <c r="L143" s="22"/>
      <c r="M143" s="24"/>
      <c r="N143" s="24"/>
      <c r="O143" s="24"/>
      <c r="P143" s="24"/>
      <c r="Q143" s="24"/>
      <c r="R143" s="22"/>
      <c r="S143" s="24"/>
      <c r="T143" s="24">
        <f t="shared" si="24"/>
        <v>0</v>
      </c>
      <c r="U143" s="24">
        <f t="shared" si="25"/>
        <v>0</v>
      </c>
      <c r="V143" s="24">
        <f>Table14[[#This Row],[Enrolment S.Y. 2025-2026 ]]*8</f>
        <v>0</v>
      </c>
      <c r="W143" s="24"/>
      <c r="X143" s="22"/>
      <c r="Y143" s="24"/>
      <c r="Z143" s="24">
        <f t="shared" si="26"/>
        <v>0</v>
      </c>
      <c r="AA143" s="24">
        <f t="shared" si="27"/>
        <v>0</v>
      </c>
    </row>
    <row r="144" spans="1:28" ht="18">
      <c r="A144" s="33"/>
      <c r="B144" s="25"/>
      <c r="C144" s="24"/>
      <c r="D144" s="26"/>
      <c r="E144" s="26"/>
      <c r="F144" s="26"/>
      <c r="G144" s="28"/>
      <c r="H144" s="17"/>
      <c r="I144" s="18"/>
      <c r="J144" s="24"/>
      <c r="K144" s="24"/>
      <c r="L144" s="22"/>
      <c r="M144" s="24"/>
      <c r="N144" s="24"/>
      <c r="O144" s="24"/>
      <c r="P144" s="24"/>
      <c r="Q144" s="24"/>
      <c r="R144" s="22"/>
      <c r="S144" s="24"/>
      <c r="T144" s="24">
        <f t="shared" si="24"/>
        <v>0</v>
      </c>
      <c r="U144" s="24">
        <f t="shared" si="25"/>
        <v>0</v>
      </c>
      <c r="V144" s="24">
        <f>Table14[[#This Row],[Enrolment S.Y. 2025-2026 ]]*8</f>
        <v>0</v>
      </c>
      <c r="W144" s="24"/>
      <c r="X144" s="22"/>
      <c r="Y144" s="24"/>
      <c r="Z144" s="24">
        <f t="shared" si="26"/>
        <v>0</v>
      </c>
      <c r="AA144" s="24">
        <f t="shared" si="27"/>
        <v>0</v>
      </c>
    </row>
    <row r="145" spans="1:27" ht="18">
      <c r="A145" s="33"/>
      <c r="B145" s="25"/>
      <c r="C145" s="24"/>
      <c r="D145" s="26"/>
      <c r="E145" s="26"/>
      <c r="F145" s="26"/>
      <c r="G145" s="28"/>
      <c r="H145" s="17"/>
      <c r="I145" s="18"/>
      <c r="J145" s="24"/>
      <c r="K145" s="24"/>
      <c r="L145" s="22"/>
      <c r="M145" s="24"/>
      <c r="N145" s="24"/>
      <c r="O145" s="24"/>
      <c r="P145" s="24"/>
      <c r="Q145" s="24"/>
      <c r="R145" s="22"/>
      <c r="S145" s="24"/>
      <c r="T145" s="24">
        <f t="shared" si="24"/>
        <v>0</v>
      </c>
      <c r="U145" s="24">
        <f t="shared" si="25"/>
        <v>0</v>
      </c>
      <c r="V145" s="24">
        <f>Table14[[#This Row],[Enrolment S.Y. 2025-2026 ]]*8</f>
        <v>0</v>
      </c>
      <c r="W145" s="24"/>
      <c r="X145" s="22"/>
      <c r="Y145" s="24"/>
      <c r="Z145" s="24">
        <f t="shared" si="26"/>
        <v>0</v>
      </c>
      <c r="AA145" s="24">
        <f t="shared" si="27"/>
        <v>0</v>
      </c>
    </row>
    <row r="146" spans="1:27" ht="18">
      <c r="A146" s="33"/>
      <c r="B146" s="25"/>
      <c r="C146" s="24"/>
      <c r="D146" s="19"/>
      <c r="E146" s="19"/>
      <c r="F146" s="19"/>
      <c r="G146" s="2"/>
      <c r="H146" s="2"/>
      <c r="I146" s="2"/>
      <c r="J146" s="24"/>
      <c r="K146" s="24"/>
      <c r="L146" s="22"/>
      <c r="M146" s="24"/>
      <c r="N146" s="24"/>
      <c r="O146" s="24"/>
      <c r="P146" s="24"/>
      <c r="Q146" s="24"/>
      <c r="R146" s="22"/>
      <c r="S146" s="24"/>
      <c r="T146" s="24">
        <f t="shared" si="24"/>
        <v>0</v>
      </c>
      <c r="U146" s="24">
        <f t="shared" si="25"/>
        <v>0</v>
      </c>
      <c r="V146" s="24">
        <f>Table14[[#This Row],[Enrolment S.Y. 2025-2026 ]]*8</f>
        <v>0</v>
      </c>
      <c r="W146" s="24"/>
      <c r="X146" s="22"/>
      <c r="Y146" s="24"/>
      <c r="Z146" s="24">
        <f t="shared" si="26"/>
        <v>0</v>
      </c>
      <c r="AA146" s="24">
        <f t="shared" si="27"/>
        <v>0</v>
      </c>
    </row>
    <row r="147" spans="1:27" ht="18">
      <c r="A147" s="33"/>
      <c r="B147" s="25"/>
      <c r="C147" s="24"/>
      <c r="D147" s="26"/>
      <c r="E147" s="26"/>
      <c r="F147" s="26"/>
      <c r="G147" s="28"/>
      <c r="H147" s="17"/>
      <c r="I147" s="18"/>
      <c r="J147" s="24"/>
      <c r="K147" s="24"/>
      <c r="L147" s="22"/>
      <c r="M147" s="24"/>
      <c r="N147" s="24"/>
      <c r="O147" s="24"/>
      <c r="P147" s="24"/>
      <c r="Q147" s="24"/>
      <c r="R147" s="22"/>
      <c r="S147" s="24"/>
      <c r="T147" s="24">
        <f t="shared" si="24"/>
        <v>0</v>
      </c>
      <c r="U147" s="24">
        <f t="shared" si="25"/>
        <v>0</v>
      </c>
      <c r="V147" s="24">
        <f>Table14[[#This Row],[Enrolment S.Y. 2025-2026 ]]*8</f>
        <v>0</v>
      </c>
      <c r="W147" s="24"/>
      <c r="X147" s="22"/>
      <c r="Y147" s="24"/>
      <c r="Z147" s="24">
        <f t="shared" si="26"/>
        <v>0</v>
      </c>
      <c r="AA147" s="24">
        <f t="shared" si="27"/>
        <v>0</v>
      </c>
    </row>
    <row r="148" spans="1:27" ht="18">
      <c r="A148" s="33"/>
      <c r="B148" s="25"/>
      <c r="C148" s="24"/>
      <c r="D148" s="26"/>
      <c r="E148" s="26"/>
      <c r="F148" s="26"/>
      <c r="G148" s="28"/>
      <c r="H148" s="17"/>
      <c r="I148" s="18"/>
      <c r="J148" s="24"/>
      <c r="K148" s="24"/>
      <c r="L148" s="22"/>
      <c r="M148" s="24"/>
      <c r="N148" s="24"/>
      <c r="O148" s="24"/>
      <c r="P148" s="24"/>
      <c r="Q148" s="24"/>
      <c r="R148" s="22"/>
      <c r="S148" s="24"/>
      <c r="T148" s="24">
        <f t="shared" si="24"/>
        <v>0</v>
      </c>
      <c r="U148" s="24">
        <f t="shared" si="25"/>
        <v>0</v>
      </c>
      <c r="V148" s="24">
        <f>Table14[[#This Row],[Enrolment S.Y. 2025-2026 ]]*8</f>
        <v>0</v>
      </c>
      <c r="W148" s="24"/>
      <c r="X148" s="22"/>
      <c r="Y148" s="24"/>
      <c r="Z148" s="24">
        <f t="shared" si="26"/>
        <v>0</v>
      </c>
      <c r="AA148" s="24">
        <f t="shared" si="27"/>
        <v>0</v>
      </c>
    </row>
    <row r="149" spans="1:27" ht="18">
      <c r="A149" s="33"/>
      <c r="B149" s="25"/>
      <c r="C149" s="24"/>
      <c r="D149" s="26"/>
      <c r="E149" s="26"/>
      <c r="F149" s="26"/>
      <c r="G149" s="28"/>
      <c r="H149" s="17"/>
      <c r="I149" s="18"/>
      <c r="J149" s="24"/>
      <c r="K149" s="24"/>
      <c r="L149" s="22"/>
      <c r="M149" s="24"/>
      <c r="N149" s="24"/>
      <c r="O149" s="24"/>
      <c r="P149" s="24"/>
      <c r="Q149" s="24"/>
      <c r="R149" s="22"/>
      <c r="S149" s="24"/>
      <c r="T149" s="24">
        <f t="shared" si="24"/>
        <v>0</v>
      </c>
      <c r="U149" s="24">
        <f t="shared" si="25"/>
        <v>0</v>
      </c>
      <c r="V149" s="24">
        <f>Table14[[#This Row],[Enrolment S.Y. 2025-2026 ]]*8</f>
        <v>0</v>
      </c>
      <c r="W149" s="24"/>
      <c r="X149" s="22"/>
      <c r="Y149" s="24"/>
      <c r="Z149" s="24">
        <f t="shared" si="26"/>
        <v>0</v>
      </c>
      <c r="AA149" s="24">
        <f t="shared" si="27"/>
        <v>0</v>
      </c>
    </row>
    <row r="150" spans="1:27" ht="18">
      <c r="A150" s="33"/>
      <c r="B150" s="25"/>
      <c r="C150" s="24"/>
      <c r="D150" s="26"/>
      <c r="E150" s="26"/>
      <c r="F150" s="26"/>
      <c r="G150" s="28"/>
      <c r="H150" s="17"/>
      <c r="I150" s="18"/>
      <c r="J150" s="24"/>
      <c r="K150" s="24"/>
      <c r="L150" s="22"/>
      <c r="M150" s="24"/>
      <c r="N150" s="24"/>
      <c r="O150" s="24"/>
      <c r="P150" s="24"/>
      <c r="Q150" s="24"/>
      <c r="R150" s="22"/>
      <c r="S150" s="24"/>
      <c r="T150" s="24">
        <f t="shared" si="24"/>
        <v>0</v>
      </c>
      <c r="U150" s="24">
        <f t="shared" si="25"/>
        <v>0</v>
      </c>
      <c r="V150" s="24">
        <f>Table14[[#This Row],[Enrolment S.Y. 2025-2026 ]]*8</f>
        <v>0</v>
      </c>
      <c r="W150" s="24"/>
      <c r="X150" s="22"/>
      <c r="Y150" s="24"/>
      <c r="Z150" s="24">
        <f t="shared" si="26"/>
        <v>0</v>
      </c>
      <c r="AA150" s="24">
        <f t="shared" si="27"/>
        <v>0</v>
      </c>
    </row>
    <row r="151" spans="1:27" ht="18">
      <c r="A151" s="33"/>
      <c r="B151" s="25"/>
      <c r="C151" s="24"/>
      <c r="D151" s="26"/>
      <c r="E151" s="26"/>
      <c r="F151" s="26"/>
      <c r="G151" s="28"/>
      <c r="H151" s="17"/>
      <c r="I151" s="18"/>
      <c r="J151" s="24"/>
      <c r="K151" s="24"/>
      <c r="L151" s="22"/>
      <c r="M151" s="24"/>
      <c r="N151" s="24"/>
      <c r="O151" s="24"/>
      <c r="P151" s="24"/>
      <c r="Q151" s="24"/>
      <c r="R151" s="22"/>
      <c r="S151" s="24"/>
      <c r="T151" s="24">
        <f t="shared" si="24"/>
        <v>0</v>
      </c>
      <c r="U151" s="24">
        <f t="shared" si="25"/>
        <v>0</v>
      </c>
      <c r="V151" s="24">
        <f>Table14[[#This Row],[Enrolment S.Y. 2025-2026 ]]*8</f>
        <v>0</v>
      </c>
      <c r="W151" s="24"/>
      <c r="X151" s="22"/>
      <c r="Y151" s="24"/>
      <c r="Z151" s="24">
        <f t="shared" si="26"/>
        <v>0</v>
      </c>
      <c r="AA151" s="24">
        <f t="shared" si="27"/>
        <v>0</v>
      </c>
    </row>
    <row r="152" spans="1:27" ht="18">
      <c r="A152" s="33"/>
      <c r="B152" s="25"/>
      <c r="C152" s="24"/>
      <c r="D152" s="26"/>
      <c r="E152" s="26"/>
      <c r="F152" s="26"/>
      <c r="G152" s="28"/>
      <c r="H152" s="17"/>
      <c r="I152" s="18"/>
      <c r="J152" s="24"/>
      <c r="K152" s="24"/>
      <c r="L152" s="22"/>
      <c r="M152" s="24"/>
      <c r="N152" s="24"/>
      <c r="O152" s="24"/>
      <c r="P152" s="24"/>
      <c r="Q152" s="24"/>
      <c r="R152" s="22"/>
      <c r="S152" s="24"/>
      <c r="T152" s="24">
        <f t="shared" si="24"/>
        <v>0</v>
      </c>
      <c r="U152" s="24">
        <f t="shared" si="25"/>
        <v>0</v>
      </c>
      <c r="V152" s="24">
        <f>Table14[[#This Row],[Enrolment S.Y. 2025-2026 ]]*8</f>
        <v>0</v>
      </c>
      <c r="W152" s="24"/>
      <c r="X152" s="22"/>
      <c r="Y152" s="24"/>
      <c r="Z152" s="24">
        <f t="shared" si="26"/>
        <v>0</v>
      </c>
      <c r="AA152" s="24">
        <f t="shared" si="27"/>
        <v>0</v>
      </c>
    </row>
    <row r="153" spans="1:27" ht="18">
      <c r="A153" s="33"/>
      <c r="B153" s="25"/>
      <c r="C153" s="24"/>
      <c r="D153" s="26"/>
      <c r="E153" s="26"/>
      <c r="F153" s="26"/>
      <c r="G153" s="28"/>
      <c r="H153" s="17"/>
      <c r="I153" s="18"/>
      <c r="J153" s="24"/>
      <c r="K153" s="24"/>
      <c r="L153" s="22"/>
      <c r="M153" s="24"/>
      <c r="N153" s="24"/>
      <c r="O153" s="24"/>
      <c r="P153" s="24"/>
      <c r="Q153" s="24"/>
      <c r="R153" s="22"/>
      <c r="S153" s="24"/>
      <c r="T153" s="24">
        <f t="shared" si="24"/>
        <v>0</v>
      </c>
      <c r="U153" s="24">
        <f t="shared" si="25"/>
        <v>0</v>
      </c>
      <c r="V153" s="24">
        <f>Table14[[#This Row],[Enrolment S.Y. 2025-2026 ]]*8</f>
        <v>0</v>
      </c>
      <c r="W153" s="24"/>
      <c r="X153" s="22"/>
      <c r="Y153" s="24"/>
      <c r="Z153" s="24">
        <f t="shared" si="26"/>
        <v>0</v>
      </c>
      <c r="AA153" s="24">
        <f t="shared" si="27"/>
        <v>0</v>
      </c>
    </row>
    <row r="154" spans="1:27" ht="18">
      <c r="A154" s="33"/>
      <c r="B154" s="25"/>
      <c r="C154" s="24"/>
      <c r="D154" s="26"/>
      <c r="E154" s="26"/>
      <c r="F154" s="26"/>
      <c r="G154" s="28"/>
      <c r="H154" s="17"/>
      <c r="I154" s="18"/>
      <c r="J154" s="24"/>
      <c r="K154" s="24"/>
      <c r="L154" s="22"/>
      <c r="M154" s="24"/>
      <c r="N154" s="24"/>
      <c r="O154" s="24"/>
      <c r="P154" s="24"/>
      <c r="Q154" s="24"/>
      <c r="R154" s="22"/>
      <c r="S154" s="24"/>
      <c r="T154" s="24">
        <f t="shared" si="24"/>
        <v>0</v>
      </c>
      <c r="U154" s="24">
        <f t="shared" si="25"/>
        <v>0</v>
      </c>
      <c r="V154" s="24">
        <f>Table14[[#This Row],[Enrolment S.Y. 2025-2026 ]]*8</f>
        <v>0</v>
      </c>
      <c r="W154" s="24"/>
      <c r="X154" s="22"/>
      <c r="Y154" s="24"/>
      <c r="Z154" s="24">
        <f t="shared" si="26"/>
        <v>0</v>
      </c>
      <c r="AA154" s="24">
        <f t="shared" si="27"/>
        <v>0</v>
      </c>
    </row>
    <row r="155" spans="1:27" ht="18">
      <c r="A155" s="33"/>
      <c r="B155" s="25"/>
      <c r="C155" s="24"/>
      <c r="D155" s="26"/>
      <c r="E155" s="26"/>
      <c r="F155" s="26"/>
      <c r="G155" s="28"/>
      <c r="H155" s="17"/>
      <c r="I155" s="18"/>
      <c r="J155" s="24"/>
      <c r="K155" s="24"/>
      <c r="L155" s="22"/>
      <c r="M155" s="24"/>
      <c r="N155" s="24"/>
      <c r="O155" s="24"/>
      <c r="P155" s="24"/>
      <c r="Q155" s="24"/>
      <c r="R155" s="22"/>
      <c r="S155" s="24"/>
      <c r="T155" s="24">
        <f t="shared" si="24"/>
        <v>0</v>
      </c>
      <c r="U155" s="24">
        <f t="shared" si="25"/>
        <v>0</v>
      </c>
      <c r="V155" s="24">
        <f>Table14[[#This Row],[Enrolment S.Y. 2025-2026 ]]*8</f>
        <v>0</v>
      </c>
      <c r="W155" s="24"/>
      <c r="X155" s="22"/>
      <c r="Y155" s="24"/>
      <c r="Z155" s="24">
        <f t="shared" si="26"/>
        <v>0</v>
      </c>
      <c r="AA155" s="24">
        <f t="shared" si="27"/>
        <v>0</v>
      </c>
    </row>
    <row r="156" spans="1:27" ht="18">
      <c r="A156" s="33"/>
      <c r="B156" s="25"/>
      <c r="C156" s="24"/>
      <c r="D156" s="19"/>
      <c r="E156" s="19"/>
      <c r="F156" s="19"/>
      <c r="G156" s="2"/>
      <c r="H156" s="2"/>
      <c r="I156" s="2"/>
      <c r="J156" s="24"/>
      <c r="K156" s="24"/>
      <c r="L156" s="22"/>
      <c r="M156" s="24"/>
      <c r="N156" s="24"/>
      <c r="O156" s="24"/>
      <c r="P156" s="24"/>
      <c r="Q156" s="24"/>
      <c r="R156" s="22"/>
      <c r="S156" s="24"/>
      <c r="T156" s="24">
        <f t="shared" si="24"/>
        <v>0</v>
      </c>
      <c r="U156" s="24">
        <f t="shared" si="25"/>
        <v>0</v>
      </c>
      <c r="V156" s="24">
        <f>Table14[[#This Row],[Enrolment S.Y. 2025-2026 ]]*8</f>
        <v>0</v>
      </c>
      <c r="W156" s="24"/>
      <c r="X156" s="22"/>
      <c r="Y156" s="24"/>
      <c r="Z156" s="24">
        <f t="shared" si="26"/>
        <v>0</v>
      </c>
      <c r="AA156" s="24">
        <f t="shared" si="27"/>
        <v>0</v>
      </c>
    </row>
    <row r="157" spans="1:27" ht="18">
      <c r="A157" s="33"/>
      <c r="B157" s="25"/>
      <c r="C157" s="24"/>
      <c r="D157" s="22"/>
      <c r="E157" s="22"/>
      <c r="F157" s="22"/>
      <c r="G157" s="28"/>
      <c r="H157" s="17"/>
      <c r="I157" s="18"/>
      <c r="J157" s="24"/>
      <c r="K157" s="24"/>
      <c r="L157" s="22"/>
      <c r="M157" s="24"/>
      <c r="N157" s="24"/>
      <c r="O157" s="24"/>
      <c r="P157" s="24"/>
      <c r="Q157" s="24"/>
      <c r="R157" s="22"/>
      <c r="S157" s="24"/>
      <c r="T157" s="24">
        <f t="shared" si="24"/>
        <v>0</v>
      </c>
      <c r="U157" s="24">
        <f t="shared" si="25"/>
        <v>0</v>
      </c>
      <c r="V157" s="24">
        <f>Table14[[#This Row],[Enrolment S.Y. 2025-2026 ]]*8</f>
        <v>0</v>
      </c>
      <c r="W157" s="24"/>
      <c r="X157" s="22"/>
      <c r="Y157" s="24"/>
      <c r="Z157" s="24">
        <f t="shared" si="26"/>
        <v>0</v>
      </c>
      <c r="AA157" s="24">
        <f t="shared" si="27"/>
        <v>0</v>
      </c>
    </row>
    <row r="158" spans="1:27" ht="18">
      <c r="A158" s="33"/>
      <c r="B158" s="25"/>
      <c r="C158" s="24"/>
      <c r="D158" s="22"/>
      <c r="E158" s="22"/>
      <c r="F158" s="22"/>
      <c r="G158" s="24"/>
      <c r="H158" s="17"/>
      <c r="I158" s="18"/>
      <c r="J158" s="24"/>
      <c r="K158" s="24"/>
      <c r="L158" s="22"/>
      <c r="M158" s="24"/>
      <c r="N158" s="24"/>
      <c r="O158" s="24"/>
      <c r="P158" s="24"/>
      <c r="Q158" s="24"/>
      <c r="R158" s="22"/>
      <c r="S158" s="24"/>
      <c r="T158" s="24">
        <f t="shared" si="24"/>
        <v>0</v>
      </c>
      <c r="U158" s="24">
        <f t="shared" si="25"/>
        <v>0</v>
      </c>
      <c r="V158" s="24">
        <f>Table14[[#This Row],[Enrolment S.Y. 2025-2026 ]]*8</f>
        <v>0</v>
      </c>
      <c r="W158" s="24"/>
      <c r="X158" s="22"/>
      <c r="Y158" s="24"/>
      <c r="Z158" s="24">
        <f t="shared" si="26"/>
        <v>0</v>
      </c>
      <c r="AA158" s="24">
        <f t="shared" si="27"/>
        <v>0</v>
      </c>
    </row>
    <row r="159" spans="1:27" ht="18">
      <c r="A159" s="33"/>
      <c r="B159" s="25"/>
      <c r="C159" s="24"/>
      <c r="D159" s="22"/>
      <c r="E159" s="22"/>
      <c r="F159" s="22"/>
      <c r="G159" s="24"/>
      <c r="H159" s="17"/>
      <c r="I159" s="18"/>
      <c r="J159" s="24"/>
      <c r="K159" s="24"/>
      <c r="L159" s="22"/>
      <c r="M159" s="24"/>
      <c r="N159" s="24"/>
      <c r="O159" s="24"/>
      <c r="P159" s="24"/>
      <c r="Q159" s="24"/>
      <c r="R159" s="22"/>
      <c r="S159" s="24"/>
      <c r="T159" s="24">
        <f t="shared" si="24"/>
        <v>0</v>
      </c>
      <c r="U159" s="24">
        <f t="shared" si="25"/>
        <v>0</v>
      </c>
      <c r="V159" s="24">
        <f>Table14[[#This Row],[Enrolment S.Y. 2025-2026 ]]*8</f>
        <v>0</v>
      </c>
      <c r="W159" s="24"/>
      <c r="X159" s="22"/>
      <c r="Y159" s="24"/>
      <c r="Z159" s="24">
        <f t="shared" si="26"/>
        <v>0</v>
      </c>
      <c r="AA159" s="24">
        <f t="shared" si="27"/>
        <v>0</v>
      </c>
    </row>
    <row r="160" spans="1:27" ht="18">
      <c r="A160" s="33"/>
      <c r="B160" s="25"/>
      <c r="C160" s="24"/>
      <c r="D160" s="22"/>
      <c r="E160" s="22"/>
      <c r="F160" s="22"/>
      <c r="G160" s="28"/>
      <c r="H160" s="17"/>
      <c r="I160" s="18"/>
      <c r="J160" s="24"/>
      <c r="K160" s="24"/>
      <c r="L160" s="22"/>
      <c r="M160" s="24"/>
      <c r="N160" s="24"/>
      <c r="O160" s="24"/>
      <c r="P160" s="24"/>
      <c r="Q160" s="24"/>
      <c r="R160" s="22"/>
      <c r="S160" s="24"/>
      <c r="T160" s="24">
        <f t="shared" si="24"/>
        <v>0</v>
      </c>
      <c r="U160" s="24">
        <f t="shared" si="25"/>
        <v>0</v>
      </c>
      <c r="V160" s="24">
        <f>Table14[[#This Row],[Enrolment S.Y. 2025-2026 ]]*8</f>
        <v>0</v>
      </c>
      <c r="W160" s="24"/>
      <c r="X160" s="22"/>
      <c r="Y160" s="24"/>
      <c r="Z160" s="24">
        <f t="shared" si="26"/>
        <v>0</v>
      </c>
      <c r="AA160" s="24">
        <f t="shared" si="27"/>
        <v>0</v>
      </c>
    </row>
    <row r="161" spans="1:27" ht="18">
      <c r="A161" s="33"/>
      <c r="B161" s="25"/>
      <c r="C161" s="24"/>
      <c r="D161" s="22"/>
      <c r="E161" s="22"/>
      <c r="F161" s="22"/>
      <c r="G161" s="28"/>
      <c r="H161" s="17"/>
      <c r="I161" s="18"/>
      <c r="J161" s="24"/>
      <c r="K161" s="24"/>
      <c r="L161" s="22"/>
      <c r="M161" s="24"/>
      <c r="N161" s="24"/>
      <c r="O161" s="24"/>
      <c r="P161" s="24"/>
      <c r="Q161" s="24"/>
      <c r="R161" s="22"/>
      <c r="S161" s="24"/>
      <c r="T161" s="24">
        <f t="shared" si="24"/>
        <v>0</v>
      </c>
      <c r="U161" s="24">
        <f t="shared" si="25"/>
        <v>0</v>
      </c>
      <c r="V161" s="24">
        <f>Table14[[#This Row],[Enrolment S.Y. 2025-2026 ]]*8</f>
        <v>0</v>
      </c>
      <c r="W161" s="24"/>
      <c r="X161" s="22"/>
      <c r="Y161" s="24"/>
      <c r="Z161" s="24">
        <f t="shared" si="26"/>
        <v>0</v>
      </c>
      <c r="AA161" s="24">
        <f t="shared" si="27"/>
        <v>0</v>
      </c>
    </row>
    <row r="162" spans="1:27" ht="18">
      <c r="A162" s="33"/>
      <c r="B162" s="25"/>
      <c r="C162" s="24"/>
      <c r="D162" s="22"/>
      <c r="E162" s="22"/>
      <c r="F162" s="22"/>
      <c r="G162" s="28"/>
      <c r="H162" s="17"/>
      <c r="I162" s="18"/>
      <c r="J162" s="24"/>
      <c r="K162" s="24"/>
      <c r="L162" s="22"/>
      <c r="M162" s="24"/>
      <c r="N162" s="24"/>
      <c r="O162" s="24"/>
      <c r="P162" s="24"/>
      <c r="Q162" s="24"/>
      <c r="R162" s="22"/>
      <c r="S162" s="24"/>
      <c r="T162" s="24">
        <f t="shared" si="24"/>
        <v>0</v>
      </c>
      <c r="U162" s="24">
        <f t="shared" si="25"/>
        <v>0</v>
      </c>
      <c r="V162" s="24">
        <f>Table14[[#This Row],[Enrolment S.Y. 2025-2026 ]]*8</f>
        <v>0</v>
      </c>
      <c r="W162" s="24"/>
      <c r="X162" s="22"/>
      <c r="Y162" s="24"/>
      <c r="Z162" s="24">
        <f t="shared" si="26"/>
        <v>0</v>
      </c>
      <c r="AA162" s="24">
        <f t="shared" si="27"/>
        <v>0</v>
      </c>
    </row>
    <row r="163" spans="1:27" ht="18">
      <c r="A163" s="33"/>
      <c r="B163" s="25"/>
      <c r="C163" s="24"/>
      <c r="D163" s="22"/>
      <c r="E163" s="22"/>
      <c r="F163" s="22"/>
      <c r="G163" s="28"/>
      <c r="H163" s="17"/>
      <c r="I163" s="18"/>
      <c r="J163" s="24"/>
      <c r="K163" s="24"/>
      <c r="L163" s="22"/>
      <c r="M163" s="24"/>
      <c r="N163" s="24"/>
      <c r="O163" s="24"/>
      <c r="P163" s="24"/>
      <c r="Q163" s="24"/>
      <c r="R163" s="22"/>
      <c r="S163" s="24"/>
      <c r="T163" s="24">
        <f t="shared" si="24"/>
        <v>0</v>
      </c>
      <c r="U163" s="24">
        <f t="shared" si="25"/>
        <v>0</v>
      </c>
      <c r="V163" s="24">
        <f>Table14[[#This Row],[Enrolment S.Y. 2025-2026 ]]*8</f>
        <v>0</v>
      </c>
      <c r="W163" s="24"/>
      <c r="X163" s="22"/>
      <c r="Y163" s="24"/>
      <c r="Z163" s="24">
        <f t="shared" si="26"/>
        <v>0</v>
      </c>
      <c r="AA163" s="24">
        <f t="shared" si="27"/>
        <v>0</v>
      </c>
    </row>
    <row r="164" spans="1:27" ht="18">
      <c r="A164" s="33"/>
      <c r="B164" s="25"/>
      <c r="C164" s="24"/>
      <c r="D164" s="22"/>
      <c r="E164" s="22"/>
      <c r="F164" s="22"/>
      <c r="G164" s="28"/>
      <c r="H164" s="17"/>
      <c r="I164" s="18"/>
      <c r="J164" s="24"/>
      <c r="K164" s="24"/>
      <c r="L164" s="22"/>
      <c r="M164" s="24"/>
      <c r="N164" s="24"/>
      <c r="O164" s="24"/>
      <c r="P164" s="24"/>
      <c r="Q164" s="24"/>
      <c r="R164" s="22"/>
      <c r="S164" s="24"/>
      <c r="T164" s="24">
        <f t="shared" si="24"/>
        <v>0</v>
      </c>
      <c r="U164" s="24">
        <f t="shared" si="25"/>
        <v>0</v>
      </c>
      <c r="V164" s="24">
        <f>Table14[[#This Row],[Enrolment S.Y. 2025-2026 ]]*8</f>
        <v>0</v>
      </c>
      <c r="W164" s="24"/>
      <c r="X164" s="22"/>
      <c r="Y164" s="24"/>
      <c r="Z164" s="24">
        <f t="shared" si="26"/>
        <v>0</v>
      </c>
      <c r="AA164" s="24">
        <f t="shared" si="27"/>
        <v>0</v>
      </c>
    </row>
    <row r="179" spans="10:10">
      <c r="J179" t="e">
        <f>#REF!*8</f>
        <v>#REF!</v>
      </c>
    </row>
    <row r="180" spans="10:10">
      <c r="J180" t="e">
        <f>#REF!*8</f>
        <v>#REF!</v>
      </c>
    </row>
    <row r="181" spans="10:10">
      <c r="J181" t="e">
        <f>#REF!*8</f>
        <v>#REF!</v>
      </c>
    </row>
    <row r="182" spans="10:10">
      <c r="J182" t="e">
        <f>#REF!*8</f>
        <v>#REF!</v>
      </c>
    </row>
    <row r="183" spans="10:10">
      <c r="J183" t="e">
        <f>#REF!*8</f>
        <v>#REF!</v>
      </c>
    </row>
    <row r="184" spans="10:10">
      <c r="J184" t="e">
        <f>#REF!*8</f>
        <v>#REF!</v>
      </c>
    </row>
    <row r="185" spans="10:10">
      <c r="J185" t="e">
        <f>#REF!*8</f>
        <v>#REF!</v>
      </c>
    </row>
    <row r="186" spans="10:10">
      <c r="J186" t="e">
        <f>#REF!*8</f>
        <v>#REF!</v>
      </c>
    </row>
    <row r="187" spans="10:10">
      <c r="J187" t="e">
        <f>#REF!*8</f>
        <v>#REF!</v>
      </c>
    </row>
    <row r="188" spans="10:10">
      <c r="J188" t="e">
        <f>#REF!*8</f>
        <v>#REF!</v>
      </c>
    </row>
    <row r="189" spans="10:10">
      <c r="J189" t="e">
        <f>#REF!*8</f>
        <v>#REF!</v>
      </c>
    </row>
    <row r="190" spans="10:10">
      <c r="J190" t="e">
        <f>#REF!*8</f>
        <v>#REF!</v>
      </c>
    </row>
    <row r="191" spans="10:10">
      <c r="J191" t="e">
        <f>#REF!*8</f>
        <v>#REF!</v>
      </c>
    </row>
    <row r="192" spans="10:10">
      <c r="J192" t="e">
        <f>#REF!*8</f>
        <v>#REF!</v>
      </c>
    </row>
    <row r="193" spans="10:10">
      <c r="J193" t="e">
        <f>#REF!*8</f>
        <v>#REF!</v>
      </c>
    </row>
    <row r="194" spans="10:10">
      <c r="J194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P2:R10 N3:O10 V2:X10 T3:U10 N12:R19 T12:X19 H3:L10 Z3:AA10 Z12:AA19 H12:L19 N21:R29 T21:X29 Z21:AA29 H21:L29 T31:X41 Z31:AA41 H31:L41 T43:X53 Z43:AA53 H43:L53 T55:X65 Z55:AA65 H55:L65 T67:X77 Z67:AA77 T79:X89 Z79:AA89 T91:X101 Z91:AA101 T103:X113 Z103:AA113 P115:R122 T115:X122 Z115:AA122 N31:R41 N43:R53 N55:R65 P67:R77 P79:R89 P91:R101 P103:R113" name="LAS"/>
    <protectedRange sqref="G2:I2 M2:O2 S2:U2 Y2:AA2 G3:G10 M3:M10 S3:S10 Y3:Y10 Y12:Y19 G12:G19 M12:M19 S12:S19 Y21:Y29 G21:G29 M21:M29 S21:S29 Y31:Y41 G31:G41 M31:M41 S31:S41 Y43:Y53 G43:G53 M43:M53 S43:S53 Y55:Y65 G55:G65 M55:M65 S55:S65 Y67:Y77 S67:S77 Y79:Y89 S79:S89 Y91:Y101 S91:S101 Y103:Y113 S103:S113 Y115:Y122 S115:S122" name="SOURCE"/>
    <protectedRange sqref="D123:F164" name="Textbooks_1"/>
    <protectedRange sqref="G123:G164" name="SOURCE_1"/>
    <protectedRange sqref="D67:F77 D79:F89 D91:F101 D115:F122 H67:L77 H79:L89 H91:L101 H103:L113 N115:O122 H115:L122 D103:F113 N67:O77 N79:O89 N91:O101 N103:O113" name="LAS_1"/>
    <protectedRange sqref="G67:G77 M67:M77 G79:G89 M79:M89 G91:G101 M91:M101 G103:G113 M103:M113 G115:G122 M115:M122" name="SOURCE_2"/>
  </protectedRanges>
  <mergeCells count="4">
    <mergeCell ref="D1:I1"/>
    <mergeCell ref="J1:O1"/>
    <mergeCell ref="P1:U1"/>
    <mergeCell ref="V1:AA1"/>
  </mergeCells>
  <dataValidations count="6">
    <dataValidation type="list" allowBlank="1" showInputMessage="1" showErrorMessage="1" sqref="F3:F10 F12:F19 F21:F29 F31:F41 F43:F53 F55:F65 X67:X77 X79:X89 X91:X101 X103:X113 X115:X122 L3:L10 L12:L19 L21:L29 L31:L41 L43:L53 L55:L65 L115:L122 F157:F164 F127:F135 F137:F145 F147:F155 R3:R10 R12:R19 R21:R29 R31:R41 R43:R53 R55:R65 R67:R77 R79:R89 R91:R101 R103:R113 R115:R122 X3:X10 X12:X19 X21:X29 X31:X41 X43:X53 X55:X65 L67:L77 L79:L89 L91:L101 L103:L113 F123:F125" xr:uid="{00000000-0002-0000-0200-000000000000}">
      <formula1>"2024,2025"</formula1>
    </dataValidation>
    <dataValidation type="list" allowBlank="1" showInputMessage="1" showErrorMessage="1" sqref="G3:G10 G12:G19 G21:G29 G31:G41 G43:G53 G55:G65 Y67:Y77 Y79:Y89 Y91:Y101 Y103:Y113 Y115:Y122 M3:M10 M12:M19 M21:M29 M31:M41 M43:M53 M55:M65 Y12:Y19 Y21:Y29 Y31:Y41 Y43:Y53 Y55:Y65 S3:S10 S12:S19 S21:S29 S31:S41 S43:S53 S55:S65 S67:S77 S79:S89 S91:S101 S103:S113 S115:S122 Y3:Y10 G115:G122 M67:M77 M79:M89 M91:M101 M103:M113 M115:M122" xr:uid="{00000000-0002-0000-0200-000001000000}">
      <formula1>"CO,RO,SDO,LGU,SCHOOL"</formula1>
    </dataValidation>
    <dataValidation type="list" allowBlank="1" showInputMessage="1" showErrorMessage="1" sqref="G123:G125 G157:G164 G127:G135 G137:G145 G147:G155" xr:uid="{0AB91D14-A33A-4B9C-B701-8D977625B48B}">
      <formula1>"CO,RO,SDO"</formula1>
    </dataValidation>
    <dataValidation type="list" allowBlank="1" showInputMessage="1" showErrorMessage="1" sqref="F67:F77 F91:F101" xr:uid="{A2FE4D27-84A8-4779-BEC8-6BC9A3A31123}">
      <formula1>",2024,2025,2026"</formula1>
    </dataValidation>
    <dataValidation type="list" allowBlank="1" showInputMessage="1" showErrorMessage="1" sqref="F79:F89 F103:F113" xr:uid="{9828246F-9165-44E7-A167-26F95B314F31}">
      <formula1>"2024,2025,2026"</formula1>
    </dataValidation>
    <dataValidation type="list" allowBlank="1" showInputMessage="1" showErrorMessage="1" sqref="F115:F122" xr:uid="{54D3FE3D-2FF4-4D36-926E-9837FD7B2112}">
      <formula1>"2024,20252024,2025,2026"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Textbooks" rangeCreator="" othersAccessPermission="edit"/>
    <arrUserId title="SOURCE" rangeCreator="" othersAccessPermission="edit"/>
  </rangeList>
  <rangeList sheetStid="4" master="" otherUserPermission="visible">
    <arrUserId title="Textbooks" rangeCreator="" othersAccessPermission="edit"/>
    <arrUserId title="LAS" rangeCreator="" othersAccessPermission="edit"/>
    <arrUserId title="SOURCE" rangeCreator="" othersAccessPermission="edit"/>
  </rangeList>
  <rangeList sheetStid="5" master="" otherUserPermission="visible">
    <arrUserId title="Textbooks" rangeCreator="" othersAccessPermission="edit"/>
    <arrUserId title="LAS" rangeCreator="" othersAccessPermission="edit"/>
    <arrUserId title="SOURCE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Rey Amano</dc:creator>
  <cp:keywords/>
  <dc:description/>
  <cp:lastModifiedBy>Jonathan Buquia</cp:lastModifiedBy>
  <cp:revision/>
  <dcterms:created xsi:type="dcterms:W3CDTF">2025-11-19T20:48:00Z</dcterms:created>
  <dcterms:modified xsi:type="dcterms:W3CDTF">2026-04-14T00:16:51Z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D04D27E046364FF6AECF8AC1A1CE903B_13</vt:lpwstr>
  </property>
  <property fmtid="{D5CDD505-2E9C-101B-9397-08002B2CF9AE}" pid="3" name="KSOProductBuildVer">
    <vt:lpwstr>1033-12.2.0.23155</vt:lpwstr>
  </property>
</Properties>
</file>