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1" documentId="13_ncr:1_{BFB59F67-F0DC-4675-A682-EB0734A8026A}" xr6:coauthVersionLast="47" xr6:coauthVersionMax="47" xr10:uidLastSave="{8E7237F4-0276-4F1F-BC37-4B11FF194D9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<sst xmlns="http://schemas.openxmlformats.org/spreadsheetml/2006/main" count="405" uniqueCount="92">
  <si>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</si>
  <si>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</si>
  <si>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</si>
  <si>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</si>
  <si>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</si>
  <si>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</si>
  <si>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</si>
  <si>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</si>
  <si>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</si>
  <si>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</si>
  <si>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</si>
  <si>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</si>
  <si>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</si>
  <si>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</si>
  <si>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</si>
  <si>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</si>
  <si>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</si>
  <si>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</si>
  <si>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</si>
  <si>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</si>
  <si>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</si>
  <si>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</si>
  <si>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</si>
  <si>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</si>
  <si>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SDO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</si>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</sst>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54" activePane="topRight" state="frozen"/>
      <selection pane="topRight" activeCell="E13" sqref="E1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516</v>
      </c>
      <c r="D51" s="10">
        <v>589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73</v>
      </c>
    </row>
    <row r="52" spans="1:8" ht="27.75" customHeight="1">
      <c r="A52" s="10">
        <v>7</v>
      </c>
      <c r="B52" s="11" t="s">
        <v>15</v>
      </c>
      <c r="C52" s="10">
        <v>516</v>
      </c>
      <c r="D52" s="10"/>
      <c r="E52" s="10"/>
      <c r="F52" s="12"/>
      <c r="G52" s="3">
        <f t="shared" si="10"/>
        <v>516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516</v>
      </c>
      <c r="D53" s="10">
        <v>589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73</v>
      </c>
    </row>
    <row r="54" spans="1:8" ht="27.75" customHeight="1">
      <c r="A54" s="10">
        <v>7</v>
      </c>
      <c r="B54" s="11" t="s">
        <v>21</v>
      </c>
      <c r="C54" s="10">
        <v>516</v>
      </c>
      <c r="D54" s="10"/>
      <c r="E54" s="10"/>
      <c r="F54" s="12"/>
      <c r="G54" s="3">
        <f t="shared" si="10"/>
        <v>516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516</v>
      </c>
      <c r="D55" s="10">
        <v>589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73</v>
      </c>
    </row>
    <row r="56" spans="1:8" ht="27.75" customHeight="1">
      <c r="A56" s="10">
        <v>7</v>
      </c>
      <c r="B56" s="11" t="s">
        <v>13</v>
      </c>
      <c r="C56" s="10">
        <v>516</v>
      </c>
      <c r="D56" s="10"/>
      <c r="E56" s="10"/>
      <c r="F56" s="12"/>
      <c r="G56" s="3">
        <f t="shared" si="10"/>
        <v>516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516</v>
      </c>
      <c r="D57" s="10">
        <v>589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73</v>
      </c>
    </row>
    <row r="58" spans="1:8" ht="27.75" customHeight="1">
      <c r="A58" s="10">
        <v>7</v>
      </c>
      <c r="B58" s="11" t="s">
        <v>22</v>
      </c>
      <c r="C58" s="10">
        <v>516</v>
      </c>
      <c r="D58" s="10">
        <v>589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73</v>
      </c>
    </row>
    <row r="59" spans="1:8" ht="27.75" customHeight="1">
      <c r="A59" s="10">
        <v>7</v>
      </c>
      <c r="B59" s="11" t="s">
        <v>19</v>
      </c>
      <c r="C59" s="10">
        <v>516</v>
      </c>
      <c r="D59" s="10">
        <v>589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73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440</v>
      </c>
      <c r="D61" s="10"/>
      <c r="E61" s="10"/>
      <c r="F61" s="12"/>
      <c r="G61" s="3">
        <f t="shared" ref="G61:G69" si="12">IF((C61-D61)&lt;0,0,C61-D61)</f>
        <v>440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440</v>
      </c>
      <c r="D62" s="10"/>
      <c r="E62" s="10"/>
      <c r="F62" s="12"/>
      <c r="G62" s="3">
        <f t="shared" si="12"/>
        <v>440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440</v>
      </c>
      <c r="D63" s="10">
        <v>53</v>
      </c>
      <c r="E63" s="10">
        <v>2025</v>
      </c>
      <c r="F63" s="12" t="s">
        <v>20</v>
      </c>
      <c r="G63" s="3">
        <f t="shared" si="12"/>
        <v>387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440</v>
      </c>
      <c r="D64" s="10">
        <v>532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92</v>
      </c>
    </row>
    <row r="65" spans="1:8" ht="27.75" customHeight="1">
      <c r="A65" s="10">
        <v>8</v>
      </c>
      <c r="B65" s="11" t="s">
        <v>23</v>
      </c>
      <c r="C65" s="10">
        <v>440</v>
      </c>
      <c r="D65" s="10"/>
      <c r="E65" s="10"/>
      <c r="F65" s="12"/>
      <c r="G65" s="3">
        <f t="shared" si="12"/>
        <v>440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440</v>
      </c>
      <c r="D66" s="10"/>
      <c r="E66" s="10"/>
      <c r="F66" s="12"/>
      <c r="G66" s="3">
        <f t="shared" si="12"/>
        <v>440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440</v>
      </c>
      <c r="D67" s="10"/>
      <c r="E67" s="10"/>
      <c r="F67" s="12"/>
      <c r="G67" s="3">
        <f t="shared" si="12"/>
        <v>440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440</v>
      </c>
      <c r="D68" s="10"/>
      <c r="E68" s="10"/>
      <c r="F68" s="12"/>
      <c r="G68" s="3">
        <f t="shared" si="12"/>
        <v>440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440</v>
      </c>
      <c r="D69" s="10"/>
      <c r="E69" s="10"/>
      <c r="F69" s="12"/>
      <c r="G69" s="3">
        <f t="shared" si="12"/>
        <v>440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423</v>
      </c>
      <c r="D71" s="10"/>
      <c r="E71" s="10"/>
      <c r="F71" s="12"/>
      <c r="G71" s="3">
        <f t="shared" ref="G71:G79" si="14">IF((C71-D71)&lt;0,0,C71-D71)</f>
        <v>423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423</v>
      </c>
      <c r="D72" s="10"/>
      <c r="E72" s="10"/>
      <c r="F72" s="12"/>
      <c r="G72" s="3">
        <f t="shared" si="14"/>
        <v>423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423</v>
      </c>
      <c r="D73" s="10"/>
      <c r="E73" s="10"/>
      <c r="F73" s="12"/>
      <c r="G73" s="3">
        <f t="shared" si="14"/>
        <v>423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423</v>
      </c>
      <c r="D74" s="10">
        <v>695</v>
      </c>
      <c r="E74" s="10">
        <v>2025</v>
      </c>
      <c r="F74" s="12" t="s">
        <v>20</v>
      </c>
      <c r="G74" s="3">
        <f t="shared" si="14"/>
        <v>0</v>
      </c>
      <c r="H74" s="4">
        <f t="shared" si="15"/>
        <v>272</v>
      </c>
    </row>
    <row r="75" spans="1:8" ht="27.75" customHeight="1">
      <c r="A75" s="10">
        <v>9</v>
      </c>
      <c r="B75" s="11" t="s">
        <v>23</v>
      </c>
      <c r="C75" s="10">
        <v>423</v>
      </c>
      <c r="D75" s="10">
        <v>694</v>
      </c>
      <c r="E75" s="10">
        <v>2024</v>
      </c>
      <c r="F75" s="12" t="s">
        <v>20</v>
      </c>
      <c r="G75" s="3">
        <f t="shared" si="14"/>
        <v>0</v>
      </c>
      <c r="H75" s="4">
        <f t="shared" si="15"/>
        <v>271</v>
      </c>
    </row>
    <row r="76" spans="1:8" ht="27.75" customHeight="1">
      <c r="A76" s="10">
        <v>9</v>
      </c>
      <c r="B76" s="11" t="s">
        <v>13</v>
      </c>
      <c r="C76" s="10">
        <v>423</v>
      </c>
      <c r="D76" s="10"/>
      <c r="E76" s="10"/>
      <c r="F76" s="12"/>
      <c r="G76" s="3">
        <f t="shared" si="14"/>
        <v>423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423</v>
      </c>
      <c r="D77" s="10"/>
      <c r="E77" s="10"/>
      <c r="F77" s="12"/>
      <c r="G77" s="3">
        <f t="shared" si="14"/>
        <v>423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423</v>
      </c>
      <c r="D78" s="10"/>
      <c r="E78" s="10"/>
      <c r="F78" s="12"/>
      <c r="G78" s="3">
        <f t="shared" si="14"/>
        <v>423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423</v>
      </c>
      <c r="D79" s="10"/>
      <c r="E79" s="10"/>
      <c r="F79" s="12"/>
      <c r="G79" s="3">
        <f t="shared" si="14"/>
        <v>423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497</v>
      </c>
      <c r="D81" s="10"/>
      <c r="E81" s="10"/>
      <c r="F81" s="12"/>
      <c r="G81" s="3">
        <f t="shared" ref="G81:G89" si="16">IF((C81-D81)&lt;0,0,C81-D81)</f>
        <v>497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497</v>
      </c>
      <c r="D82" s="10"/>
      <c r="E82" s="10"/>
      <c r="F82" s="12"/>
      <c r="G82" s="3">
        <f t="shared" si="16"/>
        <v>497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497</v>
      </c>
      <c r="D83" s="10"/>
      <c r="E83" s="10"/>
      <c r="F83" s="12"/>
      <c r="G83" s="3">
        <f t="shared" si="16"/>
        <v>497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497</v>
      </c>
      <c r="D84" s="10"/>
      <c r="E84" s="10"/>
      <c r="F84" s="12"/>
      <c r="G84" s="3">
        <f t="shared" si="16"/>
        <v>497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497</v>
      </c>
      <c r="D85" s="10">
        <v>647</v>
      </c>
      <c r="E85" s="10">
        <v>2025</v>
      </c>
      <c r="F85" s="12" t="s">
        <v>20</v>
      </c>
      <c r="G85" s="3">
        <f t="shared" si="16"/>
        <v>0</v>
      </c>
      <c r="H85" s="4">
        <f t="shared" si="17"/>
        <v>150</v>
      </c>
    </row>
    <row r="86" spans="1:8" ht="27.75" customHeight="1">
      <c r="A86" s="10">
        <v>10</v>
      </c>
      <c r="B86" s="11" t="s">
        <v>13</v>
      </c>
      <c r="C86" s="10">
        <v>497</v>
      </c>
      <c r="D86" s="10"/>
      <c r="E86" s="10"/>
      <c r="F86" s="12"/>
      <c r="G86" s="3">
        <f t="shared" si="16"/>
        <v>497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497</v>
      </c>
      <c r="D87" s="10"/>
      <c r="E87" s="10"/>
      <c r="F87" s="12"/>
      <c r="G87" s="3">
        <f t="shared" si="16"/>
        <v>497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497</v>
      </c>
      <c r="D88" s="10"/>
      <c r="E88" s="10"/>
      <c r="F88" s="12"/>
      <c r="G88" s="3">
        <f t="shared" si="16"/>
        <v>497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497</v>
      </c>
      <c r="D89" s="10">
        <v>604</v>
      </c>
      <c r="E89" s="10">
        <v>2024</v>
      </c>
      <c r="F89" s="12" t="s">
        <v>24</v>
      </c>
      <c r="G89" s="3">
        <f t="shared" si="16"/>
        <v>0</v>
      </c>
      <c r="H89" s="4">
        <f t="shared" si="17"/>
        <v>107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>
        <v>1281</v>
      </c>
      <c r="D91" s="1"/>
      <c r="E91" s="1"/>
      <c r="F91" s="5"/>
      <c r="G91" s="3">
        <f t="shared" ref="G91:G98" si="18">IF((C91-D91)&lt;0,0,C91-D91)</f>
        <v>1281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>
        <v>1281</v>
      </c>
      <c r="D92" s="1"/>
      <c r="E92" s="1"/>
      <c r="F92" s="5"/>
      <c r="G92" s="3">
        <f t="shared" si="18"/>
        <v>1281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>
        <v>1281</v>
      </c>
      <c r="D93" s="1"/>
      <c r="E93" s="1"/>
      <c r="F93" s="5"/>
      <c r="G93" s="3">
        <f t="shared" si="18"/>
        <v>1281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>
        <v>1281</v>
      </c>
      <c r="D94" s="1">
        <v>844</v>
      </c>
      <c r="E94" s="1">
        <v>2025</v>
      </c>
      <c r="F94" s="5" t="s">
        <v>20</v>
      </c>
      <c r="G94" s="3">
        <f t="shared" si="18"/>
        <v>437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>
        <v>1281</v>
      </c>
      <c r="D95" s="1">
        <v>844</v>
      </c>
      <c r="E95" s="1">
        <v>2025</v>
      </c>
      <c r="F95" s="5" t="s">
        <v>20</v>
      </c>
      <c r="G95" s="3">
        <f t="shared" si="18"/>
        <v>437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>
        <v>1281</v>
      </c>
      <c r="D96" s="1">
        <v>844</v>
      </c>
      <c r="E96" s="1">
        <v>2025</v>
      </c>
      <c r="F96" s="5" t="s">
        <v>20</v>
      </c>
      <c r="G96" s="3">
        <f t="shared" si="18"/>
        <v>437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>
        <v>1281</v>
      </c>
      <c r="D97" s="1">
        <v>844</v>
      </c>
      <c r="E97" s="1">
        <v>2025</v>
      </c>
      <c r="F97" s="5" t="s">
        <v>20</v>
      </c>
      <c r="G97" s="3">
        <f t="shared" si="18"/>
        <v>437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>
        <v>1281</v>
      </c>
      <c r="D98" s="1">
        <v>844</v>
      </c>
      <c r="E98" s="1">
        <v>2025</v>
      </c>
      <c r="F98" s="5" t="s">
        <v>20</v>
      </c>
      <c r="G98" s="3">
        <f t="shared" si="18"/>
        <v>437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72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topLeftCell="S1" activePane="topRight" state="frozen"/>
      <selection pane="topRight" activeCell="M108" sqref="M10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1400</v>
      </c>
      <c r="X91" s="10">
        <v>2025</v>
      </c>
      <c r="Y91" s="12"/>
      <c r="Z91" s="12">
        <f t="shared" si="18"/>
        <v>0</v>
      </c>
      <c r="AA91" s="12">
        <f t="shared" si="19"/>
        <v>1400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>
        <v>700</v>
      </c>
      <c r="L92" s="10">
        <v>2025</v>
      </c>
      <c r="M92" s="12"/>
      <c r="N92" s="12">
        <f t="shared" si="20"/>
        <v>0</v>
      </c>
      <c r="O92" s="12">
        <f t="shared" si="21"/>
        <v>700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>
        <v>700</v>
      </c>
      <c r="X92" s="10">
        <v>2025</v>
      </c>
      <c r="Y92" s="12"/>
      <c r="Z92" s="12">
        <f t="shared" si="18"/>
        <v>0</v>
      </c>
      <c r="AA92" s="12">
        <f t="shared" si="19"/>
        <v>700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>
        <v>1000</v>
      </c>
      <c r="L93" s="10">
        <v>2025</v>
      </c>
      <c r="M93" s="12"/>
      <c r="N93" s="12">
        <f t="shared" si="20"/>
        <v>0</v>
      </c>
      <c r="O93" s="12">
        <f t="shared" si="21"/>
        <v>1000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>
        <v>900</v>
      </c>
      <c r="X93" s="10">
        <v>2025</v>
      </c>
      <c r="Y93" s="12"/>
      <c r="Z93" s="12">
        <f t="shared" si="18"/>
        <v>0</v>
      </c>
      <c r="AA93" s="12">
        <f t="shared" si="19"/>
        <v>900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>
        <v>800</v>
      </c>
      <c r="X94" s="10">
        <v>2025</v>
      </c>
      <c r="Y94" s="12"/>
      <c r="Z94" s="12">
        <f t="shared" si="18"/>
        <v>0</v>
      </c>
      <c r="AA94" s="12">
        <f t="shared" si="19"/>
        <v>800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>
        <v>400</v>
      </c>
      <c r="X95" s="10">
        <v>2025</v>
      </c>
      <c r="Y95" s="12"/>
      <c r="Z95" s="12">
        <f t="shared" si="18"/>
        <v>0</v>
      </c>
      <c r="AA95" s="12">
        <f t="shared" si="19"/>
        <v>400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>
        <v>1000</v>
      </c>
      <c r="X96" s="10">
        <v>2025</v>
      </c>
      <c r="Y96" s="12"/>
      <c r="Z96" s="12">
        <f t="shared" si="18"/>
        <v>0</v>
      </c>
      <c r="AA96" s="12">
        <f t="shared" si="19"/>
        <v>1000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800</v>
      </c>
      <c r="X97" s="10">
        <v>2025</v>
      </c>
      <c r="Y97" s="12"/>
      <c r="Z97" s="12">
        <f>IF((V97-W97)&lt;0,0,(V97-W97))</f>
        <v>0</v>
      </c>
      <c r="AA97" s="12">
        <f>IF((W97-V97)&lt;0,0,(W97-V97))</f>
        <v>800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800</v>
      </c>
      <c r="X98" s="10">
        <v>2025</v>
      </c>
      <c r="Y98" s="12"/>
      <c r="Z98" s="12">
        <f t="shared" si="18"/>
        <v>0</v>
      </c>
      <c r="AA98" s="12">
        <f t="shared" si="19"/>
        <v>800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>
        <v>500</v>
      </c>
      <c r="X100" s="10">
        <v>2025</v>
      </c>
      <c r="Y100" s="12"/>
      <c r="Z100" s="12">
        <f>IF((V100-W100)&lt;0,0,(V100-W100))</f>
        <v>0</v>
      </c>
      <c r="AA100" s="12">
        <f>IF((W100-V100)&lt;0,0,(W100-V100))</f>
        <v>500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>
        <v>500</v>
      </c>
      <c r="X101" s="10">
        <v>2025</v>
      </c>
      <c r="Y101" s="12"/>
      <c r="Z101" s="12">
        <f t="shared" si="18"/>
        <v>0</v>
      </c>
      <c r="AA101" s="12">
        <f t="shared" si="19"/>
        <v>500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>
        <v>800</v>
      </c>
      <c r="L103" s="10">
        <v>2025</v>
      </c>
      <c r="M103" s="12"/>
      <c r="N103" s="12">
        <f t="shared" si="20"/>
        <v>0</v>
      </c>
      <c r="O103" s="12">
        <f t="shared" si="21"/>
        <v>800</v>
      </c>
      <c r="P103" s="12">
        <f>Table14[[#This Row],[Enrolment S.Y. 2025-2026 ]]*8</f>
        <v>0</v>
      </c>
      <c r="Q103" s="12">
        <v>500</v>
      </c>
      <c r="R103" s="10">
        <v>2025</v>
      </c>
      <c r="S103" s="12"/>
      <c r="T103" s="12">
        <f t="shared" si="16"/>
        <v>0</v>
      </c>
      <c r="U103" s="12">
        <f t="shared" si="17"/>
        <v>500</v>
      </c>
      <c r="V103" s="12">
        <f>Table14[[#This Row],[Enrolment S.Y. 2025-2026 ]]*8</f>
        <v>0</v>
      </c>
      <c r="W103" s="12">
        <v>300</v>
      </c>
      <c r="X103" s="10">
        <v>2025</v>
      </c>
      <c r="Y103" s="12"/>
      <c r="Z103" s="12">
        <f t="shared" si="18"/>
        <v>0</v>
      </c>
      <c r="AA103" s="12">
        <f t="shared" si="19"/>
        <v>300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>
        <v>700</v>
      </c>
      <c r="R104" s="10">
        <v>2025</v>
      </c>
      <c r="S104" s="12"/>
      <c r="T104" s="12">
        <f t="shared" si="16"/>
        <v>0</v>
      </c>
      <c r="U104" s="12">
        <f t="shared" si="17"/>
        <v>700</v>
      </c>
      <c r="V104" s="12">
        <f>Table14[[#This Row],[Enrolment S.Y. 2025-2026 ]]*8</f>
        <v>0</v>
      </c>
      <c r="W104" s="12">
        <v>700</v>
      </c>
      <c r="X104" s="10">
        <v>2025</v>
      </c>
      <c r="Y104" s="12"/>
      <c r="Z104" s="12">
        <f t="shared" si="18"/>
        <v>0</v>
      </c>
      <c r="AA104" s="12">
        <f t="shared" si="19"/>
        <v>700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>
        <v>900</v>
      </c>
      <c r="L105" s="10">
        <v>2025</v>
      </c>
      <c r="M105" s="12"/>
      <c r="N105" s="12">
        <f t="shared" si="20"/>
        <v>0</v>
      </c>
      <c r="O105" s="12">
        <f t="shared" si="21"/>
        <v>900</v>
      </c>
      <c r="P105" s="12">
        <f>Table14[[#This Row],[Enrolment S.Y. 2025-2026 ]]*8</f>
        <v>0</v>
      </c>
      <c r="Q105" s="12">
        <v>700</v>
      </c>
      <c r="R105" s="10">
        <v>2025</v>
      </c>
      <c r="S105" s="12"/>
      <c r="T105" s="12">
        <f t="shared" si="16"/>
        <v>0</v>
      </c>
      <c r="U105" s="12">
        <f t="shared" si="17"/>
        <v>700</v>
      </c>
      <c r="V105" s="12">
        <f>Table14[[#This Row],[Enrolment S.Y. 2025-2026 ]]*8</f>
        <v>0</v>
      </c>
      <c r="W105" s="12">
        <v>400</v>
      </c>
      <c r="X105" s="10">
        <v>2025</v>
      </c>
      <c r="Y105" s="12"/>
      <c r="Z105" s="12">
        <f t="shared" si="18"/>
        <v>0</v>
      </c>
      <c r="AA105" s="12">
        <f t="shared" si="19"/>
        <v>400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v>700</v>
      </c>
      <c r="R106" s="10">
        <v>2025</v>
      </c>
      <c r="S106" s="12"/>
      <c r="T106" s="12">
        <f t="shared" si="16"/>
        <v>0</v>
      </c>
      <c r="U106" s="12">
        <f t="shared" si="17"/>
        <v>700</v>
      </c>
      <c r="V106" s="12">
        <f>Table14[[#This Row],[Enrolment S.Y. 2025-2026 ]]*8</f>
        <v>0</v>
      </c>
      <c r="W106" s="12">
        <v>400</v>
      </c>
      <c r="X106" s="10">
        <v>2025</v>
      </c>
      <c r="Y106" s="12"/>
      <c r="Z106" s="12">
        <f t="shared" si="18"/>
        <v>0</v>
      </c>
      <c r="AA106" s="12">
        <f t="shared" si="19"/>
        <v>400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v>400</v>
      </c>
      <c r="R107" s="10">
        <v>2025</v>
      </c>
      <c r="S107" s="12"/>
      <c r="T107" s="12">
        <f t="shared" si="16"/>
        <v>0</v>
      </c>
      <c r="U107" s="12">
        <f t="shared" si="17"/>
        <v>400</v>
      </c>
      <c r="V107" s="12">
        <f>Table14[[#This Row],[Enrolment S.Y. 2025-2026 ]]*8</f>
        <v>0</v>
      </c>
      <c r="W107" s="12">
        <v>400</v>
      </c>
      <c r="X107" s="10">
        <v>2025</v>
      </c>
      <c r="Y107" s="12"/>
      <c r="Z107" s="12">
        <f t="shared" si="18"/>
        <v>0</v>
      </c>
      <c r="AA107" s="12">
        <f t="shared" si="19"/>
        <v>400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>
        <v>700</v>
      </c>
      <c r="R108" s="10">
        <v>2025</v>
      </c>
      <c r="S108" s="12"/>
      <c r="T108" s="12">
        <f t="shared" si="16"/>
        <v>0</v>
      </c>
      <c r="U108" s="12">
        <f t="shared" si="17"/>
        <v>700</v>
      </c>
      <c r="V108" s="12">
        <f>Table14[[#This Row],[Enrolment S.Y. 2025-2026 ]]*8</f>
        <v>0</v>
      </c>
      <c r="W108" s="12">
        <v>600</v>
      </c>
      <c r="X108" s="10">
        <v>2025</v>
      </c>
      <c r="Y108" s="12"/>
      <c r="Z108" s="12">
        <f t="shared" si="18"/>
        <v>0</v>
      </c>
      <c r="AA108" s="12">
        <f t="shared" si="19"/>
        <v>600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v>200</v>
      </c>
      <c r="R109" s="10">
        <v>2025</v>
      </c>
      <c r="S109" s="12"/>
      <c r="T109" s="12">
        <f>IF((P109-Q109)&lt;0,0,(P109-Q109))</f>
        <v>0</v>
      </c>
      <c r="U109" s="12">
        <f>IF((Q109-P109)&lt;0,0,(Q109-P109))</f>
        <v>200</v>
      </c>
      <c r="V109" s="12">
        <f>Table14[[#This Row],[Enrolment S.Y. 2025-2026 ]]*8</f>
        <v>0</v>
      </c>
      <c r="W109" s="12">
        <v>200</v>
      </c>
      <c r="X109" s="10">
        <v>2025</v>
      </c>
      <c r="Y109" s="12"/>
      <c r="Z109" s="12">
        <f>IF((V109-W109)&lt;0,0,(V109-W109))</f>
        <v>0</v>
      </c>
      <c r="AA109" s="12">
        <f>IF((W109-V109)&lt;0,0,(W109-V109))</f>
        <v>200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>
        <v>300</v>
      </c>
      <c r="R110" s="10">
        <v>2025</v>
      </c>
      <c r="S110" s="12"/>
      <c r="T110" s="12">
        <f t="shared" si="16"/>
        <v>0</v>
      </c>
      <c r="U110" s="12">
        <f t="shared" si="17"/>
        <v>300</v>
      </c>
      <c r="V110" s="12">
        <f>Table14[[#This Row],[Enrolment S.Y. 2025-2026 ]]*8</f>
        <v>0</v>
      </c>
      <c r="W110" s="12">
        <v>400</v>
      </c>
      <c r="X110" s="10">
        <v>2025</v>
      </c>
      <c r="Y110" s="12"/>
      <c r="Z110" s="12">
        <f t="shared" si="18"/>
        <v>0</v>
      </c>
      <c r="AA110" s="12">
        <f t="shared" si="19"/>
        <v>400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v>200</v>
      </c>
      <c r="R112" s="10">
        <v>2025</v>
      </c>
      <c r="S112" s="12"/>
      <c r="T112" s="12">
        <f>IF((P112-Q112)&lt;0,0,(P112-Q112))</f>
        <v>0</v>
      </c>
      <c r="U112" s="12">
        <f>IF((Q112-P112)&lt;0,0,(Q112-P112))</f>
        <v>200</v>
      </c>
      <c r="V112" s="12">
        <f>Table14[[#This Row],[Enrolment S.Y. 2025-2026 ]]*8</f>
        <v>0</v>
      </c>
      <c r="W112" s="12">
        <v>100</v>
      </c>
      <c r="X112" s="10">
        <v>2025</v>
      </c>
      <c r="Y112" s="12"/>
      <c r="Z112" s="12">
        <f>IF((V112-W112)&lt;0,0,(V112-W112))</f>
        <v>0</v>
      </c>
      <c r="AA112" s="12">
        <f>IF((W112-V112)&lt;0,0,(W112-V112))</f>
        <v>100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v>200</v>
      </c>
      <c r="R113" s="10">
        <v>2025</v>
      </c>
      <c r="S113" s="12"/>
      <c r="T113" s="12">
        <f t="shared" si="16"/>
        <v>0</v>
      </c>
      <c r="U113" s="12">
        <f t="shared" si="17"/>
        <v>200</v>
      </c>
      <c r="V113" s="12">
        <f>Table14[[#This Row],[Enrolment S.Y. 2025-2026 ]]*8</f>
        <v>0</v>
      </c>
      <c r="W113" s="12">
        <v>300</v>
      </c>
      <c r="X113" s="10">
        <v>2025</v>
      </c>
      <c r="Y113" s="12"/>
      <c r="Z113" s="12">
        <f t="shared" si="18"/>
        <v>0</v>
      </c>
      <c r="AA113" s="12">
        <f t="shared" si="19"/>
        <v>300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Z103:AA113 N115:R122 T115:X122 Z115:AA122 H115:L122 D103:F113 N31:R41 N43:R53 N55:R65 N67:R77 N79:R89 N91:R101 T91:X101 T103:X113 N103:R113 H91:L101 H103:L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F103:F113 X91:X101 X12:X19 X3:X10 L21:L29 L31:L41 L43:L53 L67:L77 L79:L89 L55:L65 R103:R113 L91:L101 L12:L19 L3:L10 R21:R29 R31:R41 R43:R53 R67:R77 R79:R89 R55:R65 R91:R101 X103:X113 R12:R19 R3:R10 F21:F29 F31:F41 F43:F53 F67:F77 F79:F89 F55:F65 F3:F10 F91:F101 X115:X122 F12:F19 F115:F122 R115:R122 L115:L122 L103:L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2025-12-10T07:17:29Z</dcterms:modified>
  <cp:category/>
  <cp:contentStatus/>
</cp:coreProperties>
</file>