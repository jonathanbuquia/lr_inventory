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8" documentId="13_ncr:1_{BFB59F67-F0DC-4675-A682-EB0734A8026A}" xr6:coauthVersionLast="47" xr6:coauthVersionMax="47" xr10:uidLastSave="{F778FFF6-1071-4AF9-9716-DE669FFF13F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<sst xmlns="http://schemas.openxmlformats.org/spreadsheetml/2006/main" count="251" uniqueCount="85">
  <si>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</si>
  <si>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</si>
  <si>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</si>
  <si>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</si>
  <si>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</si>
  <si>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</si>
  <si>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</si>
  <si>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</si>
  <si>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</si>
  <si>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</si>
  <si>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</si>
  <si>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</si>
  <si>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</si>
  <si>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</si>
  <si>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</si>
  <si>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</si>
  <si>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</si>
  <si>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</si>
  <si>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</si>
  <si>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SDO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</si>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</sst>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I5" sqref="I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516</v>
      </c>
      <c r="D2" s="8">
        <v>589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73</v>
      </c>
    </row>
    <row r="3" spans="1:8" ht="29.25" customHeight="1">
      <c r="A3" s="8">
        <v>7</v>
      </c>
      <c r="B3" s="9" t="s">
        <v>10</v>
      </c>
      <c r="C3" s="8">
        <v>516</v>
      </c>
      <c r="D3" s="8"/>
      <c r="E3" s="8"/>
      <c r="F3" s="10"/>
      <c r="G3" s="2">
        <f t="shared" si="0"/>
        <v>516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516</v>
      </c>
      <c r="D4" s="8">
        <v>589</v>
      </c>
      <c r="E4" s="8">
        <v>2024</v>
      </c>
      <c r="F4" s="10" t="s">
        <v>9</v>
      </c>
      <c r="G4" s="2">
        <f t="shared" si="0"/>
        <v>0</v>
      </c>
      <c r="H4" s="3">
        <f t="shared" si="1"/>
        <v>73</v>
      </c>
    </row>
    <row r="5" spans="1:8" ht="25.5" customHeight="1">
      <c r="A5" s="8">
        <v>7</v>
      </c>
      <c r="B5" s="9" t="s">
        <v>12</v>
      </c>
      <c r="C5" s="8">
        <v>516</v>
      </c>
      <c r="D5" s="8"/>
      <c r="E5" s="8"/>
      <c r="F5" s="10"/>
      <c r="G5" s="2">
        <f t="shared" si="0"/>
        <v>516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516</v>
      </c>
      <c r="D6" s="8">
        <v>589</v>
      </c>
      <c r="E6" s="8">
        <v>2025</v>
      </c>
      <c r="F6" s="10" t="s">
        <v>9</v>
      </c>
      <c r="G6" s="2">
        <f t="shared" si="0"/>
        <v>0</v>
      </c>
      <c r="H6" s="3">
        <f t="shared" si="1"/>
        <v>73</v>
      </c>
    </row>
    <row r="7" spans="1:8" ht="19.5">
      <c r="A7" s="8">
        <v>7</v>
      </c>
      <c r="B7" s="9" t="s">
        <v>14</v>
      </c>
      <c r="C7" s="8">
        <v>516</v>
      </c>
      <c r="D7" s="8"/>
      <c r="E7" s="8"/>
      <c r="F7" s="10"/>
      <c r="G7" s="2">
        <f t="shared" si="0"/>
        <v>516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516</v>
      </c>
      <c r="D8" s="8">
        <v>589</v>
      </c>
      <c r="E8" s="8">
        <v>2025</v>
      </c>
      <c r="F8" s="10" t="s">
        <v>9</v>
      </c>
      <c r="G8" s="2">
        <f t="shared" si="0"/>
        <v>0</v>
      </c>
      <c r="H8" s="3">
        <f t="shared" si="1"/>
        <v>73</v>
      </c>
    </row>
    <row r="9" spans="1:8" ht="29.25" customHeight="1">
      <c r="A9" s="8">
        <v>7</v>
      </c>
      <c r="B9" s="9" t="s">
        <v>16</v>
      </c>
      <c r="C9" s="8">
        <v>516</v>
      </c>
      <c r="D9" s="8">
        <v>589</v>
      </c>
      <c r="E9" s="8">
        <v>2025</v>
      </c>
      <c r="F9" s="10" t="s">
        <v>9</v>
      </c>
      <c r="G9" s="2">
        <f t="shared" si="0"/>
        <v>0</v>
      </c>
      <c r="H9" s="3">
        <f t="shared" si="1"/>
        <v>73</v>
      </c>
    </row>
    <row r="10" spans="1:8" ht="28.5" customHeight="1">
      <c r="A10" s="8">
        <v>7</v>
      </c>
      <c r="B10" s="9" t="s">
        <v>17</v>
      </c>
      <c r="C10" s="8">
        <v>516</v>
      </c>
      <c r="D10" s="8">
        <v>589</v>
      </c>
      <c r="E10" s="8">
        <v>2025</v>
      </c>
      <c r="F10" s="10" t="s">
        <v>9</v>
      </c>
      <c r="G10" s="2">
        <f t="shared" si="0"/>
        <v>0</v>
      </c>
      <c r="H10" s="3">
        <f t="shared" si="1"/>
        <v>73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440</v>
      </c>
      <c r="D12" s="8"/>
      <c r="E12" s="8"/>
      <c r="F12" s="10"/>
      <c r="G12" s="2">
        <f t="shared" ref="G12:G20" si="2">IF((C12-D12)&lt;0,0,C12-D12)</f>
        <v>440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440</v>
      </c>
      <c r="D13" s="8"/>
      <c r="E13" s="8"/>
      <c r="F13" s="10"/>
      <c r="G13" s="2">
        <f t="shared" si="2"/>
        <v>440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440</v>
      </c>
      <c r="D14" s="8">
        <v>53</v>
      </c>
      <c r="E14" s="8">
        <v>2025</v>
      </c>
      <c r="F14" s="10" t="s">
        <v>9</v>
      </c>
      <c r="G14" s="2">
        <f t="shared" si="2"/>
        <v>387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440</v>
      </c>
      <c r="D15" s="8">
        <v>532</v>
      </c>
      <c r="E15" s="8">
        <v>2025</v>
      </c>
      <c r="F15" s="10" t="s">
        <v>9</v>
      </c>
      <c r="G15" s="2">
        <f t="shared" si="2"/>
        <v>0</v>
      </c>
      <c r="H15" s="3">
        <f t="shared" si="3"/>
        <v>92</v>
      </c>
    </row>
    <row r="16" spans="1:8" ht="27" customHeight="1">
      <c r="A16" s="8">
        <v>8</v>
      </c>
      <c r="B16" s="9" t="s">
        <v>18</v>
      </c>
      <c r="C16" s="8">
        <v>440</v>
      </c>
      <c r="D16" s="8"/>
      <c r="E16" s="8"/>
      <c r="F16" s="10"/>
      <c r="G16" s="2">
        <f t="shared" si="2"/>
        <v>440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440</v>
      </c>
      <c r="D17" s="8"/>
      <c r="E17" s="8"/>
      <c r="F17" s="10"/>
      <c r="G17" s="2">
        <f t="shared" si="2"/>
        <v>440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440</v>
      </c>
      <c r="D18" s="8"/>
      <c r="E18" s="8"/>
      <c r="F18" s="10"/>
      <c r="G18" s="2">
        <f t="shared" si="2"/>
        <v>440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440</v>
      </c>
      <c r="D19" s="8"/>
      <c r="E19" s="8"/>
      <c r="F19" s="10"/>
      <c r="G19" s="2">
        <f t="shared" si="2"/>
        <v>440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440</v>
      </c>
      <c r="D20" s="8"/>
      <c r="E20" s="8"/>
      <c r="F20" s="10"/>
      <c r="G20" s="2">
        <f t="shared" si="2"/>
        <v>440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423</v>
      </c>
      <c r="D22" s="8"/>
      <c r="E22" s="8"/>
      <c r="F22" s="10"/>
      <c r="G22" s="2">
        <f t="shared" ref="G22:G30" si="4">IF((C22-D22)&lt;0,0,C22-D22)</f>
        <v>423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423</v>
      </c>
      <c r="D23" s="8"/>
      <c r="E23" s="8"/>
      <c r="F23" s="10"/>
      <c r="G23" s="2">
        <f t="shared" si="4"/>
        <v>423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423</v>
      </c>
      <c r="D24" s="8"/>
      <c r="E24" s="8"/>
      <c r="F24" s="10"/>
      <c r="G24" s="2">
        <f t="shared" si="4"/>
        <v>423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423</v>
      </c>
      <c r="D25" s="8">
        <v>695</v>
      </c>
      <c r="E25" s="8">
        <v>2025</v>
      </c>
      <c r="F25" s="10" t="s">
        <v>9</v>
      </c>
      <c r="G25" s="2">
        <f t="shared" si="4"/>
        <v>0</v>
      </c>
      <c r="H25" s="3">
        <f t="shared" si="5"/>
        <v>272</v>
      </c>
    </row>
    <row r="26" spans="1:8" ht="33.75" customHeight="1">
      <c r="A26" s="8">
        <v>9</v>
      </c>
      <c r="B26" s="9" t="s">
        <v>18</v>
      </c>
      <c r="C26" s="8">
        <v>423</v>
      </c>
      <c r="D26" s="8">
        <v>694</v>
      </c>
      <c r="E26" s="8">
        <v>2024</v>
      </c>
      <c r="F26" s="10" t="s">
        <v>9</v>
      </c>
      <c r="G26" s="2">
        <f t="shared" si="4"/>
        <v>0</v>
      </c>
      <c r="H26" s="3">
        <f t="shared" si="5"/>
        <v>271</v>
      </c>
    </row>
    <row r="27" spans="1:8" ht="33.75" customHeight="1">
      <c r="A27" s="8">
        <v>9</v>
      </c>
      <c r="B27" s="9" t="s">
        <v>14</v>
      </c>
      <c r="C27" s="8">
        <v>423</v>
      </c>
      <c r="D27" s="8"/>
      <c r="E27" s="8"/>
      <c r="F27" s="10"/>
      <c r="G27" s="2">
        <f t="shared" si="4"/>
        <v>423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423</v>
      </c>
      <c r="D28" s="8"/>
      <c r="E28" s="8"/>
      <c r="F28" s="10"/>
      <c r="G28" s="2">
        <f t="shared" si="4"/>
        <v>423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423</v>
      </c>
      <c r="D29" s="8"/>
      <c r="E29" s="8"/>
      <c r="F29" s="10"/>
      <c r="G29" s="2">
        <f t="shared" si="4"/>
        <v>423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423</v>
      </c>
      <c r="D30" s="8"/>
      <c r="E30" s="8"/>
      <c r="F30" s="10"/>
      <c r="G30" s="2">
        <f t="shared" si="4"/>
        <v>423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497</v>
      </c>
      <c r="D32" s="8"/>
      <c r="E32" s="8"/>
      <c r="F32" s="10"/>
      <c r="G32" s="2">
        <f t="shared" ref="G32:G40" si="6">IF((C32-D32)&lt;0,0,C32-D32)</f>
        <v>497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497</v>
      </c>
      <c r="D33" s="8"/>
      <c r="E33" s="8"/>
      <c r="F33" s="10"/>
      <c r="G33" s="2">
        <f t="shared" si="6"/>
        <v>497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497</v>
      </c>
      <c r="D34" s="8"/>
      <c r="E34" s="8"/>
      <c r="F34" s="10"/>
      <c r="G34" s="2">
        <f t="shared" si="6"/>
        <v>497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497</v>
      </c>
      <c r="D35" s="8"/>
      <c r="E35" s="8"/>
      <c r="F35" s="10"/>
      <c r="G35" s="2">
        <f t="shared" si="6"/>
        <v>497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497</v>
      </c>
      <c r="D36" s="8">
        <v>647</v>
      </c>
      <c r="E36" s="8">
        <v>2025</v>
      </c>
      <c r="F36" s="10" t="s">
        <v>9</v>
      </c>
      <c r="G36" s="2">
        <f t="shared" si="6"/>
        <v>0</v>
      </c>
      <c r="H36" s="3">
        <f t="shared" si="7"/>
        <v>150</v>
      </c>
    </row>
    <row r="37" spans="1:8" ht="27.75" customHeight="1">
      <c r="A37" s="8">
        <v>10</v>
      </c>
      <c r="B37" s="9" t="s">
        <v>14</v>
      </c>
      <c r="C37" s="8">
        <v>497</v>
      </c>
      <c r="D37" s="8"/>
      <c r="E37" s="8"/>
      <c r="F37" s="10"/>
      <c r="G37" s="2">
        <f t="shared" si="6"/>
        <v>497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497</v>
      </c>
      <c r="D38" s="8"/>
      <c r="E38" s="8"/>
      <c r="F38" s="10"/>
      <c r="G38" s="2">
        <f t="shared" si="6"/>
        <v>497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497</v>
      </c>
      <c r="D39" s="8"/>
      <c r="E39" s="8"/>
      <c r="F39" s="10"/>
      <c r="G39" s="2">
        <f t="shared" si="6"/>
        <v>497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497</v>
      </c>
      <c r="D40" s="8">
        <v>604</v>
      </c>
      <c r="E40" s="8">
        <v>2024</v>
      </c>
      <c r="F40" s="10" t="s">
        <v>19</v>
      </c>
      <c r="G40" s="2">
        <f t="shared" si="6"/>
        <v>0</v>
      </c>
      <c r="H40" s="3">
        <f t="shared" si="7"/>
        <v>107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>
        <v>1281</v>
      </c>
      <c r="D42" s="1"/>
      <c r="E42" s="1"/>
      <c r="F42" s="4"/>
      <c r="G42" s="2">
        <f t="shared" ref="G42:G49" si="8">IF((C42-D42)&lt;0,0,C42-D42)</f>
        <v>1281</v>
      </c>
      <c r="H42" s="3">
        <f t="shared" ref="H42:H49" si="9">IF((D42-C42)&lt;0,0,D42-C42)</f>
        <v>0</v>
      </c>
    </row>
    <row r="43" spans="1:8" ht="27.75" customHeight="1">
      <c r="A43" s="1" t="s">
        <v>20</v>
      </c>
      <c r="B43" s="7" t="s">
        <v>22</v>
      </c>
      <c r="C43" s="1">
        <v>1281</v>
      </c>
      <c r="D43" s="1"/>
      <c r="E43" s="1"/>
      <c r="F43" s="4"/>
      <c r="G43" s="2">
        <f t="shared" si="8"/>
        <v>1281</v>
      </c>
      <c r="H43" s="3">
        <f t="shared" si="9"/>
        <v>0</v>
      </c>
    </row>
    <row r="44" spans="1:8" ht="27.75" customHeight="1">
      <c r="A44" s="1" t="s">
        <v>20</v>
      </c>
      <c r="B44" s="7" t="s">
        <v>23</v>
      </c>
      <c r="C44" s="1">
        <v>1281</v>
      </c>
      <c r="D44" s="1"/>
      <c r="E44" s="1"/>
      <c r="F44" s="4"/>
      <c r="G44" s="2">
        <f t="shared" si="8"/>
        <v>1281</v>
      </c>
      <c r="H44" s="3">
        <f t="shared" si="9"/>
        <v>0</v>
      </c>
    </row>
    <row r="45" spans="1:8" ht="36.75" customHeight="1">
      <c r="A45" s="1" t="s">
        <v>20</v>
      </c>
      <c r="B45" s="7" t="s">
        <v>24</v>
      </c>
      <c r="C45" s="1">
        <v>1281</v>
      </c>
      <c r="D45" s="1">
        <v>844</v>
      </c>
      <c r="E45" s="1">
        <v>2025</v>
      </c>
      <c r="F45" s="4" t="s">
        <v>9</v>
      </c>
      <c r="G45" s="2">
        <f t="shared" si="8"/>
        <v>437</v>
      </c>
      <c r="H45" s="3">
        <f t="shared" si="9"/>
        <v>0</v>
      </c>
    </row>
    <row r="46" spans="1:8" ht="27.75" customHeight="1">
      <c r="A46" s="1" t="s">
        <v>20</v>
      </c>
      <c r="B46" s="7" t="s">
        <v>25</v>
      </c>
      <c r="C46" s="1">
        <v>1281</v>
      </c>
      <c r="D46" s="1">
        <v>844</v>
      </c>
      <c r="E46" s="1">
        <v>2025</v>
      </c>
      <c r="F46" s="4" t="s">
        <v>9</v>
      </c>
      <c r="G46" s="2">
        <f t="shared" si="8"/>
        <v>437</v>
      </c>
      <c r="H46" s="3">
        <f t="shared" si="9"/>
        <v>0</v>
      </c>
    </row>
    <row r="47" spans="1:8" ht="27.75" customHeight="1">
      <c r="A47" s="1" t="s">
        <v>20</v>
      </c>
      <c r="B47" s="7" t="s">
        <v>26</v>
      </c>
      <c r="C47" s="1">
        <v>1281</v>
      </c>
      <c r="D47" s="1">
        <v>844</v>
      </c>
      <c r="E47" s="1">
        <v>2025</v>
      </c>
      <c r="F47" s="4" t="s">
        <v>9</v>
      </c>
      <c r="G47" s="2">
        <f t="shared" si="8"/>
        <v>437</v>
      </c>
      <c r="H47" s="3">
        <f t="shared" si="9"/>
        <v>0</v>
      </c>
    </row>
    <row r="48" spans="1:8" ht="27.75" customHeight="1">
      <c r="A48" s="1" t="s">
        <v>20</v>
      </c>
      <c r="B48" s="7" t="s">
        <v>27</v>
      </c>
      <c r="C48" s="1">
        <v>1281</v>
      </c>
      <c r="D48" s="1">
        <v>844</v>
      </c>
      <c r="E48" s="1">
        <v>2025</v>
      </c>
      <c r="F48" s="4" t="s">
        <v>9</v>
      </c>
      <c r="G48" s="2">
        <f t="shared" si="8"/>
        <v>437</v>
      </c>
      <c r="H48" s="3">
        <f t="shared" si="9"/>
        <v>0</v>
      </c>
    </row>
    <row r="49" spans="1:8" ht="27.75" customHeight="1">
      <c r="A49" s="1" t="s">
        <v>20</v>
      </c>
      <c r="B49" s="7" t="s">
        <v>28</v>
      </c>
      <c r="C49" s="1">
        <v>1281</v>
      </c>
      <c r="D49" s="1">
        <v>844</v>
      </c>
      <c r="E49" s="1">
        <v>2025</v>
      </c>
      <c r="F49" s="4" t="s">
        <v>9</v>
      </c>
      <c r="G49" s="2">
        <f t="shared" si="8"/>
        <v>437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" zoomScale="70" zoomScaleNormal="70" workbookViewId="0">
      <selection activeCell="AE5" sqref="AE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20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20</v>
      </c>
      <c r="B45" s="7" t="s">
        <v>23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20</v>
      </c>
      <c r="B46" s="7" t="s">
        <v>24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20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20</v>
      </c>
      <c r="B48" s="7" t="s">
        <v>26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20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20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 F3:F11 F13:F21 F23:F31 F33:F41 F43:F50 F52:F67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T1" activePane="topRight" state="frozen"/>
      <selection pane="topRight"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>
        <v>1400</v>
      </c>
      <c r="X27" s="8">
        <v>2025</v>
      </c>
      <c r="Y27" s="10"/>
      <c r="Z27" s="10">
        <f t="shared" si="12"/>
        <v>0</v>
      </c>
      <c r="AA27" s="10">
        <f t="shared" si="13"/>
        <v>1400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>
        <v>700</v>
      </c>
      <c r="L28" s="8">
        <v>2025</v>
      </c>
      <c r="M28" s="10"/>
      <c r="N28" s="10">
        <f t="shared" si="14"/>
        <v>0</v>
      </c>
      <c r="O28" s="10">
        <f t="shared" si="15"/>
        <v>700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>
        <v>700</v>
      </c>
      <c r="X28" s="8">
        <v>2025</v>
      </c>
      <c r="Y28" s="10"/>
      <c r="Z28" s="10">
        <f t="shared" si="12"/>
        <v>0</v>
      </c>
      <c r="AA28" s="10">
        <f t="shared" si="13"/>
        <v>700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>
        <v>1000</v>
      </c>
      <c r="L29" s="8">
        <v>2025</v>
      </c>
      <c r="M29" s="10"/>
      <c r="N29" s="10">
        <f t="shared" si="14"/>
        <v>0</v>
      </c>
      <c r="O29" s="10">
        <f t="shared" si="15"/>
        <v>1000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>
        <v>900</v>
      </c>
      <c r="X29" s="8">
        <v>2025</v>
      </c>
      <c r="Y29" s="10"/>
      <c r="Z29" s="10">
        <f t="shared" si="12"/>
        <v>0</v>
      </c>
      <c r="AA29" s="10">
        <f t="shared" si="13"/>
        <v>900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>
        <v>800</v>
      </c>
      <c r="X30" s="8">
        <v>2025</v>
      </c>
      <c r="Y30" s="10"/>
      <c r="Z30" s="10">
        <f t="shared" si="12"/>
        <v>0</v>
      </c>
      <c r="AA30" s="10">
        <f t="shared" si="13"/>
        <v>800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>
        <v>400</v>
      </c>
      <c r="X31" s="8">
        <v>2025</v>
      </c>
      <c r="Y31" s="10"/>
      <c r="Z31" s="10">
        <f t="shared" si="12"/>
        <v>0</v>
      </c>
      <c r="AA31" s="10">
        <f t="shared" si="13"/>
        <v>400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>
        <v>1000</v>
      </c>
      <c r="X32" s="8">
        <v>2025</v>
      </c>
      <c r="Y32" s="10"/>
      <c r="Z32" s="10">
        <f t="shared" si="12"/>
        <v>0</v>
      </c>
      <c r="AA32" s="10">
        <f t="shared" si="13"/>
        <v>1000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>
        <v>800</v>
      </c>
      <c r="X33" s="8">
        <v>2025</v>
      </c>
      <c r="Y33" s="10"/>
      <c r="Z33" s="10">
        <f>IF((V33-W33)&lt;0,0,(V33-W33))</f>
        <v>0</v>
      </c>
      <c r="AA33" s="10">
        <f>IF((W33-V33)&lt;0,0,(W33-V33))</f>
        <v>800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>
        <v>800</v>
      </c>
      <c r="X34" s="8">
        <v>2025</v>
      </c>
      <c r="Y34" s="10"/>
      <c r="Z34" s="10">
        <f t="shared" si="12"/>
        <v>0</v>
      </c>
      <c r="AA34" s="10">
        <f t="shared" si="13"/>
        <v>800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>
        <v>500</v>
      </c>
      <c r="X36" s="8">
        <v>2025</v>
      </c>
      <c r="Y36" s="10"/>
      <c r="Z36" s="10">
        <f>IF((V36-W36)&lt;0,0,(V36-W36))</f>
        <v>0</v>
      </c>
      <c r="AA36" s="10">
        <f>IF((W36-V36)&lt;0,0,(W36-V36))</f>
        <v>500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>
        <v>500</v>
      </c>
      <c r="X37" s="8">
        <v>2025</v>
      </c>
      <c r="Y37" s="10"/>
      <c r="Z37" s="10">
        <f t="shared" si="12"/>
        <v>0</v>
      </c>
      <c r="AA37" s="10">
        <f t="shared" si="13"/>
        <v>500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>
        <v>800</v>
      </c>
      <c r="L39" s="8">
        <v>2025</v>
      </c>
      <c r="M39" s="10"/>
      <c r="N39" s="10">
        <f t="shared" si="14"/>
        <v>0</v>
      </c>
      <c r="O39" s="10">
        <f t="shared" si="15"/>
        <v>800</v>
      </c>
      <c r="P39" s="10">
        <f>Table14[[#This Row],[Enrolment S.Y. 2025-2026 ]]*8</f>
        <v>0</v>
      </c>
      <c r="Q39" s="10">
        <v>500</v>
      </c>
      <c r="R39" s="8">
        <v>2025</v>
      </c>
      <c r="S39" s="10"/>
      <c r="T39" s="10">
        <f t="shared" si="10"/>
        <v>0</v>
      </c>
      <c r="U39" s="10">
        <f t="shared" si="11"/>
        <v>500</v>
      </c>
      <c r="V39" s="10">
        <f>Table14[[#This Row],[Enrolment S.Y. 2025-2026 ]]*8</f>
        <v>0</v>
      </c>
      <c r="W39" s="10">
        <v>300</v>
      </c>
      <c r="X39" s="8">
        <v>2025</v>
      </c>
      <c r="Y39" s="10"/>
      <c r="Z39" s="10">
        <f t="shared" si="12"/>
        <v>0</v>
      </c>
      <c r="AA39" s="10">
        <f t="shared" si="13"/>
        <v>300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>
        <v>700</v>
      </c>
      <c r="R40" s="8">
        <v>2025</v>
      </c>
      <c r="S40" s="10"/>
      <c r="T40" s="10">
        <f t="shared" si="10"/>
        <v>0</v>
      </c>
      <c r="U40" s="10">
        <f t="shared" si="11"/>
        <v>700</v>
      </c>
      <c r="V40" s="10">
        <f>Table14[[#This Row],[Enrolment S.Y. 2025-2026 ]]*8</f>
        <v>0</v>
      </c>
      <c r="W40" s="10">
        <v>700</v>
      </c>
      <c r="X40" s="8">
        <v>2025</v>
      </c>
      <c r="Y40" s="10"/>
      <c r="Z40" s="10">
        <f t="shared" si="12"/>
        <v>0</v>
      </c>
      <c r="AA40" s="10">
        <f t="shared" si="13"/>
        <v>700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>
        <v>900</v>
      </c>
      <c r="L41" s="8">
        <v>2025</v>
      </c>
      <c r="M41" s="10"/>
      <c r="N41" s="10">
        <f t="shared" si="14"/>
        <v>0</v>
      </c>
      <c r="O41" s="10">
        <f t="shared" si="15"/>
        <v>900</v>
      </c>
      <c r="P41" s="10">
        <f>Table14[[#This Row],[Enrolment S.Y. 2025-2026 ]]*8</f>
        <v>0</v>
      </c>
      <c r="Q41" s="10">
        <v>700</v>
      </c>
      <c r="R41" s="8">
        <v>2025</v>
      </c>
      <c r="S41" s="10"/>
      <c r="T41" s="10">
        <f t="shared" si="10"/>
        <v>0</v>
      </c>
      <c r="U41" s="10">
        <f t="shared" si="11"/>
        <v>700</v>
      </c>
      <c r="V41" s="10">
        <f>Table14[[#This Row],[Enrolment S.Y. 2025-2026 ]]*8</f>
        <v>0</v>
      </c>
      <c r="W41" s="10">
        <v>400</v>
      </c>
      <c r="X41" s="8">
        <v>2025</v>
      </c>
      <c r="Y41" s="10"/>
      <c r="Z41" s="10">
        <f t="shared" si="12"/>
        <v>0</v>
      </c>
      <c r="AA41" s="10">
        <f t="shared" si="13"/>
        <v>400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>
        <v>700</v>
      </c>
      <c r="R42" s="8">
        <v>2025</v>
      </c>
      <c r="S42" s="10"/>
      <c r="T42" s="10">
        <f t="shared" si="10"/>
        <v>0</v>
      </c>
      <c r="U42" s="10">
        <f t="shared" si="11"/>
        <v>700</v>
      </c>
      <c r="V42" s="10">
        <f>Table14[[#This Row],[Enrolment S.Y. 2025-2026 ]]*8</f>
        <v>0</v>
      </c>
      <c r="W42" s="10">
        <v>400</v>
      </c>
      <c r="X42" s="8">
        <v>2025</v>
      </c>
      <c r="Y42" s="10"/>
      <c r="Z42" s="10">
        <f t="shared" si="12"/>
        <v>0</v>
      </c>
      <c r="AA42" s="10">
        <f t="shared" si="13"/>
        <v>400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>
        <v>400</v>
      </c>
      <c r="R43" s="8">
        <v>2025</v>
      </c>
      <c r="S43" s="10"/>
      <c r="T43" s="10">
        <f t="shared" si="10"/>
        <v>0</v>
      </c>
      <c r="U43" s="10">
        <f t="shared" si="11"/>
        <v>400</v>
      </c>
      <c r="V43" s="10">
        <f>Table14[[#This Row],[Enrolment S.Y. 2025-2026 ]]*8</f>
        <v>0</v>
      </c>
      <c r="W43" s="10">
        <v>400</v>
      </c>
      <c r="X43" s="8">
        <v>2025</v>
      </c>
      <c r="Y43" s="10"/>
      <c r="Z43" s="10">
        <f t="shared" si="12"/>
        <v>0</v>
      </c>
      <c r="AA43" s="10">
        <f t="shared" si="13"/>
        <v>400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>
        <v>700</v>
      </c>
      <c r="R44" s="8">
        <v>2025</v>
      </c>
      <c r="S44" s="10"/>
      <c r="T44" s="10">
        <f t="shared" si="10"/>
        <v>0</v>
      </c>
      <c r="U44" s="10">
        <f t="shared" si="11"/>
        <v>700</v>
      </c>
      <c r="V44" s="10">
        <f>Table14[[#This Row],[Enrolment S.Y. 2025-2026 ]]*8</f>
        <v>0</v>
      </c>
      <c r="W44" s="10">
        <v>600</v>
      </c>
      <c r="X44" s="8">
        <v>2025</v>
      </c>
      <c r="Y44" s="10"/>
      <c r="Z44" s="10">
        <f t="shared" si="12"/>
        <v>0</v>
      </c>
      <c r="AA44" s="10">
        <f t="shared" si="13"/>
        <v>600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>
        <v>200</v>
      </c>
      <c r="R45" s="8">
        <v>2025</v>
      </c>
      <c r="S45" s="10"/>
      <c r="T45" s="10">
        <f>IF((P45-Q45)&lt;0,0,(P45-Q45))</f>
        <v>0</v>
      </c>
      <c r="U45" s="10">
        <f>IF((Q45-P45)&lt;0,0,(Q45-P45))</f>
        <v>200</v>
      </c>
      <c r="V45" s="10">
        <f>Table14[[#This Row],[Enrolment S.Y. 2025-2026 ]]*8</f>
        <v>0</v>
      </c>
      <c r="W45" s="10">
        <v>200</v>
      </c>
      <c r="X45" s="8">
        <v>2025</v>
      </c>
      <c r="Y45" s="10"/>
      <c r="Z45" s="10">
        <f>IF((V45-W45)&lt;0,0,(V45-W45))</f>
        <v>0</v>
      </c>
      <c r="AA45" s="10">
        <f>IF((W45-V45)&lt;0,0,(W45-V45))</f>
        <v>200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>
        <v>300</v>
      </c>
      <c r="R46" s="8">
        <v>2025</v>
      </c>
      <c r="S46" s="10"/>
      <c r="T46" s="10">
        <f t="shared" si="10"/>
        <v>0</v>
      </c>
      <c r="U46" s="10">
        <f t="shared" si="11"/>
        <v>300</v>
      </c>
      <c r="V46" s="10">
        <f>Table14[[#This Row],[Enrolment S.Y. 2025-2026 ]]*8</f>
        <v>0</v>
      </c>
      <c r="W46" s="10">
        <v>400</v>
      </c>
      <c r="X46" s="8">
        <v>2025</v>
      </c>
      <c r="Y46" s="10"/>
      <c r="Z46" s="10">
        <f t="shared" si="12"/>
        <v>0</v>
      </c>
      <c r="AA46" s="10">
        <f t="shared" si="13"/>
        <v>400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>
        <v>200</v>
      </c>
      <c r="R48" s="8">
        <v>2025</v>
      </c>
      <c r="S48" s="10"/>
      <c r="T48" s="10">
        <f>IF((P48-Q48)&lt;0,0,(P48-Q48))</f>
        <v>0</v>
      </c>
      <c r="U48" s="10">
        <f>IF((Q48-P48)&lt;0,0,(Q48-P48))</f>
        <v>200</v>
      </c>
      <c r="V48" s="10">
        <f>Table14[[#This Row],[Enrolment S.Y. 2025-2026 ]]*8</f>
        <v>0</v>
      </c>
      <c r="W48" s="10">
        <v>100</v>
      </c>
      <c r="X48" s="8">
        <v>2025</v>
      </c>
      <c r="Y48" s="10"/>
      <c r="Z48" s="10">
        <f>IF((V48-W48)&lt;0,0,(V48-W48))</f>
        <v>0</v>
      </c>
      <c r="AA48" s="10">
        <f>IF((W48-V48)&lt;0,0,(W48-V48))</f>
        <v>100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>
        <v>200</v>
      </c>
      <c r="R49" s="8">
        <v>2025</v>
      </c>
      <c r="S49" s="10"/>
      <c r="T49" s="10">
        <f t="shared" si="10"/>
        <v>0</v>
      </c>
      <c r="U49" s="10">
        <f t="shared" si="11"/>
        <v>200</v>
      </c>
      <c r="V49" s="10">
        <f>Table14[[#This Row],[Enrolment S.Y. 2025-2026 ]]*8</f>
        <v>0</v>
      </c>
      <c r="W49" s="10">
        <v>300</v>
      </c>
      <c r="X49" s="8">
        <v>2025</v>
      </c>
      <c r="Y49" s="10"/>
      <c r="Z49" s="10">
        <f t="shared" si="12"/>
        <v>0</v>
      </c>
      <c r="AA49" s="10">
        <f t="shared" si="13"/>
        <v>300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20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20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20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20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39:L49 N3:R13 N15:R25 N27:R37 T27:X37 P2:R2 D15:F25 D27:F37 D51:F58 T39:X49 V2:X2 T3:X13 Z3:AA13 H3:L13 T15:X25 Z15:AA25 H15:L25 Z27:AA37 Z39:AA49 N51:R58 T51:X58 Z51:AA58 H51:L58 D39:F49 N39:R49 H27:L37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X3:X13 X15:X25 X27:X37 X39:X49 X51:X58 R3:R13 R15:R25 R27:R37 R39:R49 R51:R58 L3:L13 L15:L25 L27:L37 L39:L49 L51:L58 F3:F13 F15:F25 F27:F37 F39:F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2026-04-14T02:05:19Z</dcterms:modified>
  <cp:category/>
  <cp:contentStatus/>
</cp:coreProperties>
</file>