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3" documentId="13_ncr:1_{BFB59F67-F0DC-4675-A682-EB0734A8026A}" xr6:coauthVersionLast="47" xr6:coauthVersionMax="47" xr10:uidLastSave="{092F8364-A898-45C4-87E8-CCA28A0D7D1A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I115" i="5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I103" i="5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I91" i="5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I79" i="5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I67" i="5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<sst xmlns="http://schemas.openxmlformats.org/spreadsheetml/2006/main" count="388" uniqueCount="90">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</sst>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J111" sqref="J11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sqref="A1:B10485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A107" zoomScale="55" zoomScaleNormal="55" workbookViewId="0">
      <selection activeCell="E116" sqref="E11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323</v>
      </c>
      <c r="D67" s="12">
        <v>323</v>
      </c>
      <c r="E67" s="12"/>
      <c r="F67" s="10"/>
      <c r="G67" s="12"/>
      <c r="H67" s="12">
        <f t="shared" si="0"/>
        <v>323</v>
      </c>
      <c r="I67" s="12">
        <f t="shared" si="1"/>
        <v>0</v>
      </c>
      <c r="J67" s="12">
        <f>Table14[[#This Row],[Enrolment S.Y. 2025-2026 ]]*8</f>
        <v>2584</v>
      </c>
      <c r="K67" s="12"/>
      <c r="L67" s="10"/>
      <c r="M67" s="12"/>
      <c r="N67" s="12">
        <f t="shared" si="2"/>
        <v>2584</v>
      </c>
      <c r="O67" s="12">
        <f t="shared" si="3"/>
        <v>0</v>
      </c>
      <c r="P67" s="12">
        <f>Table14[[#This Row],[Enrolment S.Y. 2025-2026 ]]*8</f>
        <v>2584</v>
      </c>
      <c r="Q67" s="12"/>
      <c r="R67" s="10"/>
      <c r="S67" s="12"/>
      <c r="T67" s="12">
        <f t="shared" si="4"/>
        <v>2584</v>
      </c>
      <c r="U67" s="12">
        <f t="shared" si="5"/>
        <v>0</v>
      </c>
      <c r="V67" s="12">
        <f>Table14[[#This Row],[Enrolment S.Y. 2025-2026 ]]*8</f>
        <v>2584</v>
      </c>
      <c r="W67" s="12"/>
      <c r="X67" s="10"/>
      <c r="Y67" s="12"/>
      <c r="Z67" s="12">
        <f t="shared" si="6"/>
        <v>2584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0" customHeight="1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343</v>
      </c>
      <c r="D79" s="12">
        <v>343</v>
      </c>
      <c r="E79" s="12"/>
      <c r="F79" s="10"/>
      <c r="G79" s="12"/>
      <c r="H79" s="12">
        <f t="shared" si="0"/>
        <v>343</v>
      </c>
      <c r="I79" s="12">
        <f t="shared" si="1"/>
        <v>0</v>
      </c>
      <c r="J79" s="12">
        <f>Table14[[#This Row],[Enrolment S.Y. 2025-2026 ]]*8</f>
        <v>2744</v>
      </c>
      <c r="K79" s="12"/>
      <c r="L79" s="10"/>
      <c r="M79" s="12"/>
      <c r="N79" s="12">
        <f t="shared" ref="N74:N122" si="20">IF((J79-K79)&lt;0,0,(J79-K79))</f>
        <v>2744</v>
      </c>
      <c r="O79" s="12">
        <f t="shared" ref="O74:O122" si="21">IF((K79-J79)&lt;0,0,(K79-J79))</f>
        <v>0</v>
      </c>
      <c r="P79" s="12">
        <f>Table14[[#This Row],[Enrolment S.Y. 2025-2026 ]]*8</f>
        <v>2744</v>
      </c>
      <c r="Q79" s="12"/>
      <c r="R79" s="10"/>
      <c r="S79" s="12"/>
      <c r="T79" s="12">
        <f t="shared" si="16"/>
        <v>2744</v>
      </c>
      <c r="U79" s="12">
        <f t="shared" si="17"/>
        <v>0</v>
      </c>
      <c r="V79" s="12">
        <f>Table14[[#This Row],[Enrolment S.Y. 2025-2026 ]]*8</f>
        <v>2744</v>
      </c>
      <c r="W79" s="12"/>
      <c r="X79" s="10"/>
      <c r="Y79" s="12"/>
      <c r="Z79" s="12">
        <f t="shared" si="18"/>
        <v>2744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283</v>
      </c>
      <c r="D91" s="12">
        <v>283</v>
      </c>
      <c r="E91" s="12"/>
      <c r="F91" s="10"/>
      <c r="G91" s="12"/>
      <c r="H91" s="12">
        <f t="shared" si="22"/>
        <v>283</v>
      </c>
      <c r="I91" s="12">
        <f t="shared" si="23"/>
        <v>0</v>
      </c>
      <c r="J91" s="12">
        <f>Table14[[#This Row],[Enrolment S.Y. 2025-2026 ]]*8</f>
        <v>2264</v>
      </c>
      <c r="K91" s="12"/>
      <c r="L91" s="10"/>
      <c r="M91" s="12"/>
      <c r="N91" s="12">
        <f t="shared" si="20"/>
        <v>2264</v>
      </c>
      <c r="O91" s="12">
        <f t="shared" si="21"/>
        <v>0</v>
      </c>
      <c r="P91" s="12">
        <f>Table14[[#This Row],[Enrolment S.Y. 2025-2026 ]]*8</f>
        <v>2264</v>
      </c>
      <c r="Q91" s="12"/>
      <c r="R91" s="10"/>
      <c r="S91" s="12"/>
      <c r="T91" s="12">
        <f t="shared" si="16"/>
        <v>2264</v>
      </c>
      <c r="U91" s="12">
        <f t="shared" si="17"/>
        <v>0</v>
      </c>
      <c r="V91" s="12">
        <f>Table14[[#This Row],[Enrolment S.Y. 2025-2026 ]]*8</f>
        <v>2264</v>
      </c>
      <c r="W91" s="12"/>
      <c r="X91" s="10"/>
      <c r="Y91" s="12"/>
      <c r="Z91" s="12">
        <f t="shared" si="18"/>
        <v>2264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369</v>
      </c>
      <c r="D103" s="12">
        <v>369</v>
      </c>
      <c r="E103" s="12"/>
      <c r="F103" s="10"/>
      <c r="G103" s="12"/>
      <c r="H103" s="12">
        <f t="shared" si="22"/>
        <v>369</v>
      </c>
      <c r="I103" s="12">
        <f t="shared" si="23"/>
        <v>0</v>
      </c>
      <c r="J103" s="12">
        <f>Table14[[#This Row],[Enrolment S.Y. 2025-2026 ]]*8</f>
        <v>2952</v>
      </c>
      <c r="K103" s="12"/>
      <c r="L103" s="10"/>
      <c r="M103" s="12"/>
      <c r="N103" s="12">
        <f t="shared" si="20"/>
        <v>2952</v>
      </c>
      <c r="O103" s="12">
        <f t="shared" si="21"/>
        <v>0</v>
      </c>
      <c r="P103" s="12">
        <f>Table14[[#This Row],[Enrolment S.Y. 2025-2026 ]]*8</f>
        <v>2952</v>
      </c>
      <c r="Q103" s="12"/>
      <c r="R103" s="10"/>
      <c r="S103" s="12"/>
      <c r="T103" s="12">
        <f t="shared" si="16"/>
        <v>2952</v>
      </c>
      <c r="U103" s="12">
        <f t="shared" si="17"/>
        <v>0</v>
      </c>
      <c r="V103" s="12">
        <f>Table14[[#This Row],[Enrolment S.Y. 2025-2026 ]]*8</f>
        <v>2952</v>
      </c>
      <c r="W103" s="12"/>
      <c r="X103" s="10"/>
      <c r="Y103" s="12"/>
      <c r="Z103" s="12">
        <f t="shared" si="18"/>
        <v>2952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25">
      <c r="A115" s="1" t="s">
        <v>23</v>
      </c>
      <c r="B115" s="9" t="s">
        <v>24</v>
      </c>
      <c r="C115" s="1">
        <v>94</v>
      </c>
      <c r="D115" s="5">
        <v>94</v>
      </c>
      <c r="E115" s="5"/>
      <c r="F115" s="1"/>
      <c r="G115" s="5"/>
      <c r="H115" s="5">
        <f t="shared" si="22"/>
        <v>94</v>
      </c>
      <c r="I115" s="5">
        <f t="shared" si="23"/>
        <v>0</v>
      </c>
      <c r="J115" s="5">
        <f>Table14[[#This Row],[Enrolment S.Y. 2025-2026 ]]*8</f>
        <v>752</v>
      </c>
      <c r="K115" s="5"/>
      <c r="L115" s="1"/>
      <c r="M115" s="5"/>
      <c r="N115" s="5">
        <f t="shared" si="20"/>
        <v>752</v>
      </c>
      <c r="O115" s="5">
        <f t="shared" si="21"/>
        <v>0</v>
      </c>
      <c r="P115" s="5">
        <f>Table14[[#This Row],[Enrolment S.Y. 2025-2026 ]]*8</f>
        <v>752</v>
      </c>
      <c r="Q115" s="5"/>
      <c r="R115" s="1"/>
      <c r="S115" s="5"/>
      <c r="T115" s="5">
        <f t="shared" si="16"/>
        <v>752</v>
      </c>
      <c r="U115" s="5">
        <f t="shared" si="17"/>
        <v>0</v>
      </c>
      <c r="V115" s="5">
        <f>Table14[[#This Row],[Enrolment S.Y. 2025-2026 ]]*8</f>
        <v>752</v>
      </c>
      <c r="W115" s="5"/>
      <c r="X115" s="1"/>
      <c r="Y115" s="5"/>
      <c r="Z115" s="5">
        <f t="shared" si="18"/>
        <v>752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Tibagan High School</cp:lastModifiedBy>
  <cp:revision/>
  <dcterms:created xsi:type="dcterms:W3CDTF">2025-11-19T20:48:15Z</dcterms:created>
  <dcterms:modified xsi:type="dcterms:W3CDTF">2025-12-15T06:13:43Z</dcterms:modified>
  <cp:category/>
  <cp:contentStatus/>
</cp:coreProperties>
</file>