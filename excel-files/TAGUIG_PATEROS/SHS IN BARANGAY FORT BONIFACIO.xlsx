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09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7" documentId="13_ncr:1_{BFB59F67-F0DC-4675-A682-EB0734A8026A}" xr6:coauthVersionLast="47" xr6:coauthVersionMax="47" xr10:uidLastSave="{044161DD-36E1-481D-8C78-388D091B238A}"/>
  <bookViews>
    <workbookView xWindow="-108" yWindow="-108" windowWidth="23256" windowHeight="12456" firstSheet="1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2" i="5" l="1"/>
  <c r="D121" i="5"/>
  <c r="D120" i="5"/>
  <c r="D119" i="5"/>
  <c r="D118" i="5"/>
  <c r="D117" i="5"/>
  <c r="D116" i="5"/>
  <c r="D115" i="5"/>
  <c r="D110" i="4"/>
  <c r="D109" i="4"/>
  <c r="D108" i="4"/>
  <c r="D107" i="4"/>
  <c r="D106" i="4"/>
  <c r="D105" i="4"/>
  <c r="D104" i="4"/>
  <c r="D103" i="4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I122" i="5"/>
  <c r="V121" i="5"/>
  <c r="Z121" i="5" s="1"/>
  <c r="P121" i="5"/>
  <c r="J121" i="5"/>
  <c r="N121" i="5" s="1"/>
  <c r="I121" i="5"/>
  <c r="V120" i="5"/>
  <c r="AA120" i="5" s="1"/>
  <c r="P120" i="5"/>
  <c r="U120" i="5" s="1"/>
  <c r="J120" i="5"/>
  <c r="O120" i="5" s="1"/>
  <c r="I120" i="5"/>
  <c r="V119" i="5"/>
  <c r="Z119" i="5" s="1"/>
  <c r="P119" i="5"/>
  <c r="J119" i="5"/>
  <c r="N119" i="5" s="1"/>
  <c r="I119" i="5"/>
  <c r="V118" i="5"/>
  <c r="AA118" i="5" s="1"/>
  <c r="P118" i="5"/>
  <c r="U118" i="5" s="1"/>
  <c r="J118" i="5"/>
  <c r="O118" i="5" s="1"/>
  <c r="I118" i="5"/>
  <c r="V117" i="5"/>
  <c r="Z117" i="5" s="1"/>
  <c r="P117" i="5"/>
  <c r="J117" i="5"/>
  <c r="N117" i="5" s="1"/>
  <c r="I117" i="5"/>
  <c r="V116" i="5"/>
  <c r="AA116" i="5" s="1"/>
  <c r="P116" i="5"/>
  <c r="U116" i="5" s="1"/>
  <c r="J116" i="5"/>
  <c r="O116" i="5" s="1"/>
  <c r="I116" i="5"/>
  <c r="V115" i="5"/>
  <c r="Z115" i="5" s="1"/>
  <c r="P115" i="5"/>
  <c r="J115" i="5"/>
  <c r="N115" i="5" s="1"/>
  <c r="I115" i="5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I103" i="4"/>
  <c r="I104" i="4"/>
  <c r="H105" i="4"/>
  <c r="H106" i="4"/>
  <c r="I107" i="4"/>
  <c r="H108" i="4"/>
  <c r="I109" i="4"/>
  <c r="I110" i="4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<sst xmlns="http://schemas.openxmlformats.org/spreadsheetml/2006/main" count="398" uniqueCount="93">
  <si>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</si>
  <si>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</si>
  <si>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</si>
  <si>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</si>
  <si>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</si>
  <si>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</si>
  <si>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</si>
  <si>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</si>
  <si>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</si>
  <si>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</si>
  <si>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</si>
  <si>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</si>
  <si>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</si>
  <si>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</si>
  <si>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</si>
  <si>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</si>
  <si>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</si>
  <si>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</si>
  <si>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</si>
  <si>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</si>
  <si>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</si>
  <si>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</si>
  <si>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</si>
  <si>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</si>
  <si>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</si>
  <si>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</si>
  <si>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</si>
  <si>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RO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</si>
  <si>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</si>
  <si>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</si>
  <si>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</si>
  <si>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</si>
  <si>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</si>
  <si>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Understanding Culture, Society and Politics</t>
  </si>
  <si>
    <t>Earth and Life Science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</si>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</sst>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"/>
  <sheetViews>
    <sheetView zoomScale="85" zoomScaleNormal="85" workbookViewId="0">
      <pane xSplit="2" topLeftCell="C98" activePane="topRight" state="frozen"/>
      <selection pane="topRight" activeCell="A91" sqref="A91:F10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>
        <v>214</v>
      </c>
      <c r="D91" s="1"/>
      <c r="E91" s="1"/>
      <c r="F91" s="5"/>
      <c r="G91" s="3">
        <f t="shared" ref="G91:G98" si="18">IF((C91-D91)&lt;0,0,C91-D91)</f>
        <v>214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>
        <v>214</v>
      </c>
      <c r="D92" s="1"/>
      <c r="E92" s="1"/>
      <c r="F92" s="5"/>
      <c r="G92" s="3">
        <f t="shared" si="18"/>
        <v>214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>
        <v>102</v>
      </c>
      <c r="D93" s="1">
        <v>162</v>
      </c>
      <c r="E93" s="1">
        <v>2024</v>
      </c>
      <c r="F93" s="5" t="s">
        <v>27</v>
      </c>
      <c r="G93" s="3">
        <f t="shared" si="18"/>
        <v>0</v>
      </c>
      <c r="H93" s="4">
        <f t="shared" si="19"/>
        <v>60</v>
      </c>
    </row>
    <row r="94" spans="1:8" ht="27.75" customHeight="1">
      <c r="A94" s="1" t="s">
        <v>23</v>
      </c>
      <c r="B94" s="9" t="s">
        <v>28</v>
      </c>
      <c r="C94" s="1">
        <v>214</v>
      </c>
      <c r="D94" s="1">
        <v>162</v>
      </c>
      <c r="E94" s="1">
        <v>2025</v>
      </c>
      <c r="F94" s="5" t="s">
        <v>27</v>
      </c>
      <c r="G94" s="3">
        <f t="shared" si="18"/>
        <v>52</v>
      </c>
      <c r="H94" s="4">
        <f t="shared" si="19"/>
        <v>0</v>
      </c>
    </row>
    <row r="95" spans="1:8" ht="40.5" customHeight="1">
      <c r="A95" s="1" t="s">
        <v>23</v>
      </c>
      <c r="B95" s="9" t="s">
        <v>29</v>
      </c>
      <c r="C95" s="1">
        <v>116</v>
      </c>
      <c r="D95" s="1"/>
      <c r="E95" s="1"/>
      <c r="F95" s="5"/>
      <c r="G95" s="3">
        <f t="shared" si="18"/>
        <v>116</v>
      </c>
      <c r="H95" s="4">
        <f t="shared" si="19"/>
        <v>0</v>
      </c>
    </row>
    <row r="96" spans="1:8" ht="38.25" customHeight="1">
      <c r="A96" s="1" t="s">
        <v>23</v>
      </c>
      <c r="B96" s="9" t="s">
        <v>30</v>
      </c>
      <c r="C96" s="1">
        <v>214</v>
      </c>
      <c r="D96" s="1">
        <v>162</v>
      </c>
      <c r="E96" s="1">
        <v>2024</v>
      </c>
      <c r="F96" s="5" t="s">
        <v>27</v>
      </c>
      <c r="G96" s="3">
        <f t="shared" si="18"/>
        <v>52</v>
      </c>
      <c r="H96" s="4">
        <f t="shared" si="19"/>
        <v>0</v>
      </c>
    </row>
    <row r="97" spans="1:8" ht="27.75" customHeight="1">
      <c r="A97" s="1" t="s">
        <v>23</v>
      </c>
      <c r="B97" s="9" t="s">
        <v>31</v>
      </c>
      <c r="C97" s="1">
        <v>102</v>
      </c>
      <c r="D97" s="1">
        <v>162</v>
      </c>
      <c r="E97" s="1">
        <v>2024</v>
      </c>
      <c r="F97" s="5" t="s">
        <v>27</v>
      </c>
      <c r="G97" s="3">
        <f t="shared" si="18"/>
        <v>0</v>
      </c>
      <c r="H97" s="4">
        <f t="shared" si="19"/>
        <v>60</v>
      </c>
    </row>
    <row r="98" spans="1:8" ht="47.25" customHeight="1">
      <c r="A98" s="1" t="s">
        <v>23</v>
      </c>
      <c r="B98" s="9" t="s">
        <v>32</v>
      </c>
      <c r="C98" s="1">
        <v>136</v>
      </c>
      <c r="D98" s="1"/>
      <c r="E98" s="1"/>
      <c r="F98" s="5"/>
      <c r="G98" s="3">
        <f t="shared" si="18"/>
        <v>136</v>
      </c>
      <c r="H98" s="4">
        <f t="shared" si="19"/>
        <v>0</v>
      </c>
    </row>
    <row r="99" spans="1:8" ht="57.75">
      <c r="A99" s="1" t="s">
        <v>23</v>
      </c>
      <c r="B99" s="9" t="s">
        <v>33</v>
      </c>
      <c r="C99" s="1">
        <v>214</v>
      </c>
      <c r="D99" s="1">
        <v>162</v>
      </c>
      <c r="E99" s="1">
        <v>2025</v>
      </c>
      <c r="F99" s="5" t="s">
        <v>27</v>
      </c>
    </row>
    <row r="100" spans="1:8" ht="38.25">
      <c r="A100" s="1" t="s">
        <v>23</v>
      </c>
      <c r="B100" s="9" t="s">
        <v>34</v>
      </c>
      <c r="C100" s="1">
        <v>214</v>
      </c>
      <c r="D100" s="1">
        <v>162</v>
      </c>
      <c r="E100" s="1">
        <v>2024</v>
      </c>
      <c r="F100" s="5" t="s">
        <v>27</v>
      </c>
    </row>
  </sheetData>
  <protectedRanges>
    <protectedRange sqref="C1:E90" name="Textbooks"/>
    <protectedRange sqref="F1:F90" name="SOURCE"/>
    <protectedRange sqref="D91:E100" name="Textbooks_1"/>
    <protectedRange sqref="F91:F100" name="SOURCE_1"/>
    <protectedRange sqref="C91:C100" name="Textbooks_1_1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100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100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topLeftCell="B46" zoomScale="70" zoomScaleNormal="70" workbookViewId="0">
      <selection activeCell="A103" sqref="A103:XFD11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35</v>
      </c>
      <c r="E1" s="42"/>
      <c r="F1" s="42"/>
      <c r="G1" s="42"/>
      <c r="H1" s="42"/>
      <c r="I1" s="42"/>
      <c r="J1" s="43" t="s">
        <v>36</v>
      </c>
      <c r="K1" s="43"/>
      <c r="L1" s="43"/>
      <c r="M1" s="43"/>
      <c r="N1" s="43"/>
      <c r="O1" s="43"/>
      <c r="P1" s="44" t="s">
        <v>37</v>
      </c>
      <c r="Q1" s="44"/>
      <c r="R1" s="44"/>
      <c r="S1" s="44"/>
      <c r="T1" s="44"/>
      <c r="U1" s="44"/>
      <c r="V1" s="45" t="s">
        <v>38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39</v>
      </c>
      <c r="E2" s="20" t="s">
        <v>40</v>
      </c>
      <c r="F2" s="21" t="s">
        <v>41</v>
      </c>
      <c r="G2" s="24" t="s">
        <v>42</v>
      </c>
      <c r="H2" s="17" t="s">
        <v>43</v>
      </c>
      <c r="I2" s="24" t="s">
        <v>44</v>
      </c>
      <c r="J2" s="22" t="s">
        <v>45</v>
      </c>
      <c r="K2" s="22" t="s">
        <v>46</v>
      </c>
      <c r="L2" s="23" t="s">
        <v>47</v>
      </c>
      <c r="M2" s="40" t="s">
        <v>48</v>
      </c>
      <c r="N2" s="40" t="s">
        <v>49</v>
      </c>
      <c r="O2" s="22" t="s">
        <v>50</v>
      </c>
      <c r="P2" s="24" t="s">
        <v>51</v>
      </c>
      <c r="Q2" s="24" t="s">
        <v>52</v>
      </c>
      <c r="R2" s="25" t="s">
        <v>53</v>
      </c>
      <c r="S2" s="17" t="s">
        <v>54</v>
      </c>
      <c r="T2" s="17" t="s">
        <v>55</v>
      </c>
      <c r="U2" s="24" t="s">
        <v>56</v>
      </c>
      <c r="V2" s="26" t="s">
        <v>57</v>
      </c>
      <c r="W2" s="26" t="s">
        <v>58</v>
      </c>
      <c r="X2" s="27" t="s">
        <v>59</v>
      </c>
      <c r="Y2" s="41" t="s">
        <v>60</v>
      </c>
      <c r="Z2" s="41" t="s">
        <v>61</v>
      </c>
      <c r="AA2" s="26" t="s">
        <v>62</v>
      </c>
    </row>
    <row r="3" spans="1:27" ht="30.6" customHeight="1">
      <c r="A3" s="39" t="s">
        <v>63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64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64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64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23</v>
      </c>
      <c r="B103" s="9" t="s">
        <v>24</v>
      </c>
      <c r="C103" s="1">
        <v>214</v>
      </c>
      <c r="D103" s="5">
        <f>Table1[[#This Row],[Enrolment S.Y. 2025-2026 ]]*8</f>
        <v>1712</v>
      </c>
      <c r="E103" s="5"/>
      <c r="F103" s="1"/>
      <c r="G103" s="5"/>
      <c r="H103" s="5">
        <f t="shared" si="22"/>
        <v>1712</v>
      </c>
      <c r="I103" s="5">
        <f t="shared" si="23"/>
        <v>0</v>
      </c>
      <c r="J103" s="5">
        <f>Table1[[#This Row],[Enrolment S.Y. 2025-2026 ]]*8</f>
        <v>1712</v>
      </c>
      <c r="K103" s="5"/>
      <c r="L103" s="1"/>
      <c r="M103" s="5"/>
      <c r="N103" s="5">
        <f t="shared" si="16"/>
        <v>1712</v>
      </c>
      <c r="O103" s="5">
        <f t="shared" si="17"/>
        <v>0</v>
      </c>
      <c r="P103" s="5">
        <f>Table1[[#This Row],[Enrolment S.Y. 2025-2026 ]]*8</f>
        <v>1712</v>
      </c>
      <c r="Q103" s="5"/>
      <c r="R103" s="1"/>
      <c r="S103" s="5"/>
      <c r="T103" s="5">
        <f t="shared" si="18"/>
        <v>1712</v>
      </c>
      <c r="U103" s="5">
        <f t="shared" si="19"/>
        <v>0</v>
      </c>
      <c r="V103" s="5">
        <f>Table1[[#This Row],[Enrolment S.Y. 2025-2026 ]]*8</f>
        <v>1712</v>
      </c>
      <c r="W103" s="5"/>
      <c r="X103" s="1"/>
      <c r="Y103" s="5"/>
      <c r="Z103" s="5">
        <f t="shared" si="20"/>
        <v>1712</v>
      </c>
      <c r="AA103" s="5">
        <f t="shared" si="21"/>
        <v>0</v>
      </c>
    </row>
    <row r="104" spans="1:27" ht="19.5">
      <c r="A104" s="1" t="s">
        <v>23</v>
      </c>
      <c r="B104" s="9" t="s">
        <v>25</v>
      </c>
      <c r="C104" s="1">
        <v>214</v>
      </c>
      <c r="D104" s="5">
        <f>Table1[[#This Row],[Enrolment S.Y. 2025-2026 ]]*8</f>
        <v>1712</v>
      </c>
      <c r="E104" s="5"/>
      <c r="F104" s="1"/>
      <c r="G104" s="5"/>
      <c r="H104" s="5">
        <f t="shared" si="22"/>
        <v>1712</v>
      </c>
      <c r="I104" s="5">
        <f t="shared" si="23"/>
        <v>0</v>
      </c>
      <c r="J104" s="5">
        <f>Table1[[#This Row],[Enrolment S.Y. 2025-2026 ]]*8</f>
        <v>1712</v>
      </c>
      <c r="K104" s="5"/>
      <c r="L104" s="1"/>
      <c r="M104" s="5"/>
      <c r="N104" s="5">
        <f t="shared" si="16"/>
        <v>1712</v>
      </c>
      <c r="O104" s="5">
        <f t="shared" si="17"/>
        <v>0</v>
      </c>
      <c r="P104" s="5">
        <f>Table1[[#This Row],[Enrolment S.Y. 2025-2026 ]]*8</f>
        <v>1712</v>
      </c>
      <c r="Q104" s="5"/>
      <c r="R104" s="1"/>
      <c r="S104" s="5"/>
      <c r="T104" s="5">
        <f t="shared" si="18"/>
        <v>1712</v>
      </c>
      <c r="U104" s="5">
        <f t="shared" si="19"/>
        <v>0</v>
      </c>
      <c r="V104" s="5">
        <f>Table1[[#This Row],[Enrolment S.Y. 2025-2026 ]]*8</f>
        <v>1712</v>
      </c>
      <c r="W104" s="5"/>
      <c r="X104" s="1"/>
      <c r="Y104" s="5"/>
      <c r="Z104" s="5">
        <f t="shared" si="20"/>
        <v>1712</v>
      </c>
      <c r="AA104" s="5">
        <f t="shared" si="21"/>
        <v>0</v>
      </c>
    </row>
    <row r="105" spans="1:27" ht="19.5">
      <c r="A105" s="1" t="s">
        <v>23</v>
      </c>
      <c r="B105" s="9" t="s">
        <v>26</v>
      </c>
      <c r="C105" s="1">
        <v>102</v>
      </c>
      <c r="D105" s="5">
        <f>Table1[[#This Row],[Enrolment S.Y. 2025-2026 ]]*8</f>
        <v>816</v>
      </c>
      <c r="E105" s="5"/>
      <c r="F105" s="1"/>
      <c r="G105" s="5"/>
      <c r="H105" s="5">
        <f t="shared" si="22"/>
        <v>816</v>
      </c>
      <c r="I105" s="5">
        <f t="shared" si="23"/>
        <v>0</v>
      </c>
      <c r="J105" s="5">
        <f>Table1[[#This Row],[Enrolment S.Y. 2025-2026 ]]*8</f>
        <v>816</v>
      </c>
      <c r="K105" s="5"/>
      <c r="L105" s="1"/>
      <c r="M105" s="5"/>
      <c r="N105" s="5">
        <f t="shared" si="16"/>
        <v>816</v>
      </c>
      <c r="O105" s="5">
        <f t="shared" si="17"/>
        <v>0</v>
      </c>
      <c r="P105" s="5">
        <f>Table1[[#This Row],[Enrolment S.Y. 2025-2026 ]]*8</f>
        <v>816</v>
      </c>
      <c r="Q105" s="5"/>
      <c r="R105" s="1"/>
      <c r="S105" s="5"/>
      <c r="T105" s="5">
        <f t="shared" si="18"/>
        <v>816</v>
      </c>
      <c r="U105" s="5">
        <f t="shared" si="19"/>
        <v>0</v>
      </c>
      <c r="V105" s="5">
        <f>Table1[[#This Row],[Enrolment S.Y. 2025-2026 ]]*8</f>
        <v>816</v>
      </c>
      <c r="W105" s="5"/>
      <c r="X105" s="1"/>
      <c r="Y105" s="5"/>
      <c r="Z105" s="5">
        <f t="shared" si="20"/>
        <v>816</v>
      </c>
      <c r="AA105" s="5">
        <f t="shared" si="21"/>
        <v>0</v>
      </c>
    </row>
    <row r="106" spans="1:27" ht="19.5">
      <c r="A106" s="1" t="s">
        <v>23</v>
      </c>
      <c r="B106" s="9" t="s">
        <v>28</v>
      </c>
      <c r="C106" s="1">
        <v>214</v>
      </c>
      <c r="D106" s="5">
        <f>Table1[[#This Row],[Enrolment S.Y. 2025-2026 ]]*8</f>
        <v>1712</v>
      </c>
      <c r="E106" s="5"/>
      <c r="F106" s="1"/>
      <c r="G106" s="5"/>
      <c r="H106" s="5">
        <f t="shared" si="22"/>
        <v>1712</v>
      </c>
      <c r="I106" s="5">
        <f t="shared" si="23"/>
        <v>0</v>
      </c>
      <c r="J106" s="5">
        <f>Table1[[#This Row],[Enrolment S.Y. 2025-2026 ]]*8</f>
        <v>1712</v>
      </c>
      <c r="K106" s="5"/>
      <c r="L106" s="1"/>
      <c r="M106" s="5"/>
      <c r="N106" s="5">
        <f t="shared" si="16"/>
        <v>1712</v>
      </c>
      <c r="O106" s="5">
        <f t="shared" si="17"/>
        <v>0</v>
      </c>
      <c r="P106" s="5">
        <f>Table1[[#This Row],[Enrolment S.Y. 2025-2026 ]]*8</f>
        <v>1712</v>
      </c>
      <c r="Q106" s="5"/>
      <c r="R106" s="1"/>
      <c r="S106" s="5"/>
      <c r="T106" s="5">
        <f t="shared" si="18"/>
        <v>1712</v>
      </c>
      <c r="U106" s="5">
        <f t="shared" si="19"/>
        <v>0</v>
      </c>
      <c r="V106" s="5">
        <f>Table1[[#This Row],[Enrolment S.Y. 2025-2026 ]]*8</f>
        <v>1712</v>
      </c>
      <c r="W106" s="5"/>
      <c r="X106" s="1"/>
      <c r="Y106" s="5"/>
      <c r="Z106" s="5">
        <f t="shared" si="20"/>
        <v>1712</v>
      </c>
      <c r="AA106" s="5">
        <f t="shared" si="21"/>
        <v>0</v>
      </c>
    </row>
    <row r="107" spans="1:27" ht="38.25">
      <c r="A107" s="1" t="s">
        <v>23</v>
      </c>
      <c r="B107" s="9" t="s">
        <v>29</v>
      </c>
      <c r="C107" s="1">
        <v>116</v>
      </c>
      <c r="D107" s="5">
        <f>Table1[[#This Row],[Enrolment S.Y. 2025-2026 ]]*8</f>
        <v>928</v>
      </c>
      <c r="E107" s="5"/>
      <c r="F107" s="1"/>
      <c r="G107" s="5"/>
      <c r="H107" s="5">
        <f t="shared" si="22"/>
        <v>928</v>
      </c>
      <c r="I107" s="5">
        <f t="shared" si="23"/>
        <v>0</v>
      </c>
      <c r="J107" s="5">
        <f>Table1[[#This Row],[Enrolment S.Y. 2025-2026 ]]*8</f>
        <v>928</v>
      </c>
      <c r="K107" s="5"/>
      <c r="L107" s="1"/>
      <c r="M107" s="5"/>
      <c r="N107" s="5">
        <f t="shared" si="16"/>
        <v>928</v>
      </c>
      <c r="O107" s="5">
        <f t="shared" si="17"/>
        <v>0</v>
      </c>
      <c r="P107" s="5">
        <f>Table1[[#This Row],[Enrolment S.Y. 2025-2026 ]]*8</f>
        <v>928</v>
      </c>
      <c r="Q107" s="5"/>
      <c r="R107" s="1"/>
      <c r="S107" s="5"/>
      <c r="T107" s="5">
        <f t="shared" si="18"/>
        <v>928</v>
      </c>
      <c r="U107" s="5">
        <f t="shared" si="19"/>
        <v>0</v>
      </c>
      <c r="V107" s="5">
        <f>Table1[[#This Row],[Enrolment S.Y. 2025-2026 ]]*8</f>
        <v>928</v>
      </c>
      <c r="W107" s="5"/>
      <c r="X107" s="1"/>
      <c r="Y107" s="5"/>
      <c r="Z107" s="5">
        <f t="shared" si="20"/>
        <v>928</v>
      </c>
      <c r="AA107" s="5">
        <f t="shared" si="21"/>
        <v>0</v>
      </c>
    </row>
    <row r="108" spans="1:27" ht="38.25">
      <c r="A108" s="1" t="s">
        <v>23</v>
      </c>
      <c r="B108" s="9" t="s">
        <v>30</v>
      </c>
      <c r="C108" s="1">
        <v>214</v>
      </c>
      <c r="D108" s="5">
        <f>Table1[[#This Row],[Enrolment S.Y. 2025-2026 ]]*8</f>
        <v>1712</v>
      </c>
      <c r="E108" s="5"/>
      <c r="F108" s="1"/>
      <c r="G108" s="5"/>
      <c r="H108" s="5">
        <f t="shared" si="22"/>
        <v>1712</v>
      </c>
      <c r="I108" s="5">
        <f t="shared" si="23"/>
        <v>0</v>
      </c>
      <c r="J108" s="5">
        <f>Table1[[#This Row],[Enrolment S.Y. 2025-2026 ]]*8</f>
        <v>1712</v>
      </c>
      <c r="K108" s="5"/>
      <c r="L108" s="1"/>
      <c r="M108" s="5"/>
      <c r="N108" s="5">
        <f t="shared" si="16"/>
        <v>1712</v>
      </c>
      <c r="O108" s="5">
        <f t="shared" si="17"/>
        <v>0</v>
      </c>
      <c r="P108" s="5">
        <f>Table1[[#This Row],[Enrolment S.Y. 2025-2026 ]]*8</f>
        <v>1712</v>
      </c>
      <c r="Q108" s="5"/>
      <c r="R108" s="1"/>
      <c r="S108" s="5"/>
      <c r="T108" s="5">
        <f t="shared" si="18"/>
        <v>1712</v>
      </c>
      <c r="U108" s="5">
        <f t="shared" si="19"/>
        <v>0</v>
      </c>
      <c r="V108" s="5">
        <f>Table1[[#This Row],[Enrolment S.Y. 2025-2026 ]]*8</f>
        <v>1712</v>
      </c>
      <c r="W108" s="5"/>
      <c r="X108" s="1"/>
      <c r="Y108" s="5"/>
      <c r="Z108" s="5">
        <f t="shared" si="20"/>
        <v>1712</v>
      </c>
      <c r="AA108" s="5">
        <f t="shared" si="21"/>
        <v>0</v>
      </c>
    </row>
    <row r="109" spans="1:27" ht="57.75">
      <c r="A109" s="1" t="s">
        <v>23</v>
      </c>
      <c r="B109" s="9" t="s">
        <v>31</v>
      </c>
      <c r="C109" s="1">
        <v>102</v>
      </c>
      <c r="D109" s="5">
        <f>Table1[[#This Row],[Enrolment S.Y. 2025-2026 ]]*8</f>
        <v>816</v>
      </c>
      <c r="E109" s="5"/>
      <c r="F109" s="1"/>
      <c r="G109" s="5"/>
      <c r="H109" s="5">
        <f t="shared" si="22"/>
        <v>816</v>
      </c>
      <c r="I109" s="5">
        <f t="shared" si="23"/>
        <v>0</v>
      </c>
      <c r="J109" s="5">
        <f>Table1[[#This Row],[Enrolment S.Y. 2025-2026 ]]*8</f>
        <v>816</v>
      </c>
      <c r="K109" s="5"/>
      <c r="L109" s="1"/>
      <c r="M109" s="5"/>
      <c r="N109" s="5">
        <f t="shared" si="16"/>
        <v>816</v>
      </c>
      <c r="O109" s="5">
        <f t="shared" si="17"/>
        <v>0</v>
      </c>
      <c r="P109" s="5">
        <f>Table1[[#This Row],[Enrolment S.Y. 2025-2026 ]]*8</f>
        <v>816</v>
      </c>
      <c r="Q109" s="5"/>
      <c r="R109" s="1"/>
      <c r="S109" s="5"/>
      <c r="T109" s="5">
        <f t="shared" si="18"/>
        <v>816</v>
      </c>
      <c r="U109" s="5">
        <f t="shared" si="19"/>
        <v>0</v>
      </c>
      <c r="V109" s="5">
        <f>Table1[[#This Row],[Enrolment S.Y. 2025-2026 ]]*8</f>
        <v>816</v>
      </c>
      <c r="W109" s="5"/>
      <c r="X109" s="1"/>
      <c r="Y109" s="5"/>
      <c r="Z109" s="5">
        <f t="shared" si="20"/>
        <v>816</v>
      </c>
      <c r="AA109" s="5">
        <f t="shared" si="21"/>
        <v>0</v>
      </c>
    </row>
    <row r="110" spans="1:27" ht="38.25">
      <c r="A110" s="1" t="s">
        <v>23</v>
      </c>
      <c r="B110" s="9" t="s">
        <v>32</v>
      </c>
      <c r="C110" s="1">
        <v>136</v>
      </c>
      <c r="D110" s="5">
        <f>Table1[[#This Row],[Enrolment S.Y. 2025-2026 ]]*8</f>
        <v>1088</v>
      </c>
      <c r="E110" s="5"/>
      <c r="F110" s="1"/>
      <c r="G110" s="5"/>
      <c r="H110" s="5">
        <f t="shared" si="22"/>
        <v>1088</v>
      </c>
      <c r="I110" s="5">
        <f t="shared" si="23"/>
        <v>0</v>
      </c>
      <c r="J110" s="5">
        <f>Table1[[#This Row],[Enrolment S.Y. 2025-2026 ]]*8</f>
        <v>1088</v>
      </c>
      <c r="K110" s="5"/>
      <c r="L110" s="1"/>
      <c r="M110" s="5"/>
      <c r="N110" s="5">
        <f t="shared" si="16"/>
        <v>1088</v>
      </c>
      <c r="O110" s="5">
        <f t="shared" si="17"/>
        <v>0</v>
      </c>
      <c r="P110" s="5">
        <f>Table1[[#This Row],[Enrolment S.Y. 2025-2026 ]]*8</f>
        <v>1088</v>
      </c>
      <c r="Q110" s="5"/>
      <c r="R110" s="1"/>
      <c r="S110" s="5"/>
      <c r="T110" s="5">
        <f t="shared" si="18"/>
        <v>1088</v>
      </c>
      <c r="U110" s="5">
        <f t="shared" si="19"/>
        <v>0</v>
      </c>
      <c r="V110" s="5">
        <f>Table1[[#This Row],[Enrolment S.Y. 2025-2026 ]]*8</f>
        <v>1088</v>
      </c>
      <c r="W110" s="5"/>
      <c r="X110" s="1"/>
      <c r="Y110" s="5"/>
      <c r="Z110" s="5">
        <f t="shared" si="20"/>
        <v>1088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E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  <protectedRange sqref="D103:D110" name="LAS_1"/>
    <protectedRange sqref="C103:C110" name="Textbooks_2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115" zoomScale="55" zoomScaleNormal="55" workbookViewId="0">
      <selection activeCell="F119" sqref="F11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35</v>
      </c>
      <c r="E1" s="42"/>
      <c r="F1" s="42"/>
      <c r="G1" s="42"/>
      <c r="H1" s="42"/>
      <c r="I1" s="42"/>
      <c r="J1" s="43" t="s">
        <v>36</v>
      </c>
      <c r="K1" s="43"/>
      <c r="L1" s="43"/>
      <c r="M1" s="43"/>
      <c r="N1" s="43"/>
      <c r="O1" s="43"/>
      <c r="P1" s="44" t="s">
        <v>37</v>
      </c>
      <c r="Q1" s="44"/>
      <c r="R1" s="44"/>
      <c r="S1" s="44"/>
      <c r="T1" s="44"/>
      <c r="U1" s="44"/>
      <c r="V1" s="45" t="s">
        <v>38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65</v>
      </c>
      <c r="E2" s="20" t="s">
        <v>66</v>
      </c>
      <c r="F2" s="21" t="s">
        <v>67</v>
      </c>
      <c r="G2" s="24" t="s">
        <v>68</v>
      </c>
      <c r="H2" s="17" t="s">
        <v>69</v>
      </c>
      <c r="I2" s="24" t="s">
        <v>70</v>
      </c>
      <c r="J2" s="22" t="s">
        <v>71</v>
      </c>
      <c r="K2" s="22" t="s">
        <v>72</v>
      </c>
      <c r="L2" s="23" t="s">
        <v>73</v>
      </c>
      <c r="M2" s="40" t="s">
        <v>74</v>
      </c>
      <c r="N2" s="40" t="s">
        <v>75</v>
      </c>
      <c r="O2" s="22" t="s">
        <v>76</v>
      </c>
      <c r="P2" s="24" t="s">
        <v>77</v>
      </c>
      <c r="Q2" s="24" t="s">
        <v>78</v>
      </c>
      <c r="R2" s="25" t="s">
        <v>79</v>
      </c>
      <c r="S2" s="17" t="s">
        <v>80</v>
      </c>
      <c r="T2" s="17" t="s">
        <v>81</v>
      </c>
      <c r="U2" s="24" t="s">
        <v>82</v>
      </c>
      <c r="V2" s="26" t="s">
        <v>83</v>
      </c>
      <c r="W2" s="26" t="s">
        <v>84</v>
      </c>
      <c r="X2" s="27" t="s">
        <v>85</v>
      </c>
      <c r="Y2" s="41" t="s">
        <v>86</v>
      </c>
      <c r="Z2" s="41" t="s">
        <v>87</v>
      </c>
      <c r="AA2" s="26" t="s">
        <v>88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64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64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64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89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90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91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92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89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90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91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92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89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90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91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92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89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90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91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92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89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90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91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92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89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90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91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92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89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90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91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92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25">
      <c r="A115" s="1" t="s">
        <v>23</v>
      </c>
      <c r="B115" s="9" t="s">
        <v>24</v>
      </c>
      <c r="C115" s="1">
        <v>214</v>
      </c>
      <c r="D115" s="5">
        <f>Table14[[#This Row],[Enrolment S.Y. 2025-2026 ]]*8</f>
        <v>1712</v>
      </c>
      <c r="E115" s="5"/>
      <c r="F115" s="1"/>
      <c r="G115" s="5"/>
      <c r="H115" s="5">
        <f t="shared" si="22"/>
        <v>1712</v>
      </c>
      <c r="I115" s="5">
        <f t="shared" si="23"/>
        <v>0</v>
      </c>
      <c r="J115" s="5">
        <f>Table14[[#This Row],[Enrolment S.Y. 2025-2026 ]]*8</f>
        <v>1712</v>
      </c>
      <c r="K115" s="5"/>
      <c r="L115" s="1"/>
      <c r="M115" s="5"/>
      <c r="N115" s="5">
        <f t="shared" si="20"/>
        <v>1712</v>
      </c>
      <c r="O115" s="5">
        <f t="shared" si="21"/>
        <v>0</v>
      </c>
      <c r="P115" s="5">
        <f>Table14[[#This Row],[Enrolment S.Y. 2025-2026 ]]*8</f>
        <v>1712</v>
      </c>
      <c r="Q115" s="5"/>
      <c r="R115" s="1"/>
      <c r="S115" s="5"/>
      <c r="T115" s="5">
        <f t="shared" si="16"/>
        <v>1712</v>
      </c>
      <c r="U115" s="5">
        <f t="shared" si="17"/>
        <v>0</v>
      </c>
      <c r="V115" s="5">
        <f>Table14[[#This Row],[Enrolment S.Y. 2025-2026 ]]*8</f>
        <v>1712</v>
      </c>
      <c r="W115" s="5"/>
      <c r="X115" s="1"/>
      <c r="Y115" s="5"/>
      <c r="Z115" s="5">
        <f t="shared" si="18"/>
        <v>1712</v>
      </c>
      <c r="AA115" s="5">
        <f t="shared" si="19"/>
        <v>0</v>
      </c>
    </row>
    <row r="116" spans="1:28" ht="19.5">
      <c r="A116" s="1" t="s">
        <v>23</v>
      </c>
      <c r="B116" s="9" t="s">
        <v>25</v>
      </c>
      <c r="C116" s="1">
        <v>214</v>
      </c>
      <c r="D116" s="5">
        <f>Table14[[#This Row],[Enrolment S.Y. 2025-2026 ]]*8</f>
        <v>1712</v>
      </c>
      <c r="E116" s="5"/>
      <c r="F116" s="1"/>
      <c r="G116" s="5"/>
      <c r="H116" s="5">
        <f t="shared" si="22"/>
        <v>1712</v>
      </c>
      <c r="I116" s="5">
        <f t="shared" si="23"/>
        <v>0</v>
      </c>
      <c r="J116" s="5">
        <f>Table14[[#This Row],[Enrolment S.Y. 2025-2026 ]]*8</f>
        <v>1712</v>
      </c>
      <c r="K116" s="5"/>
      <c r="L116" s="1"/>
      <c r="M116" s="5"/>
      <c r="N116" s="5">
        <f t="shared" si="20"/>
        <v>1712</v>
      </c>
      <c r="O116" s="5">
        <f t="shared" si="21"/>
        <v>0</v>
      </c>
      <c r="P116" s="5">
        <f>Table14[[#This Row],[Enrolment S.Y. 2025-2026 ]]*8</f>
        <v>1712</v>
      </c>
      <c r="Q116" s="5"/>
      <c r="R116" s="1"/>
      <c r="S116" s="5"/>
      <c r="T116" s="5">
        <f t="shared" si="16"/>
        <v>1712</v>
      </c>
      <c r="U116" s="5">
        <f t="shared" si="17"/>
        <v>0</v>
      </c>
      <c r="V116" s="5">
        <f>Table14[[#This Row],[Enrolment S.Y. 2025-2026 ]]*8</f>
        <v>1712</v>
      </c>
      <c r="W116" s="5"/>
      <c r="X116" s="1"/>
      <c r="Y116" s="5"/>
      <c r="Z116" s="5">
        <f t="shared" si="18"/>
        <v>1712</v>
      </c>
      <c r="AA116" s="5">
        <f t="shared" si="19"/>
        <v>0</v>
      </c>
    </row>
    <row r="117" spans="1:28" ht="19.5">
      <c r="A117" s="1" t="s">
        <v>23</v>
      </c>
      <c r="B117" s="9" t="s">
        <v>26</v>
      </c>
      <c r="C117" s="1">
        <v>102</v>
      </c>
      <c r="D117" s="5">
        <f>Table14[[#This Row],[Enrolment S.Y. 2025-2026 ]]*8</f>
        <v>816</v>
      </c>
      <c r="E117" s="5"/>
      <c r="F117" s="1"/>
      <c r="G117" s="5"/>
      <c r="H117" s="5">
        <f t="shared" si="22"/>
        <v>816</v>
      </c>
      <c r="I117" s="5">
        <f t="shared" si="23"/>
        <v>0</v>
      </c>
      <c r="J117" s="5">
        <f>Table14[[#This Row],[Enrolment S.Y. 2025-2026 ]]*8</f>
        <v>816</v>
      </c>
      <c r="K117" s="5"/>
      <c r="L117" s="1"/>
      <c r="M117" s="5"/>
      <c r="N117" s="5">
        <f t="shared" si="20"/>
        <v>816</v>
      </c>
      <c r="O117" s="5">
        <f t="shared" si="21"/>
        <v>0</v>
      </c>
      <c r="P117" s="5">
        <f>Table14[[#This Row],[Enrolment S.Y. 2025-2026 ]]*8</f>
        <v>816</v>
      </c>
      <c r="Q117" s="5"/>
      <c r="R117" s="1"/>
      <c r="S117" s="5"/>
      <c r="T117" s="5">
        <f t="shared" si="16"/>
        <v>816</v>
      </c>
      <c r="U117" s="5">
        <f t="shared" si="17"/>
        <v>0</v>
      </c>
      <c r="V117" s="5">
        <f>Table14[[#This Row],[Enrolment S.Y. 2025-2026 ]]*8</f>
        <v>816</v>
      </c>
      <c r="W117" s="5"/>
      <c r="X117" s="1"/>
      <c r="Y117" s="5"/>
      <c r="Z117" s="5">
        <f t="shared" si="18"/>
        <v>816</v>
      </c>
      <c r="AA117" s="5">
        <f t="shared" si="19"/>
        <v>0</v>
      </c>
    </row>
    <row r="118" spans="1:28" ht="19.5">
      <c r="A118" s="1" t="s">
        <v>23</v>
      </c>
      <c r="B118" s="9" t="s">
        <v>28</v>
      </c>
      <c r="C118" s="1">
        <v>214</v>
      </c>
      <c r="D118" s="5">
        <f>Table14[[#This Row],[Enrolment S.Y. 2025-2026 ]]*8</f>
        <v>1712</v>
      </c>
      <c r="E118" s="5"/>
      <c r="F118" s="1"/>
      <c r="G118" s="5"/>
      <c r="H118" s="5">
        <f t="shared" si="22"/>
        <v>1712</v>
      </c>
      <c r="I118" s="5">
        <f t="shared" si="23"/>
        <v>0</v>
      </c>
      <c r="J118" s="5">
        <f>Table14[[#This Row],[Enrolment S.Y. 2025-2026 ]]*8</f>
        <v>1712</v>
      </c>
      <c r="K118" s="5"/>
      <c r="L118" s="1"/>
      <c r="M118" s="5"/>
      <c r="N118" s="5">
        <f t="shared" si="20"/>
        <v>1712</v>
      </c>
      <c r="O118" s="5">
        <f t="shared" si="21"/>
        <v>0</v>
      </c>
      <c r="P118" s="5">
        <f>Table14[[#This Row],[Enrolment S.Y. 2025-2026 ]]*8</f>
        <v>1712</v>
      </c>
      <c r="Q118" s="5"/>
      <c r="R118" s="1"/>
      <c r="S118" s="5"/>
      <c r="T118" s="5">
        <f t="shared" si="16"/>
        <v>1712</v>
      </c>
      <c r="U118" s="5">
        <f t="shared" si="17"/>
        <v>0</v>
      </c>
      <c r="V118" s="5">
        <f>Table14[[#This Row],[Enrolment S.Y. 2025-2026 ]]*8</f>
        <v>1712</v>
      </c>
      <c r="W118" s="5"/>
      <c r="X118" s="1"/>
      <c r="Y118" s="5"/>
      <c r="Z118" s="5">
        <f t="shared" si="18"/>
        <v>1712</v>
      </c>
      <c r="AA118" s="5">
        <f t="shared" si="19"/>
        <v>0</v>
      </c>
    </row>
    <row r="119" spans="1:28" ht="38.25">
      <c r="A119" s="1" t="s">
        <v>23</v>
      </c>
      <c r="B119" s="9" t="s">
        <v>29</v>
      </c>
      <c r="C119" s="1">
        <v>116</v>
      </c>
      <c r="D119" s="5">
        <f>Table14[[#This Row],[Enrolment S.Y. 2025-2026 ]]*8</f>
        <v>928</v>
      </c>
      <c r="E119" s="5"/>
      <c r="F119" s="1"/>
      <c r="G119" s="5"/>
      <c r="H119" s="5">
        <f t="shared" si="22"/>
        <v>928</v>
      </c>
      <c r="I119" s="5">
        <f t="shared" si="23"/>
        <v>0</v>
      </c>
      <c r="J119" s="5">
        <f>Table14[[#This Row],[Enrolment S.Y. 2025-2026 ]]*8</f>
        <v>928</v>
      </c>
      <c r="K119" s="5"/>
      <c r="L119" s="1"/>
      <c r="M119" s="5"/>
      <c r="N119" s="5">
        <f t="shared" si="20"/>
        <v>928</v>
      </c>
      <c r="O119" s="5">
        <f t="shared" si="21"/>
        <v>0</v>
      </c>
      <c r="P119" s="5">
        <f>Table14[[#This Row],[Enrolment S.Y. 2025-2026 ]]*8</f>
        <v>928</v>
      </c>
      <c r="Q119" s="5"/>
      <c r="R119" s="1"/>
      <c r="S119" s="5"/>
      <c r="T119" s="5">
        <f t="shared" si="16"/>
        <v>928</v>
      </c>
      <c r="U119" s="5">
        <f t="shared" si="17"/>
        <v>0</v>
      </c>
      <c r="V119" s="5">
        <f>Table14[[#This Row],[Enrolment S.Y. 2025-2026 ]]*8</f>
        <v>928</v>
      </c>
      <c r="W119" s="5"/>
      <c r="X119" s="1"/>
      <c r="Y119" s="5"/>
      <c r="Z119" s="5">
        <f t="shared" si="18"/>
        <v>928</v>
      </c>
      <c r="AA119" s="5">
        <f t="shared" si="19"/>
        <v>0</v>
      </c>
    </row>
    <row r="120" spans="1:28" ht="38.25">
      <c r="A120" s="1" t="s">
        <v>23</v>
      </c>
      <c r="B120" s="9" t="s">
        <v>30</v>
      </c>
      <c r="C120" s="1">
        <v>214</v>
      </c>
      <c r="D120" s="5">
        <f>Table14[[#This Row],[Enrolment S.Y. 2025-2026 ]]*8</f>
        <v>1712</v>
      </c>
      <c r="E120" s="5"/>
      <c r="F120" s="1"/>
      <c r="G120" s="5"/>
      <c r="H120" s="5">
        <f t="shared" si="22"/>
        <v>1712</v>
      </c>
      <c r="I120" s="5">
        <f t="shared" si="23"/>
        <v>0</v>
      </c>
      <c r="J120" s="5">
        <f>Table14[[#This Row],[Enrolment S.Y. 2025-2026 ]]*8</f>
        <v>1712</v>
      </c>
      <c r="K120" s="5"/>
      <c r="L120" s="1"/>
      <c r="M120" s="5"/>
      <c r="N120" s="5">
        <f t="shared" si="20"/>
        <v>1712</v>
      </c>
      <c r="O120" s="5">
        <f t="shared" si="21"/>
        <v>0</v>
      </c>
      <c r="P120" s="5">
        <f>Table14[[#This Row],[Enrolment S.Y. 2025-2026 ]]*8</f>
        <v>1712</v>
      </c>
      <c r="Q120" s="5"/>
      <c r="R120" s="1"/>
      <c r="S120" s="5"/>
      <c r="T120" s="5">
        <f t="shared" si="16"/>
        <v>1712</v>
      </c>
      <c r="U120" s="5">
        <f t="shared" si="17"/>
        <v>0</v>
      </c>
      <c r="V120" s="5">
        <f>Table14[[#This Row],[Enrolment S.Y. 2025-2026 ]]*8</f>
        <v>1712</v>
      </c>
      <c r="W120" s="5"/>
      <c r="X120" s="1"/>
      <c r="Y120" s="5"/>
      <c r="Z120" s="5">
        <f t="shared" si="18"/>
        <v>1712</v>
      </c>
      <c r="AA120" s="5">
        <f t="shared" si="19"/>
        <v>0</v>
      </c>
    </row>
    <row r="121" spans="1:28" ht="57.75">
      <c r="A121" s="1" t="s">
        <v>23</v>
      </c>
      <c r="B121" s="9" t="s">
        <v>31</v>
      </c>
      <c r="C121" s="1">
        <v>102</v>
      </c>
      <c r="D121" s="5">
        <f>Table14[[#This Row],[Enrolment S.Y. 2025-2026 ]]*8</f>
        <v>816</v>
      </c>
      <c r="E121" s="5"/>
      <c r="F121" s="1"/>
      <c r="G121" s="5"/>
      <c r="H121" s="5">
        <f t="shared" si="22"/>
        <v>816</v>
      </c>
      <c r="I121" s="5">
        <f t="shared" si="23"/>
        <v>0</v>
      </c>
      <c r="J121" s="5">
        <f>Table14[[#This Row],[Enrolment S.Y. 2025-2026 ]]*8</f>
        <v>816</v>
      </c>
      <c r="K121" s="5"/>
      <c r="L121" s="1"/>
      <c r="M121" s="5"/>
      <c r="N121" s="5">
        <f t="shared" si="20"/>
        <v>816</v>
      </c>
      <c r="O121" s="5">
        <f t="shared" si="21"/>
        <v>0</v>
      </c>
      <c r="P121" s="5">
        <f>Table14[[#This Row],[Enrolment S.Y. 2025-2026 ]]*8</f>
        <v>816</v>
      </c>
      <c r="Q121" s="5"/>
      <c r="R121" s="1"/>
      <c r="S121" s="5"/>
      <c r="T121" s="5">
        <f t="shared" si="16"/>
        <v>816</v>
      </c>
      <c r="U121" s="5">
        <f t="shared" si="17"/>
        <v>0</v>
      </c>
      <c r="V121" s="5">
        <f>Table14[[#This Row],[Enrolment S.Y. 2025-2026 ]]*8</f>
        <v>816</v>
      </c>
      <c r="W121" s="5"/>
      <c r="X121" s="1"/>
      <c r="Y121" s="5"/>
      <c r="Z121" s="5">
        <f t="shared" si="18"/>
        <v>816</v>
      </c>
      <c r="AA121" s="5">
        <f t="shared" si="19"/>
        <v>0</v>
      </c>
    </row>
    <row r="122" spans="1:28" ht="38.25">
      <c r="A122" s="1" t="s">
        <v>23</v>
      </c>
      <c r="B122" s="9" t="s">
        <v>32</v>
      </c>
      <c r="C122" s="1">
        <v>136</v>
      </c>
      <c r="D122" s="5">
        <f>Table14[[#This Row],[Enrolment S.Y. 2025-2026 ]]*8</f>
        <v>1088</v>
      </c>
      <c r="E122" s="5"/>
      <c r="F122" s="1"/>
      <c r="G122" s="5"/>
      <c r="H122" s="5">
        <f t="shared" si="22"/>
        <v>1088</v>
      </c>
      <c r="I122" s="5">
        <f t="shared" si="23"/>
        <v>0</v>
      </c>
      <c r="J122" s="5">
        <f>Table14[[#This Row],[Enrolment S.Y. 2025-2026 ]]*8</f>
        <v>1088</v>
      </c>
      <c r="K122" s="5"/>
      <c r="L122" s="1"/>
      <c r="M122" s="5"/>
      <c r="N122" s="5">
        <f t="shared" si="20"/>
        <v>1088</v>
      </c>
      <c r="O122" s="5">
        <f t="shared" si="21"/>
        <v>0</v>
      </c>
      <c r="P122" s="5">
        <f>Table14[[#This Row],[Enrolment S.Y. 2025-2026 ]]*8</f>
        <v>1088</v>
      </c>
      <c r="Q122" s="5"/>
      <c r="R122" s="1"/>
      <c r="S122" s="5"/>
      <c r="T122" s="5">
        <f t="shared" si="16"/>
        <v>1088</v>
      </c>
      <c r="U122" s="5">
        <f t="shared" si="17"/>
        <v>0</v>
      </c>
      <c r="V122" s="5">
        <f>Table14[[#This Row],[Enrolment S.Y. 2025-2026 ]]*8</f>
        <v>1088</v>
      </c>
      <c r="W122" s="5"/>
      <c r="X122" s="1"/>
      <c r="Y122" s="5"/>
      <c r="Z122" s="5">
        <f t="shared" si="18"/>
        <v>1088</v>
      </c>
      <c r="AA122" s="5">
        <f t="shared" si="19"/>
        <v>0</v>
      </c>
    </row>
    <row r="123" spans="1:28" s="7" customFormat="1" ht="15"/>
    <row r="124" spans="1:28" ht="1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03:C113 C91:C101" name="Textbooks"/>
    <protectedRange sqref="J2:L2 D2:F10 D12:F19 D21:F29 D31:F41 D43:F53 D55:F65 D67:F77 D79:F89 D91:F101 E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C115:C122" name="Textbooks_1"/>
    <protectedRange sqref="D115:D122" name="LAS_1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2025-12-16T00:39:51Z</dcterms:modified>
  <cp:category/>
  <cp:contentStatus/>
</cp:coreProperties>
</file>