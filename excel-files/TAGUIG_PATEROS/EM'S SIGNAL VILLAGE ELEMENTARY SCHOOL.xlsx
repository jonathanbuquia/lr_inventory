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1" documentId="13_ncr:1_{BFB59F67-F0DC-4675-A682-EB0734A8026A}" xr6:coauthVersionLast="47" xr6:coauthVersionMax="47" xr10:uidLastSave="{17E61B75-76DF-4CC9-B12F-0E2C6101EB0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  <sheet name="Sheet1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0" i="6" l="1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V122" i="6"/>
  <c r="P122" i="6"/>
  <c r="J122" i="6"/>
  <c r="D122" i="6"/>
  <c r="V121" i="6"/>
  <c r="P121" i="6"/>
  <c r="J121" i="6"/>
  <c r="D121" i="6"/>
  <c r="V120" i="6"/>
  <c r="P120" i="6"/>
  <c r="J120" i="6"/>
  <c r="D120" i="6"/>
  <c r="V119" i="6"/>
  <c r="P119" i="6"/>
  <c r="J119" i="6"/>
  <c r="D119" i="6"/>
  <c r="V118" i="6"/>
  <c r="P118" i="6"/>
  <c r="J118" i="6"/>
  <c r="D118" i="6"/>
  <c r="V117" i="6"/>
  <c r="P117" i="6"/>
  <c r="J117" i="6"/>
  <c r="D117" i="6"/>
  <c r="V116" i="6"/>
  <c r="P116" i="6"/>
  <c r="J116" i="6"/>
  <c r="D116" i="6"/>
  <c r="V115" i="6"/>
  <c r="P115" i="6"/>
  <c r="J115" i="6"/>
  <c r="D115" i="6"/>
  <c r="V113" i="6"/>
  <c r="P113" i="6"/>
  <c r="J113" i="6"/>
  <c r="D113" i="6"/>
  <c r="V112" i="6"/>
  <c r="P112" i="6"/>
  <c r="J112" i="6"/>
  <c r="D112" i="6"/>
  <c r="V111" i="6"/>
  <c r="P111" i="6"/>
  <c r="J111" i="6"/>
  <c r="D111" i="6"/>
  <c r="V110" i="6"/>
  <c r="P110" i="6"/>
  <c r="J110" i="6"/>
  <c r="D110" i="6"/>
  <c r="V109" i="6"/>
  <c r="P109" i="6"/>
  <c r="J109" i="6"/>
  <c r="D109" i="6"/>
  <c r="V108" i="6"/>
  <c r="P108" i="6"/>
  <c r="J108" i="6"/>
  <c r="D108" i="6"/>
  <c r="V107" i="6"/>
  <c r="P107" i="6"/>
  <c r="J107" i="6"/>
  <c r="D107" i="6"/>
  <c r="V106" i="6"/>
  <c r="P106" i="6"/>
  <c r="J106" i="6"/>
  <c r="D106" i="6"/>
  <c r="V105" i="6"/>
  <c r="P105" i="6"/>
  <c r="J105" i="6"/>
  <c r="D105" i="6"/>
  <c r="V104" i="6"/>
  <c r="P104" i="6"/>
  <c r="J104" i="6"/>
  <c r="D104" i="6"/>
  <c r="V103" i="6"/>
  <c r="P103" i="6"/>
  <c r="J103" i="6"/>
  <c r="D103" i="6"/>
  <c r="V101" i="6"/>
  <c r="P101" i="6"/>
  <c r="J101" i="6"/>
  <c r="D101" i="6"/>
  <c r="V100" i="6"/>
  <c r="P100" i="6"/>
  <c r="J100" i="6"/>
  <c r="D100" i="6"/>
  <c r="V99" i="6"/>
  <c r="P99" i="6"/>
  <c r="J99" i="6"/>
  <c r="D99" i="6"/>
  <c r="V98" i="6"/>
  <c r="P98" i="6"/>
  <c r="J98" i="6"/>
  <c r="D98" i="6"/>
  <c r="V97" i="6"/>
  <c r="P97" i="6"/>
  <c r="J97" i="6"/>
  <c r="D97" i="6"/>
  <c r="V96" i="6"/>
  <c r="P96" i="6"/>
  <c r="J96" i="6"/>
  <c r="D96" i="6"/>
  <c r="V95" i="6"/>
  <c r="P95" i="6"/>
  <c r="J95" i="6"/>
  <c r="D95" i="6"/>
  <c r="V94" i="6"/>
  <c r="P94" i="6"/>
  <c r="J94" i="6"/>
  <c r="D94" i="6"/>
  <c r="V93" i="6"/>
  <c r="P93" i="6"/>
  <c r="J93" i="6"/>
  <c r="D93" i="6"/>
  <c r="V92" i="6"/>
  <c r="P92" i="6"/>
  <c r="J92" i="6"/>
  <c r="D92" i="6"/>
  <c r="V91" i="6"/>
  <c r="P91" i="6"/>
  <c r="J91" i="6"/>
  <c r="D91" i="6"/>
  <c r="V89" i="6"/>
  <c r="P89" i="6"/>
  <c r="J89" i="6"/>
  <c r="D89" i="6"/>
  <c r="V88" i="6"/>
  <c r="P88" i="6"/>
  <c r="J88" i="6"/>
  <c r="D88" i="6"/>
  <c r="V87" i="6"/>
  <c r="P87" i="6"/>
  <c r="J87" i="6"/>
  <c r="D87" i="6"/>
  <c r="V86" i="6"/>
  <c r="P86" i="6"/>
  <c r="J86" i="6"/>
  <c r="D86" i="6"/>
  <c r="V85" i="6"/>
  <c r="P85" i="6"/>
  <c r="J85" i="6"/>
  <c r="D85" i="6"/>
  <c r="V84" i="6"/>
  <c r="P84" i="6"/>
  <c r="J84" i="6"/>
  <c r="D84" i="6"/>
  <c r="V83" i="6"/>
  <c r="P83" i="6"/>
  <c r="J83" i="6"/>
  <c r="D83" i="6"/>
  <c r="V82" i="6"/>
  <c r="P82" i="6"/>
  <c r="J82" i="6"/>
  <c r="D82" i="6"/>
  <c r="V81" i="6"/>
  <c r="P81" i="6"/>
  <c r="J81" i="6"/>
  <c r="D81" i="6"/>
  <c r="V80" i="6"/>
  <c r="P80" i="6"/>
  <c r="J80" i="6"/>
  <c r="D80" i="6"/>
  <c r="V79" i="6"/>
  <c r="P79" i="6"/>
  <c r="J79" i="6"/>
  <c r="D79" i="6"/>
  <c r="V77" i="6"/>
  <c r="P77" i="6"/>
  <c r="J77" i="6"/>
  <c r="D77" i="6"/>
  <c r="V76" i="6"/>
  <c r="P76" i="6"/>
  <c r="J76" i="6"/>
  <c r="D76" i="6"/>
  <c r="V75" i="6"/>
  <c r="P75" i="6"/>
  <c r="J75" i="6"/>
  <c r="D75" i="6"/>
  <c r="V74" i="6"/>
  <c r="P74" i="6"/>
  <c r="J74" i="6"/>
  <c r="D74" i="6"/>
  <c r="V73" i="6"/>
  <c r="P73" i="6"/>
  <c r="J73" i="6"/>
  <c r="D73" i="6"/>
  <c r="V72" i="6"/>
  <c r="P72" i="6"/>
  <c r="J72" i="6"/>
  <c r="D72" i="6"/>
  <c r="V71" i="6"/>
  <c r="P71" i="6"/>
  <c r="J71" i="6"/>
  <c r="D71" i="6"/>
  <c r="V70" i="6"/>
  <c r="P70" i="6"/>
  <c r="J70" i="6"/>
  <c r="D70" i="6"/>
  <c r="V69" i="6"/>
  <c r="P69" i="6"/>
  <c r="J69" i="6"/>
  <c r="D69" i="6"/>
  <c r="V68" i="6"/>
  <c r="P68" i="6"/>
  <c r="J68" i="6"/>
  <c r="D68" i="6"/>
  <c r="V67" i="6"/>
  <c r="P67" i="6"/>
  <c r="J67" i="6"/>
  <c r="D67" i="6"/>
  <c r="V65" i="6"/>
  <c r="P65" i="6"/>
  <c r="J65" i="6"/>
  <c r="D65" i="6"/>
  <c r="V64" i="6"/>
  <c r="P64" i="6"/>
  <c r="J64" i="6"/>
  <c r="D64" i="6"/>
  <c r="V63" i="6"/>
  <c r="P63" i="6"/>
  <c r="J63" i="6"/>
  <c r="D63" i="6"/>
  <c r="V62" i="6"/>
  <c r="P62" i="6"/>
  <c r="J62" i="6"/>
  <c r="D62" i="6"/>
  <c r="V61" i="6"/>
  <c r="P61" i="6"/>
  <c r="J61" i="6"/>
  <c r="D61" i="6"/>
  <c r="V60" i="6"/>
  <c r="P60" i="6"/>
  <c r="J60" i="6"/>
  <c r="D60" i="6"/>
  <c r="V59" i="6"/>
  <c r="P59" i="6"/>
  <c r="J59" i="6"/>
  <c r="D59" i="6"/>
  <c r="V58" i="6"/>
  <c r="P58" i="6"/>
  <c r="J58" i="6"/>
  <c r="D58" i="6"/>
  <c r="V57" i="6"/>
  <c r="P57" i="6"/>
  <c r="J57" i="6"/>
  <c r="D57" i="6"/>
  <c r="V56" i="6"/>
  <c r="P56" i="6"/>
  <c r="J56" i="6"/>
  <c r="D56" i="6"/>
  <c r="V55" i="6"/>
  <c r="P55" i="6"/>
  <c r="J55" i="6"/>
  <c r="D55" i="6"/>
  <c r="V53" i="6"/>
  <c r="P53" i="6"/>
  <c r="J53" i="6"/>
  <c r="D53" i="6"/>
  <c r="V52" i="6"/>
  <c r="P52" i="6"/>
  <c r="J52" i="6"/>
  <c r="D52" i="6"/>
  <c r="V51" i="6"/>
  <c r="P51" i="6"/>
  <c r="J51" i="6"/>
  <c r="D51" i="6"/>
  <c r="V50" i="6"/>
  <c r="P50" i="6"/>
  <c r="J50" i="6"/>
  <c r="D50" i="6"/>
  <c r="V49" i="6"/>
  <c r="P49" i="6"/>
  <c r="J49" i="6"/>
  <c r="D49" i="6"/>
  <c r="V48" i="6"/>
  <c r="P48" i="6"/>
  <c r="J48" i="6"/>
  <c r="D48" i="6"/>
  <c r="V47" i="6"/>
  <c r="P47" i="6"/>
  <c r="J47" i="6"/>
  <c r="D47" i="6"/>
  <c r="V46" i="6"/>
  <c r="P46" i="6"/>
  <c r="J46" i="6"/>
  <c r="D46" i="6"/>
  <c r="V45" i="6"/>
  <c r="P45" i="6"/>
  <c r="J45" i="6"/>
  <c r="D45" i="6"/>
  <c r="V44" i="6"/>
  <c r="P44" i="6"/>
  <c r="J44" i="6"/>
  <c r="D44" i="6"/>
  <c r="V43" i="6"/>
  <c r="P43" i="6"/>
  <c r="J43" i="6"/>
  <c r="D43" i="6"/>
  <c r="V41" i="6"/>
  <c r="P41" i="6"/>
  <c r="J41" i="6"/>
  <c r="D41" i="6"/>
  <c r="V40" i="6"/>
  <c r="P40" i="6"/>
  <c r="J40" i="6"/>
  <c r="D40" i="6"/>
  <c r="V39" i="6"/>
  <c r="P39" i="6"/>
  <c r="J39" i="6"/>
  <c r="D39" i="6"/>
  <c r="V38" i="6"/>
  <c r="P38" i="6"/>
  <c r="J38" i="6"/>
  <c r="D38" i="6"/>
  <c r="V37" i="6"/>
  <c r="P37" i="6"/>
  <c r="J37" i="6"/>
  <c r="D37" i="6"/>
  <c r="V36" i="6"/>
  <c r="P36" i="6"/>
  <c r="J36" i="6"/>
  <c r="D36" i="6"/>
  <c r="V35" i="6"/>
  <c r="P35" i="6"/>
  <c r="J35" i="6"/>
  <c r="D35" i="6"/>
  <c r="V34" i="6"/>
  <c r="P34" i="6"/>
  <c r="J34" i="6"/>
  <c r="D34" i="6"/>
  <c r="V33" i="6"/>
  <c r="P33" i="6"/>
  <c r="J33" i="6"/>
  <c r="D33" i="6"/>
  <c r="V32" i="6"/>
  <c r="P32" i="6"/>
  <c r="J32" i="6"/>
  <c r="D32" i="6"/>
  <c r="V31" i="6"/>
  <c r="P31" i="6"/>
  <c r="J31" i="6"/>
  <c r="D31" i="6"/>
  <c r="V29" i="6"/>
  <c r="P29" i="6"/>
  <c r="J29" i="6"/>
  <c r="D29" i="6"/>
  <c r="V28" i="6"/>
  <c r="P28" i="6"/>
  <c r="J28" i="6"/>
  <c r="D28" i="6"/>
  <c r="V27" i="6"/>
  <c r="P27" i="6"/>
  <c r="J27" i="6"/>
  <c r="D27" i="6"/>
  <c r="V26" i="6"/>
  <c r="P26" i="6"/>
  <c r="J26" i="6"/>
  <c r="D26" i="6"/>
  <c r="V25" i="6"/>
  <c r="P25" i="6"/>
  <c r="J25" i="6"/>
  <c r="D25" i="6"/>
  <c r="V24" i="6"/>
  <c r="P24" i="6"/>
  <c r="J24" i="6"/>
  <c r="D24" i="6"/>
  <c r="V23" i="6"/>
  <c r="P23" i="6"/>
  <c r="J23" i="6"/>
  <c r="D23" i="6"/>
  <c r="V22" i="6"/>
  <c r="P22" i="6"/>
  <c r="J22" i="6"/>
  <c r="D22" i="6"/>
  <c r="V21" i="6"/>
  <c r="P21" i="6"/>
  <c r="J21" i="6"/>
  <c r="D21" i="6"/>
  <c r="V19" i="6"/>
  <c r="P19" i="6"/>
  <c r="J19" i="6"/>
  <c r="D19" i="6"/>
  <c r="V18" i="6"/>
  <c r="P18" i="6"/>
  <c r="J18" i="6"/>
  <c r="D18" i="6"/>
  <c r="V17" i="6"/>
  <c r="P17" i="6"/>
  <c r="J17" i="6"/>
  <c r="D17" i="6"/>
  <c r="V16" i="6"/>
  <c r="P16" i="6"/>
  <c r="J16" i="6"/>
  <c r="D16" i="6"/>
  <c r="V15" i="6"/>
  <c r="P15" i="6"/>
  <c r="J15" i="6"/>
  <c r="D15" i="6"/>
  <c r="V14" i="6"/>
  <c r="P14" i="6"/>
  <c r="J14" i="6"/>
  <c r="D14" i="6"/>
  <c r="V13" i="6"/>
  <c r="P13" i="6"/>
  <c r="J13" i="6"/>
  <c r="D13" i="6"/>
  <c r="V12" i="6"/>
  <c r="P12" i="6"/>
  <c r="J12" i="6"/>
  <c r="D12" i="6"/>
  <c r="V10" i="6"/>
  <c r="P10" i="6"/>
  <c r="J10" i="6"/>
  <c r="D10" i="6"/>
  <c r="V9" i="6"/>
  <c r="P9" i="6"/>
  <c r="J9" i="6"/>
  <c r="D9" i="6"/>
  <c r="V8" i="6"/>
  <c r="P8" i="6"/>
  <c r="J8" i="6"/>
  <c r="D8" i="6"/>
  <c r="V7" i="6"/>
  <c r="P7" i="6"/>
  <c r="J7" i="6"/>
  <c r="D7" i="6"/>
  <c r="V6" i="6"/>
  <c r="P6" i="6"/>
  <c r="J6" i="6"/>
  <c r="D6" i="6"/>
  <c r="V5" i="6"/>
  <c r="P5" i="6"/>
  <c r="J5" i="6"/>
  <c r="D5" i="6"/>
  <c r="V4" i="6"/>
  <c r="P4" i="6"/>
  <c r="J4" i="6"/>
  <c r="D4" i="6"/>
  <c r="V3" i="6"/>
  <c r="P3" i="6"/>
  <c r="J3" i="6"/>
  <c r="D3" i="6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I3" i="6"/>
  <c r="H3" i="6"/>
  <c r="O3" i="6"/>
  <c r="N3" i="6"/>
  <c r="U3" i="6"/>
  <c r="T3" i="6"/>
  <c r="AA3" i="6"/>
  <c r="Z3" i="6"/>
  <c r="I4" i="6"/>
  <c r="H4" i="6"/>
  <c r="O4" i="6"/>
  <c r="N4" i="6"/>
  <c r="U4" i="6"/>
  <c r="T4" i="6"/>
  <c r="AA4" i="6"/>
  <c r="Z4" i="6"/>
  <c r="I5" i="6"/>
  <c r="H5" i="6"/>
  <c r="O5" i="6"/>
  <c r="N5" i="6"/>
  <c r="U5" i="6"/>
  <c r="T5" i="6"/>
  <c r="AA5" i="6"/>
  <c r="Z5" i="6"/>
  <c r="I6" i="6"/>
  <c r="H6" i="6"/>
  <c r="O6" i="6"/>
  <c r="N6" i="6"/>
  <c r="U6" i="6"/>
  <c r="T6" i="6"/>
  <c r="AA6" i="6"/>
  <c r="Z6" i="6"/>
  <c r="I7" i="6"/>
  <c r="H7" i="6"/>
  <c r="O7" i="6"/>
  <c r="N7" i="6"/>
  <c r="U7" i="6"/>
  <c r="T7" i="6"/>
  <c r="AA7" i="6"/>
  <c r="Z7" i="6"/>
  <c r="I8" i="6"/>
  <c r="H8" i="6"/>
  <c r="O8" i="6"/>
  <c r="N8" i="6"/>
  <c r="U8" i="6"/>
  <c r="T8" i="6"/>
  <c r="AA8" i="6"/>
  <c r="Z8" i="6"/>
  <c r="I9" i="6"/>
  <c r="H9" i="6"/>
  <c r="O9" i="6"/>
  <c r="N9" i="6"/>
  <c r="U9" i="6"/>
  <c r="T9" i="6"/>
  <c r="AA9" i="6"/>
  <c r="Z9" i="6"/>
  <c r="I10" i="6"/>
  <c r="H10" i="6"/>
  <c r="O10" i="6"/>
  <c r="N10" i="6"/>
  <c r="U10" i="6"/>
  <c r="T10" i="6"/>
  <c r="AA10" i="6"/>
  <c r="Z10" i="6"/>
  <c r="I12" i="6"/>
  <c r="H12" i="6"/>
  <c r="O12" i="6"/>
  <c r="N12" i="6"/>
  <c r="U12" i="6"/>
  <c r="T12" i="6"/>
  <c r="AA12" i="6"/>
  <c r="Z12" i="6"/>
  <c r="I13" i="6"/>
  <c r="H13" i="6"/>
  <c r="O13" i="6"/>
  <c r="N13" i="6"/>
  <c r="U13" i="6"/>
  <c r="T13" i="6"/>
  <c r="AA13" i="6"/>
  <c r="Z13" i="6"/>
  <c r="I14" i="6"/>
  <c r="H14" i="6"/>
  <c r="O14" i="6"/>
  <c r="N14" i="6"/>
  <c r="U14" i="6"/>
  <c r="T14" i="6"/>
  <c r="AA14" i="6"/>
  <c r="Z14" i="6"/>
  <c r="I15" i="6"/>
  <c r="H15" i="6"/>
  <c r="O15" i="6"/>
  <c r="N15" i="6"/>
  <c r="U15" i="6"/>
  <c r="T15" i="6"/>
  <c r="AA15" i="6"/>
  <c r="Z15" i="6"/>
  <c r="I16" i="6"/>
  <c r="H16" i="6"/>
  <c r="O16" i="6"/>
  <c r="N16" i="6"/>
  <c r="U16" i="6"/>
  <c r="T16" i="6"/>
  <c r="AA16" i="6"/>
  <c r="Z16" i="6"/>
  <c r="I17" i="6"/>
  <c r="H17" i="6"/>
  <c r="O17" i="6"/>
  <c r="N17" i="6"/>
  <c r="U17" i="6"/>
  <c r="T17" i="6"/>
  <c r="AA17" i="6"/>
  <c r="Z17" i="6"/>
  <c r="I18" i="6"/>
  <c r="H18" i="6"/>
  <c r="O18" i="6"/>
  <c r="N18" i="6"/>
  <c r="U18" i="6"/>
  <c r="T18" i="6"/>
  <c r="AA18" i="6"/>
  <c r="Z18" i="6"/>
  <c r="I19" i="6"/>
  <c r="H19" i="6"/>
  <c r="O19" i="6"/>
  <c r="N19" i="6"/>
  <c r="U19" i="6"/>
  <c r="T19" i="6"/>
  <c r="AA19" i="6"/>
  <c r="Z19" i="6"/>
  <c r="I21" i="6"/>
  <c r="H21" i="6"/>
  <c r="O21" i="6"/>
  <c r="N21" i="6"/>
  <c r="U21" i="6"/>
  <c r="T21" i="6"/>
  <c r="AA21" i="6"/>
  <c r="Z21" i="6"/>
  <c r="I22" i="6"/>
  <c r="H22" i="6"/>
  <c r="O22" i="6"/>
  <c r="N22" i="6"/>
  <c r="U22" i="6"/>
  <c r="T22" i="6"/>
  <c r="AA22" i="6"/>
  <c r="Z22" i="6"/>
  <c r="I23" i="6"/>
  <c r="H23" i="6"/>
  <c r="O23" i="6"/>
  <c r="N23" i="6"/>
  <c r="U23" i="6"/>
  <c r="T23" i="6"/>
  <c r="AA23" i="6"/>
  <c r="Z23" i="6"/>
  <c r="I24" i="6"/>
  <c r="H24" i="6"/>
  <c r="O24" i="6"/>
  <c r="N24" i="6"/>
  <c r="U24" i="6"/>
  <c r="T24" i="6"/>
  <c r="AA24" i="6"/>
  <c r="Z24" i="6"/>
  <c r="I25" i="6"/>
  <c r="H25" i="6"/>
  <c r="O25" i="6"/>
  <c r="N25" i="6"/>
  <c r="U25" i="6"/>
  <c r="T25" i="6"/>
  <c r="AA25" i="6"/>
  <c r="Z25" i="6"/>
  <c r="I26" i="6"/>
  <c r="H26" i="6"/>
  <c r="O26" i="6"/>
  <c r="N26" i="6"/>
  <c r="U26" i="6"/>
  <c r="T26" i="6"/>
  <c r="AA26" i="6"/>
  <c r="Z26" i="6"/>
  <c r="I27" i="6"/>
  <c r="H27" i="6"/>
  <c r="O27" i="6"/>
  <c r="N27" i="6"/>
  <c r="U27" i="6"/>
  <c r="T27" i="6"/>
  <c r="AA27" i="6"/>
  <c r="Z27" i="6"/>
  <c r="I28" i="6"/>
  <c r="H28" i="6"/>
  <c r="O28" i="6"/>
  <c r="N28" i="6"/>
  <c r="U28" i="6"/>
  <c r="T28" i="6"/>
  <c r="AA28" i="6"/>
  <c r="Z28" i="6"/>
  <c r="I29" i="6"/>
  <c r="H29" i="6"/>
  <c r="O29" i="6"/>
  <c r="N29" i="6"/>
  <c r="U29" i="6"/>
  <c r="T29" i="6"/>
  <c r="AA29" i="6"/>
  <c r="Z29" i="6"/>
  <c r="I31" i="6"/>
  <c r="H31" i="6"/>
  <c r="O31" i="6"/>
  <c r="N31" i="6"/>
  <c r="U31" i="6"/>
  <c r="T31" i="6"/>
  <c r="AA31" i="6"/>
  <c r="Z31" i="6"/>
  <c r="I32" i="6"/>
  <c r="H32" i="6"/>
  <c r="O32" i="6"/>
  <c r="N32" i="6"/>
  <c r="U32" i="6"/>
  <c r="T32" i="6"/>
  <c r="AA32" i="6"/>
  <c r="Z32" i="6"/>
  <c r="I33" i="6"/>
  <c r="H33" i="6"/>
  <c r="O33" i="6"/>
  <c r="N33" i="6"/>
  <c r="U33" i="6"/>
  <c r="T33" i="6"/>
  <c r="AA33" i="6"/>
  <c r="Z33" i="6"/>
  <c r="I34" i="6"/>
  <c r="H34" i="6"/>
  <c r="O34" i="6"/>
  <c r="N34" i="6"/>
  <c r="U34" i="6"/>
  <c r="T34" i="6"/>
  <c r="AA34" i="6"/>
  <c r="Z34" i="6"/>
  <c r="I35" i="6"/>
  <c r="H35" i="6"/>
  <c r="O35" i="6"/>
  <c r="N35" i="6"/>
  <c r="U35" i="6"/>
  <c r="T35" i="6"/>
  <c r="AA35" i="6"/>
  <c r="Z35" i="6"/>
  <c r="I36" i="6"/>
  <c r="H36" i="6"/>
  <c r="O36" i="6"/>
  <c r="N36" i="6"/>
  <c r="U36" i="6"/>
  <c r="T36" i="6"/>
  <c r="AA36" i="6"/>
  <c r="Z36" i="6"/>
  <c r="I37" i="6"/>
  <c r="H37" i="6"/>
  <c r="O37" i="6"/>
  <c r="N37" i="6"/>
  <c r="U37" i="6"/>
  <c r="T37" i="6"/>
  <c r="AA37" i="6"/>
  <c r="Z37" i="6"/>
  <c r="I38" i="6"/>
  <c r="H38" i="6"/>
  <c r="O38" i="6"/>
  <c r="N38" i="6"/>
  <c r="U38" i="6"/>
  <c r="T38" i="6"/>
  <c r="AA38" i="6"/>
  <c r="Z38" i="6"/>
  <c r="I39" i="6"/>
  <c r="H39" i="6"/>
  <c r="O39" i="6"/>
  <c r="N39" i="6"/>
  <c r="U39" i="6"/>
  <c r="T39" i="6"/>
  <c r="AA39" i="6"/>
  <c r="Z39" i="6"/>
  <c r="I40" i="6"/>
  <c r="H40" i="6"/>
  <c r="O40" i="6"/>
  <c r="N40" i="6"/>
  <c r="U40" i="6"/>
  <c r="T40" i="6"/>
  <c r="AA40" i="6"/>
  <c r="Z40" i="6"/>
  <c r="I41" i="6"/>
  <c r="H41" i="6"/>
  <c r="O41" i="6"/>
  <c r="N41" i="6"/>
  <c r="U41" i="6"/>
  <c r="T41" i="6"/>
  <c r="AA41" i="6"/>
  <c r="Z41" i="6"/>
  <c r="I43" i="6"/>
  <c r="H43" i="6"/>
  <c r="O43" i="6"/>
  <c r="N43" i="6"/>
  <c r="U43" i="6"/>
  <c r="T43" i="6"/>
  <c r="AA43" i="6"/>
  <c r="Z43" i="6"/>
  <c r="I44" i="6"/>
  <c r="H44" i="6"/>
  <c r="O44" i="6"/>
  <c r="N44" i="6"/>
  <c r="U44" i="6"/>
  <c r="T44" i="6"/>
  <c r="AA44" i="6"/>
  <c r="Z44" i="6"/>
  <c r="I45" i="6"/>
  <c r="H45" i="6"/>
  <c r="O45" i="6"/>
  <c r="N45" i="6"/>
  <c r="U45" i="6"/>
  <c r="T45" i="6"/>
  <c r="AA45" i="6"/>
  <c r="Z45" i="6"/>
  <c r="I46" i="6"/>
  <c r="H46" i="6"/>
  <c r="O46" i="6"/>
  <c r="N46" i="6"/>
  <c r="U46" i="6"/>
  <c r="T46" i="6"/>
  <c r="AA46" i="6"/>
  <c r="Z46" i="6"/>
  <c r="I47" i="6"/>
  <c r="H47" i="6"/>
  <c r="O47" i="6"/>
  <c r="N47" i="6"/>
  <c r="U47" i="6"/>
  <c r="T47" i="6"/>
  <c r="AA47" i="6"/>
  <c r="Z47" i="6"/>
  <c r="I48" i="6"/>
  <c r="H48" i="6"/>
  <c r="O48" i="6"/>
  <c r="N48" i="6"/>
  <c r="U48" i="6"/>
  <c r="T48" i="6"/>
  <c r="AA48" i="6"/>
  <c r="Z48" i="6"/>
  <c r="I49" i="6"/>
  <c r="H49" i="6"/>
  <c r="O49" i="6"/>
  <c r="N49" i="6"/>
  <c r="U49" i="6"/>
  <c r="T49" i="6"/>
  <c r="AA49" i="6"/>
  <c r="Z49" i="6"/>
  <c r="I50" i="6"/>
  <c r="H50" i="6"/>
  <c r="O50" i="6"/>
  <c r="N50" i="6"/>
  <c r="U50" i="6"/>
  <c r="T50" i="6"/>
  <c r="AA50" i="6"/>
  <c r="Z50" i="6"/>
  <c r="I51" i="6"/>
  <c r="H51" i="6"/>
  <c r="O51" i="6"/>
  <c r="N51" i="6"/>
  <c r="U51" i="6"/>
  <c r="T51" i="6"/>
  <c r="AA51" i="6"/>
  <c r="Z51" i="6"/>
  <c r="I52" i="6"/>
  <c r="H52" i="6"/>
  <c r="O52" i="6"/>
  <c r="N52" i="6"/>
  <c r="U52" i="6"/>
  <c r="T52" i="6"/>
  <c r="AA52" i="6"/>
  <c r="Z52" i="6"/>
  <c r="I53" i="6"/>
  <c r="H53" i="6"/>
  <c r="O53" i="6"/>
  <c r="N53" i="6"/>
  <c r="U53" i="6"/>
  <c r="T53" i="6"/>
  <c r="AA53" i="6"/>
  <c r="Z53" i="6"/>
  <c r="I55" i="6"/>
  <c r="H55" i="6"/>
  <c r="O55" i="6"/>
  <c r="N55" i="6"/>
  <c r="U55" i="6"/>
  <c r="T55" i="6"/>
  <c r="AA55" i="6"/>
  <c r="Z55" i="6"/>
  <c r="I56" i="6"/>
  <c r="H56" i="6"/>
  <c r="O56" i="6"/>
  <c r="N56" i="6"/>
  <c r="U56" i="6"/>
  <c r="T56" i="6"/>
  <c r="AA56" i="6"/>
  <c r="Z56" i="6"/>
  <c r="I57" i="6"/>
  <c r="H57" i="6"/>
  <c r="O57" i="6"/>
  <c r="N57" i="6"/>
  <c r="U57" i="6"/>
  <c r="T57" i="6"/>
  <c r="AA57" i="6"/>
  <c r="Z57" i="6"/>
  <c r="I58" i="6"/>
  <c r="H58" i="6"/>
  <c r="O58" i="6"/>
  <c r="N58" i="6"/>
  <c r="U58" i="6"/>
  <c r="T58" i="6"/>
  <c r="AA58" i="6"/>
  <c r="Z58" i="6"/>
  <c r="I59" i="6"/>
  <c r="H59" i="6"/>
  <c r="O59" i="6"/>
  <c r="N59" i="6"/>
  <c r="U59" i="6"/>
  <c r="T59" i="6"/>
  <c r="AA59" i="6"/>
  <c r="Z59" i="6"/>
  <c r="I60" i="6"/>
  <c r="H60" i="6"/>
  <c r="O60" i="6"/>
  <c r="N60" i="6"/>
  <c r="U60" i="6"/>
  <c r="T60" i="6"/>
  <c r="AA60" i="6"/>
  <c r="Z60" i="6"/>
  <c r="I61" i="6"/>
  <c r="H61" i="6"/>
  <c r="O61" i="6"/>
  <c r="N61" i="6"/>
  <c r="U61" i="6"/>
  <c r="T61" i="6"/>
  <c r="AA61" i="6"/>
  <c r="Z61" i="6"/>
  <c r="I62" i="6"/>
  <c r="H62" i="6"/>
  <c r="O62" i="6"/>
  <c r="N62" i="6"/>
  <c r="U62" i="6"/>
  <c r="T62" i="6"/>
  <c r="AA62" i="6"/>
  <c r="Z62" i="6"/>
  <c r="I63" i="6"/>
  <c r="H63" i="6"/>
  <c r="O63" i="6"/>
  <c r="N63" i="6"/>
  <c r="U63" i="6"/>
  <c r="T63" i="6"/>
  <c r="AA63" i="6"/>
  <c r="Z63" i="6"/>
  <c r="I64" i="6"/>
  <c r="H64" i="6"/>
  <c r="O64" i="6"/>
  <c r="N64" i="6"/>
  <c r="U64" i="6"/>
  <c r="T64" i="6"/>
  <c r="AA64" i="6"/>
  <c r="Z64" i="6"/>
  <c r="I65" i="6"/>
  <c r="H65" i="6"/>
  <c r="O65" i="6"/>
  <c r="N65" i="6"/>
  <c r="U65" i="6"/>
  <c r="T65" i="6"/>
  <c r="AA65" i="6"/>
  <c r="Z65" i="6"/>
  <c r="I67" i="6"/>
  <c r="H67" i="6"/>
  <c r="O67" i="6"/>
  <c r="N67" i="6"/>
  <c r="U67" i="6"/>
  <c r="T67" i="6"/>
  <c r="AA67" i="6"/>
  <c r="Z67" i="6"/>
  <c r="I68" i="6"/>
  <c r="H68" i="6"/>
  <c r="O68" i="6"/>
  <c r="N68" i="6"/>
  <c r="U68" i="6"/>
  <c r="T68" i="6"/>
  <c r="AA68" i="6"/>
  <c r="Z68" i="6"/>
  <c r="I69" i="6"/>
  <c r="H69" i="6"/>
  <c r="O69" i="6"/>
  <c r="N69" i="6"/>
  <c r="U69" i="6"/>
  <c r="T69" i="6"/>
  <c r="AA69" i="6"/>
  <c r="Z69" i="6"/>
  <c r="I70" i="6"/>
  <c r="H70" i="6"/>
  <c r="O70" i="6"/>
  <c r="N70" i="6"/>
  <c r="U70" i="6"/>
  <c r="T70" i="6"/>
  <c r="AA70" i="6"/>
  <c r="Z70" i="6"/>
  <c r="I71" i="6"/>
  <c r="H71" i="6"/>
  <c r="O71" i="6"/>
  <c r="N71" i="6"/>
  <c r="U71" i="6"/>
  <c r="T71" i="6"/>
  <c r="AA71" i="6"/>
  <c r="Z71" i="6"/>
  <c r="I72" i="6"/>
  <c r="H72" i="6"/>
  <c r="O72" i="6"/>
  <c r="N72" i="6"/>
  <c r="U72" i="6"/>
  <c r="T72" i="6"/>
  <c r="AA72" i="6"/>
  <c r="Z72" i="6"/>
  <c r="I73" i="6"/>
  <c r="H73" i="6"/>
  <c r="O73" i="6"/>
  <c r="N73" i="6"/>
  <c r="U73" i="6"/>
  <c r="T73" i="6"/>
  <c r="AA73" i="6"/>
  <c r="Z73" i="6"/>
  <c r="I74" i="6"/>
  <c r="H74" i="6"/>
  <c r="O74" i="6"/>
  <c r="N74" i="6"/>
  <c r="U74" i="6"/>
  <c r="T74" i="6"/>
  <c r="AA74" i="6"/>
  <c r="Z74" i="6"/>
  <c r="I75" i="6"/>
  <c r="H75" i="6"/>
  <c r="O75" i="6"/>
  <c r="N75" i="6"/>
  <c r="U75" i="6"/>
  <c r="T75" i="6"/>
  <c r="AA75" i="6"/>
  <c r="Z75" i="6"/>
  <c r="I76" i="6"/>
  <c r="H76" i="6"/>
  <c r="O76" i="6"/>
  <c r="N76" i="6"/>
  <c r="U76" i="6"/>
  <c r="T76" i="6"/>
  <c r="AA76" i="6"/>
  <c r="Z76" i="6"/>
  <c r="I77" i="6"/>
  <c r="H77" i="6"/>
  <c r="O77" i="6"/>
  <c r="N77" i="6"/>
  <c r="U77" i="6"/>
  <c r="T77" i="6"/>
  <c r="AA77" i="6"/>
  <c r="Z77" i="6"/>
  <c r="I79" i="6"/>
  <c r="H79" i="6"/>
  <c r="O79" i="6"/>
  <c r="N79" i="6"/>
  <c r="U79" i="6"/>
  <c r="T79" i="6"/>
  <c r="AA79" i="6"/>
  <c r="Z79" i="6"/>
  <c r="I80" i="6"/>
  <c r="H80" i="6"/>
  <c r="O80" i="6"/>
  <c r="N80" i="6"/>
  <c r="U80" i="6"/>
  <c r="T80" i="6"/>
  <c r="AA80" i="6"/>
  <c r="Z80" i="6"/>
  <c r="I81" i="6"/>
  <c r="H81" i="6"/>
  <c r="O81" i="6"/>
  <c r="N81" i="6"/>
  <c r="U81" i="6"/>
  <c r="T81" i="6"/>
  <c r="AA81" i="6"/>
  <c r="Z81" i="6"/>
  <c r="I82" i="6"/>
  <c r="H82" i="6"/>
  <c r="O82" i="6"/>
  <c r="N82" i="6"/>
  <c r="U82" i="6"/>
  <c r="T82" i="6"/>
  <c r="AA82" i="6"/>
  <c r="Z82" i="6"/>
  <c r="I83" i="6"/>
  <c r="H83" i="6"/>
  <c r="O83" i="6"/>
  <c r="N83" i="6"/>
  <c r="U83" i="6"/>
  <c r="T83" i="6"/>
  <c r="AA83" i="6"/>
  <c r="Z83" i="6"/>
  <c r="I84" i="6"/>
  <c r="H84" i="6"/>
  <c r="O84" i="6"/>
  <c r="N84" i="6"/>
  <c r="U84" i="6"/>
  <c r="T84" i="6"/>
  <c r="AA84" i="6"/>
  <c r="Z84" i="6"/>
  <c r="I85" i="6"/>
  <c r="H85" i="6"/>
  <c r="O85" i="6"/>
  <c r="N85" i="6"/>
  <c r="U85" i="6"/>
  <c r="T85" i="6"/>
  <c r="AA85" i="6"/>
  <c r="Z85" i="6"/>
  <c r="I86" i="6"/>
  <c r="H86" i="6"/>
  <c r="O86" i="6"/>
  <c r="N86" i="6"/>
  <c r="U86" i="6"/>
  <c r="T86" i="6"/>
  <c r="AA86" i="6"/>
  <c r="Z86" i="6"/>
  <c r="I87" i="6"/>
  <c r="H87" i="6"/>
  <c r="O87" i="6"/>
  <c r="N87" i="6"/>
  <c r="U87" i="6"/>
  <c r="T87" i="6"/>
  <c r="AA87" i="6"/>
  <c r="Z87" i="6"/>
  <c r="I88" i="6"/>
  <c r="H88" i="6"/>
  <c r="O88" i="6"/>
  <c r="N88" i="6"/>
  <c r="U88" i="6"/>
  <c r="T88" i="6"/>
  <c r="AA88" i="6"/>
  <c r="Z88" i="6"/>
  <c r="I89" i="6"/>
  <c r="H89" i="6"/>
  <c r="O89" i="6"/>
  <c r="N89" i="6"/>
  <c r="U89" i="6"/>
  <c r="T89" i="6"/>
  <c r="AA89" i="6"/>
  <c r="Z89" i="6"/>
  <c r="I91" i="6"/>
  <c r="H91" i="6"/>
  <c r="O91" i="6"/>
  <c r="N91" i="6"/>
  <c r="U91" i="6"/>
  <c r="T91" i="6"/>
  <c r="AA91" i="6"/>
  <c r="Z91" i="6"/>
  <c r="I92" i="6"/>
  <c r="H92" i="6"/>
  <c r="O92" i="6"/>
  <c r="N92" i="6"/>
  <c r="U92" i="6"/>
  <c r="T92" i="6"/>
  <c r="AA92" i="6"/>
  <c r="Z92" i="6"/>
  <c r="I93" i="6"/>
  <c r="H93" i="6"/>
  <c r="O93" i="6"/>
  <c r="N93" i="6"/>
  <c r="U93" i="6"/>
  <c r="T93" i="6"/>
  <c r="AA93" i="6"/>
  <c r="Z93" i="6"/>
  <c r="I94" i="6"/>
  <c r="H94" i="6"/>
  <c r="O94" i="6"/>
  <c r="N94" i="6"/>
  <c r="U94" i="6"/>
  <c r="T94" i="6"/>
  <c r="AA94" i="6"/>
  <c r="Z94" i="6"/>
  <c r="I95" i="6"/>
  <c r="H95" i="6"/>
  <c r="O95" i="6"/>
  <c r="N95" i="6"/>
  <c r="U95" i="6"/>
  <c r="T95" i="6"/>
  <c r="AA95" i="6"/>
  <c r="Z95" i="6"/>
  <c r="I96" i="6"/>
  <c r="H96" i="6"/>
  <c r="O96" i="6"/>
  <c r="N96" i="6"/>
  <c r="U96" i="6"/>
  <c r="T96" i="6"/>
  <c r="AA96" i="6"/>
  <c r="Z96" i="6"/>
  <c r="I97" i="6"/>
  <c r="H97" i="6"/>
  <c r="O97" i="6"/>
  <c r="N97" i="6"/>
  <c r="U97" i="6"/>
  <c r="T97" i="6"/>
  <c r="AA97" i="6"/>
  <c r="Z97" i="6"/>
  <c r="I98" i="6"/>
  <c r="H98" i="6"/>
  <c r="O98" i="6"/>
  <c r="N98" i="6"/>
  <c r="U98" i="6"/>
  <c r="T98" i="6"/>
  <c r="AA98" i="6"/>
  <c r="Z98" i="6"/>
  <c r="I99" i="6"/>
  <c r="H99" i="6"/>
  <c r="O99" i="6"/>
  <c r="N99" i="6"/>
  <c r="U99" i="6"/>
  <c r="T99" i="6"/>
  <c r="AA99" i="6"/>
  <c r="Z99" i="6"/>
  <c r="I100" i="6"/>
  <c r="H100" i="6"/>
  <c r="O100" i="6"/>
  <c r="N100" i="6"/>
  <c r="U100" i="6"/>
  <c r="T100" i="6"/>
  <c r="AA100" i="6"/>
  <c r="Z100" i="6"/>
  <c r="I101" i="6"/>
  <c r="H101" i="6"/>
  <c r="O101" i="6"/>
  <c r="N101" i="6"/>
  <c r="U101" i="6"/>
  <c r="T101" i="6"/>
  <c r="AA101" i="6"/>
  <c r="Z101" i="6"/>
  <c r="I103" i="6"/>
  <c r="H103" i="6"/>
  <c r="O103" i="6"/>
  <c r="N103" i="6"/>
  <c r="U103" i="6"/>
  <c r="T103" i="6"/>
  <c r="AA103" i="6"/>
  <c r="Z103" i="6"/>
  <c r="I104" i="6"/>
  <c r="H104" i="6"/>
  <c r="O104" i="6"/>
  <c r="N104" i="6"/>
  <c r="U104" i="6"/>
  <c r="T104" i="6"/>
  <c r="AA104" i="6"/>
  <c r="Z104" i="6"/>
  <c r="I105" i="6"/>
  <c r="H105" i="6"/>
  <c r="O105" i="6"/>
  <c r="N105" i="6"/>
  <c r="U105" i="6"/>
  <c r="T105" i="6"/>
  <c r="AA105" i="6"/>
  <c r="Z105" i="6"/>
  <c r="I106" i="6"/>
  <c r="H106" i="6"/>
  <c r="O106" i="6"/>
  <c r="N106" i="6"/>
  <c r="U106" i="6"/>
  <c r="T106" i="6"/>
  <c r="AA106" i="6"/>
  <c r="Z106" i="6"/>
  <c r="I107" i="6"/>
  <c r="H107" i="6"/>
  <c r="O107" i="6"/>
  <c r="N107" i="6"/>
  <c r="U107" i="6"/>
  <c r="T107" i="6"/>
  <c r="AA107" i="6"/>
  <c r="Z107" i="6"/>
  <c r="I108" i="6"/>
  <c r="H108" i="6"/>
  <c r="O108" i="6"/>
  <c r="N108" i="6"/>
  <c r="U108" i="6"/>
  <c r="T108" i="6"/>
  <c r="AA108" i="6"/>
  <c r="Z108" i="6"/>
  <c r="I109" i="6"/>
  <c r="H109" i="6"/>
  <c r="O109" i="6"/>
  <c r="N109" i="6"/>
  <c r="U109" i="6"/>
  <c r="T109" i="6"/>
  <c r="AA109" i="6"/>
  <c r="Z109" i="6"/>
  <c r="I110" i="6"/>
  <c r="H110" i="6"/>
  <c r="O110" i="6"/>
  <c r="N110" i="6"/>
  <c r="U110" i="6"/>
  <c r="T110" i="6"/>
  <c r="AA110" i="6"/>
  <c r="Z110" i="6"/>
  <c r="I111" i="6"/>
  <c r="H111" i="6"/>
  <c r="O111" i="6"/>
  <c r="N111" i="6"/>
  <c r="U111" i="6"/>
  <c r="T111" i="6"/>
  <c r="AA111" i="6"/>
  <c r="Z111" i="6"/>
  <c r="I112" i="6"/>
  <c r="H112" i="6"/>
  <c r="O112" i="6"/>
  <c r="N112" i="6"/>
  <c r="U112" i="6"/>
  <c r="T112" i="6"/>
  <c r="AA112" i="6"/>
  <c r="Z112" i="6"/>
  <c r="I113" i="6"/>
  <c r="H113" i="6"/>
  <c r="O113" i="6"/>
  <c r="N113" i="6"/>
  <c r="U113" i="6"/>
  <c r="T113" i="6"/>
  <c r="AA113" i="6"/>
  <c r="Z113" i="6"/>
  <c r="I115" i="6"/>
  <c r="H115" i="6"/>
  <c r="O115" i="6"/>
  <c r="N115" i="6"/>
  <c r="U115" i="6"/>
  <c r="T115" i="6"/>
  <c r="AA115" i="6"/>
  <c r="Z115" i="6"/>
  <c r="I116" i="6"/>
  <c r="H116" i="6"/>
  <c r="O116" i="6"/>
  <c r="N116" i="6"/>
  <c r="U116" i="6"/>
  <c r="T116" i="6"/>
  <c r="AA116" i="6"/>
  <c r="Z116" i="6"/>
  <c r="I117" i="6"/>
  <c r="H117" i="6"/>
  <c r="O117" i="6"/>
  <c r="N117" i="6"/>
  <c r="U117" i="6"/>
  <c r="T117" i="6"/>
  <c r="AA117" i="6"/>
  <c r="Z117" i="6"/>
  <c r="I118" i="6"/>
  <c r="H118" i="6"/>
  <c r="O118" i="6"/>
  <c r="N118" i="6"/>
  <c r="U118" i="6"/>
  <c r="T118" i="6"/>
  <c r="AA118" i="6"/>
  <c r="Z118" i="6"/>
  <c r="I119" i="6"/>
  <c r="H119" i="6"/>
  <c r="O119" i="6"/>
  <c r="N119" i="6"/>
  <c r="U119" i="6"/>
  <c r="T119" i="6"/>
  <c r="AA119" i="6"/>
  <c r="Z119" i="6"/>
  <c r="I120" i="6"/>
  <c r="H120" i="6"/>
  <c r="O120" i="6"/>
  <c r="N120" i="6"/>
  <c r="U120" i="6"/>
  <c r="T120" i="6"/>
  <c r="AA120" i="6"/>
  <c r="Z120" i="6"/>
  <c r="I121" i="6"/>
  <c r="H121" i="6"/>
  <c r="O121" i="6"/>
  <c r="N121" i="6"/>
  <c r="U121" i="6"/>
  <c r="T121" i="6"/>
  <c r="AA121" i="6"/>
  <c r="Z121" i="6"/>
  <c r="I122" i="6"/>
  <c r="H122" i="6"/>
  <c r="O122" i="6"/>
  <c r="N122" i="6"/>
  <c r="U122" i="6"/>
  <c r="T122" i="6"/>
  <c r="AA122" i="6"/>
  <c r="Z122" i="6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<sst xmlns="http://schemas.openxmlformats.org/spreadsheetml/2006/main" count="377" uniqueCount="91">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</sst>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3" fontId="1" fillId="7" borderId="3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92" headerRowBorderDxfId="90" tableBorderDxfId="9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89" headerRowBorderDxfId="87" tableBorderDxfId="88">
  <autoFilter ref="A2:AA61" xr:uid="{D7C37D80-F2E1-4395-8B6C-0FD477B4D8F8}"/>
  <tableColumns count="27">
    <tableColumn id="1" xr3:uid="{451CCD6B-9C4E-44A3-945A-DE807169F46B}" name="Grade Level" dataDxfId="86"/>
    <tableColumn id="2" xr3:uid="{C6CCCB1C-6639-4C28-A4BA-B187B2F73B59}" name="SUBJECTS" dataDxfId="85"/>
    <tableColumn id="3" xr3:uid="{945324E6-140A-476C-A8C3-23A16D4D262F}" name="Enrolment S.Y. 2025-2026 " dataDxfId="84"/>
    <tableColumn id="4" xr3:uid="{A2D4C0AF-3699-4D3C-A791-2D7D8004CC89}" name="Quantity based on Target LAS - Q1 " dataDxfId="8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82"/>
    <tableColumn id="6" xr3:uid="{FCD520AB-D938-4542-9B56-AEC07AB5F1DC}" name="Year of Delivery-LAS - Q1" dataDxfId="81"/>
    <tableColumn id="7" xr3:uid="{674474DE-9D20-41C1-8261-DA9C4A95671C}" name="SOURCE - LAS (CO,RO, SDO) - Q1" dataDxfId="80"/>
    <tableColumn id="8" xr3:uid="{58D9CB98-8F6F-4F61-9103-C27B8FFBDB51}" name="GAP - LAS - Q1" dataDxfId="79">
      <calculatedColumnFormula>IF((D3-E3)&lt;0,0,(D3-E3))</calculatedColumnFormula>
    </tableColumn>
    <tableColumn id="9" xr3:uid="{E6406FC4-4491-4FD6-9EA2-F088E94C44F4}" name="SURPLUS - LAS - Q1" dataDxfId="78">
      <calculatedColumnFormula>IF((E3-D3)&lt;0,0,(E3-D3))</calculatedColumnFormula>
    </tableColumn>
    <tableColumn id="10" xr3:uid="{1E56D889-DC27-4BCB-B61E-06BBBE734949}" name="Quantity based on Target LAS - Q2" dataDxfId="7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76"/>
    <tableColumn id="12" xr3:uid="{F2E2CB95-E0BD-4C6E-ACFE-F201177004A0}" name="Year of Delivery-LAS Q2" dataDxfId="75"/>
    <tableColumn id="13" xr3:uid="{163FBFFB-0AB7-44C8-89C4-72AA64C1EAC7}" name="SOURCE-LAS (CO,RO, SDO) Q2" dataDxfId="74"/>
    <tableColumn id="14" xr3:uid="{EACC05A8-C68D-4495-BC08-73F093C4992F}" name="GAP - LAS -Q2" dataDxfId="73"/>
    <tableColumn id="15" xr3:uid="{28A44E24-3E28-4B7F-BADE-28BB84F0B810}" name="SURPLUS - LAS -Q2" dataDxfId="72"/>
    <tableColumn id="16" xr3:uid="{87878677-5715-46B6-9BA9-9D08DE9A3335}" name="Quantity based on Target LAS - Q3" dataDxfId="71">
      <calculatedColumnFormula>#REF!*8</calculatedColumnFormula>
    </tableColumn>
    <tableColumn id="17" xr3:uid="{48667A1F-77B1-47A6-83F7-61ED15F61DDB}" name="Quantity of Learning Activity Sheets Received (Quantity received x No. of LAS) - Q3" dataDxfId="70"/>
    <tableColumn id="18" xr3:uid="{56F2625D-2CEE-478E-A8DE-42A7191C3835}" name="Year of Delivery-LAS - Q3" dataDxfId="69"/>
    <tableColumn id="19" xr3:uid="{EF0F614F-5FED-4639-8798-840D9677B8DA}" name="SOURCE-LAS (CO,RO, SDO) - Q3" dataDxfId="68"/>
    <tableColumn id="20" xr3:uid="{FD91DDEE-DBA8-4E2C-94B2-23AE9F73CC4A}" name="GAP - LAS - Q3" dataDxfId="67">
      <calculatedColumnFormula>IF((P3-Q3)&lt;0,0,(P3-Q3))</calculatedColumnFormula>
    </tableColumn>
    <tableColumn id="21" xr3:uid="{DB598C6C-E489-4B0F-9BC6-B0981F7D2582}" name="SURPLUS - LAS - Q3" dataDxfId="66">
      <calculatedColumnFormula>IF((Q3-P3)&lt;0,0,(Q3-P3))</calculatedColumnFormula>
    </tableColumn>
    <tableColumn id="22" xr3:uid="{8CD6906A-7980-46E8-80B2-8563AEBC71F7}" name="Quantity based on Target LAS - Q4" dataDxfId="6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64"/>
    <tableColumn id="24" xr3:uid="{205BCDBA-0424-492C-B4EF-841B8A3A1521}" name="Year of Delivery - LAS - Q4" dataDxfId="63"/>
    <tableColumn id="25" xr3:uid="{8226E35B-1F3B-4D2A-815B-9D4C0A24EE7E}" name="SOURCE - LAS (CO,RO, SDO) - Q4" dataDxfId="62"/>
    <tableColumn id="26" xr3:uid="{5B37A4B7-CD16-4D9A-8A47-D9EA73F613BC}" name="GAP - LAS - Q4" dataDxfId="61">
      <calculatedColumnFormula>IF((V3-W3)&lt;0,0,(V3-W3))</calculatedColumnFormula>
    </tableColumn>
    <tableColumn id="27" xr3:uid="{38E9C5F3-3FF5-4B13-A9DA-0081A90F35C5}" name="SURPLUS - LA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59" headerRowBorderDxfId="57" tableBorderDxfId="58">
  <autoFilter ref="A2:AA66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9D84E0-3A45-4EBB-9475-A187F54892C7}" name="Table145" displayName="Table145" ref="A2:AA140" totalsRowShown="0" dataDxfId="29" headerRowBorderDxfId="27" tableBorderDxfId="28">
  <autoFilter ref="A2:AA140" xr:uid="{B69D84E0-3A45-4EBB-9475-A187F54892C7}"/>
  <tableColumns count="27">
    <tableColumn id="1" xr3:uid="{8E3ECC35-942A-485F-BDF9-03AC1A8356B9}" name="Grade Level" dataDxfId="26"/>
    <tableColumn id="2" xr3:uid="{44766744-4085-47D7-B0D1-9ED69CB2DF5D}" name="SUBJECTS" dataDxfId="25"/>
    <tableColumn id="3" xr3:uid="{85FA2FB5-382D-468E-8F0B-CC02EAA5467E}" name="Enrolment S.Y. 2025-2026 " dataDxfId="24"/>
    <tableColumn id="4" xr3:uid="{31DF1065-9A48-42C3-ABE9-D0DCB07A47C8}" name="Quantity based on Target ADM-SLM - Q1 " dataDxfId="23">
      <calculatedColumnFormula>Table145[[#This Row],[Enrolment S.Y. 2025-2026 ]]*8</calculatedColumnFormula>
    </tableColumn>
    <tableColumn id="5" xr3:uid="{6BDD67CE-A1B8-4D96-ABB3-0A3A4E5E4A8D}" name="Quantity of ADM-SLM Received (Quantity received x No. of ADM-SLM) - Q1" dataDxfId="22"/>
    <tableColumn id="6" xr3:uid="{F62032D6-2CE9-496D-9332-8104E677BFB0}" name="Year of Delivery - ADM-SLM - Q1" dataDxfId="21"/>
    <tableColumn id="7" xr3:uid="{0AE91096-3A37-4B53-8BE5-194C107F1F9B}" name="SOURCE - ADM-SLM (CO,RO, SDO) - Q1" dataDxfId="20"/>
    <tableColumn id="8" xr3:uid="{BE5690ED-1E23-4E81-8893-13FE280D4BB8}" name="GAP - ADM-SLM - Q1" dataDxfId="19">
      <calculatedColumnFormula>IF((D3-E3)&lt;0,0,(D3-E3))</calculatedColumnFormula>
    </tableColumn>
    <tableColumn id="9" xr3:uid="{A44E38B0-18B9-4174-99D1-54D0C7D1A47A}" name="SURPLUS - ADM-SLM - Q1" dataDxfId="18">
      <calculatedColumnFormula>IF((E3-D3)&lt;0,0,(E3-D3))</calculatedColumnFormula>
    </tableColumn>
    <tableColumn id="10" xr3:uid="{EB0ED75C-05E5-4E75-9421-C018C4E0A49B}" name="Quantity based on Target ADM-SLM - Q2" dataDxfId="17">
      <calculatedColumnFormula>Table145[[#This Row],[Enrolment S.Y. 2025-2026 ]]*8</calculatedColumnFormula>
    </tableColumn>
    <tableColumn id="11" xr3:uid="{F3E59095-1F62-47B1-A196-09605B218E5A}" name="Quantity of ADM-SLM Received (Quantity received x No. of ADM-SLM) - Q2" dataDxfId="16"/>
    <tableColumn id="12" xr3:uid="{89A121A0-5F8C-48DE-A79C-8D05721E31D3}" name="Year of Delivery - ADM-SLM Q2" dataDxfId="15"/>
    <tableColumn id="13" xr3:uid="{1DD9697F-B8C4-4FF6-98A8-DA824629BA13}" name="SOURCE - ADM-SLM (CO,RO, SDO) Q2" dataDxfId="14"/>
    <tableColumn id="14" xr3:uid="{BD22F1D5-C604-4F98-8F8A-74EDD6D8901A}" name="GAP - ADM-SLM - Q2" dataDxfId="13"/>
    <tableColumn id="15" xr3:uid="{6F1E72AC-5D66-43CA-A765-3CCED266DB95}" name="SURPLUS - ADM-SLM -Q2" dataDxfId="12"/>
    <tableColumn id="16" xr3:uid="{B708A60E-44E2-4619-84BD-77FB7C8AE65A}" name="Quantity based on Target ADM-SLM - Q3" dataDxfId="11">
      <calculatedColumnFormula>#REF!*8</calculatedColumnFormula>
    </tableColumn>
    <tableColumn id="17" xr3:uid="{10B78BD8-02CC-4DA3-9FEA-4F22ABFD4470}" name="Quantity of ADM-SLM Received (Quantity received x No. of ADM-SLM) - Q3" dataDxfId="10"/>
    <tableColumn id="18" xr3:uid="{29B65EE3-79E4-45D9-8757-B75E53F972F8}" name="Year of Delivery - ADM-SLM - Q3" dataDxfId="9"/>
    <tableColumn id="19" xr3:uid="{629B7306-A29A-460B-BFEC-72AACE0B4A17}" name="SOURCE - ADM-SLM(CO,RO, SDO) - Q3" dataDxfId="8"/>
    <tableColumn id="20" xr3:uid="{0FD0BBBF-B16B-4B0A-B2E4-71B58491FD7E}" name="GAP - ADM-SLM - Q3" dataDxfId="7">
      <calculatedColumnFormula>IF((P3-Q3)&lt;0,0,(P3-Q3))</calculatedColumnFormula>
    </tableColumn>
    <tableColumn id="21" xr3:uid="{29047063-D256-41A9-883D-644DF15316ED}" name="SURPLUS - ADM-SLM - Q3" dataDxfId="6">
      <calculatedColumnFormula>IF((Q3-P3)&lt;0,0,(Q3-P3))</calculatedColumnFormula>
    </tableColumn>
    <tableColumn id="22" xr3:uid="{2AB9441B-4629-4F32-8D7F-DA7901293FF9}" name="Quantity based on Target ADM-SLM - Q4" dataDxfId="5">
      <calculatedColumnFormula>Table145[[#This Row],[Enrolment S.Y. 2025-2026 ]]*8</calculatedColumnFormula>
    </tableColumn>
    <tableColumn id="23" xr3:uid="{631957A8-3B87-4654-A869-64D95A061D19}" name="Quantity of ADM-SLM Received (Quantity received x No. of ADM-SLM)- Q4" dataDxfId="4"/>
    <tableColumn id="24" xr3:uid="{988C13E4-1C3E-402B-9095-FBA91DAE1B8B}" name="Year of Delivery - ADM-SLM- Q4" dataDxfId="3"/>
    <tableColumn id="25" xr3:uid="{404A8042-A24A-47D2-B7B6-579DADDFE5B8}" name="SOURCE - ADM-SLM - (CO,RO, SDO) - Q4" dataDxfId="2"/>
    <tableColumn id="26" xr3:uid="{4A2948B9-19EF-4858-91DA-1895644DF2A3}" name="GAP - ADM-SLM - Q4" dataDxfId="1">
      <calculatedColumnFormula>IF((V3-W3)&lt;0,0,(V3-W3))</calculatedColumnFormula>
    </tableColumn>
    <tableColumn id="27" xr3:uid="{B570BF9D-C870-48EC-B277-D70BE7DB8E8A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1" activePane="topRight" state="frozen"/>
      <selection pane="topRight" activeCell="A50" sqref="A50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1254</v>
      </c>
      <c r="D2" s="1">
        <v>736</v>
      </c>
      <c r="E2" s="1">
        <v>2024</v>
      </c>
      <c r="F2" s="5" t="s">
        <v>9</v>
      </c>
      <c r="G2" s="3">
        <f>IF((C2-D2)&lt;0,0,C2-D2)</f>
        <v>518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1254</v>
      </c>
      <c r="D3" s="1">
        <v>736</v>
      </c>
      <c r="E3" s="1">
        <v>2025</v>
      </c>
      <c r="F3" s="5" t="s">
        <v>9</v>
      </c>
      <c r="G3" s="3">
        <f>IF((C3-D3)&lt;0,0,C3-D3)</f>
        <v>518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1254</v>
      </c>
      <c r="D4" s="1">
        <v>736</v>
      </c>
      <c r="E4" s="1">
        <v>2024</v>
      </c>
      <c r="F4" s="5" t="s">
        <v>9</v>
      </c>
      <c r="G4" s="3">
        <f>IF((C4-D4)&lt;0,0,C4-D4)</f>
        <v>518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1254</v>
      </c>
      <c r="D5" s="1">
        <v>736</v>
      </c>
      <c r="E5" s="1">
        <v>2025</v>
      </c>
      <c r="F5" s="5" t="s">
        <v>9</v>
      </c>
      <c r="G5" s="3">
        <f t="shared" ref="G5:G6" si="0">IF((C5-D5)&lt;0,0,C5-D5)</f>
        <v>518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1254</v>
      </c>
      <c r="D6" s="1"/>
      <c r="E6" s="1"/>
      <c r="F6" s="5"/>
      <c r="G6" s="3">
        <f t="shared" si="0"/>
        <v>1254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1362</v>
      </c>
      <c r="D8" s="1"/>
      <c r="E8" s="1"/>
      <c r="F8" s="5"/>
      <c r="G8" s="3">
        <f>IF((C8-D8)&lt;0,0,C8-D8)</f>
        <v>1362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1362</v>
      </c>
      <c r="D9" s="1"/>
      <c r="E9" s="1"/>
      <c r="F9" s="5"/>
      <c r="G9" s="3">
        <f>IF((C9-D9)&lt;0,0,C9-D9)</f>
        <v>1362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1362</v>
      </c>
      <c r="D10" s="1"/>
      <c r="E10" s="1"/>
      <c r="F10" s="5"/>
      <c r="G10" s="3">
        <f>IF((C10-D10)&lt;0,0,C10-D10)</f>
        <v>1362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1362</v>
      </c>
      <c r="D11" s="1"/>
      <c r="E11" s="1"/>
      <c r="F11" s="5"/>
      <c r="G11" s="3">
        <f>IF((C11-D11)&lt;0,0,C11-D11)</f>
        <v>1362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1362</v>
      </c>
      <c r="D12" s="1"/>
      <c r="E12" s="1"/>
      <c r="F12" s="5"/>
      <c r="G12" s="3">
        <f>IF((C12-D12)&lt;0,0,C12-D12)</f>
        <v>1362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1460</v>
      </c>
      <c r="D14" s="1"/>
      <c r="E14" s="1"/>
      <c r="F14" s="5"/>
      <c r="G14" s="3">
        <f t="shared" ref="G14:G19" si="2">IF((C14-D14)&lt;0,0,C14-D14)</f>
        <v>1460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1460</v>
      </c>
      <c r="D15" s="1"/>
      <c r="E15" s="1"/>
      <c r="F15" s="5"/>
      <c r="G15" s="3">
        <f t="shared" si="2"/>
        <v>1460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1460</v>
      </c>
      <c r="D16" s="1"/>
      <c r="E16" s="1"/>
      <c r="F16" s="5"/>
      <c r="G16" s="3">
        <f t="shared" si="2"/>
        <v>1460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1460</v>
      </c>
      <c r="D17" s="1"/>
      <c r="E17" s="1"/>
      <c r="F17" s="5"/>
      <c r="G17" s="3">
        <f t="shared" si="2"/>
        <v>1460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1460</v>
      </c>
      <c r="D18" s="1"/>
      <c r="E18" s="1"/>
      <c r="F18" s="5"/>
      <c r="G18" s="3">
        <f t="shared" si="2"/>
        <v>1460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1460</v>
      </c>
      <c r="D19" s="1"/>
      <c r="E19" s="1"/>
      <c r="F19" s="5"/>
      <c r="G19" s="3">
        <f t="shared" si="2"/>
        <v>1460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1642</v>
      </c>
      <c r="D21" s="1"/>
      <c r="E21" s="1"/>
      <c r="F21" s="5"/>
      <c r="G21" s="3">
        <f t="shared" ref="G21:G29" si="4">IF((C21-D21)&lt;0,0,C21-D21)</f>
        <v>1642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1642</v>
      </c>
      <c r="D22" s="1"/>
      <c r="E22" s="1"/>
      <c r="F22" s="5"/>
      <c r="G22" s="3">
        <f t="shared" si="4"/>
        <v>1642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1642</v>
      </c>
      <c r="D23" s="1"/>
      <c r="E23" s="1"/>
      <c r="F23" s="5"/>
      <c r="G23" s="3">
        <f t="shared" si="4"/>
        <v>1642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1642</v>
      </c>
      <c r="D24" s="1"/>
      <c r="E24" s="1"/>
      <c r="F24" s="5"/>
      <c r="G24" s="3">
        <f t="shared" si="4"/>
        <v>1642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1642</v>
      </c>
      <c r="D25" s="1"/>
      <c r="E25" s="1"/>
      <c r="F25" s="5"/>
      <c r="G25" s="3">
        <f t="shared" si="4"/>
        <v>1642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1642</v>
      </c>
      <c r="D26" s="1"/>
      <c r="E26" s="1"/>
      <c r="F26" s="5"/>
      <c r="G26" s="3">
        <f t="shared" si="4"/>
        <v>1642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1642</v>
      </c>
      <c r="D27" s="1"/>
      <c r="E27" s="1"/>
      <c r="F27" s="5"/>
      <c r="G27" s="3">
        <f t="shared" si="4"/>
        <v>1642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1642</v>
      </c>
      <c r="D28" s="1"/>
      <c r="E28" s="1"/>
      <c r="F28" s="5"/>
      <c r="G28" s="3">
        <f t="shared" si="4"/>
        <v>1642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1642</v>
      </c>
      <c r="D29" s="1"/>
      <c r="E29" s="1"/>
      <c r="F29" s="5"/>
      <c r="G29" s="3">
        <f t="shared" si="4"/>
        <v>1642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1516</v>
      </c>
      <c r="D31" s="1"/>
      <c r="E31" s="1"/>
      <c r="F31" s="5"/>
      <c r="G31" s="3">
        <f t="shared" ref="G31:G39" si="6">IF((C31-D31)&lt;0,0,C31-D31)</f>
        <v>1516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1516</v>
      </c>
      <c r="D32" s="1"/>
      <c r="E32" s="1"/>
      <c r="F32" s="5"/>
      <c r="G32" s="3">
        <f t="shared" si="6"/>
        <v>1516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1516</v>
      </c>
      <c r="D33" s="1"/>
      <c r="E33" s="1"/>
      <c r="F33" s="5"/>
      <c r="G33" s="3">
        <f t="shared" si="6"/>
        <v>1516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1516</v>
      </c>
      <c r="D34" s="1"/>
      <c r="E34" s="1"/>
      <c r="F34" s="5"/>
      <c r="G34" s="3">
        <f t="shared" si="6"/>
        <v>1516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1516</v>
      </c>
      <c r="D35" s="1"/>
      <c r="E35" s="1"/>
      <c r="F35" s="5"/>
      <c r="G35" s="3">
        <f t="shared" si="6"/>
        <v>1516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1516</v>
      </c>
      <c r="D36" s="1"/>
      <c r="E36" s="1"/>
      <c r="F36" s="5"/>
      <c r="G36" s="3">
        <f t="shared" si="6"/>
        <v>1516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1516</v>
      </c>
      <c r="D37" s="1"/>
      <c r="E37" s="1"/>
      <c r="F37" s="5"/>
      <c r="G37" s="3">
        <f t="shared" si="6"/>
        <v>1516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1516</v>
      </c>
      <c r="D38" s="1"/>
      <c r="E38" s="1"/>
      <c r="F38" s="5"/>
      <c r="G38" s="3">
        <f t="shared" si="6"/>
        <v>1516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1516</v>
      </c>
      <c r="D39" s="1"/>
      <c r="E39" s="1"/>
      <c r="F39" s="5"/>
      <c r="G39" s="3">
        <f t="shared" si="6"/>
        <v>1516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1397</v>
      </c>
      <c r="D41" s="1"/>
      <c r="E41" s="1"/>
      <c r="F41" s="5"/>
      <c r="G41" s="3">
        <f t="shared" ref="G41:G49" si="8">IF((C41-D41)&lt;0,0,C41-D41)</f>
        <v>1397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1397</v>
      </c>
      <c r="D42" s="1"/>
      <c r="E42" s="1"/>
      <c r="F42" s="5"/>
      <c r="G42" s="3">
        <f t="shared" si="8"/>
        <v>1397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1397</v>
      </c>
      <c r="D43" s="1"/>
      <c r="E43" s="1"/>
      <c r="F43" s="5"/>
      <c r="G43" s="3">
        <f t="shared" si="8"/>
        <v>1397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1397</v>
      </c>
      <c r="D44" s="1"/>
      <c r="E44" s="1"/>
      <c r="F44" s="5"/>
      <c r="G44" s="3">
        <f t="shared" si="8"/>
        <v>1397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1397</v>
      </c>
      <c r="D45" s="1"/>
      <c r="E45" s="1"/>
      <c r="F45" s="5"/>
      <c r="G45" s="3">
        <f t="shared" si="8"/>
        <v>1397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1397</v>
      </c>
      <c r="D46" s="1"/>
      <c r="E46" s="1"/>
      <c r="F46" s="5"/>
      <c r="G46" s="3">
        <f t="shared" si="8"/>
        <v>1397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1397</v>
      </c>
      <c r="D47" s="1"/>
      <c r="E47" s="1"/>
      <c r="F47" s="5"/>
      <c r="G47" s="3">
        <f t="shared" si="8"/>
        <v>1397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1397</v>
      </c>
      <c r="D48" s="1"/>
      <c r="E48" s="1"/>
      <c r="F48" s="5"/>
      <c r="G48" s="3">
        <f t="shared" si="8"/>
        <v>1397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1397</v>
      </c>
      <c r="D49" s="1"/>
      <c r="E49" s="1"/>
      <c r="F49" s="5"/>
      <c r="G49" s="3">
        <f t="shared" si="8"/>
        <v>1397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2:E29 E14:E19 E8:E12 E2:E6 E21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7" zoomScale="70" zoomScaleNormal="70" workbookViewId="0">
      <selection activeCell="X136" sqref="X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21</v>
      </c>
      <c r="E1" s="40"/>
      <c r="F1" s="40"/>
      <c r="G1" s="40"/>
      <c r="H1" s="40"/>
      <c r="I1" s="40"/>
      <c r="J1" s="41" t="s">
        <v>22</v>
      </c>
      <c r="K1" s="41"/>
      <c r="L1" s="41"/>
      <c r="M1" s="41"/>
      <c r="N1" s="41"/>
      <c r="O1" s="41"/>
      <c r="P1" s="42" t="s">
        <v>23</v>
      </c>
      <c r="Q1" s="42"/>
      <c r="R1" s="42"/>
      <c r="S1" s="42"/>
      <c r="T1" s="42"/>
      <c r="U1" s="42"/>
      <c r="V1" s="43" t="s">
        <v>24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25</v>
      </c>
      <c r="E2" s="20" t="s">
        <v>26</v>
      </c>
      <c r="F2" s="21" t="s">
        <v>27</v>
      </c>
      <c r="G2" s="24" t="s">
        <v>28</v>
      </c>
      <c r="H2" s="17" t="s">
        <v>29</v>
      </c>
      <c r="I2" s="24" t="s">
        <v>30</v>
      </c>
      <c r="J2" s="22" t="s">
        <v>31</v>
      </c>
      <c r="K2" s="22" t="s">
        <v>32</v>
      </c>
      <c r="L2" s="23" t="s">
        <v>33</v>
      </c>
      <c r="M2" s="37" t="s">
        <v>34</v>
      </c>
      <c r="N2" s="37" t="s">
        <v>35</v>
      </c>
      <c r="O2" s="22" t="s">
        <v>36</v>
      </c>
      <c r="P2" s="24" t="s">
        <v>37</v>
      </c>
      <c r="Q2" s="24" t="s">
        <v>38</v>
      </c>
      <c r="R2" s="25" t="s">
        <v>39</v>
      </c>
      <c r="S2" s="17" t="s">
        <v>40</v>
      </c>
      <c r="T2" s="17" t="s">
        <v>41</v>
      </c>
      <c r="U2" s="24" t="s">
        <v>42</v>
      </c>
      <c r="V2" s="26" t="s">
        <v>43</v>
      </c>
      <c r="W2" s="26" t="s">
        <v>44</v>
      </c>
      <c r="X2" s="27" t="s">
        <v>45</v>
      </c>
      <c r="Y2" s="38" t="s">
        <v>46</v>
      </c>
      <c r="Z2" s="38" t="s">
        <v>47</v>
      </c>
      <c r="AA2" s="26" t="s">
        <v>48</v>
      </c>
    </row>
    <row r="3" spans="1:27" ht="30.6" customHeight="1">
      <c r="A3" s="36" t="s">
        <v>49</v>
      </c>
      <c r="B3" s="30"/>
      <c r="C3" s="29"/>
      <c r="D3" s="31">
        <f>Table1[[#This Row],[Enrolment S.Y. 2025-2026 ]]*8</f>
        <v>0</v>
      </c>
      <c r="E3" s="31"/>
      <c r="F3" s="29"/>
      <c r="G3" s="31"/>
      <c r="H3" s="31">
        <f>IF((D3-E3)&lt;0,0,(D3-E3))</f>
        <v>0</v>
      </c>
      <c r="I3" s="31">
        <f>IF((E3-D3)&lt;0,0,(E3-D3))</f>
        <v>0</v>
      </c>
      <c r="J3" s="31">
        <f>Table1[[#This Row],[Enrolment S.Y. 2025-2026 ]]*8</f>
        <v>0</v>
      </c>
      <c r="K3" s="31"/>
      <c r="L3" s="29"/>
      <c r="M3" s="31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1"/>
      <c r="R3" s="29"/>
      <c r="S3" s="31"/>
      <c r="T3" s="31">
        <f>IF((P3-Q3)&lt;0,0,(P3-Q3))</f>
        <v>0</v>
      </c>
      <c r="U3" s="31">
        <f>IF((Q3-P3)&lt;0,0,(Q3-P3))</f>
        <v>0</v>
      </c>
      <c r="V3" s="31">
        <f>Table1[[#This Row],[Enrolment S.Y. 2025-2026 ]]*8</f>
        <v>0</v>
      </c>
      <c r="W3" s="31"/>
      <c r="X3" s="29"/>
      <c r="Y3" s="31"/>
      <c r="Z3" s="31">
        <f>IF((V3-W3)&lt;0,0,(V3-W3))</f>
        <v>0</v>
      </c>
      <c r="AA3" s="31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>
        <v>1279</v>
      </c>
      <c r="F7" s="1">
        <v>2025</v>
      </c>
      <c r="G7" s="5"/>
      <c r="H7" s="5">
        <f t="shared" si="2"/>
        <v>0</v>
      </c>
      <c r="I7" s="5">
        <f t="shared" si="3"/>
        <v>1279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>
        <v>1297</v>
      </c>
      <c r="F8" s="1">
        <v>2025</v>
      </c>
      <c r="G8" s="5"/>
      <c r="H8" s="5">
        <f t="shared" si="2"/>
        <v>0</v>
      </c>
      <c r="I8" s="5">
        <f t="shared" si="3"/>
        <v>1297</v>
      </c>
      <c r="J8" s="5">
        <f>Table1[[#This Row],[Enrolment S.Y. 2025-2026 ]]*8</f>
        <v>0</v>
      </c>
      <c r="K8" s="5">
        <v>1361</v>
      </c>
      <c r="L8" s="1"/>
      <c r="M8" s="5"/>
      <c r="N8" s="5">
        <f t="shared" si="10"/>
        <v>0</v>
      </c>
      <c r="O8" s="5">
        <f t="shared" si="11"/>
        <v>1361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>
        <v>1279</v>
      </c>
      <c r="F9" s="1">
        <v>2025</v>
      </c>
      <c r="G9" s="5"/>
      <c r="H9" s="5">
        <f t="shared" si="2"/>
        <v>0</v>
      </c>
      <c r="I9" s="5">
        <f t="shared" si="3"/>
        <v>1279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1279</v>
      </c>
      <c r="F16" s="1">
        <v>2025</v>
      </c>
      <c r="G16" s="5"/>
      <c r="H16" s="5">
        <f t="shared" si="2"/>
        <v>0</v>
      </c>
      <c r="I16" s="5">
        <f t="shared" si="3"/>
        <v>1279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1279</v>
      </c>
      <c r="F17" s="1">
        <v>2025</v>
      </c>
      <c r="G17" s="5"/>
      <c r="H17" s="5">
        <f t="shared" si="2"/>
        <v>0</v>
      </c>
      <c r="I17" s="5">
        <f t="shared" si="3"/>
        <v>1279</v>
      </c>
      <c r="J17" s="5">
        <f>Table1[[#This Row],[Enrolment S.Y. 2025-2026 ]]*8</f>
        <v>0</v>
      </c>
      <c r="K17" s="5">
        <v>1361</v>
      </c>
      <c r="L17" s="1"/>
      <c r="M17" s="5"/>
      <c r="N17" s="5">
        <f t="shared" si="10"/>
        <v>0</v>
      </c>
      <c r="O17" s="5">
        <f t="shared" si="11"/>
        <v>1361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1279</v>
      </c>
      <c r="F18" s="1">
        <v>2025</v>
      </c>
      <c r="G18" s="5"/>
      <c r="H18" s="5">
        <f t="shared" si="2"/>
        <v>0</v>
      </c>
      <c r="I18" s="5">
        <f t="shared" si="3"/>
        <v>1279</v>
      </c>
      <c r="J18" s="5">
        <f>Table1[[#This Row],[Enrolment S.Y. 2025-2026 ]]*8</f>
        <v>0</v>
      </c>
      <c r="K18" s="5">
        <v>1517</v>
      </c>
      <c r="L18" s="1">
        <v>2025</v>
      </c>
      <c r="M18" s="5"/>
      <c r="N18" s="5">
        <f t="shared" si="10"/>
        <v>0</v>
      </c>
      <c r="O18" s="5">
        <f t="shared" si="11"/>
        <v>1517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>
        <v>1279</v>
      </c>
      <c r="F19" s="1">
        <v>2025</v>
      </c>
      <c r="G19" s="5"/>
      <c r="H19" s="5">
        <f>IF((D19-E19)&lt;0,0,(D19-E19))</f>
        <v>0</v>
      </c>
      <c r="I19" s="5">
        <f>IF((E19-D19)&lt;0,0,(E19-D19))</f>
        <v>1279</v>
      </c>
      <c r="J19" s="5">
        <f>Table1[[#This Row],[Enrolment S.Y. 2025-2026 ]]*8</f>
        <v>0</v>
      </c>
      <c r="K19" s="5">
        <v>1361</v>
      </c>
      <c r="L19" s="1">
        <v>2025</v>
      </c>
      <c r="M19" s="5"/>
      <c r="N19" s="5">
        <f t="shared" si="10"/>
        <v>0</v>
      </c>
      <c r="O19" s="5">
        <f t="shared" si="11"/>
        <v>1361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1279</v>
      </c>
      <c r="F20" s="1">
        <v>2025</v>
      </c>
      <c r="G20" s="5"/>
      <c r="H20" s="5">
        <f>IF((D20-E20)&lt;0,0,(D20-E20))</f>
        <v>0</v>
      </c>
      <c r="I20" s="5">
        <f>IF((E20-D20)&lt;0,0,(E20-D20))</f>
        <v>1279</v>
      </c>
      <c r="J20" s="5">
        <f>Table1[[#This Row],[Enrolment S.Y. 2025-2026 ]]*8</f>
        <v>0</v>
      </c>
      <c r="K20" s="5">
        <v>1361</v>
      </c>
      <c r="L20" s="1">
        <v>2025</v>
      </c>
      <c r="M20" s="5"/>
      <c r="N20" s="5">
        <f t="shared" si="10"/>
        <v>0</v>
      </c>
      <c r="O20" s="5">
        <f t="shared" si="11"/>
        <v>1361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>
        <v>1372</v>
      </c>
      <c r="F25" s="1">
        <v>2025</v>
      </c>
      <c r="G25" s="5"/>
      <c r="H25" s="5">
        <f t="shared" si="2"/>
        <v>0</v>
      </c>
      <c r="I25" s="5">
        <f t="shared" si="3"/>
        <v>1372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/>
      <c r="D30" s="5">
        <f>Table1[[#This Row],[Enrolment S.Y. 2025-2026 ]]*8</f>
        <v>0</v>
      </c>
      <c r="E30" s="5">
        <v>1372</v>
      </c>
      <c r="F30" s="1">
        <v>2025</v>
      </c>
      <c r="G30" s="5"/>
      <c r="H30" s="5">
        <f>IF((D30-E30)&lt;0,0,(D30-E30))</f>
        <v>0</v>
      </c>
      <c r="I30" s="5">
        <f>IF((E30-D30)&lt;0,0,(E30-D30))</f>
        <v>1372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297</v>
      </c>
      <c r="F43" s="1">
        <v>2025</v>
      </c>
      <c r="G43" s="5"/>
      <c r="H43" s="5">
        <f t="shared" si="2"/>
        <v>0</v>
      </c>
      <c r="I43" s="5">
        <f t="shared" si="3"/>
        <v>297</v>
      </c>
      <c r="J43" s="5">
        <f>Table1[[#This Row],[Enrolment S.Y. 2025-2026 ]]*8</f>
        <v>0</v>
      </c>
      <c r="K43" s="5">
        <v>1517</v>
      </c>
      <c r="L43" s="1">
        <v>2025</v>
      </c>
      <c r="M43" s="5"/>
      <c r="N43" s="5">
        <f t="shared" si="10"/>
        <v>0</v>
      </c>
      <c r="O43" s="5">
        <f t="shared" si="11"/>
        <v>1517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>
        <v>297</v>
      </c>
      <c r="F44" s="1">
        <v>2025</v>
      </c>
      <c r="G44" s="5"/>
      <c r="H44" s="5">
        <f t="shared" si="2"/>
        <v>0</v>
      </c>
      <c r="I44" s="5">
        <f t="shared" si="3"/>
        <v>297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>
        <v>297</v>
      </c>
      <c r="F46" s="1">
        <v>2025</v>
      </c>
      <c r="G46" s="5"/>
      <c r="H46" s="5">
        <f t="shared" si="2"/>
        <v>0</v>
      </c>
      <c r="I46" s="5">
        <f t="shared" si="3"/>
        <v>297</v>
      </c>
      <c r="J46" s="5">
        <f>Table1[[#This Row],[Enrolment S.Y. 2025-2026 ]]*8</f>
        <v>0</v>
      </c>
      <c r="K46" s="5">
        <v>297</v>
      </c>
      <c r="L46" s="1">
        <v>2025</v>
      </c>
      <c r="M46" s="5"/>
      <c r="N46" s="5">
        <f t="shared" si="10"/>
        <v>0</v>
      </c>
      <c r="O46" s="5">
        <f t="shared" si="11"/>
        <v>297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>
        <v>297</v>
      </c>
      <c r="F47" s="1">
        <v>2025</v>
      </c>
      <c r="G47" s="5"/>
      <c r="H47" s="5">
        <f t="shared" si="2"/>
        <v>0</v>
      </c>
      <c r="I47" s="5">
        <f t="shared" si="3"/>
        <v>297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297</v>
      </c>
      <c r="F48" s="1">
        <v>2025</v>
      </c>
      <c r="G48" s="5"/>
      <c r="H48" s="5">
        <f t="shared" si="2"/>
        <v>0</v>
      </c>
      <c r="I48" s="5">
        <f t="shared" si="3"/>
        <v>297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>
        <v>297</v>
      </c>
      <c r="F49" s="1">
        <v>2025</v>
      </c>
      <c r="G49" s="5"/>
      <c r="H49" s="5">
        <f t="shared" si="2"/>
        <v>0</v>
      </c>
      <c r="I49" s="5">
        <f t="shared" si="3"/>
        <v>297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>
        <v>297</v>
      </c>
      <c r="F50" s="1"/>
      <c r="G50" s="5"/>
      <c r="H50" s="5">
        <f t="shared" si="2"/>
        <v>0</v>
      </c>
      <c r="I50" s="5">
        <f t="shared" si="3"/>
        <v>297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>
        <v>297</v>
      </c>
      <c r="F51" s="1">
        <v>2025</v>
      </c>
      <c r="G51" s="5"/>
      <c r="H51" s="5">
        <f t="shared" si="2"/>
        <v>0</v>
      </c>
      <c r="I51" s="5">
        <f t="shared" si="3"/>
        <v>297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>
        <v>250</v>
      </c>
      <c r="L53" s="1">
        <v>2025</v>
      </c>
      <c r="M53" s="5"/>
      <c r="N53" s="5">
        <f t="shared" si="10"/>
        <v>0</v>
      </c>
      <c r="O53" s="5">
        <f t="shared" si="11"/>
        <v>250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>
        <v>250</v>
      </c>
      <c r="L54" s="1">
        <v>2025</v>
      </c>
      <c r="M54" s="5"/>
      <c r="N54" s="5">
        <f t="shared" si="10"/>
        <v>0</v>
      </c>
      <c r="O54" s="5">
        <f t="shared" si="11"/>
        <v>250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>
        <v>250</v>
      </c>
      <c r="L55" s="1">
        <v>2025</v>
      </c>
      <c r="M55" s="5"/>
      <c r="N55" s="5">
        <f t="shared" si="10"/>
        <v>0</v>
      </c>
      <c r="O55" s="5">
        <f t="shared" si="11"/>
        <v>250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50" zoomScale="55" zoomScaleNormal="55" workbookViewId="0">
      <selection activeCell="AD139" sqref="AD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40" t="s">
        <v>21</v>
      </c>
      <c r="E1" s="40"/>
      <c r="F1" s="40"/>
      <c r="G1" s="40"/>
      <c r="H1" s="40"/>
      <c r="I1" s="40"/>
      <c r="J1" s="41" t="s">
        <v>22</v>
      </c>
      <c r="K1" s="41"/>
      <c r="L1" s="41"/>
      <c r="M1" s="41"/>
      <c r="N1" s="41"/>
      <c r="O1" s="41"/>
      <c r="P1" s="42" t="s">
        <v>23</v>
      </c>
      <c r="Q1" s="42"/>
      <c r="R1" s="42"/>
      <c r="S1" s="42"/>
      <c r="T1" s="42"/>
      <c r="U1" s="42"/>
      <c r="V1" s="43" t="s">
        <v>24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51</v>
      </c>
      <c r="E2" s="20" t="s">
        <v>52</v>
      </c>
      <c r="F2" s="21" t="s">
        <v>53</v>
      </c>
      <c r="G2" s="24" t="s">
        <v>54</v>
      </c>
      <c r="H2" s="17" t="s">
        <v>55</v>
      </c>
      <c r="I2" s="24" t="s">
        <v>56</v>
      </c>
      <c r="J2" s="22" t="s">
        <v>57</v>
      </c>
      <c r="K2" s="22" t="s">
        <v>58</v>
      </c>
      <c r="L2" s="23" t="s">
        <v>59</v>
      </c>
      <c r="M2" s="37" t="s">
        <v>60</v>
      </c>
      <c r="N2" s="37" t="s">
        <v>61</v>
      </c>
      <c r="O2" s="22" t="s">
        <v>62</v>
      </c>
      <c r="P2" s="24" t="s">
        <v>63</v>
      </c>
      <c r="Q2" s="24" t="s">
        <v>64</v>
      </c>
      <c r="R2" s="25" t="s">
        <v>65</v>
      </c>
      <c r="S2" s="17" t="s">
        <v>66</v>
      </c>
      <c r="T2" s="17" t="s">
        <v>67</v>
      </c>
      <c r="U2" s="24" t="s">
        <v>68</v>
      </c>
      <c r="V2" s="26" t="s">
        <v>69</v>
      </c>
      <c r="W2" s="26" t="s">
        <v>70</v>
      </c>
      <c r="X2" s="27" t="s">
        <v>71</v>
      </c>
      <c r="Y2" s="38" t="s">
        <v>72</v>
      </c>
      <c r="Z2" s="38" t="s">
        <v>73</v>
      </c>
      <c r="AA2" s="26" t="s">
        <v>74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>
        <v>1670</v>
      </c>
      <c r="F16" s="1">
        <v>2025</v>
      </c>
      <c r="G16" s="5"/>
      <c r="H16" s="5">
        <f t="shared" si="0"/>
        <v>0</v>
      </c>
      <c r="I16" s="5">
        <f t="shared" si="1"/>
        <v>1670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>
        <v>1670</v>
      </c>
      <c r="F17" s="1">
        <v>2025</v>
      </c>
      <c r="G17" s="5"/>
      <c r="H17" s="5">
        <f>IF((D17-E17)&lt;0,0,(D17-E17))</f>
        <v>0</v>
      </c>
      <c r="I17" s="5">
        <f>IF((E17-D17)&lt;0,0,(E17-D17))</f>
        <v>1670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>
        <v>1670</v>
      </c>
      <c r="F18" s="1">
        <v>2025</v>
      </c>
      <c r="G18" s="5"/>
      <c r="H18" s="5">
        <f>IF((D18-E18)&lt;0,0,(D18-E18))</f>
        <v>0</v>
      </c>
      <c r="I18" s="5">
        <f>IF((E18-D18)&lt;0,0,(E18-D18))</f>
        <v>1670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>
        <v>1521</v>
      </c>
      <c r="F26" s="1">
        <v>2025</v>
      </c>
      <c r="G26" s="5"/>
      <c r="H26" s="5">
        <f t="shared" si="0"/>
        <v>0</v>
      </c>
      <c r="I26" s="5">
        <f t="shared" si="1"/>
        <v>1521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>
        <v>1521</v>
      </c>
      <c r="F27" s="1">
        <v>2025</v>
      </c>
      <c r="G27" s="5"/>
      <c r="H27" s="5">
        <f>IF((D27-E27)&lt;0,0,(D27-E27))</f>
        <v>0</v>
      </c>
      <c r="I27" s="5">
        <f>IF((E27-D27)&lt;0,0,(E27-D27))</f>
        <v>1521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39">
        <v>1521</v>
      </c>
      <c r="F28" s="1">
        <v>2025</v>
      </c>
      <c r="G28" s="5"/>
      <c r="H28" s="5">
        <f>IF((D28-E28)&lt;0,0,(D28-E28))</f>
        <v>0</v>
      </c>
      <c r="I28" s="5">
        <f>IF((E28-D28)&lt;0,0,(E28-D28))</f>
        <v>1521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4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4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4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4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4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4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779D-A58E-450B-A153-2D852F1178C5}">
  <dimension ref="A1:AB170"/>
  <sheetViews>
    <sheetView workbookViewId="0">
      <selection activeCell="E134" sqref="E134"/>
    </sheetView>
  </sheetViews>
  <sheetFormatPr defaultRowHeight="15"/>
  <cols>
    <col min="2" max="2" width="21.7109375" customWidth="1"/>
  </cols>
  <sheetData>
    <row r="1" spans="1:28" ht="15.75">
      <c r="A1" s="28"/>
      <c r="B1" s="32"/>
      <c r="C1" s="28"/>
      <c r="D1" s="40" t="s">
        <v>21</v>
      </c>
      <c r="E1" s="40"/>
      <c r="F1" s="40"/>
      <c r="G1" s="40"/>
      <c r="H1" s="40"/>
      <c r="I1" s="40"/>
      <c r="J1" s="41" t="s">
        <v>22</v>
      </c>
      <c r="K1" s="41"/>
      <c r="L1" s="41"/>
      <c r="M1" s="41"/>
      <c r="N1" s="41"/>
      <c r="O1" s="41"/>
      <c r="P1" s="42" t="s">
        <v>23</v>
      </c>
      <c r="Q1" s="42"/>
      <c r="R1" s="42"/>
      <c r="S1" s="42"/>
      <c r="T1" s="42"/>
      <c r="U1" s="42"/>
      <c r="V1" s="43" t="s">
        <v>24</v>
      </c>
      <c r="W1" s="43"/>
      <c r="X1" s="43"/>
      <c r="Y1" s="43"/>
      <c r="Z1" s="43"/>
      <c r="AA1" s="43"/>
      <c r="AB1" s="28"/>
    </row>
    <row r="2" spans="1:28" ht="159.75" customHeight="1">
      <c r="A2" s="15" t="s">
        <v>0</v>
      </c>
      <c r="B2" s="33" t="s">
        <v>1</v>
      </c>
      <c r="C2" s="16" t="s">
        <v>2</v>
      </c>
      <c r="D2" s="20" t="s">
        <v>51</v>
      </c>
      <c r="E2" s="20" t="s">
        <v>52</v>
      </c>
      <c r="F2" s="21" t="s">
        <v>53</v>
      </c>
      <c r="G2" s="24" t="s">
        <v>54</v>
      </c>
      <c r="H2" s="17" t="s">
        <v>55</v>
      </c>
      <c r="I2" s="24" t="s">
        <v>56</v>
      </c>
      <c r="J2" s="22" t="s">
        <v>57</v>
      </c>
      <c r="K2" s="22" t="s">
        <v>58</v>
      </c>
      <c r="L2" s="23" t="s">
        <v>59</v>
      </c>
      <c r="M2" s="37" t="s">
        <v>60</v>
      </c>
      <c r="N2" s="37" t="s">
        <v>61</v>
      </c>
      <c r="O2" s="22" t="s">
        <v>62</v>
      </c>
      <c r="P2" s="24" t="s">
        <v>63</v>
      </c>
      <c r="Q2" s="24" t="s">
        <v>64</v>
      </c>
      <c r="R2" s="25" t="s">
        <v>65</v>
      </c>
      <c r="S2" s="17" t="s">
        <v>66</v>
      </c>
      <c r="T2" s="17" t="s">
        <v>67</v>
      </c>
      <c r="U2" s="24" t="s">
        <v>68</v>
      </c>
      <c r="V2" s="26" t="s">
        <v>69</v>
      </c>
      <c r="W2" s="26" t="s">
        <v>70</v>
      </c>
      <c r="X2" s="27" t="s">
        <v>71</v>
      </c>
      <c r="Y2" s="38" t="s">
        <v>72</v>
      </c>
      <c r="Z2" s="38" t="s">
        <v>73</v>
      </c>
      <c r="AA2" s="26" t="s">
        <v>74</v>
      </c>
    </row>
    <row r="3" spans="1:28" ht="49.5" customHeight="1">
      <c r="A3" s="1">
        <v>1</v>
      </c>
      <c r="B3" s="2" t="s">
        <v>8</v>
      </c>
      <c r="C3" s="1"/>
      <c r="D3" s="5">
        <f>Table145[[#This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Table145[[#This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Table145[[#This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Table145[[#This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8" ht="38.25">
      <c r="A4" s="1">
        <v>1</v>
      </c>
      <c r="B4" s="2" t="s">
        <v>10</v>
      </c>
      <c r="C4" s="1"/>
      <c r="D4" s="5">
        <f>Table145[[#This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Table145[[#This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Table145[[#This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Table145[[#This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8" ht="38.25">
      <c r="A5" s="1">
        <v>1</v>
      </c>
      <c r="B5" s="2" t="s">
        <v>11</v>
      </c>
      <c r="C5" s="1"/>
      <c r="D5" s="5">
        <f>Table145[[#This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Table145[[#This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Table145[[#This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Table145[[#This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8" ht="36" customHeight="1">
      <c r="A6" s="1">
        <v>1</v>
      </c>
      <c r="B6" s="2" t="s">
        <v>12</v>
      </c>
      <c r="C6" s="1"/>
      <c r="D6" s="5">
        <f>Table145[[#This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Table145[[#This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Table145[[#This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Table145[[#This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8" ht="39.75" customHeight="1">
      <c r="A7" s="1">
        <v>1</v>
      </c>
      <c r="B7" s="2" t="s">
        <v>13</v>
      </c>
      <c r="C7" s="1"/>
      <c r="D7" s="5">
        <f>Table145[[#This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Table145[[#This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Table145[[#This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Table145[[#This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8" ht="38.25">
      <c r="A8" s="1">
        <v>1</v>
      </c>
      <c r="B8" s="9" t="s">
        <v>15</v>
      </c>
      <c r="C8" s="1"/>
      <c r="D8" s="5">
        <f>Table145[[#This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Table145[[#This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Table145[[#This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Table145[[#This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8" ht="38.25">
      <c r="A9" s="1">
        <v>1</v>
      </c>
      <c r="B9" s="9" t="s">
        <v>16</v>
      </c>
      <c r="C9" s="1"/>
      <c r="D9" s="5">
        <f>Table145[[#This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Table145[[#This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Table145[[#This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Table145[[#This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8" ht="38.25">
      <c r="A10" s="1">
        <v>1</v>
      </c>
      <c r="B10" s="9" t="s">
        <v>50</v>
      </c>
      <c r="C10" s="1"/>
      <c r="D10" s="5">
        <f>Table145[[#This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Table145[[#This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Table145[[#This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Table145[[#This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54.75" customHeight="1">
      <c r="A12" s="1">
        <v>2</v>
      </c>
      <c r="B12" s="2" t="s">
        <v>8</v>
      </c>
      <c r="C12" s="1"/>
      <c r="D12" s="5">
        <f>Table145[[#This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Table145[[#This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Table145[[#This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Table145[[#This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8" ht="38.25">
      <c r="A13" s="1">
        <v>2</v>
      </c>
      <c r="B13" s="2" t="s">
        <v>10</v>
      </c>
      <c r="C13" s="1"/>
      <c r="D13" s="5">
        <f>Table145[[#This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Table145[[#This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Table145[[#This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Table145[[#This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8" ht="38.25">
      <c r="A14" s="1">
        <v>2</v>
      </c>
      <c r="B14" s="2" t="s">
        <v>11</v>
      </c>
      <c r="C14" s="1"/>
      <c r="D14" s="5">
        <f>Table145[[#This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Table145[[#This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Table145[[#This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Table145[[#This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8" ht="36.75" customHeight="1">
      <c r="A15" s="1">
        <v>2</v>
      </c>
      <c r="B15" s="2" t="s">
        <v>12</v>
      </c>
      <c r="C15" s="1"/>
      <c r="D15" s="5">
        <f>Table145[[#This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Table145[[#This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Table145[[#This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Table145[[#This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8" ht="30" customHeight="1">
      <c r="A16" s="1">
        <v>2</v>
      </c>
      <c r="B16" s="2" t="s">
        <v>13</v>
      </c>
      <c r="C16" s="1"/>
      <c r="D16" s="5">
        <f>Table145[[#This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Table145[[#This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Table145[[#This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Table145[[#This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8" ht="38.25">
      <c r="A17" s="1">
        <v>2</v>
      </c>
      <c r="B17" s="9" t="s">
        <v>16</v>
      </c>
      <c r="C17" s="1"/>
      <c r="D17" s="5">
        <f>Table145[[#This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Table145[[#This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Table145[[#This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Table145[[#This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8" ht="38.25">
      <c r="A18" s="1">
        <v>2</v>
      </c>
      <c r="B18" s="9" t="s">
        <v>15</v>
      </c>
      <c r="C18" s="1"/>
      <c r="D18" s="5">
        <f>Table145[[#This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Table145[[#This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Table145[[#This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Table145[[#This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8" ht="38.25">
      <c r="A19" s="1">
        <v>2</v>
      </c>
      <c r="B19" s="9" t="s">
        <v>50</v>
      </c>
      <c r="C19" s="1"/>
      <c r="D19" s="5">
        <f>Table145[[#This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Table145[[#This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Table145[[#This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Table145[[#This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60.75" customHeight="1">
      <c r="A21" s="1">
        <v>3</v>
      </c>
      <c r="B21" s="2" t="s">
        <v>8</v>
      </c>
      <c r="C21" s="1"/>
      <c r="D21" s="5">
        <f>Table145[[#This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Table145[[#This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Table145[[#This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Table145[[#This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8" ht="38.25">
      <c r="A22" s="1">
        <v>3</v>
      </c>
      <c r="B22" s="2" t="s">
        <v>10</v>
      </c>
      <c r="C22" s="1"/>
      <c r="D22" s="5">
        <f>Table145[[#This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Table145[[#This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Table145[[#This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Table145[[#This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8" ht="38.25">
      <c r="A23" s="1">
        <v>3</v>
      </c>
      <c r="B23" s="2" t="s">
        <v>11</v>
      </c>
      <c r="C23" s="1"/>
      <c r="D23" s="5">
        <f>Table145[[#This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Table145[[#This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Table145[[#This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Table145[[#This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8" ht="38.25">
      <c r="A24" s="1">
        <v>3</v>
      </c>
      <c r="B24" s="2" t="s">
        <v>14</v>
      </c>
      <c r="C24" s="1"/>
      <c r="D24" s="5">
        <f>Table145[[#This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Table145[[#This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Table145[[#This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Table145[[#This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8" ht="35.25" customHeight="1">
      <c r="A25" s="1">
        <v>3</v>
      </c>
      <c r="B25" s="2" t="s">
        <v>12</v>
      </c>
      <c r="C25" s="1"/>
      <c r="D25" s="5">
        <f>Table145[[#This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Table145[[#This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Table145[[#This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Table145[[#This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8" ht="33.75" customHeight="1">
      <c r="A26" s="1">
        <v>3</v>
      </c>
      <c r="B26" s="2" t="s">
        <v>13</v>
      </c>
      <c r="C26" s="1"/>
      <c r="D26" s="5">
        <f>Table145[[#This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Table145[[#This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Table145[[#This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Table145[[#This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8" ht="38.25">
      <c r="A27" s="1">
        <v>3</v>
      </c>
      <c r="B27" s="9" t="s">
        <v>15</v>
      </c>
      <c r="C27" s="1"/>
      <c r="D27" s="5">
        <f>Table145[[#This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Table145[[#This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Table145[[#This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Table145[[#This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8" ht="38.25">
      <c r="A28" s="1">
        <v>3</v>
      </c>
      <c r="B28" s="9" t="s">
        <v>16</v>
      </c>
      <c r="C28" s="1"/>
      <c r="D28" s="5">
        <f>Table145[[#This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Table145[[#This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Table145[[#This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Table145[[#This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8" ht="38.25">
      <c r="A29" s="1">
        <v>3</v>
      </c>
      <c r="B29" s="9" t="s">
        <v>50</v>
      </c>
      <c r="C29" s="1"/>
      <c r="D29" s="5">
        <f>Table145[[#This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Table145[[#This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Table145[[#This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Table145[[#This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38.25">
      <c r="A31" s="1">
        <v>4</v>
      </c>
      <c r="B31" s="9" t="s">
        <v>15</v>
      </c>
      <c r="C31" s="1"/>
      <c r="D31" s="5">
        <f>Table145[[#This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Table145[[#This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Table145[[#This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Table145[[#This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8" ht="38.25">
      <c r="A32" s="1">
        <v>4</v>
      </c>
      <c r="B32" s="9" t="s">
        <v>16</v>
      </c>
      <c r="C32" s="1"/>
      <c r="D32" s="5">
        <f>Table145[[#This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Table145[[#This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Table145[[#This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Table145[[#This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8" ht="19.5">
      <c r="A33" s="1">
        <v>4</v>
      </c>
      <c r="B33" s="9" t="s">
        <v>13</v>
      </c>
      <c r="C33" s="1"/>
      <c r="D33" s="5">
        <f>Table145[[#This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Table145[[#This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Table145[[#This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Table145[[#This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8" ht="38.25">
      <c r="A34" s="1">
        <v>4</v>
      </c>
      <c r="B34" s="9" t="s">
        <v>11</v>
      </c>
      <c r="C34" s="1"/>
      <c r="D34" s="5">
        <f>Table145[[#This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Table145[[#This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Table145[[#This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Table145[[#This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8" ht="43.5" customHeight="1">
      <c r="A35" s="1">
        <v>4</v>
      </c>
      <c r="B35" s="9" t="s">
        <v>17</v>
      </c>
      <c r="C35" s="1"/>
      <c r="D35" s="5">
        <f>Table145[[#This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Table145[[#This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Table145[[#This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Table145[[#This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8" ht="38.25">
      <c r="A36" s="1">
        <v>4</v>
      </c>
      <c r="B36" s="9" t="s">
        <v>14</v>
      </c>
      <c r="C36" s="1"/>
      <c r="D36" s="5">
        <f>Table145[[#This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Table145[[#This Row],[Enrolment S.Y. 2025-2026 ]]*8</f>
        <v>0</v>
      </c>
      <c r="K36" s="5"/>
      <c r="L36" s="1"/>
      <c r="M36" s="5"/>
      <c r="N36" s="5">
        <f t="shared" si="2"/>
        <v>0</v>
      </c>
      <c r="O36" s="5">
        <f t="shared" si="3"/>
        <v>0</v>
      </c>
      <c r="P36" s="5">
        <f>Table145[[#This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Table145[[#This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8" ht="33" customHeight="1">
      <c r="A37" s="34">
        <v>4</v>
      </c>
      <c r="B37" s="9" t="s">
        <v>75</v>
      </c>
      <c r="C37" s="5"/>
      <c r="D37" s="5">
        <f>Table145[[#This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Table145[[#This Row],[Enrolment S.Y. 2025-2026 ]]*8</f>
        <v>0</v>
      </c>
      <c r="K37" s="5"/>
      <c r="L37" s="1"/>
      <c r="M37" s="5"/>
      <c r="N37" s="5">
        <f t="shared" si="2"/>
        <v>0</v>
      </c>
      <c r="O37" s="5">
        <f t="shared" si="3"/>
        <v>0</v>
      </c>
      <c r="P37" s="5">
        <f>Table145[[#This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Table145[[#This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8" ht="38.25">
      <c r="A38" s="1">
        <v>4</v>
      </c>
      <c r="B38" s="9" t="s">
        <v>76</v>
      </c>
      <c r="C38" s="1"/>
      <c r="D38" s="5">
        <f>Table145[[#This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Table145[[#This Row],[Enrolment S.Y. 2025-2026 ]]*8</f>
        <v>0</v>
      </c>
      <c r="K38" s="5"/>
      <c r="L38" s="1"/>
      <c r="M38" s="5"/>
      <c r="N38" s="5">
        <f t="shared" si="2"/>
        <v>0</v>
      </c>
      <c r="O38" s="5">
        <f t="shared" si="3"/>
        <v>0</v>
      </c>
      <c r="P38" s="5">
        <f>Table145[[#This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Table145[[#This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8" ht="38.25">
      <c r="A39" s="1">
        <v>4</v>
      </c>
      <c r="B39" s="9" t="s">
        <v>19</v>
      </c>
      <c r="C39" s="1"/>
      <c r="D39" s="5">
        <f>Table145[[#This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Table145[[#This Row],[Enrolment S.Y. 2025-2026 ]]*8</f>
        <v>0</v>
      </c>
      <c r="K39" s="5"/>
      <c r="L39" s="1"/>
      <c r="M39" s="5"/>
      <c r="N39" s="5">
        <f t="shared" si="2"/>
        <v>0</v>
      </c>
      <c r="O39" s="5">
        <f t="shared" si="3"/>
        <v>0</v>
      </c>
      <c r="P39" s="5">
        <f>Table145[[#This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Table145[[#This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8" ht="38.25">
      <c r="A40" s="34">
        <v>4</v>
      </c>
      <c r="B40" s="9" t="s">
        <v>77</v>
      </c>
      <c r="C40" s="5"/>
      <c r="D40" s="5">
        <f>Table145[[#This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Table145[[#This Row],[Enrolment S.Y. 2025-2026 ]]*8</f>
        <v>0</v>
      </c>
      <c r="K40" s="5"/>
      <c r="L40" s="1"/>
      <c r="M40" s="5"/>
      <c r="N40" s="5">
        <f t="shared" si="2"/>
        <v>0</v>
      </c>
      <c r="O40" s="5">
        <f t="shared" si="3"/>
        <v>0</v>
      </c>
      <c r="P40" s="5">
        <f>Table145[[#This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Table145[[#This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8" ht="31.5" customHeight="1">
      <c r="A41" s="1">
        <v>4</v>
      </c>
      <c r="B41" s="9" t="s">
        <v>78</v>
      </c>
      <c r="C41" s="1"/>
      <c r="D41" s="5">
        <f>Table145[[#This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Table145[[#This Row],[Enrolment S.Y. 2025-2026 ]]*8</f>
        <v>0</v>
      </c>
      <c r="K41" s="5"/>
      <c r="L41" s="1"/>
      <c r="M41" s="5"/>
      <c r="N41" s="5">
        <f t="shared" si="2"/>
        <v>0</v>
      </c>
      <c r="O41" s="5">
        <f t="shared" si="3"/>
        <v>0</v>
      </c>
      <c r="P41" s="5">
        <f>Table145[[#This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Table145[[#This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38.25">
      <c r="A43" s="1">
        <v>5</v>
      </c>
      <c r="B43" s="9" t="s">
        <v>15</v>
      </c>
      <c r="C43" s="1"/>
      <c r="D43" s="5">
        <f>Table145[[#This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Table145[[#This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Table145[[#This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Table145[[#This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8" ht="38.25">
      <c r="A44" s="1">
        <v>5</v>
      </c>
      <c r="B44" s="9" t="s">
        <v>16</v>
      </c>
      <c r="C44" s="1"/>
      <c r="D44" s="5">
        <f>Table145[[#This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Table145[[#This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Table145[[#This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Table145[[#This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8" ht="37.5" customHeight="1">
      <c r="A45" s="1">
        <v>5</v>
      </c>
      <c r="B45" s="9" t="s">
        <v>13</v>
      </c>
      <c r="C45" s="1"/>
      <c r="D45" s="5">
        <f>Table145[[#This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Table145[[#This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Table145[[#This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Table145[[#This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8" ht="38.25">
      <c r="A46" s="1">
        <v>5</v>
      </c>
      <c r="B46" s="9" t="s">
        <v>11</v>
      </c>
      <c r="C46" s="1"/>
      <c r="D46" s="5">
        <f>Table145[[#This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Table145[[#This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Table145[[#This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Table145[[#This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8" ht="48" customHeight="1">
      <c r="A47" s="1">
        <v>5</v>
      </c>
      <c r="B47" s="9" t="s">
        <v>17</v>
      </c>
      <c r="C47" s="1"/>
      <c r="D47" s="5">
        <f>Table145[[#This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Table145[[#This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Table145[[#This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Table145[[#This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8" ht="38.25">
      <c r="A48" s="1">
        <v>5</v>
      </c>
      <c r="B48" s="9" t="s">
        <v>14</v>
      </c>
      <c r="C48" s="1"/>
      <c r="D48" s="5">
        <f>Table145[[#This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Table145[[#This Row],[Enrolment S.Y. 2025-2026 ]]*8</f>
        <v>0</v>
      </c>
      <c r="K48" s="5"/>
      <c r="L48" s="1"/>
      <c r="M48" s="5"/>
      <c r="N48" s="5">
        <f t="shared" si="2"/>
        <v>0</v>
      </c>
      <c r="O48" s="5">
        <f t="shared" si="3"/>
        <v>0</v>
      </c>
      <c r="P48" s="5">
        <f>Table145[[#This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Table145[[#This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8" ht="29.25" customHeight="1">
      <c r="A49" s="34">
        <v>5</v>
      </c>
      <c r="B49" s="9" t="s">
        <v>75</v>
      </c>
      <c r="C49" s="5"/>
      <c r="D49" s="5">
        <f>Table145[[#This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Table145[[#This Row],[Enrolment S.Y. 2025-2026 ]]*8</f>
        <v>0</v>
      </c>
      <c r="K49" s="5"/>
      <c r="L49" s="1"/>
      <c r="M49" s="5"/>
      <c r="N49" s="5">
        <f t="shared" si="2"/>
        <v>0</v>
      </c>
      <c r="O49" s="5">
        <f t="shared" si="3"/>
        <v>0</v>
      </c>
      <c r="P49" s="5">
        <f>Table145[[#This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Table145[[#This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8" ht="38.25">
      <c r="A50" s="1">
        <v>5</v>
      </c>
      <c r="B50" s="9" t="s">
        <v>76</v>
      </c>
      <c r="C50" s="1"/>
      <c r="D50" s="5">
        <f>Table145[[#This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Table145[[#This Row],[Enrolment S.Y. 2025-2026 ]]*8</f>
        <v>0</v>
      </c>
      <c r="K50" s="5"/>
      <c r="L50" s="1"/>
      <c r="M50" s="5"/>
      <c r="N50" s="5">
        <f t="shared" si="2"/>
        <v>0</v>
      </c>
      <c r="O50" s="5">
        <f t="shared" si="3"/>
        <v>0</v>
      </c>
      <c r="P50" s="5">
        <f>Table145[[#This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Table145[[#This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8" ht="38.25">
      <c r="A51" s="1">
        <v>5</v>
      </c>
      <c r="B51" s="9" t="s">
        <v>19</v>
      </c>
      <c r="C51" s="1"/>
      <c r="D51" s="5">
        <f>Table145[[#This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Table145[[#This Row],[Enrolment S.Y. 2025-2026 ]]*8</f>
        <v>0</v>
      </c>
      <c r="K51" s="5"/>
      <c r="L51" s="1"/>
      <c r="M51" s="5"/>
      <c r="N51" s="5">
        <f t="shared" si="2"/>
        <v>0</v>
      </c>
      <c r="O51" s="5">
        <f t="shared" si="3"/>
        <v>0</v>
      </c>
      <c r="P51" s="5">
        <f>Table145[[#This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Table145[[#This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8" ht="38.25">
      <c r="A52" s="34">
        <v>5</v>
      </c>
      <c r="B52" s="9" t="s">
        <v>77</v>
      </c>
      <c r="C52" s="5"/>
      <c r="D52" s="5">
        <f>Table145[[#This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Table145[[#This Row],[Enrolment S.Y. 2025-2026 ]]*8</f>
        <v>0</v>
      </c>
      <c r="K52" s="5"/>
      <c r="L52" s="1"/>
      <c r="M52" s="5"/>
      <c r="N52" s="5">
        <f t="shared" si="2"/>
        <v>0</v>
      </c>
      <c r="O52" s="5">
        <f t="shared" si="3"/>
        <v>0</v>
      </c>
      <c r="P52" s="5">
        <f>Table145[[#This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Table145[[#This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8" ht="19.5">
      <c r="A53" s="1">
        <v>5</v>
      </c>
      <c r="B53" s="9" t="s">
        <v>78</v>
      </c>
      <c r="C53" s="1"/>
      <c r="D53" s="5">
        <f>Table145[[#This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Table145[[#This Row],[Enrolment S.Y. 2025-2026 ]]*8</f>
        <v>0</v>
      </c>
      <c r="K53" s="5"/>
      <c r="L53" s="1"/>
      <c r="M53" s="5"/>
      <c r="N53" s="5">
        <f t="shared" si="2"/>
        <v>0</v>
      </c>
      <c r="O53" s="5">
        <f t="shared" si="3"/>
        <v>0</v>
      </c>
      <c r="P53" s="5">
        <f>Table145[[#This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Table145[[#This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38.25">
      <c r="A55" s="1">
        <v>6</v>
      </c>
      <c r="B55" s="9" t="s">
        <v>15</v>
      </c>
      <c r="C55" s="1"/>
      <c r="D55" s="5">
        <f>Table145[[#This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Table145[[#This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Table145[[#This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Table145[[#This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8" ht="38.25">
      <c r="A56" s="1">
        <v>6</v>
      </c>
      <c r="B56" s="9" t="s">
        <v>16</v>
      </c>
      <c r="C56" s="1"/>
      <c r="D56" s="5">
        <f>Table145[[#This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Table145[[#This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Table145[[#This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Table145[[#This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8" ht="19.5">
      <c r="A57" s="1">
        <v>6</v>
      </c>
      <c r="B57" s="9" t="s">
        <v>13</v>
      </c>
      <c r="C57" s="1"/>
      <c r="D57" s="5">
        <f>Table145[[#This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Table145[[#This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Table145[[#This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Table145[[#This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8" ht="38.25">
      <c r="A58" s="1">
        <v>6</v>
      </c>
      <c r="B58" s="9" t="s">
        <v>11</v>
      </c>
      <c r="C58" s="1"/>
      <c r="D58" s="5">
        <f>Table145[[#This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Table145[[#This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Table145[[#This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Table145[[#This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8" ht="48" customHeight="1">
      <c r="A59" s="1">
        <v>6</v>
      </c>
      <c r="B59" s="9" t="s">
        <v>17</v>
      </c>
      <c r="C59" s="1"/>
      <c r="D59" s="5">
        <f>Table145[[#This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Table145[[#This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Table145[[#This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Table145[[#This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8" ht="38.25">
      <c r="A60" s="1">
        <v>6</v>
      </c>
      <c r="B60" s="9" t="s">
        <v>14</v>
      </c>
      <c r="C60" s="1"/>
      <c r="D60" s="5">
        <f>Table145[[#This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Table145[[#This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Table145[[#This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Table145[[#This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8" ht="30" customHeight="1">
      <c r="A61" s="34">
        <v>6</v>
      </c>
      <c r="B61" s="9" t="s">
        <v>75</v>
      </c>
      <c r="C61" s="5"/>
      <c r="D61" s="5">
        <f>Table145[[#This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Table145[[#This Row],[Enrolment S.Y. 2025-2026 ]]*8</f>
        <v>0</v>
      </c>
      <c r="K61" s="5"/>
      <c r="L61" s="1"/>
      <c r="M61" s="5"/>
      <c r="N61" s="5">
        <f t="shared" si="2"/>
        <v>0</v>
      </c>
      <c r="O61" s="5">
        <f t="shared" si="3"/>
        <v>0</v>
      </c>
      <c r="P61" s="5">
        <f>Table145[[#This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Table145[[#This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8" ht="38.25">
      <c r="A62" s="1">
        <v>6</v>
      </c>
      <c r="B62" s="9" t="s">
        <v>76</v>
      </c>
      <c r="C62" s="1"/>
      <c r="D62" s="5">
        <f>Table145[[#This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Table145[[#This Row],[Enrolment S.Y. 2025-2026 ]]*8</f>
        <v>0</v>
      </c>
      <c r="K62" s="5"/>
      <c r="L62" s="1"/>
      <c r="M62" s="5"/>
      <c r="N62" s="5">
        <f t="shared" si="2"/>
        <v>0</v>
      </c>
      <c r="O62" s="5">
        <f t="shared" si="3"/>
        <v>0</v>
      </c>
      <c r="P62" s="5">
        <f>Table145[[#This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Table145[[#This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8" ht="38.25">
      <c r="A63" s="1">
        <v>6</v>
      </c>
      <c r="B63" s="9" t="s">
        <v>19</v>
      </c>
      <c r="C63" s="1"/>
      <c r="D63" s="5">
        <f>Table145[[#This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Table145[[#This Row],[Enrolment S.Y. 2025-2026 ]]*8</f>
        <v>0</v>
      </c>
      <c r="K63" s="5"/>
      <c r="L63" s="1"/>
      <c r="M63" s="5"/>
      <c r="N63" s="5">
        <f t="shared" si="2"/>
        <v>0</v>
      </c>
      <c r="O63" s="5">
        <f t="shared" si="3"/>
        <v>0</v>
      </c>
      <c r="P63" s="5">
        <f>Table145[[#This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Table145[[#This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8" ht="38.25">
      <c r="A64" s="34">
        <v>6</v>
      </c>
      <c r="B64" s="9" t="s">
        <v>77</v>
      </c>
      <c r="C64" s="5"/>
      <c r="D64" s="5">
        <f>Table145[[#This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Table145[[#This Row],[Enrolment S.Y. 2025-2026 ]]*8</f>
        <v>0</v>
      </c>
      <c r="K64" s="5"/>
      <c r="L64" s="1"/>
      <c r="M64" s="5"/>
      <c r="N64" s="5">
        <f t="shared" si="2"/>
        <v>0</v>
      </c>
      <c r="O64" s="5">
        <f t="shared" si="3"/>
        <v>0</v>
      </c>
      <c r="P64" s="5">
        <f>Table145[[#This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Table145[[#This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8" ht="19.5">
      <c r="A65" s="1">
        <v>6</v>
      </c>
      <c r="B65" s="9" t="s">
        <v>78</v>
      </c>
      <c r="C65" s="1"/>
      <c r="D65" s="5">
        <f>Table145[[#This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Table145[[#This Row],[Enrolment S.Y. 2025-2026 ]]*8</f>
        <v>0</v>
      </c>
      <c r="K65" s="5"/>
      <c r="L65" s="1"/>
      <c r="M65" s="5"/>
      <c r="N65" s="5">
        <f t="shared" si="2"/>
        <v>0</v>
      </c>
      <c r="O65" s="5">
        <f t="shared" si="3"/>
        <v>0</v>
      </c>
      <c r="P65" s="5">
        <f>Table145[[#This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Table145[[#This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38.25">
      <c r="A67" s="10">
        <v>7</v>
      </c>
      <c r="B67" s="11" t="s">
        <v>15</v>
      </c>
      <c r="C67" s="10"/>
      <c r="D67" s="12">
        <f>Table145[[#This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Table145[[#This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Table145[[#This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Table145[[#This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8" ht="38.25">
      <c r="A68" s="10">
        <v>7</v>
      </c>
      <c r="B68" s="11" t="s">
        <v>16</v>
      </c>
      <c r="C68" s="10"/>
      <c r="D68" s="12">
        <f>Table145[[#This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Table145[[#This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Table145[[#This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Table145[[#This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8" ht="19.5">
      <c r="A69" s="10">
        <v>7</v>
      </c>
      <c r="B69" s="11" t="s">
        <v>13</v>
      </c>
      <c r="C69" s="10"/>
      <c r="D69" s="12">
        <f>Table145[[#This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Table145[[#This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Table145[[#This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Table145[[#This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8" ht="19.5">
      <c r="A70" s="10">
        <v>7</v>
      </c>
      <c r="B70" s="11" t="s">
        <v>79</v>
      </c>
      <c r="C70" s="10"/>
      <c r="D70" s="12">
        <f>Table145[[#This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Table145[[#This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Table145[[#This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Table145[[#This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8" ht="39.75" customHeight="1">
      <c r="A71" s="10">
        <v>7</v>
      </c>
      <c r="B71" s="11" t="s">
        <v>17</v>
      </c>
      <c r="C71" s="10"/>
      <c r="D71" s="12">
        <f>Table145[[#This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Table145[[#This Row],[Enrolment S.Y. 2025-2026 ]]*8</f>
        <v>0</v>
      </c>
      <c r="K71" s="12"/>
      <c r="L71" s="10"/>
      <c r="M71" s="12"/>
      <c r="N71" s="12">
        <f t="shared" si="2"/>
        <v>0</v>
      </c>
      <c r="O71" s="12">
        <f t="shared" si="3"/>
        <v>0</v>
      </c>
      <c r="P71" s="12">
        <f>Table145[[#This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Table145[[#This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8" ht="38.25">
      <c r="A72" s="10">
        <v>7</v>
      </c>
      <c r="B72" s="11" t="s">
        <v>14</v>
      </c>
      <c r="C72" s="10"/>
      <c r="D72" s="12">
        <f>Table145[[#This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Table145[[#This Row],[Enrolment S.Y. 2025-2026 ]]*8</f>
        <v>0</v>
      </c>
      <c r="K72" s="12"/>
      <c r="L72" s="10"/>
      <c r="M72" s="12"/>
      <c r="N72" s="12">
        <f t="shared" si="2"/>
        <v>0</v>
      </c>
      <c r="O72" s="12">
        <f t="shared" si="3"/>
        <v>0</v>
      </c>
      <c r="P72" s="12">
        <f>Table145[[#This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Table145[[#This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8" ht="19.5">
      <c r="A73" s="35">
        <v>7</v>
      </c>
      <c r="B73" s="11" t="s">
        <v>75</v>
      </c>
      <c r="C73" s="12"/>
      <c r="D73" s="12">
        <f>Table145[[#This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Table145[[#This Row],[Enrolment S.Y. 2025-2026 ]]*8</f>
        <v>0</v>
      </c>
      <c r="K73" s="12"/>
      <c r="L73" s="10"/>
      <c r="M73" s="12"/>
      <c r="N73" s="12">
        <f t="shared" ref="N73:N79" si="8">IF((J73-K73)&lt;0,0,(J73-K73))</f>
        <v>0</v>
      </c>
      <c r="O73" s="12">
        <f t="shared" ref="O73:O79" si="9">IF((K73-J73)&lt;0,0,(K73-J73))</f>
        <v>0</v>
      </c>
      <c r="P73" s="12">
        <f>Table145[[#This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Table145[[#This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8" ht="38.25">
      <c r="A74" s="10">
        <v>7</v>
      </c>
      <c r="B74" s="11" t="s">
        <v>76</v>
      </c>
      <c r="C74" s="10"/>
      <c r="D74" s="12">
        <f>Table145[[#This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Table145[[#This Row],[Enrolment S.Y. 2025-2026 ]]*8</f>
        <v>0</v>
      </c>
      <c r="K74" s="12"/>
      <c r="L74" s="10"/>
      <c r="M74" s="12"/>
      <c r="N74" s="12">
        <f t="shared" si="8"/>
        <v>0</v>
      </c>
      <c r="O74" s="12">
        <f t="shared" si="9"/>
        <v>0</v>
      </c>
      <c r="P74" s="12">
        <f>Table145[[#This Row],[Enrolment S.Y. 2025-2026 ]]*8</f>
        <v>0</v>
      </c>
      <c r="Q74" s="12"/>
      <c r="R74" s="10"/>
      <c r="S74" s="12"/>
      <c r="T74" s="12">
        <f t="shared" ref="T74:T122" si="10">IF((P74-Q74)&lt;0,0,(P74-Q74))</f>
        <v>0</v>
      </c>
      <c r="U74" s="12">
        <f t="shared" ref="U74:U122" si="11">IF((Q74-P74)&lt;0,0,(Q74-P74))</f>
        <v>0</v>
      </c>
      <c r="V74" s="12">
        <f>Table145[[#This Row],[Enrolment S.Y. 2025-2026 ]]*8</f>
        <v>0</v>
      </c>
      <c r="W74" s="12"/>
      <c r="X74" s="10"/>
      <c r="Y74" s="12"/>
      <c r="Z74" s="12">
        <f t="shared" ref="Z74:Z122" si="12">IF((V74-W74)&lt;0,0,(V74-W74))</f>
        <v>0</v>
      </c>
      <c r="AA74" s="12">
        <f t="shared" ref="AA74:AA122" si="13">IF((W74-V74)&lt;0,0,(W74-V74))</f>
        <v>0</v>
      </c>
    </row>
    <row r="75" spans="1:28" ht="19.5">
      <c r="A75" s="10">
        <v>7</v>
      </c>
      <c r="B75" s="11" t="s">
        <v>80</v>
      </c>
      <c r="C75" s="10"/>
      <c r="D75" s="12">
        <f>Table145[[#This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Table145[[#This Row],[Enrolment S.Y. 2025-2026 ]]*8</f>
        <v>0</v>
      </c>
      <c r="K75" s="12"/>
      <c r="L75" s="10"/>
      <c r="M75" s="12"/>
      <c r="N75" s="12">
        <f t="shared" si="8"/>
        <v>0</v>
      </c>
      <c r="O75" s="12">
        <f t="shared" si="9"/>
        <v>0</v>
      </c>
      <c r="P75" s="12">
        <f>Table145[[#This Row],[Enrolment S.Y. 2025-2026 ]]*8</f>
        <v>0</v>
      </c>
      <c r="Q75" s="12"/>
      <c r="R75" s="10"/>
      <c r="S75" s="12"/>
      <c r="T75" s="12">
        <f t="shared" si="10"/>
        <v>0</v>
      </c>
      <c r="U75" s="12">
        <f t="shared" si="11"/>
        <v>0</v>
      </c>
      <c r="V75" s="12">
        <f>Table145[[#This Row],[Enrolment S.Y. 2025-2026 ]]*8</f>
        <v>0</v>
      </c>
      <c r="W75" s="12"/>
      <c r="X75" s="10"/>
      <c r="Y75" s="12"/>
      <c r="Z75" s="12">
        <f t="shared" si="12"/>
        <v>0</v>
      </c>
      <c r="AA75" s="12">
        <f t="shared" si="13"/>
        <v>0</v>
      </c>
    </row>
    <row r="76" spans="1:28" ht="38.25">
      <c r="A76" s="35">
        <v>7</v>
      </c>
      <c r="B76" s="11" t="s">
        <v>77</v>
      </c>
      <c r="C76" s="12"/>
      <c r="D76" s="12">
        <f>Table145[[#This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Table145[[#This Row],[Enrolment S.Y. 2025-2026 ]]*8</f>
        <v>0</v>
      </c>
      <c r="K76" s="12"/>
      <c r="L76" s="10"/>
      <c r="M76" s="12"/>
      <c r="N76" s="12">
        <f t="shared" si="8"/>
        <v>0</v>
      </c>
      <c r="O76" s="12">
        <f t="shared" si="9"/>
        <v>0</v>
      </c>
      <c r="P76" s="12">
        <f>Table145[[#This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Table145[[#This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8" ht="19.5">
      <c r="A77" s="10">
        <v>7</v>
      </c>
      <c r="B77" s="11" t="s">
        <v>78</v>
      </c>
      <c r="C77" s="10"/>
      <c r="D77" s="12">
        <f>Table145[[#This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Table145[[#This Row],[Enrolment S.Y. 2025-2026 ]]*8</f>
        <v>0</v>
      </c>
      <c r="K77" s="12"/>
      <c r="L77" s="10"/>
      <c r="M77" s="12"/>
      <c r="N77" s="12">
        <f t="shared" si="8"/>
        <v>0</v>
      </c>
      <c r="O77" s="12">
        <f t="shared" si="9"/>
        <v>0</v>
      </c>
      <c r="P77" s="12">
        <f>Table145[[#This Row],[Enrolment S.Y. 2025-2026 ]]*8</f>
        <v>0</v>
      </c>
      <c r="Q77" s="12"/>
      <c r="R77" s="10"/>
      <c r="S77" s="12"/>
      <c r="T77" s="12">
        <f t="shared" si="10"/>
        <v>0</v>
      </c>
      <c r="U77" s="12">
        <f t="shared" si="11"/>
        <v>0</v>
      </c>
      <c r="V77" s="12">
        <f>Table145[[#This Row],[Enrolment S.Y. 2025-2026 ]]*8</f>
        <v>0</v>
      </c>
      <c r="W77" s="12"/>
      <c r="X77" s="10"/>
      <c r="Y77" s="12"/>
      <c r="Z77" s="12">
        <f t="shared" si="12"/>
        <v>0</v>
      </c>
      <c r="AA77" s="12">
        <f t="shared" si="13"/>
        <v>0</v>
      </c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38.25">
      <c r="A79" s="10">
        <v>8</v>
      </c>
      <c r="B79" s="11" t="s">
        <v>15</v>
      </c>
      <c r="C79" s="10"/>
      <c r="D79" s="12">
        <f>Table145[[#This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Table145[[#This Row],[Enrolment S.Y. 2025-2026 ]]*8</f>
        <v>0</v>
      </c>
      <c r="K79" s="12"/>
      <c r="L79" s="10"/>
      <c r="M79" s="12"/>
      <c r="N79" s="12">
        <f t="shared" ref="N79:N127" si="14">IF((J79-K79)&lt;0,0,(J79-K79))</f>
        <v>0</v>
      </c>
      <c r="O79" s="12">
        <f t="shared" ref="O79:O127" si="15">IF((K79-J79)&lt;0,0,(K79-J79))</f>
        <v>0</v>
      </c>
      <c r="P79" s="12">
        <f>Table145[[#This Row],[Enrolment S.Y. 2025-2026 ]]*8</f>
        <v>0</v>
      </c>
      <c r="Q79" s="12"/>
      <c r="R79" s="10"/>
      <c r="S79" s="12"/>
      <c r="T79" s="12">
        <f t="shared" si="10"/>
        <v>0</v>
      </c>
      <c r="U79" s="12">
        <f t="shared" si="11"/>
        <v>0</v>
      </c>
      <c r="V79" s="12">
        <f>Table145[[#This Row],[Enrolment S.Y. 2025-2026 ]]*8</f>
        <v>0</v>
      </c>
      <c r="W79" s="12"/>
      <c r="X79" s="10"/>
      <c r="Y79" s="12"/>
      <c r="Z79" s="12">
        <f t="shared" si="12"/>
        <v>0</v>
      </c>
      <c r="AA79" s="12">
        <f t="shared" si="13"/>
        <v>0</v>
      </c>
    </row>
    <row r="80" spans="1:28" ht="38.25">
      <c r="A80" s="10">
        <v>8</v>
      </c>
      <c r="B80" s="11" t="s">
        <v>16</v>
      </c>
      <c r="C80" s="10"/>
      <c r="D80" s="12">
        <f>Table145[[#This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Table145[[#This Row],[Enrolment S.Y. 2025-2026 ]]*8</f>
        <v>0</v>
      </c>
      <c r="K80" s="12"/>
      <c r="L80" s="10"/>
      <c r="M80" s="12"/>
      <c r="N80" s="12">
        <f t="shared" si="14"/>
        <v>0</v>
      </c>
      <c r="O80" s="12">
        <f t="shared" si="15"/>
        <v>0</v>
      </c>
      <c r="P80" s="12">
        <f>Table145[[#This Row],[Enrolment S.Y. 2025-2026 ]]*8</f>
        <v>0</v>
      </c>
      <c r="Q80" s="12"/>
      <c r="R80" s="10"/>
      <c r="S80" s="12"/>
      <c r="T80" s="12">
        <f t="shared" si="10"/>
        <v>0</v>
      </c>
      <c r="U80" s="12">
        <f t="shared" si="11"/>
        <v>0</v>
      </c>
      <c r="V80" s="12">
        <f>Table145[[#This Row],[Enrolment S.Y. 2025-2026 ]]*8</f>
        <v>0</v>
      </c>
      <c r="W80" s="12"/>
      <c r="X80" s="10"/>
      <c r="Y80" s="12"/>
      <c r="Z80" s="12">
        <f t="shared" si="12"/>
        <v>0</v>
      </c>
      <c r="AA80" s="12">
        <f t="shared" si="13"/>
        <v>0</v>
      </c>
    </row>
    <row r="81" spans="1:28" ht="25.5" customHeight="1">
      <c r="A81" s="10">
        <v>8</v>
      </c>
      <c r="B81" s="11" t="s">
        <v>13</v>
      </c>
      <c r="C81" s="10"/>
      <c r="D81" s="12">
        <f>Table145[[#This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Table145[[#This Row],[Enrolment S.Y. 2025-2026 ]]*8</f>
        <v>0</v>
      </c>
      <c r="K81" s="12"/>
      <c r="L81" s="10"/>
      <c r="M81" s="12"/>
      <c r="N81" s="12">
        <f t="shared" si="14"/>
        <v>0</v>
      </c>
      <c r="O81" s="12">
        <f t="shared" si="15"/>
        <v>0</v>
      </c>
      <c r="P81" s="12">
        <f>Table145[[#This Row],[Enrolment S.Y. 2025-2026 ]]*8</f>
        <v>0</v>
      </c>
      <c r="Q81" s="12"/>
      <c r="R81" s="10"/>
      <c r="S81" s="12"/>
      <c r="T81" s="12">
        <f t="shared" si="10"/>
        <v>0</v>
      </c>
      <c r="U81" s="12">
        <f t="shared" si="11"/>
        <v>0</v>
      </c>
      <c r="V81" s="12">
        <f>Table145[[#This Row],[Enrolment S.Y. 2025-2026 ]]*8</f>
        <v>0</v>
      </c>
      <c r="W81" s="12"/>
      <c r="X81" s="10"/>
      <c r="Y81" s="12"/>
      <c r="Z81" s="12">
        <f t="shared" si="12"/>
        <v>0</v>
      </c>
      <c r="AA81" s="12">
        <f t="shared" si="13"/>
        <v>0</v>
      </c>
    </row>
    <row r="82" spans="1:28" ht="27.75" customHeight="1">
      <c r="A82" s="10">
        <v>8</v>
      </c>
      <c r="B82" s="11" t="s">
        <v>79</v>
      </c>
      <c r="C82" s="10"/>
      <c r="D82" s="12">
        <f>Table145[[#This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Table145[[#This Row],[Enrolment S.Y. 2025-2026 ]]*8</f>
        <v>0</v>
      </c>
      <c r="K82" s="12"/>
      <c r="L82" s="10"/>
      <c r="M82" s="12"/>
      <c r="N82" s="12">
        <f t="shared" si="14"/>
        <v>0</v>
      </c>
      <c r="O82" s="12">
        <f t="shared" si="15"/>
        <v>0</v>
      </c>
      <c r="P82" s="12">
        <f>Table145[[#This Row],[Enrolment S.Y. 2025-2026 ]]*8</f>
        <v>0</v>
      </c>
      <c r="Q82" s="12"/>
      <c r="R82" s="10"/>
      <c r="S82" s="12"/>
      <c r="T82" s="12">
        <f t="shared" si="10"/>
        <v>0</v>
      </c>
      <c r="U82" s="12">
        <f t="shared" si="11"/>
        <v>0</v>
      </c>
      <c r="V82" s="12">
        <f>Table145[[#This Row],[Enrolment S.Y. 2025-2026 ]]*8</f>
        <v>0</v>
      </c>
      <c r="W82" s="12"/>
      <c r="X82" s="10"/>
      <c r="Y82" s="12"/>
      <c r="Z82" s="12">
        <f t="shared" si="12"/>
        <v>0</v>
      </c>
      <c r="AA82" s="12">
        <f t="shared" si="13"/>
        <v>0</v>
      </c>
    </row>
    <row r="83" spans="1:28" ht="19.5">
      <c r="A83" s="10">
        <v>8</v>
      </c>
      <c r="B83" s="11" t="s">
        <v>81</v>
      </c>
      <c r="C83" s="10"/>
      <c r="D83" s="12">
        <f>Table145[[#This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Table145[[#This Row],[Enrolment S.Y. 2025-2026 ]]*8</f>
        <v>0</v>
      </c>
      <c r="K83" s="12"/>
      <c r="L83" s="10"/>
      <c r="M83" s="12"/>
      <c r="N83" s="12">
        <f t="shared" si="14"/>
        <v>0</v>
      </c>
      <c r="O83" s="12">
        <f t="shared" si="15"/>
        <v>0</v>
      </c>
      <c r="P83" s="12">
        <f>Table145[[#This Row],[Enrolment S.Y. 2025-2026 ]]*8</f>
        <v>0</v>
      </c>
      <c r="Q83" s="12"/>
      <c r="R83" s="10"/>
      <c r="S83" s="12"/>
      <c r="T83" s="12">
        <f t="shared" si="10"/>
        <v>0</v>
      </c>
      <c r="U83" s="12">
        <f t="shared" si="11"/>
        <v>0</v>
      </c>
      <c r="V83" s="12">
        <f>Table145[[#This Row],[Enrolment S.Y. 2025-2026 ]]*8</f>
        <v>0</v>
      </c>
      <c r="W83" s="12"/>
      <c r="X83" s="10"/>
      <c r="Y83" s="12"/>
      <c r="Z83" s="12">
        <f t="shared" si="12"/>
        <v>0</v>
      </c>
      <c r="AA83" s="12">
        <f t="shared" si="13"/>
        <v>0</v>
      </c>
    </row>
    <row r="84" spans="1:28" ht="38.25">
      <c r="A84" s="10">
        <v>8</v>
      </c>
      <c r="B84" s="11" t="s">
        <v>14</v>
      </c>
      <c r="C84" s="10"/>
      <c r="D84" s="12">
        <f>Table145[[#This Row],[Enrolment S.Y. 2025-2026 ]]*8</f>
        <v>0</v>
      </c>
      <c r="E84" s="12"/>
      <c r="F84" s="10"/>
      <c r="G84" s="12"/>
      <c r="H84" s="12">
        <f t="shared" ref="H84:H122" si="16">IF((D84-E84)&lt;0,0,(D84-E84))</f>
        <v>0</v>
      </c>
      <c r="I84" s="12">
        <f t="shared" ref="I84:I122" si="17">IF((E84-D84)&lt;0,0,(E84-D84))</f>
        <v>0</v>
      </c>
      <c r="J84" s="12">
        <f>Table145[[#This Row],[Enrolment S.Y. 2025-2026 ]]*8</f>
        <v>0</v>
      </c>
      <c r="K84" s="12"/>
      <c r="L84" s="10"/>
      <c r="M84" s="12"/>
      <c r="N84" s="12">
        <f t="shared" si="14"/>
        <v>0</v>
      </c>
      <c r="O84" s="12">
        <f t="shared" si="15"/>
        <v>0</v>
      </c>
      <c r="P84" s="12">
        <f>Table145[[#This Row],[Enrolment S.Y. 2025-2026 ]]*8</f>
        <v>0</v>
      </c>
      <c r="Q84" s="12"/>
      <c r="R84" s="10"/>
      <c r="S84" s="12"/>
      <c r="T84" s="12">
        <f t="shared" si="10"/>
        <v>0</v>
      </c>
      <c r="U84" s="12">
        <f t="shared" si="11"/>
        <v>0</v>
      </c>
      <c r="V84" s="12">
        <f>Table145[[#This Row],[Enrolment S.Y. 2025-2026 ]]*8</f>
        <v>0</v>
      </c>
      <c r="W84" s="12"/>
      <c r="X84" s="10"/>
      <c r="Y84" s="12"/>
      <c r="Z84" s="12">
        <f t="shared" si="12"/>
        <v>0</v>
      </c>
      <c r="AA84" s="12">
        <f t="shared" si="13"/>
        <v>0</v>
      </c>
    </row>
    <row r="85" spans="1:28" ht="19.5">
      <c r="A85" s="35">
        <v>8</v>
      </c>
      <c r="B85" s="11" t="s">
        <v>75</v>
      </c>
      <c r="C85" s="12"/>
      <c r="D85" s="12">
        <f>Table145[[#This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Table145[[#This Row],[Enrolment S.Y. 2025-2026 ]]*8</f>
        <v>0</v>
      </c>
      <c r="K85" s="12"/>
      <c r="L85" s="10"/>
      <c r="M85" s="12"/>
      <c r="N85" s="12">
        <f t="shared" si="14"/>
        <v>0</v>
      </c>
      <c r="O85" s="12">
        <f t="shared" si="15"/>
        <v>0</v>
      </c>
      <c r="P85" s="12">
        <f>Table145[[#This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Table145[[#This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8" ht="38.25">
      <c r="A86" s="10">
        <v>8</v>
      </c>
      <c r="B86" s="11" t="s">
        <v>76</v>
      </c>
      <c r="C86" s="10"/>
      <c r="D86" s="12">
        <f>Table145[[#This Row],[Enrolment S.Y. 2025-2026 ]]*8</f>
        <v>0</v>
      </c>
      <c r="E86" s="12"/>
      <c r="F86" s="10"/>
      <c r="G86" s="12"/>
      <c r="H86" s="12">
        <f t="shared" si="16"/>
        <v>0</v>
      </c>
      <c r="I86" s="12">
        <f t="shared" si="17"/>
        <v>0</v>
      </c>
      <c r="J86" s="12">
        <f>Table145[[#This Row],[Enrolment S.Y. 2025-2026 ]]*8</f>
        <v>0</v>
      </c>
      <c r="K86" s="12"/>
      <c r="L86" s="10"/>
      <c r="M86" s="12"/>
      <c r="N86" s="12">
        <f t="shared" si="14"/>
        <v>0</v>
      </c>
      <c r="O86" s="12">
        <f t="shared" si="15"/>
        <v>0</v>
      </c>
      <c r="P86" s="12">
        <f>Table145[[#This Row],[Enrolment S.Y. 2025-2026 ]]*8</f>
        <v>0</v>
      </c>
      <c r="Q86" s="12"/>
      <c r="R86" s="10"/>
      <c r="S86" s="12"/>
      <c r="T86" s="12">
        <f t="shared" si="10"/>
        <v>0</v>
      </c>
      <c r="U86" s="12">
        <f t="shared" si="11"/>
        <v>0</v>
      </c>
      <c r="V86" s="12">
        <f>Table145[[#This Row],[Enrolment S.Y. 2025-2026 ]]*8</f>
        <v>0</v>
      </c>
      <c r="W86" s="12"/>
      <c r="X86" s="10"/>
      <c r="Y86" s="12"/>
      <c r="Z86" s="12">
        <f t="shared" si="12"/>
        <v>0</v>
      </c>
      <c r="AA86" s="12">
        <f t="shared" si="13"/>
        <v>0</v>
      </c>
    </row>
    <row r="87" spans="1:28" ht="19.5">
      <c r="A87" s="10">
        <v>8</v>
      </c>
      <c r="B87" s="11" t="s">
        <v>80</v>
      </c>
      <c r="C87" s="10"/>
      <c r="D87" s="12">
        <f>Table145[[#This Row],[Enrolment S.Y. 2025-2026 ]]*8</f>
        <v>0</v>
      </c>
      <c r="E87" s="12"/>
      <c r="F87" s="10"/>
      <c r="G87" s="12"/>
      <c r="H87" s="12">
        <f t="shared" si="16"/>
        <v>0</v>
      </c>
      <c r="I87" s="12">
        <f t="shared" si="17"/>
        <v>0</v>
      </c>
      <c r="J87" s="12">
        <f>Table145[[#This Row],[Enrolment S.Y. 2025-2026 ]]*8</f>
        <v>0</v>
      </c>
      <c r="K87" s="12"/>
      <c r="L87" s="10"/>
      <c r="M87" s="12"/>
      <c r="N87" s="12">
        <f t="shared" si="14"/>
        <v>0</v>
      </c>
      <c r="O87" s="12">
        <f t="shared" si="15"/>
        <v>0</v>
      </c>
      <c r="P87" s="12">
        <f>Table145[[#This Row],[Enrolment S.Y. 2025-2026 ]]*8</f>
        <v>0</v>
      </c>
      <c r="Q87" s="12"/>
      <c r="R87" s="10"/>
      <c r="S87" s="12"/>
      <c r="T87" s="12">
        <f t="shared" si="10"/>
        <v>0</v>
      </c>
      <c r="U87" s="12">
        <f t="shared" si="11"/>
        <v>0</v>
      </c>
      <c r="V87" s="12">
        <f>Table145[[#This Row],[Enrolment S.Y. 2025-2026 ]]*8</f>
        <v>0</v>
      </c>
      <c r="W87" s="12"/>
      <c r="X87" s="10"/>
      <c r="Y87" s="12"/>
      <c r="Z87" s="12">
        <f t="shared" si="12"/>
        <v>0</v>
      </c>
      <c r="AA87" s="12">
        <f t="shared" si="13"/>
        <v>0</v>
      </c>
    </row>
    <row r="88" spans="1:28" ht="38.25">
      <c r="A88" s="35">
        <v>8</v>
      </c>
      <c r="B88" s="11" t="s">
        <v>77</v>
      </c>
      <c r="C88" s="12"/>
      <c r="D88" s="12">
        <f>Table145[[#This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Table145[[#This Row],[Enrolment S.Y. 2025-2026 ]]*8</f>
        <v>0</v>
      </c>
      <c r="K88" s="12"/>
      <c r="L88" s="10"/>
      <c r="M88" s="12"/>
      <c r="N88" s="12">
        <f t="shared" si="14"/>
        <v>0</v>
      </c>
      <c r="O88" s="12">
        <f t="shared" si="15"/>
        <v>0</v>
      </c>
      <c r="P88" s="12">
        <f>Table145[[#This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Table145[[#This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8" ht="19.5">
      <c r="A89" s="10">
        <v>8</v>
      </c>
      <c r="B89" s="11" t="s">
        <v>78</v>
      </c>
      <c r="C89" s="10"/>
      <c r="D89" s="12">
        <f>Table145[[#This Row],[Enrolment S.Y. 2025-2026 ]]*8</f>
        <v>0</v>
      </c>
      <c r="E89" s="12"/>
      <c r="F89" s="10"/>
      <c r="G89" s="12"/>
      <c r="H89" s="12">
        <f t="shared" si="16"/>
        <v>0</v>
      </c>
      <c r="I89" s="12">
        <f t="shared" si="17"/>
        <v>0</v>
      </c>
      <c r="J89" s="12">
        <f>Table145[[#This Row],[Enrolment S.Y. 2025-2026 ]]*8</f>
        <v>0</v>
      </c>
      <c r="K89" s="12"/>
      <c r="L89" s="10"/>
      <c r="M89" s="12"/>
      <c r="N89" s="12">
        <f t="shared" si="14"/>
        <v>0</v>
      </c>
      <c r="O89" s="12">
        <f t="shared" si="15"/>
        <v>0</v>
      </c>
      <c r="P89" s="12">
        <f>Table145[[#This Row],[Enrolment S.Y. 2025-2026 ]]*8</f>
        <v>0</v>
      </c>
      <c r="Q89" s="12"/>
      <c r="R89" s="10"/>
      <c r="S89" s="12"/>
      <c r="T89" s="12">
        <f t="shared" si="10"/>
        <v>0</v>
      </c>
      <c r="U89" s="12">
        <f t="shared" si="11"/>
        <v>0</v>
      </c>
      <c r="V89" s="12">
        <f>Table145[[#This Row],[Enrolment S.Y. 2025-2026 ]]*8</f>
        <v>0</v>
      </c>
      <c r="W89" s="12"/>
      <c r="X89" s="10"/>
      <c r="Y89" s="12"/>
      <c r="Z89" s="12">
        <f t="shared" si="12"/>
        <v>0</v>
      </c>
      <c r="AA89" s="12">
        <f t="shared" si="13"/>
        <v>0</v>
      </c>
    </row>
    <row r="90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38.25">
      <c r="A91" s="10">
        <v>9</v>
      </c>
      <c r="B91" s="11" t="s">
        <v>15</v>
      </c>
      <c r="C91" s="10"/>
      <c r="D91" s="12">
        <f>Table145[[#This Row],[Enrolment S.Y. 2025-2026 ]]*8</f>
        <v>0</v>
      </c>
      <c r="E91" s="12"/>
      <c r="F91" s="10"/>
      <c r="G91" s="12"/>
      <c r="H91" s="12">
        <f t="shared" si="16"/>
        <v>0</v>
      </c>
      <c r="I91" s="12">
        <f t="shared" si="17"/>
        <v>0</v>
      </c>
      <c r="J91" s="12">
        <f>Table145[[#This Row],[Enrolment S.Y. 2025-2026 ]]*8</f>
        <v>0</v>
      </c>
      <c r="K91" s="12"/>
      <c r="L91" s="10"/>
      <c r="M91" s="12"/>
      <c r="N91" s="12">
        <f t="shared" si="14"/>
        <v>0</v>
      </c>
      <c r="O91" s="12">
        <f t="shared" si="15"/>
        <v>0</v>
      </c>
      <c r="P91" s="12">
        <f>Table145[[#This Row],[Enrolment S.Y. 2025-2026 ]]*8</f>
        <v>0</v>
      </c>
      <c r="Q91" s="12"/>
      <c r="R91" s="10"/>
      <c r="S91" s="12"/>
      <c r="T91" s="12">
        <f t="shared" si="10"/>
        <v>0</v>
      </c>
      <c r="U91" s="12">
        <f t="shared" si="11"/>
        <v>0</v>
      </c>
      <c r="V91" s="12">
        <f>Table145[[#This Row],[Enrolment S.Y. 2025-2026 ]]*8</f>
        <v>0</v>
      </c>
      <c r="W91" s="12"/>
      <c r="X91" s="10"/>
      <c r="Y91" s="12"/>
      <c r="Z91" s="12">
        <f t="shared" si="12"/>
        <v>0</v>
      </c>
      <c r="AA91" s="12">
        <f t="shared" si="13"/>
        <v>0</v>
      </c>
    </row>
    <row r="92" spans="1:28" ht="38.25">
      <c r="A92" s="10">
        <v>9</v>
      </c>
      <c r="B92" s="11" t="s">
        <v>16</v>
      </c>
      <c r="C92" s="10"/>
      <c r="D92" s="12">
        <f>Table145[[#This Row],[Enrolment S.Y. 2025-2026 ]]*8</f>
        <v>0</v>
      </c>
      <c r="E92" s="12"/>
      <c r="F92" s="10"/>
      <c r="G92" s="12"/>
      <c r="H92" s="12">
        <f t="shared" si="16"/>
        <v>0</v>
      </c>
      <c r="I92" s="12">
        <f t="shared" si="17"/>
        <v>0</v>
      </c>
      <c r="J92" s="12">
        <f>Table145[[#This Row],[Enrolment S.Y. 2025-2026 ]]*8</f>
        <v>0</v>
      </c>
      <c r="K92" s="12"/>
      <c r="L92" s="10"/>
      <c r="M92" s="12"/>
      <c r="N92" s="12">
        <f t="shared" si="14"/>
        <v>0</v>
      </c>
      <c r="O92" s="12">
        <f t="shared" si="15"/>
        <v>0</v>
      </c>
      <c r="P92" s="12">
        <f>Table145[[#This Row],[Enrolment S.Y. 2025-2026 ]]*8</f>
        <v>0</v>
      </c>
      <c r="Q92" s="12"/>
      <c r="R92" s="10"/>
      <c r="S92" s="12"/>
      <c r="T92" s="12">
        <f t="shared" si="10"/>
        <v>0</v>
      </c>
      <c r="U92" s="12">
        <f t="shared" si="11"/>
        <v>0</v>
      </c>
      <c r="V92" s="12">
        <f>Table145[[#This Row],[Enrolment S.Y. 2025-2026 ]]*8</f>
        <v>0</v>
      </c>
      <c r="W92" s="12"/>
      <c r="X92" s="10"/>
      <c r="Y92" s="12"/>
      <c r="Z92" s="12">
        <f t="shared" si="12"/>
        <v>0</v>
      </c>
      <c r="AA92" s="12">
        <f t="shared" si="13"/>
        <v>0</v>
      </c>
    </row>
    <row r="93" spans="1:28" ht="19.5">
      <c r="A93" s="10">
        <v>9</v>
      </c>
      <c r="B93" s="11" t="s">
        <v>13</v>
      </c>
      <c r="C93" s="10"/>
      <c r="D93" s="12">
        <f>Table145[[#This Row],[Enrolment S.Y. 2025-2026 ]]*8</f>
        <v>0</v>
      </c>
      <c r="E93" s="12"/>
      <c r="F93" s="10"/>
      <c r="G93" s="12"/>
      <c r="H93" s="12">
        <f t="shared" si="16"/>
        <v>0</v>
      </c>
      <c r="I93" s="12">
        <f t="shared" si="17"/>
        <v>0</v>
      </c>
      <c r="J93" s="12">
        <f>Table145[[#This Row],[Enrolment S.Y. 2025-2026 ]]*8</f>
        <v>0</v>
      </c>
      <c r="K93" s="12"/>
      <c r="L93" s="10"/>
      <c r="M93" s="12"/>
      <c r="N93" s="12">
        <f t="shared" si="14"/>
        <v>0</v>
      </c>
      <c r="O93" s="12">
        <f t="shared" si="15"/>
        <v>0</v>
      </c>
      <c r="P93" s="12">
        <f>Table145[[#This Row],[Enrolment S.Y. 2025-2026 ]]*8</f>
        <v>0</v>
      </c>
      <c r="Q93" s="12"/>
      <c r="R93" s="10"/>
      <c r="S93" s="12"/>
      <c r="T93" s="12">
        <f t="shared" si="10"/>
        <v>0</v>
      </c>
      <c r="U93" s="12">
        <f t="shared" si="11"/>
        <v>0</v>
      </c>
      <c r="V93" s="12">
        <f>Table145[[#This Row],[Enrolment S.Y. 2025-2026 ]]*8</f>
        <v>0</v>
      </c>
      <c r="W93" s="12"/>
      <c r="X93" s="10"/>
      <c r="Y93" s="12"/>
      <c r="Z93" s="12">
        <f t="shared" si="12"/>
        <v>0</v>
      </c>
      <c r="AA93" s="12">
        <f t="shared" si="13"/>
        <v>0</v>
      </c>
    </row>
    <row r="94" spans="1:28" ht="19.5">
      <c r="A94" s="10">
        <v>9</v>
      </c>
      <c r="B94" s="11" t="s">
        <v>79</v>
      </c>
      <c r="C94" s="10"/>
      <c r="D94" s="12">
        <f>Table145[[#This Row],[Enrolment S.Y. 2025-2026 ]]*8</f>
        <v>0</v>
      </c>
      <c r="E94" s="12"/>
      <c r="F94" s="10"/>
      <c r="G94" s="12"/>
      <c r="H94" s="12">
        <f t="shared" si="16"/>
        <v>0</v>
      </c>
      <c r="I94" s="12">
        <f t="shared" si="17"/>
        <v>0</v>
      </c>
      <c r="J94" s="12">
        <f>Table145[[#This Row],[Enrolment S.Y. 2025-2026 ]]*8</f>
        <v>0</v>
      </c>
      <c r="K94" s="12"/>
      <c r="L94" s="10"/>
      <c r="M94" s="12"/>
      <c r="N94" s="12">
        <f t="shared" si="14"/>
        <v>0</v>
      </c>
      <c r="O94" s="12">
        <f t="shared" si="15"/>
        <v>0</v>
      </c>
      <c r="P94" s="12">
        <f>Table145[[#This Row],[Enrolment S.Y. 2025-2026 ]]*8</f>
        <v>0</v>
      </c>
      <c r="Q94" s="12"/>
      <c r="R94" s="10"/>
      <c r="S94" s="12"/>
      <c r="T94" s="12">
        <f t="shared" si="10"/>
        <v>0</v>
      </c>
      <c r="U94" s="12">
        <f t="shared" si="11"/>
        <v>0</v>
      </c>
      <c r="V94" s="12">
        <f>Table145[[#This Row],[Enrolment S.Y. 2025-2026 ]]*8</f>
        <v>0</v>
      </c>
      <c r="W94" s="12"/>
      <c r="X94" s="10"/>
      <c r="Y94" s="12"/>
      <c r="Z94" s="12">
        <f t="shared" si="12"/>
        <v>0</v>
      </c>
      <c r="AA94" s="12">
        <f t="shared" si="13"/>
        <v>0</v>
      </c>
    </row>
    <row r="95" spans="1:28" ht="19.5">
      <c r="A95" s="10">
        <v>9</v>
      </c>
      <c r="B95" s="11" t="s">
        <v>81</v>
      </c>
      <c r="C95" s="10"/>
      <c r="D95" s="12">
        <f>Table145[[#This Row],[Enrolment S.Y. 2025-2026 ]]*8</f>
        <v>0</v>
      </c>
      <c r="E95" s="12"/>
      <c r="F95" s="10"/>
      <c r="G95" s="12"/>
      <c r="H95" s="12">
        <f t="shared" si="16"/>
        <v>0</v>
      </c>
      <c r="I95" s="12">
        <f t="shared" si="17"/>
        <v>0</v>
      </c>
      <c r="J95" s="12">
        <f>Table145[[#This Row],[Enrolment S.Y. 2025-2026 ]]*8</f>
        <v>0</v>
      </c>
      <c r="K95" s="12"/>
      <c r="L95" s="10"/>
      <c r="M95" s="12"/>
      <c r="N95" s="12">
        <f t="shared" si="14"/>
        <v>0</v>
      </c>
      <c r="O95" s="12">
        <f t="shared" si="15"/>
        <v>0</v>
      </c>
      <c r="P95" s="12">
        <f>Table145[[#This Row],[Enrolment S.Y. 2025-2026 ]]*8</f>
        <v>0</v>
      </c>
      <c r="Q95" s="12"/>
      <c r="R95" s="10"/>
      <c r="S95" s="12"/>
      <c r="T95" s="12">
        <f t="shared" si="10"/>
        <v>0</v>
      </c>
      <c r="U95" s="12">
        <f t="shared" si="11"/>
        <v>0</v>
      </c>
      <c r="V95" s="12">
        <f>Table145[[#This Row],[Enrolment S.Y. 2025-2026 ]]*8</f>
        <v>0</v>
      </c>
      <c r="W95" s="12"/>
      <c r="X95" s="10"/>
      <c r="Y95" s="12"/>
      <c r="Z95" s="12">
        <f t="shared" si="12"/>
        <v>0</v>
      </c>
      <c r="AA95" s="12">
        <f t="shared" si="13"/>
        <v>0</v>
      </c>
    </row>
    <row r="96" spans="1:28" ht="38.25">
      <c r="A96" s="10">
        <v>9</v>
      </c>
      <c r="B96" s="11" t="s">
        <v>14</v>
      </c>
      <c r="C96" s="10"/>
      <c r="D96" s="12">
        <f>Table145[[#This Row],[Enrolment S.Y. 2025-2026 ]]*8</f>
        <v>0</v>
      </c>
      <c r="E96" s="12"/>
      <c r="F96" s="10"/>
      <c r="G96" s="12"/>
      <c r="H96" s="12">
        <f t="shared" si="16"/>
        <v>0</v>
      </c>
      <c r="I96" s="12">
        <f t="shared" si="17"/>
        <v>0</v>
      </c>
      <c r="J96" s="12">
        <f>Table145[[#This Row],[Enrolment S.Y. 2025-2026 ]]*8</f>
        <v>0</v>
      </c>
      <c r="K96" s="12"/>
      <c r="L96" s="10"/>
      <c r="M96" s="12"/>
      <c r="N96" s="12">
        <f t="shared" si="14"/>
        <v>0</v>
      </c>
      <c r="O96" s="12">
        <f t="shared" si="15"/>
        <v>0</v>
      </c>
      <c r="P96" s="12">
        <f>Table145[[#This Row],[Enrolment S.Y. 2025-2026 ]]*8</f>
        <v>0</v>
      </c>
      <c r="Q96" s="12"/>
      <c r="R96" s="10"/>
      <c r="S96" s="12"/>
      <c r="T96" s="12">
        <f t="shared" si="10"/>
        <v>0</v>
      </c>
      <c r="U96" s="12">
        <f t="shared" si="11"/>
        <v>0</v>
      </c>
      <c r="V96" s="12">
        <f>Table145[[#This Row],[Enrolment S.Y. 2025-2026 ]]*8</f>
        <v>0</v>
      </c>
      <c r="W96" s="12"/>
      <c r="X96" s="10"/>
      <c r="Y96" s="12"/>
      <c r="Z96" s="12">
        <f t="shared" si="12"/>
        <v>0</v>
      </c>
      <c r="AA96" s="12">
        <f t="shared" si="13"/>
        <v>0</v>
      </c>
    </row>
    <row r="97" spans="1:28" ht="19.5">
      <c r="A97" s="35">
        <v>9</v>
      </c>
      <c r="B97" s="11" t="s">
        <v>75</v>
      </c>
      <c r="C97" s="10"/>
      <c r="D97" s="12">
        <f>Table145[[#This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Table145[[#This Row],[Enrolment S.Y. 2025-2026 ]]*8</f>
        <v>0</v>
      </c>
      <c r="K97" s="12"/>
      <c r="L97" s="10"/>
      <c r="M97" s="12"/>
      <c r="N97" s="12">
        <f t="shared" si="14"/>
        <v>0</v>
      </c>
      <c r="O97" s="12">
        <f t="shared" si="15"/>
        <v>0</v>
      </c>
      <c r="P97" s="12">
        <f>Table145[[#This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Table145[[#This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8" ht="38.25">
      <c r="A98" s="10">
        <v>9</v>
      </c>
      <c r="B98" s="11" t="s">
        <v>76</v>
      </c>
      <c r="C98" s="10"/>
      <c r="D98" s="12">
        <f>Table145[[#This Row],[Enrolment S.Y. 2025-2026 ]]*8</f>
        <v>0</v>
      </c>
      <c r="E98" s="12"/>
      <c r="F98" s="10"/>
      <c r="G98" s="12"/>
      <c r="H98" s="12">
        <f t="shared" si="16"/>
        <v>0</v>
      </c>
      <c r="I98" s="12">
        <f t="shared" si="17"/>
        <v>0</v>
      </c>
      <c r="J98" s="12">
        <f>Table145[[#This Row],[Enrolment S.Y. 2025-2026 ]]*8</f>
        <v>0</v>
      </c>
      <c r="K98" s="12"/>
      <c r="L98" s="10"/>
      <c r="M98" s="12"/>
      <c r="N98" s="12">
        <f t="shared" si="14"/>
        <v>0</v>
      </c>
      <c r="O98" s="12">
        <f t="shared" si="15"/>
        <v>0</v>
      </c>
      <c r="P98" s="12">
        <f>Table145[[#This Row],[Enrolment S.Y. 2025-2026 ]]*8</f>
        <v>0</v>
      </c>
      <c r="Q98" s="12"/>
      <c r="R98" s="10"/>
      <c r="S98" s="12"/>
      <c r="T98" s="12">
        <f t="shared" si="10"/>
        <v>0</v>
      </c>
      <c r="U98" s="12">
        <f t="shared" si="11"/>
        <v>0</v>
      </c>
      <c r="V98" s="12">
        <f>Table145[[#This Row],[Enrolment S.Y. 2025-2026 ]]*8</f>
        <v>0</v>
      </c>
      <c r="W98" s="12"/>
      <c r="X98" s="10"/>
      <c r="Y98" s="12"/>
      <c r="Z98" s="12">
        <f t="shared" si="12"/>
        <v>0</v>
      </c>
      <c r="AA98" s="12">
        <f t="shared" si="13"/>
        <v>0</v>
      </c>
    </row>
    <row r="99" spans="1:28" ht="19.5">
      <c r="A99" s="10">
        <v>9</v>
      </c>
      <c r="B99" s="11" t="s">
        <v>80</v>
      </c>
      <c r="C99" s="10"/>
      <c r="D99" s="12">
        <f>Table145[[#This Row],[Enrolment S.Y. 2025-2026 ]]*8</f>
        <v>0</v>
      </c>
      <c r="E99" s="12"/>
      <c r="F99" s="10"/>
      <c r="G99" s="12"/>
      <c r="H99" s="12">
        <f t="shared" si="16"/>
        <v>0</v>
      </c>
      <c r="I99" s="12">
        <f t="shared" si="17"/>
        <v>0</v>
      </c>
      <c r="J99" s="12">
        <f>Table145[[#This Row],[Enrolment S.Y. 2025-2026 ]]*8</f>
        <v>0</v>
      </c>
      <c r="K99" s="12"/>
      <c r="L99" s="10"/>
      <c r="M99" s="12"/>
      <c r="N99" s="12">
        <f t="shared" si="14"/>
        <v>0</v>
      </c>
      <c r="O99" s="12">
        <f t="shared" si="15"/>
        <v>0</v>
      </c>
      <c r="P99" s="12">
        <f>Table145[[#This Row],[Enrolment S.Y. 2025-2026 ]]*8</f>
        <v>0</v>
      </c>
      <c r="Q99" s="12"/>
      <c r="R99" s="10"/>
      <c r="S99" s="12"/>
      <c r="T99" s="12">
        <f t="shared" si="10"/>
        <v>0</v>
      </c>
      <c r="U99" s="12">
        <f t="shared" si="11"/>
        <v>0</v>
      </c>
      <c r="V99" s="12">
        <f>Table145[[#This Row],[Enrolment S.Y. 2025-2026 ]]*8</f>
        <v>0</v>
      </c>
      <c r="W99" s="12"/>
      <c r="X99" s="10"/>
      <c r="Y99" s="12"/>
      <c r="Z99" s="12">
        <f t="shared" si="12"/>
        <v>0</v>
      </c>
      <c r="AA99" s="12">
        <f t="shared" si="13"/>
        <v>0</v>
      </c>
    </row>
    <row r="100" spans="1:28" ht="38.25">
      <c r="A100" s="35">
        <v>9</v>
      </c>
      <c r="B100" s="11" t="s">
        <v>77</v>
      </c>
      <c r="C100" s="10"/>
      <c r="D100" s="12">
        <f>Table145[[#This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Table145[[#This Row],[Enrolment S.Y. 2025-2026 ]]*8</f>
        <v>0</v>
      </c>
      <c r="K100" s="12"/>
      <c r="L100" s="10"/>
      <c r="M100" s="12"/>
      <c r="N100" s="12">
        <f t="shared" si="14"/>
        <v>0</v>
      </c>
      <c r="O100" s="12">
        <f t="shared" si="15"/>
        <v>0</v>
      </c>
      <c r="P100" s="12">
        <f>Table145[[#This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Table145[[#This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8" ht="19.5">
      <c r="A101" s="10">
        <v>9</v>
      </c>
      <c r="B101" s="11" t="s">
        <v>78</v>
      </c>
      <c r="C101" s="10"/>
      <c r="D101" s="12">
        <f>Table145[[#This Row],[Enrolment S.Y. 2025-2026 ]]*8</f>
        <v>0</v>
      </c>
      <c r="E101" s="12"/>
      <c r="F101" s="10"/>
      <c r="G101" s="12"/>
      <c r="H101" s="12">
        <f t="shared" si="16"/>
        <v>0</v>
      </c>
      <c r="I101" s="12">
        <f t="shared" si="17"/>
        <v>0</v>
      </c>
      <c r="J101" s="12">
        <f>Table145[[#This Row],[Enrolment S.Y. 2025-2026 ]]*8</f>
        <v>0</v>
      </c>
      <c r="K101" s="12"/>
      <c r="L101" s="10"/>
      <c r="M101" s="12"/>
      <c r="N101" s="12">
        <f t="shared" si="14"/>
        <v>0</v>
      </c>
      <c r="O101" s="12">
        <f t="shared" si="15"/>
        <v>0</v>
      </c>
      <c r="P101" s="12">
        <f>Table145[[#This Row],[Enrolment S.Y. 2025-2026 ]]*8</f>
        <v>0</v>
      </c>
      <c r="Q101" s="12"/>
      <c r="R101" s="10"/>
      <c r="S101" s="12"/>
      <c r="T101" s="12">
        <f t="shared" si="10"/>
        <v>0</v>
      </c>
      <c r="U101" s="12">
        <f t="shared" si="11"/>
        <v>0</v>
      </c>
      <c r="V101" s="12">
        <f>Table145[[#This Row],[Enrolment S.Y. 2025-2026 ]]*8</f>
        <v>0</v>
      </c>
      <c r="W101" s="12"/>
      <c r="X101" s="10"/>
      <c r="Y101" s="12"/>
      <c r="Z101" s="12">
        <f t="shared" si="12"/>
        <v>0</v>
      </c>
      <c r="AA101" s="12">
        <f t="shared" si="13"/>
        <v>0</v>
      </c>
    </row>
    <row r="102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38.25">
      <c r="A103" s="10">
        <v>10</v>
      </c>
      <c r="B103" s="11" t="s">
        <v>15</v>
      </c>
      <c r="C103" s="10"/>
      <c r="D103" s="12">
        <f>Table145[[#This Row],[Enrolment S.Y. 2025-2026 ]]*8</f>
        <v>0</v>
      </c>
      <c r="E103" s="12"/>
      <c r="F103" s="10"/>
      <c r="G103" s="12"/>
      <c r="H103" s="12">
        <f t="shared" si="16"/>
        <v>0</v>
      </c>
      <c r="I103" s="12">
        <f t="shared" si="17"/>
        <v>0</v>
      </c>
      <c r="J103" s="12">
        <f>Table145[[#This Row],[Enrolment S.Y. 2025-2026 ]]*8</f>
        <v>0</v>
      </c>
      <c r="K103" s="12"/>
      <c r="L103" s="10"/>
      <c r="M103" s="12"/>
      <c r="N103" s="12">
        <f t="shared" si="14"/>
        <v>0</v>
      </c>
      <c r="O103" s="12">
        <f t="shared" si="15"/>
        <v>0</v>
      </c>
      <c r="P103" s="12">
        <f>Table145[[#This Row],[Enrolment S.Y. 2025-2026 ]]*8</f>
        <v>0</v>
      </c>
      <c r="Q103" s="12"/>
      <c r="R103" s="10"/>
      <c r="S103" s="12"/>
      <c r="T103" s="12">
        <f t="shared" si="10"/>
        <v>0</v>
      </c>
      <c r="U103" s="12">
        <f t="shared" si="11"/>
        <v>0</v>
      </c>
      <c r="V103" s="12">
        <f>Table145[[#This Row],[Enrolment S.Y. 2025-2026 ]]*8</f>
        <v>0</v>
      </c>
      <c r="W103" s="12"/>
      <c r="X103" s="10"/>
      <c r="Y103" s="12"/>
      <c r="Z103" s="12">
        <f t="shared" si="12"/>
        <v>0</v>
      </c>
      <c r="AA103" s="12">
        <f t="shared" si="13"/>
        <v>0</v>
      </c>
    </row>
    <row r="104" spans="1:28" ht="38.25">
      <c r="A104" s="10">
        <v>10</v>
      </c>
      <c r="B104" s="11" t="s">
        <v>16</v>
      </c>
      <c r="C104" s="10"/>
      <c r="D104" s="12">
        <f>Table145[[#This Row],[Enrolment S.Y. 2025-2026 ]]*8</f>
        <v>0</v>
      </c>
      <c r="E104" s="12"/>
      <c r="F104" s="10"/>
      <c r="G104" s="12"/>
      <c r="H104" s="12">
        <f t="shared" si="16"/>
        <v>0</v>
      </c>
      <c r="I104" s="12">
        <f t="shared" si="17"/>
        <v>0</v>
      </c>
      <c r="J104" s="12">
        <f>Table145[[#This Row],[Enrolment S.Y. 2025-2026 ]]*8</f>
        <v>0</v>
      </c>
      <c r="K104" s="12"/>
      <c r="L104" s="10"/>
      <c r="M104" s="12"/>
      <c r="N104" s="12">
        <f t="shared" si="14"/>
        <v>0</v>
      </c>
      <c r="O104" s="12">
        <f t="shared" si="15"/>
        <v>0</v>
      </c>
      <c r="P104" s="12">
        <f>Table145[[#This Row],[Enrolment S.Y. 2025-2026 ]]*8</f>
        <v>0</v>
      </c>
      <c r="Q104" s="12"/>
      <c r="R104" s="10"/>
      <c r="S104" s="12"/>
      <c r="T104" s="12">
        <f t="shared" si="10"/>
        <v>0</v>
      </c>
      <c r="U104" s="12">
        <f t="shared" si="11"/>
        <v>0</v>
      </c>
      <c r="V104" s="12">
        <f>Table145[[#This Row],[Enrolment S.Y. 2025-2026 ]]*8</f>
        <v>0</v>
      </c>
      <c r="W104" s="12"/>
      <c r="X104" s="10"/>
      <c r="Y104" s="12"/>
      <c r="Z104" s="12">
        <f t="shared" si="12"/>
        <v>0</v>
      </c>
      <c r="AA104" s="12">
        <f t="shared" si="13"/>
        <v>0</v>
      </c>
    </row>
    <row r="105" spans="1:28" ht="19.5">
      <c r="A105" s="10">
        <v>10</v>
      </c>
      <c r="B105" s="11" t="s">
        <v>13</v>
      </c>
      <c r="C105" s="10"/>
      <c r="D105" s="12">
        <f>Table145[[#This Row],[Enrolment S.Y. 2025-2026 ]]*8</f>
        <v>0</v>
      </c>
      <c r="E105" s="12"/>
      <c r="F105" s="10"/>
      <c r="G105" s="12"/>
      <c r="H105" s="12">
        <f t="shared" si="16"/>
        <v>0</v>
      </c>
      <c r="I105" s="12">
        <f t="shared" si="17"/>
        <v>0</v>
      </c>
      <c r="J105" s="12">
        <f>Table145[[#This Row],[Enrolment S.Y. 2025-2026 ]]*8</f>
        <v>0</v>
      </c>
      <c r="K105" s="12"/>
      <c r="L105" s="10"/>
      <c r="M105" s="12"/>
      <c r="N105" s="12">
        <f t="shared" si="14"/>
        <v>0</v>
      </c>
      <c r="O105" s="12">
        <f t="shared" si="15"/>
        <v>0</v>
      </c>
      <c r="P105" s="12">
        <f>Table145[[#This Row],[Enrolment S.Y. 2025-2026 ]]*8</f>
        <v>0</v>
      </c>
      <c r="Q105" s="12"/>
      <c r="R105" s="10"/>
      <c r="S105" s="12"/>
      <c r="T105" s="12">
        <f t="shared" si="10"/>
        <v>0</v>
      </c>
      <c r="U105" s="12">
        <f t="shared" si="11"/>
        <v>0</v>
      </c>
      <c r="V105" s="12">
        <f>Table145[[#This Row],[Enrolment S.Y. 2025-2026 ]]*8</f>
        <v>0</v>
      </c>
      <c r="W105" s="12"/>
      <c r="X105" s="10"/>
      <c r="Y105" s="12"/>
      <c r="Z105" s="12">
        <f t="shared" si="12"/>
        <v>0</v>
      </c>
      <c r="AA105" s="12">
        <f t="shared" si="13"/>
        <v>0</v>
      </c>
    </row>
    <row r="106" spans="1:28" ht="19.5">
      <c r="A106" s="10">
        <v>10</v>
      </c>
      <c r="B106" s="11" t="s">
        <v>79</v>
      </c>
      <c r="C106" s="10"/>
      <c r="D106" s="12">
        <f>Table145[[#This Row],[Enrolment S.Y. 2025-2026 ]]*8</f>
        <v>0</v>
      </c>
      <c r="E106" s="12"/>
      <c r="F106" s="10"/>
      <c r="G106" s="12"/>
      <c r="H106" s="12">
        <f t="shared" si="16"/>
        <v>0</v>
      </c>
      <c r="I106" s="12">
        <f t="shared" si="17"/>
        <v>0</v>
      </c>
      <c r="J106" s="12">
        <f>Table145[[#This Row],[Enrolment S.Y. 2025-2026 ]]*8</f>
        <v>0</v>
      </c>
      <c r="K106" s="12"/>
      <c r="L106" s="10"/>
      <c r="M106" s="12"/>
      <c r="N106" s="12">
        <f t="shared" si="14"/>
        <v>0</v>
      </c>
      <c r="O106" s="12">
        <f t="shared" si="15"/>
        <v>0</v>
      </c>
      <c r="P106" s="12">
        <f>Table145[[#This Row],[Enrolment S.Y. 2025-2026 ]]*8</f>
        <v>0</v>
      </c>
      <c r="Q106" s="12"/>
      <c r="R106" s="10"/>
      <c r="S106" s="12"/>
      <c r="T106" s="12">
        <f t="shared" si="10"/>
        <v>0</v>
      </c>
      <c r="U106" s="12">
        <f t="shared" si="11"/>
        <v>0</v>
      </c>
      <c r="V106" s="12">
        <f>Table145[[#This Row],[Enrolment S.Y. 2025-2026 ]]*8</f>
        <v>0</v>
      </c>
      <c r="W106" s="12"/>
      <c r="X106" s="10"/>
      <c r="Y106" s="12"/>
      <c r="Z106" s="12">
        <f t="shared" si="12"/>
        <v>0</v>
      </c>
      <c r="AA106" s="12">
        <f t="shared" si="13"/>
        <v>0</v>
      </c>
    </row>
    <row r="107" spans="1:28" ht="19.5">
      <c r="A107" s="10">
        <v>10</v>
      </c>
      <c r="B107" s="11" t="s">
        <v>81</v>
      </c>
      <c r="C107" s="10"/>
      <c r="D107" s="12">
        <f>Table145[[#This Row],[Enrolment S.Y. 2025-2026 ]]*8</f>
        <v>0</v>
      </c>
      <c r="E107" s="12"/>
      <c r="F107" s="10"/>
      <c r="G107" s="12"/>
      <c r="H107" s="12">
        <f t="shared" si="16"/>
        <v>0</v>
      </c>
      <c r="I107" s="12">
        <f t="shared" si="17"/>
        <v>0</v>
      </c>
      <c r="J107" s="12">
        <f>Table145[[#This Row],[Enrolment S.Y. 2025-2026 ]]*8</f>
        <v>0</v>
      </c>
      <c r="K107" s="12"/>
      <c r="L107" s="10"/>
      <c r="M107" s="12"/>
      <c r="N107" s="12">
        <f t="shared" si="14"/>
        <v>0</v>
      </c>
      <c r="O107" s="12">
        <f t="shared" si="15"/>
        <v>0</v>
      </c>
      <c r="P107" s="12">
        <f>Table145[[#This Row],[Enrolment S.Y. 2025-2026 ]]*8</f>
        <v>0</v>
      </c>
      <c r="Q107" s="12"/>
      <c r="R107" s="10"/>
      <c r="S107" s="12"/>
      <c r="T107" s="12">
        <f t="shared" si="10"/>
        <v>0</v>
      </c>
      <c r="U107" s="12">
        <f t="shared" si="11"/>
        <v>0</v>
      </c>
      <c r="V107" s="12">
        <f>Table145[[#This Row],[Enrolment S.Y. 2025-2026 ]]*8</f>
        <v>0</v>
      </c>
      <c r="W107" s="12"/>
      <c r="X107" s="10"/>
      <c r="Y107" s="12"/>
      <c r="Z107" s="12">
        <f t="shared" si="12"/>
        <v>0</v>
      </c>
      <c r="AA107" s="12">
        <f t="shared" si="13"/>
        <v>0</v>
      </c>
    </row>
    <row r="108" spans="1:28" ht="38.25">
      <c r="A108" s="10">
        <v>10</v>
      </c>
      <c r="B108" s="11" t="s">
        <v>14</v>
      </c>
      <c r="C108" s="10"/>
      <c r="D108" s="12">
        <f>Table145[[#This Row],[Enrolment S.Y. 2025-2026 ]]*8</f>
        <v>0</v>
      </c>
      <c r="E108" s="12"/>
      <c r="F108" s="10"/>
      <c r="G108" s="12"/>
      <c r="H108" s="12">
        <f t="shared" si="16"/>
        <v>0</v>
      </c>
      <c r="I108" s="12">
        <f t="shared" si="17"/>
        <v>0</v>
      </c>
      <c r="J108" s="12">
        <f>Table145[[#This Row],[Enrolment S.Y. 2025-2026 ]]*8</f>
        <v>0</v>
      </c>
      <c r="K108" s="12"/>
      <c r="L108" s="10"/>
      <c r="M108" s="12"/>
      <c r="N108" s="12">
        <f t="shared" si="14"/>
        <v>0</v>
      </c>
      <c r="O108" s="12">
        <f t="shared" si="15"/>
        <v>0</v>
      </c>
      <c r="P108" s="12">
        <f>Table145[[#This Row],[Enrolment S.Y. 2025-2026 ]]*8</f>
        <v>0</v>
      </c>
      <c r="Q108" s="12"/>
      <c r="R108" s="10"/>
      <c r="S108" s="12"/>
      <c r="T108" s="12">
        <f t="shared" si="10"/>
        <v>0</v>
      </c>
      <c r="U108" s="12">
        <f t="shared" si="11"/>
        <v>0</v>
      </c>
      <c r="V108" s="12">
        <f>Table145[[#This Row],[Enrolment S.Y. 2025-2026 ]]*8</f>
        <v>0</v>
      </c>
      <c r="W108" s="12"/>
      <c r="X108" s="10"/>
      <c r="Y108" s="12"/>
      <c r="Z108" s="12">
        <f t="shared" si="12"/>
        <v>0</v>
      </c>
      <c r="AA108" s="12">
        <f t="shared" si="13"/>
        <v>0</v>
      </c>
    </row>
    <row r="109" spans="1:28" ht="19.5">
      <c r="A109" s="35">
        <v>10</v>
      </c>
      <c r="B109" s="11" t="s">
        <v>75</v>
      </c>
      <c r="C109" s="10"/>
      <c r="D109" s="12">
        <f>Table145[[#This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Table145[[#This Row],[Enrolment S.Y. 2025-2026 ]]*8</f>
        <v>0</v>
      </c>
      <c r="K109" s="12"/>
      <c r="L109" s="10"/>
      <c r="M109" s="12"/>
      <c r="N109" s="12">
        <f t="shared" si="14"/>
        <v>0</v>
      </c>
      <c r="O109" s="12">
        <f t="shared" si="15"/>
        <v>0</v>
      </c>
      <c r="P109" s="12">
        <f>Table145[[#This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Table145[[#This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8" ht="38.25">
      <c r="A110" s="10">
        <v>10</v>
      </c>
      <c r="B110" s="11" t="s">
        <v>76</v>
      </c>
      <c r="C110" s="10"/>
      <c r="D110" s="12">
        <f>Table145[[#This Row],[Enrolment S.Y. 2025-2026 ]]*8</f>
        <v>0</v>
      </c>
      <c r="E110" s="12"/>
      <c r="F110" s="10"/>
      <c r="G110" s="12"/>
      <c r="H110" s="12">
        <f t="shared" si="16"/>
        <v>0</v>
      </c>
      <c r="I110" s="12">
        <f t="shared" si="17"/>
        <v>0</v>
      </c>
      <c r="J110" s="12">
        <f>Table145[[#This Row],[Enrolment S.Y. 2025-2026 ]]*8</f>
        <v>0</v>
      </c>
      <c r="K110" s="12"/>
      <c r="L110" s="10"/>
      <c r="M110" s="12"/>
      <c r="N110" s="12">
        <f t="shared" si="14"/>
        <v>0</v>
      </c>
      <c r="O110" s="12">
        <f t="shared" si="15"/>
        <v>0</v>
      </c>
      <c r="P110" s="12">
        <f>Table145[[#This Row],[Enrolment S.Y. 2025-2026 ]]*8</f>
        <v>0</v>
      </c>
      <c r="Q110" s="12"/>
      <c r="R110" s="10"/>
      <c r="S110" s="12"/>
      <c r="T110" s="12">
        <f t="shared" si="10"/>
        <v>0</v>
      </c>
      <c r="U110" s="12">
        <f t="shared" si="11"/>
        <v>0</v>
      </c>
      <c r="V110" s="12">
        <f>Table145[[#This Row],[Enrolment S.Y. 2025-2026 ]]*8</f>
        <v>0</v>
      </c>
      <c r="W110" s="12"/>
      <c r="X110" s="10"/>
      <c r="Y110" s="12"/>
      <c r="Z110" s="12">
        <f t="shared" si="12"/>
        <v>0</v>
      </c>
      <c r="AA110" s="12">
        <f t="shared" si="13"/>
        <v>0</v>
      </c>
    </row>
    <row r="111" spans="1:28" ht="19.5">
      <c r="A111" s="10">
        <v>10</v>
      </c>
      <c r="B111" s="11" t="s">
        <v>80</v>
      </c>
      <c r="C111" s="10"/>
      <c r="D111" s="12">
        <f>Table145[[#This Row],[Enrolment S.Y. 2025-2026 ]]*8</f>
        <v>0</v>
      </c>
      <c r="E111" s="12"/>
      <c r="F111" s="10"/>
      <c r="G111" s="12"/>
      <c r="H111" s="12">
        <f t="shared" si="16"/>
        <v>0</v>
      </c>
      <c r="I111" s="12">
        <f t="shared" si="17"/>
        <v>0</v>
      </c>
      <c r="J111" s="12">
        <f>Table145[[#This Row],[Enrolment S.Y. 2025-2026 ]]*8</f>
        <v>0</v>
      </c>
      <c r="K111" s="12"/>
      <c r="L111" s="10"/>
      <c r="M111" s="12"/>
      <c r="N111" s="12">
        <f t="shared" si="14"/>
        <v>0</v>
      </c>
      <c r="O111" s="12">
        <f t="shared" si="15"/>
        <v>0</v>
      </c>
      <c r="P111" s="12">
        <f>Table145[[#This Row],[Enrolment S.Y. 2025-2026 ]]*8</f>
        <v>0</v>
      </c>
      <c r="Q111" s="12"/>
      <c r="R111" s="10"/>
      <c r="S111" s="12"/>
      <c r="T111" s="12">
        <f t="shared" si="10"/>
        <v>0</v>
      </c>
      <c r="U111" s="12">
        <f t="shared" si="11"/>
        <v>0</v>
      </c>
      <c r="V111" s="12">
        <f>Table145[[#This Row],[Enrolment S.Y. 2025-2026 ]]*8</f>
        <v>0</v>
      </c>
      <c r="W111" s="12"/>
      <c r="X111" s="10"/>
      <c r="Y111" s="12"/>
      <c r="Z111" s="12">
        <f t="shared" si="12"/>
        <v>0</v>
      </c>
      <c r="AA111" s="12">
        <f t="shared" si="13"/>
        <v>0</v>
      </c>
    </row>
    <row r="112" spans="1:28" ht="38.25">
      <c r="A112" s="35">
        <v>10</v>
      </c>
      <c r="B112" s="11" t="s">
        <v>77</v>
      </c>
      <c r="C112" s="10"/>
      <c r="D112" s="12">
        <f>Table145[[#This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Table145[[#This Row],[Enrolment S.Y. 2025-2026 ]]*8</f>
        <v>0</v>
      </c>
      <c r="K112" s="12"/>
      <c r="L112" s="10"/>
      <c r="M112" s="12"/>
      <c r="N112" s="12">
        <f t="shared" si="14"/>
        <v>0</v>
      </c>
      <c r="O112" s="12">
        <f t="shared" si="15"/>
        <v>0</v>
      </c>
      <c r="P112" s="12">
        <f>Table145[[#This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Table145[[#This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78</v>
      </c>
      <c r="C113" s="10"/>
      <c r="D113" s="12">
        <f>Table145[[#This Row],[Enrolment S.Y. 2025-2026 ]]*8</f>
        <v>0</v>
      </c>
      <c r="E113" s="12"/>
      <c r="F113" s="10"/>
      <c r="G113" s="12"/>
      <c r="H113" s="12">
        <f t="shared" si="16"/>
        <v>0</v>
      </c>
      <c r="I113" s="12">
        <f t="shared" si="17"/>
        <v>0</v>
      </c>
      <c r="J113" s="12">
        <f>Table145[[#This Row],[Enrolment S.Y. 2025-2026 ]]*8</f>
        <v>0</v>
      </c>
      <c r="K113" s="12"/>
      <c r="L113" s="10"/>
      <c r="M113" s="12"/>
      <c r="N113" s="12">
        <f t="shared" si="14"/>
        <v>0</v>
      </c>
      <c r="O113" s="12">
        <f t="shared" si="15"/>
        <v>0</v>
      </c>
      <c r="P113" s="12">
        <f>Table145[[#This Row],[Enrolment S.Y. 2025-2026 ]]*8</f>
        <v>0</v>
      </c>
      <c r="Q113" s="12"/>
      <c r="R113" s="10"/>
      <c r="S113" s="12"/>
      <c r="T113" s="12">
        <f t="shared" si="10"/>
        <v>0</v>
      </c>
      <c r="U113" s="12">
        <f t="shared" si="11"/>
        <v>0</v>
      </c>
      <c r="V113" s="12">
        <f>Table145[[#This Row],[Enrolment S.Y. 2025-2026 ]]*8</f>
        <v>0</v>
      </c>
      <c r="W113" s="12"/>
      <c r="X113" s="10"/>
      <c r="Y113" s="12"/>
      <c r="Z113" s="12">
        <f t="shared" si="12"/>
        <v>0</v>
      </c>
      <c r="AA113" s="12">
        <f t="shared" si="13"/>
        <v>0</v>
      </c>
    </row>
    <row r="114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46.5" customHeight="1">
      <c r="A115" s="1" t="s">
        <v>82</v>
      </c>
      <c r="B115" s="9" t="s">
        <v>83</v>
      </c>
      <c r="C115" s="1"/>
      <c r="D115" s="5">
        <f>Table145[[#This Row],[Enrolment S.Y. 2025-2026 ]]*8</f>
        <v>0</v>
      </c>
      <c r="E115" s="5"/>
      <c r="F115" s="1"/>
      <c r="G115" s="5"/>
      <c r="H115" s="5">
        <f t="shared" si="16"/>
        <v>0</v>
      </c>
      <c r="I115" s="5">
        <f t="shared" si="17"/>
        <v>0</v>
      </c>
      <c r="J115" s="5">
        <f>Table145[[#This Row],[Enrolment S.Y. 2025-2026 ]]*8</f>
        <v>0</v>
      </c>
      <c r="K115" s="5"/>
      <c r="L115" s="1"/>
      <c r="M115" s="5"/>
      <c r="N115" s="5">
        <f t="shared" si="14"/>
        <v>0</v>
      </c>
      <c r="O115" s="5">
        <f t="shared" si="15"/>
        <v>0</v>
      </c>
      <c r="P115" s="5">
        <f>Table145[[#This Row],[Enrolment S.Y. 2025-2026 ]]*8</f>
        <v>0</v>
      </c>
      <c r="Q115" s="5"/>
      <c r="R115" s="1"/>
      <c r="S115" s="5"/>
      <c r="T115" s="5">
        <f t="shared" si="10"/>
        <v>0</v>
      </c>
      <c r="U115" s="5">
        <f t="shared" si="11"/>
        <v>0</v>
      </c>
      <c r="V115" s="5">
        <f>Table145[[#This Row],[Enrolment S.Y. 2025-2026 ]]*8</f>
        <v>0</v>
      </c>
      <c r="W115" s="5"/>
      <c r="X115" s="1"/>
      <c r="Y115" s="5"/>
      <c r="Z115" s="5">
        <f t="shared" si="12"/>
        <v>0</v>
      </c>
      <c r="AA115" s="5">
        <f t="shared" si="13"/>
        <v>0</v>
      </c>
    </row>
    <row r="116" spans="1:28" ht="37.5" customHeight="1">
      <c r="A116" s="1" t="s">
        <v>82</v>
      </c>
      <c r="B116" s="9" t="s">
        <v>84</v>
      </c>
      <c r="C116" s="1"/>
      <c r="D116" s="5">
        <f>Table145[[#This Row],[Enrolment S.Y. 2025-2026 ]]*8</f>
        <v>0</v>
      </c>
      <c r="E116" s="5"/>
      <c r="F116" s="1"/>
      <c r="G116" s="5"/>
      <c r="H116" s="5">
        <f t="shared" si="16"/>
        <v>0</v>
      </c>
      <c r="I116" s="5">
        <f t="shared" si="17"/>
        <v>0</v>
      </c>
      <c r="J116" s="5">
        <f>Table145[[#This Row],[Enrolment S.Y. 2025-2026 ]]*8</f>
        <v>0</v>
      </c>
      <c r="K116" s="5"/>
      <c r="L116" s="1"/>
      <c r="M116" s="5"/>
      <c r="N116" s="5">
        <f t="shared" si="14"/>
        <v>0</v>
      </c>
      <c r="O116" s="5">
        <f t="shared" si="15"/>
        <v>0</v>
      </c>
      <c r="P116" s="5">
        <f>Table145[[#This Row],[Enrolment S.Y. 2025-2026 ]]*8</f>
        <v>0</v>
      </c>
      <c r="Q116" s="5"/>
      <c r="R116" s="1"/>
      <c r="S116" s="5"/>
      <c r="T116" s="5">
        <f t="shared" si="10"/>
        <v>0</v>
      </c>
      <c r="U116" s="5">
        <f t="shared" si="11"/>
        <v>0</v>
      </c>
      <c r="V116" s="5">
        <f>Table145[[#This Row],[Enrolment S.Y. 2025-2026 ]]*8</f>
        <v>0</v>
      </c>
      <c r="W116" s="5"/>
      <c r="X116" s="1"/>
      <c r="Y116" s="5"/>
      <c r="Z116" s="5">
        <f t="shared" si="12"/>
        <v>0</v>
      </c>
      <c r="AA116" s="5">
        <f t="shared" si="13"/>
        <v>0</v>
      </c>
    </row>
    <row r="117" spans="1:28" ht="40.5" customHeight="1">
      <c r="A117" s="1" t="s">
        <v>82</v>
      </c>
      <c r="B117" s="9" t="s">
        <v>85</v>
      </c>
      <c r="C117" s="1"/>
      <c r="D117" s="5">
        <f>Table145[[#This Row],[Enrolment S.Y. 2025-2026 ]]*8</f>
        <v>0</v>
      </c>
      <c r="E117" s="5"/>
      <c r="F117" s="1"/>
      <c r="G117" s="5"/>
      <c r="H117" s="5">
        <f t="shared" si="16"/>
        <v>0</v>
      </c>
      <c r="I117" s="5">
        <f t="shared" si="17"/>
        <v>0</v>
      </c>
      <c r="J117" s="5">
        <f>Table145[[#This Row],[Enrolment S.Y. 2025-2026 ]]*8</f>
        <v>0</v>
      </c>
      <c r="K117" s="5"/>
      <c r="L117" s="1"/>
      <c r="M117" s="5"/>
      <c r="N117" s="5">
        <f t="shared" si="14"/>
        <v>0</v>
      </c>
      <c r="O117" s="5">
        <f t="shared" si="15"/>
        <v>0</v>
      </c>
      <c r="P117" s="5">
        <f>Table145[[#This Row],[Enrolment S.Y. 2025-2026 ]]*8</f>
        <v>0</v>
      </c>
      <c r="Q117" s="5"/>
      <c r="R117" s="1"/>
      <c r="S117" s="5"/>
      <c r="T117" s="5">
        <f t="shared" si="10"/>
        <v>0</v>
      </c>
      <c r="U117" s="5">
        <f t="shared" si="11"/>
        <v>0</v>
      </c>
      <c r="V117" s="5">
        <f>Table145[[#This Row],[Enrolment S.Y. 2025-2026 ]]*8</f>
        <v>0</v>
      </c>
      <c r="W117" s="5"/>
      <c r="X117" s="1"/>
      <c r="Y117" s="5"/>
      <c r="Z117" s="5">
        <f t="shared" si="12"/>
        <v>0</v>
      </c>
      <c r="AA117" s="5">
        <f t="shared" si="13"/>
        <v>0</v>
      </c>
    </row>
    <row r="118" spans="1:28" ht="39.75" customHeight="1">
      <c r="A118" s="1" t="s">
        <v>82</v>
      </c>
      <c r="B118" s="9" t="s">
        <v>86</v>
      </c>
      <c r="C118" s="1"/>
      <c r="D118" s="5">
        <f>Table145[[#This Row],[Enrolment S.Y. 2025-2026 ]]*8</f>
        <v>0</v>
      </c>
      <c r="E118" s="5"/>
      <c r="F118" s="1"/>
      <c r="G118" s="5"/>
      <c r="H118" s="5">
        <f t="shared" si="16"/>
        <v>0</v>
      </c>
      <c r="I118" s="5">
        <f t="shared" si="17"/>
        <v>0</v>
      </c>
      <c r="J118" s="5">
        <f>Table145[[#This Row],[Enrolment S.Y. 2025-2026 ]]*8</f>
        <v>0</v>
      </c>
      <c r="K118" s="5"/>
      <c r="L118" s="1"/>
      <c r="M118" s="5"/>
      <c r="N118" s="5">
        <f t="shared" si="14"/>
        <v>0</v>
      </c>
      <c r="O118" s="5">
        <f t="shared" si="15"/>
        <v>0</v>
      </c>
      <c r="P118" s="5">
        <f>Table145[[#This Row],[Enrolment S.Y. 2025-2026 ]]*8</f>
        <v>0</v>
      </c>
      <c r="Q118" s="5"/>
      <c r="R118" s="1"/>
      <c r="S118" s="5"/>
      <c r="T118" s="5">
        <f t="shared" si="10"/>
        <v>0</v>
      </c>
      <c r="U118" s="5">
        <f t="shared" si="11"/>
        <v>0</v>
      </c>
      <c r="V118" s="5">
        <f>Table145[[#This Row],[Enrolment S.Y. 2025-2026 ]]*8</f>
        <v>0</v>
      </c>
      <c r="W118" s="5"/>
      <c r="X118" s="1"/>
      <c r="Y118" s="5"/>
      <c r="Z118" s="5">
        <f t="shared" si="12"/>
        <v>0</v>
      </c>
      <c r="AA118" s="5">
        <f t="shared" si="13"/>
        <v>0</v>
      </c>
    </row>
    <row r="119" spans="1:28" ht="57" customHeight="1">
      <c r="A119" s="1" t="s">
        <v>82</v>
      </c>
      <c r="B119" s="9" t="s">
        <v>87</v>
      </c>
      <c r="C119" s="1"/>
      <c r="D119" s="5">
        <f>Table145[[#This Row],[Enrolment S.Y. 2025-2026 ]]*8</f>
        <v>0</v>
      </c>
      <c r="E119" s="5"/>
      <c r="F119" s="1"/>
      <c r="G119" s="5"/>
      <c r="H119" s="5">
        <f t="shared" si="16"/>
        <v>0</v>
      </c>
      <c r="I119" s="5">
        <f t="shared" si="17"/>
        <v>0</v>
      </c>
      <c r="J119" s="5">
        <f>Table145[[#This Row],[Enrolment S.Y. 2025-2026 ]]*8</f>
        <v>0</v>
      </c>
      <c r="K119" s="5"/>
      <c r="L119" s="1"/>
      <c r="M119" s="5"/>
      <c r="N119" s="5">
        <f t="shared" si="14"/>
        <v>0</v>
      </c>
      <c r="O119" s="5">
        <f t="shared" si="15"/>
        <v>0</v>
      </c>
      <c r="P119" s="5">
        <f>Table145[[#This Row],[Enrolment S.Y. 2025-2026 ]]*8</f>
        <v>0</v>
      </c>
      <c r="Q119" s="5"/>
      <c r="R119" s="1"/>
      <c r="S119" s="5"/>
      <c r="T119" s="5">
        <f t="shared" si="10"/>
        <v>0</v>
      </c>
      <c r="U119" s="5">
        <f t="shared" si="11"/>
        <v>0</v>
      </c>
      <c r="V119" s="5">
        <f>Table145[[#This Row],[Enrolment S.Y. 2025-2026 ]]*8</f>
        <v>0</v>
      </c>
      <c r="W119" s="5"/>
      <c r="X119" s="1"/>
      <c r="Y119" s="5"/>
      <c r="Z119" s="5">
        <f t="shared" si="12"/>
        <v>0</v>
      </c>
      <c r="AA119" s="5">
        <f t="shared" si="13"/>
        <v>0</v>
      </c>
    </row>
    <row r="120" spans="1:28" ht="53.25" customHeight="1">
      <c r="A120" s="1" t="s">
        <v>82</v>
      </c>
      <c r="B120" s="9" t="s">
        <v>88</v>
      </c>
      <c r="C120" s="1"/>
      <c r="D120" s="5">
        <f>Table145[[#This Row],[Enrolment S.Y. 2025-2026 ]]*8</f>
        <v>0</v>
      </c>
      <c r="E120" s="5"/>
      <c r="F120" s="1"/>
      <c r="G120" s="5"/>
      <c r="H120" s="5">
        <f t="shared" si="16"/>
        <v>0</v>
      </c>
      <c r="I120" s="5">
        <f t="shared" si="17"/>
        <v>0</v>
      </c>
      <c r="J120" s="5">
        <f>Table145[[#This Row],[Enrolment S.Y. 2025-2026 ]]*8</f>
        <v>0</v>
      </c>
      <c r="K120" s="5"/>
      <c r="L120" s="1"/>
      <c r="M120" s="5"/>
      <c r="N120" s="5">
        <f t="shared" si="14"/>
        <v>0</v>
      </c>
      <c r="O120" s="5">
        <f t="shared" si="15"/>
        <v>0</v>
      </c>
      <c r="P120" s="5">
        <f>Table145[[#This Row],[Enrolment S.Y. 2025-2026 ]]*8</f>
        <v>0</v>
      </c>
      <c r="Q120" s="5"/>
      <c r="R120" s="1"/>
      <c r="S120" s="5"/>
      <c r="T120" s="5">
        <f t="shared" si="10"/>
        <v>0</v>
      </c>
      <c r="U120" s="5">
        <f t="shared" si="11"/>
        <v>0</v>
      </c>
      <c r="V120" s="5">
        <f>Table145[[#This Row],[Enrolment S.Y. 2025-2026 ]]*8</f>
        <v>0</v>
      </c>
      <c r="W120" s="5"/>
      <c r="X120" s="1"/>
      <c r="Y120" s="5"/>
      <c r="Z120" s="5">
        <f t="shared" si="12"/>
        <v>0</v>
      </c>
      <c r="AA120" s="5">
        <f t="shared" si="13"/>
        <v>0</v>
      </c>
    </row>
    <row r="121" spans="1:28" ht="134.25">
      <c r="A121" s="1" t="s">
        <v>82</v>
      </c>
      <c r="B121" s="9" t="s">
        <v>89</v>
      </c>
      <c r="C121" s="1"/>
      <c r="D121" s="5">
        <f>Table145[[#This Row],[Enrolment S.Y. 2025-2026 ]]*8</f>
        <v>0</v>
      </c>
      <c r="E121" s="5"/>
      <c r="F121" s="1"/>
      <c r="G121" s="5"/>
      <c r="H121" s="5">
        <f t="shared" si="16"/>
        <v>0</v>
      </c>
      <c r="I121" s="5">
        <f t="shared" si="17"/>
        <v>0</v>
      </c>
      <c r="J121" s="5">
        <f>Table145[[#This Row],[Enrolment S.Y. 2025-2026 ]]*8</f>
        <v>0</v>
      </c>
      <c r="K121" s="5"/>
      <c r="L121" s="1"/>
      <c r="M121" s="5"/>
      <c r="N121" s="5">
        <f t="shared" si="14"/>
        <v>0</v>
      </c>
      <c r="O121" s="5">
        <f t="shared" si="15"/>
        <v>0</v>
      </c>
      <c r="P121" s="5">
        <f>Table145[[#This Row],[Enrolment S.Y. 2025-2026 ]]*8</f>
        <v>0</v>
      </c>
      <c r="Q121" s="5"/>
      <c r="R121" s="1"/>
      <c r="S121" s="5"/>
      <c r="T121" s="5">
        <f t="shared" si="10"/>
        <v>0</v>
      </c>
      <c r="U121" s="5">
        <f t="shared" si="11"/>
        <v>0</v>
      </c>
      <c r="V121" s="5">
        <f>Table145[[#This Row],[Enrolment S.Y. 2025-2026 ]]*8</f>
        <v>0</v>
      </c>
      <c r="W121" s="5"/>
      <c r="X121" s="1"/>
      <c r="Y121" s="5"/>
      <c r="Z121" s="5">
        <f t="shared" si="12"/>
        <v>0</v>
      </c>
      <c r="AA121" s="5">
        <f t="shared" si="13"/>
        <v>0</v>
      </c>
    </row>
    <row r="122" spans="1:28" ht="45" customHeight="1">
      <c r="A122" s="1" t="s">
        <v>82</v>
      </c>
      <c r="B122" s="9" t="s">
        <v>90</v>
      </c>
      <c r="C122" s="1"/>
      <c r="D122" s="5">
        <f>Table145[[#This Row],[Enrolment S.Y. 2025-2026 ]]*8</f>
        <v>0</v>
      </c>
      <c r="E122" s="5"/>
      <c r="F122" s="1"/>
      <c r="G122" s="5"/>
      <c r="H122" s="5">
        <f t="shared" si="16"/>
        <v>0</v>
      </c>
      <c r="I122" s="5">
        <f t="shared" si="17"/>
        <v>0</v>
      </c>
      <c r="J122" s="5">
        <f>Table145[[#This Row],[Enrolment S.Y. 2025-2026 ]]*8</f>
        <v>0</v>
      </c>
      <c r="K122" s="5"/>
      <c r="L122" s="1"/>
      <c r="M122" s="5"/>
      <c r="N122" s="5">
        <f t="shared" si="14"/>
        <v>0</v>
      </c>
      <c r="O122" s="5">
        <f t="shared" si="15"/>
        <v>0</v>
      </c>
      <c r="P122" s="5">
        <f>Table145[[#This Row],[Enrolment S.Y. 2025-2026 ]]*8</f>
        <v>0</v>
      </c>
      <c r="Q122" s="5"/>
      <c r="R122" s="1"/>
      <c r="S122" s="5"/>
      <c r="T122" s="5">
        <f t="shared" si="10"/>
        <v>0</v>
      </c>
      <c r="U122" s="5">
        <f t="shared" si="11"/>
        <v>0</v>
      </c>
      <c r="V122" s="5">
        <f>Table145[[#This Row],[Enrolment S.Y. 2025-2026 ]]*8</f>
        <v>0</v>
      </c>
      <c r="W122" s="5"/>
      <c r="X122" s="1"/>
      <c r="Y122" s="5"/>
      <c r="Z122" s="5">
        <f t="shared" si="12"/>
        <v>0</v>
      </c>
      <c r="AA122" s="5">
        <f t="shared" si="13"/>
        <v>0</v>
      </c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8F202BF9-89B4-4DEB-A3D6-46E8E2500BFD}">
      <formula1>"2024,2025"</formula1>
    </dataValidation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41CA7E69-A919-414F-AE39-08FAD65210EE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2026-04-14T01:02:00Z</dcterms:modified>
  <cp:category/>
  <cp:contentStatus/>
</cp:coreProperties>
</file>