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5" documentId="13_ncr:1_{BFB59F67-F0DC-4675-A682-EB0734A8026A}" xr6:coauthVersionLast="47" xr6:coauthVersionMax="47" xr10:uidLastSave="{C2270E04-A3EB-4569-8B30-0E5B5CCE97DD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5" i="5" l="1"/>
  <c r="D104" i="5"/>
  <c r="D103" i="5"/>
  <c r="D93" i="5"/>
  <c r="D92" i="5"/>
  <c r="D99" i="5"/>
  <c r="D95" i="4"/>
  <c r="D94" i="4"/>
  <c r="D93" i="4"/>
  <c r="D72" i="1"/>
  <c r="D73" i="1"/>
  <c r="D83" i="1"/>
  <c r="D82" i="1"/>
  <c r="D81" i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H112" i="5"/>
  <c r="J112" i="5"/>
  <c r="U112" i="5"/>
  <c r="T112" i="5"/>
  <c r="V112" i="5"/>
  <c r="Z112" i="5" s="1"/>
  <c r="H109" i="5"/>
  <c r="J109" i="5"/>
  <c r="U109" i="5"/>
  <c r="V109" i="5"/>
  <c r="Z109" i="5" s="1"/>
  <c r="D88" i="5"/>
  <c r="H88" i="5" s="1"/>
  <c r="J88" i="5"/>
  <c r="T88" i="5"/>
  <c r="V88" i="5"/>
  <c r="Z88" i="5" s="1"/>
  <c r="H100" i="5"/>
  <c r="J100" i="5"/>
  <c r="T100" i="5"/>
  <c r="V100" i="5"/>
  <c r="Z100" i="5" s="1"/>
  <c r="H97" i="5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I113" i="5"/>
  <c r="V111" i="5"/>
  <c r="Z111" i="5" s="1"/>
  <c r="J111" i="5"/>
  <c r="D111" i="5"/>
  <c r="I111" i="5" s="1"/>
  <c r="V110" i="5"/>
  <c r="AA110" i="5" s="1"/>
  <c r="J110" i="5"/>
  <c r="I110" i="5"/>
  <c r="V108" i="5"/>
  <c r="Z108" i="5" s="1"/>
  <c r="P108" i="5"/>
  <c r="J108" i="5"/>
  <c r="N108" i="5" s="1"/>
  <c r="I108" i="5"/>
  <c r="V107" i="5"/>
  <c r="AA107" i="5" s="1"/>
  <c r="P107" i="5"/>
  <c r="U107" i="5" s="1"/>
  <c r="J107" i="5"/>
  <c r="O107" i="5" s="1"/>
  <c r="I107" i="5"/>
  <c r="V106" i="5"/>
  <c r="Z106" i="5" s="1"/>
  <c r="P106" i="5"/>
  <c r="J106" i="5"/>
  <c r="N106" i="5" s="1"/>
  <c r="I106" i="5"/>
  <c r="V105" i="5"/>
  <c r="AA105" i="5" s="1"/>
  <c r="P105" i="5"/>
  <c r="U105" i="5" s="1"/>
  <c r="J105" i="5"/>
  <c r="O105" i="5" s="1"/>
  <c r="I105" i="5"/>
  <c r="V104" i="5"/>
  <c r="AA104" i="5" s="1"/>
  <c r="P104" i="5"/>
  <c r="J104" i="5"/>
  <c r="N104" i="5" s="1"/>
  <c r="I104" i="5"/>
  <c r="V103" i="5"/>
  <c r="AA103" i="5" s="1"/>
  <c r="P103" i="5"/>
  <c r="U103" i="5" s="1"/>
  <c r="J103" i="5"/>
  <c r="O103" i="5" s="1"/>
  <c r="I103" i="5"/>
  <c r="V101" i="5"/>
  <c r="AA101" i="5" s="1"/>
  <c r="J101" i="5"/>
  <c r="I101" i="5"/>
  <c r="V99" i="5"/>
  <c r="AA99" i="5" s="1"/>
  <c r="U99" i="5"/>
  <c r="J99" i="5"/>
  <c r="I99" i="5"/>
  <c r="V98" i="5"/>
  <c r="AA98" i="5" s="1"/>
  <c r="J98" i="5"/>
  <c r="I98" i="5"/>
  <c r="V96" i="5"/>
  <c r="AA96" i="5" s="1"/>
  <c r="P96" i="5"/>
  <c r="U96" i="5" s="1"/>
  <c r="J96" i="5"/>
  <c r="O96" i="5" s="1"/>
  <c r="I96" i="5"/>
  <c r="V95" i="5"/>
  <c r="AA95" i="5" s="1"/>
  <c r="P95" i="5"/>
  <c r="J95" i="5"/>
  <c r="N95" i="5" s="1"/>
  <c r="H95" i="5"/>
  <c r="V94" i="5"/>
  <c r="AA94" i="5" s="1"/>
  <c r="P94" i="5"/>
  <c r="U94" i="5" s="1"/>
  <c r="J94" i="5"/>
  <c r="O94" i="5" s="1"/>
  <c r="H94" i="5"/>
  <c r="V93" i="5"/>
  <c r="AA93" i="5" s="1"/>
  <c r="P93" i="5"/>
  <c r="J93" i="5"/>
  <c r="N93" i="5" s="1"/>
  <c r="I93" i="5"/>
  <c r="V92" i="5"/>
  <c r="AA92" i="5" s="1"/>
  <c r="P92" i="5"/>
  <c r="U92" i="5" s="1"/>
  <c r="J92" i="5"/>
  <c r="O92" i="5" s="1"/>
  <c r="I92" i="5"/>
  <c r="V91" i="5"/>
  <c r="AA91" i="5" s="1"/>
  <c r="P91" i="5"/>
  <c r="J91" i="5"/>
  <c r="N91" i="5" s="1"/>
  <c r="I91" i="5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I85" i="4"/>
  <c r="I86" i="4"/>
  <c r="H87" i="4"/>
  <c r="H88" i="4"/>
  <c r="H89" i="4"/>
  <c r="H90" i="4"/>
  <c r="I91" i="4"/>
  <c r="I94" i="4"/>
  <c r="I95" i="4"/>
  <c r="I96" i="4"/>
  <c r="I97" i="4"/>
  <c r="I98" i="4"/>
  <c r="H99" i="4"/>
  <c r="I100" i="4"/>
  <c r="I101" i="4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<sst xmlns="http://schemas.openxmlformats.org/spreadsheetml/2006/main" count="388" uniqueCount="90">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</sst>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D58" activePane="topRight" state="frozen"/>
      <selection pane="topRight" activeCell="D81" sqref="D81:D8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>
        <v>2800</v>
      </c>
      <c r="E71" s="10">
        <v>2025</v>
      </c>
      <c r="F71" s="12"/>
      <c r="G71" s="3">
        <f t="shared" ref="G71:G79" si="14">IF((C71-D71)&lt;0,0,C71-D71)</f>
        <v>0</v>
      </c>
      <c r="H71" s="4">
        <f t="shared" ref="H71:H79" si="15">IF((D71-C71)&lt;0,0,D71-C71)</f>
        <v>2800</v>
      </c>
    </row>
    <row r="72" spans="1:8" ht="27.75" customHeight="1">
      <c r="A72" s="10">
        <v>9</v>
      </c>
      <c r="B72" s="11" t="s">
        <v>15</v>
      </c>
      <c r="C72" s="10"/>
      <c r="D72" s="10">
        <f>3600+1400+(360*6)</f>
        <v>7160</v>
      </c>
      <c r="E72" s="10">
        <v>2025</v>
      </c>
      <c r="F72" s="12"/>
      <c r="G72" s="3">
        <f t="shared" si="14"/>
        <v>0</v>
      </c>
      <c r="H72" s="4">
        <f t="shared" si="15"/>
        <v>7160</v>
      </c>
    </row>
    <row r="73" spans="1:8" ht="27.75" customHeight="1">
      <c r="A73" s="10">
        <v>9</v>
      </c>
      <c r="B73" s="11" t="s">
        <v>12</v>
      </c>
      <c r="C73" s="10"/>
      <c r="D73" s="10">
        <f>360*23+3000+1800</f>
        <v>13080</v>
      </c>
      <c r="E73" s="10">
        <v>2025</v>
      </c>
      <c r="F73" s="12"/>
      <c r="G73" s="3">
        <f t="shared" si="14"/>
        <v>0</v>
      </c>
      <c r="H73" s="4">
        <f t="shared" si="15"/>
        <v>13080</v>
      </c>
    </row>
    <row r="74" spans="1:8" ht="27.75" customHeight="1">
      <c r="A74" s="10">
        <v>9</v>
      </c>
      <c r="B74" s="11" t="s">
        <v>20</v>
      </c>
      <c r="C74" s="10"/>
      <c r="D74" s="10">
        <v>3100</v>
      </c>
      <c r="E74" s="10">
        <v>2025</v>
      </c>
      <c r="F74" s="12"/>
      <c r="G74" s="3">
        <f t="shared" si="14"/>
        <v>0</v>
      </c>
      <c r="H74" s="4">
        <f t="shared" si="15"/>
        <v>3100</v>
      </c>
    </row>
    <row r="75" spans="1:8" ht="27.75" customHeight="1">
      <c r="A75" s="10">
        <v>9</v>
      </c>
      <c r="B75" s="11" t="s">
        <v>22</v>
      </c>
      <c r="C75" s="10"/>
      <c r="D75" s="10">
        <v>3600</v>
      </c>
      <c r="E75" s="10">
        <v>2025</v>
      </c>
      <c r="F75" s="12"/>
      <c r="G75" s="3">
        <f t="shared" si="14"/>
        <v>0</v>
      </c>
      <c r="H75" s="4">
        <f t="shared" si="15"/>
        <v>3600</v>
      </c>
    </row>
    <row r="76" spans="1:8" ht="27.75" customHeight="1">
      <c r="A76" s="10">
        <v>9</v>
      </c>
      <c r="B76" s="11" t="s">
        <v>13</v>
      </c>
      <c r="C76" s="10"/>
      <c r="D76" s="10">
        <v>3800</v>
      </c>
      <c r="E76" s="10">
        <v>2025</v>
      </c>
      <c r="F76" s="12"/>
      <c r="G76" s="3">
        <f t="shared" si="14"/>
        <v>0</v>
      </c>
      <c r="H76" s="4">
        <f t="shared" si="15"/>
        <v>3800</v>
      </c>
    </row>
    <row r="77" spans="1:8" ht="27.75" customHeight="1">
      <c r="A77" s="10">
        <v>9</v>
      </c>
      <c r="B77" s="11" t="s">
        <v>17</v>
      </c>
      <c r="C77" s="10"/>
      <c r="D77" s="10">
        <v>3200</v>
      </c>
      <c r="E77" s="10">
        <v>2025</v>
      </c>
      <c r="F77" s="12"/>
      <c r="G77" s="3">
        <f t="shared" si="14"/>
        <v>0</v>
      </c>
      <c r="H77" s="4">
        <f t="shared" si="15"/>
        <v>3200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>
        <v>4700</v>
      </c>
      <c r="E79" s="10"/>
      <c r="F79" s="12"/>
      <c r="G79" s="3">
        <f t="shared" si="14"/>
        <v>0</v>
      </c>
      <c r="H79" s="4">
        <f t="shared" si="15"/>
        <v>4700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>
        <f>420*8+(300*8)+1500+600</f>
        <v>7860</v>
      </c>
      <c r="E81" s="10">
        <v>2025</v>
      </c>
      <c r="F81" s="12"/>
      <c r="G81" s="3">
        <f t="shared" ref="G81:G89" si="16">IF((C81-D81)&lt;0,0,C81-D81)</f>
        <v>0</v>
      </c>
      <c r="H81" s="4">
        <f t="shared" ref="H81:H89" si="17">IF((D81-C81)&lt;0,0,D81-C81)</f>
        <v>7860</v>
      </c>
    </row>
    <row r="82" spans="1:8" ht="27.75" customHeight="1">
      <c r="A82" s="10">
        <v>10</v>
      </c>
      <c r="B82" s="11" t="s">
        <v>15</v>
      </c>
      <c r="C82" s="10"/>
      <c r="D82" s="10">
        <f>420*7+2100+1400</f>
        <v>6440</v>
      </c>
      <c r="E82" s="10">
        <v>2025</v>
      </c>
      <c r="F82" s="12"/>
      <c r="G82" s="3">
        <f t="shared" si="16"/>
        <v>0</v>
      </c>
      <c r="H82" s="4">
        <f t="shared" si="17"/>
        <v>6440</v>
      </c>
    </row>
    <row r="83" spans="1:8" ht="27.75" customHeight="1">
      <c r="A83" s="10">
        <v>10</v>
      </c>
      <c r="B83" s="11" t="s">
        <v>12</v>
      </c>
      <c r="C83" s="10"/>
      <c r="D83" s="10">
        <f>4200+(300*9)+2100+(300*16)+800</f>
        <v>14600</v>
      </c>
      <c r="E83" s="10">
        <v>2025</v>
      </c>
      <c r="F83" s="12"/>
      <c r="G83" s="3">
        <f t="shared" si="16"/>
        <v>0</v>
      </c>
      <c r="H83" s="4">
        <f t="shared" si="17"/>
        <v>14600</v>
      </c>
    </row>
    <row r="84" spans="1:8" ht="27.75" customHeight="1">
      <c r="A84" s="10">
        <v>10</v>
      </c>
      <c r="B84" s="11" t="s">
        <v>20</v>
      </c>
      <c r="C84" s="10"/>
      <c r="D84" s="10">
        <v>2900</v>
      </c>
      <c r="E84" s="10">
        <v>2025</v>
      </c>
      <c r="F84" s="12"/>
      <c r="G84" s="3">
        <f>IF((C84-D84)&lt;0,0,C84-D84)</f>
        <v>0</v>
      </c>
      <c r="H84" s="4">
        <f>IF((D84-C84)&lt;0,0,D84-C84)</f>
        <v>2900</v>
      </c>
    </row>
    <row r="85" spans="1:8" ht="27.75" customHeight="1">
      <c r="A85" s="10">
        <v>10</v>
      </c>
      <c r="B85" s="11" t="s">
        <v>22</v>
      </c>
      <c r="C85" s="10"/>
      <c r="D85" s="10">
        <v>2400</v>
      </c>
      <c r="E85" s="10">
        <v>2025</v>
      </c>
      <c r="F85" s="12"/>
      <c r="G85" s="3">
        <f>IF((C85-D85)&lt;0,0,C85-D85)</f>
        <v>0</v>
      </c>
      <c r="H85" s="4">
        <f>IF((D85-C85)&lt;0,0,D85-C85)</f>
        <v>2400</v>
      </c>
    </row>
    <row r="86" spans="1:8" ht="27.75" customHeight="1">
      <c r="A86" s="10">
        <v>10</v>
      </c>
      <c r="B86" s="11" t="s">
        <v>13</v>
      </c>
      <c r="C86" s="10"/>
      <c r="D86" s="10">
        <v>3300</v>
      </c>
      <c r="E86" s="10">
        <v>2025</v>
      </c>
      <c r="F86" s="12"/>
      <c r="G86" s="3">
        <f t="shared" si="16"/>
        <v>0</v>
      </c>
      <c r="H86" s="4">
        <f t="shared" si="17"/>
        <v>3300</v>
      </c>
    </row>
    <row r="87" spans="1:8" ht="27.75" customHeight="1">
      <c r="A87" s="10">
        <v>10</v>
      </c>
      <c r="B87" s="11" t="s">
        <v>17</v>
      </c>
      <c r="C87" s="10"/>
      <c r="D87" s="10">
        <v>1800</v>
      </c>
      <c r="E87" s="10">
        <v>2025</v>
      </c>
      <c r="F87" s="12"/>
      <c r="G87" s="3">
        <f t="shared" si="16"/>
        <v>0</v>
      </c>
      <c r="H87" s="4">
        <f t="shared" si="17"/>
        <v>1800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>
        <v>2000</v>
      </c>
      <c r="E89" s="10">
        <v>2025</v>
      </c>
      <c r="F89" s="12"/>
      <c r="G89" s="3">
        <f t="shared" si="16"/>
        <v>0</v>
      </c>
      <c r="H89" s="4">
        <f t="shared" si="17"/>
        <v>2000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91:E98 E71:E79 E8:E12 E81:E89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97" zoomScale="70" zoomScaleNormal="70" workbookViewId="0">
      <selection activeCell="D91" sqref="D9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/>
      <c r="D83" s="10"/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/>
      <c r="D84" s="10"/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/>
      <c r="D85" s="10"/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20</v>
      </c>
      <c r="C86" s="10"/>
      <c r="D86" s="10"/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22</v>
      </c>
      <c r="C87" s="10"/>
      <c r="D87" s="10"/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/>
      <c r="D88" s="10"/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/>
      <c r="D89" s="10"/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21</v>
      </c>
      <c r="C90" s="10"/>
      <c r="D90" s="10"/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/>
      <c r="D91" s="10"/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D92" s="8"/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/>
      <c r="D93" s="10">
        <f>420*8+(300*8)+1500+600</f>
        <v>7860</v>
      </c>
      <c r="E93" s="12"/>
      <c r="F93" s="10"/>
      <c r="G93" s="12"/>
      <c r="H93" s="12">
        <f>IF((D93-E93)&lt;0,0,(D93-E93))</f>
        <v>7860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/>
      <c r="D94" s="10">
        <f>420*7+2100+1400</f>
        <v>6440</v>
      </c>
      <c r="E94" s="12"/>
      <c r="F94" s="10"/>
      <c r="G94" s="12"/>
      <c r="H94" s="12">
        <f>IF((D94-E94)&lt;0,0,(D94-E94))</f>
        <v>6440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/>
      <c r="D95" s="10">
        <f>4200+(300*9)+2100+(300*16)+800</f>
        <v>14600</v>
      </c>
      <c r="E95" s="12"/>
      <c r="F95" s="10"/>
      <c r="G95" s="12"/>
      <c r="H95" s="12">
        <f>IF((D95-E95)&lt;0,0,(D95-E95))</f>
        <v>14600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20</v>
      </c>
      <c r="C96" s="10"/>
      <c r="D96" s="10">
        <v>2900</v>
      </c>
      <c r="E96" s="12"/>
      <c r="F96" s="10"/>
      <c r="G96" s="12"/>
      <c r="H96" s="12">
        <f>IF((D96-E96)&lt;0,0,(D96-E96))</f>
        <v>2900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22</v>
      </c>
      <c r="C97" s="10"/>
      <c r="D97" s="10">
        <v>2400</v>
      </c>
      <c r="E97" s="12"/>
      <c r="F97" s="10"/>
      <c r="G97" s="12"/>
      <c r="H97" s="12">
        <f>IF((D97-E97)&lt;0,0,(D97-E97))</f>
        <v>2400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/>
      <c r="D98" s="10">
        <v>3300</v>
      </c>
      <c r="E98" s="12"/>
      <c r="F98" s="10"/>
      <c r="G98" s="12"/>
      <c r="H98" s="12">
        <f>IF((D98-E98)&lt;0,0,(D98-E98))</f>
        <v>3300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/>
      <c r="D99" s="10">
        <v>1800</v>
      </c>
      <c r="E99" s="12"/>
      <c r="F99" s="10"/>
      <c r="G99" s="12"/>
      <c r="H99" s="12">
        <f>IF((D99-E99)&lt;0,0,(D99-E99))</f>
        <v>1800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21</v>
      </c>
      <c r="C100" s="10"/>
      <c r="D100" s="10"/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/>
      <c r="D101" s="10">
        <v>2000</v>
      </c>
      <c r="E101" s="12"/>
      <c r="F101" s="10"/>
      <c r="G101" s="12"/>
      <c r="H101" s="12">
        <f>IF((D101-E101)&lt;0,0,(D101-E101))</f>
        <v>2000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E83:F91 H83:I91 Q83:R91 W83:X91 E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  <protectedRange sqref="D83:D101" name="Textbooks_1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92" zoomScale="55" zoomScaleNormal="55" workbookViewId="0">
      <selection activeCell="F103" sqref="F10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/>
      <c r="D91" s="10">
        <v>2800</v>
      </c>
      <c r="E91" s="12"/>
      <c r="F91" s="10">
        <v>2025</v>
      </c>
      <c r="G91" s="12"/>
      <c r="H91" s="12">
        <f t="shared" si="22"/>
        <v>2800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/>
      <c r="D92" s="10">
        <f>3600+1400+(360*6)</f>
        <v>7160</v>
      </c>
      <c r="E92" s="12"/>
      <c r="F92" s="10">
        <v>2025</v>
      </c>
      <c r="G92" s="12"/>
      <c r="H92" s="12">
        <f t="shared" si="22"/>
        <v>7160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/>
      <c r="D93" s="10">
        <f>360*23+3000+1800</f>
        <v>13080</v>
      </c>
      <c r="E93" s="12"/>
      <c r="F93" s="10">
        <v>2025</v>
      </c>
      <c r="G93" s="12"/>
      <c r="H93" s="12">
        <f t="shared" si="22"/>
        <v>13080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20</v>
      </c>
      <c r="C94" s="10"/>
      <c r="D94" s="10">
        <v>3100</v>
      </c>
      <c r="E94" s="12"/>
      <c r="F94" s="10">
        <v>2025</v>
      </c>
      <c r="G94" s="12"/>
      <c r="H94" s="12">
        <f t="shared" si="22"/>
        <v>3100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22</v>
      </c>
      <c r="C95" s="10"/>
      <c r="D95" s="10">
        <v>3600</v>
      </c>
      <c r="E95" s="12"/>
      <c r="F95" s="10">
        <v>2025</v>
      </c>
      <c r="G95" s="12"/>
      <c r="H95" s="12">
        <f t="shared" si="22"/>
        <v>3600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/>
      <c r="D96" s="10">
        <v>3800</v>
      </c>
      <c r="E96" s="12"/>
      <c r="F96" s="10">
        <v>2025</v>
      </c>
      <c r="G96" s="12"/>
      <c r="H96" s="12">
        <f t="shared" si="22"/>
        <v>3800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86</v>
      </c>
      <c r="C97" s="10"/>
      <c r="D97" s="12">
        <v>1600</v>
      </c>
      <c r="E97" s="12"/>
      <c r="F97" s="10">
        <v>2025</v>
      </c>
      <c r="G97" s="12"/>
      <c r="H97" s="12">
        <f>IF((D97-E97)&lt;0,0,(D97-E97))</f>
        <v>1600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87</v>
      </c>
      <c r="C98" s="10"/>
      <c r="D98" s="12">
        <v>1600</v>
      </c>
      <c r="E98" s="12"/>
      <c r="F98" s="10">
        <v>2025</v>
      </c>
      <c r="G98" s="12"/>
      <c r="H98" s="12">
        <f t="shared" si="22"/>
        <v>1600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>
        <v>2025</v>
      </c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88</v>
      </c>
      <c r="C100" s="10"/>
      <c r="D100" s="12">
        <v>2200</v>
      </c>
      <c r="E100" s="12"/>
      <c r="F100" s="10">
        <v>2025</v>
      </c>
      <c r="G100" s="12"/>
      <c r="H100" s="12">
        <f>IF((D100-E100)&lt;0,0,(D100-E100))</f>
        <v>2200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89</v>
      </c>
      <c r="C101" s="10"/>
      <c r="D101" s="12">
        <v>1900</v>
      </c>
      <c r="E101" s="12"/>
      <c r="F101" s="10">
        <v>2025</v>
      </c>
      <c r="G101" s="12"/>
      <c r="H101" s="12">
        <f t="shared" si="22"/>
        <v>1900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 ht="15"/>
    <row r="103" spans="1:27" ht="19.5">
      <c r="A103" s="10">
        <v>10</v>
      </c>
      <c r="B103" s="11" t="s">
        <v>14</v>
      </c>
      <c r="C103" s="10"/>
      <c r="D103" s="10">
        <f>420*8+(300*8)+1500+600</f>
        <v>7860</v>
      </c>
      <c r="E103" s="12"/>
      <c r="F103" s="10">
        <v>2025</v>
      </c>
      <c r="G103" s="12"/>
      <c r="H103" s="12">
        <f t="shared" si="22"/>
        <v>7860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/>
      <c r="D104" s="10">
        <f>420*7+2100+1400</f>
        <v>6440</v>
      </c>
      <c r="E104" s="12"/>
      <c r="F104" s="10">
        <v>2025</v>
      </c>
      <c r="G104" s="12"/>
      <c r="H104" s="12">
        <f t="shared" si="22"/>
        <v>6440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/>
      <c r="D105" s="10">
        <f>4200+(300*9)+2100+(300*16)+800</f>
        <v>14600</v>
      </c>
      <c r="E105" s="12"/>
      <c r="F105" s="10">
        <v>2025</v>
      </c>
      <c r="G105" s="12"/>
      <c r="H105" s="12">
        <f t="shared" si="22"/>
        <v>14600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20</v>
      </c>
      <c r="C106" s="10"/>
      <c r="D106" s="10">
        <v>2900</v>
      </c>
      <c r="E106" s="12"/>
      <c r="F106" s="10">
        <v>2025</v>
      </c>
      <c r="G106" s="12"/>
      <c r="H106" s="12">
        <f t="shared" si="22"/>
        <v>2900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22</v>
      </c>
      <c r="C107" s="10"/>
      <c r="D107" s="10">
        <v>2400</v>
      </c>
      <c r="E107" s="12"/>
      <c r="F107" s="10">
        <v>2025</v>
      </c>
      <c r="G107" s="12"/>
      <c r="H107" s="12">
        <f t="shared" si="22"/>
        <v>2400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/>
      <c r="D108" s="10">
        <v>3300</v>
      </c>
      <c r="E108" s="12"/>
      <c r="F108" s="10">
        <v>2025</v>
      </c>
      <c r="G108" s="12"/>
      <c r="H108" s="12">
        <f t="shared" si="22"/>
        <v>3300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86</v>
      </c>
      <c r="C109" s="10"/>
      <c r="D109" s="12">
        <v>1000</v>
      </c>
      <c r="E109" s="12"/>
      <c r="F109" s="10">
        <v>2025</v>
      </c>
      <c r="G109" s="12"/>
      <c r="H109" s="12">
        <f>IF((D109-E109)&lt;0,0,(D109-E109))</f>
        <v>1000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87</v>
      </c>
      <c r="C110" s="10"/>
      <c r="D110" s="12">
        <v>1300</v>
      </c>
      <c r="E110" s="12"/>
      <c r="F110" s="10">
        <v>2025</v>
      </c>
      <c r="G110" s="12"/>
      <c r="H110" s="12">
        <f t="shared" si="22"/>
        <v>1300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>
        <v>2025</v>
      </c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88</v>
      </c>
      <c r="C112" s="10"/>
      <c r="D112" s="12">
        <v>800</v>
      </c>
      <c r="E112" s="12"/>
      <c r="F112" s="10">
        <v>2025</v>
      </c>
      <c r="G112" s="12"/>
      <c r="H112" s="12">
        <f>IF((D112-E112)&lt;0,0,(D112-E112))</f>
        <v>800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89</v>
      </c>
      <c r="C113" s="10"/>
      <c r="D113" s="12">
        <v>600</v>
      </c>
      <c r="E113" s="12"/>
      <c r="F113" s="10">
        <v>2025</v>
      </c>
      <c r="G113" s="12"/>
      <c r="H113" s="12">
        <f t="shared" si="22"/>
        <v>600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J2:L2 D2:F10 D12:F19 D21:F29 D31:F41 D43:F53 D55:F65 D67:F77 D79:F89 D97:E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9:E113 N31:R41 N43:R53 N55:R65 N67:R77 N79:R89 N91:R101 N103:R113 E91:F91 E103:E108 E92:E96 F92:F101 F103:F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  <protectedRange sqref="D91:D96" name="Textbooks_2"/>
    <protectedRange sqref="D103:D108" name="Textbooks_3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2026-02-16T02:47:42Z</dcterms:modified>
  <cp:category/>
  <cp:contentStatus/>
</cp:coreProperties>
</file>