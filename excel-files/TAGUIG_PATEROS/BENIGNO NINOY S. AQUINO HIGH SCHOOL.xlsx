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1" documentId="13_ncr:1_{BFB59F67-F0DC-4675-A682-EB0734A8026A}" xr6:coauthVersionLast="47" xr6:coauthVersionMax="47" xr10:uidLastSave="{F329B276-9D41-4B93-A1FA-047F605F88E8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P3" i="4"/>
  <c r="T3" i="4" s="1"/>
  <c r="D3" i="4"/>
  <c r="H3" i="4" s="1"/>
  <c r="J3" i="4"/>
  <c r="V3" i="4"/>
  <c r="Z3" i="4" s="1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8" i="5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7" i="4"/>
  <c r="Z69" i="4"/>
  <c r="Z59" i="4"/>
  <c r="T24" i="4"/>
  <c r="U8" i="4"/>
  <c r="U57" i="4"/>
  <c r="O31" i="4"/>
  <c r="AA46" i="4"/>
  <c r="U3" i="4"/>
  <c r="Z23" i="4"/>
  <c r="AA10" i="4"/>
  <c r="O62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<sst xmlns="http://schemas.openxmlformats.org/spreadsheetml/2006/main" count="235" uniqueCount="84">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</sst>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36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/>
      <c r="D3" s="8"/>
      <c r="E3" s="8"/>
      <c r="F3" s="10"/>
      <c r="G3" s="2">
        <f t="shared" ref="G3:G11" si="0">IF((C3-D3)&lt;0,0,C3-D3)</f>
        <v>0</v>
      </c>
      <c r="H3" s="3">
        <f t="shared" ref="H3:H11" si="1">IF((D3-C3)&lt;0,0,D3-C3)</f>
        <v>0</v>
      </c>
    </row>
    <row r="4" spans="1:8" ht="21" customHeight="1">
      <c r="A4" s="8">
        <v>7</v>
      </c>
      <c r="B4" s="9" t="s">
        <v>9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10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19.5">
      <c r="A6" s="8">
        <v>7</v>
      </c>
      <c r="B6" s="9" t="s">
        <v>11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38.25">
      <c r="A7" s="8">
        <v>7</v>
      </c>
      <c r="B7" s="9" t="s">
        <v>12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13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14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15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8">
        <v>7</v>
      </c>
      <c r="B11" s="9" t="s">
        <v>16</v>
      </c>
      <c r="C11" s="8"/>
      <c r="D11" s="8"/>
      <c r="E11" s="8"/>
      <c r="F11" s="10"/>
      <c r="G11" s="2">
        <f t="shared" si="0"/>
        <v>0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/>
      <c r="D13" s="8"/>
      <c r="E13" s="8"/>
      <c r="F13" s="10"/>
      <c r="G13" s="2">
        <f t="shared" ref="G13:G21" si="2">IF((C13-D13)&lt;0,0,C13-D13)</f>
        <v>0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9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10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11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17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13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14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15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8">
        <v>8</v>
      </c>
      <c r="B21" s="9" t="s">
        <v>16</v>
      </c>
      <c r="C21" s="8"/>
      <c r="D21" s="8"/>
      <c r="E21" s="8"/>
      <c r="F21" s="10"/>
      <c r="G21" s="2">
        <f t="shared" si="2"/>
        <v>0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/>
      <c r="D23" s="8"/>
      <c r="E23" s="8"/>
      <c r="F23" s="10"/>
      <c r="G23" s="2">
        <f t="shared" ref="G23:G31" si="4">IF((C23-D23)&lt;0,0,C23-D23)</f>
        <v>0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9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10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11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17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13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14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15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8">
        <v>9</v>
      </c>
      <c r="B31" s="9" t="s">
        <v>16</v>
      </c>
      <c r="C31" s="8"/>
      <c r="D31" s="8"/>
      <c r="E31" s="8"/>
      <c r="F31" s="10"/>
      <c r="G31" s="2">
        <f t="shared" si="4"/>
        <v>0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/>
      <c r="D33" s="8"/>
      <c r="E33" s="8"/>
      <c r="F33" s="10"/>
      <c r="G33" s="2">
        <f t="shared" ref="G33:G41" si="6">IF((C33-D33)&lt;0,0,C33-D33)</f>
        <v>0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9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10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11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17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13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14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15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8">
        <v>10</v>
      </c>
      <c r="B41" s="9" t="s">
        <v>16</v>
      </c>
      <c r="C41" s="8"/>
      <c r="D41" s="8"/>
      <c r="E41" s="8"/>
      <c r="F41" s="10"/>
      <c r="G41" s="2">
        <f t="shared" si="6"/>
        <v>0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18</v>
      </c>
      <c r="B43" s="7" t="s">
        <v>19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18</v>
      </c>
      <c r="B44" s="7" t="s">
        <v>20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21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22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23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24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25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18</v>
      </c>
      <c r="B50" s="7" t="s">
        <v>26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Q41" zoomScale="70" zoomScaleNormal="70" workbookViewId="0">
      <selection activeCell="A5" sqref="A5:AA6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7" t="s">
        <v>40</v>
      </c>
      <c r="N2" s="37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8" t="s">
        <v>52</v>
      </c>
      <c r="Z2" s="38" t="s">
        <v>53</v>
      </c>
      <c r="AA2" s="24" t="s">
        <v>54</v>
      </c>
    </row>
    <row r="3" spans="1:27" ht="30.6" customHeight="1">
      <c r="A3" s="36" t="s">
        <v>55</v>
      </c>
      <c r="B3" s="31"/>
      <c r="C3" s="30"/>
      <c r="D3" s="32">
        <f>Table1[[#This Row],[Enrolment S.Y. 2025-2026 ]]*8</f>
        <v>0</v>
      </c>
      <c r="E3" s="32"/>
      <c r="F3" s="30"/>
      <c r="G3" s="32"/>
      <c r="H3" s="32">
        <f>IF((D3-E3)&lt;0,0,(D3-E3))</f>
        <v>0</v>
      </c>
      <c r="I3" s="32">
        <f>IF((E3-D3)&lt;0,0,(E3-D3))</f>
        <v>0</v>
      </c>
      <c r="J3" s="32">
        <f>Table1[[#This Row],[Enrolment S.Y. 2025-2026 ]]*8</f>
        <v>0</v>
      </c>
      <c r="K3" s="32"/>
      <c r="L3" s="30"/>
      <c r="M3" s="32"/>
      <c r="N3" s="4">
        <f t="shared" ref="N3" si="0">IF((J3-K3)&lt;0,0,(J3-K3))</f>
        <v>0</v>
      </c>
      <c r="O3" s="4">
        <f t="shared" ref="O3" si="1">IF((K3-J3)&lt;0,0,(K3-J3))</f>
        <v>0</v>
      </c>
      <c r="P3" s="4">
        <f>Table1[[#This Row],[Enrolment S.Y. 2025-2026 ]]*8</f>
        <v>0</v>
      </c>
      <c r="Q3" s="32"/>
      <c r="R3" s="30"/>
      <c r="S3" s="32"/>
      <c r="T3" s="32">
        <f>IF((P3-Q3)&lt;0,0,(P3-Q3))</f>
        <v>0</v>
      </c>
      <c r="U3" s="32">
        <f>IF((Q3-P3)&lt;0,0,(Q3-P3))</f>
        <v>0</v>
      </c>
      <c r="V3" s="32">
        <f>Table1[[#This Row],[Enrolment S.Y. 2025-2026 ]]*8</f>
        <v>0</v>
      </c>
      <c r="W3" s="32"/>
      <c r="X3" s="30"/>
      <c r="Y3" s="32"/>
      <c r="Z3" s="32">
        <f>IF((V3-W3)&lt;0,0,(V3-W3))</f>
        <v>0</v>
      </c>
      <c r="AA3" s="32">
        <f>IF((W3-V3)&lt;0,0,(W3-V3))</f>
        <v>0</v>
      </c>
    </row>
    <row r="4" spans="1:27" s="5" customFormat="1" ht="19.149999999999999">
      <c r="J4" s="11"/>
      <c r="N4" s="11"/>
      <c r="O4" s="11"/>
      <c r="P4" s="11"/>
      <c r="S4" s="4"/>
      <c r="T4" s="11"/>
      <c r="U4" s="11"/>
      <c r="V4" s="11"/>
      <c r="Z4" s="11"/>
      <c r="AA4" s="11"/>
    </row>
    <row r="5" spans="1:27" ht="19.5">
      <c r="A5" s="5"/>
      <c r="B5" s="5"/>
      <c r="C5" s="5"/>
      <c r="D5" s="5"/>
      <c r="E5" s="5"/>
      <c r="F5" s="5"/>
      <c r="G5" s="5"/>
      <c r="H5" s="5"/>
      <c r="I5" s="5"/>
      <c r="J5" s="11"/>
      <c r="K5" s="5"/>
      <c r="L5" s="5"/>
      <c r="M5" s="4"/>
      <c r="N5" s="11"/>
      <c r="O5" s="11"/>
      <c r="P5" s="11"/>
      <c r="Q5" s="5"/>
      <c r="R5" s="5"/>
      <c r="S5" s="4"/>
      <c r="T5" s="11"/>
      <c r="U5" s="11"/>
      <c r="V5" s="11"/>
      <c r="W5" s="5"/>
      <c r="X5" s="5"/>
      <c r="Y5" s="4"/>
      <c r="Z5" s="11"/>
      <c r="AA5" s="11"/>
    </row>
    <row r="6" spans="1:27" ht="19.5">
      <c r="A6" s="8">
        <v>7</v>
      </c>
      <c r="B6" s="9" t="s">
        <v>8</v>
      </c>
      <c r="C6" s="8"/>
      <c r="D6" s="10">
        <f>Table1[[#This Row],[Enrolment S.Y. 2025-2026 ]]*8</f>
        <v>0</v>
      </c>
      <c r="E6" s="10"/>
      <c r="F6" s="8"/>
      <c r="G6" s="10"/>
      <c r="H6" s="10">
        <f t="shared" ref="H6:H20" si="2">IF((D6-E6)&lt;0,0,(D6-E6))</f>
        <v>0</v>
      </c>
      <c r="I6" s="10">
        <f t="shared" ref="I6:I20" si="3">IF((E6-D6)&lt;0,0,(E6-D6))</f>
        <v>0</v>
      </c>
      <c r="J6" s="10">
        <f>Table1[[#This Row],[Enrolment S.Y. 2025-2026 ]]*8</f>
        <v>0</v>
      </c>
      <c r="K6" s="10"/>
      <c r="L6" s="8"/>
      <c r="M6" s="10"/>
      <c r="N6" s="10">
        <f t="shared" ref="N6:N12" si="4">IF((J6-K6)&lt;0,0,(J6-K6))</f>
        <v>0</v>
      </c>
      <c r="O6" s="10">
        <f t="shared" ref="O6:O12" si="5">IF((K6-J6)&lt;0,0,(K6-J6))</f>
        <v>0</v>
      </c>
      <c r="P6" s="10">
        <f>Table1[[#This Row],[Enrolment S.Y. 2025-2026 ]]*8</f>
        <v>0</v>
      </c>
      <c r="Q6" s="10"/>
      <c r="R6" s="8"/>
      <c r="S6" s="10"/>
      <c r="T6" s="10">
        <f t="shared" ref="T6:T12" si="6">IF((P6-Q6)&lt;0,0,(P6-Q6))</f>
        <v>0</v>
      </c>
      <c r="U6" s="10">
        <f t="shared" ref="U6:U12" si="7">IF((Q6-P6)&lt;0,0,(Q6-P6))</f>
        <v>0</v>
      </c>
      <c r="V6" s="10">
        <f>Table1[[#This Row],[Enrolment S.Y. 2025-2026 ]]*8</f>
        <v>0</v>
      </c>
      <c r="W6" s="10"/>
      <c r="X6" s="8"/>
      <c r="Y6" s="10"/>
      <c r="Z6" s="10">
        <f t="shared" ref="Z6:Z12" si="8">IF((V6-W6)&lt;0,0,(V6-W6))</f>
        <v>0</v>
      </c>
      <c r="AA6" s="10">
        <f t="shared" ref="AA6:AA12" si="9">IF((W6-V6)&lt;0,0,(W6-V6))</f>
        <v>0</v>
      </c>
    </row>
    <row r="7" spans="1:27" ht="19.5">
      <c r="A7" s="8">
        <v>7</v>
      </c>
      <c r="B7" s="9" t="s">
        <v>9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2"/>
        <v>0</v>
      </c>
      <c r="I7" s="10">
        <f t="shared" si="3"/>
        <v>0</v>
      </c>
      <c r="J7" s="10">
        <f>Table1[[#This Row],[Enrolment S.Y. 2025-2026 ]]*8</f>
        <v>0</v>
      </c>
      <c r="K7" s="10"/>
      <c r="L7" s="8"/>
      <c r="M7" s="10"/>
      <c r="N7" s="10">
        <f t="shared" si="4"/>
        <v>0</v>
      </c>
      <c r="O7" s="10">
        <f t="shared" si="5"/>
        <v>0</v>
      </c>
      <c r="P7" s="10">
        <f>Table1[[#This Row],[Enrolment S.Y. 2025-2026 ]]*8</f>
        <v>0</v>
      </c>
      <c r="Q7" s="10"/>
      <c r="R7" s="8"/>
      <c r="S7" s="10"/>
      <c r="T7" s="10">
        <f t="shared" si="6"/>
        <v>0</v>
      </c>
      <c r="U7" s="10">
        <f t="shared" si="7"/>
        <v>0</v>
      </c>
      <c r="V7" s="10">
        <f>Table1[[#This Row],[Enrolment S.Y. 2025-2026 ]]*8</f>
        <v>0</v>
      </c>
      <c r="W7" s="10"/>
      <c r="X7" s="8"/>
      <c r="Y7" s="10"/>
      <c r="Z7" s="10">
        <f t="shared" si="8"/>
        <v>0</v>
      </c>
      <c r="AA7" s="10">
        <f t="shared" si="9"/>
        <v>0</v>
      </c>
    </row>
    <row r="8" spans="1:27" ht="19.5">
      <c r="A8" s="8">
        <v>7</v>
      </c>
      <c r="B8" s="9" t="s">
        <v>10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2"/>
        <v>0</v>
      </c>
      <c r="I8" s="10">
        <f t="shared" si="3"/>
        <v>0</v>
      </c>
      <c r="J8" s="10">
        <f>Table1[[#This Row],[Enrolment S.Y. 2025-2026 ]]*8</f>
        <v>0</v>
      </c>
      <c r="K8" s="10"/>
      <c r="L8" s="8"/>
      <c r="M8" s="10"/>
      <c r="N8" s="10">
        <f t="shared" si="4"/>
        <v>0</v>
      </c>
      <c r="O8" s="10">
        <f t="shared" si="5"/>
        <v>0</v>
      </c>
      <c r="P8" s="10">
        <f>Table1[[#This Row],[Enrolment S.Y. 2025-2026 ]]*8</f>
        <v>0</v>
      </c>
      <c r="Q8" s="10"/>
      <c r="R8" s="8"/>
      <c r="S8" s="10"/>
      <c r="T8" s="10">
        <f t="shared" si="6"/>
        <v>0</v>
      </c>
      <c r="U8" s="10">
        <f t="shared" si="7"/>
        <v>0</v>
      </c>
      <c r="V8" s="10">
        <f>Table1[[#This Row],[Enrolment S.Y. 2025-2026 ]]*8</f>
        <v>0</v>
      </c>
      <c r="W8" s="10"/>
      <c r="X8" s="8"/>
      <c r="Y8" s="10"/>
      <c r="Z8" s="10">
        <f t="shared" si="8"/>
        <v>0</v>
      </c>
      <c r="AA8" s="10">
        <f t="shared" si="9"/>
        <v>0</v>
      </c>
    </row>
    <row r="9" spans="1:27" ht="19.5">
      <c r="A9" s="8">
        <v>7</v>
      </c>
      <c r="B9" s="9" t="s">
        <v>11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2"/>
        <v>0</v>
      </c>
      <c r="I9" s="10">
        <f t="shared" si="3"/>
        <v>0</v>
      </c>
      <c r="J9" s="10">
        <f>Table1[[#This Row],[Enrolment S.Y. 2025-2026 ]]*8</f>
        <v>0</v>
      </c>
      <c r="K9" s="10"/>
      <c r="L9" s="8"/>
      <c r="M9" s="10"/>
      <c r="N9" s="10">
        <f t="shared" si="4"/>
        <v>0</v>
      </c>
      <c r="O9" s="10">
        <f t="shared" si="5"/>
        <v>0</v>
      </c>
      <c r="P9" s="10">
        <f>Table1[[#This Row],[Enrolment S.Y. 2025-2026 ]]*8</f>
        <v>0</v>
      </c>
      <c r="Q9" s="10"/>
      <c r="R9" s="8"/>
      <c r="S9" s="10"/>
      <c r="T9" s="10">
        <f t="shared" si="6"/>
        <v>0</v>
      </c>
      <c r="U9" s="10">
        <f t="shared" si="7"/>
        <v>0</v>
      </c>
      <c r="V9" s="10">
        <f>Table1[[#This Row],[Enrolment S.Y. 2025-2026 ]]*8</f>
        <v>0</v>
      </c>
      <c r="W9" s="10"/>
      <c r="X9" s="8"/>
      <c r="Y9" s="10"/>
      <c r="Z9" s="10">
        <f t="shared" si="8"/>
        <v>0</v>
      </c>
      <c r="AA9" s="10">
        <f t="shared" si="9"/>
        <v>0</v>
      </c>
    </row>
    <row r="10" spans="1:27" ht="38.25">
      <c r="A10" s="8">
        <v>7</v>
      </c>
      <c r="B10" s="9" t="s">
        <v>12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2"/>
        <v>0</v>
      </c>
      <c r="I10" s="10">
        <f t="shared" si="3"/>
        <v>0</v>
      </c>
      <c r="J10" s="10">
        <f>Table1[[#This Row],[Enrolment S.Y. 2025-2026 ]]*8</f>
        <v>0</v>
      </c>
      <c r="K10" s="10"/>
      <c r="L10" s="8"/>
      <c r="M10" s="10"/>
      <c r="N10" s="10">
        <f t="shared" si="4"/>
        <v>0</v>
      </c>
      <c r="O10" s="10">
        <f t="shared" si="5"/>
        <v>0</v>
      </c>
      <c r="P10" s="10">
        <f>Table1[[#This Row],[Enrolment S.Y. 2025-2026 ]]*8</f>
        <v>0</v>
      </c>
      <c r="Q10" s="10"/>
      <c r="R10" s="8"/>
      <c r="S10" s="10"/>
      <c r="T10" s="10">
        <f t="shared" si="6"/>
        <v>0</v>
      </c>
      <c r="U10" s="10">
        <f t="shared" si="7"/>
        <v>0</v>
      </c>
      <c r="V10" s="10">
        <f>Table1[[#This Row],[Enrolment S.Y. 2025-2026 ]]*8</f>
        <v>0</v>
      </c>
      <c r="W10" s="10"/>
      <c r="X10" s="8"/>
      <c r="Y10" s="10"/>
      <c r="Z10" s="10">
        <f t="shared" si="8"/>
        <v>0</v>
      </c>
      <c r="AA10" s="10">
        <f t="shared" si="9"/>
        <v>0</v>
      </c>
    </row>
    <row r="11" spans="1:27" ht="19.5">
      <c r="A11" s="8">
        <v>7</v>
      </c>
      <c r="B11" s="9" t="s">
        <v>13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2"/>
        <v>0</v>
      </c>
      <c r="I11" s="10">
        <f t="shared" si="3"/>
        <v>0</v>
      </c>
      <c r="J11" s="10">
        <f>Table1[[#This Row],[Enrolment S.Y. 2025-2026 ]]*8</f>
        <v>0</v>
      </c>
      <c r="K11" s="10"/>
      <c r="L11" s="8"/>
      <c r="M11" s="10"/>
      <c r="N11" s="10">
        <f t="shared" si="4"/>
        <v>0</v>
      </c>
      <c r="O11" s="10">
        <f t="shared" si="5"/>
        <v>0</v>
      </c>
      <c r="P11" s="10">
        <f>Table1[[#This Row],[Enrolment S.Y. 2025-2026 ]]*8</f>
        <v>0</v>
      </c>
      <c r="Q11" s="10"/>
      <c r="R11" s="8"/>
      <c r="S11" s="10"/>
      <c r="T11" s="10">
        <f t="shared" si="6"/>
        <v>0</v>
      </c>
      <c r="U11" s="10">
        <f t="shared" si="7"/>
        <v>0</v>
      </c>
      <c r="V11" s="10">
        <f>Table1[[#This Row],[Enrolment S.Y. 2025-2026 ]]*8</f>
        <v>0</v>
      </c>
      <c r="W11" s="10"/>
      <c r="X11" s="8"/>
      <c r="Y11" s="10"/>
      <c r="Z11" s="10">
        <f t="shared" si="8"/>
        <v>0</v>
      </c>
      <c r="AA11" s="10">
        <f t="shared" si="9"/>
        <v>0</v>
      </c>
    </row>
    <row r="12" spans="1:27" ht="19.5">
      <c r="A12" s="8">
        <v>7</v>
      </c>
      <c r="B12" s="9" t="s">
        <v>14</v>
      </c>
      <c r="C12" s="8"/>
      <c r="D12" s="10">
        <f>Table1[[#This Row],[Enrolment S.Y. 2025-2026 ]]*8</f>
        <v>0</v>
      </c>
      <c r="E12" s="10"/>
      <c r="F12" s="8"/>
      <c r="G12" s="10"/>
      <c r="H12" s="10">
        <f t="shared" si="2"/>
        <v>0</v>
      </c>
      <c r="I12" s="10">
        <f t="shared" si="3"/>
        <v>0</v>
      </c>
      <c r="J12" s="10">
        <f>Table1[[#This Row],[Enrolment S.Y. 2025-2026 ]]*8</f>
        <v>0</v>
      </c>
      <c r="K12" s="10"/>
      <c r="L12" s="8"/>
      <c r="M12" s="10"/>
      <c r="N12" s="10">
        <f t="shared" si="4"/>
        <v>0</v>
      </c>
      <c r="O12" s="10">
        <f t="shared" si="5"/>
        <v>0</v>
      </c>
      <c r="P12" s="10">
        <f>Table1[[#This Row],[Enrolment S.Y. 2025-2026 ]]*8</f>
        <v>0</v>
      </c>
      <c r="Q12" s="10"/>
      <c r="R12" s="8"/>
      <c r="S12" s="10"/>
      <c r="T12" s="10">
        <f t="shared" si="6"/>
        <v>0</v>
      </c>
      <c r="U12" s="10">
        <f t="shared" si="7"/>
        <v>0</v>
      </c>
      <c r="V12" s="10">
        <f>Table1[[#This Row],[Enrolment S.Y. 2025-2026 ]]*8</f>
        <v>0</v>
      </c>
      <c r="W12" s="10"/>
      <c r="X12" s="8"/>
      <c r="Y12" s="10"/>
      <c r="Z12" s="10">
        <f t="shared" si="8"/>
        <v>0</v>
      </c>
      <c r="AA12" s="10">
        <f t="shared" si="9"/>
        <v>0</v>
      </c>
    </row>
    <row r="13" spans="1:27" s="5" customFormat="1" ht="19.5">
      <c r="A13" s="8">
        <v>7</v>
      </c>
      <c r="B13" s="9" t="s">
        <v>15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2"/>
        <v>0</v>
      </c>
      <c r="I13" s="10">
        <f t="shared" si="3"/>
        <v>0</v>
      </c>
      <c r="J13" s="10">
        <f>Table1[[#This Row],[Enrolment S.Y. 2025-2026 ]]*8</f>
        <v>0</v>
      </c>
      <c r="K13" s="10"/>
      <c r="L13" s="8"/>
      <c r="M13" s="10"/>
      <c r="N13" s="10">
        <f t="shared" ref="N13:N69" si="10">IF((J13-K13)&lt;0,0,(J13-K13))</f>
        <v>0</v>
      </c>
      <c r="O13" s="10">
        <f t="shared" ref="O13:O69" si="11">IF((K13-J13)&lt;0,0,(K13-J13))</f>
        <v>0</v>
      </c>
      <c r="P13" s="10">
        <f>Table1[[#This Row],[Enrolment S.Y. 2025-2026 ]]*8</f>
        <v>0</v>
      </c>
      <c r="Q13" s="10"/>
      <c r="R13" s="8"/>
      <c r="S13" s="10"/>
      <c r="T13" s="10">
        <f t="shared" ref="T13:T70" si="12">IF((P13-Q13)&lt;0,0,(P13-Q13))</f>
        <v>0</v>
      </c>
      <c r="U13" s="10">
        <f t="shared" ref="U13:U70" si="13">IF((Q13-P13)&lt;0,0,(Q13-P13))</f>
        <v>0</v>
      </c>
      <c r="V13" s="10">
        <f>Table1[[#This Row],[Enrolment S.Y. 2025-2026 ]]*8</f>
        <v>0</v>
      </c>
      <c r="W13" s="10"/>
      <c r="X13" s="8"/>
      <c r="Y13" s="10"/>
      <c r="Z13" s="10">
        <f t="shared" ref="Z13:Z70" si="14">IF((V13-W13)&lt;0,0,(V13-W13))</f>
        <v>0</v>
      </c>
      <c r="AA13" s="10">
        <f t="shared" ref="AA13:AA70" si="15">IF((W13-V13)&lt;0,0,(W13-V13))</f>
        <v>0</v>
      </c>
    </row>
    <row r="14" spans="1:27" ht="19.5">
      <c r="A14" s="8">
        <v>7</v>
      </c>
      <c r="B14" s="9" t="s">
        <v>16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2"/>
        <v>0</v>
      </c>
      <c r="I14" s="10">
        <f t="shared" si="3"/>
        <v>0</v>
      </c>
      <c r="J14" s="10">
        <f>Table1[[#This Row],[Enrolment S.Y. 2025-2026 ]]*8</f>
        <v>0</v>
      </c>
      <c r="K14" s="10"/>
      <c r="L14" s="8"/>
      <c r="M14" s="10"/>
      <c r="N14" s="10">
        <f t="shared" si="10"/>
        <v>0</v>
      </c>
      <c r="O14" s="10">
        <f t="shared" si="11"/>
        <v>0</v>
      </c>
      <c r="P14" s="10">
        <f>Table1[[#This Row],[Enrolment S.Y. 2025-2026 ]]*8</f>
        <v>0</v>
      </c>
      <c r="Q14" s="10"/>
      <c r="R14" s="8"/>
      <c r="S14" s="10"/>
      <c r="T14" s="10">
        <f t="shared" si="12"/>
        <v>0</v>
      </c>
      <c r="U14" s="10">
        <f t="shared" si="13"/>
        <v>0</v>
      </c>
      <c r="V14" s="10">
        <f>Table1[[#This Row],[Enrolment S.Y. 2025-2026 ]]*8</f>
        <v>0</v>
      </c>
      <c r="W14" s="10"/>
      <c r="X14" s="8"/>
      <c r="Y14" s="10"/>
      <c r="Z14" s="10">
        <f t="shared" si="14"/>
        <v>0</v>
      </c>
      <c r="AA14" s="10">
        <f t="shared" si="15"/>
        <v>0</v>
      </c>
    </row>
    <row r="15" spans="1:27" ht="19.5">
      <c r="A15" s="5"/>
      <c r="B15" s="5"/>
      <c r="C15" s="5"/>
      <c r="D15" s="5"/>
      <c r="E15" s="5"/>
      <c r="F15" s="5"/>
      <c r="G15" s="5"/>
      <c r="H15" s="5"/>
      <c r="I15" s="5"/>
      <c r="J15" s="11"/>
      <c r="K15" s="5"/>
      <c r="L15" s="5"/>
      <c r="M15" s="4"/>
      <c r="N15" s="11"/>
      <c r="O15" s="11"/>
      <c r="P15" s="11"/>
      <c r="Q15" s="5"/>
      <c r="R15" s="5"/>
      <c r="S15" s="4"/>
      <c r="T15" s="11"/>
      <c r="U15" s="11"/>
      <c r="V15" s="11"/>
      <c r="W15" s="5"/>
      <c r="X15" s="5"/>
      <c r="Y15" s="4"/>
      <c r="Z15" s="11"/>
      <c r="AA15" s="11"/>
    </row>
    <row r="16" spans="1:27" ht="19.5">
      <c r="A16" s="8">
        <v>8</v>
      </c>
      <c r="B16" s="9" t="s">
        <v>8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2"/>
        <v>0</v>
      </c>
      <c r="I16" s="10">
        <f t="shared" si="3"/>
        <v>0</v>
      </c>
      <c r="J16" s="10">
        <f>Table1[[#This Row],[Enrolment S.Y. 2025-2026 ]]*8</f>
        <v>0</v>
      </c>
      <c r="K16" s="10"/>
      <c r="L16" s="8"/>
      <c r="M16" s="10"/>
      <c r="N16" s="10">
        <f t="shared" si="10"/>
        <v>0</v>
      </c>
      <c r="O16" s="10">
        <f t="shared" si="11"/>
        <v>0</v>
      </c>
      <c r="P16" s="10">
        <f>Table1[[#This Row],[Enrolment S.Y. 2025-2026 ]]*8</f>
        <v>0</v>
      </c>
      <c r="Q16" s="10"/>
      <c r="R16" s="8"/>
      <c r="S16" s="10"/>
      <c r="T16" s="10">
        <f t="shared" si="12"/>
        <v>0</v>
      </c>
      <c r="U16" s="10">
        <f t="shared" si="13"/>
        <v>0</v>
      </c>
      <c r="V16" s="10">
        <f>Table1[[#This Row],[Enrolment S.Y. 2025-2026 ]]*8</f>
        <v>0</v>
      </c>
      <c r="W16" s="10"/>
      <c r="X16" s="8"/>
      <c r="Y16" s="10"/>
      <c r="Z16" s="10">
        <f t="shared" si="14"/>
        <v>0</v>
      </c>
      <c r="AA16" s="10">
        <f t="shared" si="15"/>
        <v>0</v>
      </c>
    </row>
    <row r="17" spans="1:27" ht="19.5">
      <c r="A17" s="8">
        <v>8</v>
      </c>
      <c r="B17" s="9" t="s">
        <v>9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2"/>
        <v>0</v>
      </c>
      <c r="I17" s="10">
        <f t="shared" si="3"/>
        <v>0</v>
      </c>
      <c r="J17" s="10">
        <f>Table1[[#This Row],[Enrolment S.Y. 2025-2026 ]]*8</f>
        <v>0</v>
      </c>
      <c r="K17" s="10"/>
      <c r="L17" s="8"/>
      <c r="M17" s="10"/>
      <c r="N17" s="10">
        <f t="shared" si="10"/>
        <v>0</v>
      </c>
      <c r="O17" s="10">
        <f t="shared" si="11"/>
        <v>0</v>
      </c>
      <c r="P17" s="10">
        <f>Table1[[#This Row],[Enrolment S.Y. 2025-2026 ]]*8</f>
        <v>0</v>
      </c>
      <c r="Q17" s="10"/>
      <c r="R17" s="8"/>
      <c r="S17" s="10"/>
      <c r="T17" s="10">
        <f t="shared" si="12"/>
        <v>0</v>
      </c>
      <c r="U17" s="10">
        <f t="shared" si="13"/>
        <v>0</v>
      </c>
      <c r="V17" s="10">
        <f>Table1[[#This Row],[Enrolment S.Y. 2025-2026 ]]*8</f>
        <v>0</v>
      </c>
      <c r="W17" s="10"/>
      <c r="X17" s="8"/>
      <c r="Y17" s="10"/>
      <c r="Z17" s="10">
        <f t="shared" si="14"/>
        <v>0</v>
      </c>
      <c r="AA17" s="10">
        <f t="shared" si="15"/>
        <v>0</v>
      </c>
    </row>
    <row r="18" spans="1:27" ht="19.5">
      <c r="A18" s="8">
        <v>8</v>
      </c>
      <c r="B18" s="9" t="s">
        <v>10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si="2"/>
        <v>0</v>
      </c>
      <c r="I18" s="10">
        <f t="shared" si="3"/>
        <v>0</v>
      </c>
      <c r="J18" s="10">
        <f>Table1[[#This Row],[Enrolment S.Y. 2025-2026 ]]*8</f>
        <v>0</v>
      </c>
      <c r="K18" s="10"/>
      <c r="L18" s="8"/>
      <c r="M18" s="10"/>
      <c r="N18" s="10">
        <f t="shared" si="10"/>
        <v>0</v>
      </c>
      <c r="O18" s="10">
        <f t="shared" si="11"/>
        <v>0</v>
      </c>
      <c r="P18" s="10">
        <f>Table1[[#This Row],[Enrolment S.Y. 2025-2026 ]]*8</f>
        <v>0</v>
      </c>
      <c r="Q18" s="10"/>
      <c r="R18" s="8"/>
      <c r="S18" s="10"/>
      <c r="T18" s="10">
        <f t="shared" si="12"/>
        <v>0</v>
      </c>
      <c r="U18" s="10">
        <f t="shared" si="13"/>
        <v>0</v>
      </c>
      <c r="V18" s="10">
        <f>Table1[[#This Row],[Enrolment S.Y. 2025-2026 ]]*8</f>
        <v>0</v>
      </c>
      <c r="W18" s="10"/>
      <c r="X18" s="8"/>
      <c r="Y18" s="10"/>
      <c r="Z18" s="10">
        <f t="shared" si="14"/>
        <v>0</v>
      </c>
      <c r="AA18" s="10">
        <f t="shared" si="15"/>
        <v>0</v>
      </c>
    </row>
    <row r="19" spans="1:27" ht="19.5">
      <c r="A19" s="8">
        <v>8</v>
      </c>
      <c r="B19" s="9" t="s">
        <v>11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2"/>
        <v>0</v>
      </c>
      <c r="I19" s="10">
        <f t="shared" si="3"/>
        <v>0</v>
      </c>
      <c r="J19" s="10">
        <f>Table1[[#This Row],[Enrolment S.Y. 2025-2026 ]]*8</f>
        <v>0</v>
      </c>
      <c r="K19" s="10"/>
      <c r="L19" s="8"/>
      <c r="M19" s="10"/>
      <c r="N19" s="10">
        <f t="shared" si="10"/>
        <v>0</v>
      </c>
      <c r="O19" s="10">
        <f t="shared" si="11"/>
        <v>0</v>
      </c>
      <c r="P19" s="10">
        <f>Table1[[#This Row],[Enrolment S.Y. 2025-2026 ]]*8</f>
        <v>0</v>
      </c>
      <c r="Q19" s="10"/>
      <c r="R19" s="8"/>
      <c r="S19" s="10"/>
      <c r="T19" s="10">
        <f t="shared" si="12"/>
        <v>0</v>
      </c>
      <c r="U19" s="10">
        <f t="shared" si="13"/>
        <v>0</v>
      </c>
      <c r="V19" s="10">
        <f>Table1[[#This Row],[Enrolment S.Y. 2025-2026 ]]*8</f>
        <v>0</v>
      </c>
      <c r="W19" s="10"/>
      <c r="X19" s="8"/>
      <c r="Y19" s="10"/>
      <c r="Z19" s="10">
        <f t="shared" si="14"/>
        <v>0</v>
      </c>
      <c r="AA19" s="10">
        <f t="shared" si="15"/>
        <v>0</v>
      </c>
    </row>
    <row r="20" spans="1:27" ht="19.5">
      <c r="A20" s="8">
        <v>8</v>
      </c>
      <c r="B20" s="9" t="s">
        <v>17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2"/>
        <v>0</v>
      </c>
      <c r="I20" s="10">
        <f t="shared" si="3"/>
        <v>0</v>
      </c>
      <c r="J20" s="10">
        <f>Table1[[#This Row],[Enrolment S.Y. 2025-2026 ]]*8</f>
        <v>0</v>
      </c>
      <c r="K20" s="10"/>
      <c r="L20" s="8"/>
      <c r="M20" s="10"/>
      <c r="N20" s="10">
        <f t="shared" si="10"/>
        <v>0</v>
      </c>
      <c r="O20" s="10">
        <f t="shared" si="11"/>
        <v>0</v>
      </c>
      <c r="P20" s="10">
        <f>Table1[[#This Row],[Enrolment S.Y. 2025-2026 ]]*8</f>
        <v>0</v>
      </c>
      <c r="Q20" s="10"/>
      <c r="R20" s="8"/>
      <c r="S20" s="10"/>
      <c r="T20" s="10">
        <f t="shared" si="12"/>
        <v>0</v>
      </c>
      <c r="U20" s="10">
        <f t="shared" si="13"/>
        <v>0</v>
      </c>
      <c r="V20" s="10">
        <f>Table1[[#This Row],[Enrolment S.Y. 2025-2026 ]]*8</f>
        <v>0</v>
      </c>
      <c r="W20" s="10"/>
      <c r="X20" s="8"/>
      <c r="Y20" s="10"/>
      <c r="Z20" s="10">
        <f t="shared" si="14"/>
        <v>0</v>
      </c>
      <c r="AA20" s="10">
        <f t="shared" si="15"/>
        <v>0</v>
      </c>
    </row>
    <row r="21" spans="1:27" ht="19.5">
      <c r="A21" s="8">
        <v>8</v>
      </c>
      <c r="B21" s="9" t="s">
        <v>13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ref="H21:H70" si="16">IF((D21-E21)&lt;0,0,(D21-E21))</f>
        <v>0</v>
      </c>
      <c r="I21" s="10">
        <f t="shared" ref="I21:I70" si="17">IF((E21-D21)&lt;0,0,(E21-D21))</f>
        <v>0</v>
      </c>
      <c r="J21" s="10">
        <f>Table1[[#This Row],[Enrolment S.Y. 2025-2026 ]]*8</f>
        <v>0</v>
      </c>
      <c r="K21" s="10"/>
      <c r="L21" s="8"/>
      <c r="M21" s="10"/>
      <c r="N21" s="10">
        <f t="shared" si="10"/>
        <v>0</v>
      </c>
      <c r="O21" s="10">
        <f t="shared" si="11"/>
        <v>0</v>
      </c>
      <c r="P21" s="10">
        <f>Table1[[#This Row],[Enrolment S.Y. 2025-2026 ]]*8</f>
        <v>0</v>
      </c>
      <c r="Q21" s="10"/>
      <c r="R21" s="8"/>
      <c r="S21" s="10"/>
      <c r="T21" s="10">
        <f t="shared" si="12"/>
        <v>0</v>
      </c>
      <c r="U21" s="10">
        <f t="shared" si="13"/>
        <v>0</v>
      </c>
      <c r="V21" s="10">
        <f>Table1[[#This Row],[Enrolment S.Y. 2025-2026 ]]*8</f>
        <v>0</v>
      </c>
      <c r="W21" s="10"/>
      <c r="X21" s="8"/>
      <c r="Y21" s="10"/>
      <c r="Z21" s="10">
        <f t="shared" si="14"/>
        <v>0</v>
      </c>
      <c r="AA21" s="10">
        <f t="shared" si="15"/>
        <v>0</v>
      </c>
    </row>
    <row r="22" spans="1:27" s="5" customFormat="1" ht="19.5">
      <c r="A22" s="8">
        <v>8</v>
      </c>
      <c r="B22" s="9" t="s">
        <v>14</v>
      </c>
      <c r="C22" s="8"/>
      <c r="D22" s="10">
        <f>Table1[[#This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Table1[[#This Row],[Enrolment S.Y. 2025-2026 ]]*8</f>
        <v>0</v>
      </c>
      <c r="K22" s="10"/>
      <c r="L22" s="8"/>
      <c r="M22" s="10"/>
      <c r="N22" s="10">
        <f t="shared" si="10"/>
        <v>0</v>
      </c>
      <c r="O22" s="10">
        <f t="shared" si="11"/>
        <v>0</v>
      </c>
      <c r="P22" s="10">
        <f>Table1[[#This Row],[Enrolment S.Y. 2025-2026 ]]*8</f>
        <v>0</v>
      </c>
      <c r="Q22" s="10"/>
      <c r="R22" s="8"/>
      <c r="S22" s="10"/>
      <c r="T22" s="10">
        <f t="shared" si="12"/>
        <v>0</v>
      </c>
      <c r="U22" s="10">
        <f t="shared" si="13"/>
        <v>0</v>
      </c>
      <c r="V22" s="10">
        <f>Table1[[#This Row],[Enrolment S.Y. 2025-2026 ]]*8</f>
        <v>0</v>
      </c>
      <c r="W22" s="10"/>
      <c r="X22" s="8"/>
      <c r="Y22" s="10"/>
      <c r="Z22" s="10">
        <f t="shared" si="14"/>
        <v>0</v>
      </c>
      <c r="AA22" s="10">
        <f t="shared" si="15"/>
        <v>0</v>
      </c>
    </row>
    <row r="23" spans="1:27" ht="19.5">
      <c r="A23" s="8">
        <v>8</v>
      </c>
      <c r="B23" s="9" t="s">
        <v>15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Table1[[#This Row],[Enrolment S.Y. 2025-2026 ]]*8</f>
        <v>0</v>
      </c>
      <c r="K23" s="10"/>
      <c r="L23" s="8"/>
      <c r="M23" s="10"/>
      <c r="N23" s="10">
        <f t="shared" si="10"/>
        <v>0</v>
      </c>
      <c r="O23" s="10">
        <f t="shared" si="11"/>
        <v>0</v>
      </c>
      <c r="P23" s="10">
        <f>Table1[[#This Row],[Enrolment S.Y. 2025-2026 ]]*8</f>
        <v>0</v>
      </c>
      <c r="Q23" s="10"/>
      <c r="R23" s="8"/>
      <c r="S23" s="10"/>
      <c r="T23" s="10">
        <f t="shared" si="12"/>
        <v>0</v>
      </c>
      <c r="U23" s="10">
        <f t="shared" si="13"/>
        <v>0</v>
      </c>
      <c r="V23" s="10">
        <f>Table1[[#This Row],[Enrolment S.Y. 2025-2026 ]]*8</f>
        <v>0</v>
      </c>
      <c r="W23" s="10"/>
      <c r="X23" s="8"/>
      <c r="Y23" s="10"/>
      <c r="Z23" s="10">
        <f t="shared" si="14"/>
        <v>0</v>
      </c>
      <c r="AA23" s="10">
        <f t="shared" si="15"/>
        <v>0</v>
      </c>
    </row>
    <row r="24" spans="1:27" ht="19.5">
      <c r="A24" s="8">
        <v>8</v>
      </c>
      <c r="B24" s="9" t="s">
        <v>16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Table1[[#This Row],[Enrolment S.Y. 2025-2026 ]]*8</f>
        <v>0</v>
      </c>
      <c r="K24" s="10"/>
      <c r="L24" s="8"/>
      <c r="M24" s="10"/>
      <c r="N24" s="10">
        <f t="shared" si="10"/>
        <v>0</v>
      </c>
      <c r="O24" s="10">
        <f t="shared" si="11"/>
        <v>0</v>
      </c>
      <c r="P24" s="10">
        <f>Table1[[#This Row],[Enrolment S.Y. 2025-2026 ]]*8</f>
        <v>0</v>
      </c>
      <c r="Q24" s="10"/>
      <c r="R24" s="8"/>
      <c r="S24" s="10"/>
      <c r="T24" s="10">
        <f t="shared" si="12"/>
        <v>0</v>
      </c>
      <c r="U24" s="10">
        <f t="shared" si="13"/>
        <v>0</v>
      </c>
      <c r="V24" s="10">
        <f>Table1[[#This Row],[Enrolment S.Y. 2025-2026 ]]*8</f>
        <v>0</v>
      </c>
      <c r="W24" s="10"/>
      <c r="X24" s="8"/>
      <c r="Y24" s="10"/>
      <c r="Z24" s="10">
        <f t="shared" si="14"/>
        <v>0</v>
      </c>
      <c r="AA24" s="10">
        <f t="shared" si="15"/>
        <v>0</v>
      </c>
    </row>
    <row r="25" spans="1:27" ht="19.5">
      <c r="A25" s="5"/>
      <c r="B25" s="5"/>
      <c r="C25" s="5"/>
      <c r="D25" s="5"/>
      <c r="E25" s="5"/>
      <c r="F25" s="5"/>
      <c r="G25" s="5"/>
      <c r="H25" s="5"/>
      <c r="I25" s="5"/>
      <c r="J25" s="11"/>
      <c r="K25" s="5"/>
      <c r="L25" s="5"/>
      <c r="M25" s="4"/>
      <c r="N25" s="11"/>
      <c r="O25" s="11"/>
      <c r="P25" s="11"/>
      <c r="Q25" s="5"/>
      <c r="R25" s="5"/>
      <c r="S25" s="4"/>
      <c r="T25" s="11"/>
      <c r="U25" s="11"/>
      <c r="V25" s="11"/>
      <c r="W25" s="5"/>
      <c r="X25" s="5"/>
      <c r="Y25" s="4"/>
      <c r="Z25" s="11"/>
      <c r="AA25" s="11"/>
    </row>
    <row r="26" spans="1:27" ht="19.5">
      <c r="A26" s="8">
        <v>9</v>
      </c>
      <c r="B26" s="9" t="s">
        <v>8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Table1[[#This Row],[Enrolment S.Y. 2025-2026 ]]*8</f>
        <v>0</v>
      </c>
      <c r="K26" s="10"/>
      <c r="L26" s="8"/>
      <c r="M26" s="10"/>
      <c r="N26" s="10">
        <f t="shared" si="10"/>
        <v>0</v>
      </c>
      <c r="O26" s="10">
        <f t="shared" si="11"/>
        <v>0</v>
      </c>
      <c r="P26" s="10">
        <f>Table1[[#This Row],[Enrolment S.Y. 2025-2026 ]]*8</f>
        <v>0</v>
      </c>
      <c r="Q26" s="10"/>
      <c r="R26" s="8"/>
      <c r="S26" s="10"/>
      <c r="T26" s="10">
        <f t="shared" si="12"/>
        <v>0</v>
      </c>
      <c r="U26" s="10">
        <f t="shared" si="13"/>
        <v>0</v>
      </c>
      <c r="V26" s="10">
        <f>Table1[[#This Row],[Enrolment S.Y. 2025-2026 ]]*8</f>
        <v>0</v>
      </c>
      <c r="W26" s="10"/>
      <c r="X26" s="8"/>
      <c r="Y26" s="10"/>
      <c r="Z26" s="10">
        <f t="shared" si="14"/>
        <v>0</v>
      </c>
      <c r="AA26" s="10">
        <f t="shared" si="15"/>
        <v>0</v>
      </c>
    </row>
    <row r="27" spans="1:27" ht="19.5">
      <c r="A27" s="8">
        <v>9</v>
      </c>
      <c r="B27" s="9" t="s">
        <v>9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Table1[[#This Row],[Enrolment S.Y. 2025-2026 ]]*8</f>
        <v>0</v>
      </c>
      <c r="K27" s="10"/>
      <c r="L27" s="8"/>
      <c r="M27" s="10"/>
      <c r="N27" s="10">
        <f t="shared" si="10"/>
        <v>0</v>
      </c>
      <c r="O27" s="10">
        <f t="shared" si="11"/>
        <v>0</v>
      </c>
      <c r="P27" s="10">
        <f>Table1[[#This Row],[Enrolment S.Y. 2025-2026 ]]*8</f>
        <v>0</v>
      </c>
      <c r="Q27" s="10"/>
      <c r="R27" s="8"/>
      <c r="S27" s="10"/>
      <c r="T27" s="10">
        <f t="shared" si="12"/>
        <v>0</v>
      </c>
      <c r="U27" s="10">
        <f t="shared" si="13"/>
        <v>0</v>
      </c>
      <c r="V27" s="10">
        <f>Table1[[#This Row],[Enrolment S.Y. 2025-2026 ]]*8</f>
        <v>0</v>
      </c>
      <c r="W27" s="10"/>
      <c r="X27" s="8"/>
      <c r="Y27" s="10"/>
      <c r="Z27" s="10">
        <f t="shared" si="14"/>
        <v>0</v>
      </c>
      <c r="AA27" s="10">
        <f t="shared" si="15"/>
        <v>0</v>
      </c>
    </row>
    <row r="28" spans="1:27" ht="19.5">
      <c r="A28" s="8">
        <v>9</v>
      </c>
      <c r="B28" s="9" t="s">
        <v>10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Table1[[#This Row],[Enrolment S.Y. 2025-2026 ]]*8</f>
        <v>0</v>
      </c>
      <c r="K28" s="10"/>
      <c r="L28" s="8"/>
      <c r="M28" s="10"/>
      <c r="N28" s="10">
        <f t="shared" si="10"/>
        <v>0</v>
      </c>
      <c r="O28" s="10">
        <f t="shared" si="11"/>
        <v>0</v>
      </c>
      <c r="P28" s="10">
        <f>Table1[[#This Row],[Enrolment S.Y. 2025-2026 ]]*8</f>
        <v>0</v>
      </c>
      <c r="Q28" s="10"/>
      <c r="R28" s="8"/>
      <c r="S28" s="10"/>
      <c r="T28" s="10">
        <f t="shared" si="12"/>
        <v>0</v>
      </c>
      <c r="U28" s="10">
        <f t="shared" si="13"/>
        <v>0</v>
      </c>
      <c r="V28" s="10">
        <f>Table1[[#This Row],[Enrolment S.Y. 2025-2026 ]]*8</f>
        <v>0</v>
      </c>
      <c r="W28" s="10"/>
      <c r="X28" s="8"/>
      <c r="Y28" s="10"/>
      <c r="Z28" s="10">
        <f t="shared" si="14"/>
        <v>0</v>
      </c>
      <c r="AA28" s="10">
        <f t="shared" si="15"/>
        <v>0</v>
      </c>
    </row>
    <row r="29" spans="1:27" ht="19.5">
      <c r="A29" s="8">
        <v>9</v>
      </c>
      <c r="B29" s="9" t="s">
        <v>11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Table1[[#This Row],[Enrolment S.Y. 2025-2026 ]]*8</f>
        <v>0</v>
      </c>
      <c r="K29" s="10"/>
      <c r="L29" s="8"/>
      <c r="M29" s="10"/>
      <c r="N29" s="10">
        <f t="shared" si="10"/>
        <v>0</v>
      </c>
      <c r="O29" s="10">
        <f t="shared" si="11"/>
        <v>0</v>
      </c>
      <c r="P29" s="10">
        <f>Table1[[#This Row],[Enrolment S.Y. 2025-2026 ]]*8</f>
        <v>0</v>
      </c>
      <c r="Q29" s="10"/>
      <c r="R29" s="8"/>
      <c r="S29" s="10"/>
      <c r="T29" s="10">
        <f t="shared" si="12"/>
        <v>0</v>
      </c>
      <c r="U29" s="10">
        <f t="shared" si="13"/>
        <v>0</v>
      </c>
      <c r="V29" s="10">
        <f>Table1[[#This Row],[Enrolment S.Y. 2025-2026 ]]*8</f>
        <v>0</v>
      </c>
      <c r="W29" s="10"/>
      <c r="X29" s="8"/>
      <c r="Y29" s="10"/>
      <c r="Z29" s="10">
        <f t="shared" si="14"/>
        <v>0</v>
      </c>
      <c r="AA29" s="10">
        <f t="shared" si="15"/>
        <v>0</v>
      </c>
    </row>
    <row r="30" spans="1:27" ht="19.5">
      <c r="A30" s="8">
        <v>9</v>
      </c>
      <c r="B30" s="9" t="s">
        <v>17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Table1[[#This Row],[Enrolment S.Y. 2025-2026 ]]*8</f>
        <v>0</v>
      </c>
      <c r="K30" s="10"/>
      <c r="L30" s="8"/>
      <c r="M30" s="10"/>
      <c r="N30" s="10">
        <f t="shared" si="10"/>
        <v>0</v>
      </c>
      <c r="O30" s="10">
        <f t="shared" si="11"/>
        <v>0</v>
      </c>
      <c r="P30" s="10">
        <f>Table1[[#This Row],[Enrolment S.Y. 2025-2026 ]]*8</f>
        <v>0</v>
      </c>
      <c r="Q30" s="10"/>
      <c r="R30" s="8"/>
      <c r="S30" s="10"/>
      <c r="T30" s="10">
        <f t="shared" si="12"/>
        <v>0</v>
      </c>
      <c r="U30" s="10">
        <f t="shared" si="13"/>
        <v>0</v>
      </c>
      <c r="V30" s="10">
        <f>Table1[[#This Row],[Enrolment S.Y. 2025-2026 ]]*8</f>
        <v>0</v>
      </c>
      <c r="W30" s="10"/>
      <c r="X30" s="8"/>
      <c r="Y30" s="10"/>
      <c r="Z30" s="10">
        <f t="shared" si="14"/>
        <v>0</v>
      </c>
      <c r="AA30" s="10">
        <f t="shared" si="15"/>
        <v>0</v>
      </c>
    </row>
    <row r="31" spans="1:27" ht="19.5">
      <c r="A31" s="8">
        <v>9</v>
      </c>
      <c r="B31" s="9" t="s">
        <v>13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Table1[[#This Row],[Enrolment S.Y. 2025-2026 ]]*8</f>
        <v>0</v>
      </c>
      <c r="K31" s="10"/>
      <c r="L31" s="8"/>
      <c r="M31" s="10"/>
      <c r="N31" s="10">
        <f t="shared" si="10"/>
        <v>0</v>
      </c>
      <c r="O31" s="10">
        <f t="shared" si="11"/>
        <v>0</v>
      </c>
      <c r="P31" s="10">
        <f>Table1[[#This Row],[Enrolment S.Y. 2025-2026 ]]*8</f>
        <v>0</v>
      </c>
      <c r="Q31" s="10"/>
      <c r="R31" s="8"/>
      <c r="S31" s="10"/>
      <c r="T31" s="10">
        <f t="shared" si="12"/>
        <v>0</v>
      </c>
      <c r="U31" s="10">
        <f t="shared" si="13"/>
        <v>0</v>
      </c>
      <c r="V31" s="10">
        <f>Table1[[#This Row],[Enrolment S.Y. 2025-2026 ]]*8</f>
        <v>0</v>
      </c>
      <c r="W31" s="10"/>
      <c r="X31" s="8"/>
      <c r="Y31" s="10"/>
      <c r="Z31" s="10">
        <f t="shared" si="14"/>
        <v>0</v>
      </c>
      <c r="AA31" s="10">
        <f t="shared" si="15"/>
        <v>0</v>
      </c>
    </row>
    <row r="32" spans="1:27" s="5" customFormat="1" ht="19.5">
      <c r="A32" s="8">
        <v>9</v>
      </c>
      <c r="B32" s="9" t="s">
        <v>14</v>
      </c>
      <c r="C32" s="8"/>
      <c r="D32" s="10">
        <f>Table1[[#This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Table1[[#This Row],[Enrolment S.Y. 2025-2026 ]]*8</f>
        <v>0</v>
      </c>
      <c r="K32" s="10"/>
      <c r="L32" s="8"/>
      <c r="M32" s="10"/>
      <c r="N32" s="10">
        <f t="shared" si="10"/>
        <v>0</v>
      </c>
      <c r="O32" s="10">
        <f t="shared" si="11"/>
        <v>0</v>
      </c>
      <c r="P32" s="10">
        <f>Table1[[#This Row],[Enrolment S.Y. 2025-2026 ]]*8</f>
        <v>0</v>
      </c>
      <c r="Q32" s="10"/>
      <c r="R32" s="8"/>
      <c r="S32" s="10"/>
      <c r="T32" s="10">
        <f t="shared" si="12"/>
        <v>0</v>
      </c>
      <c r="U32" s="10">
        <f t="shared" si="13"/>
        <v>0</v>
      </c>
      <c r="V32" s="10">
        <f>Table1[[#This Row],[Enrolment S.Y. 2025-2026 ]]*8</f>
        <v>0</v>
      </c>
      <c r="W32" s="10"/>
      <c r="X32" s="8"/>
      <c r="Y32" s="10"/>
      <c r="Z32" s="10">
        <f t="shared" si="14"/>
        <v>0</v>
      </c>
      <c r="AA32" s="10">
        <f t="shared" si="15"/>
        <v>0</v>
      </c>
    </row>
    <row r="33" spans="1:27" ht="19.5">
      <c r="A33" s="8">
        <v>9</v>
      </c>
      <c r="B33" s="9" t="s">
        <v>15</v>
      </c>
      <c r="C33" s="8"/>
      <c r="D33" s="10">
        <f>Table1[[#This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Table1[[#This Row],[Enrolment S.Y. 2025-2026 ]]*8</f>
        <v>0</v>
      </c>
      <c r="K33" s="10"/>
      <c r="L33" s="8"/>
      <c r="M33" s="10"/>
      <c r="N33" s="10">
        <f t="shared" si="10"/>
        <v>0</v>
      </c>
      <c r="O33" s="10">
        <f t="shared" si="11"/>
        <v>0</v>
      </c>
      <c r="P33" s="10">
        <f>Table1[[#This Row],[Enrolment S.Y. 2025-2026 ]]*8</f>
        <v>0</v>
      </c>
      <c r="Q33" s="10"/>
      <c r="R33" s="8"/>
      <c r="S33" s="10"/>
      <c r="T33" s="10">
        <f t="shared" si="12"/>
        <v>0</v>
      </c>
      <c r="U33" s="10">
        <f t="shared" si="13"/>
        <v>0</v>
      </c>
      <c r="V33" s="10">
        <f>Table1[[#This Row],[Enrolment S.Y. 2025-2026 ]]*8</f>
        <v>0</v>
      </c>
      <c r="W33" s="10"/>
      <c r="X33" s="8"/>
      <c r="Y33" s="10"/>
      <c r="Z33" s="10">
        <f t="shared" si="14"/>
        <v>0</v>
      </c>
      <c r="AA33" s="10">
        <f t="shared" si="15"/>
        <v>0</v>
      </c>
    </row>
    <row r="34" spans="1:27" ht="19.5">
      <c r="A34" s="8">
        <v>9</v>
      </c>
      <c r="B34" s="9" t="s">
        <v>16</v>
      </c>
      <c r="C34" s="8"/>
      <c r="D34" s="10">
        <f>Table1[[#This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Table1[[#This Row],[Enrolment S.Y. 2025-2026 ]]*8</f>
        <v>0</v>
      </c>
      <c r="K34" s="10"/>
      <c r="L34" s="8"/>
      <c r="M34" s="10"/>
      <c r="N34" s="10">
        <f t="shared" si="10"/>
        <v>0</v>
      </c>
      <c r="O34" s="10">
        <f t="shared" si="11"/>
        <v>0</v>
      </c>
      <c r="P34" s="10">
        <f>Table1[[#This Row],[Enrolment S.Y. 2025-2026 ]]*8</f>
        <v>0</v>
      </c>
      <c r="Q34" s="10"/>
      <c r="R34" s="8"/>
      <c r="S34" s="10"/>
      <c r="T34" s="10">
        <f t="shared" si="12"/>
        <v>0</v>
      </c>
      <c r="U34" s="10">
        <f t="shared" si="13"/>
        <v>0</v>
      </c>
      <c r="V34" s="10">
        <f>Table1[[#This Row],[Enrolment S.Y. 2025-2026 ]]*8</f>
        <v>0</v>
      </c>
      <c r="W34" s="10"/>
      <c r="X34" s="8"/>
      <c r="Y34" s="10"/>
      <c r="Z34" s="10">
        <f t="shared" si="14"/>
        <v>0</v>
      </c>
      <c r="AA34" s="10">
        <f t="shared" si="15"/>
        <v>0</v>
      </c>
    </row>
    <row r="35" spans="1:27" ht="19.5">
      <c r="A35" s="5"/>
      <c r="B35" s="5"/>
      <c r="C35" s="5"/>
      <c r="D35" s="5"/>
      <c r="E35" s="5"/>
      <c r="F35" s="5"/>
      <c r="G35" s="5"/>
      <c r="H35" s="5"/>
      <c r="I35" s="5"/>
      <c r="J35" s="11"/>
      <c r="K35" s="5"/>
      <c r="L35" s="5"/>
      <c r="M35" s="4"/>
      <c r="N35" s="11"/>
      <c r="O35" s="11"/>
      <c r="P35" s="11"/>
      <c r="Q35" s="5"/>
      <c r="R35" s="5"/>
      <c r="S35" s="4"/>
      <c r="T35" s="11"/>
      <c r="U35" s="11"/>
      <c r="V35" s="11"/>
      <c r="W35" s="5"/>
      <c r="X35" s="5"/>
      <c r="Y35" s="4"/>
      <c r="Z35" s="11"/>
      <c r="AA35" s="11"/>
    </row>
    <row r="36" spans="1:27" ht="19.5">
      <c r="A36" s="8">
        <v>10</v>
      </c>
      <c r="B36" s="9" t="s">
        <v>8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9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10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11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17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13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14</v>
      </c>
      <c r="C42" s="8"/>
      <c r="D42" s="10">
        <f>Table1[[#This Row],[Enrolment S.Y. 2025-2026 ]]*8</f>
        <v>0</v>
      </c>
      <c r="E42" s="10"/>
      <c r="F42" s="8"/>
      <c r="G42" s="10"/>
      <c r="H42" s="10">
        <f>IF((D42-E42)&lt;0,0,(D42-E42))</f>
        <v>0</v>
      </c>
      <c r="I42" s="10">
        <f>IF((E42-D42)&lt;0,0,(E42-D42))</f>
        <v>0</v>
      </c>
      <c r="J42" s="10">
        <f>Table1[[#This Row],[Enrolment S.Y. 2025-2026 ]]*8</f>
        <v>0</v>
      </c>
      <c r="K42" s="10"/>
      <c r="L42" s="8"/>
      <c r="M42" s="10"/>
      <c r="N42" s="10">
        <f>IF((J42-K42)&lt;0,0,(J42-K42))</f>
        <v>0</v>
      </c>
      <c r="O42" s="10">
        <f>IF((K42-J42)&lt;0,0,(K42-J42))</f>
        <v>0</v>
      </c>
      <c r="P42" s="10">
        <f>Table1[[#This Row],[Enrolment S.Y. 2025-2026 ]]*8</f>
        <v>0</v>
      </c>
      <c r="Q42" s="10"/>
      <c r="R42" s="8"/>
      <c r="S42" s="10"/>
      <c r="T42" s="10">
        <f>IF((P42-Q42)&lt;0,0,(P42-Q42))</f>
        <v>0</v>
      </c>
      <c r="U42" s="10">
        <f>IF((Q42-P42)&lt;0,0,(Q42-P42))</f>
        <v>0</v>
      </c>
      <c r="V42" s="10">
        <f>Table1[[#This Row],[Enrolment S.Y. 2025-2026 ]]*8</f>
        <v>0</v>
      </c>
      <c r="W42" s="10"/>
      <c r="X42" s="8"/>
      <c r="Y42" s="10"/>
      <c r="Z42" s="10">
        <f>IF((V42-W42)&lt;0,0,(V42-W42))</f>
        <v>0</v>
      </c>
      <c r="AA42" s="10">
        <f>IF((W42-V42)&lt;0,0,(W42-V42))</f>
        <v>0</v>
      </c>
    </row>
    <row r="43" spans="1:27" ht="19.5">
      <c r="A43" s="8">
        <v>10</v>
      </c>
      <c r="B43" s="9" t="s">
        <v>15</v>
      </c>
      <c r="C43" s="8"/>
      <c r="D43" s="10">
        <f>Table1[[#This Row],[Enrolment S.Y. 2025-2026 ]]*8</f>
        <v>0</v>
      </c>
      <c r="E43" s="10"/>
      <c r="F43" s="8"/>
      <c r="G43" s="10"/>
      <c r="H43" s="10">
        <f>IF((D43-E43)&lt;0,0,(D43-E43))</f>
        <v>0</v>
      </c>
      <c r="I43" s="10">
        <f>IF((E43-D43)&lt;0,0,(E43-D43))</f>
        <v>0</v>
      </c>
      <c r="J43" s="10">
        <f>Table1[[#This Row],[Enrolment S.Y. 2025-2026 ]]*8</f>
        <v>0</v>
      </c>
      <c r="K43" s="10"/>
      <c r="L43" s="8"/>
      <c r="M43" s="10"/>
      <c r="N43" s="10">
        <f>IF((J43-K43)&lt;0,0,(J43-K43))</f>
        <v>0</v>
      </c>
      <c r="O43" s="10">
        <f>IF((K43-J43)&lt;0,0,(K43-J43))</f>
        <v>0</v>
      </c>
      <c r="P43" s="10">
        <f>Table1[[#This Row],[Enrolment S.Y. 2025-2026 ]]*8</f>
        <v>0</v>
      </c>
      <c r="Q43" s="10"/>
      <c r="R43" s="8"/>
      <c r="S43" s="10"/>
      <c r="T43" s="10">
        <f>IF((P43-Q43)&lt;0,0,(P43-Q43))</f>
        <v>0</v>
      </c>
      <c r="U43" s="10">
        <f>IF((Q43-P43)&lt;0,0,(Q43-P43))</f>
        <v>0</v>
      </c>
      <c r="V43" s="10">
        <f>Table1[[#This Row],[Enrolment S.Y. 2025-2026 ]]*8</f>
        <v>0</v>
      </c>
      <c r="W43" s="10"/>
      <c r="X43" s="8"/>
      <c r="Y43" s="10"/>
      <c r="Z43" s="10">
        <f>IF((V43-W43)&lt;0,0,(V43-W43))</f>
        <v>0</v>
      </c>
      <c r="AA43" s="10">
        <f>IF((W43-V43)&lt;0,0,(W43-V43))</f>
        <v>0</v>
      </c>
    </row>
    <row r="44" spans="1:27" ht="19.5">
      <c r="A44" s="8">
        <v>10</v>
      </c>
      <c r="B44" s="9" t="s">
        <v>16</v>
      </c>
      <c r="C44" s="8"/>
      <c r="D44" s="10">
        <f>Table1[[#This Row],[Enrolment S.Y. 2025-2026 ]]*8</f>
        <v>0</v>
      </c>
      <c r="E44" s="10"/>
      <c r="F44" s="8"/>
      <c r="G44" s="10"/>
      <c r="H44" s="10">
        <f>IF((D44-E44)&lt;0,0,(D44-E44))</f>
        <v>0</v>
      </c>
      <c r="I44" s="10">
        <f>IF((E44-D44)&lt;0,0,(E44-D44))</f>
        <v>0</v>
      </c>
      <c r="J44" s="10">
        <f>Table1[[#This Row],[Enrolment S.Y. 2025-2026 ]]*8</f>
        <v>0</v>
      </c>
      <c r="K44" s="10"/>
      <c r="L44" s="8"/>
      <c r="M44" s="10"/>
      <c r="N44" s="10">
        <f>IF((J44-K44)&lt;0,0,(J44-K44))</f>
        <v>0</v>
      </c>
      <c r="O44" s="10">
        <f>IF((K44-J44)&lt;0,0,(K44-J44))</f>
        <v>0</v>
      </c>
      <c r="P44" s="10">
        <f>Table1[[#This Row],[Enrolment S.Y. 2025-2026 ]]*8</f>
        <v>0</v>
      </c>
      <c r="Q44" s="10"/>
      <c r="R44" s="8"/>
      <c r="S44" s="10"/>
      <c r="T44" s="10">
        <f>IF((P44-Q44)&lt;0,0,(P44-Q44))</f>
        <v>0</v>
      </c>
      <c r="U44" s="10">
        <f>IF((Q44-P44)&lt;0,0,(Q44-P44))</f>
        <v>0</v>
      </c>
      <c r="V44" s="10">
        <f>Table1[[#This Row],[Enrolment S.Y. 2025-2026 ]]*8</f>
        <v>0</v>
      </c>
      <c r="W44" s="10"/>
      <c r="X44" s="8"/>
      <c r="Y44" s="10"/>
      <c r="Z44" s="10">
        <f>IF((V44-W44)&lt;0,0,(V44-W44))</f>
        <v>0</v>
      </c>
      <c r="AA44" s="10">
        <f>IF((W44-V44)&lt;0,0,(W44-V44))</f>
        <v>0</v>
      </c>
    </row>
    <row r="45" spans="1:27" ht="19.5">
      <c r="A45" s="5"/>
      <c r="B45" s="5"/>
      <c r="C45" s="5"/>
      <c r="D45" s="5"/>
      <c r="E45" s="5"/>
      <c r="F45" s="5"/>
      <c r="G45" s="5"/>
      <c r="H45" s="5"/>
      <c r="I45" s="5"/>
      <c r="J45" s="11"/>
      <c r="K45" s="5"/>
      <c r="L45" s="5"/>
      <c r="M45" s="4"/>
      <c r="N45" s="11"/>
      <c r="O45" s="11"/>
      <c r="P45" s="11"/>
      <c r="Q45" s="5"/>
      <c r="R45" s="5"/>
      <c r="S45" s="4"/>
      <c r="T45" s="11"/>
      <c r="U45" s="11"/>
      <c r="V45" s="11"/>
      <c r="W45" s="5"/>
      <c r="X45" s="5"/>
      <c r="Y45" s="4"/>
      <c r="Z45" s="11"/>
      <c r="AA45" s="11"/>
    </row>
    <row r="46" spans="1:27" ht="38.25">
      <c r="A46" s="1" t="s">
        <v>18</v>
      </c>
      <c r="B46" s="7" t="s">
        <v>19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6"/>
        <v>0</v>
      </c>
      <c r="I46" s="4">
        <f t="shared" si="17"/>
        <v>0</v>
      </c>
      <c r="J46" s="4">
        <f>Table1[[#This Row],[Enrolment S.Y. 2025-2026 ]]*8</f>
        <v>0</v>
      </c>
      <c r="K46" s="4"/>
      <c r="L46" s="1"/>
      <c r="M46" s="4"/>
      <c r="N46" s="4">
        <f t="shared" si="10"/>
        <v>0</v>
      </c>
      <c r="O46" s="4">
        <f t="shared" si="11"/>
        <v>0</v>
      </c>
      <c r="P46" s="4">
        <f>Table1[[#This Row],[Enrolment S.Y. 2025-2026 ]]*8</f>
        <v>0</v>
      </c>
      <c r="Q46" s="4"/>
      <c r="R46" s="1"/>
      <c r="S46" s="4"/>
      <c r="T46" s="4">
        <f t="shared" si="12"/>
        <v>0</v>
      </c>
      <c r="U46" s="4">
        <f t="shared" si="13"/>
        <v>0</v>
      </c>
      <c r="V46" s="4">
        <f>Table1[[#This Row],[Enrolment S.Y. 2025-2026 ]]*8</f>
        <v>0</v>
      </c>
      <c r="W46" s="4"/>
      <c r="X46" s="1"/>
      <c r="Y46" s="4"/>
      <c r="Z46" s="4">
        <f t="shared" si="14"/>
        <v>0</v>
      </c>
      <c r="AA46" s="4">
        <f t="shared" si="15"/>
        <v>0</v>
      </c>
    </row>
    <row r="47" spans="1:27" ht="19.5">
      <c r="A47" s="1" t="s">
        <v>18</v>
      </c>
      <c r="B47" s="7" t="s">
        <v>20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6"/>
        <v>0</v>
      </c>
      <c r="I47" s="4">
        <f t="shared" si="17"/>
        <v>0</v>
      </c>
      <c r="J47" s="4">
        <f>Table1[[#This Row],[Enrolment S.Y. 2025-2026 ]]*8</f>
        <v>0</v>
      </c>
      <c r="K47" s="4"/>
      <c r="L47" s="1"/>
      <c r="M47" s="4"/>
      <c r="N47" s="4">
        <f t="shared" si="10"/>
        <v>0</v>
      </c>
      <c r="O47" s="4">
        <f t="shared" si="11"/>
        <v>0</v>
      </c>
      <c r="P47" s="4">
        <f>Table1[[#This Row],[Enrolment S.Y. 2025-2026 ]]*8</f>
        <v>0</v>
      </c>
      <c r="Q47" s="4"/>
      <c r="R47" s="1"/>
      <c r="S47" s="4"/>
      <c r="T47" s="4">
        <f t="shared" si="12"/>
        <v>0</v>
      </c>
      <c r="U47" s="4">
        <f t="shared" si="13"/>
        <v>0</v>
      </c>
      <c r="V47" s="4">
        <f>Table1[[#This Row],[Enrolment S.Y. 2025-2026 ]]*8</f>
        <v>0</v>
      </c>
      <c r="W47" s="4"/>
      <c r="X47" s="1"/>
      <c r="Y47" s="4"/>
      <c r="Z47" s="4">
        <f t="shared" si="14"/>
        <v>0</v>
      </c>
      <c r="AA47" s="4">
        <f t="shared" si="15"/>
        <v>0</v>
      </c>
    </row>
    <row r="48" spans="1:27" ht="19.5">
      <c r="A48" s="1" t="s">
        <v>18</v>
      </c>
      <c r="B48" s="7" t="s">
        <v>21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6"/>
        <v>0</v>
      </c>
      <c r="I48" s="4">
        <f t="shared" si="17"/>
        <v>0</v>
      </c>
      <c r="J48" s="4">
        <f>Table1[[#This Row],[Enrolment S.Y. 2025-2026 ]]*8</f>
        <v>0</v>
      </c>
      <c r="K48" s="4"/>
      <c r="L48" s="1"/>
      <c r="M48" s="4"/>
      <c r="N48" s="4">
        <f t="shared" si="10"/>
        <v>0</v>
      </c>
      <c r="O48" s="4">
        <f t="shared" si="11"/>
        <v>0</v>
      </c>
      <c r="P48" s="4">
        <f>Table1[[#This Row],[Enrolment S.Y. 2025-2026 ]]*8</f>
        <v>0</v>
      </c>
      <c r="Q48" s="4"/>
      <c r="R48" s="1"/>
      <c r="S48" s="4"/>
      <c r="T48" s="4">
        <f t="shared" si="12"/>
        <v>0</v>
      </c>
      <c r="U48" s="4">
        <f t="shared" si="13"/>
        <v>0</v>
      </c>
      <c r="V48" s="4">
        <f>Table1[[#This Row],[Enrolment S.Y. 2025-2026 ]]*8</f>
        <v>0</v>
      </c>
      <c r="W48" s="4"/>
      <c r="X48" s="1"/>
      <c r="Y48" s="4"/>
      <c r="Z48" s="4">
        <f t="shared" si="14"/>
        <v>0</v>
      </c>
      <c r="AA48" s="4">
        <f t="shared" si="15"/>
        <v>0</v>
      </c>
    </row>
    <row r="49" spans="1:27" ht="19.5">
      <c r="A49" s="1" t="s">
        <v>18</v>
      </c>
      <c r="B49" s="7" t="s">
        <v>22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6"/>
        <v>0</v>
      </c>
      <c r="I49" s="4">
        <f t="shared" si="17"/>
        <v>0</v>
      </c>
      <c r="J49" s="4">
        <f>Table1[[#This Row],[Enrolment S.Y. 2025-2026 ]]*8</f>
        <v>0</v>
      </c>
      <c r="K49" s="4"/>
      <c r="L49" s="1"/>
      <c r="M49" s="4"/>
      <c r="N49" s="4">
        <f t="shared" si="10"/>
        <v>0</v>
      </c>
      <c r="O49" s="4">
        <f t="shared" si="11"/>
        <v>0</v>
      </c>
      <c r="P49" s="4">
        <f>Table1[[#This Row],[Enrolment S.Y. 2025-2026 ]]*8</f>
        <v>0</v>
      </c>
      <c r="Q49" s="4"/>
      <c r="R49" s="1"/>
      <c r="S49" s="4"/>
      <c r="T49" s="4">
        <f t="shared" si="12"/>
        <v>0</v>
      </c>
      <c r="U49" s="4">
        <f t="shared" si="13"/>
        <v>0</v>
      </c>
      <c r="V49" s="4">
        <f>Table1[[#This Row],[Enrolment S.Y. 2025-2026 ]]*8</f>
        <v>0</v>
      </c>
      <c r="W49" s="4"/>
      <c r="X49" s="1"/>
      <c r="Y49" s="4"/>
      <c r="Z49" s="4">
        <f t="shared" si="14"/>
        <v>0</v>
      </c>
      <c r="AA49" s="4">
        <f t="shared" si="15"/>
        <v>0</v>
      </c>
    </row>
    <row r="50" spans="1:27" ht="38.25">
      <c r="A50" s="1" t="s">
        <v>18</v>
      </c>
      <c r="B50" s="7" t="s">
        <v>23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6"/>
        <v>0</v>
      </c>
      <c r="I50" s="4">
        <f t="shared" si="17"/>
        <v>0</v>
      </c>
      <c r="J50" s="4">
        <f>Table1[[#This Row],[Enrolment S.Y. 2025-2026 ]]*8</f>
        <v>0</v>
      </c>
      <c r="K50" s="4"/>
      <c r="L50" s="1"/>
      <c r="M50" s="4"/>
      <c r="N50" s="4">
        <f t="shared" si="10"/>
        <v>0</v>
      </c>
      <c r="O50" s="4">
        <f t="shared" si="11"/>
        <v>0</v>
      </c>
      <c r="P50" s="4">
        <f>Table1[[#This Row],[Enrolment S.Y. 2025-2026 ]]*8</f>
        <v>0</v>
      </c>
      <c r="Q50" s="4"/>
      <c r="R50" s="1"/>
      <c r="S50" s="4"/>
      <c r="T50" s="4">
        <f t="shared" si="12"/>
        <v>0</v>
      </c>
      <c r="U50" s="4">
        <f t="shared" si="13"/>
        <v>0</v>
      </c>
      <c r="V50" s="4">
        <f>Table1[[#This Row],[Enrolment S.Y. 2025-2026 ]]*8</f>
        <v>0</v>
      </c>
      <c r="W50" s="4"/>
      <c r="X50" s="1"/>
      <c r="Y50" s="4"/>
      <c r="Z50" s="4">
        <f t="shared" si="14"/>
        <v>0</v>
      </c>
      <c r="AA50" s="4">
        <f t="shared" si="15"/>
        <v>0</v>
      </c>
    </row>
    <row r="51" spans="1:27" ht="38.25">
      <c r="A51" s="1" t="s">
        <v>18</v>
      </c>
      <c r="B51" s="7" t="s">
        <v>24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Table1[[#This Row],[Enrolment S.Y. 2025-2026 ]]*8</f>
        <v>0</v>
      </c>
      <c r="K51" s="4"/>
      <c r="L51" s="1"/>
      <c r="M51" s="4"/>
      <c r="N51" s="4">
        <f t="shared" si="10"/>
        <v>0</v>
      </c>
      <c r="O51" s="4">
        <f t="shared" si="11"/>
        <v>0</v>
      </c>
      <c r="P51" s="4">
        <f>Table1[[#This Row],[Enrolment S.Y. 2025-2026 ]]*8</f>
        <v>0</v>
      </c>
      <c r="Q51" s="4"/>
      <c r="R51" s="1"/>
      <c r="S51" s="4"/>
      <c r="T51" s="4">
        <f t="shared" si="12"/>
        <v>0</v>
      </c>
      <c r="U51" s="4">
        <f t="shared" si="13"/>
        <v>0</v>
      </c>
      <c r="V51" s="4">
        <f>Table1[[#This Row],[Enrolment S.Y. 2025-2026 ]]*8</f>
        <v>0</v>
      </c>
      <c r="W51" s="4"/>
      <c r="X51" s="1"/>
      <c r="Y51" s="4"/>
      <c r="Z51" s="4">
        <f t="shared" si="14"/>
        <v>0</v>
      </c>
      <c r="AA51" s="4">
        <f t="shared" si="15"/>
        <v>0</v>
      </c>
    </row>
    <row r="52" spans="1:27" s="5" customFormat="1" ht="57.75">
      <c r="A52" s="1" t="s">
        <v>18</v>
      </c>
      <c r="B52" s="7" t="s">
        <v>25</v>
      </c>
      <c r="C52" s="1"/>
      <c r="D52" s="4">
        <f>Table1[[#This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Table1[[#This Row],[Enrolment S.Y. 2025-2026 ]]*8</f>
        <v>0</v>
      </c>
      <c r="K52" s="4"/>
      <c r="L52" s="1"/>
      <c r="M52" s="4"/>
      <c r="N52" s="4">
        <f t="shared" si="10"/>
        <v>0</v>
      </c>
      <c r="O52" s="4">
        <f t="shared" si="11"/>
        <v>0</v>
      </c>
      <c r="P52" s="4">
        <f>Table1[[#This Row],[Enrolment S.Y. 2025-2026 ]]*8</f>
        <v>0</v>
      </c>
      <c r="Q52" s="4"/>
      <c r="R52" s="1"/>
      <c r="S52" s="4"/>
      <c r="T52" s="4">
        <f t="shared" si="12"/>
        <v>0</v>
      </c>
      <c r="U52" s="4">
        <f t="shared" si="13"/>
        <v>0</v>
      </c>
      <c r="V52" s="4">
        <f>Table1[[#This Row],[Enrolment S.Y. 2025-2026 ]]*8</f>
        <v>0</v>
      </c>
      <c r="W52" s="4"/>
      <c r="X52" s="1"/>
      <c r="Y52" s="4"/>
      <c r="Z52" s="4">
        <f t="shared" si="14"/>
        <v>0</v>
      </c>
      <c r="AA52" s="4">
        <f t="shared" si="15"/>
        <v>0</v>
      </c>
    </row>
    <row r="53" spans="1:27" ht="38.25">
      <c r="A53" s="1" t="s">
        <v>18</v>
      </c>
      <c r="B53" s="7" t="s">
        <v>26</v>
      </c>
      <c r="C53" s="1"/>
      <c r="D53" s="4">
        <f>Table1[[#This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Table1[[#This Row],[Enrolment S.Y. 2025-2026 ]]*8</f>
        <v>0</v>
      </c>
      <c r="K53" s="4"/>
      <c r="L53" s="1"/>
      <c r="M53" s="4"/>
      <c r="N53" s="4">
        <f t="shared" si="10"/>
        <v>0</v>
      </c>
      <c r="O53" s="4">
        <f t="shared" si="11"/>
        <v>0</v>
      </c>
      <c r="P53" s="4">
        <f>Table1[[#This Row],[Enrolment S.Y. 2025-2026 ]]*8</f>
        <v>0</v>
      </c>
      <c r="Q53" s="4"/>
      <c r="R53" s="1"/>
      <c r="S53" s="4"/>
      <c r="T53" s="4">
        <f t="shared" si="12"/>
        <v>0</v>
      </c>
      <c r="U53" s="4">
        <f t="shared" si="13"/>
        <v>0</v>
      </c>
      <c r="V53" s="4">
        <f>Table1[[#This Row],[Enrolment S.Y. 2025-2026 ]]*8</f>
        <v>0</v>
      </c>
      <c r="W53" s="4"/>
      <c r="X53" s="1"/>
      <c r="Y53" s="4"/>
      <c r="Z53" s="4">
        <f t="shared" si="14"/>
        <v>0</v>
      </c>
      <c r="AA53" s="4">
        <f t="shared" si="15"/>
        <v>0</v>
      </c>
    </row>
    <row r="54" spans="1:27" ht="19.5">
      <c r="A54" s="5"/>
      <c r="B54" s="5"/>
      <c r="C54" s="5"/>
      <c r="D54" s="5"/>
      <c r="E54" s="5"/>
      <c r="F54" s="5"/>
      <c r="G54" s="5"/>
      <c r="H54" s="5"/>
      <c r="I54" s="5"/>
      <c r="J54" s="11"/>
      <c r="K54" s="5"/>
      <c r="L54" s="5"/>
      <c r="M54" s="5"/>
      <c r="N54" s="11"/>
      <c r="O54" s="11"/>
      <c r="P54" s="11"/>
      <c r="Q54" s="5"/>
      <c r="R54" s="5"/>
      <c r="S54" s="5"/>
      <c r="T54" s="11"/>
      <c r="U54" s="11"/>
      <c r="V54" s="11"/>
      <c r="W54" s="5"/>
      <c r="X54" s="5"/>
      <c r="Y54" s="5"/>
      <c r="Z54" s="11"/>
      <c r="AA54" s="11"/>
    </row>
    <row r="55" spans="1:27" ht="19.5">
      <c r="A55" s="1"/>
      <c r="B55" s="7"/>
      <c r="C55" s="1"/>
      <c r="D55" s="4"/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Table1[[#This Row],[Enrolment S.Y. 2025-2026 ]]*8</f>
        <v>0</v>
      </c>
      <c r="K55" s="4"/>
      <c r="L55" s="1"/>
      <c r="M55" s="4"/>
      <c r="N55" s="4">
        <f t="shared" si="10"/>
        <v>0</v>
      </c>
      <c r="O55" s="4">
        <f t="shared" si="11"/>
        <v>0</v>
      </c>
      <c r="P55" s="4">
        <f>Table1[[#This Row],[Enrolment S.Y. 2025-2026 ]]*8</f>
        <v>0</v>
      </c>
      <c r="Q55" s="4"/>
      <c r="R55" s="1"/>
      <c r="S55" s="4"/>
      <c r="T55" s="4">
        <f t="shared" si="12"/>
        <v>0</v>
      </c>
      <c r="U55" s="4">
        <f t="shared" si="13"/>
        <v>0</v>
      </c>
      <c r="V55" s="4">
        <f>Table1[[#This Row],[Enrolment S.Y. 2025-2026 ]]*8</f>
        <v>0</v>
      </c>
      <c r="W55" s="4"/>
      <c r="X55" s="1"/>
      <c r="Y55" s="4"/>
      <c r="Z55" s="4">
        <f t="shared" si="14"/>
        <v>0</v>
      </c>
      <c r="AA55" s="4">
        <f t="shared" si="15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Table1[[#This Row],[Enrolment S.Y. 2025-2026 ]]*8</f>
        <v>0</v>
      </c>
      <c r="K56" s="4"/>
      <c r="L56" s="1"/>
      <c r="M56" s="4"/>
      <c r="N56" s="4">
        <f t="shared" si="10"/>
        <v>0</v>
      </c>
      <c r="O56" s="4">
        <f t="shared" si="11"/>
        <v>0</v>
      </c>
      <c r="P56" s="4">
        <f>Table1[[#This Row],[Enrolment S.Y. 2025-2026 ]]*8</f>
        <v>0</v>
      </c>
      <c r="Q56" s="4"/>
      <c r="R56" s="1"/>
      <c r="S56" s="4"/>
      <c r="T56" s="4">
        <f t="shared" si="12"/>
        <v>0</v>
      </c>
      <c r="U56" s="4">
        <f t="shared" si="13"/>
        <v>0</v>
      </c>
      <c r="V56" s="4">
        <f>Table1[[#This Row],[Enrolment S.Y. 2025-2026 ]]*8</f>
        <v>0</v>
      </c>
      <c r="W56" s="4"/>
      <c r="X56" s="1"/>
      <c r="Y56" s="4"/>
      <c r="Z56" s="4">
        <f t="shared" si="14"/>
        <v>0</v>
      </c>
      <c r="AA56" s="4">
        <f t="shared" si="15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Table1[[#This Row],[Enrolment S.Y. 2025-2026 ]]*8</f>
        <v>0</v>
      </c>
      <c r="K57" s="4"/>
      <c r="L57" s="1"/>
      <c r="M57" s="4"/>
      <c r="N57" s="4">
        <f t="shared" si="10"/>
        <v>0</v>
      </c>
      <c r="O57" s="4">
        <f t="shared" si="11"/>
        <v>0</v>
      </c>
      <c r="P57" s="4">
        <f>Table1[[#This Row],[Enrolment S.Y. 2025-2026 ]]*8</f>
        <v>0</v>
      </c>
      <c r="Q57" s="4"/>
      <c r="R57" s="1"/>
      <c r="S57" s="4"/>
      <c r="T57" s="4">
        <f t="shared" si="12"/>
        <v>0</v>
      </c>
      <c r="U57" s="4">
        <f t="shared" si="13"/>
        <v>0</v>
      </c>
      <c r="V57" s="4">
        <f>Table1[[#This Row],[Enrolment S.Y. 2025-2026 ]]*8</f>
        <v>0</v>
      </c>
      <c r="W57" s="4"/>
      <c r="X57" s="1"/>
      <c r="Y57" s="4"/>
      <c r="Z57" s="4">
        <f t="shared" si="14"/>
        <v>0</v>
      </c>
      <c r="AA57" s="4">
        <f t="shared" si="15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Table1[[#This Row],[Enrolment S.Y. 2025-2026 ]]*8</f>
        <v>0</v>
      </c>
      <c r="K58" s="4"/>
      <c r="L58" s="1"/>
      <c r="M58" s="4"/>
      <c r="N58" s="4">
        <f t="shared" si="10"/>
        <v>0</v>
      </c>
      <c r="O58" s="4">
        <f t="shared" si="11"/>
        <v>0</v>
      </c>
      <c r="P58" s="4">
        <f>Table1[[#This Row],[Enrolment S.Y. 2025-2026 ]]*8</f>
        <v>0</v>
      </c>
      <c r="Q58" s="4"/>
      <c r="R58" s="1"/>
      <c r="S58" s="4"/>
      <c r="T58" s="4">
        <f t="shared" si="12"/>
        <v>0</v>
      </c>
      <c r="U58" s="4">
        <f t="shared" si="13"/>
        <v>0</v>
      </c>
      <c r="V58" s="4">
        <f>Table1[[#This Row],[Enrolment S.Y. 2025-2026 ]]*8</f>
        <v>0</v>
      </c>
      <c r="W58" s="4"/>
      <c r="X58" s="1"/>
      <c r="Y58" s="4"/>
      <c r="Z58" s="4">
        <f t="shared" si="14"/>
        <v>0</v>
      </c>
      <c r="AA58" s="4">
        <f t="shared" si="15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Table1[[#This Row],[Enrolment S.Y. 2025-2026 ]]*8</f>
        <v>0</v>
      </c>
      <c r="K59" s="4"/>
      <c r="L59" s="1"/>
      <c r="M59" s="4"/>
      <c r="N59" s="4">
        <f t="shared" si="10"/>
        <v>0</v>
      </c>
      <c r="O59" s="4">
        <f t="shared" si="11"/>
        <v>0</v>
      </c>
      <c r="P59" s="4">
        <f>Table1[[#This Row],[Enrolment S.Y. 2025-2026 ]]*8</f>
        <v>0</v>
      </c>
      <c r="Q59" s="4"/>
      <c r="R59" s="1"/>
      <c r="S59" s="4"/>
      <c r="T59" s="4">
        <f t="shared" si="12"/>
        <v>0</v>
      </c>
      <c r="U59" s="4">
        <f t="shared" si="13"/>
        <v>0</v>
      </c>
      <c r="V59" s="4">
        <f>Table1[[#This Row],[Enrolment S.Y. 2025-2026 ]]*8</f>
        <v>0</v>
      </c>
      <c r="W59" s="4"/>
      <c r="X59" s="1"/>
      <c r="Y59" s="4"/>
      <c r="Z59" s="4">
        <f t="shared" si="14"/>
        <v>0</v>
      </c>
      <c r="AA59" s="4">
        <f t="shared" si="15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6"/>
        <v>0</v>
      </c>
      <c r="I60" s="4">
        <f t="shared" si="17"/>
        <v>0</v>
      </c>
      <c r="J60" s="4">
        <f>Table1[[#This Row],[Enrolment S.Y. 2025-2026 ]]*8</f>
        <v>0</v>
      </c>
      <c r="K60" s="4"/>
      <c r="L60" s="1"/>
      <c r="M60" s="4"/>
      <c r="N60" s="4">
        <f t="shared" si="10"/>
        <v>0</v>
      </c>
      <c r="O60" s="4">
        <f t="shared" si="11"/>
        <v>0</v>
      </c>
      <c r="P60" s="4">
        <f>Table1[[#This Row],[Enrolment S.Y. 2025-2026 ]]*8</f>
        <v>0</v>
      </c>
      <c r="Q60" s="4"/>
      <c r="R60" s="1"/>
      <c r="S60" s="4"/>
      <c r="T60" s="4">
        <f t="shared" si="12"/>
        <v>0</v>
      </c>
      <c r="U60" s="4">
        <f t="shared" si="13"/>
        <v>0</v>
      </c>
      <c r="V60" s="4">
        <f>Table1[[#This Row],[Enrolment S.Y. 2025-2026 ]]*8</f>
        <v>0</v>
      </c>
      <c r="W60" s="4"/>
      <c r="X60" s="1"/>
      <c r="Y60" s="4"/>
      <c r="Z60" s="4">
        <f t="shared" si="14"/>
        <v>0</v>
      </c>
      <c r="AA60" s="4">
        <f t="shared" si="15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6"/>
        <v>0</v>
      </c>
      <c r="I61" s="4">
        <f t="shared" si="17"/>
        <v>0</v>
      </c>
      <c r="J61" s="4">
        <f>Table1[[#This Row],[Enrolment S.Y. 2025-2026 ]]*8</f>
        <v>0</v>
      </c>
      <c r="K61" s="4"/>
      <c r="L61" s="1"/>
      <c r="M61" s="4"/>
      <c r="N61" s="4">
        <f t="shared" si="10"/>
        <v>0</v>
      </c>
      <c r="O61" s="4">
        <f t="shared" si="11"/>
        <v>0</v>
      </c>
      <c r="P61" s="4">
        <f>Table1[[#This Row],[Enrolment S.Y. 2025-2026 ]]*8</f>
        <v>0</v>
      </c>
      <c r="Q61" s="4"/>
      <c r="R61" s="1"/>
      <c r="S61" s="4"/>
      <c r="T61" s="4">
        <f t="shared" si="12"/>
        <v>0</v>
      </c>
      <c r="U61" s="4">
        <f t="shared" si="13"/>
        <v>0</v>
      </c>
      <c r="V61" s="4">
        <f>Table1[[#This Row],[Enrolment S.Y. 2025-2026 ]]*8</f>
        <v>0</v>
      </c>
      <c r="W61" s="4"/>
      <c r="X61" s="1"/>
      <c r="Y61" s="4"/>
      <c r="Z61" s="4">
        <f t="shared" si="14"/>
        <v>0</v>
      </c>
      <c r="AA61" s="4">
        <f t="shared" si="15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6"/>
        <v>0</v>
      </c>
      <c r="I62" s="4">
        <f t="shared" si="17"/>
        <v>0</v>
      </c>
      <c r="J62" s="4">
        <f>Table1[[#This Row],[Enrolment S.Y. 2025-2026 ]]*8</f>
        <v>0</v>
      </c>
      <c r="K62" s="4"/>
      <c r="L62" s="1"/>
      <c r="M62" s="4"/>
      <c r="N62" s="4">
        <f t="shared" si="10"/>
        <v>0</v>
      </c>
      <c r="O62" s="4">
        <f t="shared" si="11"/>
        <v>0</v>
      </c>
      <c r="P62" s="4">
        <f>Table1[[#This Row],[Enrolment S.Y. 2025-2026 ]]*8</f>
        <v>0</v>
      </c>
      <c r="Q62" s="4"/>
      <c r="R62" s="1"/>
      <c r="S62" s="4"/>
      <c r="T62" s="4">
        <f t="shared" si="12"/>
        <v>0</v>
      </c>
      <c r="U62" s="4">
        <f t="shared" si="13"/>
        <v>0</v>
      </c>
      <c r="V62" s="4">
        <f>Table1[[#This Row],[Enrolment S.Y. 2025-2026 ]]*8</f>
        <v>0</v>
      </c>
      <c r="W62" s="4"/>
      <c r="X62" s="1"/>
      <c r="Y62" s="4"/>
      <c r="Z62" s="4">
        <f t="shared" si="14"/>
        <v>0</v>
      </c>
      <c r="AA62" s="4">
        <f t="shared" si="15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6"/>
        <v>0</v>
      </c>
      <c r="I63" s="4">
        <f t="shared" si="17"/>
        <v>0</v>
      </c>
      <c r="J63" s="4">
        <f>Table1[[#This Row],[Enrolment S.Y. 2025-2026 ]]*8</f>
        <v>0</v>
      </c>
      <c r="K63" s="4"/>
      <c r="L63" s="1"/>
      <c r="M63" s="4"/>
      <c r="N63" s="4">
        <f t="shared" si="10"/>
        <v>0</v>
      </c>
      <c r="O63" s="4">
        <f t="shared" si="11"/>
        <v>0</v>
      </c>
      <c r="P63" s="4">
        <f>Table1[[#This Row],[Enrolment S.Y. 2025-2026 ]]*8</f>
        <v>0</v>
      </c>
      <c r="Q63" s="4"/>
      <c r="R63" s="1"/>
      <c r="S63" s="4"/>
      <c r="T63" s="4">
        <f t="shared" si="12"/>
        <v>0</v>
      </c>
      <c r="U63" s="4">
        <f t="shared" si="13"/>
        <v>0</v>
      </c>
      <c r="V63" s="4">
        <f>Table1[[#This Row],[Enrolment S.Y. 2025-2026 ]]*8</f>
        <v>0</v>
      </c>
      <c r="W63" s="4"/>
      <c r="X63" s="1"/>
      <c r="Y63" s="4"/>
      <c r="Z63" s="4">
        <f t="shared" si="14"/>
        <v>0</v>
      </c>
      <c r="AA63" s="4">
        <f t="shared" si="15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6"/>
        <v>0</v>
      </c>
      <c r="I64" s="4">
        <f t="shared" si="17"/>
        <v>0</v>
      </c>
      <c r="J64" s="4">
        <f>Table1[[#This Row],[Enrolment S.Y. 2025-2026 ]]*8</f>
        <v>0</v>
      </c>
      <c r="K64" s="4"/>
      <c r="L64" s="1"/>
      <c r="M64" s="4"/>
      <c r="N64" s="4">
        <f t="shared" si="10"/>
        <v>0</v>
      </c>
      <c r="O64" s="4">
        <f t="shared" si="11"/>
        <v>0</v>
      </c>
      <c r="P64" s="4">
        <f>Table1[[#This Row],[Enrolment S.Y. 2025-2026 ]]*8</f>
        <v>0</v>
      </c>
      <c r="Q64" s="4"/>
      <c r="R64" s="1"/>
      <c r="S64" s="4"/>
      <c r="T64" s="4">
        <f t="shared" si="12"/>
        <v>0</v>
      </c>
      <c r="U64" s="4">
        <f t="shared" si="13"/>
        <v>0</v>
      </c>
      <c r="V64" s="4">
        <f>Table1[[#This Row],[Enrolment S.Y. 2025-2026 ]]*8</f>
        <v>0</v>
      </c>
      <c r="W64" s="4"/>
      <c r="X64" s="1"/>
      <c r="Y64" s="4"/>
      <c r="Z64" s="4">
        <f t="shared" si="14"/>
        <v>0</v>
      </c>
      <c r="AA64" s="4">
        <f t="shared" si="15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6"/>
        <v>0</v>
      </c>
      <c r="I65" s="4">
        <f t="shared" si="17"/>
        <v>0</v>
      </c>
      <c r="J65" s="4">
        <f>Table1[[#This Row],[Enrolment S.Y. 2025-2026 ]]*8</f>
        <v>0</v>
      </c>
      <c r="K65" s="4"/>
      <c r="L65" s="1"/>
      <c r="M65" s="4"/>
      <c r="N65" s="4">
        <f t="shared" si="10"/>
        <v>0</v>
      </c>
      <c r="O65" s="4">
        <f t="shared" si="11"/>
        <v>0</v>
      </c>
      <c r="P65" s="4">
        <f>Table1[[#This Row],[Enrolment S.Y. 2025-2026 ]]*8</f>
        <v>0</v>
      </c>
      <c r="Q65" s="4"/>
      <c r="R65" s="1"/>
      <c r="S65" s="4"/>
      <c r="T65" s="4">
        <f t="shared" si="12"/>
        <v>0</v>
      </c>
      <c r="U65" s="4">
        <f t="shared" si="13"/>
        <v>0</v>
      </c>
      <c r="V65" s="4">
        <f>Table1[[#This Row],[Enrolment S.Y. 2025-2026 ]]*8</f>
        <v>0</v>
      </c>
      <c r="W65" s="4"/>
      <c r="X65" s="1"/>
      <c r="Y65" s="4"/>
      <c r="Z65" s="4">
        <f t="shared" si="14"/>
        <v>0</v>
      </c>
      <c r="AA65" s="4">
        <f t="shared" si="15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6"/>
        <v>0</v>
      </c>
      <c r="I66" s="4">
        <f t="shared" si="17"/>
        <v>0</v>
      </c>
      <c r="J66" s="4">
        <f>Table1[[#This Row],[Enrolment S.Y. 2025-2026 ]]*8</f>
        <v>0</v>
      </c>
      <c r="K66" s="4"/>
      <c r="L66" s="1"/>
      <c r="M66" s="4"/>
      <c r="N66" s="4">
        <f t="shared" si="10"/>
        <v>0</v>
      </c>
      <c r="O66" s="4">
        <f t="shared" si="11"/>
        <v>0</v>
      </c>
      <c r="P66" s="4">
        <f>Table1[[#This Row],[Enrolment S.Y. 2025-2026 ]]*8</f>
        <v>0</v>
      </c>
      <c r="Q66" s="4"/>
      <c r="R66" s="1"/>
      <c r="S66" s="4"/>
      <c r="T66" s="4">
        <f t="shared" si="12"/>
        <v>0</v>
      </c>
      <c r="U66" s="4">
        <f t="shared" si="13"/>
        <v>0</v>
      </c>
      <c r="V66" s="4">
        <f>Table1[[#This Row],[Enrolment S.Y. 2025-2026 ]]*8</f>
        <v>0</v>
      </c>
      <c r="W66" s="4"/>
      <c r="X66" s="1"/>
      <c r="Y66" s="4"/>
      <c r="Z66" s="4">
        <f t="shared" si="14"/>
        <v>0</v>
      </c>
      <c r="AA66" s="4">
        <f t="shared" si="15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6"/>
        <v>0</v>
      </c>
      <c r="I67" s="4">
        <f t="shared" si="17"/>
        <v>0</v>
      </c>
      <c r="J67" s="4">
        <f>Table1[[#This Row],[Enrolment S.Y. 2025-2026 ]]*8</f>
        <v>0</v>
      </c>
      <c r="K67" s="4"/>
      <c r="L67" s="1"/>
      <c r="M67" s="4"/>
      <c r="N67" s="4">
        <f t="shared" si="10"/>
        <v>0</v>
      </c>
      <c r="O67" s="4">
        <f t="shared" si="11"/>
        <v>0</v>
      </c>
      <c r="P67" s="4">
        <f>Table1[[#This Row],[Enrolment S.Y. 2025-2026 ]]*8</f>
        <v>0</v>
      </c>
      <c r="Q67" s="4"/>
      <c r="R67" s="1"/>
      <c r="S67" s="4"/>
      <c r="T67" s="4">
        <f t="shared" si="12"/>
        <v>0</v>
      </c>
      <c r="U67" s="4">
        <f t="shared" si="13"/>
        <v>0</v>
      </c>
      <c r="V67" s="4">
        <f>Table1[[#This Row],[Enrolment S.Y. 2025-2026 ]]*8</f>
        <v>0</v>
      </c>
      <c r="W67" s="4"/>
      <c r="X67" s="1"/>
      <c r="Y67" s="4"/>
      <c r="Z67" s="4">
        <f t="shared" si="14"/>
        <v>0</v>
      </c>
      <c r="AA67" s="4">
        <f t="shared" si="15"/>
        <v>0</v>
      </c>
    </row>
    <row r="68" spans="1:27" ht="19.5">
      <c r="A68" s="1"/>
      <c r="B68" s="7"/>
      <c r="C68" s="1"/>
      <c r="D68" s="4"/>
      <c r="E68" s="4"/>
      <c r="F68" s="1"/>
      <c r="G68" s="4"/>
      <c r="H68" s="4">
        <f t="shared" si="16"/>
        <v>0</v>
      </c>
      <c r="I68" s="4">
        <f t="shared" si="17"/>
        <v>0</v>
      </c>
      <c r="J68" s="4">
        <f>Table1[[#This Row],[Enrolment S.Y. 2025-2026 ]]*8</f>
        <v>0</v>
      </c>
      <c r="K68" s="4"/>
      <c r="L68" s="1"/>
      <c r="M68" s="4"/>
      <c r="N68" s="4">
        <f t="shared" si="10"/>
        <v>0</v>
      </c>
      <c r="O68" s="4">
        <f t="shared" si="11"/>
        <v>0</v>
      </c>
      <c r="P68" s="4">
        <f>Table1[[#This Row],[Enrolment S.Y. 2025-2026 ]]*8</f>
        <v>0</v>
      </c>
      <c r="Q68" s="4"/>
      <c r="R68" s="1"/>
      <c r="S68" s="4"/>
      <c r="T68" s="4">
        <f t="shared" si="12"/>
        <v>0</v>
      </c>
      <c r="U68" s="4">
        <f t="shared" si="13"/>
        <v>0</v>
      </c>
      <c r="V68" s="4">
        <f>Table1[[#This Row],[Enrolment S.Y. 2025-2026 ]]*8</f>
        <v>0</v>
      </c>
      <c r="W68" s="4"/>
      <c r="X68" s="1"/>
      <c r="Y68" s="4"/>
      <c r="Z68" s="4">
        <f t="shared" si="14"/>
        <v>0</v>
      </c>
      <c r="AA68" s="4">
        <f t="shared" si="15"/>
        <v>0</v>
      </c>
    </row>
    <row r="69" spans="1:27" ht="19.5">
      <c r="A69" s="1"/>
      <c r="B69" s="7"/>
      <c r="C69" s="1"/>
      <c r="D69" s="4"/>
      <c r="E69" s="4"/>
      <c r="F69" s="1"/>
      <c r="G69" s="4"/>
      <c r="H69" s="4">
        <f t="shared" si="16"/>
        <v>0</v>
      </c>
      <c r="I69" s="4">
        <f t="shared" si="17"/>
        <v>0</v>
      </c>
      <c r="J69" s="4">
        <f>Table1[[#This Row],[Enrolment S.Y. 2025-2026 ]]*8</f>
        <v>0</v>
      </c>
      <c r="K69" s="4"/>
      <c r="L69" s="1"/>
      <c r="M69" s="4"/>
      <c r="N69" s="4">
        <f t="shared" si="10"/>
        <v>0</v>
      </c>
      <c r="O69" s="4">
        <f t="shared" si="11"/>
        <v>0</v>
      </c>
      <c r="P69" s="4">
        <f>Table1[[#This Row],[Enrolment S.Y. 2025-2026 ]]*8</f>
        <v>0</v>
      </c>
      <c r="Q69" s="4"/>
      <c r="R69" s="1"/>
      <c r="S69" s="4"/>
      <c r="T69" s="4">
        <f t="shared" si="12"/>
        <v>0</v>
      </c>
      <c r="U69" s="4">
        <f t="shared" si="13"/>
        <v>0</v>
      </c>
      <c r="V69" s="4">
        <f>Table1[[#This Row],[Enrolment S.Y. 2025-2026 ]]*8</f>
        <v>0</v>
      </c>
      <c r="W69" s="4"/>
      <c r="X69" s="1"/>
      <c r="Y69" s="4"/>
      <c r="Z69" s="4">
        <f t="shared" si="14"/>
        <v>0</v>
      </c>
      <c r="AA69" s="4">
        <f t="shared" si="15"/>
        <v>0</v>
      </c>
    </row>
    <row r="70" spans="1:27" ht="19.5">
      <c r="A70" s="27"/>
      <c r="B70" s="28"/>
      <c r="C70" s="27"/>
      <c r="D70" s="4"/>
      <c r="E70" s="29"/>
      <c r="F70" s="27"/>
      <c r="G70" s="29"/>
      <c r="H70" s="4">
        <f t="shared" si="16"/>
        <v>0</v>
      </c>
      <c r="I70" s="4">
        <f t="shared" si="17"/>
        <v>0</v>
      </c>
      <c r="J70" s="4">
        <f>Table1[[#This Row],[Enrolment S.Y. 2025-2026 ]]*8</f>
        <v>0</v>
      </c>
      <c r="K70" s="29"/>
      <c r="L70" s="27"/>
      <c r="M70" s="29"/>
      <c r="N70" s="4">
        <f t="shared" ref="N70" si="18">IF((J70-K70)&lt;0,0,(J70-K70))</f>
        <v>0</v>
      </c>
      <c r="O70" s="4">
        <f t="shared" ref="O70" si="19">IF((K70-J70)&lt;0,0,(K70-J70))</f>
        <v>0</v>
      </c>
      <c r="P70" s="4"/>
      <c r="Q70" s="29"/>
      <c r="R70" s="27"/>
      <c r="S70" s="29"/>
      <c r="T70" s="4">
        <f t="shared" si="12"/>
        <v>0</v>
      </c>
      <c r="U70" s="4">
        <f t="shared" si="13"/>
        <v>0</v>
      </c>
      <c r="V70" s="4">
        <f>Table1[[#This Row],[Enrolment S.Y. 2025-2026 ]]*8</f>
        <v>0</v>
      </c>
      <c r="W70" s="29"/>
      <c r="X70" s="27"/>
      <c r="Y70" s="29"/>
      <c r="Z70" s="4">
        <f t="shared" si="14"/>
        <v>0</v>
      </c>
      <c r="AA70" s="4">
        <f t="shared" si="15"/>
        <v>0</v>
      </c>
    </row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6:C24 C26:C34 C36:C44 C46:C53 C55:C70 C6:C14" name="Textbooks"/>
    <protectedRange sqref="J2:L3 D2:F3 N3:R3 Z4:AA70 N4:P69 K6:L14 K16:L24 K26:L34 K36:L44 K46:L53 K55:L70 T4:V70 J4:J70 Q55:R69 P2:R2 V2:X3 D6:F14 H6:I14 Q6:R14 W6:X14 D16:F24 H16:I24 Q16:R24 W16:X24 D26:F34 H26:I34 Q26:R34 W26:X34 D36:F44 H36:I44 Q36:R44 W36:X44 D46:F53 H46:I53 Q46:R53 W46:X53 D55:F70 H55:I70 N70:R70 W55:X70" name="LAS"/>
    <protectedRange sqref="G2:I3 M2:O2 S2:U3 Y2:AA3 G55:G70 M55:M70 S55:S70 Y55:Y70 G36:G44 S4:S53 G46:G53 G6:G14 M5:M53 M3 Y5:Y53 G16:G24 G26:G3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X55:X70 F6:F14 F16:F24 F26:F34 F36:F44 F46:F53 F55:F70 L6:L14 L16:L24 L26:L34 L36:L44 L46:L53 L55:L70 R6:R14 R16:R24 R26:R34 R36:R44 R46:R53 R55:R70 X6:X14 X16:X24 X26:X34 X36:X44 X46:X53" xr:uid="{4ECCD083-8EC4-42EE-B46C-B614411F330D}">
      <formula1>"2024,2025,2026"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3"/>
      <c r="D1" s="39" t="s">
        <v>27</v>
      </c>
      <c r="E1" s="39"/>
      <c r="F1" s="39"/>
      <c r="G1" s="39"/>
      <c r="H1" s="39"/>
      <c r="I1" s="39"/>
      <c r="J1" s="40" t="s">
        <v>28</v>
      </c>
      <c r="K1" s="40"/>
      <c r="L1" s="40"/>
      <c r="M1" s="40"/>
      <c r="N1" s="40"/>
      <c r="O1" s="40"/>
      <c r="P1" s="41" t="s">
        <v>29</v>
      </c>
      <c r="Q1" s="41"/>
      <c r="R1" s="41"/>
      <c r="S1" s="41"/>
      <c r="T1" s="41"/>
      <c r="U1" s="41"/>
      <c r="V1" s="42" t="s">
        <v>30</v>
      </c>
      <c r="W1" s="42"/>
      <c r="X1" s="42"/>
      <c r="Y1" s="42"/>
      <c r="Z1" s="42"/>
      <c r="AA1" s="42"/>
    </row>
    <row r="2" spans="1:27" ht="69.599999999999994" customHeight="1">
      <c r="A2" s="13" t="s">
        <v>0</v>
      </c>
      <c r="B2" s="34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7" t="s">
        <v>65</v>
      </c>
      <c r="N2" s="37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8" t="s">
        <v>77</v>
      </c>
      <c r="Z2" s="38" t="s">
        <v>78</v>
      </c>
      <c r="AA2" s="24" t="s">
        <v>79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/>
      <c r="D4" s="10">
        <f>Table14[[#This Row],[Enrolment S.Y. 2025-2026 ]]*8</f>
        <v>0</v>
      </c>
      <c r="E4" s="10"/>
      <c r="F4" s="8"/>
      <c r="G4" s="10"/>
      <c r="H4" s="10">
        <f t="shared" ref="H4:H20" si="0">IF((D4-E4)&lt;0,0,(D4-E4))</f>
        <v>0</v>
      </c>
      <c r="I4" s="10">
        <f t="shared" ref="I4:I20" si="1">IF((E4-D4)&lt;0,0,(E4-D4))</f>
        <v>0</v>
      </c>
      <c r="J4" s="10">
        <f>Table14[[#This Row],[Enrolment S.Y. 2025-2026 ]]*8</f>
        <v>0</v>
      </c>
      <c r="K4" s="10"/>
      <c r="L4" s="8"/>
      <c r="M4" s="10"/>
      <c r="N4" s="10">
        <f t="shared" ref="N4:N7" si="2">IF((J4-K4)&lt;0,0,(J4-K4))</f>
        <v>0</v>
      </c>
      <c r="O4" s="10">
        <f t="shared" ref="O4:O7" si="3">IF((K4-J4)&lt;0,0,(K4-J4))</f>
        <v>0</v>
      </c>
      <c r="P4" s="10">
        <f>Table14[[#This Row],[Enrolment S.Y. 2025-2026 ]]*8</f>
        <v>0</v>
      </c>
      <c r="Q4" s="10"/>
      <c r="R4" s="8"/>
      <c r="S4" s="10"/>
      <c r="T4" s="10">
        <f t="shared" ref="T4:T9" si="4">IF((P4-Q4)&lt;0,0,(P4-Q4))</f>
        <v>0</v>
      </c>
      <c r="U4" s="10">
        <f t="shared" ref="U4:U9" si="5">IF((Q4-P4)&lt;0,0,(Q4-P4))</f>
        <v>0</v>
      </c>
      <c r="V4" s="10">
        <f>Table14[[#This Row],[Enrolment S.Y. 2025-2026 ]]*8</f>
        <v>0</v>
      </c>
      <c r="W4" s="10"/>
      <c r="X4" s="8"/>
      <c r="Y4" s="10"/>
      <c r="Z4" s="10">
        <f t="shared" ref="Z4:Z9" si="6">IF((V4-W4)&lt;0,0,(V4-W4))</f>
        <v>0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9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10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19.5">
      <c r="A7" s="8">
        <v>7</v>
      </c>
      <c r="B7" s="9" t="s">
        <v>11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38.25">
      <c r="A8" s="8">
        <v>7</v>
      </c>
      <c r="B8" s="9" t="s">
        <v>12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ref="N8:N14" si="8">IF((J8-K8)&lt;0,0,(J8-K8))</f>
        <v>0</v>
      </c>
      <c r="O8" s="10">
        <f t="shared" ref="O8:O14" si="9">IF((K8-J8)&lt;0,0,(K8-J8))</f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13</v>
      </c>
      <c r="C9" s="8"/>
      <c r="D9" s="10">
        <f>Table14[[#This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Table14[[#This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35">
        <v>7</v>
      </c>
      <c r="B10" s="9" t="s">
        <v>80</v>
      </c>
      <c r="C10" s="10"/>
      <c r="D10" s="10">
        <f>Table14[[#This Row],[Enrolment S.Y. 2025-2026 ]]*8</f>
        <v>0</v>
      </c>
      <c r="E10" s="10"/>
      <c r="F10" s="8"/>
      <c r="G10" s="10"/>
      <c r="H10" s="10">
        <f>IF((D10-E10)&lt;0,0,(D10-E10))</f>
        <v>0</v>
      </c>
      <c r="I10" s="10">
        <f>IF((E10-D10)&lt;0,0,(E10-D10))</f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>IF((P10-Q10)&lt;0,0,(P10-Q10))</f>
        <v>0</v>
      </c>
      <c r="U10" s="10">
        <f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>IF((V10-W10)&lt;0,0,(V10-W10))</f>
        <v>0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81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ref="T11:T59" si="10">IF((P11-Q11)&lt;0,0,(P11-Q11))</f>
        <v>0</v>
      </c>
      <c r="U11" s="10">
        <f t="shared" ref="U11:U59" si="11">IF((Q11-P11)&lt;0,0,(Q11-P11))</f>
        <v>0</v>
      </c>
      <c r="V11" s="10">
        <f>Table14[[#This Row],[Enrolment S.Y. 2025-2026 ]]*8</f>
        <v>0</v>
      </c>
      <c r="W11" s="10"/>
      <c r="X11" s="8"/>
      <c r="Y11" s="10"/>
      <c r="Z11" s="10">
        <f t="shared" ref="Z11:Z59" si="12">IF((V11-W11)&lt;0,0,(V11-W11))</f>
        <v>0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15</v>
      </c>
      <c r="C12" s="8"/>
      <c r="D12" s="10">
        <f>Table14[[#This Row],[Enrolment S.Y. 2025-2026 ]]*8</f>
        <v>0</v>
      </c>
      <c r="E12" s="10"/>
      <c r="F12" s="8"/>
      <c r="G12" s="10"/>
      <c r="H12" s="10">
        <f t="shared" si="0"/>
        <v>0</v>
      </c>
      <c r="I12" s="10">
        <f t="shared" si="1"/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 t="shared" si="10"/>
        <v>0</v>
      </c>
      <c r="U12" s="10">
        <f t="shared" si="11"/>
        <v>0</v>
      </c>
      <c r="V12" s="10">
        <f>Table14[[#This Row],[Enrolment S.Y. 2025-2026 ]]*8</f>
        <v>0</v>
      </c>
      <c r="W12" s="10"/>
      <c r="X12" s="8"/>
      <c r="Y12" s="10"/>
      <c r="Z12" s="10">
        <f t="shared" si="12"/>
        <v>0</v>
      </c>
      <c r="AA12" s="10">
        <f t="shared" si="13"/>
        <v>0</v>
      </c>
    </row>
    <row r="13" spans="1:27" ht="19.5">
      <c r="A13" s="35">
        <v>7</v>
      </c>
      <c r="B13" s="9" t="s">
        <v>82</v>
      </c>
      <c r="C13" s="10"/>
      <c r="D13" s="10">
        <f>Table14[[#This Row],[Enrolment S.Y. 2025-2026 ]]*8</f>
        <v>0</v>
      </c>
      <c r="E13" s="10"/>
      <c r="F13" s="8"/>
      <c r="G13" s="10"/>
      <c r="H13" s="10">
        <f>IF((D13-E13)&lt;0,0,(D13-E13))</f>
        <v>0</v>
      </c>
      <c r="I13" s="10">
        <f>IF((E13-D13)&lt;0,0,(E13-D13))</f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>IF((P13-Q13)&lt;0,0,(P13-Q13))</f>
        <v>0</v>
      </c>
      <c r="U13" s="10">
        <f>IF((Q13-P13)&lt;0,0,(Q13-P13))</f>
        <v>0</v>
      </c>
      <c r="V13" s="10">
        <f>Table14[[#This Row],[Enrolment S.Y. 2025-2026 ]]*8</f>
        <v>0</v>
      </c>
      <c r="W13" s="10"/>
      <c r="X13" s="8"/>
      <c r="Y13" s="10"/>
      <c r="Z13" s="10">
        <f>IF((V13-W13)&lt;0,0,(V13-W13))</f>
        <v>0</v>
      </c>
      <c r="AA13" s="10">
        <f>IF((W13-V13)&lt;0,0,(W13-V13))</f>
        <v>0</v>
      </c>
    </row>
    <row r="14" spans="1:27" ht="19.5">
      <c r="A14" s="8">
        <v>7</v>
      </c>
      <c r="B14" s="9" t="s">
        <v>83</v>
      </c>
      <c r="C14" s="8"/>
      <c r="D14" s="10">
        <f>Table14[[#This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Table14[[#This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Table14[[#This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Table14[[#This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ref="N11:N59" si="14">IF((J16-K16)&lt;0,0,(J16-K16))</f>
        <v>0</v>
      </c>
      <c r="O16" s="10">
        <f t="shared" ref="O11:O59" si="15">IF((K16-J16)&lt;0,0,(K16-J16))</f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9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10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11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17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si="0"/>
        <v>0</v>
      </c>
      <c r="I20" s="10">
        <f t="shared" si="1"/>
        <v>0</v>
      </c>
      <c r="J20" s="10">
        <f>Table14[[#This Row],[Enrolment S.Y. 2025-2026 ]]*8</f>
        <v>0</v>
      </c>
      <c r="K20" s="10"/>
      <c r="L20" s="8"/>
      <c r="M20" s="10"/>
      <c r="N20" s="10">
        <f t="shared" si="14"/>
        <v>0</v>
      </c>
      <c r="O20" s="10">
        <f t="shared" si="15"/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13</v>
      </c>
      <c r="C21" s="8"/>
      <c r="D21" s="10">
        <f>Table14[[#This Row],[Enrolment S.Y. 2025-2026 ]]*8</f>
        <v>0</v>
      </c>
      <c r="E21" s="10"/>
      <c r="F21" s="8"/>
      <c r="G21" s="10"/>
      <c r="H21" s="10">
        <f t="shared" ref="H21:H59" si="16">IF((D21-E21)&lt;0,0,(D21-E21))</f>
        <v>0</v>
      </c>
      <c r="I21" s="10">
        <f t="shared" ref="I21:I59" si="17"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ref="N21:N26" si="18">IF((J21-K21)&lt;0,0,(J21-K21))</f>
        <v>0</v>
      </c>
      <c r="O21" s="10">
        <f t="shared" ref="O21:O26" si="19">IF((K21-J21)&lt;0,0,(K21-J21))</f>
        <v>0</v>
      </c>
      <c r="P21" s="10">
        <f>Table14[[#This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Table14[[#This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ht="19.5">
      <c r="A22" s="35">
        <v>8</v>
      </c>
      <c r="B22" s="9" t="s">
        <v>80</v>
      </c>
      <c r="C22" s="10"/>
      <c r="D22" s="10">
        <f>Table14[[#This Row],[Enrolment S.Y. 2025-2026 ]]*8</f>
        <v>0</v>
      </c>
      <c r="E22" s="10"/>
      <c r="F22" s="8"/>
      <c r="G22" s="10"/>
      <c r="H22" s="10">
        <f>IF((D22-E22)&lt;0,0,(D22-E22))</f>
        <v>0</v>
      </c>
      <c r="I22" s="10">
        <f>IF((E22-D22)&lt;0,0,(E22-D22))</f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>IF((P22-Q22)&lt;0,0,(P22-Q22))</f>
        <v>0</v>
      </c>
      <c r="U22" s="10">
        <f>IF((Q22-P22)&lt;0,0,(Q22-P22))</f>
        <v>0</v>
      </c>
      <c r="V22" s="10">
        <f>Table14[[#This Row],[Enrolment S.Y. 2025-2026 ]]*8</f>
        <v>0</v>
      </c>
      <c r="W22" s="10"/>
      <c r="X22" s="8"/>
      <c r="Y22" s="10"/>
      <c r="Z22" s="10">
        <f>IF((V22-W22)&lt;0,0,(V22-W22))</f>
        <v>0</v>
      </c>
      <c r="AA22" s="10">
        <f>IF((W22-V22)&lt;0,0,(W22-V22))</f>
        <v>0</v>
      </c>
    </row>
    <row r="23" spans="1:27" ht="19.5">
      <c r="A23" s="8">
        <v>8</v>
      </c>
      <c r="B23" s="9" t="s">
        <v>81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8</v>
      </c>
      <c r="B24" s="9" t="s">
        <v>15</v>
      </c>
      <c r="C24" s="8"/>
      <c r="D24" s="10">
        <f>Table14[[#This Row],[Enrolment S.Y. 2025-2026 ]]*8</f>
        <v>0</v>
      </c>
      <c r="E24" s="10"/>
      <c r="F24" s="8"/>
      <c r="G24" s="10"/>
      <c r="H24" s="10">
        <f t="shared" si="16"/>
        <v>0</v>
      </c>
      <c r="I24" s="10">
        <f t="shared" si="17"/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Table14[[#This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35">
        <v>8</v>
      </c>
      <c r="B25" s="9" t="s">
        <v>82</v>
      </c>
      <c r="C25" s="10"/>
      <c r="D25" s="10">
        <f>Table14[[#This Row],[Enrolment S.Y. 2025-2026 ]]*8</f>
        <v>0</v>
      </c>
      <c r="E25" s="10"/>
      <c r="F25" s="8"/>
      <c r="G25" s="10"/>
      <c r="H25" s="10">
        <f>IF((D25-E25)&lt;0,0,(D25-E25))</f>
        <v>0</v>
      </c>
      <c r="I25" s="10">
        <f>IF((E25-D25)&lt;0,0,(E25-D25))</f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>IF((P25-Q25)&lt;0,0,(P25-Q25))</f>
        <v>0</v>
      </c>
      <c r="U25" s="10">
        <f>IF((Q25-P25)&lt;0,0,(Q25-P25))</f>
        <v>0</v>
      </c>
      <c r="V25" s="10">
        <f>Table14[[#This Row],[Enrolment S.Y. 2025-2026 ]]*8</f>
        <v>0</v>
      </c>
      <c r="W25" s="10"/>
      <c r="X25" s="8"/>
      <c r="Y25" s="10"/>
      <c r="Z25" s="10">
        <f>IF((V25-W25)&lt;0,0,(V25-W25))</f>
        <v>0</v>
      </c>
      <c r="AA25" s="10">
        <f>IF((W25-V25)&lt;0,0,(W25-V25))</f>
        <v>0</v>
      </c>
    </row>
    <row r="26" spans="1:27" ht="19.5">
      <c r="A26" s="8">
        <v>8</v>
      </c>
      <c r="B26" s="9" t="s">
        <v>83</v>
      </c>
      <c r="C26" s="8"/>
      <c r="D26" s="10">
        <f>Table14[[#This Row],[Enrolment S.Y. 2025-2026 ]]*8</f>
        <v>0</v>
      </c>
      <c r="E26" s="10"/>
      <c r="F26" s="8"/>
      <c r="G26" s="10"/>
      <c r="H26" s="10">
        <f t="shared" si="16"/>
        <v>0</v>
      </c>
      <c r="I26" s="10">
        <f t="shared" si="17"/>
        <v>0</v>
      </c>
      <c r="J26" s="10">
        <f>Table14[[#This Row],[Enrolment S.Y. 2025-2026 ]]*8</f>
        <v>0</v>
      </c>
      <c r="K26" s="10"/>
      <c r="L26" s="8"/>
      <c r="M26" s="10"/>
      <c r="N26" s="10">
        <f t="shared" si="18"/>
        <v>0</v>
      </c>
      <c r="O26" s="10">
        <f t="shared" si="19"/>
        <v>0</v>
      </c>
      <c r="P26" s="10">
        <f>Table14[[#This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Table14[[#This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9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10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11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17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8">
        <v>9</v>
      </c>
      <c r="B33" s="9" t="s">
        <v>13</v>
      </c>
      <c r="C33" s="8"/>
      <c r="D33" s="10">
        <f>Table14[[#This Row],[Enrolment S.Y. 2025-2026 ]]*8</f>
        <v>0</v>
      </c>
      <c r="E33" s="10"/>
      <c r="F33" s="8"/>
      <c r="G33" s="10"/>
      <c r="H33" s="10">
        <f t="shared" si="16"/>
        <v>0</v>
      </c>
      <c r="I33" s="10">
        <f t="shared" si="17"/>
        <v>0</v>
      </c>
      <c r="J33" s="10">
        <f>Table14[[#This Row],[Enrolment S.Y. 2025-2026 ]]*8</f>
        <v>0</v>
      </c>
      <c r="K33" s="10"/>
      <c r="L33" s="8"/>
      <c r="M33" s="10"/>
      <c r="N33" s="10">
        <f t="shared" si="14"/>
        <v>0</v>
      </c>
      <c r="O33" s="10">
        <f t="shared" si="15"/>
        <v>0</v>
      </c>
      <c r="P33" s="10">
        <f>Table14[[#This Row],[Enrolment S.Y. 2025-2026 ]]*8</f>
        <v>0</v>
      </c>
      <c r="Q33" s="10"/>
      <c r="R33" s="8"/>
      <c r="S33" s="10"/>
      <c r="T33" s="10">
        <f t="shared" si="10"/>
        <v>0</v>
      </c>
      <c r="U33" s="10">
        <f t="shared" si="11"/>
        <v>0</v>
      </c>
      <c r="V33" s="10">
        <f>Table14[[#This Row],[Enrolment S.Y. 2025-2026 ]]*8</f>
        <v>0</v>
      </c>
      <c r="W33" s="10"/>
      <c r="X33" s="8"/>
      <c r="Y33" s="10"/>
      <c r="Z33" s="10">
        <f t="shared" si="12"/>
        <v>0</v>
      </c>
      <c r="AA33" s="10">
        <f t="shared" si="13"/>
        <v>0</v>
      </c>
    </row>
    <row r="34" spans="1:27" ht="19.5">
      <c r="A34" s="35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Table14[[#This Row],[Enrolment S.Y. 2025-2026 ]]*8</f>
        <v>0</v>
      </c>
      <c r="K34" s="10"/>
      <c r="L34" s="8"/>
      <c r="M34" s="10"/>
      <c r="N34" s="10">
        <f t="shared" ref="N34:N38" si="20">IF((J34-K34)&lt;0,0,(J34-K34))</f>
        <v>0</v>
      </c>
      <c r="O34" s="10">
        <f t="shared" ref="O34:O38" si="21">IF((K34-J34)&lt;0,0,(K34-J34))</f>
        <v>0</v>
      </c>
      <c r="P34" s="10">
        <f>Table14[[#This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Table14[[#This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9</v>
      </c>
      <c r="B35" s="9" t="s">
        <v>81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8">
        <v>9</v>
      </c>
      <c r="B36" s="9" t="s">
        <v>15</v>
      </c>
      <c r="C36" s="8"/>
      <c r="D36" s="10">
        <f>Table14[[#This Row],[Enrolment S.Y. 2025-2026 ]]*8</f>
        <v>0</v>
      </c>
      <c r="E36" s="10"/>
      <c r="F36" s="8"/>
      <c r="G36" s="10"/>
      <c r="H36" s="10">
        <f t="shared" si="16"/>
        <v>0</v>
      </c>
      <c r="I36" s="10">
        <f t="shared" si="17"/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 t="shared" si="10"/>
        <v>0</v>
      </c>
      <c r="U36" s="10">
        <f t="shared" si="11"/>
        <v>0</v>
      </c>
      <c r="V36" s="10">
        <f>Table14[[#This Row],[Enrolment S.Y. 2025-2026 ]]*8</f>
        <v>0</v>
      </c>
      <c r="W36" s="10"/>
      <c r="X36" s="8"/>
      <c r="Y36" s="10"/>
      <c r="Z36" s="10">
        <f t="shared" si="12"/>
        <v>0</v>
      </c>
      <c r="AA36" s="10">
        <f t="shared" si="13"/>
        <v>0</v>
      </c>
    </row>
    <row r="37" spans="1:27" ht="19.5">
      <c r="A37" s="35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Table14[[#This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9</v>
      </c>
      <c r="B38" s="9" t="s">
        <v>83</v>
      </c>
      <c r="C38" s="8"/>
      <c r="D38" s="10">
        <f>Table14[[#This Row],[Enrolment S.Y. 2025-2026 ]]*8</f>
        <v>0</v>
      </c>
      <c r="E38" s="10"/>
      <c r="F38" s="8"/>
      <c r="G38" s="10"/>
      <c r="H38" s="10">
        <f t="shared" si="16"/>
        <v>0</v>
      </c>
      <c r="I38" s="10">
        <f t="shared" si="17"/>
        <v>0</v>
      </c>
      <c r="J38" s="10">
        <f>Table14[[#This Row],[Enrolment S.Y. 2025-2026 ]]*8</f>
        <v>0</v>
      </c>
      <c r="K38" s="10"/>
      <c r="L38" s="8"/>
      <c r="M38" s="10"/>
      <c r="N38" s="10">
        <f t="shared" si="20"/>
        <v>0</v>
      </c>
      <c r="O38" s="10">
        <f t="shared" si="21"/>
        <v>0</v>
      </c>
      <c r="P38" s="10">
        <f>Table14[[#This Row],[Enrolment S.Y. 2025-2026 ]]*8</f>
        <v>0</v>
      </c>
      <c r="Q38" s="10"/>
      <c r="R38" s="8"/>
      <c r="S38" s="10"/>
      <c r="T38" s="10">
        <f t="shared" si="10"/>
        <v>0</v>
      </c>
      <c r="U38" s="10">
        <f t="shared" si="11"/>
        <v>0</v>
      </c>
      <c r="V38" s="10">
        <f>Table14[[#This Row],[Enrolment S.Y. 2025-2026 ]]*8</f>
        <v>0</v>
      </c>
      <c r="W38" s="10"/>
      <c r="X38" s="8"/>
      <c r="Y38" s="10"/>
      <c r="Z38" s="10">
        <f t="shared" si="12"/>
        <v>0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9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10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11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17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8">
        <v>10</v>
      </c>
      <c r="B45" s="9" t="s">
        <v>13</v>
      </c>
      <c r="C45" s="8"/>
      <c r="D45" s="10">
        <f>Table14[[#This Row],[Enrolment S.Y. 2025-2026 ]]*8</f>
        <v>0</v>
      </c>
      <c r="E45" s="10"/>
      <c r="F45" s="8"/>
      <c r="G45" s="10"/>
      <c r="H45" s="10">
        <f t="shared" si="16"/>
        <v>0</v>
      </c>
      <c r="I45" s="10">
        <f t="shared" si="17"/>
        <v>0</v>
      </c>
      <c r="J45" s="10">
        <f>Table14[[#This Row],[Enrolment S.Y. 2025-2026 ]]*8</f>
        <v>0</v>
      </c>
      <c r="K45" s="10"/>
      <c r="L45" s="8"/>
      <c r="M45" s="10"/>
      <c r="N45" s="10">
        <f t="shared" si="14"/>
        <v>0</v>
      </c>
      <c r="O45" s="10">
        <f t="shared" si="15"/>
        <v>0</v>
      </c>
      <c r="P45" s="10">
        <f>Table14[[#This Row],[Enrolment S.Y. 2025-2026 ]]*8</f>
        <v>0</v>
      </c>
      <c r="Q45" s="10"/>
      <c r="R45" s="8"/>
      <c r="S45" s="10"/>
      <c r="T45" s="10">
        <f t="shared" si="10"/>
        <v>0</v>
      </c>
      <c r="U45" s="10">
        <f t="shared" si="11"/>
        <v>0</v>
      </c>
      <c r="V45" s="10">
        <f>Table14[[#This Row],[Enrolment S.Y. 2025-2026 ]]*8</f>
        <v>0</v>
      </c>
      <c r="W45" s="10"/>
      <c r="X45" s="8"/>
      <c r="Y45" s="10"/>
      <c r="Z45" s="10">
        <f t="shared" si="12"/>
        <v>0</v>
      </c>
      <c r="AA45" s="10">
        <f t="shared" si="13"/>
        <v>0</v>
      </c>
    </row>
    <row r="46" spans="1:27" ht="19.5">
      <c r="A46" s="35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>IF((D46-E46)&lt;0,0,(D46-E46))</f>
        <v>0</v>
      </c>
      <c r="I46" s="10">
        <f>IF((E46-D46)&lt;0,0,(E46-D46))</f>
        <v>0</v>
      </c>
      <c r="J46" s="10">
        <f>Table14[[#This Row],[Enrolment S.Y. 2025-2026 ]]*8</f>
        <v>0</v>
      </c>
      <c r="K46" s="10"/>
      <c r="L46" s="8"/>
      <c r="M46" s="10"/>
      <c r="N46" s="10">
        <f t="shared" ref="N46:N50" si="22">IF((J46-K46)&lt;0,0,(J46-K46))</f>
        <v>0</v>
      </c>
      <c r="O46" s="10">
        <f t="shared" ref="O46:O50" si="23">IF((K46-J46)&lt;0,0,(K46-J46))</f>
        <v>0</v>
      </c>
      <c r="P46" s="10">
        <f>Table14[[#This Row],[Enrolment S.Y. 2025-2026 ]]*8</f>
        <v>0</v>
      </c>
      <c r="Q46" s="10"/>
      <c r="R46" s="8"/>
      <c r="S46" s="10"/>
      <c r="T46" s="10">
        <f>IF((P46-Q46)&lt;0,0,(P46-Q46))</f>
        <v>0</v>
      </c>
      <c r="U46" s="10">
        <f>IF((Q46-P46)&lt;0,0,(Q46-P46))</f>
        <v>0</v>
      </c>
      <c r="V46" s="10">
        <f>Table14[[#This Row],[Enrolment S.Y. 2025-2026 ]]*8</f>
        <v>0</v>
      </c>
      <c r="W46" s="10"/>
      <c r="X46" s="8"/>
      <c r="Y46" s="10"/>
      <c r="Z46" s="10">
        <f>IF((V46-W46)&lt;0,0,(V46-W46))</f>
        <v>0</v>
      </c>
      <c r="AA46" s="10">
        <f>IF((W46-V46)&lt;0,0,(W46-V46))</f>
        <v>0</v>
      </c>
    </row>
    <row r="47" spans="1:27" ht="19.5">
      <c r="A47" s="8">
        <v>10</v>
      </c>
      <c r="B47" s="9" t="s">
        <v>81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8">
        <v>10</v>
      </c>
      <c r="B48" s="9" t="s">
        <v>15</v>
      </c>
      <c r="C48" s="8"/>
      <c r="D48" s="10">
        <f>Table14[[#This Row],[Enrolment S.Y. 2025-2026 ]]*8</f>
        <v>0</v>
      </c>
      <c r="E48" s="10"/>
      <c r="F48" s="8"/>
      <c r="G48" s="10"/>
      <c r="H48" s="10">
        <f t="shared" si="16"/>
        <v>0</v>
      </c>
      <c r="I48" s="10">
        <f t="shared" si="17"/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 t="shared" si="10"/>
        <v>0</v>
      </c>
      <c r="U48" s="10">
        <f t="shared" si="11"/>
        <v>0</v>
      </c>
      <c r="V48" s="10">
        <f>Table14[[#This Row],[Enrolment S.Y. 2025-2026 ]]*8</f>
        <v>0</v>
      </c>
      <c r="W48" s="10"/>
      <c r="X48" s="8"/>
      <c r="Y48" s="10"/>
      <c r="Z48" s="10">
        <f t="shared" si="12"/>
        <v>0</v>
      </c>
      <c r="AA48" s="10">
        <f t="shared" si="13"/>
        <v>0</v>
      </c>
    </row>
    <row r="49" spans="1:27" ht="19.5">
      <c r="A49" s="35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>IF((D49-E49)&lt;0,0,(D49-E49))</f>
        <v>0</v>
      </c>
      <c r="I49" s="10">
        <f>IF((E49-D49)&lt;0,0,(E49-D49))</f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>IF((P49-Q49)&lt;0,0,(P49-Q49))</f>
        <v>0</v>
      </c>
      <c r="U49" s="10">
        <f>IF((Q49-P49)&lt;0,0,(Q49-P49))</f>
        <v>0</v>
      </c>
      <c r="V49" s="10">
        <f>Table14[[#This Row],[Enrolment S.Y. 2025-2026 ]]*8</f>
        <v>0</v>
      </c>
      <c r="W49" s="10"/>
      <c r="X49" s="8"/>
      <c r="Y49" s="10"/>
      <c r="Z49" s="10">
        <f>IF((V49-W49)&lt;0,0,(V49-W49))</f>
        <v>0</v>
      </c>
      <c r="AA49" s="10">
        <f>IF((W49-V49)&lt;0,0,(W49-V49))</f>
        <v>0</v>
      </c>
    </row>
    <row r="50" spans="1:27" ht="19.5">
      <c r="A50" s="8">
        <v>10</v>
      </c>
      <c r="B50" s="9" t="s">
        <v>83</v>
      </c>
      <c r="C50" s="8"/>
      <c r="D50" s="10">
        <f>Table14[[#This Row],[Enrolment S.Y. 2025-2026 ]]*8</f>
        <v>0</v>
      </c>
      <c r="E50" s="10"/>
      <c r="F50" s="8"/>
      <c r="G50" s="10"/>
      <c r="H50" s="10">
        <f t="shared" si="16"/>
        <v>0</v>
      </c>
      <c r="I50" s="10">
        <f t="shared" si="17"/>
        <v>0</v>
      </c>
      <c r="J50" s="10">
        <f>Table14[[#This Row],[Enrolment S.Y. 2025-2026 ]]*8</f>
        <v>0</v>
      </c>
      <c r="K50" s="10"/>
      <c r="L50" s="8"/>
      <c r="M50" s="10"/>
      <c r="N50" s="10">
        <f t="shared" si="22"/>
        <v>0</v>
      </c>
      <c r="O50" s="10">
        <f t="shared" si="23"/>
        <v>0</v>
      </c>
      <c r="P50" s="10">
        <f>Table14[[#This Row],[Enrolment S.Y. 2025-2026 ]]*8</f>
        <v>0</v>
      </c>
      <c r="Q50" s="10"/>
      <c r="R50" s="8"/>
      <c r="S50" s="10"/>
      <c r="T50" s="10">
        <f t="shared" si="10"/>
        <v>0</v>
      </c>
      <c r="U50" s="10">
        <f t="shared" si="11"/>
        <v>0</v>
      </c>
      <c r="V50" s="10">
        <f>Table14[[#This Row],[Enrolment S.Y. 2025-2026 ]]*8</f>
        <v>0</v>
      </c>
      <c r="W50" s="10"/>
      <c r="X50" s="8"/>
      <c r="Y50" s="10"/>
      <c r="Z50" s="10">
        <f t="shared" si="12"/>
        <v>0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18</v>
      </c>
      <c r="B52" s="7" t="s">
        <v>19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20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21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18</v>
      </c>
      <c r="B55" s="7" t="s">
        <v>22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23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18</v>
      </c>
      <c r="B57" s="7" t="s">
        <v>24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18</v>
      </c>
      <c r="B58" s="7" t="s">
        <v>25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18</v>
      </c>
      <c r="B59" s="7" t="s">
        <v>26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8:C38 C4:C14 C16:C26 C52:C59 C40:C50 C2" name="Textbooks"/>
    <protectedRange sqref="J2:L2 H52:L59 D40:F50 N16:R26 N28:R38 N40:R50 P2:R2 D4:F14 D16:F26 D28:F38 D52:F59 N4:R14 V2:X2 T4:X14 Z4:AA14 H4:L14 T16:X26 Z16:AA26 H16:L26 T28:X38 Z28:AA38 H28:L38 T40:X50 Z40:AA50 H40:L50 N52:R59 T52:X59 Z52:AA59 D2:F2" name="LAS"/>
    <protectedRange sqref="G2:I2 M2:O2 S2:U2 Y2:AA2 Y52:Y59 G52:G59 M52:M59 S52:S59 Y4:Y14 G4:G14 M4:M14 S4:S14 Y16:Y26 G16:G26 M16:M26 S16:S26 Y28:Y38 G28:G38 M28:M38 S28:S38 Y40:Y50 G40:G50 M40:M50 S40:S50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Y28:Y38 S28:S38 M28:M38 G28:G38 G40:G50 Y40:Y50 S40:S50 M40:M50 M52:M59" xr:uid="{CBD486C7-A5DB-48F1-B496-5027CC51E830}">
      <formula1>"CO,RO,SDO,LGU,SCHOOL"</formula1>
    </dataValidation>
    <dataValidation type="list" allowBlank="1" showInputMessage="1" showErrorMessage="1" sqref="X52:X59 F4:F14 F16:F26 F28:F38 F40:F50 F52:F59 L4:L14 L16:L26 L28:L38 L40:L50 L52:L59 R4:R14 R16:R26 R28:R38 R40:R50 R52:R59 X4:X14 X16:X26 X28:X38 X40:X5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2026-04-14T00:10:15Z</dcterms:modified>
  <cp:category/>
  <cp:contentStatus/>
</cp:coreProperties>
</file>