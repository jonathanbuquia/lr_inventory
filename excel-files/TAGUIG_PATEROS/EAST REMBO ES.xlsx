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1" documentId="13_ncr:1_{BFB59F67-F0DC-4675-A682-EB0734A8026A}" xr6:coauthVersionLast="47" xr6:coauthVersionMax="47" xr10:uidLastSave="{29C73595-06A4-47DF-BD1A-D301C424C15E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88" i="4"/>
  <c r="Z88" i="4" s="1"/>
  <c r="V89" i="4"/>
  <c r="Z89" i="4" s="1"/>
  <c r="V90" i="4"/>
  <c r="AA90" i="4" s="1"/>
  <c r="V91" i="4"/>
  <c r="Z91" i="4" s="1"/>
  <c r="V92" i="4"/>
  <c r="Z92" i="4" s="1"/>
  <c r="V93" i="4"/>
  <c r="Z93" i="4" s="1"/>
  <c r="V94" i="4"/>
  <c r="AA94" i="4" s="1"/>
  <c r="V95" i="4"/>
  <c r="Z95" i="4" s="1"/>
  <c r="V96" i="4"/>
  <c r="Z96" i="4" s="1"/>
  <c r="V98" i="4"/>
  <c r="Z98" i="4" s="1"/>
  <c r="V99" i="4"/>
  <c r="AA99" i="4" s="1"/>
  <c r="V100" i="4"/>
  <c r="Z100" i="4" s="1"/>
  <c r="V101" i="4"/>
  <c r="Z101" i="4" s="1"/>
  <c r="V102" i="4"/>
  <c r="Z102" i="4" s="1"/>
  <c r="V103" i="4"/>
  <c r="AA103" i="4" s="1"/>
  <c r="V104" i="4"/>
  <c r="Z104" i="4" s="1"/>
  <c r="V105" i="4"/>
  <c r="AA105" i="4" s="1"/>
  <c r="V106" i="4"/>
  <c r="Z106" i="4" s="1"/>
  <c r="V108" i="4"/>
  <c r="AA108" i="4" s="1"/>
  <c r="V109" i="4"/>
  <c r="Z109" i="4" s="1"/>
  <c r="V110" i="4"/>
  <c r="Z110" i="4" s="1"/>
  <c r="V111" i="4"/>
  <c r="Z111" i="4" s="1"/>
  <c r="V137" i="4"/>
  <c r="AA137" i="4" s="1"/>
  <c r="V138" i="4"/>
  <c r="Z138" i="4" s="1"/>
  <c r="V139" i="4"/>
  <c r="Z139" i="4" s="1"/>
  <c r="V140" i="4"/>
  <c r="Z140" i="4" s="1"/>
  <c r="V141" i="4"/>
  <c r="AA141" i="4" s="1"/>
  <c r="V143" i="4"/>
  <c r="V144" i="4"/>
  <c r="Z144" i="4" s="1"/>
  <c r="V145" i="4"/>
  <c r="Z145" i="4" s="1"/>
  <c r="V146" i="4"/>
  <c r="AA146" i="4" s="1"/>
  <c r="V147" i="4"/>
  <c r="Z147" i="4" s="1"/>
  <c r="V148" i="4"/>
  <c r="Z148" i="4" s="1"/>
  <c r="V149" i="4"/>
  <c r="Z149" i="4" s="1"/>
  <c r="V150" i="4"/>
  <c r="AA150" i="4" s="1"/>
  <c r="V151" i="4"/>
  <c r="V153" i="4"/>
  <c r="Z153" i="4" s="1"/>
  <c r="V154" i="4"/>
  <c r="Z154" i="4" s="1"/>
  <c r="V155" i="4"/>
  <c r="AA155" i="4" s="1"/>
  <c r="V156" i="4"/>
  <c r="Z156" i="4" s="1"/>
  <c r="V157" i="4"/>
  <c r="Z157" i="4" s="1"/>
  <c r="V158" i="4"/>
  <c r="Z158" i="4" s="1"/>
  <c r="V159" i="4"/>
  <c r="AA159" i="4" s="1"/>
  <c r="V160" i="4"/>
  <c r="V162" i="4"/>
  <c r="Z162" i="4" s="1"/>
  <c r="V163" i="4"/>
  <c r="Z163" i="4" s="1"/>
  <c r="V164" i="4"/>
  <c r="AA164" i="4" s="1"/>
  <c r="V165" i="4"/>
  <c r="Z165" i="4" s="1"/>
  <c r="V166" i="4"/>
  <c r="AA166" i="4" s="1"/>
  <c r="V167" i="4"/>
  <c r="Z167" i="4" s="1"/>
  <c r="V168" i="4"/>
  <c r="AA168" i="4" s="1"/>
  <c r="V169" i="4"/>
  <c r="V170" i="4"/>
  <c r="Z170" i="4" s="1"/>
  <c r="V171" i="4"/>
  <c r="Z171" i="4" s="1"/>
  <c r="V172" i="4"/>
  <c r="AA172" i="4" s="1"/>
  <c r="V173" i="4"/>
  <c r="Z173" i="4" s="1"/>
  <c r="V174" i="4"/>
  <c r="Z174" i="4" s="1"/>
  <c r="V175" i="4"/>
  <c r="Z175" i="4" s="1"/>
  <c r="V176" i="4"/>
  <c r="AA176" i="4" s="1"/>
  <c r="T177" i="4"/>
  <c r="U177" i="4"/>
  <c r="V17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88" i="4"/>
  <c r="P89" i="4"/>
  <c r="U89" i="4" s="1"/>
  <c r="P90" i="4"/>
  <c r="T90" i="4" s="1"/>
  <c r="P91" i="4"/>
  <c r="T91" i="4" s="1"/>
  <c r="P92" i="4"/>
  <c r="P93" i="4"/>
  <c r="T93" i="4" s="1"/>
  <c r="P94" i="4"/>
  <c r="T94" i="4" s="1"/>
  <c r="P95" i="4"/>
  <c r="T95" i="4" s="1"/>
  <c r="P96" i="4"/>
  <c r="P98" i="4"/>
  <c r="U98" i="4" s="1"/>
  <c r="P99" i="4"/>
  <c r="T99" i="4" s="1"/>
  <c r="P100" i="4"/>
  <c r="T100" i="4" s="1"/>
  <c r="P101" i="4"/>
  <c r="P102" i="4"/>
  <c r="T102" i="4" s="1"/>
  <c r="P103" i="4"/>
  <c r="T103" i="4" s="1"/>
  <c r="P104" i="4"/>
  <c r="T104" i="4" s="1"/>
  <c r="P105" i="4"/>
  <c r="P106" i="4"/>
  <c r="U106" i="4" s="1"/>
  <c r="P108" i="4"/>
  <c r="T108" i="4" s="1"/>
  <c r="P109" i="4"/>
  <c r="T109" i="4" s="1"/>
  <c r="P110" i="4"/>
  <c r="P111" i="4"/>
  <c r="T111" i="4" s="1"/>
  <c r="P137" i="4"/>
  <c r="T137" i="4" s="1"/>
  <c r="P138" i="4"/>
  <c r="T138" i="4" s="1"/>
  <c r="P139" i="4"/>
  <c r="P140" i="4"/>
  <c r="U140" i="4" s="1"/>
  <c r="P141" i="4"/>
  <c r="T141" i="4" s="1"/>
  <c r="P143" i="4"/>
  <c r="T143" i="4" s="1"/>
  <c r="P144" i="4"/>
  <c r="P145" i="4"/>
  <c r="T145" i="4" s="1"/>
  <c r="P146" i="4"/>
  <c r="T146" i="4" s="1"/>
  <c r="P147" i="4"/>
  <c r="T147" i="4" s="1"/>
  <c r="P148" i="4"/>
  <c r="P149" i="4"/>
  <c r="U149" i="4" s="1"/>
  <c r="P150" i="4"/>
  <c r="T150" i="4" s="1"/>
  <c r="P151" i="4"/>
  <c r="T151" i="4" s="1"/>
  <c r="P153" i="4"/>
  <c r="P154" i="4"/>
  <c r="U154" i="4" s="1"/>
  <c r="P155" i="4"/>
  <c r="T155" i="4" s="1"/>
  <c r="P156" i="4"/>
  <c r="T156" i="4" s="1"/>
  <c r="P157" i="4"/>
  <c r="P158" i="4"/>
  <c r="U158" i="4" s="1"/>
  <c r="P159" i="4"/>
  <c r="T159" i="4" s="1"/>
  <c r="P160" i="4"/>
  <c r="T160" i="4" s="1"/>
  <c r="P162" i="4"/>
  <c r="P163" i="4"/>
  <c r="T163" i="4" s="1"/>
  <c r="P164" i="4"/>
  <c r="T164" i="4" s="1"/>
  <c r="P165" i="4"/>
  <c r="T165" i="4" s="1"/>
  <c r="P166" i="4"/>
  <c r="P167" i="4"/>
  <c r="U167" i="4" s="1"/>
  <c r="P168" i="4"/>
  <c r="T168" i="4" s="1"/>
  <c r="P169" i="4"/>
  <c r="T169" i="4" s="1"/>
  <c r="P170" i="4"/>
  <c r="P171" i="4"/>
  <c r="T171" i="4" s="1"/>
  <c r="P172" i="4"/>
  <c r="T172" i="4" s="1"/>
  <c r="P173" i="4"/>
  <c r="T173" i="4" s="1"/>
  <c r="P174" i="4"/>
  <c r="P175" i="4"/>
  <c r="U175" i="4" s="1"/>
  <c r="P176" i="4"/>
  <c r="T17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88" i="4"/>
  <c r="N88" i="4" s="1"/>
  <c r="J89" i="4"/>
  <c r="O89" i="4" s="1"/>
  <c r="J90" i="4"/>
  <c r="O90" i="4" s="1"/>
  <c r="J91" i="4"/>
  <c r="N91" i="4" s="1"/>
  <c r="J92" i="4"/>
  <c r="N92" i="4" s="1"/>
  <c r="J93" i="4"/>
  <c r="N93" i="4" s="1"/>
  <c r="J94" i="4"/>
  <c r="O94" i="4" s="1"/>
  <c r="J95" i="4"/>
  <c r="N95" i="4" s="1"/>
  <c r="J96" i="4"/>
  <c r="N96" i="4" s="1"/>
  <c r="J98" i="4"/>
  <c r="O98" i="4" s="1"/>
  <c r="J99" i="4"/>
  <c r="O99" i="4" s="1"/>
  <c r="J100" i="4"/>
  <c r="N100" i="4" s="1"/>
  <c r="J101" i="4"/>
  <c r="N101" i="4" s="1"/>
  <c r="J102" i="4"/>
  <c r="N102" i="4" s="1"/>
  <c r="J103" i="4"/>
  <c r="O103" i="4" s="1"/>
  <c r="J104" i="4"/>
  <c r="N104" i="4" s="1"/>
  <c r="J105" i="4"/>
  <c r="N105" i="4" s="1"/>
  <c r="J106" i="4"/>
  <c r="O106" i="4" s="1"/>
  <c r="J108" i="4"/>
  <c r="O108" i="4" s="1"/>
  <c r="J109" i="4"/>
  <c r="N109" i="4" s="1"/>
  <c r="J110" i="4"/>
  <c r="N110" i="4" s="1"/>
  <c r="J111" i="4"/>
  <c r="N111" i="4" s="1"/>
  <c r="J137" i="4"/>
  <c r="O137" i="4" s="1"/>
  <c r="J138" i="4"/>
  <c r="N138" i="4" s="1"/>
  <c r="J139" i="4"/>
  <c r="N139" i="4" s="1"/>
  <c r="J140" i="4"/>
  <c r="O140" i="4" s="1"/>
  <c r="J141" i="4"/>
  <c r="O141" i="4" s="1"/>
  <c r="J143" i="4"/>
  <c r="N143" i="4" s="1"/>
  <c r="J144" i="4"/>
  <c r="N144" i="4" s="1"/>
  <c r="J145" i="4"/>
  <c r="N145" i="4" s="1"/>
  <c r="J146" i="4"/>
  <c r="O146" i="4" s="1"/>
  <c r="J147" i="4"/>
  <c r="N147" i="4" s="1"/>
  <c r="J148" i="4"/>
  <c r="N148" i="4" s="1"/>
  <c r="J149" i="4"/>
  <c r="O149" i="4" s="1"/>
  <c r="J150" i="4"/>
  <c r="O150" i="4" s="1"/>
  <c r="J151" i="4"/>
  <c r="N151" i="4" s="1"/>
  <c r="J153" i="4"/>
  <c r="N153" i="4" s="1"/>
  <c r="J154" i="4"/>
  <c r="N154" i="4" s="1"/>
  <c r="J155" i="4"/>
  <c r="O155" i="4" s="1"/>
  <c r="J156" i="4"/>
  <c r="N156" i="4" s="1"/>
  <c r="J157" i="4"/>
  <c r="N157" i="4" s="1"/>
  <c r="J158" i="4"/>
  <c r="O158" i="4" s="1"/>
  <c r="J159" i="4"/>
  <c r="O159" i="4" s="1"/>
  <c r="J160" i="4"/>
  <c r="N160" i="4" s="1"/>
  <c r="J162" i="4"/>
  <c r="N162" i="4" s="1"/>
  <c r="J163" i="4"/>
  <c r="N163" i="4" s="1"/>
  <c r="J164" i="4"/>
  <c r="O164" i="4" s="1"/>
  <c r="J165" i="4"/>
  <c r="N165" i="4" s="1"/>
  <c r="J166" i="4"/>
  <c r="N166" i="4" s="1"/>
  <c r="J167" i="4"/>
  <c r="O167" i="4" s="1"/>
  <c r="J168" i="4"/>
  <c r="O168" i="4" s="1"/>
  <c r="J169" i="4"/>
  <c r="N169" i="4" s="1"/>
  <c r="J170" i="4"/>
  <c r="N170" i="4" s="1"/>
  <c r="J171" i="4"/>
  <c r="N171" i="4" s="1"/>
  <c r="J172" i="4"/>
  <c r="O172" i="4" s="1"/>
  <c r="J173" i="4"/>
  <c r="N173" i="4" s="1"/>
  <c r="J174" i="4"/>
  <c r="N174" i="4" s="1"/>
  <c r="J175" i="4"/>
  <c r="O175" i="4" s="1"/>
  <c r="J176" i="4"/>
  <c r="O176" i="4" s="1"/>
  <c r="J17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88" i="4"/>
  <c r="H88" i="4" s="1"/>
  <c r="D89" i="4"/>
  <c r="H89" i="4" s="1"/>
  <c r="D90" i="4"/>
  <c r="D91" i="4"/>
  <c r="D92" i="4"/>
  <c r="I92" i="4" s="1"/>
  <c r="D93" i="4"/>
  <c r="I93" i="4" s="1"/>
  <c r="D94" i="4"/>
  <c r="H94" i="4" s="1"/>
  <c r="D95" i="4"/>
  <c r="H95" i="4" s="1"/>
  <c r="D96" i="4"/>
  <c r="H96" i="4" s="1"/>
  <c r="D98" i="4"/>
  <c r="H98" i="4" s="1"/>
  <c r="D99" i="4"/>
  <c r="D100" i="4"/>
  <c r="D101" i="4"/>
  <c r="I101" i="4" s="1"/>
  <c r="D102" i="4"/>
  <c r="I102" i="4" s="1"/>
  <c r="D103" i="4"/>
  <c r="I103" i="4" s="1"/>
  <c r="D104" i="4"/>
  <c r="I104" i="4" s="1"/>
  <c r="D105" i="4"/>
  <c r="H105" i="4" s="1"/>
  <c r="D106" i="4"/>
  <c r="H106" i="4" s="1"/>
  <c r="D108" i="4"/>
  <c r="D109" i="4"/>
  <c r="D110" i="4"/>
  <c r="I110" i="4" s="1"/>
  <c r="D111" i="4"/>
  <c r="I111" i="4" s="1"/>
  <c r="D137" i="4"/>
  <c r="H137" i="4" s="1"/>
  <c r="D138" i="4"/>
  <c r="H138" i="4" s="1"/>
  <c r="D139" i="4"/>
  <c r="H139" i="4" s="1"/>
  <c r="D140" i="4"/>
  <c r="H140" i="4" s="1"/>
  <c r="D141" i="4"/>
  <c r="I141" i="4" s="1"/>
  <c r="D143" i="4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H149" i="4" s="1"/>
  <c r="D150" i="4"/>
  <c r="I150" i="4" s="1"/>
  <c r="D151" i="4"/>
  <c r="I151" i="4" s="1"/>
  <c r="D153" i="4"/>
  <c r="I153" i="4" s="1"/>
  <c r="D154" i="4"/>
  <c r="I154" i="4" s="1"/>
  <c r="D155" i="4"/>
  <c r="H155" i="4" s="1"/>
  <c r="D156" i="4"/>
  <c r="H156" i="4" s="1"/>
  <c r="D157" i="4"/>
  <c r="I157" i="4" s="1"/>
  <c r="D158" i="4"/>
  <c r="H158" i="4" s="1"/>
  <c r="D159" i="4"/>
  <c r="I159" i="4" s="1"/>
  <c r="D160" i="4"/>
  <c r="I160" i="4" s="1"/>
  <c r="D5" i="4"/>
  <c r="I5" i="4" s="1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54" i="4"/>
  <c r="Z176" i="4"/>
  <c r="Z166" i="4"/>
  <c r="Z9" i="4"/>
  <c r="T106" i="4"/>
  <c r="U90" i="4"/>
  <c r="T33" i="4"/>
  <c r="Z45" i="4"/>
  <c r="U164" i="4"/>
  <c r="AA31" i="4"/>
  <c r="O138" i="4"/>
  <c r="AA153" i="4"/>
  <c r="U3" i="4"/>
  <c r="O26" i="4"/>
  <c r="T10" i="4"/>
  <c r="Z105" i="4"/>
  <c r="U59" i="4"/>
  <c r="U43" i="4"/>
  <c r="AA92" i="4"/>
  <c r="O16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56" i="4"/>
  <c r="O100" i="4"/>
  <c r="N56" i="4"/>
  <c r="O44" i="4"/>
  <c r="N37" i="4"/>
  <c r="T158" i="4"/>
  <c r="U141" i="4"/>
  <c r="U111" i="4"/>
  <c r="U94" i="4"/>
  <c r="T37" i="4"/>
  <c r="U20" i="4"/>
  <c r="U15" i="4"/>
  <c r="AA174" i="4"/>
  <c r="Z164" i="4"/>
  <c r="AA139" i="4"/>
  <c r="Z103" i="4"/>
  <c r="AA54" i="4"/>
  <c r="Z43" i="4"/>
  <c r="AA18" i="4"/>
  <c r="Z7" i="4"/>
  <c r="N175" i="4"/>
  <c r="N149" i="4"/>
  <c r="O143" i="4"/>
  <c r="O61" i="4"/>
  <c r="O30" i="4"/>
  <c r="U168" i="4"/>
  <c r="U163" i="4"/>
  <c r="U146" i="4"/>
  <c r="T89" i="4"/>
  <c r="U47" i="4"/>
  <c r="U41" i="4"/>
  <c r="U25" i="4"/>
  <c r="AA162" i="4"/>
  <c r="Z150" i="4"/>
  <c r="AA101" i="4"/>
  <c r="Z90" i="4"/>
  <c r="AA40" i="4"/>
  <c r="Z29" i="4"/>
  <c r="N106" i="4"/>
  <c r="O173" i="4"/>
  <c r="N167" i="4"/>
  <c r="O160" i="4"/>
  <c r="N155" i="4"/>
  <c r="O104" i="4"/>
  <c r="N55" i="4"/>
  <c r="O48" i="4"/>
  <c r="O17" i="4"/>
  <c r="N10" i="4"/>
  <c r="U172" i="4"/>
  <c r="T140" i="4"/>
  <c r="U99" i="4"/>
  <c r="U93" i="4"/>
  <c r="U51" i="4"/>
  <c r="T19" i="4"/>
  <c r="Z172" i="4"/>
  <c r="AA148" i="4"/>
  <c r="Z137" i="4"/>
  <c r="AA88" i="4"/>
  <c r="Z51" i="4"/>
  <c r="AA27" i="4"/>
  <c r="Z16" i="4"/>
  <c r="N19" i="4"/>
  <c r="Z141" i="4"/>
  <c r="I31" i="4"/>
  <c r="N98" i="4"/>
  <c r="O91" i="4"/>
  <c r="O35" i="4"/>
  <c r="T167" i="4"/>
  <c r="U150" i="4"/>
  <c r="U145" i="4"/>
  <c r="U103" i="4"/>
  <c r="T46" i="4"/>
  <c r="U29" i="4"/>
  <c r="U24" i="4"/>
  <c r="U7" i="4"/>
  <c r="AA170" i="4"/>
  <c r="Z159" i="4"/>
  <c r="AA110" i="4"/>
  <c r="Z99" i="4"/>
  <c r="AA49" i="4"/>
  <c r="Z38" i="4"/>
  <c r="AA14" i="4"/>
  <c r="O147" i="4"/>
  <c r="N140" i="4"/>
  <c r="O109" i="4"/>
  <c r="N103" i="4"/>
  <c r="N28" i="4"/>
  <c r="O21" i="4"/>
  <c r="U176" i="4"/>
  <c r="U171" i="4"/>
  <c r="U155" i="4"/>
  <c r="T98" i="4"/>
  <c r="U56" i="4"/>
  <c r="U50" i="4"/>
  <c r="U34" i="4"/>
  <c r="AA157" i="4"/>
  <c r="Z146" i="4"/>
  <c r="AA96" i="4"/>
  <c r="Z60" i="4"/>
  <c r="AA36" i="4"/>
  <c r="Z25" i="4"/>
  <c r="I3" i="4"/>
  <c r="N176" i="4"/>
  <c r="O165" i="4"/>
  <c r="N158" i="4"/>
  <c r="O53" i="4"/>
  <c r="N46" i="4"/>
  <c r="O39" i="4"/>
  <c r="N34" i="4"/>
  <c r="O8" i="4"/>
  <c r="T149" i="4"/>
  <c r="U108" i="4"/>
  <c r="U102" i="4"/>
  <c r="U60" i="4"/>
  <c r="T28" i="4"/>
  <c r="U11" i="4"/>
  <c r="U6" i="4"/>
  <c r="Z168" i="4"/>
  <c r="AA144" i="4"/>
  <c r="Z108" i="4"/>
  <c r="AA58" i="4"/>
  <c r="Z47" i="4"/>
  <c r="AA23" i="4"/>
  <c r="Z11" i="4"/>
  <c r="AA3" i="4"/>
  <c r="O151" i="4"/>
  <c r="O95" i="4"/>
  <c r="N89" i="4"/>
  <c r="O57" i="4"/>
  <c r="T175" i="4"/>
  <c r="U159" i="4"/>
  <c r="U137" i="4"/>
  <c r="T55" i="4"/>
  <c r="U38" i="4"/>
  <c r="U16" i="4"/>
  <c r="Z155" i="4"/>
  <c r="Z94" i="4"/>
  <c r="Z34" i="4"/>
  <c r="T96" i="4"/>
  <c r="U96" i="4"/>
  <c r="T162" i="4"/>
  <c r="U162" i="4"/>
  <c r="N146" i="4"/>
  <c r="N99" i="4"/>
  <c r="T88" i="4"/>
  <c r="U88" i="4"/>
  <c r="T40" i="4"/>
  <c r="U40" i="4"/>
  <c r="N25" i="4"/>
  <c r="Z177" i="4"/>
  <c r="AA177" i="4"/>
  <c r="N172" i="4"/>
  <c r="N150" i="4"/>
  <c r="T139" i="4"/>
  <c r="U139" i="4"/>
  <c r="T92" i="4"/>
  <c r="U92" i="4"/>
  <c r="N51" i="4"/>
  <c r="N29" i="4"/>
  <c r="T18" i="4"/>
  <c r="U18" i="4"/>
  <c r="Z143" i="4"/>
  <c r="AA143" i="4"/>
  <c r="N108" i="4"/>
  <c r="N159" i="4"/>
  <c r="T148" i="4"/>
  <c r="U148" i="4"/>
  <c r="T101" i="4"/>
  <c r="U101" i="4"/>
  <c r="N60" i="4"/>
  <c r="N38" i="4"/>
  <c r="T27" i="4"/>
  <c r="U27" i="4"/>
  <c r="Z151" i="4"/>
  <c r="AA151" i="4"/>
  <c r="T166" i="4"/>
  <c r="U166" i="4"/>
  <c r="T144" i="4"/>
  <c r="U144" i="4"/>
  <c r="T23" i="4"/>
  <c r="U23" i="4"/>
  <c r="T170" i="4"/>
  <c r="U170" i="4"/>
  <c r="T49" i="4"/>
  <c r="U49" i="4"/>
  <c r="N11" i="4"/>
  <c r="T174" i="4"/>
  <c r="U174" i="4"/>
  <c r="T153" i="4"/>
  <c r="U153" i="4"/>
  <c r="N137" i="4"/>
  <c r="N90" i="4"/>
  <c r="T54" i="4"/>
  <c r="U54" i="4"/>
  <c r="T31" i="4"/>
  <c r="U31" i="4"/>
  <c r="N16" i="4"/>
  <c r="Z169" i="4"/>
  <c r="AA169" i="4"/>
  <c r="N164" i="4"/>
  <c r="N141" i="4"/>
  <c r="T105" i="4"/>
  <c r="U105" i="4"/>
  <c r="T58" i="4"/>
  <c r="U58" i="4"/>
  <c r="N43" i="4"/>
  <c r="N20" i="4"/>
  <c r="T45" i="4"/>
  <c r="U45" i="4"/>
  <c r="O7" i="4"/>
  <c r="N7" i="4"/>
  <c r="N168" i="4"/>
  <c r="T157" i="4"/>
  <c r="U157" i="4"/>
  <c r="T110" i="4"/>
  <c r="U110" i="4"/>
  <c r="N94" i="4"/>
  <c r="N47" i="4"/>
  <c r="T36" i="4"/>
  <c r="U36" i="4"/>
  <c r="T14" i="4"/>
  <c r="U14" i="4"/>
  <c r="Z160" i="4"/>
  <c r="AA160" i="4"/>
  <c r="O174" i="4"/>
  <c r="O166" i="4"/>
  <c r="O157" i="4"/>
  <c r="O148" i="4"/>
  <c r="O139" i="4"/>
  <c r="O105" i="4"/>
  <c r="O96" i="4"/>
  <c r="O88" i="4"/>
  <c r="O54" i="4"/>
  <c r="O45" i="4"/>
  <c r="O36" i="4"/>
  <c r="O27" i="4"/>
  <c r="O18" i="4"/>
  <c r="O9" i="4"/>
  <c r="U173" i="4"/>
  <c r="U165" i="4"/>
  <c r="U156" i="4"/>
  <c r="U147" i="4"/>
  <c r="U138" i="4"/>
  <c r="U104" i="4"/>
  <c r="U95" i="4"/>
  <c r="U61" i="4"/>
  <c r="U53" i="4"/>
  <c r="U44" i="4"/>
  <c r="U35" i="4"/>
  <c r="U26" i="4"/>
  <c r="U17" i="4"/>
  <c r="U8" i="4"/>
  <c r="AA173" i="4"/>
  <c r="AA165" i="4"/>
  <c r="AA156" i="4"/>
  <c r="AA147" i="4"/>
  <c r="AA138" i="4"/>
  <c r="AA109" i="4"/>
  <c r="AA104" i="4"/>
  <c r="AA100" i="4"/>
  <c r="AA95" i="4"/>
  <c r="AA91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71" i="4"/>
  <c r="O163" i="4"/>
  <c r="O154" i="4"/>
  <c r="O145" i="4"/>
  <c r="O111" i="4"/>
  <c r="O102" i="4"/>
  <c r="O93" i="4"/>
  <c r="O59" i="4"/>
  <c r="O50" i="4"/>
  <c r="O41" i="4"/>
  <c r="O33" i="4"/>
  <c r="O24" i="4"/>
  <c r="O15" i="4"/>
  <c r="O6" i="4"/>
  <c r="O170" i="4"/>
  <c r="O162" i="4"/>
  <c r="O153" i="4"/>
  <c r="O144" i="4"/>
  <c r="O110" i="4"/>
  <c r="O101" i="4"/>
  <c r="O92" i="4"/>
  <c r="O58" i="4"/>
  <c r="O49" i="4"/>
  <c r="O40" i="4"/>
  <c r="O31" i="4"/>
  <c r="O23" i="4"/>
  <c r="O14" i="4"/>
  <c r="U169" i="4"/>
  <c r="U160" i="4"/>
  <c r="U151" i="4"/>
  <c r="U143" i="4"/>
  <c r="U109" i="4"/>
  <c r="U100" i="4"/>
  <c r="U91" i="4"/>
  <c r="U57" i="4"/>
  <c r="U48" i="4"/>
  <c r="U39" i="4"/>
  <c r="U30" i="4"/>
  <c r="U21" i="4"/>
  <c r="U12" i="4"/>
  <c r="AA175" i="4"/>
  <c r="AA171" i="4"/>
  <c r="AA167" i="4"/>
  <c r="AA163" i="4"/>
  <c r="AA158" i="4"/>
  <c r="AA154" i="4"/>
  <c r="AA149" i="4"/>
  <c r="AA145" i="4"/>
  <c r="AA140" i="4"/>
  <c r="AA111" i="4"/>
  <c r="AA106" i="4"/>
  <c r="AA102" i="4"/>
  <c r="AA98" i="4"/>
  <c r="AA93" i="4"/>
  <c r="AA89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147" i="4"/>
  <c r="I156" i="4"/>
  <c r="I149" i="4"/>
  <c r="I89" i="4"/>
  <c r="H146" i="4"/>
  <c r="I155" i="4"/>
  <c r="I51" i="4"/>
  <c r="I50" i="4"/>
  <c r="H104" i="4"/>
  <c r="I138" i="4"/>
  <c r="I45" i="4"/>
  <c r="Z5" i="4"/>
  <c r="H111" i="4"/>
  <c r="H157" i="4"/>
  <c r="H93" i="4"/>
  <c r="I137" i="4"/>
  <c r="I34" i="4"/>
  <c r="H61" i="4"/>
  <c r="I106" i="4"/>
  <c r="I33" i="4"/>
  <c r="U5" i="4"/>
  <c r="H43" i="4"/>
  <c r="I95" i="4"/>
  <c r="I24" i="4"/>
  <c r="H148" i="4"/>
  <c r="H18" i="4"/>
  <c r="I94" i="4"/>
  <c r="H49" i="4"/>
  <c r="O5" i="4"/>
  <c r="N5" i="4"/>
  <c r="O177" i="4"/>
  <c r="N177" i="4"/>
  <c r="I109" i="4"/>
  <c r="H109" i="4"/>
  <c r="H92" i="4"/>
  <c r="I90" i="4"/>
  <c r="H90" i="4"/>
  <c r="I14" i="4"/>
  <c r="H14" i="4"/>
  <c r="I46" i="4"/>
  <c r="H46" i="4"/>
  <c r="I37" i="4"/>
  <c r="H37" i="4"/>
  <c r="I25" i="4"/>
  <c r="H25" i="4"/>
  <c r="H6" i="4"/>
  <c r="H154" i="4"/>
  <c r="H145" i="4"/>
  <c r="H103" i="4"/>
  <c r="H60" i="4"/>
  <c r="H41" i="4"/>
  <c r="H17" i="4"/>
  <c r="I105" i="4"/>
  <c r="I88" i="4"/>
  <c r="I44" i="4"/>
  <c r="I23" i="4"/>
  <c r="H28" i="4"/>
  <c r="I143" i="4"/>
  <c r="H143" i="4"/>
  <c r="H110" i="4"/>
  <c r="I38" i="4"/>
  <c r="H38" i="4"/>
  <c r="H5" i="4"/>
  <c r="H153" i="4"/>
  <c r="H144" i="4"/>
  <c r="H102" i="4"/>
  <c r="H59" i="4"/>
  <c r="H40" i="4"/>
  <c r="H16" i="4"/>
  <c r="I91" i="4"/>
  <c r="H91" i="4"/>
  <c r="H48" i="4"/>
  <c r="I108" i="4"/>
  <c r="H108" i="4"/>
  <c r="I47" i="4"/>
  <c r="H47" i="4"/>
  <c r="H160" i="4"/>
  <c r="H151" i="4"/>
  <c r="H141" i="4"/>
  <c r="H101" i="4"/>
  <c r="H58" i="4"/>
  <c r="H39" i="4"/>
  <c r="H15" i="4"/>
  <c r="H27" i="4"/>
  <c r="I99" i="4"/>
  <c r="H99" i="4"/>
  <c r="I26" i="4"/>
  <c r="H26" i="4"/>
  <c r="H159" i="4"/>
  <c r="H150" i="4"/>
  <c r="I158" i="4"/>
  <c r="I140" i="4"/>
  <c r="I98" i="4"/>
  <c r="I55" i="4"/>
  <c r="I36" i="4"/>
  <c r="I100" i="4"/>
  <c r="H100" i="4"/>
  <c r="I57" i="4"/>
  <c r="H57" i="4"/>
  <c r="I56" i="4"/>
  <c r="H56" i="4"/>
  <c r="I139" i="4"/>
  <c r="I96" i="4"/>
  <c r="I53" i="4"/>
  <c r="I35" i="4"/>
  <c r="I54" i="4"/>
</calcChain>
</file>

<file path=xl/sharedStrings.xml><?xml version="1.0" encoding="utf-8"?>
<sst xmlns="http://schemas.openxmlformats.org/spreadsheetml/2006/main" count="434" uniqueCount="91">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</sst>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9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0" fontId="0" fillId="8" borderId="0" xfId="0" applyFill="1" applyBorder="1"/>
    <xf numFmtId="0" fontId="1" fillId="8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77" totalsRowShown="0" dataDxfId="59" headerRowBorderDxfId="57" tableBorderDxfId="58">
  <autoFilter ref="A2:AA17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3" topLeftCell="D34" activePane="topRight" state="frozen"/>
      <selection pane="topRight" activeCell="F9" sqref="F8:F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1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265</v>
      </c>
      <c r="D2" s="1">
        <v>384</v>
      </c>
      <c r="E2" s="1">
        <v>2024</v>
      </c>
      <c r="F2" s="5"/>
      <c r="G2" s="3">
        <f>IF((C2-D2)&lt;0,0,C2-D2)</f>
        <v>0</v>
      </c>
      <c r="H2" s="4">
        <f>IF((D2-C2)&lt;0,0,D2-C2)</f>
        <v>119</v>
      </c>
    </row>
    <row r="3" spans="1:8" ht="29.25" customHeight="1">
      <c r="A3" s="1">
        <v>1</v>
      </c>
      <c r="B3" s="2" t="s">
        <v>9</v>
      </c>
      <c r="C3" s="1">
        <v>265</v>
      </c>
      <c r="D3" s="1">
        <v>384</v>
      </c>
      <c r="E3" s="1">
        <v>2024</v>
      </c>
      <c r="F3" s="5"/>
      <c r="G3" s="3">
        <f>IF((C3-D3)&lt;0,0,C3-D3)</f>
        <v>0</v>
      </c>
      <c r="H3" s="4">
        <f>IF((D3-C3)&lt;0,0,D3-C3)</f>
        <v>119</v>
      </c>
    </row>
    <row r="4" spans="1:8" ht="21" customHeight="1">
      <c r="A4" s="1">
        <v>1</v>
      </c>
      <c r="B4" s="2" t="s">
        <v>10</v>
      </c>
      <c r="C4" s="1">
        <v>265</v>
      </c>
      <c r="D4" s="1">
        <v>384</v>
      </c>
      <c r="E4" s="1">
        <v>2024</v>
      </c>
      <c r="F4" s="5"/>
      <c r="G4" s="3">
        <f>IF((C4-D4)&lt;0,0,C4-D4)</f>
        <v>0</v>
      </c>
      <c r="H4" s="4">
        <f>IF((D4-C4)&lt;0,0,D4-C4)</f>
        <v>119</v>
      </c>
    </row>
    <row r="5" spans="1:8" ht="25.5" customHeight="1">
      <c r="A5" s="1">
        <v>1</v>
      </c>
      <c r="B5" s="2" t="s">
        <v>11</v>
      </c>
      <c r="C5" s="1">
        <v>265</v>
      </c>
      <c r="D5" s="1">
        <v>384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119</v>
      </c>
    </row>
    <row r="6" spans="1:8" ht="19.5">
      <c r="A6" s="1">
        <v>1</v>
      </c>
      <c r="B6" s="2" t="s">
        <v>12</v>
      </c>
      <c r="C6" s="1">
        <v>265</v>
      </c>
      <c r="D6" s="1"/>
      <c r="E6" s="1"/>
      <c r="F6" s="5"/>
      <c r="G6" s="3">
        <f t="shared" si="0"/>
        <v>265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254</v>
      </c>
      <c r="D8" s="1"/>
      <c r="E8" s="1"/>
      <c r="F8" s="5"/>
      <c r="G8" s="3">
        <f>IF((C8-D8)&lt;0,0,C8-D8)</f>
        <v>254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254</v>
      </c>
      <c r="D9" s="1"/>
      <c r="E9" s="1"/>
      <c r="F9" s="5"/>
      <c r="G9" s="3">
        <f>IF((C9-D9)&lt;0,0,C9-D9)</f>
        <v>254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254</v>
      </c>
      <c r="D10" s="1"/>
      <c r="E10" s="1"/>
      <c r="F10" s="5"/>
      <c r="G10" s="3">
        <f>IF((C10-D10)&lt;0,0,C10-D10)</f>
        <v>254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254</v>
      </c>
      <c r="D11" s="1"/>
      <c r="E11" s="1"/>
      <c r="F11" s="5"/>
      <c r="G11" s="3">
        <f>IF((C11-D11)&lt;0,0,C11-D11)</f>
        <v>254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254</v>
      </c>
      <c r="D12" s="1"/>
      <c r="E12" s="1"/>
      <c r="F12" s="5"/>
      <c r="G12" s="3">
        <f>IF((C12-D12)&lt;0,0,C12-D12)</f>
        <v>254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287</v>
      </c>
      <c r="D14" s="1"/>
      <c r="E14" s="1"/>
      <c r="F14" s="5"/>
      <c r="G14" s="3">
        <f t="shared" ref="G14:G19" si="2">IF((C14-D14)&lt;0,0,C14-D14)</f>
        <v>287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287</v>
      </c>
      <c r="D15" s="1"/>
      <c r="E15" s="1"/>
      <c r="F15" s="5"/>
      <c r="G15" s="3">
        <f t="shared" si="2"/>
        <v>287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287</v>
      </c>
      <c r="D16" s="1"/>
      <c r="E16" s="1"/>
      <c r="F16" s="5"/>
      <c r="G16" s="3">
        <f t="shared" si="2"/>
        <v>287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287</v>
      </c>
      <c r="D17" s="1"/>
      <c r="E17" s="1"/>
      <c r="F17" s="5"/>
      <c r="G17" s="3">
        <f t="shared" si="2"/>
        <v>287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287</v>
      </c>
      <c r="D18" s="1"/>
      <c r="E18" s="1"/>
      <c r="F18" s="5"/>
      <c r="G18" s="3">
        <f t="shared" si="2"/>
        <v>287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287</v>
      </c>
      <c r="D19" s="1"/>
      <c r="E19" s="1"/>
      <c r="F19" s="5"/>
      <c r="G19" s="3">
        <f t="shared" si="2"/>
        <v>287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303</v>
      </c>
      <c r="D21" s="1">
        <v>312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9</v>
      </c>
    </row>
    <row r="22" spans="1:8" ht="24" customHeight="1">
      <c r="A22" s="1">
        <v>4</v>
      </c>
      <c r="B22" s="9" t="s">
        <v>15</v>
      </c>
      <c r="C22" s="1">
        <v>303</v>
      </c>
      <c r="D22" s="1">
        <v>210</v>
      </c>
      <c r="E22" s="1">
        <v>2025</v>
      </c>
      <c r="F22" s="5"/>
      <c r="G22" s="3">
        <f t="shared" si="4"/>
        <v>93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303</v>
      </c>
      <c r="D23" s="1"/>
      <c r="E23" s="1"/>
      <c r="F23" s="5"/>
      <c r="G23" s="3">
        <f t="shared" si="4"/>
        <v>303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303</v>
      </c>
      <c r="D24" s="1">
        <v>300</v>
      </c>
      <c r="E24" s="1">
        <v>2025</v>
      </c>
      <c r="F24" s="5"/>
      <c r="G24" s="3">
        <f t="shared" si="4"/>
        <v>3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303</v>
      </c>
      <c r="D25" s="1"/>
      <c r="E25" s="1"/>
      <c r="F25" s="5"/>
      <c r="G25" s="3">
        <f t="shared" si="4"/>
        <v>303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303</v>
      </c>
      <c r="D26" s="1"/>
      <c r="E26" s="1"/>
      <c r="F26" s="5"/>
      <c r="G26" s="3">
        <f t="shared" si="4"/>
        <v>303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303</v>
      </c>
      <c r="D27" s="1"/>
      <c r="E27" s="1"/>
      <c r="F27" s="5"/>
      <c r="G27" s="3">
        <f t="shared" si="4"/>
        <v>303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303</v>
      </c>
      <c r="D28" s="1"/>
      <c r="E28" s="1"/>
      <c r="F28" s="5"/>
      <c r="G28" s="3">
        <f t="shared" si="4"/>
        <v>303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303</v>
      </c>
      <c r="D29" s="1"/>
      <c r="E29" s="1"/>
      <c r="F29" s="5"/>
      <c r="G29" s="3">
        <f t="shared" si="4"/>
        <v>303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298</v>
      </c>
      <c r="D31" s="1">
        <v>359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61</v>
      </c>
    </row>
    <row r="32" spans="1:8" ht="27.75" customHeight="1">
      <c r="A32" s="1">
        <v>5</v>
      </c>
      <c r="B32" s="9" t="s">
        <v>15</v>
      </c>
      <c r="C32" s="1">
        <v>298</v>
      </c>
      <c r="D32" s="1"/>
      <c r="E32" s="1"/>
      <c r="F32" s="5"/>
      <c r="G32" s="3">
        <f t="shared" si="6"/>
        <v>298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298</v>
      </c>
      <c r="D33" s="1"/>
      <c r="E33" s="1"/>
      <c r="F33" s="5"/>
      <c r="G33" s="3">
        <f t="shared" si="6"/>
        <v>298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298</v>
      </c>
      <c r="D34" s="1"/>
      <c r="E34" s="1"/>
      <c r="F34" s="5"/>
      <c r="G34" s="3">
        <f t="shared" si="6"/>
        <v>298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298</v>
      </c>
      <c r="D35" s="1"/>
      <c r="E35" s="1"/>
      <c r="F35" s="5"/>
      <c r="G35" s="3">
        <f t="shared" si="6"/>
        <v>298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298</v>
      </c>
      <c r="D36" s="1"/>
      <c r="E36" s="1"/>
      <c r="F36" s="5"/>
      <c r="G36" s="3">
        <f t="shared" si="6"/>
        <v>298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298</v>
      </c>
      <c r="D37" s="1"/>
      <c r="E37" s="1"/>
      <c r="F37" s="5"/>
      <c r="G37" s="3">
        <f t="shared" si="6"/>
        <v>298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298</v>
      </c>
      <c r="D38" s="1"/>
      <c r="E38" s="1"/>
      <c r="F38" s="5"/>
      <c r="G38" s="3">
        <f t="shared" si="6"/>
        <v>298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298</v>
      </c>
      <c r="D39" s="1"/>
      <c r="E39" s="1"/>
      <c r="F39" s="5"/>
      <c r="G39" s="3">
        <f t="shared" si="6"/>
        <v>298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310</v>
      </c>
      <c r="D41" s="1"/>
      <c r="E41" s="1"/>
      <c r="F41" s="5"/>
      <c r="G41" s="3">
        <f t="shared" ref="G41:G49" si="8">IF((C41-D41)&lt;0,0,C41-D41)</f>
        <v>310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310</v>
      </c>
      <c r="D42" s="1"/>
      <c r="E42" s="1"/>
      <c r="F42" s="5"/>
      <c r="G42" s="3">
        <f t="shared" si="8"/>
        <v>310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310</v>
      </c>
      <c r="D43" s="1"/>
      <c r="E43" s="1"/>
      <c r="F43" s="5"/>
      <c r="G43" s="3">
        <f t="shared" si="8"/>
        <v>310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310</v>
      </c>
      <c r="D44" s="1"/>
      <c r="E44" s="1"/>
      <c r="F44" s="5"/>
      <c r="G44" s="3">
        <f t="shared" si="8"/>
        <v>310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310</v>
      </c>
      <c r="D45" s="1"/>
      <c r="E45" s="1"/>
      <c r="F45" s="5"/>
      <c r="G45" s="3">
        <f t="shared" si="8"/>
        <v>310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310</v>
      </c>
      <c r="D46" s="1"/>
      <c r="E46" s="1"/>
      <c r="F46" s="5"/>
      <c r="G46" s="3">
        <f t="shared" si="8"/>
        <v>310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310</v>
      </c>
      <c r="D47" s="1"/>
      <c r="E47" s="1"/>
      <c r="F47" s="5"/>
      <c r="G47" s="3">
        <f t="shared" si="8"/>
        <v>310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310</v>
      </c>
      <c r="D48" s="1"/>
      <c r="E48" s="1"/>
      <c r="F48" s="5"/>
      <c r="G48" s="3">
        <f t="shared" si="8"/>
        <v>310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310</v>
      </c>
      <c r="D49" s="1"/>
      <c r="E49" s="1"/>
      <c r="F49" s="5"/>
      <c r="G49" s="3">
        <f t="shared" si="8"/>
        <v>310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207"/>
  <sheetViews>
    <sheetView tabSelected="1" zoomScale="70" zoomScaleNormal="70" workbookViewId="0">
      <selection activeCell="W47" sqref="W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16.7109375" customWidth="1"/>
    <col min="6" max="6" width="14" customWidth="1"/>
    <col min="7" max="7" width="14.140625" customWidth="1"/>
    <col min="8" max="8" width="12.28515625" customWidth="1"/>
    <col min="9" max="9" width="14.140625" customWidth="1"/>
    <col min="10" max="10" width="12.42578125" customWidth="1"/>
    <col min="11" max="11" width="23.42578125" customWidth="1"/>
    <col min="12" max="12" width="15" customWidth="1"/>
    <col min="13" max="13" width="14.85546875" customWidth="1"/>
    <col min="14" max="14" width="11.7109375" customWidth="1"/>
    <col min="15" max="15" width="13.140625" customWidth="1"/>
    <col min="16" max="16" width="21.5703125" customWidth="1"/>
    <col min="17" max="17" width="22.140625" customWidth="1"/>
    <col min="18" max="18" width="15.42578125" customWidth="1"/>
    <col min="19" max="19" width="14.7109375" customWidth="1"/>
    <col min="20" max="20" width="11.85546875" customWidth="1"/>
    <col min="21" max="21" width="11.28515625" customWidth="1"/>
    <col min="22" max="22" width="16.140625" customWidth="1"/>
    <col min="23" max="23" width="21.7109375" customWidth="1"/>
    <col min="24" max="25" width="13" customWidth="1"/>
    <col min="26" max="26" width="11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250</v>
      </c>
      <c r="D3" s="34">
        <f>Table1[[#This Row],[Enrolment S.Y. 2025-2026 ]]*8</f>
        <v>2000</v>
      </c>
      <c r="E3" s="34"/>
      <c r="F3" s="32"/>
      <c r="G3" s="34"/>
      <c r="H3" s="34">
        <f>IF((D3-E3)&lt;0,0,(D3-E3))</f>
        <v>2000</v>
      </c>
      <c r="I3" s="34">
        <f>IF((E3-D3)&lt;0,0,(E3-D3))</f>
        <v>0</v>
      </c>
      <c r="J3" s="34">
        <f>Table1[[#This Row],[Enrolment S.Y. 2025-2026 ]]*8</f>
        <v>2000</v>
      </c>
      <c r="K3" s="34"/>
      <c r="L3" s="32"/>
      <c r="M3" s="34"/>
      <c r="N3" s="5">
        <f t="shared" ref="N3" si="0">IF((J3-K3)&lt;0,0,(J3-K3))</f>
        <v>2000</v>
      </c>
      <c r="O3" s="5">
        <f t="shared" ref="O3" si="1">IF((K3-J3)&lt;0,0,(K3-J3))</f>
        <v>0</v>
      </c>
      <c r="P3" s="5">
        <f>Table1[[#This Row],[Enrolment S.Y. 2025-2026 ]]*8</f>
        <v>2000</v>
      </c>
      <c r="Q3" s="34"/>
      <c r="R3" s="32"/>
      <c r="S3" s="34"/>
      <c r="T3" s="34">
        <f>IF((P3-Q3)&lt;0,0,(P3-Q3))</f>
        <v>2000</v>
      </c>
      <c r="U3" s="34">
        <f>IF((Q3-P3)&lt;0,0,(Q3-P3))</f>
        <v>0</v>
      </c>
      <c r="V3" s="34">
        <f>Table1[[#This Row],[Enrolment S.Y. 2025-2026 ]]*8</f>
        <v>2000</v>
      </c>
      <c r="W3" s="34"/>
      <c r="X3" s="32"/>
      <c r="Y3" s="34"/>
      <c r="Z3" s="34">
        <f>IF((V3-W3)&lt;0,0,(V3-W3))</f>
        <v>2000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265</v>
      </c>
      <c r="D5" s="5">
        <f>Table1[[#This Row],[Enrolment S.Y. 2025-2026 ]]*8</f>
        <v>2120</v>
      </c>
      <c r="E5" s="5"/>
      <c r="F5" s="1"/>
      <c r="G5" s="5"/>
      <c r="H5" s="5">
        <f t="shared" ref="H5:H102" si="2">IF((D5-E5)&lt;0,0,(D5-E5))</f>
        <v>2120</v>
      </c>
      <c r="I5" s="5">
        <f t="shared" ref="I5:I102" si="3">IF((E5-D5)&lt;0,0,(E5-D5))</f>
        <v>0</v>
      </c>
      <c r="J5" s="5">
        <f>Table1[[#This Row],[Enrolment S.Y. 2025-2026 ]]*8</f>
        <v>2120</v>
      </c>
      <c r="K5" s="5"/>
      <c r="L5" s="1"/>
      <c r="M5" s="5"/>
      <c r="N5" s="5">
        <f t="shared" ref="N5" si="4">IF((J5-K5)&lt;0,0,(J5-K5))</f>
        <v>2120</v>
      </c>
      <c r="O5" s="5">
        <f t="shared" ref="O5" si="5">IF((K5-J5)&lt;0,0,(K5-J5))</f>
        <v>0</v>
      </c>
      <c r="P5" s="5">
        <f>Table1[[#This Row],[Enrolment S.Y. 2025-2026 ]]*8</f>
        <v>2120</v>
      </c>
      <c r="Q5" s="5"/>
      <c r="R5" s="1"/>
      <c r="S5" s="5"/>
      <c r="T5" s="5">
        <f t="shared" ref="T5" si="6">IF((P5-Q5)&lt;0,0,(P5-Q5))</f>
        <v>2120</v>
      </c>
      <c r="U5" s="5">
        <f t="shared" ref="U5" si="7">IF((Q5-P5)&lt;0,0,(Q5-P5))</f>
        <v>0</v>
      </c>
      <c r="V5" s="5">
        <f>Table1[[#This Row],[Enrolment S.Y. 2025-2026 ]]*8</f>
        <v>2120</v>
      </c>
      <c r="W5" s="5"/>
      <c r="X5" s="1"/>
      <c r="Y5" s="5"/>
      <c r="Z5" s="5">
        <f t="shared" ref="Z5" si="8">IF((V5-W5)&lt;0,0,(V5-W5))</f>
        <v>2120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265</v>
      </c>
      <c r="D6" s="5">
        <f>Table1[[#This Row],[Enrolment S.Y. 2025-2026 ]]*8</f>
        <v>2120</v>
      </c>
      <c r="E6" s="5"/>
      <c r="F6" s="1"/>
      <c r="G6" s="5"/>
      <c r="H6" s="5">
        <f t="shared" si="2"/>
        <v>2120</v>
      </c>
      <c r="I6" s="5">
        <f t="shared" si="3"/>
        <v>0</v>
      </c>
      <c r="J6" s="5">
        <f>Table1[[#This Row],[Enrolment S.Y. 2025-2026 ]]*8</f>
        <v>2120</v>
      </c>
      <c r="K6" s="5"/>
      <c r="L6" s="1"/>
      <c r="M6" s="5"/>
      <c r="N6" s="5">
        <f t="shared" ref="N6:N94" si="10">IF((J6-K6)&lt;0,0,(J6-K6))</f>
        <v>2120</v>
      </c>
      <c r="O6" s="5">
        <f t="shared" ref="O6:O94" si="11">IF((K6-J6)&lt;0,0,(K6-J6))</f>
        <v>0</v>
      </c>
      <c r="P6" s="5">
        <f>Table1[[#This Row],[Enrolment S.Y. 2025-2026 ]]*8</f>
        <v>2120</v>
      </c>
      <c r="Q6" s="5"/>
      <c r="R6" s="1"/>
      <c r="S6" s="5"/>
      <c r="T6" s="5">
        <f t="shared" ref="T6:T94" si="12">IF((P6-Q6)&lt;0,0,(P6-Q6))</f>
        <v>2120</v>
      </c>
      <c r="U6" s="5">
        <f t="shared" ref="U6:U94" si="13">IF((Q6-P6)&lt;0,0,(Q6-P6))</f>
        <v>0</v>
      </c>
      <c r="V6" s="5">
        <f>Table1[[#This Row],[Enrolment S.Y. 2025-2026 ]]*8</f>
        <v>2120</v>
      </c>
      <c r="W6" s="5"/>
      <c r="X6" s="1"/>
      <c r="Y6" s="5"/>
      <c r="Z6" s="5">
        <f t="shared" ref="Z6:Z94" si="14">IF((V6-W6)&lt;0,0,(V6-W6))</f>
        <v>2120</v>
      </c>
      <c r="AA6" s="5">
        <f t="shared" ref="AA6:AA94" si="15">IF((W6-V6)&lt;0,0,(W6-V6))</f>
        <v>0</v>
      </c>
    </row>
    <row r="7" spans="1:27" ht="19.5">
      <c r="A7" s="1">
        <v>1</v>
      </c>
      <c r="B7" s="2" t="s">
        <v>10</v>
      </c>
      <c r="C7" s="1">
        <v>265</v>
      </c>
      <c r="D7" s="5">
        <f>Table1[[#This Row],[Enrolment S.Y. 2025-2026 ]]*8</f>
        <v>2120</v>
      </c>
      <c r="E7" s="5"/>
      <c r="F7" s="1"/>
      <c r="G7" s="5"/>
      <c r="H7" s="5">
        <f t="shared" si="2"/>
        <v>2120</v>
      </c>
      <c r="I7" s="5">
        <f t="shared" si="3"/>
        <v>0</v>
      </c>
      <c r="J7" s="5">
        <f>Table1[[#This Row],[Enrolment S.Y. 2025-2026 ]]*8</f>
        <v>2120</v>
      </c>
      <c r="K7" s="5"/>
      <c r="L7" s="1"/>
      <c r="M7" s="5"/>
      <c r="N7" s="5">
        <f t="shared" si="10"/>
        <v>2120</v>
      </c>
      <c r="O7" s="5">
        <f t="shared" si="11"/>
        <v>0</v>
      </c>
      <c r="P7" s="5">
        <f>Table1[[#This Row],[Enrolment S.Y. 2025-2026 ]]*8</f>
        <v>2120</v>
      </c>
      <c r="Q7" s="5"/>
      <c r="R7" s="1"/>
      <c r="S7" s="5"/>
      <c r="T7" s="5">
        <f t="shared" si="12"/>
        <v>2120</v>
      </c>
      <c r="U7" s="5">
        <f t="shared" si="13"/>
        <v>0</v>
      </c>
      <c r="V7" s="5">
        <f>Table1[[#This Row],[Enrolment S.Y. 2025-2026 ]]*8</f>
        <v>2120</v>
      </c>
      <c r="W7" s="5"/>
      <c r="X7" s="1"/>
      <c r="Y7" s="5"/>
      <c r="Z7" s="5">
        <f t="shared" si="14"/>
        <v>2120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265</v>
      </c>
      <c r="D8" s="5">
        <f>Table1[[#This Row],[Enrolment S.Y. 2025-2026 ]]*8</f>
        <v>2120</v>
      </c>
      <c r="E8" s="5"/>
      <c r="F8" s="1"/>
      <c r="G8" s="5"/>
      <c r="H8" s="5">
        <f t="shared" si="2"/>
        <v>2120</v>
      </c>
      <c r="I8" s="5">
        <f t="shared" si="3"/>
        <v>0</v>
      </c>
      <c r="J8" s="5">
        <f>Table1[[#This Row],[Enrolment S.Y. 2025-2026 ]]*8</f>
        <v>2120</v>
      </c>
      <c r="K8" s="5"/>
      <c r="L8" s="1"/>
      <c r="M8" s="5"/>
      <c r="N8" s="5">
        <f t="shared" si="10"/>
        <v>2120</v>
      </c>
      <c r="O8" s="5">
        <f t="shared" si="11"/>
        <v>0</v>
      </c>
      <c r="P8" s="5">
        <f>Table1[[#This Row],[Enrolment S.Y. 2025-2026 ]]*8</f>
        <v>2120</v>
      </c>
      <c r="Q8" s="5"/>
      <c r="R8" s="1"/>
      <c r="S8" s="5"/>
      <c r="T8" s="5">
        <f t="shared" si="12"/>
        <v>2120</v>
      </c>
      <c r="U8" s="5">
        <f t="shared" si="13"/>
        <v>0</v>
      </c>
      <c r="V8" s="5">
        <f>Table1[[#This Row],[Enrolment S.Y. 2025-2026 ]]*8</f>
        <v>2120</v>
      </c>
      <c r="W8" s="5"/>
      <c r="X8" s="1"/>
      <c r="Y8" s="5"/>
      <c r="Z8" s="5">
        <f t="shared" si="14"/>
        <v>2120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265</v>
      </c>
      <c r="D9" s="5">
        <f>Table1[[#This Row],[Enrolment S.Y. 2025-2026 ]]*8</f>
        <v>2120</v>
      </c>
      <c r="E9" s="5"/>
      <c r="F9" s="1"/>
      <c r="G9" s="5"/>
      <c r="H9" s="5">
        <f t="shared" si="2"/>
        <v>2120</v>
      </c>
      <c r="I9" s="5">
        <f t="shared" si="3"/>
        <v>0</v>
      </c>
      <c r="J9" s="5">
        <f>Table1[[#This Row],[Enrolment S.Y. 2025-2026 ]]*8</f>
        <v>2120</v>
      </c>
      <c r="K9" s="5"/>
      <c r="L9" s="1"/>
      <c r="M9" s="5"/>
      <c r="N9" s="5">
        <f t="shared" si="10"/>
        <v>2120</v>
      </c>
      <c r="O9" s="5">
        <f t="shared" si="11"/>
        <v>0</v>
      </c>
      <c r="P9" s="5">
        <f>Table1[[#This Row],[Enrolment S.Y. 2025-2026 ]]*8</f>
        <v>2120</v>
      </c>
      <c r="Q9" s="5"/>
      <c r="R9" s="1"/>
      <c r="S9" s="5"/>
      <c r="T9" s="5">
        <f t="shared" si="12"/>
        <v>2120</v>
      </c>
      <c r="U9" s="5">
        <f t="shared" si="13"/>
        <v>0</v>
      </c>
      <c r="V9" s="5">
        <f>Table1[[#This Row],[Enrolment S.Y. 2025-2026 ]]*8</f>
        <v>2120</v>
      </c>
      <c r="W9" s="5"/>
      <c r="X9" s="1"/>
      <c r="Y9" s="5"/>
      <c r="Z9" s="5">
        <f t="shared" si="14"/>
        <v>2120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265</v>
      </c>
      <c r="D10" s="5">
        <f>Table1[[#This Row],[Enrolment S.Y. 2025-2026 ]]*8</f>
        <v>2120</v>
      </c>
      <c r="E10" s="5"/>
      <c r="F10" s="1"/>
      <c r="G10" s="5"/>
      <c r="H10" s="5">
        <f>IF((D10-E10)&lt;0,0,(D10-E10))</f>
        <v>2120</v>
      </c>
      <c r="I10" s="5">
        <f>IF((E10-D10)&lt;0,0,(E10-D10))</f>
        <v>0</v>
      </c>
      <c r="J10" s="5">
        <f>Table1[[#This Row],[Enrolment S.Y. 2025-2026 ]]*8</f>
        <v>2120</v>
      </c>
      <c r="K10" s="5"/>
      <c r="L10" s="1"/>
      <c r="M10" s="5"/>
      <c r="N10" s="5">
        <f t="shared" si="10"/>
        <v>2120</v>
      </c>
      <c r="O10" s="5">
        <f t="shared" si="11"/>
        <v>0</v>
      </c>
      <c r="P10" s="5">
        <f>Table1[[#This Row],[Enrolment S.Y. 2025-2026 ]]*8</f>
        <v>2120</v>
      </c>
      <c r="Q10" s="5"/>
      <c r="R10" s="1"/>
      <c r="S10" s="5"/>
      <c r="T10" s="5">
        <f t="shared" si="12"/>
        <v>2120</v>
      </c>
      <c r="U10" s="5">
        <f t="shared" si="13"/>
        <v>0</v>
      </c>
      <c r="V10" s="5">
        <f>Table1[[#This Row],[Enrolment S.Y. 2025-2026 ]]*8</f>
        <v>2120</v>
      </c>
      <c r="W10" s="5"/>
      <c r="X10" s="1"/>
      <c r="Y10" s="5"/>
      <c r="Z10" s="5">
        <f t="shared" si="14"/>
        <v>2120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265</v>
      </c>
      <c r="D11" s="5">
        <f>Table1[[#This Row],[Enrolment S.Y. 2025-2026 ]]*8</f>
        <v>2120</v>
      </c>
      <c r="E11" s="5"/>
      <c r="F11" s="1"/>
      <c r="G11" s="5"/>
      <c r="H11" s="5">
        <f>IF((D11-E11)&lt;0,0,(D11-E11))</f>
        <v>2120</v>
      </c>
      <c r="I11" s="5">
        <f>IF((E11-D11)&lt;0,0,(E11-D11))</f>
        <v>0</v>
      </c>
      <c r="J11" s="5">
        <f>Table1[[#This Row],[Enrolment S.Y. 2025-2026 ]]*8</f>
        <v>2120</v>
      </c>
      <c r="K11" s="5"/>
      <c r="L11" s="1"/>
      <c r="M11" s="5"/>
      <c r="N11" s="5">
        <f t="shared" si="10"/>
        <v>2120</v>
      </c>
      <c r="O11" s="5">
        <f t="shared" si="11"/>
        <v>0</v>
      </c>
      <c r="P11" s="5">
        <f>Table1[[#This Row],[Enrolment S.Y. 2025-2026 ]]*8</f>
        <v>2120</v>
      </c>
      <c r="Q11" s="5"/>
      <c r="R11" s="1"/>
      <c r="S11" s="5"/>
      <c r="T11" s="5">
        <f t="shared" si="12"/>
        <v>2120</v>
      </c>
      <c r="U11" s="5">
        <f t="shared" si="13"/>
        <v>0</v>
      </c>
      <c r="V11" s="5">
        <f>Table1[[#This Row],[Enrolment S.Y. 2025-2026 ]]*8</f>
        <v>2120</v>
      </c>
      <c r="W11" s="5"/>
      <c r="X11" s="1"/>
      <c r="Y11" s="5"/>
      <c r="Z11" s="5">
        <f t="shared" si="14"/>
        <v>2120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265</v>
      </c>
      <c r="D12" s="5">
        <f>Table1[[#This Row],[Enrolment S.Y. 2025-2026 ]]*8</f>
        <v>2120</v>
      </c>
      <c r="E12" s="5"/>
      <c r="F12" s="1"/>
      <c r="G12" s="5"/>
      <c r="H12" s="5">
        <f>IF((D12-E12)&lt;0,0,(D12-E12))</f>
        <v>2120</v>
      </c>
      <c r="I12" s="5">
        <f>IF((E12-D12)&lt;0,0,(E12-D12))</f>
        <v>0</v>
      </c>
      <c r="J12" s="5">
        <f>Table1[[#This Row],[Enrolment S.Y. 2025-2026 ]]*8</f>
        <v>2120</v>
      </c>
      <c r="K12" s="5"/>
      <c r="L12" s="1"/>
      <c r="M12" s="5"/>
      <c r="N12" s="5">
        <f t="shared" si="10"/>
        <v>2120</v>
      </c>
      <c r="O12" s="5">
        <f t="shared" si="11"/>
        <v>0</v>
      </c>
      <c r="P12" s="5">
        <f>Table1[[#This Row],[Enrolment S.Y. 2025-2026 ]]*8</f>
        <v>2120</v>
      </c>
      <c r="Q12" s="5"/>
      <c r="R12" s="1"/>
      <c r="S12" s="5"/>
      <c r="T12" s="5">
        <f t="shared" si="12"/>
        <v>2120</v>
      </c>
      <c r="U12" s="5">
        <f t="shared" si="13"/>
        <v>0</v>
      </c>
      <c r="V12" s="5">
        <f>Table1[[#This Row],[Enrolment S.Y. 2025-2026 ]]*8</f>
        <v>2120</v>
      </c>
      <c r="W12" s="5"/>
      <c r="X12" s="1"/>
      <c r="Y12" s="5"/>
      <c r="Z12" s="5">
        <f t="shared" si="14"/>
        <v>2120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254</v>
      </c>
      <c r="D14" s="5">
        <f>Table1[[#This Row],[Enrolment S.Y. 2025-2026 ]]*8</f>
        <v>2032</v>
      </c>
      <c r="E14" s="5"/>
      <c r="F14" s="1"/>
      <c r="G14" s="5"/>
      <c r="H14" s="5">
        <f t="shared" si="2"/>
        <v>2032</v>
      </c>
      <c r="I14" s="5">
        <f t="shared" si="3"/>
        <v>0</v>
      </c>
      <c r="J14" s="5">
        <f>Table1[[#This Row],[Enrolment S.Y. 2025-2026 ]]*8</f>
        <v>2032</v>
      </c>
      <c r="K14" s="5"/>
      <c r="L14" s="1"/>
      <c r="M14" s="5"/>
      <c r="N14" s="5">
        <f t="shared" si="10"/>
        <v>2032</v>
      </c>
      <c r="O14" s="5">
        <f t="shared" si="11"/>
        <v>0</v>
      </c>
      <c r="P14" s="5">
        <f>Table1[[#This Row],[Enrolment S.Y. 2025-2026 ]]*8</f>
        <v>2032</v>
      </c>
      <c r="Q14" s="5"/>
      <c r="R14" s="1"/>
      <c r="S14" s="5"/>
      <c r="T14" s="5">
        <f t="shared" si="12"/>
        <v>2032</v>
      </c>
      <c r="U14" s="5">
        <f t="shared" si="13"/>
        <v>0</v>
      </c>
      <c r="V14" s="5">
        <f>Table1[[#This Row],[Enrolment S.Y. 2025-2026 ]]*8</f>
        <v>2032</v>
      </c>
      <c r="W14" s="5"/>
      <c r="X14" s="1"/>
      <c r="Y14" s="5"/>
      <c r="Z14" s="5">
        <f t="shared" si="14"/>
        <v>2032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254</v>
      </c>
      <c r="D15" s="5">
        <f>Table1[[#This Row],[Enrolment S.Y. 2025-2026 ]]*8</f>
        <v>2032</v>
      </c>
      <c r="E15" s="5"/>
      <c r="F15" s="1"/>
      <c r="G15" s="5"/>
      <c r="H15" s="5">
        <f t="shared" si="2"/>
        <v>2032</v>
      </c>
      <c r="I15" s="5">
        <f t="shared" si="3"/>
        <v>0</v>
      </c>
      <c r="J15" s="5">
        <f>Table1[[#This Row],[Enrolment S.Y. 2025-2026 ]]*8</f>
        <v>2032</v>
      </c>
      <c r="K15" s="5"/>
      <c r="L15" s="1"/>
      <c r="M15" s="5"/>
      <c r="N15" s="5">
        <f t="shared" si="10"/>
        <v>2032</v>
      </c>
      <c r="O15" s="5">
        <f t="shared" si="11"/>
        <v>0</v>
      </c>
      <c r="P15" s="5">
        <f>Table1[[#This Row],[Enrolment S.Y. 2025-2026 ]]*8</f>
        <v>2032</v>
      </c>
      <c r="Q15" s="5"/>
      <c r="R15" s="1"/>
      <c r="S15" s="5"/>
      <c r="T15" s="5">
        <f t="shared" si="12"/>
        <v>2032</v>
      </c>
      <c r="U15" s="5">
        <f t="shared" si="13"/>
        <v>0</v>
      </c>
      <c r="V15" s="5">
        <f>Table1[[#This Row],[Enrolment S.Y. 2025-2026 ]]*8</f>
        <v>2032</v>
      </c>
      <c r="W15" s="5"/>
      <c r="X15" s="1"/>
      <c r="Y15" s="5"/>
      <c r="Z15" s="5">
        <f t="shared" si="14"/>
        <v>2032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254</v>
      </c>
      <c r="D16" s="5">
        <f>Table1[[#This Row],[Enrolment S.Y. 2025-2026 ]]*8</f>
        <v>2032</v>
      </c>
      <c r="E16" s="5">
        <v>291</v>
      </c>
      <c r="F16" s="1">
        <v>2025</v>
      </c>
      <c r="G16" s="5" t="s">
        <v>62</v>
      </c>
      <c r="H16" s="5">
        <f t="shared" si="2"/>
        <v>1741</v>
      </c>
      <c r="I16" s="5">
        <f t="shared" si="3"/>
        <v>0</v>
      </c>
      <c r="J16" s="5">
        <f>Table1[[#This Row],[Enrolment S.Y. 2025-2026 ]]*8</f>
        <v>2032</v>
      </c>
      <c r="K16" s="5"/>
      <c r="L16" s="1"/>
      <c r="M16" s="5"/>
      <c r="N16" s="5">
        <f t="shared" si="10"/>
        <v>2032</v>
      </c>
      <c r="O16" s="5">
        <f t="shared" si="11"/>
        <v>0</v>
      </c>
      <c r="P16" s="5">
        <f>Table1[[#This Row],[Enrolment S.Y. 2025-2026 ]]*8</f>
        <v>2032</v>
      </c>
      <c r="Q16" s="5"/>
      <c r="R16" s="1"/>
      <c r="S16" s="5"/>
      <c r="T16" s="5">
        <f t="shared" si="12"/>
        <v>2032</v>
      </c>
      <c r="U16" s="5">
        <f t="shared" si="13"/>
        <v>0</v>
      </c>
      <c r="V16" s="5">
        <f>Table1[[#This Row],[Enrolment S.Y. 2025-2026 ]]*8</f>
        <v>2032</v>
      </c>
      <c r="W16" s="5"/>
      <c r="X16" s="1"/>
      <c r="Y16" s="5"/>
      <c r="Z16" s="5">
        <f t="shared" si="14"/>
        <v>2032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254</v>
      </c>
      <c r="D17" s="5">
        <f>Table1[[#This Row],[Enrolment S.Y. 2025-2026 ]]*8</f>
        <v>2032</v>
      </c>
      <c r="E17" s="5">
        <v>291</v>
      </c>
      <c r="F17" s="1">
        <v>2025</v>
      </c>
      <c r="G17" s="5" t="s">
        <v>62</v>
      </c>
      <c r="H17" s="5">
        <f t="shared" si="2"/>
        <v>1741</v>
      </c>
      <c r="I17" s="5">
        <f t="shared" si="3"/>
        <v>0</v>
      </c>
      <c r="J17" s="5">
        <f>Table1[[#This Row],[Enrolment S.Y. 2025-2026 ]]*8</f>
        <v>2032</v>
      </c>
      <c r="K17" s="5">
        <v>259</v>
      </c>
      <c r="L17" s="1">
        <v>2025</v>
      </c>
      <c r="M17" s="5" t="s">
        <v>62</v>
      </c>
      <c r="N17" s="5">
        <f t="shared" si="10"/>
        <v>1773</v>
      </c>
      <c r="O17" s="5">
        <f t="shared" si="11"/>
        <v>0</v>
      </c>
      <c r="P17" s="5">
        <f>Table1[[#This Row],[Enrolment S.Y. 2025-2026 ]]*8</f>
        <v>2032</v>
      </c>
      <c r="Q17" s="5"/>
      <c r="R17" s="1"/>
      <c r="S17" s="5"/>
      <c r="T17" s="5">
        <f t="shared" si="12"/>
        <v>2032</v>
      </c>
      <c r="U17" s="5">
        <f t="shared" si="13"/>
        <v>0</v>
      </c>
      <c r="V17" s="5">
        <f>Table1[[#This Row],[Enrolment S.Y. 2025-2026 ]]*8</f>
        <v>2032</v>
      </c>
      <c r="W17" s="5"/>
      <c r="X17" s="1"/>
      <c r="Y17" s="5"/>
      <c r="Z17" s="5">
        <f t="shared" si="14"/>
        <v>2032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254</v>
      </c>
      <c r="D18" s="5">
        <f>Table1[[#This Row],[Enrolment S.Y. 2025-2026 ]]*8</f>
        <v>2032</v>
      </c>
      <c r="E18" s="5">
        <v>291</v>
      </c>
      <c r="F18" s="1">
        <v>2025</v>
      </c>
      <c r="G18" s="5" t="s">
        <v>62</v>
      </c>
      <c r="H18" s="5">
        <f t="shared" si="2"/>
        <v>1741</v>
      </c>
      <c r="I18" s="5">
        <f t="shared" si="3"/>
        <v>0</v>
      </c>
      <c r="J18" s="5">
        <f>Table1[[#This Row],[Enrolment S.Y. 2025-2026 ]]*8</f>
        <v>2032</v>
      </c>
      <c r="K18" s="5">
        <v>298</v>
      </c>
      <c r="L18" s="1">
        <v>2025</v>
      </c>
      <c r="M18" s="5" t="s">
        <v>62</v>
      </c>
      <c r="N18" s="5">
        <f t="shared" si="10"/>
        <v>1734</v>
      </c>
      <c r="O18" s="5">
        <f t="shared" si="11"/>
        <v>0</v>
      </c>
      <c r="P18" s="5">
        <f>Table1[[#This Row],[Enrolment S.Y. 2025-2026 ]]*8</f>
        <v>2032</v>
      </c>
      <c r="Q18" s="5"/>
      <c r="R18" s="1"/>
      <c r="S18" s="5"/>
      <c r="T18" s="5">
        <f t="shared" si="12"/>
        <v>2032</v>
      </c>
      <c r="U18" s="5">
        <f t="shared" si="13"/>
        <v>0</v>
      </c>
      <c r="V18" s="5">
        <f>Table1[[#This Row],[Enrolment S.Y. 2025-2026 ]]*8</f>
        <v>2032</v>
      </c>
      <c r="W18" s="5"/>
      <c r="X18" s="1"/>
      <c r="Y18" s="5"/>
      <c r="Z18" s="5">
        <f t="shared" si="14"/>
        <v>2032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254</v>
      </c>
      <c r="D19" s="5">
        <f>Table1[[#This Row],[Enrolment S.Y. 2025-2026 ]]*8</f>
        <v>2032</v>
      </c>
      <c r="E19" s="5">
        <v>291</v>
      </c>
      <c r="F19" s="1">
        <v>2025</v>
      </c>
      <c r="G19" s="5" t="s">
        <v>62</v>
      </c>
      <c r="H19" s="5">
        <f>IF((D19-E19)&lt;0,0,(D19-E19))</f>
        <v>1741</v>
      </c>
      <c r="I19" s="5">
        <f>IF((E19-D19)&lt;0,0,(E19-D19))</f>
        <v>0</v>
      </c>
      <c r="J19" s="5">
        <f>Table1[[#This Row],[Enrolment S.Y. 2025-2026 ]]*8</f>
        <v>2032</v>
      </c>
      <c r="K19" s="5">
        <v>259</v>
      </c>
      <c r="L19" s="1">
        <v>2025</v>
      </c>
      <c r="M19" s="5" t="s">
        <v>62</v>
      </c>
      <c r="N19" s="5">
        <f t="shared" si="10"/>
        <v>1773</v>
      </c>
      <c r="O19" s="5">
        <f t="shared" si="11"/>
        <v>0</v>
      </c>
      <c r="P19" s="5">
        <f>Table1[[#This Row],[Enrolment S.Y. 2025-2026 ]]*8</f>
        <v>2032</v>
      </c>
      <c r="Q19" s="5"/>
      <c r="R19" s="1"/>
      <c r="S19" s="5"/>
      <c r="T19" s="5">
        <f t="shared" si="12"/>
        <v>2032</v>
      </c>
      <c r="U19" s="5">
        <f t="shared" si="13"/>
        <v>0</v>
      </c>
      <c r="V19" s="5">
        <f>Table1[[#This Row],[Enrolment S.Y. 2025-2026 ]]*8</f>
        <v>2032</v>
      </c>
      <c r="W19" s="5"/>
      <c r="X19" s="1"/>
      <c r="Y19" s="5"/>
      <c r="Z19" s="5">
        <f t="shared" si="14"/>
        <v>2032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254</v>
      </c>
      <c r="D20" s="5">
        <f>Table1[[#This Row],[Enrolment S.Y. 2025-2026 ]]*8</f>
        <v>2032</v>
      </c>
      <c r="E20" s="5">
        <v>291</v>
      </c>
      <c r="F20" s="1">
        <v>2025</v>
      </c>
      <c r="G20" s="5" t="s">
        <v>62</v>
      </c>
      <c r="H20" s="5">
        <f>IF((D20-E20)&lt;0,0,(D20-E20))</f>
        <v>1741</v>
      </c>
      <c r="I20" s="5">
        <f>IF((E20-D20)&lt;0,0,(E20-D20))</f>
        <v>0</v>
      </c>
      <c r="J20" s="5">
        <f>Table1[[#This Row],[Enrolment S.Y. 2025-2026 ]]*8</f>
        <v>2032</v>
      </c>
      <c r="K20" s="5">
        <v>298</v>
      </c>
      <c r="L20" s="1">
        <v>2025</v>
      </c>
      <c r="M20" s="5" t="s">
        <v>62</v>
      </c>
      <c r="N20" s="5">
        <f t="shared" si="10"/>
        <v>1734</v>
      </c>
      <c r="O20" s="5">
        <f t="shared" si="11"/>
        <v>0</v>
      </c>
      <c r="P20" s="5">
        <f>Table1[[#This Row],[Enrolment S.Y. 2025-2026 ]]*8</f>
        <v>2032</v>
      </c>
      <c r="Q20" s="5"/>
      <c r="R20" s="1"/>
      <c r="S20" s="5"/>
      <c r="T20" s="5">
        <f t="shared" si="12"/>
        <v>2032</v>
      </c>
      <c r="U20" s="5">
        <f t="shared" si="13"/>
        <v>0</v>
      </c>
      <c r="V20" s="5">
        <f>Table1[[#This Row],[Enrolment S.Y. 2025-2026 ]]*8</f>
        <v>2032</v>
      </c>
      <c r="W20" s="5"/>
      <c r="X20" s="1"/>
      <c r="Y20" s="5"/>
      <c r="Z20" s="5">
        <f t="shared" si="14"/>
        <v>2032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254</v>
      </c>
      <c r="D21" s="5">
        <f>Table1[[#This Row],[Enrolment S.Y. 2025-2026 ]]*8</f>
        <v>2032</v>
      </c>
      <c r="E21" s="5"/>
      <c r="F21" s="1"/>
      <c r="G21" s="5"/>
      <c r="H21" s="5">
        <f>IF((D21-E21)&lt;0,0,(D21-E21))</f>
        <v>2032</v>
      </c>
      <c r="I21" s="5">
        <f>IF((E21-D21)&lt;0,0,(E21-D21))</f>
        <v>0</v>
      </c>
      <c r="J21" s="5">
        <f>Table1[[#This Row],[Enrolment S.Y. 2025-2026 ]]*8</f>
        <v>2032</v>
      </c>
      <c r="K21" s="5"/>
      <c r="L21" s="1"/>
      <c r="M21" s="5"/>
      <c r="N21" s="5">
        <f t="shared" si="10"/>
        <v>2032</v>
      </c>
      <c r="O21" s="5">
        <f t="shared" si="11"/>
        <v>0</v>
      </c>
      <c r="P21" s="5">
        <f>Table1[[#This Row],[Enrolment S.Y. 2025-2026 ]]*8</f>
        <v>2032</v>
      </c>
      <c r="Q21" s="5"/>
      <c r="R21" s="1"/>
      <c r="S21" s="5"/>
      <c r="T21" s="5">
        <f t="shared" si="12"/>
        <v>2032</v>
      </c>
      <c r="U21" s="5">
        <f t="shared" si="13"/>
        <v>0</v>
      </c>
      <c r="V21" s="5">
        <f>Table1[[#This Row],[Enrolment S.Y. 2025-2026 ]]*8</f>
        <v>2032</v>
      </c>
      <c r="W21" s="5"/>
      <c r="X21" s="1"/>
      <c r="Y21" s="5"/>
      <c r="Z21" s="5">
        <f t="shared" si="14"/>
        <v>2032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287</v>
      </c>
      <c r="D23" s="5">
        <f>Table1[[#This Row],[Enrolment S.Y. 2025-2026 ]]*8</f>
        <v>2296</v>
      </c>
      <c r="E23" s="5"/>
      <c r="F23" s="1"/>
      <c r="G23" s="5"/>
      <c r="H23" s="5">
        <f t="shared" si="2"/>
        <v>2296</v>
      </c>
      <c r="I23" s="5">
        <f t="shared" si="3"/>
        <v>0</v>
      </c>
      <c r="J23" s="5">
        <f>Table1[[#This Row],[Enrolment S.Y. 2025-2026 ]]*8</f>
        <v>2296</v>
      </c>
      <c r="K23" s="5"/>
      <c r="L23" s="1"/>
      <c r="M23" s="5"/>
      <c r="N23" s="5">
        <f t="shared" si="10"/>
        <v>2296</v>
      </c>
      <c r="O23" s="5">
        <f t="shared" si="11"/>
        <v>0</v>
      </c>
      <c r="P23" s="5">
        <f>Table1[[#This Row],[Enrolment S.Y. 2025-2026 ]]*8</f>
        <v>2296</v>
      </c>
      <c r="Q23" s="5"/>
      <c r="R23" s="1"/>
      <c r="S23" s="5"/>
      <c r="T23" s="5">
        <f t="shared" si="12"/>
        <v>2296</v>
      </c>
      <c r="U23" s="5">
        <f t="shared" si="13"/>
        <v>0</v>
      </c>
      <c r="V23" s="5">
        <f>Table1[[#This Row],[Enrolment S.Y. 2025-2026 ]]*8</f>
        <v>2296</v>
      </c>
      <c r="W23" s="5"/>
      <c r="X23" s="1"/>
      <c r="Y23" s="5"/>
      <c r="Z23" s="5">
        <f t="shared" si="14"/>
        <v>2296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287</v>
      </c>
      <c r="D24" s="5">
        <f>Table1[[#This Row],[Enrolment S.Y. 2025-2026 ]]*8</f>
        <v>2296</v>
      </c>
      <c r="E24" s="5"/>
      <c r="F24" s="1"/>
      <c r="G24" s="5"/>
      <c r="H24" s="5">
        <f t="shared" si="2"/>
        <v>2296</v>
      </c>
      <c r="I24" s="5">
        <f t="shared" si="3"/>
        <v>0</v>
      </c>
      <c r="J24" s="5">
        <f>Table1[[#This Row],[Enrolment S.Y. 2025-2026 ]]*8</f>
        <v>2296</v>
      </c>
      <c r="K24" s="5"/>
      <c r="L24" s="1"/>
      <c r="M24" s="5"/>
      <c r="N24" s="5">
        <f t="shared" si="10"/>
        <v>2296</v>
      </c>
      <c r="O24" s="5">
        <f t="shared" si="11"/>
        <v>0</v>
      </c>
      <c r="P24" s="5">
        <f>Table1[[#This Row],[Enrolment S.Y. 2025-2026 ]]*8</f>
        <v>2296</v>
      </c>
      <c r="Q24" s="5"/>
      <c r="R24" s="1"/>
      <c r="S24" s="5"/>
      <c r="T24" s="5">
        <f t="shared" si="12"/>
        <v>2296</v>
      </c>
      <c r="U24" s="5">
        <f t="shared" si="13"/>
        <v>0</v>
      </c>
      <c r="V24" s="5">
        <f>Table1[[#This Row],[Enrolment S.Y. 2025-2026 ]]*8</f>
        <v>2296</v>
      </c>
      <c r="W24" s="5"/>
      <c r="X24" s="1"/>
      <c r="Y24" s="5"/>
      <c r="Z24" s="5">
        <f t="shared" si="14"/>
        <v>2296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287</v>
      </c>
      <c r="D25" s="5">
        <f>Table1[[#This Row],[Enrolment S.Y. 2025-2026 ]]*8</f>
        <v>2296</v>
      </c>
      <c r="E25" s="5">
        <v>215</v>
      </c>
      <c r="F25" s="1">
        <v>2025</v>
      </c>
      <c r="G25" s="5" t="s">
        <v>62</v>
      </c>
      <c r="H25" s="5">
        <f t="shared" si="2"/>
        <v>2081</v>
      </c>
      <c r="I25" s="5">
        <f t="shared" si="3"/>
        <v>0</v>
      </c>
      <c r="J25" s="5">
        <f>Table1[[#This Row],[Enrolment S.Y. 2025-2026 ]]*8</f>
        <v>2296</v>
      </c>
      <c r="K25" s="5"/>
      <c r="L25" s="1"/>
      <c r="M25" s="5"/>
      <c r="N25" s="5">
        <f t="shared" si="10"/>
        <v>2296</v>
      </c>
      <c r="O25" s="5">
        <f t="shared" si="11"/>
        <v>0</v>
      </c>
      <c r="P25" s="5">
        <f>Table1[[#This Row],[Enrolment S.Y. 2025-2026 ]]*8</f>
        <v>2296</v>
      </c>
      <c r="Q25" s="5"/>
      <c r="R25" s="1"/>
      <c r="S25" s="5"/>
      <c r="T25" s="5">
        <f t="shared" si="12"/>
        <v>2296</v>
      </c>
      <c r="U25" s="5">
        <f t="shared" si="13"/>
        <v>0</v>
      </c>
      <c r="V25" s="5">
        <f>Table1[[#This Row],[Enrolment S.Y. 2025-2026 ]]*8</f>
        <v>2296</v>
      </c>
      <c r="W25" s="5"/>
      <c r="X25" s="1"/>
      <c r="Y25" s="5"/>
      <c r="Z25" s="5">
        <f t="shared" si="14"/>
        <v>2296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287</v>
      </c>
      <c r="D26" s="5">
        <f>Table1[[#This Row],[Enrolment S.Y. 2025-2026 ]]*8</f>
        <v>2296</v>
      </c>
      <c r="E26" s="5">
        <v>215</v>
      </c>
      <c r="F26" s="1">
        <v>2025</v>
      </c>
      <c r="G26" s="5" t="s">
        <v>62</v>
      </c>
      <c r="H26" s="5">
        <f t="shared" si="2"/>
        <v>2081</v>
      </c>
      <c r="I26" s="5">
        <f t="shared" si="3"/>
        <v>0</v>
      </c>
      <c r="J26" s="5">
        <f>Table1[[#This Row],[Enrolment S.Y. 2025-2026 ]]*8</f>
        <v>2296</v>
      </c>
      <c r="K26" s="5"/>
      <c r="L26" s="1"/>
      <c r="M26" s="5"/>
      <c r="N26" s="5">
        <f t="shared" si="10"/>
        <v>2296</v>
      </c>
      <c r="O26" s="5">
        <f t="shared" si="11"/>
        <v>0</v>
      </c>
      <c r="P26" s="5">
        <f>Table1[[#This Row],[Enrolment S.Y. 2025-2026 ]]*8</f>
        <v>2296</v>
      </c>
      <c r="Q26" s="5"/>
      <c r="R26" s="1"/>
      <c r="S26" s="5"/>
      <c r="T26" s="5">
        <f t="shared" si="12"/>
        <v>2296</v>
      </c>
      <c r="U26" s="5">
        <f t="shared" si="13"/>
        <v>0</v>
      </c>
      <c r="V26" s="5">
        <f>Table1[[#This Row],[Enrolment S.Y. 2025-2026 ]]*8</f>
        <v>2296</v>
      </c>
      <c r="W26" s="5"/>
      <c r="X26" s="1"/>
      <c r="Y26" s="5"/>
      <c r="Z26" s="5">
        <f t="shared" si="14"/>
        <v>2296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287</v>
      </c>
      <c r="D27" s="5">
        <f>Table1[[#This Row],[Enrolment S.Y. 2025-2026 ]]*8</f>
        <v>2296</v>
      </c>
      <c r="E27" s="5">
        <v>215</v>
      </c>
      <c r="F27" s="1">
        <v>2025</v>
      </c>
      <c r="G27" s="5" t="s">
        <v>62</v>
      </c>
      <c r="H27" s="5">
        <f t="shared" si="2"/>
        <v>2081</v>
      </c>
      <c r="I27" s="5">
        <f t="shared" si="3"/>
        <v>0</v>
      </c>
      <c r="J27" s="5">
        <f>Table1[[#This Row],[Enrolment S.Y. 2025-2026 ]]*8</f>
        <v>2296</v>
      </c>
      <c r="K27" s="5"/>
      <c r="L27" s="1"/>
      <c r="M27" s="5"/>
      <c r="N27" s="5">
        <f t="shared" si="10"/>
        <v>2296</v>
      </c>
      <c r="O27" s="5">
        <f t="shared" si="11"/>
        <v>0</v>
      </c>
      <c r="P27" s="5">
        <f>Table1[[#This Row],[Enrolment S.Y. 2025-2026 ]]*8</f>
        <v>2296</v>
      </c>
      <c r="Q27" s="5"/>
      <c r="R27" s="1"/>
      <c r="S27" s="5"/>
      <c r="T27" s="5">
        <f t="shared" si="12"/>
        <v>2296</v>
      </c>
      <c r="U27" s="5">
        <f t="shared" si="13"/>
        <v>0</v>
      </c>
      <c r="V27" s="5">
        <f>Table1[[#This Row],[Enrolment S.Y. 2025-2026 ]]*8</f>
        <v>2296</v>
      </c>
      <c r="W27" s="5"/>
      <c r="X27" s="1"/>
      <c r="Y27" s="5"/>
      <c r="Z27" s="5">
        <f t="shared" si="14"/>
        <v>2296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287</v>
      </c>
      <c r="D28" s="5">
        <f>Table1[[#This Row],[Enrolment S.Y. 2025-2026 ]]*8</f>
        <v>2296</v>
      </c>
      <c r="E28" s="5">
        <v>215</v>
      </c>
      <c r="F28" s="1">
        <v>2025</v>
      </c>
      <c r="G28" s="5" t="s">
        <v>62</v>
      </c>
      <c r="H28" s="5">
        <f t="shared" si="2"/>
        <v>2081</v>
      </c>
      <c r="I28" s="5">
        <f t="shared" si="3"/>
        <v>0</v>
      </c>
      <c r="J28" s="5">
        <f>Table1[[#This Row],[Enrolment S.Y. 2025-2026 ]]*8</f>
        <v>2296</v>
      </c>
      <c r="K28" s="5"/>
      <c r="L28" s="1"/>
      <c r="M28" s="5"/>
      <c r="N28" s="5">
        <f t="shared" si="10"/>
        <v>2296</v>
      </c>
      <c r="O28" s="5">
        <f t="shared" si="11"/>
        <v>0</v>
      </c>
      <c r="P28" s="5">
        <f>Table1[[#This Row],[Enrolment S.Y. 2025-2026 ]]*8</f>
        <v>2296</v>
      </c>
      <c r="Q28" s="5"/>
      <c r="R28" s="1"/>
      <c r="S28" s="5"/>
      <c r="T28" s="5">
        <f t="shared" si="12"/>
        <v>2296</v>
      </c>
      <c r="U28" s="5">
        <f t="shared" si="13"/>
        <v>0</v>
      </c>
      <c r="V28" s="5">
        <f>Table1[[#This Row],[Enrolment S.Y. 2025-2026 ]]*8</f>
        <v>2296</v>
      </c>
      <c r="W28" s="5"/>
      <c r="X28" s="1"/>
      <c r="Y28" s="5"/>
      <c r="Z28" s="5">
        <f t="shared" si="14"/>
        <v>2296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287</v>
      </c>
      <c r="D29" s="5">
        <f>Table1[[#This Row],[Enrolment S.Y. 2025-2026 ]]*8</f>
        <v>2296</v>
      </c>
      <c r="E29" s="5">
        <v>215</v>
      </c>
      <c r="F29" s="1">
        <v>2025</v>
      </c>
      <c r="G29" s="5" t="s">
        <v>62</v>
      </c>
      <c r="H29" s="5">
        <f>IF((D29-E29)&lt;0,0,(D29-E29))</f>
        <v>2081</v>
      </c>
      <c r="I29" s="5">
        <f>IF((E29-D29)&lt;0,0,(E29-D29))</f>
        <v>0</v>
      </c>
      <c r="J29" s="5">
        <f>Table1[[#This Row],[Enrolment S.Y. 2025-2026 ]]*8</f>
        <v>2296</v>
      </c>
      <c r="K29" s="5"/>
      <c r="L29" s="1"/>
      <c r="M29" s="5"/>
      <c r="N29" s="5">
        <f t="shared" si="10"/>
        <v>2296</v>
      </c>
      <c r="O29" s="5">
        <f t="shared" si="11"/>
        <v>0</v>
      </c>
      <c r="P29" s="5">
        <f>Table1[[#This Row],[Enrolment S.Y. 2025-2026 ]]*8</f>
        <v>2296</v>
      </c>
      <c r="Q29" s="5"/>
      <c r="R29" s="1"/>
      <c r="S29" s="5"/>
      <c r="T29" s="5">
        <f t="shared" si="12"/>
        <v>2296</v>
      </c>
      <c r="U29" s="5">
        <f t="shared" si="13"/>
        <v>0</v>
      </c>
      <c r="V29" s="5">
        <f>Table1[[#This Row],[Enrolment S.Y. 2025-2026 ]]*8</f>
        <v>2296</v>
      </c>
      <c r="W29" s="5"/>
      <c r="X29" s="1"/>
      <c r="Y29" s="5"/>
      <c r="Z29" s="5">
        <f t="shared" si="14"/>
        <v>2296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287</v>
      </c>
      <c r="D30" s="5">
        <f>Table1[[#This Row],[Enrolment S.Y. 2025-2026 ]]*8</f>
        <v>2296</v>
      </c>
      <c r="E30" s="5">
        <v>215</v>
      </c>
      <c r="F30" s="1">
        <v>2025</v>
      </c>
      <c r="G30" s="5" t="s">
        <v>62</v>
      </c>
      <c r="H30" s="5">
        <f>IF((D30-E30)&lt;0,0,(D30-E30))</f>
        <v>2081</v>
      </c>
      <c r="I30" s="5">
        <f>IF((E30-D30)&lt;0,0,(E30-D30))</f>
        <v>0</v>
      </c>
      <c r="J30" s="5">
        <f>Table1[[#This Row],[Enrolment S.Y. 2025-2026 ]]*8</f>
        <v>2296</v>
      </c>
      <c r="K30" s="5"/>
      <c r="L30" s="1"/>
      <c r="M30" s="5"/>
      <c r="N30" s="5">
        <f t="shared" si="10"/>
        <v>2296</v>
      </c>
      <c r="O30" s="5">
        <f t="shared" si="11"/>
        <v>0</v>
      </c>
      <c r="P30" s="5">
        <f>Table1[[#This Row],[Enrolment S.Y. 2025-2026 ]]*8</f>
        <v>2296</v>
      </c>
      <c r="Q30" s="5"/>
      <c r="R30" s="1"/>
      <c r="S30" s="5"/>
      <c r="T30" s="5">
        <f t="shared" si="12"/>
        <v>2296</v>
      </c>
      <c r="U30" s="5">
        <f t="shared" si="13"/>
        <v>0</v>
      </c>
      <c r="V30" s="5">
        <f>Table1[[#This Row],[Enrolment S.Y. 2025-2026 ]]*8</f>
        <v>2296</v>
      </c>
      <c r="W30" s="5"/>
      <c r="X30" s="1"/>
      <c r="Y30" s="5"/>
      <c r="Z30" s="5">
        <f t="shared" si="14"/>
        <v>2296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287</v>
      </c>
      <c r="D31" s="5">
        <f>Table1[[#This Row],[Enrolment S.Y. 2025-2026 ]]*8</f>
        <v>2296</v>
      </c>
      <c r="E31" s="5"/>
      <c r="F31" s="1"/>
      <c r="G31" s="5"/>
      <c r="H31" s="5">
        <f>IF((D31-E31)&lt;0,0,(D31-E31))</f>
        <v>2296</v>
      </c>
      <c r="I31" s="5">
        <f>IF((E31-D31)&lt;0,0,(E31-D31))</f>
        <v>0</v>
      </c>
      <c r="J31" s="5">
        <f>Table1[[#This Row],[Enrolment S.Y. 2025-2026 ]]*8</f>
        <v>2296</v>
      </c>
      <c r="K31" s="5"/>
      <c r="L31" s="1"/>
      <c r="M31" s="5"/>
      <c r="N31" s="5">
        <f t="shared" si="10"/>
        <v>2296</v>
      </c>
      <c r="O31" s="5">
        <f t="shared" si="11"/>
        <v>0</v>
      </c>
      <c r="P31" s="5">
        <f>Table1[[#This Row],[Enrolment S.Y. 2025-2026 ]]*8</f>
        <v>2296</v>
      </c>
      <c r="Q31" s="5"/>
      <c r="R31" s="1"/>
      <c r="S31" s="5"/>
      <c r="T31" s="5">
        <f t="shared" si="12"/>
        <v>2296</v>
      </c>
      <c r="U31" s="5">
        <f t="shared" si="13"/>
        <v>0</v>
      </c>
      <c r="V31" s="5">
        <f>Table1[[#This Row],[Enrolment S.Y. 2025-2026 ]]*8</f>
        <v>2296</v>
      </c>
      <c r="W31" s="5"/>
      <c r="X31" s="1"/>
      <c r="Y31" s="5"/>
      <c r="Z31" s="5">
        <f t="shared" si="14"/>
        <v>2296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303</v>
      </c>
      <c r="D33" s="5">
        <f>Table1[[#This Row],[Enrolment S.Y. 2025-2026 ]]*8</f>
        <v>2424</v>
      </c>
      <c r="E33" s="5"/>
      <c r="F33" s="1"/>
      <c r="G33" s="5"/>
      <c r="H33" s="5">
        <f t="shared" si="2"/>
        <v>2424</v>
      </c>
      <c r="I33" s="5">
        <f t="shared" si="3"/>
        <v>0</v>
      </c>
      <c r="J33" s="5">
        <f>Table1[[#This Row],[Enrolment S.Y. 2025-2026 ]]*8</f>
        <v>2424</v>
      </c>
      <c r="K33" s="5"/>
      <c r="L33" s="1"/>
      <c r="M33" s="5"/>
      <c r="N33" s="5">
        <f t="shared" si="10"/>
        <v>2424</v>
      </c>
      <c r="O33" s="5">
        <f t="shared" si="11"/>
        <v>0</v>
      </c>
      <c r="P33" s="5">
        <f>Table1[[#This Row],[Enrolment S.Y. 2025-2026 ]]*8</f>
        <v>2424</v>
      </c>
      <c r="Q33" s="5"/>
      <c r="R33" s="1"/>
      <c r="S33" s="5"/>
      <c r="T33" s="5">
        <f t="shared" si="12"/>
        <v>2424</v>
      </c>
      <c r="U33" s="5">
        <f t="shared" si="13"/>
        <v>0</v>
      </c>
      <c r="V33" s="5">
        <f>Table1[[#This Row],[Enrolment S.Y. 2025-2026 ]]*8</f>
        <v>2424</v>
      </c>
      <c r="W33" s="5"/>
      <c r="X33" s="1"/>
      <c r="Y33" s="5"/>
      <c r="Z33" s="5">
        <f t="shared" si="14"/>
        <v>2424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303</v>
      </c>
      <c r="D34" s="5">
        <f>Table1[[#This Row],[Enrolment S.Y. 2025-2026 ]]*8</f>
        <v>2424</v>
      </c>
      <c r="E34" s="5"/>
      <c r="F34" s="1"/>
      <c r="G34" s="5"/>
      <c r="H34" s="5">
        <f t="shared" si="2"/>
        <v>2424</v>
      </c>
      <c r="I34" s="5">
        <f t="shared" si="3"/>
        <v>0</v>
      </c>
      <c r="J34" s="5">
        <f>Table1[[#This Row],[Enrolment S.Y. 2025-2026 ]]*8</f>
        <v>2424</v>
      </c>
      <c r="K34" s="5"/>
      <c r="L34" s="1"/>
      <c r="M34" s="5"/>
      <c r="N34" s="5">
        <f t="shared" si="10"/>
        <v>2424</v>
      </c>
      <c r="O34" s="5">
        <f t="shared" si="11"/>
        <v>0</v>
      </c>
      <c r="P34" s="5">
        <f>Table1[[#This Row],[Enrolment S.Y. 2025-2026 ]]*8</f>
        <v>2424</v>
      </c>
      <c r="Q34" s="5"/>
      <c r="R34" s="1"/>
      <c r="S34" s="5"/>
      <c r="T34" s="5">
        <f t="shared" si="12"/>
        <v>2424</v>
      </c>
      <c r="U34" s="5">
        <f t="shared" si="13"/>
        <v>0</v>
      </c>
      <c r="V34" s="5">
        <f>Table1[[#This Row],[Enrolment S.Y. 2025-2026 ]]*8</f>
        <v>2424</v>
      </c>
      <c r="W34" s="5"/>
      <c r="X34" s="1"/>
      <c r="Y34" s="5"/>
      <c r="Z34" s="5">
        <f t="shared" si="14"/>
        <v>2424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303</v>
      </c>
      <c r="D35" s="5">
        <f>Table1[[#This Row],[Enrolment S.Y. 2025-2026 ]]*8</f>
        <v>2424</v>
      </c>
      <c r="E35" s="5"/>
      <c r="F35" s="1"/>
      <c r="G35" s="5"/>
      <c r="H35" s="5">
        <f t="shared" si="2"/>
        <v>2424</v>
      </c>
      <c r="I35" s="5">
        <f t="shared" si="3"/>
        <v>0</v>
      </c>
      <c r="J35" s="5">
        <f>Table1[[#This Row],[Enrolment S.Y. 2025-2026 ]]*8</f>
        <v>2424</v>
      </c>
      <c r="K35" s="5"/>
      <c r="L35" s="1"/>
      <c r="M35" s="5"/>
      <c r="N35" s="5">
        <f t="shared" si="10"/>
        <v>2424</v>
      </c>
      <c r="O35" s="5">
        <f t="shared" si="11"/>
        <v>0</v>
      </c>
      <c r="P35" s="5">
        <f>Table1[[#This Row],[Enrolment S.Y. 2025-2026 ]]*8</f>
        <v>2424</v>
      </c>
      <c r="Q35" s="5"/>
      <c r="R35" s="1"/>
      <c r="S35" s="5"/>
      <c r="T35" s="5">
        <f t="shared" si="12"/>
        <v>2424</v>
      </c>
      <c r="U35" s="5">
        <f t="shared" si="13"/>
        <v>0</v>
      </c>
      <c r="V35" s="5">
        <f>Table1[[#This Row],[Enrolment S.Y. 2025-2026 ]]*8</f>
        <v>2424</v>
      </c>
      <c r="W35" s="5"/>
      <c r="X35" s="1"/>
      <c r="Y35" s="5"/>
      <c r="Z35" s="5">
        <f t="shared" si="14"/>
        <v>2424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303</v>
      </c>
      <c r="D36" s="5">
        <f>Table1[[#This Row],[Enrolment S.Y. 2025-2026 ]]*8</f>
        <v>2424</v>
      </c>
      <c r="E36" s="5"/>
      <c r="F36" s="1"/>
      <c r="G36" s="5"/>
      <c r="H36" s="5">
        <f t="shared" si="2"/>
        <v>2424</v>
      </c>
      <c r="I36" s="5">
        <f t="shared" si="3"/>
        <v>0</v>
      </c>
      <c r="J36" s="5">
        <f>Table1[[#This Row],[Enrolment S.Y. 2025-2026 ]]*8</f>
        <v>2424</v>
      </c>
      <c r="K36" s="5"/>
      <c r="L36" s="1"/>
      <c r="M36" s="5"/>
      <c r="N36" s="5">
        <f t="shared" si="10"/>
        <v>2424</v>
      </c>
      <c r="O36" s="5">
        <f t="shared" si="11"/>
        <v>0</v>
      </c>
      <c r="P36" s="5">
        <f>Table1[[#This Row],[Enrolment S.Y. 2025-2026 ]]*8</f>
        <v>2424</v>
      </c>
      <c r="Q36" s="5"/>
      <c r="R36" s="1"/>
      <c r="S36" s="5"/>
      <c r="T36" s="5">
        <f t="shared" si="12"/>
        <v>2424</v>
      </c>
      <c r="U36" s="5">
        <f t="shared" si="13"/>
        <v>0</v>
      </c>
      <c r="V36" s="5">
        <f>Table1[[#This Row],[Enrolment S.Y. 2025-2026 ]]*8</f>
        <v>2424</v>
      </c>
      <c r="W36" s="5"/>
      <c r="X36" s="1"/>
      <c r="Y36" s="5"/>
      <c r="Z36" s="5">
        <f t="shared" si="14"/>
        <v>2424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303</v>
      </c>
      <c r="D37" s="5">
        <f>Table1[[#This Row],[Enrolment S.Y. 2025-2026 ]]*8</f>
        <v>2424</v>
      </c>
      <c r="E37" s="5"/>
      <c r="F37" s="1"/>
      <c r="G37" s="5"/>
      <c r="H37" s="5">
        <f t="shared" si="2"/>
        <v>2424</v>
      </c>
      <c r="I37" s="5">
        <f t="shared" si="3"/>
        <v>0</v>
      </c>
      <c r="J37" s="5">
        <f>Table1[[#This Row],[Enrolment S.Y. 2025-2026 ]]*8</f>
        <v>2424</v>
      </c>
      <c r="K37" s="5"/>
      <c r="L37" s="1"/>
      <c r="M37" s="5"/>
      <c r="N37" s="5">
        <f t="shared" si="10"/>
        <v>2424</v>
      </c>
      <c r="O37" s="5">
        <f t="shared" si="11"/>
        <v>0</v>
      </c>
      <c r="P37" s="5">
        <f>Table1[[#This Row],[Enrolment S.Y. 2025-2026 ]]*8</f>
        <v>2424</v>
      </c>
      <c r="Q37" s="5"/>
      <c r="R37" s="1"/>
      <c r="S37" s="5"/>
      <c r="T37" s="5">
        <f t="shared" si="12"/>
        <v>2424</v>
      </c>
      <c r="U37" s="5">
        <f t="shared" si="13"/>
        <v>0</v>
      </c>
      <c r="V37" s="5">
        <f>Table1[[#This Row],[Enrolment S.Y. 2025-2026 ]]*8</f>
        <v>2424</v>
      </c>
      <c r="W37" s="5"/>
      <c r="X37" s="1"/>
      <c r="Y37" s="5"/>
      <c r="Z37" s="5">
        <f t="shared" si="14"/>
        <v>2424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303</v>
      </c>
      <c r="D38" s="5">
        <f>Table1[[#This Row],[Enrolment S.Y. 2025-2026 ]]*8</f>
        <v>2424</v>
      </c>
      <c r="E38" s="5"/>
      <c r="F38" s="1"/>
      <c r="G38" s="5"/>
      <c r="H38" s="5">
        <f t="shared" si="2"/>
        <v>2424</v>
      </c>
      <c r="I38" s="5">
        <f t="shared" si="3"/>
        <v>0</v>
      </c>
      <c r="J38" s="5">
        <f>Table1[[#This Row],[Enrolment S.Y. 2025-2026 ]]*8</f>
        <v>2424</v>
      </c>
      <c r="K38" s="5"/>
      <c r="L38" s="1"/>
      <c r="M38" s="5"/>
      <c r="N38" s="5">
        <f t="shared" si="10"/>
        <v>2424</v>
      </c>
      <c r="O38" s="5">
        <f t="shared" si="11"/>
        <v>0</v>
      </c>
      <c r="P38" s="5">
        <f>Table1[[#This Row],[Enrolment S.Y. 2025-2026 ]]*8</f>
        <v>2424</v>
      </c>
      <c r="Q38" s="5"/>
      <c r="R38" s="1"/>
      <c r="S38" s="5"/>
      <c r="T38" s="5">
        <f t="shared" si="12"/>
        <v>2424</v>
      </c>
      <c r="U38" s="5">
        <f t="shared" si="13"/>
        <v>0</v>
      </c>
      <c r="V38" s="5">
        <f>Table1[[#This Row],[Enrolment S.Y. 2025-2026 ]]*8</f>
        <v>2424</v>
      </c>
      <c r="W38" s="5"/>
      <c r="X38" s="1"/>
      <c r="Y38" s="5"/>
      <c r="Z38" s="5">
        <f t="shared" si="14"/>
        <v>2424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303</v>
      </c>
      <c r="D39" s="5">
        <f>Table1[[#This Row],[Enrolment S.Y. 2025-2026 ]]*8</f>
        <v>2424</v>
      </c>
      <c r="E39" s="5"/>
      <c r="F39" s="1"/>
      <c r="G39" s="5"/>
      <c r="H39" s="5">
        <f t="shared" si="2"/>
        <v>2424</v>
      </c>
      <c r="I39" s="5">
        <f t="shared" si="3"/>
        <v>0</v>
      </c>
      <c r="J39" s="5">
        <f>Table1[[#This Row],[Enrolment S.Y. 2025-2026 ]]*8</f>
        <v>2424</v>
      </c>
      <c r="K39" s="5"/>
      <c r="L39" s="1"/>
      <c r="M39" s="5"/>
      <c r="N39" s="5">
        <f t="shared" si="10"/>
        <v>2424</v>
      </c>
      <c r="O39" s="5">
        <f t="shared" si="11"/>
        <v>0</v>
      </c>
      <c r="P39" s="5">
        <f>Table1[[#This Row],[Enrolment S.Y. 2025-2026 ]]*8</f>
        <v>2424</v>
      </c>
      <c r="Q39" s="5"/>
      <c r="R39" s="1"/>
      <c r="S39" s="5"/>
      <c r="T39" s="5">
        <f t="shared" si="12"/>
        <v>2424</v>
      </c>
      <c r="U39" s="5">
        <f t="shared" si="13"/>
        <v>0</v>
      </c>
      <c r="V39" s="5">
        <f>Table1[[#This Row],[Enrolment S.Y. 2025-2026 ]]*8</f>
        <v>2424</v>
      </c>
      <c r="W39" s="5"/>
      <c r="X39" s="1"/>
      <c r="Y39" s="5"/>
      <c r="Z39" s="5">
        <f t="shared" si="14"/>
        <v>2424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303</v>
      </c>
      <c r="D40" s="5">
        <f>Table1[[#This Row],[Enrolment S.Y. 2025-2026 ]]*8</f>
        <v>2424</v>
      </c>
      <c r="E40" s="5"/>
      <c r="F40" s="1"/>
      <c r="G40" s="5"/>
      <c r="H40" s="5">
        <f t="shared" si="2"/>
        <v>2424</v>
      </c>
      <c r="I40" s="5">
        <f t="shared" si="3"/>
        <v>0</v>
      </c>
      <c r="J40" s="5">
        <f>Table1[[#This Row],[Enrolment S.Y. 2025-2026 ]]*8</f>
        <v>2424</v>
      </c>
      <c r="K40" s="5"/>
      <c r="L40" s="1"/>
      <c r="M40" s="5"/>
      <c r="N40" s="5">
        <f t="shared" si="10"/>
        <v>2424</v>
      </c>
      <c r="O40" s="5">
        <f t="shared" si="11"/>
        <v>0</v>
      </c>
      <c r="P40" s="5">
        <f>Table1[[#This Row],[Enrolment S.Y. 2025-2026 ]]*8</f>
        <v>2424</v>
      </c>
      <c r="Q40" s="5"/>
      <c r="R40" s="1"/>
      <c r="S40" s="5"/>
      <c r="T40" s="5">
        <f t="shared" si="12"/>
        <v>2424</v>
      </c>
      <c r="U40" s="5">
        <f t="shared" si="13"/>
        <v>0</v>
      </c>
      <c r="V40" s="5">
        <f>Table1[[#This Row],[Enrolment S.Y. 2025-2026 ]]*8</f>
        <v>2424</v>
      </c>
      <c r="W40" s="5"/>
      <c r="X40" s="1"/>
      <c r="Y40" s="5"/>
      <c r="Z40" s="5">
        <f t="shared" si="14"/>
        <v>2424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303</v>
      </c>
      <c r="D41" s="5">
        <f>Table1[[#This Row],[Enrolment S.Y. 2025-2026 ]]*8</f>
        <v>2424</v>
      </c>
      <c r="E41" s="5"/>
      <c r="F41" s="1"/>
      <c r="G41" s="5"/>
      <c r="H41" s="5">
        <f t="shared" si="2"/>
        <v>2424</v>
      </c>
      <c r="I41" s="5">
        <f t="shared" si="3"/>
        <v>0</v>
      </c>
      <c r="J41" s="5">
        <f>Table1[[#This Row],[Enrolment S.Y. 2025-2026 ]]*8</f>
        <v>2424</v>
      </c>
      <c r="K41" s="5"/>
      <c r="L41" s="1"/>
      <c r="M41" s="5"/>
      <c r="N41" s="5">
        <f t="shared" si="10"/>
        <v>2424</v>
      </c>
      <c r="O41" s="5">
        <f t="shared" si="11"/>
        <v>0</v>
      </c>
      <c r="P41" s="5">
        <f>Table1[[#This Row],[Enrolment S.Y. 2025-2026 ]]*8</f>
        <v>2424</v>
      </c>
      <c r="Q41" s="5"/>
      <c r="R41" s="1"/>
      <c r="S41" s="5"/>
      <c r="T41" s="5">
        <f t="shared" si="12"/>
        <v>2424</v>
      </c>
      <c r="U41" s="5">
        <f t="shared" si="13"/>
        <v>0</v>
      </c>
      <c r="V41" s="5">
        <f>Table1[[#This Row],[Enrolment S.Y. 2025-2026 ]]*8</f>
        <v>2424</v>
      </c>
      <c r="W41" s="5"/>
      <c r="X41" s="1"/>
      <c r="Y41" s="5"/>
      <c r="Z41" s="5">
        <f t="shared" si="14"/>
        <v>2424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298</v>
      </c>
      <c r="D43" s="5">
        <f>Table1[[#This Row],[Enrolment S.Y. 2025-2026 ]]*8</f>
        <v>2384</v>
      </c>
      <c r="E43" s="5">
        <v>212</v>
      </c>
      <c r="F43" s="1">
        <v>2025</v>
      </c>
      <c r="G43" s="5" t="s">
        <v>62</v>
      </c>
      <c r="H43" s="5">
        <f t="shared" si="2"/>
        <v>2172</v>
      </c>
      <c r="I43" s="5">
        <f t="shared" si="3"/>
        <v>0</v>
      </c>
      <c r="J43" s="5">
        <f>Table1[[#This Row],[Enrolment S.Y. 2025-2026 ]]*8</f>
        <v>2384</v>
      </c>
      <c r="K43" s="5"/>
      <c r="L43" s="1"/>
      <c r="M43" s="5"/>
      <c r="N43" s="5">
        <f t="shared" si="10"/>
        <v>2384</v>
      </c>
      <c r="O43" s="5">
        <f t="shared" si="11"/>
        <v>0</v>
      </c>
      <c r="P43" s="5">
        <f>Table1[[#This Row],[Enrolment S.Y. 2025-2026 ]]*8</f>
        <v>2384</v>
      </c>
      <c r="Q43" s="5"/>
      <c r="R43" s="1"/>
      <c r="S43" s="5"/>
      <c r="T43" s="5">
        <f t="shared" si="12"/>
        <v>2384</v>
      </c>
      <c r="U43" s="5">
        <f t="shared" si="13"/>
        <v>0</v>
      </c>
      <c r="V43" s="5">
        <f>Table1[[#This Row],[Enrolment S.Y. 2025-2026 ]]*8</f>
        <v>2384</v>
      </c>
      <c r="W43" s="5"/>
      <c r="X43" s="1"/>
      <c r="Y43" s="5"/>
      <c r="Z43" s="5">
        <f t="shared" si="14"/>
        <v>2384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298</v>
      </c>
      <c r="D44" s="5">
        <f>Table1[[#This Row],[Enrolment S.Y. 2025-2026 ]]*8</f>
        <v>2384</v>
      </c>
      <c r="E44" s="5">
        <v>212</v>
      </c>
      <c r="F44" s="1">
        <v>2025</v>
      </c>
      <c r="G44" s="5" t="s">
        <v>62</v>
      </c>
      <c r="H44" s="5">
        <f t="shared" si="2"/>
        <v>2172</v>
      </c>
      <c r="I44" s="5">
        <f t="shared" si="3"/>
        <v>0</v>
      </c>
      <c r="J44" s="5">
        <f>Table1[[#This Row],[Enrolment S.Y. 2025-2026 ]]*8</f>
        <v>2384</v>
      </c>
      <c r="K44" s="5"/>
      <c r="L44" s="1"/>
      <c r="M44" s="5"/>
      <c r="N44" s="5">
        <f t="shared" si="10"/>
        <v>2384</v>
      </c>
      <c r="O44" s="5">
        <f t="shared" si="11"/>
        <v>0</v>
      </c>
      <c r="P44" s="5">
        <f>Table1[[#This Row],[Enrolment S.Y. 2025-2026 ]]*8</f>
        <v>2384</v>
      </c>
      <c r="Q44" s="5"/>
      <c r="R44" s="1"/>
      <c r="S44" s="5"/>
      <c r="T44" s="5">
        <f t="shared" si="12"/>
        <v>2384</v>
      </c>
      <c r="U44" s="5">
        <f t="shared" si="13"/>
        <v>0</v>
      </c>
      <c r="V44" s="5">
        <f>Table1[[#This Row],[Enrolment S.Y. 2025-2026 ]]*8</f>
        <v>2384</v>
      </c>
      <c r="W44" s="5"/>
      <c r="X44" s="1"/>
      <c r="Y44" s="5"/>
      <c r="Z44" s="5">
        <f t="shared" si="14"/>
        <v>2384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298</v>
      </c>
      <c r="D45" s="5">
        <f>Table1[[#This Row],[Enrolment S.Y. 2025-2026 ]]*8</f>
        <v>2384</v>
      </c>
      <c r="E45" s="5">
        <v>212</v>
      </c>
      <c r="F45" s="1">
        <v>2025</v>
      </c>
      <c r="G45" s="5" t="s">
        <v>62</v>
      </c>
      <c r="H45" s="5">
        <f t="shared" si="2"/>
        <v>2172</v>
      </c>
      <c r="I45" s="5">
        <f t="shared" si="3"/>
        <v>0</v>
      </c>
      <c r="J45" s="5">
        <f>Table1[[#This Row],[Enrolment S.Y. 2025-2026 ]]*8</f>
        <v>2384</v>
      </c>
      <c r="K45" s="5"/>
      <c r="L45" s="1"/>
      <c r="M45" s="5"/>
      <c r="N45" s="5">
        <f t="shared" si="10"/>
        <v>2384</v>
      </c>
      <c r="O45" s="5">
        <f t="shared" si="11"/>
        <v>0</v>
      </c>
      <c r="P45" s="5">
        <f>Table1[[#This Row],[Enrolment S.Y. 2025-2026 ]]*8</f>
        <v>2384</v>
      </c>
      <c r="Q45" s="5"/>
      <c r="R45" s="1"/>
      <c r="S45" s="5"/>
      <c r="T45" s="5">
        <f t="shared" si="12"/>
        <v>2384</v>
      </c>
      <c r="U45" s="5">
        <f t="shared" si="13"/>
        <v>0</v>
      </c>
      <c r="V45" s="5">
        <f>Table1[[#This Row],[Enrolment S.Y. 2025-2026 ]]*8</f>
        <v>2384</v>
      </c>
      <c r="W45" s="5"/>
      <c r="X45" s="1"/>
      <c r="Y45" s="5"/>
      <c r="Z45" s="5">
        <f t="shared" si="14"/>
        <v>2384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298</v>
      </c>
      <c r="D46" s="5">
        <f>Table1[[#This Row],[Enrolment S.Y. 2025-2026 ]]*8</f>
        <v>2384</v>
      </c>
      <c r="E46" s="5">
        <v>212</v>
      </c>
      <c r="F46" s="1">
        <v>2025</v>
      </c>
      <c r="G46" s="5" t="s">
        <v>62</v>
      </c>
      <c r="H46" s="5">
        <f t="shared" si="2"/>
        <v>2172</v>
      </c>
      <c r="I46" s="5">
        <f t="shared" si="3"/>
        <v>0</v>
      </c>
      <c r="J46" s="5">
        <f>Table1[[#This Row],[Enrolment S.Y. 2025-2026 ]]*8</f>
        <v>2384</v>
      </c>
      <c r="K46" s="5"/>
      <c r="L46" s="1"/>
      <c r="M46" s="5"/>
      <c r="N46" s="5">
        <f t="shared" si="10"/>
        <v>2384</v>
      </c>
      <c r="O46" s="5">
        <f t="shared" si="11"/>
        <v>0</v>
      </c>
      <c r="P46" s="5">
        <f>Table1[[#This Row],[Enrolment S.Y. 2025-2026 ]]*8</f>
        <v>2384</v>
      </c>
      <c r="Q46" s="5"/>
      <c r="R46" s="1"/>
      <c r="S46" s="5"/>
      <c r="T46" s="5">
        <f t="shared" si="12"/>
        <v>2384</v>
      </c>
      <c r="U46" s="5">
        <f t="shared" si="13"/>
        <v>0</v>
      </c>
      <c r="V46" s="5">
        <f>Table1[[#This Row],[Enrolment S.Y. 2025-2026 ]]*8</f>
        <v>2384</v>
      </c>
      <c r="W46" s="5"/>
      <c r="X46" s="1"/>
      <c r="Y46" s="5"/>
      <c r="Z46" s="5">
        <f t="shared" si="14"/>
        <v>2384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298</v>
      </c>
      <c r="D47" s="5">
        <f>Table1[[#This Row],[Enrolment S.Y. 2025-2026 ]]*8</f>
        <v>2384</v>
      </c>
      <c r="E47" s="5">
        <v>212</v>
      </c>
      <c r="F47" s="1">
        <v>2025</v>
      </c>
      <c r="G47" s="5" t="s">
        <v>62</v>
      </c>
      <c r="H47" s="5">
        <f t="shared" si="2"/>
        <v>2172</v>
      </c>
      <c r="I47" s="5">
        <f t="shared" si="3"/>
        <v>0</v>
      </c>
      <c r="J47" s="5">
        <f>Table1[[#This Row],[Enrolment S.Y. 2025-2026 ]]*8</f>
        <v>2384</v>
      </c>
      <c r="K47" s="5"/>
      <c r="L47" s="1"/>
      <c r="M47" s="5"/>
      <c r="N47" s="5">
        <f t="shared" si="10"/>
        <v>2384</v>
      </c>
      <c r="O47" s="5">
        <f t="shared" si="11"/>
        <v>0</v>
      </c>
      <c r="P47" s="5">
        <f>Table1[[#This Row],[Enrolment S.Y. 2025-2026 ]]*8</f>
        <v>2384</v>
      </c>
      <c r="Q47" s="5"/>
      <c r="R47" s="1"/>
      <c r="S47" s="5"/>
      <c r="T47" s="5">
        <f t="shared" si="12"/>
        <v>2384</v>
      </c>
      <c r="U47" s="5">
        <f t="shared" si="13"/>
        <v>0</v>
      </c>
      <c r="V47" s="5">
        <f>Table1[[#This Row],[Enrolment S.Y. 2025-2026 ]]*8</f>
        <v>2384</v>
      </c>
      <c r="W47" s="5"/>
      <c r="X47" s="1"/>
      <c r="Y47" s="5"/>
      <c r="Z47" s="5">
        <f t="shared" si="14"/>
        <v>2384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298</v>
      </c>
      <c r="D48" s="5">
        <f>Table1[[#This Row],[Enrolment S.Y. 2025-2026 ]]*8</f>
        <v>2384</v>
      </c>
      <c r="E48" s="5">
        <v>215</v>
      </c>
      <c r="F48" s="1">
        <v>2025</v>
      </c>
      <c r="G48" s="5" t="s">
        <v>62</v>
      </c>
      <c r="H48" s="5">
        <f t="shared" si="2"/>
        <v>2169</v>
      </c>
      <c r="I48" s="5">
        <f t="shared" si="3"/>
        <v>0</v>
      </c>
      <c r="J48" s="5">
        <f>Table1[[#This Row],[Enrolment S.Y. 2025-2026 ]]*8</f>
        <v>2384</v>
      </c>
      <c r="K48" s="5"/>
      <c r="L48" s="1"/>
      <c r="M48" s="5"/>
      <c r="N48" s="5">
        <f t="shared" si="10"/>
        <v>2384</v>
      </c>
      <c r="O48" s="5">
        <f t="shared" si="11"/>
        <v>0</v>
      </c>
      <c r="P48" s="5">
        <f>Table1[[#This Row],[Enrolment S.Y. 2025-2026 ]]*8</f>
        <v>2384</v>
      </c>
      <c r="Q48" s="5"/>
      <c r="R48" s="1"/>
      <c r="S48" s="5"/>
      <c r="T48" s="5">
        <f t="shared" si="12"/>
        <v>2384</v>
      </c>
      <c r="U48" s="5">
        <f t="shared" si="13"/>
        <v>0</v>
      </c>
      <c r="V48" s="5">
        <f>Table1[[#This Row],[Enrolment S.Y. 2025-2026 ]]*8</f>
        <v>2384</v>
      </c>
      <c r="W48" s="5"/>
      <c r="X48" s="1"/>
      <c r="Y48" s="5"/>
      <c r="Z48" s="5">
        <f t="shared" si="14"/>
        <v>2384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298</v>
      </c>
      <c r="D49" s="5">
        <f>Table1[[#This Row],[Enrolment S.Y. 2025-2026 ]]*8</f>
        <v>2384</v>
      </c>
      <c r="E49" s="5">
        <v>212</v>
      </c>
      <c r="F49" s="1">
        <v>2025</v>
      </c>
      <c r="G49" s="5" t="s">
        <v>62</v>
      </c>
      <c r="H49" s="5">
        <f t="shared" si="2"/>
        <v>2172</v>
      </c>
      <c r="I49" s="5">
        <f t="shared" si="3"/>
        <v>0</v>
      </c>
      <c r="J49" s="5">
        <f>Table1[[#This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Table1[[#This Row],[Enrolment S.Y. 2025-2026 ]]*8</f>
        <v>2384</v>
      </c>
      <c r="Q49" s="5"/>
      <c r="R49" s="1"/>
      <c r="S49" s="5"/>
      <c r="T49" s="5">
        <f t="shared" si="12"/>
        <v>2384</v>
      </c>
      <c r="U49" s="5">
        <f t="shared" si="13"/>
        <v>0</v>
      </c>
      <c r="V49" s="5">
        <f>Table1[[#This Row],[Enrolment S.Y. 2025-2026 ]]*8</f>
        <v>2384</v>
      </c>
      <c r="W49" s="5"/>
      <c r="X49" s="1"/>
      <c r="Y49" s="5"/>
      <c r="Z49" s="5">
        <f t="shared" si="14"/>
        <v>2384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298</v>
      </c>
      <c r="D50" s="5">
        <f>Table1[[#This Row],[Enrolment S.Y. 2025-2026 ]]*8</f>
        <v>2384</v>
      </c>
      <c r="E50" s="5">
        <v>212</v>
      </c>
      <c r="F50" s="1">
        <v>2025</v>
      </c>
      <c r="G50" s="5" t="s">
        <v>62</v>
      </c>
      <c r="H50" s="5">
        <f t="shared" si="2"/>
        <v>2172</v>
      </c>
      <c r="I50" s="5">
        <f t="shared" si="3"/>
        <v>0</v>
      </c>
      <c r="J50" s="5">
        <f>Table1[[#This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Table1[[#This Row],[Enrolment S.Y. 2025-2026 ]]*8</f>
        <v>2384</v>
      </c>
      <c r="Q50" s="5"/>
      <c r="R50" s="1"/>
      <c r="S50" s="5"/>
      <c r="T50" s="5">
        <f t="shared" si="12"/>
        <v>2384</v>
      </c>
      <c r="U50" s="5">
        <f t="shared" si="13"/>
        <v>0</v>
      </c>
      <c r="V50" s="5">
        <f>Table1[[#This Row],[Enrolment S.Y. 2025-2026 ]]*8</f>
        <v>2384</v>
      </c>
      <c r="W50" s="5"/>
      <c r="X50" s="1"/>
      <c r="Y50" s="5"/>
      <c r="Z50" s="5">
        <f t="shared" si="14"/>
        <v>2384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298</v>
      </c>
      <c r="D51" s="5">
        <f>Table1[[#This Row],[Enrolment S.Y. 2025-2026 ]]*8</f>
        <v>2384</v>
      </c>
      <c r="E51" s="5">
        <v>212</v>
      </c>
      <c r="F51" s="1">
        <v>2025</v>
      </c>
      <c r="G51" s="5" t="s">
        <v>62</v>
      </c>
      <c r="H51" s="5">
        <f t="shared" si="2"/>
        <v>2172</v>
      </c>
      <c r="I51" s="5">
        <f t="shared" si="3"/>
        <v>0</v>
      </c>
      <c r="J51" s="5">
        <f>Table1[[#This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Table1[[#This Row],[Enrolment S.Y. 2025-2026 ]]*8</f>
        <v>2384</v>
      </c>
      <c r="Q51" s="5"/>
      <c r="R51" s="1"/>
      <c r="S51" s="5"/>
      <c r="T51" s="5">
        <f t="shared" si="12"/>
        <v>2384</v>
      </c>
      <c r="U51" s="5">
        <f t="shared" si="13"/>
        <v>0</v>
      </c>
      <c r="V51" s="5">
        <f>Table1[[#This Row],[Enrolment S.Y. 2025-2026 ]]*8</f>
        <v>2384</v>
      </c>
      <c r="W51" s="5"/>
      <c r="X51" s="1"/>
      <c r="Y51" s="5"/>
      <c r="Z51" s="5">
        <f t="shared" si="14"/>
        <v>2384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310</v>
      </c>
      <c r="D53" s="5">
        <f>Table1[[#This Row],[Enrolment S.Y. 2025-2026 ]]*8</f>
        <v>2480</v>
      </c>
      <c r="E53" s="5"/>
      <c r="F53" s="1"/>
      <c r="G53" s="5"/>
      <c r="H53" s="5">
        <f t="shared" si="2"/>
        <v>2480</v>
      </c>
      <c r="I53" s="5">
        <f t="shared" si="3"/>
        <v>0</v>
      </c>
      <c r="J53" s="5">
        <f>Table1[[#This Row],[Enrolment S.Y. 2025-2026 ]]*8</f>
        <v>2480</v>
      </c>
      <c r="K53" s="5">
        <v>180</v>
      </c>
      <c r="L53" s="1">
        <v>2025</v>
      </c>
      <c r="M53" s="5" t="s">
        <v>62</v>
      </c>
      <c r="N53" s="5">
        <f t="shared" si="10"/>
        <v>2300</v>
      </c>
      <c r="O53" s="5">
        <f t="shared" si="11"/>
        <v>0</v>
      </c>
      <c r="P53" s="5">
        <f>Table1[[#This Row],[Enrolment S.Y. 2025-2026 ]]*8</f>
        <v>2480</v>
      </c>
      <c r="Q53" s="5">
        <v>100</v>
      </c>
      <c r="R53" s="1">
        <v>2025</v>
      </c>
      <c r="S53" s="5" t="s">
        <v>62</v>
      </c>
      <c r="T53" s="5">
        <f t="shared" si="12"/>
        <v>2380</v>
      </c>
      <c r="U53" s="5">
        <f t="shared" si="13"/>
        <v>0</v>
      </c>
      <c r="V53" s="5">
        <f>Table1[[#This Row],[Enrolment S.Y. 2025-2026 ]]*8</f>
        <v>2480</v>
      </c>
      <c r="W53" s="5">
        <v>350</v>
      </c>
      <c r="X53" s="1">
        <v>2025</v>
      </c>
      <c r="Y53" s="5" t="s">
        <v>62</v>
      </c>
      <c r="Z53" s="5">
        <f t="shared" si="14"/>
        <v>2130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310</v>
      </c>
      <c r="D54" s="5">
        <f>Table1[[#This Row],[Enrolment S.Y. 2025-2026 ]]*8</f>
        <v>2480</v>
      </c>
      <c r="E54" s="5"/>
      <c r="F54" s="1"/>
      <c r="G54" s="5"/>
      <c r="H54" s="5">
        <f t="shared" si="2"/>
        <v>2480</v>
      </c>
      <c r="I54" s="5">
        <f t="shared" si="3"/>
        <v>0</v>
      </c>
      <c r="J54" s="5">
        <f>Table1[[#This Row],[Enrolment S.Y. 2025-2026 ]]*8</f>
        <v>2480</v>
      </c>
      <c r="K54" s="5">
        <v>840</v>
      </c>
      <c r="L54" s="1">
        <v>2025</v>
      </c>
      <c r="M54" s="5" t="s">
        <v>62</v>
      </c>
      <c r="N54" s="5">
        <f t="shared" si="10"/>
        <v>1640</v>
      </c>
      <c r="O54" s="5">
        <f t="shared" si="11"/>
        <v>0</v>
      </c>
      <c r="P54" s="5">
        <f>Table1[[#This Row],[Enrolment S.Y. 2025-2026 ]]*8</f>
        <v>2480</v>
      </c>
      <c r="Q54" s="5">
        <v>300</v>
      </c>
      <c r="R54" s="1">
        <v>2025</v>
      </c>
      <c r="S54" s="5" t="s">
        <v>62</v>
      </c>
      <c r="T54" s="5">
        <f t="shared" si="12"/>
        <v>2180</v>
      </c>
      <c r="U54" s="5">
        <f t="shared" si="13"/>
        <v>0</v>
      </c>
      <c r="V54" s="5">
        <f>Table1[[#This Row],[Enrolment S.Y. 2025-2026 ]]*8</f>
        <v>2480</v>
      </c>
      <c r="W54" s="5">
        <v>250</v>
      </c>
      <c r="X54" s="1">
        <v>2025</v>
      </c>
      <c r="Y54" s="5" t="s">
        <v>62</v>
      </c>
      <c r="Z54" s="5">
        <f t="shared" si="14"/>
        <v>2230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310</v>
      </c>
      <c r="D55" s="5">
        <f>Table1[[#This Row],[Enrolment S.Y. 2025-2026 ]]*8</f>
        <v>2480</v>
      </c>
      <c r="E55" s="5"/>
      <c r="F55" s="1"/>
      <c r="G55" s="5"/>
      <c r="H55" s="5">
        <f t="shared" si="2"/>
        <v>2480</v>
      </c>
      <c r="I55" s="5">
        <f t="shared" si="3"/>
        <v>0</v>
      </c>
      <c r="J55" s="5">
        <f>Table1[[#This Row],[Enrolment S.Y. 2025-2026 ]]*8</f>
        <v>2480</v>
      </c>
      <c r="K55" s="5">
        <v>840</v>
      </c>
      <c r="L55" s="1">
        <v>2025</v>
      </c>
      <c r="M55" s="5" t="s">
        <v>62</v>
      </c>
      <c r="N55" s="5">
        <f t="shared" si="10"/>
        <v>1640</v>
      </c>
      <c r="O55" s="5">
        <f t="shared" si="11"/>
        <v>0</v>
      </c>
      <c r="P55" s="5">
        <f>Table1[[#This Row],[Enrolment S.Y. 2025-2026 ]]*8</f>
        <v>2480</v>
      </c>
      <c r="Q55" s="5">
        <v>450</v>
      </c>
      <c r="R55" s="1">
        <v>2025</v>
      </c>
      <c r="S55" s="5" t="s">
        <v>62</v>
      </c>
      <c r="T55" s="5">
        <f t="shared" si="12"/>
        <v>2030</v>
      </c>
      <c r="U55" s="5">
        <f t="shared" si="13"/>
        <v>0</v>
      </c>
      <c r="V55" s="5">
        <f>Table1[[#This Row],[Enrolment S.Y. 2025-2026 ]]*8</f>
        <v>2480</v>
      </c>
      <c r="W55" s="5">
        <v>450</v>
      </c>
      <c r="X55" s="1">
        <v>2025</v>
      </c>
      <c r="Y55" s="5" t="s">
        <v>62</v>
      </c>
      <c r="Z55" s="5">
        <f t="shared" si="14"/>
        <v>2030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310</v>
      </c>
      <c r="D56" s="5">
        <f>Table1[[#This Row],[Enrolment S.Y. 2025-2026 ]]*8</f>
        <v>2480</v>
      </c>
      <c r="E56" s="5"/>
      <c r="F56" s="1"/>
      <c r="G56" s="5"/>
      <c r="H56" s="5">
        <f t="shared" si="2"/>
        <v>2480</v>
      </c>
      <c r="I56" s="5">
        <f t="shared" si="3"/>
        <v>0</v>
      </c>
      <c r="J56" s="5">
        <f>Table1[[#This Row],[Enrolment S.Y. 2025-2026 ]]*8</f>
        <v>2480</v>
      </c>
      <c r="K56" s="5"/>
      <c r="L56" s="1"/>
      <c r="M56" s="5"/>
      <c r="N56" s="5">
        <f t="shared" si="10"/>
        <v>2480</v>
      </c>
      <c r="O56" s="5">
        <f t="shared" si="11"/>
        <v>0</v>
      </c>
      <c r="P56" s="5">
        <f>Table1[[#This Row],[Enrolment S.Y. 2025-2026 ]]*8</f>
        <v>2480</v>
      </c>
      <c r="Q56" s="5">
        <v>200</v>
      </c>
      <c r="R56" s="1">
        <v>2025</v>
      </c>
      <c r="S56" s="5" t="s">
        <v>62</v>
      </c>
      <c r="T56" s="5">
        <f t="shared" si="12"/>
        <v>2280</v>
      </c>
      <c r="U56" s="5">
        <f t="shared" si="13"/>
        <v>0</v>
      </c>
      <c r="V56" s="5">
        <f>Table1[[#This Row],[Enrolment S.Y. 2025-2026 ]]*8</f>
        <v>2480</v>
      </c>
      <c r="W56" s="5">
        <v>100</v>
      </c>
      <c r="X56" s="1">
        <v>2025</v>
      </c>
      <c r="Y56" s="5" t="s">
        <v>62</v>
      </c>
      <c r="Z56" s="5">
        <f t="shared" si="14"/>
        <v>2380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310</v>
      </c>
      <c r="D57" s="5">
        <f>Table1[[#This Row],[Enrolment S.Y. 2025-2026 ]]*8</f>
        <v>2480</v>
      </c>
      <c r="E57" s="5"/>
      <c r="F57" s="1"/>
      <c r="G57" s="5"/>
      <c r="H57" s="5">
        <f t="shared" si="2"/>
        <v>2480</v>
      </c>
      <c r="I57" s="5">
        <f t="shared" si="3"/>
        <v>0</v>
      </c>
      <c r="J57" s="5">
        <f>Table1[[#This Row],[Enrolment S.Y. 2025-2026 ]]*8</f>
        <v>2480</v>
      </c>
      <c r="K57" s="5"/>
      <c r="L57" s="1"/>
      <c r="M57" s="5"/>
      <c r="N57" s="5">
        <f t="shared" si="10"/>
        <v>2480</v>
      </c>
      <c r="O57" s="5">
        <f t="shared" si="11"/>
        <v>0</v>
      </c>
      <c r="P57" s="5">
        <f>Table1[[#This Row],[Enrolment S.Y. 2025-2026 ]]*8</f>
        <v>2480</v>
      </c>
      <c r="Q57" s="5">
        <v>300</v>
      </c>
      <c r="R57" s="1">
        <v>2025</v>
      </c>
      <c r="S57" s="5" t="s">
        <v>62</v>
      </c>
      <c r="T57" s="5">
        <f t="shared" si="12"/>
        <v>2180</v>
      </c>
      <c r="U57" s="5">
        <f t="shared" si="13"/>
        <v>0</v>
      </c>
      <c r="V57" s="5">
        <f>Table1[[#This Row],[Enrolment S.Y. 2025-2026 ]]*8</f>
        <v>2480</v>
      </c>
      <c r="W57" s="5">
        <v>350</v>
      </c>
      <c r="X57" s="1">
        <v>2025</v>
      </c>
      <c r="Y57" s="5" t="s">
        <v>62</v>
      </c>
      <c r="Z57" s="5">
        <f t="shared" si="14"/>
        <v>2130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310</v>
      </c>
      <c r="D58" s="5">
        <f>Table1[[#This Row],[Enrolment S.Y. 2025-2026 ]]*8</f>
        <v>2480</v>
      </c>
      <c r="E58" s="5"/>
      <c r="F58" s="1"/>
      <c r="G58" s="5"/>
      <c r="H58" s="5">
        <f t="shared" si="2"/>
        <v>2480</v>
      </c>
      <c r="I58" s="5">
        <f t="shared" si="3"/>
        <v>0</v>
      </c>
      <c r="J58" s="5">
        <f>Table1[[#This Row],[Enrolment S.Y. 2025-2026 ]]*8</f>
        <v>2480</v>
      </c>
      <c r="K58" s="5"/>
      <c r="L58" s="1"/>
      <c r="M58" s="5"/>
      <c r="N58" s="5">
        <f t="shared" si="10"/>
        <v>2480</v>
      </c>
      <c r="O58" s="5">
        <f t="shared" si="11"/>
        <v>0</v>
      </c>
      <c r="P58" s="5">
        <f>Table1[[#This Row],[Enrolment S.Y. 2025-2026 ]]*8</f>
        <v>2480</v>
      </c>
      <c r="Q58" s="5">
        <v>200</v>
      </c>
      <c r="R58" s="1">
        <v>2025</v>
      </c>
      <c r="S58" s="5" t="s">
        <v>62</v>
      </c>
      <c r="T58" s="5">
        <f t="shared" si="12"/>
        <v>2280</v>
      </c>
      <c r="U58" s="5">
        <f t="shared" si="13"/>
        <v>0</v>
      </c>
      <c r="V58" s="5">
        <f>Table1[[#This Row],[Enrolment S.Y. 2025-2026 ]]*8</f>
        <v>2480</v>
      </c>
      <c r="W58" s="5">
        <v>400</v>
      </c>
      <c r="X58" s="1">
        <v>2025</v>
      </c>
      <c r="Y58" s="5" t="s">
        <v>62</v>
      </c>
      <c r="Z58" s="5">
        <f t="shared" si="14"/>
        <v>2080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310</v>
      </c>
      <c r="D59" s="5">
        <f>Table1[[#This Row],[Enrolment S.Y. 2025-2026 ]]*8</f>
        <v>2480</v>
      </c>
      <c r="E59" s="5"/>
      <c r="F59" s="1"/>
      <c r="G59" s="5"/>
      <c r="H59" s="5">
        <f t="shared" si="2"/>
        <v>2480</v>
      </c>
      <c r="I59" s="5">
        <f t="shared" si="3"/>
        <v>0</v>
      </c>
      <c r="J59" s="5">
        <f>Table1[[#This Row],[Enrolment S.Y. 2025-2026 ]]*8</f>
        <v>2480</v>
      </c>
      <c r="K59" s="5"/>
      <c r="L59" s="1"/>
      <c r="M59" s="5"/>
      <c r="N59" s="5">
        <f t="shared" si="10"/>
        <v>2480</v>
      </c>
      <c r="O59" s="5">
        <f t="shared" si="11"/>
        <v>0</v>
      </c>
      <c r="P59" s="5">
        <f>Table1[[#This Row],[Enrolment S.Y. 2025-2026 ]]*8</f>
        <v>2480</v>
      </c>
      <c r="Q59" s="5">
        <v>550</v>
      </c>
      <c r="R59" s="1">
        <v>2025</v>
      </c>
      <c r="S59" s="5" t="s">
        <v>62</v>
      </c>
      <c r="T59" s="5">
        <f t="shared" si="12"/>
        <v>1930</v>
      </c>
      <c r="U59" s="5">
        <f t="shared" si="13"/>
        <v>0</v>
      </c>
      <c r="V59" s="5">
        <f>Table1[[#This Row],[Enrolment S.Y. 2025-2026 ]]*8</f>
        <v>2480</v>
      </c>
      <c r="W59" s="5">
        <v>600</v>
      </c>
      <c r="X59" s="1">
        <v>2025</v>
      </c>
      <c r="Y59" s="5" t="s">
        <v>62</v>
      </c>
      <c r="Z59" s="5">
        <f t="shared" si="14"/>
        <v>1880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310</v>
      </c>
      <c r="D60" s="5">
        <f>Table1[[#This Row],[Enrolment S.Y. 2025-2026 ]]*8</f>
        <v>2480</v>
      </c>
      <c r="E60" s="5"/>
      <c r="F60" s="1"/>
      <c r="G60" s="5"/>
      <c r="H60" s="5">
        <f t="shared" si="2"/>
        <v>2480</v>
      </c>
      <c r="I60" s="5">
        <f t="shared" si="3"/>
        <v>0</v>
      </c>
      <c r="J60" s="5">
        <f>Table1[[#This Row],[Enrolment S.Y. 2025-2026 ]]*8</f>
        <v>2480</v>
      </c>
      <c r="K60" s="5"/>
      <c r="L60" s="1"/>
      <c r="M60" s="5"/>
      <c r="N60" s="5">
        <f t="shared" si="10"/>
        <v>2480</v>
      </c>
      <c r="O60" s="5">
        <f t="shared" si="11"/>
        <v>0</v>
      </c>
      <c r="P60" s="5">
        <f>Table1[[#This Row],[Enrolment S.Y. 2025-2026 ]]*8</f>
        <v>2480</v>
      </c>
      <c r="Q60" s="5"/>
      <c r="R60" s="1"/>
      <c r="S60" s="5"/>
      <c r="T60" s="5">
        <f t="shared" si="12"/>
        <v>2480</v>
      </c>
      <c r="U60" s="5">
        <f t="shared" si="13"/>
        <v>0</v>
      </c>
      <c r="V60" s="5">
        <f>Table1[[#This Row],[Enrolment S.Y. 2025-2026 ]]*8</f>
        <v>2480</v>
      </c>
      <c r="W60" s="5"/>
      <c r="X60" s="1"/>
      <c r="Y60" s="5"/>
      <c r="Z60" s="5">
        <f t="shared" si="14"/>
        <v>2480</v>
      </c>
      <c r="AA60" s="5">
        <f t="shared" si="15"/>
        <v>0</v>
      </c>
    </row>
    <row r="61" spans="1:27" ht="19.5">
      <c r="A61" s="29">
        <v>6</v>
      </c>
      <c r="B61" s="30" t="s">
        <v>19</v>
      </c>
      <c r="C61" s="29">
        <v>310</v>
      </c>
      <c r="D61" s="31">
        <f>Table1[[#This Row],[Enrolment S.Y. 2025-2026 ]]*8</f>
        <v>2480</v>
      </c>
      <c r="E61" s="31"/>
      <c r="F61" s="29"/>
      <c r="G61" s="31"/>
      <c r="H61" s="31">
        <f t="shared" si="2"/>
        <v>2480</v>
      </c>
      <c r="I61" s="31">
        <f t="shared" si="3"/>
        <v>0</v>
      </c>
      <c r="J61" s="31">
        <f>Table1[[#This Row],[Enrolment S.Y. 2025-2026 ]]*8</f>
        <v>2480</v>
      </c>
      <c r="K61" s="31"/>
      <c r="L61" s="29"/>
      <c r="M61" s="31"/>
      <c r="N61" s="31">
        <f t="shared" si="10"/>
        <v>2480</v>
      </c>
      <c r="O61" s="31">
        <f t="shared" si="11"/>
        <v>0</v>
      </c>
      <c r="P61" s="31">
        <f>Table1[[#This Row],[Enrolment S.Y. 2025-2026 ]]*8</f>
        <v>2480</v>
      </c>
      <c r="Q61" s="31">
        <v>300</v>
      </c>
      <c r="R61" s="29">
        <v>2025</v>
      </c>
      <c r="S61" s="31" t="s">
        <v>62</v>
      </c>
      <c r="T61" s="31">
        <f t="shared" si="12"/>
        <v>2180</v>
      </c>
      <c r="U61" s="31">
        <f t="shared" si="13"/>
        <v>0</v>
      </c>
      <c r="V61" s="31">
        <f>Table1[[#This Row],[Enrolment S.Y. 2025-2026 ]]*8</f>
        <v>2480</v>
      </c>
      <c r="W61" s="31">
        <v>550</v>
      </c>
      <c r="X61" s="29">
        <v>2025</v>
      </c>
      <c r="Y61" s="31" t="s">
        <v>62</v>
      </c>
      <c r="Z61" s="31">
        <f t="shared" si="14"/>
        <v>1930</v>
      </c>
      <c r="AA61" s="31">
        <f t="shared" si="15"/>
        <v>0</v>
      </c>
    </row>
    <row r="62" spans="1:27" s="55" customFormat="1" ht="18">
      <c r="A62" s="52"/>
      <c r="B62" s="53"/>
      <c r="C62" s="52"/>
      <c r="D62" s="52"/>
      <c r="E62" s="52"/>
      <c r="F62" s="52"/>
      <c r="G62" s="52"/>
      <c r="H62" s="54"/>
      <c r="I62" s="54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 spans="1:27" s="55" customFormat="1" ht="18">
      <c r="A63" s="52"/>
      <c r="B63" s="53"/>
      <c r="C63" s="52"/>
      <c r="D63" s="52"/>
      <c r="E63" s="52"/>
      <c r="F63" s="52"/>
      <c r="G63" s="52"/>
      <c r="H63" s="54"/>
      <c r="I63" s="54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 spans="1:27" s="55" customFormat="1" ht="18">
      <c r="A64" s="52"/>
      <c r="B64" s="53"/>
      <c r="C64" s="52"/>
      <c r="D64" s="52"/>
      <c r="E64" s="52"/>
      <c r="F64" s="52"/>
      <c r="G64" s="52"/>
      <c r="H64" s="54"/>
      <c r="I64" s="54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 spans="1:27" s="55" customFormat="1" ht="18">
      <c r="A65" s="52"/>
      <c r="B65" s="53"/>
      <c r="C65" s="52"/>
      <c r="D65" s="52"/>
      <c r="E65" s="52"/>
      <c r="F65" s="52"/>
      <c r="G65" s="52"/>
      <c r="H65" s="54"/>
      <c r="I65" s="5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 spans="1:27" s="55" customFormat="1" ht="18">
      <c r="A66" s="52"/>
      <c r="B66" s="53"/>
      <c r="C66" s="52"/>
      <c r="D66" s="52"/>
      <c r="E66" s="52"/>
      <c r="F66" s="52"/>
      <c r="G66" s="52"/>
      <c r="H66" s="54"/>
      <c r="I66" s="54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 spans="1:27" s="55" customFormat="1" ht="18">
      <c r="A67" s="52"/>
      <c r="B67" s="53"/>
      <c r="C67" s="52"/>
      <c r="D67" s="52"/>
      <c r="E67" s="52"/>
      <c r="F67" s="52"/>
      <c r="G67" s="52"/>
      <c r="H67" s="54"/>
      <c r="I67" s="54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 spans="1:27" s="55" customFormat="1" ht="18">
      <c r="A68" s="52"/>
      <c r="B68" s="53"/>
      <c r="C68" s="52"/>
      <c r="D68" s="52"/>
      <c r="E68" s="52"/>
      <c r="F68" s="52"/>
      <c r="G68" s="52"/>
      <c r="H68" s="54"/>
      <c r="I68" s="54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 spans="1:27" s="55" customFormat="1" ht="18">
      <c r="A69" s="52"/>
      <c r="B69" s="53"/>
      <c r="C69" s="52"/>
      <c r="D69" s="52"/>
      <c r="E69" s="52"/>
      <c r="F69" s="52"/>
      <c r="G69" s="52"/>
      <c r="H69" s="54"/>
      <c r="I69" s="54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 spans="1:27" s="55" customFormat="1" ht="18">
      <c r="A70" s="52"/>
      <c r="B70" s="53"/>
      <c r="C70" s="52"/>
      <c r="D70" s="52"/>
      <c r="E70" s="52"/>
      <c r="F70" s="52"/>
      <c r="G70" s="52"/>
      <c r="H70" s="54"/>
      <c r="I70" s="54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 spans="1:27" s="55" customFormat="1" ht="18">
      <c r="A71" s="52"/>
      <c r="B71" s="53"/>
      <c r="C71" s="52"/>
      <c r="D71" s="52"/>
      <c r="E71" s="52"/>
      <c r="F71" s="52"/>
      <c r="G71" s="52"/>
      <c r="H71" s="54"/>
      <c r="I71" s="54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 spans="1:27" s="55" customFormat="1" ht="18">
      <c r="A72" s="52"/>
      <c r="B72" s="53"/>
      <c r="C72" s="52"/>
      <c r="D72" s="52"/>
      <c r="E72" s="52"/>
      <c r="F72" s="52"/>
      <c r="G72" s="52"/>
      <c r="H72" s="54"/>
      <c r="I72" s="54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 spans="1:27" s="55" customFormat="1" ht="18">
      <c r="A73" s="52"/>
      <c r="B73" s="53"/>
      <c r="C73" s="52"/>
      <c r="D73" s="52"/>
      <c r="E73" s="52"/>
      <c r="F73" s="52"/>
      <c r="G73" s="52"/>
      <c r="H73" s="54"/>
      <c r="I73" s="54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 spans="1:27" s="55" customFormat="1" ht="18">
      <c r="A74" s="52"/>
      <c r="B74" s="53"/>
      <c r="C74" s="52"/>
      <c r="D74" s="52"/>
      <c r="E74" s="52"/>
      <c r="F74" s="52"/>
      <c r="G74" s="52"/>
      <c r="H74" s="54"/>
      <c r="I74" s="54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 spans="1:27" s="55" customFormat="1" ht="18">
      <c r="A75" s="52"/>
      <c r="B75" s="53"/>
      <c r="C75" s="52"/>
      <c r="D75" s="52"/>
      <c r="E75" s="52"/>
      <c r="F75" s="52"/>
      <c r="G75" s="52"/>
      <c r="H75" s="54"/>
      <c r="I75" s="54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 spans="1:27" s="55" customFormat="1" ht="18">
      <c r="A76" s="52"/>
      <c r="B76" s="53"/>
      <c r="C76" s="52"/>
      <c r="D76" s="52"/>
      <c r="E76" s="52"/>
      <c r="F76" s="52"/>
      <c r="G76" s="52"/>
      <c r="H76" s="54"/>
      <c r="I76" s="54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 spans="1:27" s="55" customFormat="1" ht="18">
      <c r="A77" s="52"/>
      <c r="B77" s="53"/>
      <c r="C77" s="52"/>
      <c r="D77" s="52"/>
      <c r="E77" s="52"/>
      <c r="F77" s="52"/>
      <c r="G77" s="52"/>
      <c r="H77" s="54"/>
      <c r="I77" s="54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 spans="1:27" s="55" customFormat="1" ht="18">
      <c r="A78" s="52"/>
      <c r="B78" s="53"/>
      <c r="C78" s="52"/>
      <c r="D78" s="52"/>
      <c r="E78" s="52"/>
      <c r="F78" s="52"/>
      <c r="G78" s="52"/>
      <c r="H78" s="54"/>
      <c r="I78" s="54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 spans="1:27" s="55" customFormat="1" ht="18">
      <c r="A79" s="52"/>
      <c r="B79" s="53"/>
      <c r="C79" s="52"/>
      <c r="D79" s="52"/>
      <c r="E79" s="52"/>
      <c r="F79" s="52"/>
      <c r="G79" s="52"/>
      <c r="H79" s="54"/>
      <c r="I79" s="54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 spans="1:27" s="55" customFormat="1" ht="18">
      <c r="A80" s="52"/>
      <c r="B80" s="53"/>
      <c r="C80" s="52"/>
      <c r="D80" s="52"/>
      <c r="E80" s="52"/>
      <c r="F80" s="52"/>
      <c r="G80" s="52"/>
      <c r="H80" s="54"/>
      <c r="I80" s="54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 spans="1:27" s="55" customFormat="1" ht="18">
      <c r="A81" s="52"/>
      <c r="B81" s="53"/>
      <c r="C81" s="52"/>
      <c r="D81" s="52"/>
      <c r="E81" s="52"/>
      <c r="F81" s="52"/>
      <c r="G81" s="52"/>
      <c r="H81" s="54"/>
      <c r="I81" s="54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 spans="1:27" s="55" customFormat="1" ht="18">
      <c r="A82" s="52"/>
      <c r="B82" s="53"/>
      <c r="C82" s="52"/>
      <c r="D82" s="52"/>
      <c r="E82" s="52"/>
      <c r="F82" s="52"/>
      <c r="G82" s="52"/>
      <c r="H82" s="54"/>
      <c r="I82" s="54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 spans="1:27" s="55" customFormat="1" ht="18">
      <c r="A83" s="52"/>
      <c r="B83" s="53"/>
      <c r="C83" s="52"/>
      <c r="D83" s="52"/>
      <c r="E83" s="52"/>
      <c r="F83" s="52"/>
      <c r="G83" s="52"/>
      <c r="H83" s="54"/>
      <c r="I83" s="54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 spans="1:27" s="55" customFormat="1" ht="18">
      <c r="A84" s="52"/>
      <c r="B84" s="53"/>
      <c r="C84" s="52"/>
      <c r="D84" s="52"/>
      <c r="E84" s="52"/>
      <c r="F84" s="52"/>
      <c r="G84" s="52"/>
      <c r="H84" s="54"/>
      <c r="I84" s="54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 spans="1:27" s="55" customFormat="1" ht="18">
      <c r="A85" s="52"/>
      <c r="B85" s="53"/>
      <c r="C85" s="52"/>
      <c r="D85" s="52"/>
      <c r="E85" s="52"/>
      <c r="F85" s="52"/>
      <c r="G85" s="52"/>
      <c r="H85" s="54"/>
      <c r="I85" s="54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 spans="1:27" s="55" customFormat="1" ht="18">
      <c r="A86" s="52"/>
      <c r="B86" s="53"/>
      <c r="C86" s="52"/>
      <c r="D86" s="52"/>
      <c r="E86" s="52"/>
      <c r="F86" s="52"/>
      <c r="G86" s="52"/>
      <c r="H86" s="54"/>
      <c r="I86" s="54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 spans="1:27" s="7" customFormat="1" ht="19.149999999999999">
      <c r="J87" s="56"/>
      <c r="M87" s="57"/>
      <c r="N87" s="56"/>
      <c r="O87" s="56"/>
      <c r="P87" s="56"/>
      <c r="S87" s="57"/>
      <c r="T87" s="56"/>
      <c r="U87" s="56"/>
      <c r="V87" s="56"/>
      <c r="Y87" s="57"/>
      <c r="Z87" s="56"/>
      <c r="AA87" s="56"/>
    </row>
    <row r="88" spans="1:27" ht="19.149999999999999">
      <c r="A88" s="10">
        <v>7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"/>
        <v>0</v>
      </c>
      <c r="I88" s="12">
        <f t="shared" si="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149999999999999">
      <c r="A89" s="10">
        <v>7</v>
      </c>
      <c r="B89" s="11" t="s">
        <v>15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"/>
        <v>0</v>
      </c>
      <c r="I89" s="12">
        <f t="shared" si="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149999999999999">
      <c r="A90" s="10">
        <v>7</v>
      </c>
      <c r="B90" s="11" t="s">
        <v>12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"/>
        <v>0</v>
      </c>
      <c r="I90" s="12">
        <f t="shared" si="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149999999999999">
      <c r="A91" s="10">
        <v>7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"/>
        <v>0</v>
      </c>
      <c r="I91" s="12">
        <f t="shared" si="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ht="19.149999999999999">
      <c r="A92" s="10">
        <v>7</v>
      </c>
      <c r="B92" s="11" t="s">
        <v>16</v>
      </c>
      <c r="C92" s="10"/>
      <c r="D92" s="12">
        <f>Table1[[#This Row],[Enrolment S.Y. 2025-2026 ]]*8</f>
        <v>0</v>
      </c>
      <c r="E92" s="12"/>
      <c r="F92" s="10"/>
      <c r="G92" s="12"/>
      <c r="H92" s="12">
        <f t="shared" si="2"/>
        <v>0</v>
      </c>
      <c r="I92" s="12">
        <f t="shared" si="3"/>
        <v>0</v>
      </c>
      <c r="J92" s="12">
        <f>Table1[[#This Row],[Enrolment S.Y. 2025-2026 ]]*8</f>
        <v>0</v>
      </c>
      <c r="K92" s="12"/>
      <c r="L92" s="10"/>
      <c r="M92" s="12"/>
      <c r="N92" s="12">
        <f t="shared" si="10"/>
        <v>0</v>
      </c>
      <c r="O92" s="12">
        <f t="shared" si="11"/>
        <v>0</v>
      </c>
      <c r="P92" s="12">
        <f>Table1[[#This Row],[Enrolment S.Y. 2025-2026 ]]*8</f>
        <v>0</v>
      </c>
      <c r="Q92" s="12"/>
      <c r="R92" s="10"/>
      <c r="S92" s="12"/>
      <c r="T92" s="12">
        <f t="shared" si="12"/>
        <v>0</v>
      </c>
      <c r="U92" s="12">
        <f t="shared" si="13"/>
        <v>0</v>
      </c>
      <c r="V92" s="12">
        <f>Table1[[#This Row],[Enrolment S.Y. 2025-2026 ]]*8</f>
        <v>0</v>
      </c>
      <c r="W92" s="12"/>
      <c r="X92" s="10"/>
      <c r="Y92" s="12"/>
      <c r="Z92" s="12">
        <f t="shared" si="14"/>
        <v>0</v>
      </c>
      <c r="AA92" s="12">
        <f t="shared" si="15"/>
        <v>0</v>
      </c>
    </row>
    <row r="93" spans="1:27" ht="19.149999999999999">
      <c r="A93" s="10">
        <v>7</v>
      </c>
      <c r="B93" s="11" t="s">
        <v>13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si="2"/>
        <v>0</v>
      </c>
      <c r="I93" s="12">
        <f t="shared" si="3"/>
        <v>0</v>
      </c>
      <c r="J93" s="12">
        <f>Table1[[#This Row],[Enrolment S.Y. 2025-2026 ]]*8</f>
        <v>0</v>
      </c>
      <c r="K93" s="12"/>
      <c r="L93" s="10"/>
      <c r="M93" s="12"/>
      <c r="N93" s="12">
        <f t="shared" si="10"/>
        <v>0</v>
      </c>
      <c r="O93" s="12">
        <f t="shared" si="11"/>
        <v>0</v>
      </c>
      <c r="P93" s="12">
        <f>Table1[[#This Row],[Enrolment S.Y. 2025-2026 ]]*8</f>
        <v>0</v>
      </c>
      <c r="Q93" s="12"/>
      <c r="R93" s="10"/>
      <c r="S93" s="12"/>
      <c r="T93" s="12">
        <f t="shared" si="12"/>
        <v>0</v>
      </c>
      <c r="U93" s="12">
        <f t="shared" si="13"/>
        <v>0</v>
      </c>
      <c r="V93" s="12">
        <f>Table1[[#This Row],[Enrolment S.Y. 2025-2026 ]]*8</f>
        <v>0</v>
      </c>
      <c r="W93" s="12"/>
      <c r="X93" s="10"/>
      <c r="Y93" s="12"/>
      <c r="Z93" s="12">
        <f t="shared" si="14"/>
        <v>0</v>
      </c>
      <c r="AA93" s="12">
        <f t="shared" si="15"/>
        <v>0</v>
      </c>
    </row>
    <row r="94" spans="1:27" ht="19.149999999999999">
      <c r="A94" s="10">
        <v>7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"/>
        <v>0</v>
      </c>
      <c r="I94" s="12">
        <f t="shared" si="3"/>
        <v>0</v>
      </c>
      <c r="J94" s="12">
        <f>Table1[[#This Row],[Enrolment S.Y. 2025-2026 ]]*8</f>
        <v>0</v>
      </c>
      <c r="K94" s="12"/>
      <c r="L94" s="10"/>
      <c r="M94" s="12"/>
      <c r="N94" s="12">
        <f t="shared" si="10"/>
        <v>0</v>
      </c>
      <c r="O94" s="12">
        <f t="shared" si="11"/>
        <v>0</v>
      </c>
      <c r="P94" s="12">
        <f>Table1[[#This Row],[Enrolment S.Y. 2025-2026 ]]*8</f>
        <v>0</v>
      </c>
      <c r="Q94" s="12"/>
      <c r="R94" s="10"/>
      <c r="S94" s="12"/>
      <c r="T94" s="12">
        <f t="shared" si="12"/>
        <v>0</v>
      </c>
      <c r="U94" s="12">
        <f t="shared" si="13"/>
        <v>0</v>
      </c>
      <c r="V94" s="12">
        <f>Table1[[#This Row],[Enrolment S.Y. 2025-2026 ]]*8</f>
        <v>0</v>
      </c>
      <c r="W94" s="12"/>
      <c r="X94" s="10"/>
      <c r="Y94" s="12"/>
      <c r="Z94" s="12">
        <f t="shared" si="14"/>
        <v>0</v>
      </c>
      <c r="AA94" s="12">
        <f t="shared" si="15"/>
        <v>0</v>
      </c>
    </row>
    <row r="95" spans="1:27" ht="19.149999999999999">
      <c r="A95" s="10">
        <v>7</v>
      </c>
      <c r="B95" s="11" t="s">
        <v>21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"/>
        <v>0</v>
      </c>
      <c r="I95" s="12">
        <f t="shared" si="3"/>
        <v>0</v>
      </c>
      <c r="J95" s="12">
        <f>Table1[[#This Row],[Enrolment S.Y. 2025-2026 ]]*8</f>
        <v>0</v>
      </c>
      <c r="K95" s="12"/>
      <c r="L95" s="10"/>
      <c r="M95" s="12"/>
      <c r="N95" s="12">
        <f t="shared" ref="N95:N176" si="16">IF((J95-K95)&lt;0,0,(J95-K95))</f>
        <v>0</v>
      </c>
      <c r="O95" s="12">
        <f t="shared" ref="O95:O176" si="17"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 t="shared" ref="T95:T177" si="18">IF((P95-Q95)&lt;0,0,(P95-Q95))</f>
        <v>0</v>
      </c>
      <c r="U95" s="12">
        <f t="shared" ref="U95:U177" si="19"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 t="shared" ref="Z95:Z177" si="20">IF((V95-W95)&lt;0,0,(V95-W95))</f>
        <v>0</v>
      </c>
      <c r="AA95" s="12">
        <f t="shared" ref="AA95:AA177" si="21">IF((W95-V95)&lt;0,0,(W95-V95))</f>
        <v>0</v>
      </c>
    </row>
    <row r="96" spans="1:27" ht="19.149999999999999">
      <c r="A96" s="10">
        <v>7</v>
      </c>
      <c r="B96" s="11" t="s">
        <v>19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"/>
        <v>0</v>
      </c>
      <c r="I96" s="12">
        <f t="shared" si="3"/>
        <v>0</v>
      </c>
      <c r="J96" s="12">
        <f>Table1[[#This Row],[Enrolment S.Y. 2025-2026 ]]*8</f>
        <v>0</v>
      </c>
      <c r="K96" s="12"/>
      <c r="L96" s="10"/>
      <c r="M96" s="12"/>
      <c r="N96" s="12">
        <f t="shared" si="16"/>
        <v>0</v>
      </c>
      <c r="O96" s="12">
        <f t="shared" si="1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18"/>
        <v>0</v>
      </c>
      <c r="U96" s="12">
        <f t="shared" si="1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20"/>
        <v>0</v>
      </c>
      <c r="AA96" s="12">
        <f t="shared" si="21"/>
        <v>0</v>
      </c>
    </row>
    <row r="97" spans="1:27" s="7" customFormat="1" ht="19.149999999999999">
      <c r="J97" s="13"/>
      <c r="M97" s="5"/>
      <c r="N97" s="13"/>
      <c r="O97" s="13"/>
      <c r="P97" s="13"/>
      <c r="S97" s="5"/>
      <c r="T97" s="13"/>
      <c r="U97" s="13"/>
      <c r="V97" s="13"/>
      <c r="Y97" s="5"/>
      <c r="Z97" s="13"/>
      <c r="AA97" s="13"/>
    </row>
    <row r="98" spans="1:27" ht="19.149999999999999">
      <c r="A98" s="10">
        <v>8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"/>
        <v>0</v>
      </c>
      <c r="I98" s="12">
        <f t="shared" si="3"/>
        <v>0</v>
      </c>
      <c r="J98" s="12">
        <f>Table1[[#This Row],[Enrolment S.Y. 2025-2026 ]]*8</f>
        <v>0</v>
      </c>
      <c r="K98" s="12"/>
      <c r="L98" s="10"/>
      <c r="M98" s="12"/>
      <c r="N98" s="12">
        <f t="shared" si="16"/>
        <v>0</v>
      </c>
      <c r="O98" s="12">
        <f t="shared" si="1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18"/>
        <v>0</v>
      </c>
      <c r="U98" s="12">
        <f t="shared" si="1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20"/>
        <v>0</v>
      </c>
      <c r="AA98" s="12">
        <f t="shared" si="21"/>
        <v>0</v>
      </c>
    </row>
    <row r="99" spans="1:27" ht="19.149999999999999">
      <c r="A99" s="10">
        <v>8</v>
      </c>
      <c r="B99" s="11" t="s">
        <v>15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"/>
        <v>0</v>
      </c>
      <c r="I99" s="12">
        <f t="shared" si="3"/>
        <v>0</v>
      </c>
      <c r="J99" s="12">
        <f>Table1[[#This Row],[Enrolment S.Y. 2025-2026 ]]*8</f>
        <v>0</v>
      </c>
      <c r="K99" s="12"/>
      <c r="L99" s="10"/>
      <c r="M99" s="12"/>
      <c r="N99" s="12">
        <f t="shared" si="16"/>
        <v>0</v>
      </c>
      <c r="O99" s="12">
        <f t="shared" si="1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18"/>
        <v>0</v>
      </c>
      <c r="U99" s="12">
        <f t="shared" si="1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20"/>
        <v>0</v>
      </c>
      <c r="AA99" s="12">
        <f t="shared" si="21"/>
        <v>0</v>
      </c>
    </row>
    <row r="100" spans="1:27" ht="19.149999999999999">
      <c r="A100" s="10">
        <v>8</v>
      </c>
      <c r="B100" s="11" t="s">
        <v>12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"/>
        <v>0</v>
      </c>
      <c r="I100" s="12">
        <f t="shared" si="3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16"/>
        <v>0</v>
      </c>
      <c r="O100" s="12">
        <f t="shared" si="1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18"/>
        <v>0</v>
      </c>
      <c r="U100" s="12">
        <f t="shared" si="1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20"/>
        <v>0</v>
      </c>
      <c r="AA100" s="12">
        <f t="shared" si="21"/>
        <v>0</v>
      </c>
    </row>
    <row r="101" spans="1:27" ht="19.149999999999999">
      <c r="A101" s="10">
        <v>8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"/>
        <v>0</v>
      </c>
      <c r="I101" s="12">
        <f t="shared" si="3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16"/>
        <v>0</v>
      </c>
      <c r="O101" s="12">
        <f t="shared" si="1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18"/>
        <v>0</v>
      </c>
      <c r="U101" s="12">
        <f t="shared" si="1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20"/>
        <v>0</v>
      </c>
      <c r="AA101" s="12">
        <f t="shared" si="21"/>
        <v>0</v>
      </c>
    </row>
    <row r="102" spans="1:27" ht="19.149999999999999">
      <c r="A102" s="10">
        <v>8</v>
      </c>
      <c r="B102" s="11" t="s">
        <v>22</v>
      </c>
      <c r="C102" s="10"/>
      <c r="D102" s="12">
        <f>Table1[[#This Row],[Enrolment S.Y. 2025-2026 ]]*8</f>
        <v>0</v>
      </c>
      <c r="E102" s="12"/>
      <c r="F102" s="10"/>
      <c r="G102" s="12"/>
      <c r="H102" s="12">
        <f t="shared" si="2"/>
        <v>0</v>
      </c>
      <c r="I102" s="12">
        <f t="shared" si="3"/>
        <v>0</v>
      </c>
      <c r="J102" s="12">
        <f>Table1[[#This Row],[Enrolment S.Y. 2025-2026 ]]*8</f>
        <v>0</v>
      </c>
      <c r="K102" s="12"/>
      <c r="L102" s="10"/>
      <c r="M102" s="12"/>
      <c r="N102" s="12">
        <f t="shared" si="16"/>
        <v>0</v>
      </c>
      <c r="O102" s="12">
        <f t="shared" si="17"/>
        <v>0</v>
      </c>
      <c r="P102" s="12">
        <f>Table1[[#This Row],[Enrolment S.Y. 2025-2026 ]]*8</f>
        <v>0</v>
      </c>
      <c r="Q102" s="12"/>
      <c r="R102" s="10"/>
      <c r="S102" s="12"/>
      <c r="T102" s="12">
        <f t="shared" si="18"/>
        <v>0</v>
      </c>
      <c r="U102" s="12">
        <f t="shared" si="19"/>
        <v>0</v>
      </c>
      <c r="V102" s="12">
        <f>Table1[[#This Row],[Enrolment S.Y. 2025-2026 ]]*8</f>
        <v>0</v>
      </c>
      <c r="W102" s="12"/>
      <c r="X102" s="10"/>
      <c r="Y102" s="12"/>
      <c r="Z102" s="12">
        <f t="shared" si="20"/>
        <v>0</v>
      </c>
      <c r="AA102" s="12">
        <f t="shared" si="21"/>
        <v>0</v>
      </c>
    </row>
    <row r="103" spans="1:27" ht="19.149999999999999">
      <c r="A103" s="10">
        <v>8</v>
      </c>
      <c r="B103" s="11" t="s">
        <v>13</v>
      </c>
      <c r="C103" s="10"/>
      <c r="D103" s="12">
        <f>Table1[[#This Row],[Enrolment S.Y. 2025-2026 ]]*8</f>
        <v>0</v>
      </c>
      <c r="E103" s="12"/>
      <c r="F103" s="10"/>
      <c r="G103" s="12"/>
      <c r="H103" s="12">
        <f t="shared" ref="H103:H177" si="22">IF((D103-E103)&lt;0,0,(D103-E103))</f>
        <v>0</v>
      </c>
      <c r="I103" s="12">
        <f t="shared" ref="I103:I177" si="23">IF((E103-D103)&lt;0,0,(E103-D103))</f>
        <v>0</v>
      </c>
      <c r="J103" s="12">
        <f>Table1[[#This Row],[Enrolment S.Y. 2025-2026 ]]*8</f>
        <v>0</v>
      </c>
      <c r="K103" s="12"/>
      <c r="L103" s="10"/>
      <c r="M103" s="12"/>
      <c r="N103" s="12">
        <f t="shared" si="16"/>
        <v>0</v>
      </c>
      <c r="O103" s="12">
        <f t="shared" si="17"/>
        <v>0</v>
      </c>
      <c r="P103" s="12">
        <f>Table1[[#This Row],[Enrolment S.Y. 2025-2026 ]]*8</f>
        <v>0</v>
      </c>
      <c r="Q103" s="12"/>
      <c r="R103" s="10"/>
      <c r="S103" s="12"/>
      <c r="T103" s="12">
        <f t="shared" si="18"/>
        <v>0</v>
      </c>
      <c r="U103" s="12">
        <f t="shared" si="19"/>
        <v>0</v>
      </c>
      <c r="V103" s="12">
        <f>Table1[[#This Row],[Enrolment S.Y. 2025-2026 ]]*8</f>
        <v>0</v>
      </c>
      <c r="W103" s="12"/>
      <c r="X103" s="10"/>
      <c r="Y103" s="12"/>
      <c r="Z103" s="12">
        <f t="shared" si="20"/>
        <v>0</v>
      </c>
      <c r="AA103" s="12">
        <f t="shared" si="21"/>
        <v>0</v>
      </c>
    </row>
    <row r="104" spans="1:27" ht="19.149999999999999">
      <c r="A104" s="10">
        <v>8</v>
      </c>
      <c r="B104" s="11" t="s">
        <v>17</v>
      </c>
      <c r="C104" s="10"/>
      <c r="D104" s="12">
        <f>Table1[[#This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Table1[[#This Row],[Enrolment S.Y. 2025-2026 ]]*8</f>
        <v>0</v>
      </c>
      <c r="K104" s="12"/>
      <c r="L104" s="10"/>
      <c r="M104" s="12"/>
      <c r="N104" s="12">
        <f t="shared" si="16"/>
        <v>0</v>
      </c>
      <c r="O104" s="12">
        <f t="shared" si="17"/>
        <v>0</v>
      </c>
      <c r="P104" s="12">
        <f>Table1[[#This Row],[Enrolment S.Y. 2025-2026 ]]*8</f>
        <v>0</v>
      </c>
      <c r="Q104" s="12"/>
      <c r="R104" s="10"/>
      <c r="S104" s="12"/>
      <c r="T104" s="12">
        <f t="shared" si="18"/>
        <v>0</v>
      </c>
      <c r="U104" s="12">
        <f t="shared" si="19"/>
        <v>0</v>
      </c>
      <c r="V104" s="12">
        <f>Table1[[#This Row],[Enrolment S.Y. 2025-2026 ]]*8</f>
        <v>0</v>
      </c>
      <c r="W104" s="12"/>
      <c r="X104" s="10"/>
      <c r="Y104" s="12"/>
      <c r="Z104" s="12">
        <f t="shared" si="20"/>
        <v>0</v>
      </c>
      <c r="AA104" s="12">
        <f t="shared" si="21"/>
        <v>0</v>
      </c>
    </row>
    <row r="105" spans="1:27" ht="19.149999999999999">
      <c r="A105" s="10">
        <v>8</v>
      </c>
      <c r="B105" s="11" t="s">
        <v>21</v>
      </c>
      <c r="C105" s="10"/>
      <c r="D105" s="12">
        <f>Table1[[#This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Table1[[#This Row],[Enrolment S.Y. 2025-2026 ]]*8</f>
        <v>0</v>
      </c>
      <c r="K105" s="12"/>
      <c r="L105" s="10"/>
      <c r="M105" s="12"/>
      <c r="N105" s="12">
        <f t="shared" si="16"/>
        <v>0</v>
      </c>
      <c r="O105" s="12">
        <f t="shared" si="17"/>
        <v>0</v>
      </c>
      <c r="P105" s="12">
        <f>Table1[[#This Row],[Enrolment S.Y. 2025-2026 ]]*8</f>
        <v>0</v>
      </c>
      <c r="Q105" s="12"/>
      <c r="R105" s="10"/>
      <c r="S105" s="12"/>
      <c r="T105" s="12">
        <f t="shared" si="18"/>
        <v>0</v>
      </c>
      <c r="U105" s="12">
        <f t="shared" si="19"/>
        <v>0</v>
      </c>
      <c r="V105" s="12">
        <f>Table1[[#This Row],[Enrolment S.Y. 2025-2026 ]]*8</f>
        <v>0</v>
      </c>
      <c r="W105" s="12"/>
      <c r="X105" s="10"/>
      <c r="Y105" s="12"/>
      <c r="Z105" s="12">
        <f t="shared" si="20"/>
        <v>0</v>
      </c>
      <c r="AA105" s="12">
        <f t="shared" si="21"/>
        <v>0</v>
      </c>
    </row>
    <row r="106" spans="1:27" ht="19.149999999999999">
      <c r="A106" s="10">
        <v>8</v>
      </c>
      <c r="B106" s="11" t="s">
        <v>19</v>
      </c>
      <c r="C106" s="10"/>
      <c r="D106" s="12">
        <f>Table1[[#This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Table1[[#This Row],[Enrolment S.Y. 2025-2026 ]]*8</f>
        <v>0</v>
      </c>
      <c r="K106" s="12"/>
      <c r="L106" s="10"/>
      <c r="M106" s="12"/>
      <c r="N106" s="12">
        <f t="shared" si="16"/>
        <v>0</v>
      </c>
      <c r="O106" s="12">
        <f t="shared" si="17"/>
        <v>0</v>
      </c>
      <c r="P106" s="12">
        <f>Table1[[#This Row],[Enrolment S.Y. 2025-2026 ]]*8</f>
        <v>0</v>
      </c>
      <c r="Q106" s="12"/>
      <c r="R106" s="10"/>
      <c r="S106" s="12"/>
      <c r="T106" s="12">
        <f t="shared" si="18"/>
        <v>0</v>
      </c>
      <c r="U106" s="12">
        <f t="shared" si="19"/>
        <v>0</v>
      </c>
      <c r="V106" s="12">
        <f>Table1[[#This Row],[Enrolment S.Y. 2025-2026 ]]*8</f>
        <v>0</v>
      </c>
      <c r="W106" s="12"/>
      <c r="X106" s="10"/>
      <c r="Y106" s="12"/>
      <c r="Z106" s="12">
        <f t="shared" si="20"/>
        <v>0</v>
      </c>
      <c r="AA106" s="12">
        <f t="shared" si="21"/>
        <v>0</v>
      </c>
    </row>
    <row r="107" spans="1:27" s="7" customFormat="1" ht="19.149999999999999">
      <c r="J107" s="13"/>
      <c r="M107" s="5"/>
      <c r="N107" s="13"/>
      <c r="O107" s="13"/>
      <c r="P107" s="13"/>
      <c r="S107" s="5"/>
      <c r="T107" s="13"/>
      <c r="U107" s="13"/>
      <c r="V107" s="13"/>
      <c r="Y107" s="5"/>
      <c r="Z107" s="13"/>
      <c r="AA107" s="13"/>
    </row>
    <row r="108" spans="1:27" ht="19.149999999999999">
      <c r="A108" s="10">
        <v>9</v>
      </c>
      <c r="B108" s="11" t="s">
        <v>14</v>
      </c>
      <c r="C108" s="10"/>
      <c r="D108" s="12">
        <f>Table1[[#This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Table1[[#This Row],[Enrolment S.Y. 2025-2026 ]]*8</f>
        <v>0</v>
      </c>
      <c r="K108" s="12"/>
      <c r="L108" s="10"/>
      <c r="M108" s="12"/>
      <c r="N108" s="12">
        <f t="shared" si="16"/>
        <v>0</v>
      </c>
      <c r="O108" s="12">
        <f t="shared" si="17"/>
        <v>0</v>
      </c>
      <c r="P108" s="12">
        <f>Table1[[#This Row],[Enrolment S.Y. 2025-2026 ]]*8</f>
        <v>0</v>
      </c>
      <c r="Q108" s="12"/>
      <c r="R108" s="10"/>
      <c r="S108" s="12"/>
      <c r="T108" s="12">
        <f t="shared" si="18"/>
        <v>0</v>
      </c>
      <c r="U108" s="12">
        <f t="shared" si="19"/>
        <v>0</v>
      </c>
      <c r="V108" s="12">
        <f>Table1[[#This Row],[Enrolment S.Y. 2025-2026 ]]*8</f>
        <v>0</v>
      </c>
      <c r="W108" s="12"/>
      <c r="X108" s="10"/>
      <c r="Y108" s="12"/>
      <c r="Z108" s="12">
        <f t="shared" si="20"/>
        <v>0</v>
      </c>
      <c r="AA108" s="12">
        <f t="shared" si="21"/>
        <v>0</v>
      </c>
    </row>
    <row r="109" spans="1:27" ht="19.149999999999999">
      <c r="A109" s="10">
        <v>9</v>
      </c>
      <c r="B109" s="11" t="s">
        <v>15</v>
      </c>
      <c r="C109" s="10"/>
      <c r="D109" s="12">
        <f>Table1[[#This Row],[Enrolment S.Y. 2025-2026 ]]*8</f>
        <v>0</v>
      </c>
      <c r="E109" s="12"/>
      <c r="F109" s="10"/>
      <c r="G109" s="12"/>
      <c r="H109" s="12">
        <f t="shared" si="22"/>
        <v>0</v>
      </c>
      <c r="I109" s="12">
        <f t="shared" si="23"/>
        <v>0</v>
      </c>
      <c r="J109" s="12">
        <f>Table1[[#This Row],[Enrolment S.Y. 2025-2026 ]]*8</f>
        <v>0</v>
      </c>
      <c r="K109" s="12"/>
      <c r="L109" s="10"/>
      <c r="M109" s="12"/>
      <c r="N109" s="12">
        <f t="shared" si="16"/>
        <v>0</v>
      </c>
      <c r="O109" s="12">
        <f t="shared" si="17"/>
        <v>0</v>
      </c>
      <c r="P109" s="12">
        <f>Table1[[#This Row],[Enrolment S.Y. 2025-2026 ]]*8</f>
        <v>0</v>
      </c>
      <c r="Q109" s="12"/>
      <c r="R109" s="10"/>
      <c r="S109" s="12"/>
      <c r="T109" s="12">
        <f t="shared" si="18"/>
        <v>0</v>
      </c>
      <c r="U109" s="12">
        <f t="shared" si="19"/>
        <v>0</v>
      </c>
      <c r="V109" s="12">
        <f>Table1[[#This Row],[Enrolment S.Y. 2025-2026 ]]*8</f>
        <v>0</v>
      </c>
      <c r="W109" s="12"/>
      <c r="X109" s="10"/>
      <c r="Y109" s="12"/>
      <c r="Z109" s="12">
        <f t="shared" si="20"/>
        <v>0</v>
      </c>
      <c r="AA109" s="12">
        <f t="shared" si="21"/>
        <v>0</v>
      </c>
    </row>
    <row r="110" spans="1:27" ht="19.149999999999999">
      <c r="A110" s="10">
        <v>9</v>
      </c>
      <c r="B110" s="11" t="s">
        <v>12</v>
      </c>
      <c r="C110" s="10"/>
      <c r="D110" s="12">
        <f>Table1[[#This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Table1[[#This Row],[Enrolment S.Y. 2025-2026 ]]*8</f>
        <v>0</v>
      </c>
      <c r="K110" s="12"/>
      <c r="L110" s="10"/>
      <c r="M110" s="12"/>
      <c r="N110" s="12">
        <f t="shared" si="16"/>
        <v>0</v>
      </c>
      <c r="O110" s="12">
        <f t="shared" si="17"/>
        <v>0</v>
      </c>
      <c r="P110" s="12">
        <f>Table1[[#This Row],[Enrolment S.Y. 2025-2026 ]]*8</f>
        <v>0</v>
      </c>
      <c r="Q110" s="12"/>
      <c r="R110" s="10"/>
      <c r="S110" s="12"/>
      <c r="T110" s="12">
        <f t="shared" si="18"/>
        <v>0</v>
      </c>
      <c r="U110" s="12">
        <f t="shared" si="19"/>
        <v>0</v>
      </c>
      <c r="V110" s="12">
        <f>Table1[[#This Row],[Enrolment S.Y. 2025-2026 ]]*8</f>
        <v>0</v>
      </c>
      <c r="W110" s="12"/>
      <c r="X110" s="10"/>
      <c r="Y110" s="12"/>
      <c r="Z110" s="12">
        <f t="shared" si="20"/>
        <v>0</v>
      </c>
      <c r="AA110" s="12">
        <f t="shared" si="21"/>
        <v>0</v>
      </c>
    </row>
    <row r="111" spans="1:27" ht="19.149999999999999">
      <c r="A111" s="46">
        <v>9</v>
      </c>
      <c r="B111" s="47" t="s">
        <v>20</v>
      </c>
      <c r="C111" s="46"/>
      <c r="D111" s="48">
        <f>Table1[[#This Row],[Enrolment S.Y. 2025-2026 ]]*8</f>
        <v>0</v>
      </c>
      <c r="E111" s="48"/>
      <c r="F111" s="46"/>
      <c r="G111" s="48"/>
      <c r="H111" s="48">
        <f t="shared" si="22"/>
        <v>0</v>
      </c>
      <c r="I111" s="48">
        <f t="shared" si="23"/>
        <v>0</v>
      </c>
      <c r="J111" s="48">
        <f>Table1[[#This Row],[Enrolment S.Y. 2025-2026 ]]*8</f>
        <v>0</v>
      </c>
      <c r="K111" s="48"/>
      <c r="L111" s="46"/>
      <c r="M111" s="48"/>
      <c r="N111" s="48">
        <f t="shared" si="16"/>
        <v>0</v>
      </c>
      <c r="O111" s="48">
        <f t="shared" si="17"/>
        <v>0</v>
      </c>
      <c r="P111" s="48">
        <f>Table1[[#This Row],[Enrolment S.Y. 2025-2026 ]]*8</f>
        <v>0</v>
      </c>
      <c r="Q111" s="48"/>
      <c r="R111" s="46"/>
      <c r="S111" s="48"/>
      <c r="T111" s="48">
        <f t="shared" si="18"/>
        <v>0</v>
      </c>
      <c r="U111" s="48">
        <f t="shared" si="19"/>
        <v>0</v>
      </c>
      <c r="V111" s="48">
        <f>Table1[[#This Row],[Enrolment S.Y. 2025-2026 ]]*8</f>
        <v>0</v>
      </c>
      <c r="W111" s="48"/>
      <c r="X111" s="46"/>
      <c r="Y111" s="48"/>
      <c r="Z111" s="48">
        <f t="shared" si="20"/>
        <v>0</v>
      </c>
      <c r="AA111" s="48">
        <f t="shared" si="21"/>
        <v>0</v>
      </c>
    </row>
    <row r="112" spans="1:27" s="55" customFormat="1" ht="18">
      <c r="A112" s="52"/>
      <c r="B112" s="53"/>
      <c r="C112" s="52"/>
      <c r="D112" s="52"/>
      <c r="E112" s="52"/>
      <c r="F112" s="52"/>
      <c r="G112" s="52"/>
      <c r="H112" s="54"/>
      <c r="I112" s="54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 spans="1:27" s="55" customFormat="1" ht="18">
      <c r="A113" s="52"/>
      <c r="B113" s="53"/>
      <c r="C113" s="52"/>
      <c r="D113" s="52"/>
      <c r="E113" s="52"/>
      <c r="F113" s="52"/>
      <c r="G113" s="52"/>
      <c r="H113" s="54"/>
      <c r="I113" s="54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 spans="1:27" s="55" customFormat="1" ht="18">
      <c r="A114" s="52"/>
      <c r="B114" s="53"/>
      <c r="C114" s="52"/>
      <c r="D114" s="52"/>
      <c r="E114" s="52"/>
      <c r="F114" s="52"/>
      <c r="G114" s="52"/>
      <c r="H114" s="54"/>
      <c r="I114" s="54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 spans="1:27" s="55" customFormat="1" ht="18">
      <c r="A115" s="52"/>
      <c r="B115" s="53"/>
      <c r="C115" s="52"/>
      <c r="D115" s="52"/>
      <c r="E115" s="52"/>
      <c r="F115" s="52"/>
      <c r="G115" s="52"/>
      <c r="H115" s="54"/>
      <c r="I115" s="54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 spans="1:27" s="55" customFormat="1" ht="18">
      <c r="A116" s="52"/>
      <c r="B116" s="53"/>
      <c r="C116" s="52"/>
      <c r="D116" s="52"/>
      <c r="E116" s="52"/>
      <c r="F116" s="52"/>
      <c r="G116" s="52"/>
      <c r="H116" s="54"/>
      <c r="I116" s="54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 spans="1:27" s="55" customFormat="1" ht="18">
      <c r="A117" s="52"/>
      <c r="B117" s="53"/>
      <c r="C117" s="52"/>
      <c r="D117" s="52"/>
      <c r="E117" s="52"/>
      <c r="F117" s="52"/>
      <c r="G117" s="52"/>
      <c r="H117" s="54"/>
      <c r="I117" s="54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 spans="1:27" s="55" customFormat="1" ht="18">
      <c r="A118" s="52"/>
      <c r="B118" s="53"/>
      <c r="C118" s="52"/>
      <c r="D118" s="52"/>
      <c r="E118" s="52"/>
      <c r="F118" s="52"/>
      <c r="G118" s="52"/>
      <c r="H118" s="54"/>
      <c r="I118" s="54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 spans="1:27" s="55" customFormat="1" ht="18">
      <c r="A119" s="52"/>
      <c r="B119" s="53"/>
      <c r="C119" s="52"/>
      <c r="D119" s="52"/>
      <c r="E119" s="52"/>
      <c r="F119" s="52"/>
      <c r="G119" s="52"/>
      <c r="H119" s="54"/>
      <c r="I119" s="54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 spans="1:27" s="55" customFormat="1" ht="18">
      <c r="A120" s="52"/>
      <c r="B120" s="53"/>
      <c r="C120" s="52"/>
      <c r="D120" s="52"/>
      <c r="E120" s="52"/>
      <c r="F120" s="52"/>
      <c r="G120" s="52"/>
      <c r="H120" s="54"/>
      <c r="I120" s="54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 spans="1:27" s="55" customFormat="1" ht="18">
      <c r="A121" s="52"/>
      <c r="B121" s="53"/>
      <c r="C121" s="52"/>
      <c r="D121" s="52"/>
      <c r="E121" s="52"/>
      <c r="F121" s="52"/>
      <c r="G121" s="52"/>
      <c r="H121" s="54"/>
      <c r="I121" s="54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 spans="1:27" s="55" customFormat="1" ht="18">
      <c r="A122" s="52"/>
      <c r="B122" s="53"/>
      <c r="C122" s="52"/>
      <c r="D122" s="52"/>
      <c r="E122" s="52"/>
      <c r="F122" s="52"/>
      <c r="G122" s="52"/>
      <c r="H122" s="54"/>
      <c r="I122" s="54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 spans="1:27" s="55" customFormat="1" ht="18">
      <c r="A123" s="52"/>
      <c r="B123" s="53"/>
      <c r="C123" s="52"/>
      <c r="D123" s="52"/>
      <c r="E123" s="52"/>
      <c r="F123" s="52"/>
      <c r="G123" s="52"/>
      <c r="H123" s="54"/>
      <c r="I123" s="54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 spans="1:27" s="55" customFormat="1" ht="18">
      <c r="A124" s="52"/>
      <c r="B124" s="53"/>
      <c r="C124" s="52"/>
      <c r="D124" s="52"/>
      <c r="E124" s="52"/>
      <c r="F124" s="52"/>
      <c r="G124" s="52"/>
      <c r="H124" s="54"/>
      <c r="I124" s="54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 spans="1:27" s="55" customFormat="1" ht="18">
      <c r="A125" s="52"/>
      <c r="B125" s="53"/>
      <c r="C125" s="52"/>
      <c r="D125" s="52"/>
      <c r="E125" s="52"/>
      <c r="F125" s="52"/>
      <c r="G125" s="52"/>
      <c r="H125" s="54"/>
      <c r="I125" s="54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 spans="1:27" s="55" customFormat="1" ht="18">
      <c r="A126" s="52"/>
      <c r="B126" s="53"/>
      <c r="C126" s="52"/>
      <c r="D126" s="52"/>
      <c r="E126" s="52"/>
      <c r="F126" s="52"/>
      <c r="G126" s="52"/>
      <c r="H126" s="54"/>
      <c r="I126" s="54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 spans="1:27" s="55" customFormat="1" ht="18">
      <c r="A127" s="52"/>
      <c r="B127" s="53"/>
      <c r="C127" s="52"/>
      <c r="D127" s="52"/>
      <c r="E127" s="52"/>
      <c r="F127" s="52"/>
      <c r="G127" s="52"/>
      <c r="H127" s="54"/>
      <c r="I127" s="54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 spans="1:27" s="55" customFormat="1" ht="18">
      <c r="A128" s="52"/>
      <c r="B128" s="53"/>
      <c r="C128" s="52"/>
      <c r="D128" s="52"/>
      <c r="E128" s="52"/>
      <c r="F128" s="52"/>
      <c r="G128" s="52"/>
      <c r="H128" s="54"/>
      <c r="I128" s="54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 spans="1:27" s="55" customFormat="1" ht="18">
      <c r="A129" s="52"/>
      <c r="B129" s="53"/>
      <c r="C129" s="52"/>
      <c r="D129" s="52"/>
      <c r="E129" s="52"/>
      <c r="F129" s="52"/>
      <c r="G129" s="52"/>
      <c r="H129" s="54"/>
      <c r="I129" s="54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 spans="1:27" s="55" customFormat="1" ht="18">
      <c r="A130" s="52"/>
      <c r="B130" s="53"/>
      <c r="C130" s="52"/>
      <c r="D130" s="52"/>
      <c r="E130" s="52"/>
      <c r="F130" s="52"/>
      <c r="G130" s="52"/>
      <c r="H130" s="54"/>
      <c r="I130" s="54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 spans="1:27" s="55" customFormat="1" ht="18">
      <c r="A131" s="52"/>
      <c r="B131" s="53"/>
      <c r="C131" s="52"/>
      <c r="D131" s="52"/>
      <c r="E131" s="52"/>
      <c r="F131" s="52"/>
      <c r="G131" s="52"/>
      <c r="H131" s="54"/>
      <c r="I131" s="54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 spans="1:27" s="55" customFormat="1" ht="18">
      <c r="A132" s="52"/>
      <c r="B132" s="53"/>
      <c r="C132" s="52"/>
      <c r="D132" s="52"/>
      <c r="E132" s="52"/>
      <c r="F132" s="52"/>
      <c r="G132" s="52"/>
      <c r="H132" s="54"/>
      <c r="I132" s="54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 spans="1:27" s="55" customFormat="1" ht="18">
      <c r="A133" s="52"/>
      <c r="B133" s="53"/>
      <c r="C133" s="52"/>
      <c r="D133" s="52"/>
      <c r="E133" s="52"/>
      <c r="F133" s="52"/>
      <c r="G133" s="52"/>
      <c r="H133" s="54"/>
      <c r="I133" s="54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 spans="1:27" s="55" customFormat="1" ht="18">
      <c r="A134" s="52"/>
      <c r="B134" s="53"/>
      <c r="C134" s="52"/>
      <c r="D134" s="52"/>
      <c r="E134" s="52"/>
      <c r="F134" s="52"/>
      <c r="G134" s="52"/>
      <c r="H134" s="54"/>
      <c r="I134" s="54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 spans="1:27" s="55" customFormat="1" ht="18">
      <c r="A135" s="52"/>
      <c r="B135" s="53"/>
      <c r="C135" s="52"/>
      <c r="D135" s="52"/>
      <c r="E135" s="52"/>
      <c r="F135" s="52"/>
      <c r="G135" s="52"/>
      <c r="H135" s="54"/>
      <c r="I135" s="54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 spans="1:27" s="55" customFormat="1" ht="18">
      <c r="A136" s="52"/>
      <c r="B136" s="53"/>
      <c r="C136" s="52"/>
      <c r="D136" s="52"/>
      <c r="E136" s="52"/>
      <c r="F136" s="52"/>
      <c r="G136" s="52"/>
      <c r="H136" s="54"/>
      <c r="I136" s="54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 spans="1:27" ht="19.149999999999999">
      <c r="A137" s="49">
        <v>9</v>
      </c>
      <c r="B137" s="50" t="s">
        <v>22</v>
      </c>
      <c r="C137" s="49"/>
      <c r="D137" s="51">
        <f>Table1[[#This Row],[Enrolment S.Y. 2025-2026 ]]*8</f>
        <v>0</v>
      </c>
      <c r="E137" s="51"/>
      <c r="F137" s="49"/>
      <c r="G137" s="51"/>
      <c r="H137" s="51">
        <f t="shared" si="22"/>
        <v>0</v>
      </c>
      <c r="I137" s="51">
        <f t="shared" si="23"/>
        <v>0</v>
      </c>
      <c r="J137" s="51">
        <f>Table1[[#This Row],[Enrolment S.Y. 2025-2026 ]]*8</f>
        <v>0</v>
      </c>
      <c r="K137" s="51"/>
      <c r="L137" s="49"/>
      <c r="M137" s="51"/>
      <c r="N137" s="51">
        <f t="shared" si="16"/>
        <v>0</v>
      </c>
      <c r="O137" s="51">
        <f t="shared" si="17"/>
        <v>0</v>
      </c>
      <c r="P137" s="51">
        <f>Table1[[#This Row],[Enrolment S.Y. 2025-2026 ]]*8</f>
        <v>0</v>
      </c>
      <c r="Q137" s="51"/>
      <c r="R137" s="49"/>
      <c r="S137" s="51"/>
      <c r="T137" s="51">
        <f t="shared" si="18"/>
        <v>0</v>
      </c>
      <c r="U137" s="51">
        <f t="shared" si="19"/>
        <v>0</v>
      </c>
      <c r="V137" s="51">
        <f>Table1[[#This Row],[Enrolment S.Y. 2025-2026 ]]*8</f>
        <v>0</v>
      </c>
      <c r="W137" s="51"/>
      <c r="X137" s="49"/>
      <c r="Y137" s="51"/>
      <c r="Z137" s="51">
        <f t="shared" si="20"/>
        <v>0</v>
      </c>
      <c r="AA137" s="51">
        <f t="shared" si="21"/>
        <v>0</v>
      </c>
    </row>
    <row r="138" spans="1:27" ht="19.149999999999999">
      <c r="A138" s="10">
        <v>9</v>
      </c>
      <c r="B138" s="11" t="s">
        <v>13</v>
      </c>
      <c r="C138" s="10"/>
      <c r="D138" s="12">
        <f>Table1[[#This Row],[Enrolment S.Y. 2025-2026 ]]*8</f>
        <v>0</v>
      </c>
      <c r="E138" s="12"/>
      <c r="F138" s="10"/>
      <c r="G138" s="12"/>
      <c r="H138" s="12">
        <f t="shared" si="22"/>
        <v>0</v>
      </c>
      <c r="I138" s="12">
        <f t="shared" si="23"/>
        <v>0</v>
      </c>
      <c r="J138" s="12">
        <f>Table1[[#This Row],[Enrolment S.Y. 2025-2026 ]]*8</f>
        <v>0</v>
      </c>
      <c r="K138" s="12"/>
      <c r="L138" s="10"/>
      <c r="M138" s="12"/>
      <c r="N138" s="12">
        <f t="shared" si="16"/>
        <v>0</v>
      </c>
      <c r="O138" s="12">
        <f t="shared" si="17"/>
        <v>0</v>
      </c>
      <c r="P138" s="12">
        <f>Table1[[#This Row],[Enrolment S.Y. 2025-2026 ]]*8</f>
        <v>0</v>
      </c>
      <c r="Q138" s="12"/>
      <c r="R138" s="10"/>
      <c r="S138" s="12"/>
      <c r="T138" s="12">
        <f t="shared" si="18"/>
        <v>0</v>
      </c>
      <c r="U138" s="12">
        <f t="shared" si="19"/>
        <v>0</v>
      </c>
      <c r="V138" s="12">
        <f>Table1[[#This Row],[Enrolment S.Y. 2025-2026 ]]*8</f>
        <v>0</v>
      </c>
      <c r="W138" s="12"/>
      <c r="X138" s="10"/>
      <c r="Y138" s="12"/>
      <c r="Z138" s="12">
        <f t="shared" si="20"/>
        <v>0</v>
      </c>
      <c r="AA138" s="12">
        <f t="shared" si="21"/>
        <v>0</v>
      </c>
    </row>
    <row r="139" spans="1:27" ht="19.149999999999999">
      <c r="A139" s="10">
        <v>9</v>
      </c>
      <c r="B139" s="11" t="s">
        <v>17</v>
      </c>
      <c r="C139" s="10"/>
      <c r="D139" s="12">
        <f>Table1[[#This Row],[Enrolment S.Y. 2025-2026 ]]*8</f>
        <v>0</v>
      </c>
      <c r="E139" s="12"/>
      <c r="F139" s="10"/>
      <c r="G139" s="12"/>
      <c r="H139" s="12">
        <f t="shared" si="22"/>
        <v>0</v>
      </c>
      <c r="I139" s="12">
        <f t="shared" si="23"/>
        <v>0</v>
      </c>
      <c r="J139" s="12">
        <f>Table1[[#This Row],[Enrolment S.Y. 2025-2026 ]]*8</f>
        <v>0</v>
      </c>
      <c r="K139" s="12"/>
      <c r="L139" s="10"/>
      <c r="M139" s="12"/>
      <c r="N139" s="12">
        <f t="shared" si="16"/>
        <v>0</v>
      </c>
      <c r="O139" s="12">
        <f t="shared" si="17"/>
        <v>0</v>
      </c>
      <c r="P139" s="12">
        <f>Table1[[#This Row],[Enrolment S.Y. 2025-2026 ]]*8</f>
        <v>0</v>
      </c>
      <c r="Q139" s="12"/>
      <c r="R139" s="10"/>
      <c r="S139" s="12"/>
      <c r="T139" s="12">
        <f t="shared" si="18"/>
        <v>0</v>
      </c>
      <c r="U139" s="12">
        <f t="shared" si="19"/>
        <v>0</v>
      </c>
      <c r="V139" s="12">
        <f>Table1[[#This Row],[Enrolment S.Y. 2025-2026 ]]*8</f>
        <v>0</v>
      </c>
      <c r="W139" s="12"/>
      <c r="X139" s="10"/>
      <c r="Y139" s="12"/>
      <c r="Z139" s="12">
        <f t="shared" si="20"/>
        <v>0</v>
      </c>
      <c r="AA139" s="12">
        <f t="shared" si="21"/>
        <v>0</v>
      </c>
    </row>
    <row r="140" spans="1:27" ht="19.149999999999999">
      <c r="A140" s="10">
        <v>9</v>
      </c>
      <c r="B140" s="11" t="s">
        <v>21</v>
      </c>
      <c r="C140" s="10"/>
      <c r="D140" s="12">
        <f>Table1[[#This Row],[Enrolment S.Y. 2025-2026 ]]*8</f>
        <v>0</v>
      </c>
      <c r="E140" s="12"/>
      <c r="F140" s="10"/>
      <c r="G140" s="12"/>
      <c r="H140" s="12">
        <f t="shared" si="22"/>
        <v>0</v>
      </c>
      <c r="I140" s="12">
        <f t="shared" si="23"/>
        <v>0</v>
      </c>
      <c r="J140" s="12">
        <f>Table1[[#This Row],[Enrolment S.Y. 2025-2026 ]]*8</f>
        <v>0</v>
      </c>
      <c r="K140" s="12"/>
      <c r="L140" s="10"/>
      <c r="M140" s="12"/>
      <c r="N140" s="12">
        <f t="shared" si="16"/>
        <v>0</v>
      </c>
      <c r="O140" s="12">
        <f t="shared" si="17"/>
        <v>0</v>
      </c>
      <c r="P140" s="12">
        <f>Table1[[#This Row],[Enrolment S.Y. 2025-2026 ]]*8</f>
        <v>0</v>
      </c>
      <c r="Q140" s="12"/>
      <c r="R140" s="10"/>
      <c r="S140" s="12"/>
      <c r="T140" s="12">
        <f t="shared" si="18"/>
        <v>0</v>
      </c>
      <c r="U140" s="12">
        <f t="shared" si="19"/>
        <v>0</v>
      </c>
      <c r="V140" s="12">
        <f>Table1[[#This Row],[Enrolment S.Y. 2025-2026 ]]*8</f>
        <v>0</v>
      </c>
      <c r="W140" s="12"/>
      <c r="X140" s="10"/>
      <c r="Y140" s="12"/>
      <c r="Z140" s="12">
        <f t="shared" si="20"/>
        <v>0</v>
      </c>
      <c r="AA140" s="12">
        <f t="shared" si="21"/>
        <v>0</v>
      </c>
    </row>
    <row r="141" spans="1:27" ht="19.149999999999999">
      <c r="A141" s="10">
        <v>9</v>
      </c>
      <c r="B141" s="11" t="s">
        <v>19</v>
      </c>
      <c r="C141" s="10"/>
      <c r="D141" s="12">
        <f>Table1[[#This Row],[Enrolment S.Y. 2025-2026 ]]*8</f>
        <v>0</v>
      </c>
      <c r="E141" s="12"/>
      <c r="F141" s="10"/>
      <c r="G141" s="12"/>
      <c r="H141" s="12">
        <f t="shared" si="22"/>
        <v>0</v>
      </c>
      <c r="I141" s="12">
        <f t="shared" si="23"/>
        <v>0</v>
      </c>
      <c r="J141" s="12">
        <f>Table1[[#This Row],[Enrolment S.Y. 2025-2026 ]]*8</f>
        <v>0</v>
      </c>
      <c r="K141" s="12"/>
      <c r="L141" s="10"/>
      <c r="M141" s="12"/>
      <c r="N141" s="12">
        <f t="shared" si="16"/>
        <v>0</v>
      </c>
      <c r="O141" s="12">
        <f t="shared" si="17"/>
        <v>0</v>
      </c>
      <c r="P141" s="12">
        <f>Table1[[#This Row],[Enrolment S.Y. 2025-2026 ]]*8</f>
        <v>0</v>
      </c>
      <c r="Q141" s="12"/>
      <c r="R141" s="10"/>
      <c r="S141" s="12"/>
      <c r="T141" s="12">
        <f t="shared" si="18"/>
        <v>0</v>
      </c>
      <c r="U141" s="12">
        <f t="shared" si="19"/>
        <v>0</v>
      </c>
      <c r="V141" s="12">
        <f>Table1[[#This Row],[Enrolment S.Y. 2025-2026 ]]*8</f>
        <v>0</v>
      </c>
      <c r="W141" s="12"/>
      <c r="X141" s="10"/>
      <c r="Y141" s="12"/>
      <c r="Z141" s="12">
        <f t="shared" si="20"/>
        <v>0</v>
      </c>
      <c r="AA141" s="12">
        <f t="shared" si="21"/>
        <v>0</v>
      </c>
    </row>
    <row r="142" spans="1:27" s="7" customFormat="1" ht="19.149999999999999">
      <c r="J142" s="13"/>
      <c r="M142" s="5"/>
      <c r="N142" s="13"/>
      <c r="O142" s="13"/>
      <c r="P142" s="13"/>
      <c r="S142" s="5"/>
      <c r="T142" s="13"/>
      <c r="U142" s="13"/>
      <c r="V142" s="13"/>
      <c r="Y142" s="5"/>
      <c r="Z142" s="13"/>
      <c r="AA142" s="13"/>
    </row>
    <row r="143" spans="1:27" ht="19.149999999999999">
      <c r="A143" s="10">
        <v>10</v>
      </c>
      <c r="B143" s="11" t="s">
        <v>14</v>
      </c>
      <c r="C143" s="10"/>
      <c r="D143" s="12">
        <f>Table1[[#This Row],[Enrolment S.Y. 2025-2026 ]]*8</f>
        <v>0</v>
      </c>
      <c r="E143" s="12"/>
      <c r="F143" s="10"/>
      <c r="G143" s="12"/>
      <c r="H143" s="12">
        <f>IF((D143-E143)&lt;0,0,(D143-E143))</f>
        <v>0</v>
      </c>
      <c r="I143" s="12">
        <f>IF((E143-D143)&lt;0,0,(E143-D143))</f>
        <v>0</v>
      </c>
      <c r="J143" s="12">
        <f>Table1[[#This Row],[Enrolment S.Y. 2025-2026 ]]*8</f>
        <v>0</v>
      </c>
      <c r="K143" s="12"/>
      <c r="L143" s="10"/>
      <c r="M143" s="12"/>
      <c r="N143" s="12">
        <f>IF((J143-K143)&lt;0,0,(J143-K143))</f>
        <v>0</v>
      </c>
      <c r="O143" s="12">
        <f>IF((K143-J143)&lt;0,0,(K143-J143))</f>
        <v>0</v>
      </c>
      <c r="P143" s="12">
        <f>Table1[[#This Row],[Enrolment S.Y. 2025-2026 ]]*8</f>
        <v>0</v>
      </c>
      <c r="Q143" s="12"/>
      <c r="R143" s="10"/>
      <c r="S143" s="12"/>
      <c r="T143" s="12">
        <f>IF((P143-Q143)&lt;0,0,(P143-Q143))</f>
        <v>0</v>
      </c>
      <c r="U143" s="12">
        <f>IF((Q143-P143)&lt;0,0,(Q143-P143))</f>
        <v>0</v>
      </c>
      <c r="V143" s="12">
        <f>Table1[[#This Row],[Enrolment S.Y. 2025-2026 ]]*8</f>
        <v>0</v>
      </c>
      <c r="W143" s="12"/>
      <c r="X143" s="10"/>
      <c r="Y143" s="12"/>
      <c r="Z143" s="12">
        <f>IF((V143-W143)&lt;0,0,(V143-W143))</f>
        <v>0</v>
      </c>
      <c r="AA143" s="12">
        <f>IF((W143-V143)&lt;0,0,(W143-V143))</f>
        <v>0</v>
      </c>
    </row>
    <row r="144" spans="1:27" ht="19.149999999999999">
      <c r="A144" s="10">
        <v>10</v>
      </c>
      <c r="B144" s="11" t="s">
        <v>15</v>
      </c>
      <c r="C144" s="10"/>
      <c r="D144" s="12">
        <f>Table1[[#This Row],[Enrolment S.Y. 2025-2026 ]]*8</f>
        <v>0</v>
      </c>
      <c r="E144" s="12"/>
      <c r="F144" s="10"/>
      <c r="G144" s="12"/>
      <c r="H144" s="12">
        <f>IF((D144-E144)&lt;0,0,(D144-E144))</f>
        <v>0</v>
      </c>
      <c r="I144" s="12">
        <f>IF((E144-D144)&lt;0,0,(E144-D144))</f>
        <v>0</v>
      </c>
      <c r="J144" s="12">
        <f>Table1[[#This Row],[Enrolment S.Y. 2025-2026 ]]*8</f>
        <v>0</v>
      </c>
      <c r="K144" s="12"/>
      <c r="L144" s="10"/>
      <c r="M144" s="12"/>
      <c r="N144" s="12">
        <f>IF((J144-K144)&lt;0,0,(J144-K144))</f>
        <v>0</v>
      </c>
      <c r="O144" s="12">
        <f>IF((K144-J144)&lt;0,0,(K144-J144))</f>
        <v>0</v>
      </c>
      <c r="P144" s="12">
        <f>Table1[[#This Row],[Enrolment S.Y. 2025-2026 ]]*8</f>
        <v>0</v>
      </c>
      <c r="Q144" s="12"/>
      <c r="R144" s="10"/>
      <c r="S144" s="12"/>
      <c r="T144" s="12">
        <f>IF((P144-Q144)&lt;0,0,(P144-Q144))</f>
        <v>0</v>
      </c>
      <c r="U144" s="12">
        <f>IF((Q144-P144)&lt;0,0,(Q144-P144))</f>
        <v>0</v>
      </c>
      <c r="V144" s="12">
        <f>Table1[[#This Row],[Enrolment S.Y. 2025-2026 ]]*8</f>
        <v>0</v>
      </c>
      <c r="W144" s="12"/>
      <c r="X144" s="10"/>
      <c r="Y144" s="12"/>
      <c r="Z144" s="12">
        <f>IF((V144-W144)&lt;0,0,(V144-W144))</f>
        <v>0</v>
      </c>
      <c r="AA144" s="12">
        <f>IF((W144-V144)&lt;0,0,(W144-V144))</f>
        <v>0</v>
      </c>
    </row>
    <row r="145" spans="1:27" ht="19.149999999999999">
      <c r="A145" s="10">
        <v>10</v>
      </c>
      <c r="B145" s="11" t="s">
        <v>12</v>
      </c>
      <c r="C145" s="10"/>
      <c r="D145" s="12">
        <f>Table1[[#This Row],[Enrolment S.Y. 2025-2026 ]]*8</f>
        <v>0</v>
      </c>
      <c r="E145" s="12"/>
      <c r="F145" s="10"/>
      <c r="G145" s="12"/>
      <c r="H145" s="12">
        <f>IF((D145-E145)&lt;0,0,(D145-E145))</f>
        <v>0</v>
      </c>
      <c r="I145" s="12">
        <f>IF((E145-D145)&lt;0,0,(E145-D145))</f>
        <v>0</v>
      </c>
      <c r="J145" s="12">
        <f>Table1[[#This Row],[Enrolment S.Y. 2025-2026 ]]*8</f>
        <v>0</v>
      </c>
      <c r="K145" s="12"/>
      <c r="L145" s="10"/>
      <c r="M145" s="12"/>
      <c r="N145" s="12">
        <f>IF((J145-K145)&lt;0,0,(J145-K145))</f>
        <v>0</v>
      </c>
      <c r="O145" s="12">
        <f>IF((K145-J145)&lt;0,0,(K145-J145))</f>
        <v>0</v>
      </c>
      <c r="P145" s="12">
        <f>Table1[[#This Row],[Enrolment S.Y. 2025-2026 ]]*8</f>
        <v>0</v>
      </c>
      <c r="Q145" s="12"/>
      <c r="R145" s="10"/>
      <c r="S145" s="12"/>
      <c r="T145" s="12">
        <f>IF((P145-Q145)&lt;0,0,(P145-Q145))</f>
        <v>0</v>
      </c>
      <c r="U145" s="12">
        <f>IF((Q145-P145)&lt;0,0,(Q145-P145))</f>
        <v>0</v>
      </c>
      <c r="V145" s="12">
        <f>Table1[[#This Row],[Enrolment S.Y. 2025-2026 ]]*8</f>
        <v>0</v>
      </c>
      <c r="W145" s="12"/>
      <c r="X145" s="10"/>
      <c r="Y145" s="12"/>
      <c r="Z145" s="12">
        <f>IF((V145-W145)&lt;0,0,(V145-W145))</f>
        <v>0</v>
      </c>
      <c r="AA145" s="12">
        <f>IF((W145-V145)&lt;0,0,(W145-V145))</f>
        <v>0</v>
      </c>
    </row>
    <row r="146" spans="1:27" ht="19.149999999999999">
      <c r="A146" s="10">
        <v>10</v>
      </c>
      <c r="B146" s="11" t="s">
        <v>20</v>
      </c>
      <c r="C146" s="10"/>
      <c r="D146" s="12">
        <f>Table1[[#This Row],[Enrolment S.Y. 2025-2026 ]]*8</f>
        <v>0</v>
      </c>
      <c r="E146" s="12"/>
      <c r="F146" s="10"/>
      <c r="G146" s="12"/>
      <c r="H146" s="12">
        <f>IF((D146-E146)&lt;0,0,(D146-E146))</f>
        <v>0</v>
      </c>
      <c r="I146" s="12">
        <f>IF((E146-D146)&lt;0,0,(E146-D146))</f>
        <v>0</v>
      </c>
      <c r="J146" s="12">
        <f>Table1[[#This Row],[Enrolment S.Y. 2025-2026 ]]*8</f>
        <v>0</v>
      </c>
      <c r="K146" s="12"/>
      <c r="L146" s="10"/>
      <c r="M146" s="12"/>
      <c r="N146" s="12">
        <f>IF((J146-K146)&lt;0,0,(J146-K146))</f>
        <v>0</v>
      </c>
      <c r="O146" s="12">
        <f>IF((K146-J146)&lt;0,0,(K146-J146))</f>
        <v>0</v>
      </c>
      <c r="P146" s="12">
        <f>Table1[[#This Row],[Enrolment S.Y. 2025-2026 ]]*8</f>
        <v>0</v>
      </c>
      <c r="Q146" s="12"/>
      <c r="R146" s="10"/>
      <c r="S146" s="12"/>
      <c r="T146" s="12">
        <f>IF((P146-Q146)&lt;0,0,(P146-Q146))</f>
        <v>0</v>
      </c>
      <c r="U146" s="12">
        <f>IF((Q146-P146)&lt;0,0,(Q146-P146))</f>
        <v>0</v>
      </c>
      <c r="V146" s="12">
        <f>Table1[[#This Row],[Enrolment S.Y. 2025-2026 ]]*8</f>
        <v>0</v>
      </c>
      <c r="W146" s="12"/>
      <c r="X146" s="10"/>
      <c r="Y146" s="12"/>
      <c r="Z146" s="12">
        <f>IF((V146-W146)&lt;0,0,(V146-W146))</f>
        <v>0</v>
      </c>
      <c r="AA146" s="12">
        <f>IF((W146-V146)&lt;0,0,(W146-V146))</f>
        <v>0</v>
      </c>
    </row>
    <row r="147" spans="1:27" ht="19.149999999999999">
      <c r="A147" s="10">
        <v>10</v>
      </c>
      <c r="B147" s="11" t="s">
        <v>22</v>
      </c>
      <c r="C147" s="10"/>
      <c r="D147" s="12">
        <f>Table1[[#This Row],[Enrolment S.Y. 2025-2026 ]]*8</f>
        <v>0</v>
      </c>
      <c r="E147" s="12"/>
      <c r="F147" s="10"/>
      <c r="G147" s="12"/>
      <c r="H147" s="12">
        <f>IF((D147-E147)&lt;0,0,(D147-E147))</f>
        <v>0</v>
      </c>
      <c r="I147" s="12">
        <f>IF((E147-D147)&lt;0,0,(E147-D147))</f>
        <v>0</v>
      </c>
      <c r="J147" s="12">
        <f>Table1[[#This Row],[Enrolment S.Y. 2025-2026 ]]*8</f>
        <v>0</v>
      </c>
      <c r="K147" s="12"/>
      <c r="L147" s="10"/>
      <c r="M147" s="12"/>
      <c r="N147" s="12">
        <f>IF((J147-K147)&lt;0,0,(J147-K147))</f>
        <v>0</v>
      </c>
      <c r="O147" s="12">
        <f>IF((K147-J147)&lt;0,0,(K147-J147))</f>
        <v>0</v>
      </c>
      <c r="P147" s="12">
        <f>Table1[[#This Row],[Enrolment S.Y. 2025-2026 ]]*8</f>
        <v>0</v>
      </c>
      <c r="Q147" s="12"/>
      <c r="R147" s="10"/>
      <c r="S147" s="12"/>
      <c r="T147" s="12">
        <f>IF((P147-Q147)&lt;0,0,(P147-Q147))</f>
        <v>0</v>
      </c>
      <c r="U147" s="12">
        <f>IF((Q147-P147)&lt;0,0,(Q147-P147))</f>
        <v>0</v>
      </c>
      <c r="V147" s="12">
        <f>Table1[[#This Row],[Enrolment S.Y. 2025-2026 ]]*8</f>
        <v>0</v>
      </c>
      <c r="W147" s="12"/>
      <c r="X147" s="10"/>
      <c r="Y147" s="12"/>
      <c r="Z147" s="12">
        <f>IF((V147-W147)&lt;0,0,(V147-W147))</f>
        <v>0</v>
      </c>
      <c r="AA147" s="12">
        <f>IF((W147-V147)&lt;0,0,(W147-V147))</f>
        <v>0</v>
      </c>
    </row>
    <row r="148" spans="1:27" ht="19.149999999999999">
      <c r="A148" s="10">
        <v>10</v>
      </c>
      <c r="B148" s="11" t="s">
        <v>13</v>
      </c>
      <c r="C148" s="10"/>
      <c r="D148" s="12">
        <f>Table1[[#This Row],[Enrolment S.Y. 2025-2026 ]]*8</f>
        <v>0</v>
      </c>
      <c r="E148" s="12"/>
      <c r="F148" s="10"/>
      <c r="G148" s="12"/>
      <c r="H148" s="12">
        <f>IF((D148-E148)&lt;0,0,(D148-E148))</f>
        <v>0</v>
      </c>
      <c r="I148" s="12">
        <f>IF((E148-D148)&lt;0,0,(E148-D148))</f>
        <v>0</v>
      </c>
      <c r="J148" s="12">
        <f>Table1[[#This Row],[Enrolment S.Y. 2025-2026 ]]*8</f>
        <v>0</v>
      </c>
      <c r="K148" s="12"/>
      <c r="L148" s="10"/>
      <c r="M148" s="12"/>
      <c r="N148" s="12">
        <f>IF((J148-K148)&lt;0,0,(J148-K148))</f>
        <v>0</v>
      </c>
      <c r="O148" s="12">
        <f>IF((K148-J148)&lt;0,0,(K148-J148))</f>
        <v>0</v>
      </c>
      <c r="P148" s="12">
        <f>Table1[[#This Row],[Enrolment S.Y. 2025-2026 ]]*8</f>
        <v>0</v>
      </c>
      <c r="Q148" s="12"/>
      <c r="R148" s="10"/>
      <c r="S148" s="12"/>
      <c r="T148" s="12">
        <f>IF((P148-Q148)&lt;0,0,(P148-Q148))</f>
        <v>0</v>
      </c>
      <c r="U148" s="12">
        <f>IF((Q148-P148)&lt;0,0,(Q148-P148))</f>
        <v>0</v>
      </c>
      <c r="V148" s="12">
        <f>Table1[[#This Row],[Enrolment S.Y. 2025-2026 ]]*8</f>
        <v>0</v>
      </c>
      <c r="W148" s="12"/>
      <c r="X148" s="10"/>
      <c r="Y148" s="12"/>
      <c r="Z148" s="12">
        <f>IF((V148-W148)&lt;0,0,(V148-W148))</f>
        <v>0</v>
      </c>
      <c r="AA148" s="12">
        <f>IF((W148-V148)&lt;0,0,(W148-V148))</f>
        <v>0</v>
      </c>
    </row>
    <row r="149" spans="1:27" ht="19.149999999999999">
      <c r="A149" s="10">
        <v>10</v>
      </c>
      <c r="B149" s="11" t="s">
        <v>17</v>
      </c>
      <c r="C149" s="10"/>
      <c r="D149" s="12">
        <f>Table1[[#This Row],[Enrolment S.Y. 2025-2026 ]]*8</f>
        <v>0</v>
      </c>
      <c r="E149" s="12"/>
      <c r="F149" s="10"/>
      <c r="G149" s="12"/>
      <c r="H149" s="12">
        <f>IF((D149-E149)&lt;0,0,(D149-E149))</f>
        <v>0</v>
      </c>
      <c r="I149" s="12">
        <f>IF((E149-D149)&lt;0,0,(E149-D149))</f>
        <v>0</v>
      </c>
      <c r="J149" s="12">
        <f>Table1[[#This Row],[Enrolment S.Y. 2025-2026 ]]*8</f>
        <v>0</v>
      </c>
      <c r="K149" s="12"/>
      <c r="L149" s="10"/>
      <c r="M149" s="12"/>
      <c r="N149" s="12">
        <f>IF((J149-K149)&lt;0,0,(J149-K149))</f>
        <v>0</v>
      </c>
      <c r="O149" s="12">
        <f>IF((K149-J149)&lt;0,0,(K149-J149))</f>
        <v>0</v>
      </c>
      <c r="P149" s="12">
        <f>Table1[[#This Row],[Enrolment S.Y. 2025-2026 ]]*8</f>
        <v>0</v>
      </c>
      <c r="Q149" s="12"/>
      <c r="R149" s="10"/>
      <c r="S149" s="12"/>
      <c r="T149" s="12">
        <f>IF((P149-Q149)&lt;0,0,(P149-Q149))</f>
        <v>0</v>
      </c>
      <c r="U149" s="12">
        <f>IF((Q149-P149)&lt;0,0,(Q149-P149))</f>
        <v>0</v>
      </c>
      <c r="V149" s="12">
        <f>Table1[[#This Row],[Enrolment S.Y. 2025-2026 ]]*8</f>
        <v>0</v>
      </c>
      <c r="W149" s="12"/>
      <c r="X149" s="10"/>
      <c r="Y149" s="12"/>
      <c r="Z149" s="12">
        <f>IF((V149-W149)&lt;0,0,(V149-W149))</f>
        <v>0</v>
      </c>
      <c r="AA149" s="12">
        <f>IF((W149-V149)&lt;0,0,(W149-V149))</f>
        <v>0</v>
      </c>
    </row>
    <row r="150" spans="1:27" ht="19.149999999999999">
      <c r="A150" s="10">
        <v>10</v>
      </c>
      <c r="B150" s="11" t="s">
        <v>21</v>
      </c>
      <c r="C150" s="10"/>
      <c r="D150" s="12">
        <f>Table1[[#This Row],[Enrolment S.Y. 2025-2026 ]]*8</f>
        <v>0</v>
      </c>
      <c r="E150" s="12"/>
      <c r="F150" s="10"/>
      <c r="G150" s="12"/>
      <c r="H150" s="12">
        <f>IF((D150-E150)&lt;0,0,(D150-E150))</f>
        <v>0</v>
      </c>
      <c r="I150" s="12">
        <f>IF((E150-D150)&lt;0,0,(E150-D150))</f>
        <v>0</v>
      </c>
      <c r="J150" s="12">
        <f>Table1[[#This Row],[Enrolment S.Y. 2025-2026 ]]*8</f>
        <v>0</v>
      </c>
      <c r="K150" s="12"/>
      <c r="L150" s="10"/>
      <c r="M150" s="12"/>
      <c r="N150" s="12">
        <f>IF((J150-K150)&lt;0,0,(J150-K150))</f>
        <v>0</v>
      </c>
      <c r="O150" s="12">
        <f>IF((K150-J150)&lt;0,0,(K150-J150))</f>
        <v>0</v>
      </c>
      <c r="P150" s="12">
        <f>Table1[[#This Row],[Enrolment S.Y. 2025-2026 ]]*8</f>
        <v>0</v>
      </c>
      <c r="Q150" s="12"/>
      <c r="R150" s="10"/>
      <c r="S150" s="12"/>
      <c r="T150" s="12">
        <f>IF((P150-Q150)&lt;0,0,(P150-Q150))</f>
        <v>0</v>
      </c>
      <c r="U150" s="12">
        <f>IF((Q150-P150)&lt;0,0,(Q150-P150))</f>
        <v>0</v>
      </c>
      <c r="V150" s="12">
        <f>Table1[[#This Row],[Enrolment S.Y. 2025-2026 ]]*8</f>
        <v>0</v>
      </c>
      <c r="W150" s="12"/>
      <c r="X150" s="10"/>
      <c r="Y150" s="12"/>
      <c r="Z150" s="12">
        <f>IF((V150-W150)&lt;0,0,(V150-W150))</f>
        <v>0</v>
      </c>
      <c r="AA150" s="12">
        <f>IF((W150-V150)&lt;0,0,(W150-V150))</f>
        <v>0</v>
      </c>
    </row>
    <row r="151" spans="1:27" ht="19.149999999999999">
      <c r="A151" s="10">
        <v>10</v>
      </c>
      <c r="B151" s="11" t="s">
        <v>19</v>
      </c>
      <c r="C151" s="10"/>
      <c r="D151" s="12">
        <f>Table1[[#This Row],[Enrolment S.Y. 2025-2026 ]]*8</f>
        <v>0</v>
      </c>
      <c r="E151" s="12"/>
      <c r="F151" s="10"/>
      <c r="G151" s="12"/>
      <c r="H151" s="12">
        <f>IF((D151-E151)&lt;0,0,(D151-E151))</f>
        <v>0</v>
      </c>
      <c r="I151" s="12">
        <f>IF((E151-D151)&lt;0,0,(E151-D151))</f>
        <v>0</v>
      </c>
      <c r="J151" s="12">
        <f>Table1[[#This Row],[Enrolment S.Y. 2025-2026 ]]*8</f>
        <v>0</v>
      </c>
      <c r="K151" s="12"/>
      <c r="L151" s="10"/>
      <c r="M151" s="12"/>
      <c r="N151" s="12">
        <f>IF((J151-K151)&lt;0,0,(J151-K151))</f>
        <v>0</v>
      </c>
      <c r="O151" s="12">
        <f>IF((K151-J151)&lt;0,0,(K151-J151))</f>
        <v>0</v>
      </c>
      <c r="P151" s="12">
        <f>Table1[[#This Row],[Enrolment S.Y. 2025-2026 ]]*8</f>
        <v>0</v>
      </c>
      <c r="Q151" s="12"/>
      <c r="R151" s="10"/>
      <c r="S151" s="12"/>
      <c r="T151" s="12">
        <f>IF((P151-Q151)&lt;0,0,(P151-Q151))</f>
        <v>0</v>
      </c>
      <c r="U151" s="12">
        <f>IF((Q151-P151)&lt;0,0,(Q151-P151))</f>
        <v>0</v>
      </c>
      <c r="V151" s="12">
        <f>Table1[[#This Row],[Enrolment S.Y. 2025-2026 ]]*8</f>
        <v>0</v>
      </c>
      <c r="W151" s="12"/>
      <c r="X151" s="10"/>
      <c r="Y151" s="12"/>
      <c r="Z151" s="12">
        <f>IF((V151-W151)&lt;0,0,(V151-W151))</f>
        <v>0</v>
      </c>
      <c r="AA151" s="12">
        <f>IF((W151-V151)&lt;0,0,(W151-V151))</f>
        <v>0</v>
      </c>
    </row>
    <row r="152" spans="1:27" s="7" customFormat="1" ht="19.149999999999999">
      <c r="J152" s="13"/>
      <c r="M152" s="5"/>
      <c r="N152" s="13"/>
      <c r="O152" s="13"/>
      <c r="P152" s="13"/>
      <c r="S152" s="5"/>
      <c r="T152" s="13"/>
      <c r="U152" s="13"/>
      <c r="V152" s="13"/>
      <c r="Y152" s="5"/>
      <c r="Z152" s="13"/>
      <c r="AA152" s="13"/>
    </row>
    <row r="153" spans="1:27" ht="38.450000000000003">
      <c r="A153" s="1" t="s">
        <v>23</v>
      </c>
      <c r="B153" s="9" t="s">
        <v>24</v>
      </c>
      <c r="C153" s="1"/>
      <c r="D153" s="5">
        <f>Table1[[#This Row],[Enrolment S.Y. 2025-2026 ]]*8</f>
        <v>0</v>
      </c>
      <c r="E153" s="5"/>
      <c r="F153" s="1"/>
      <c r="G153" s="5"/>
      <c r="H153" s="5">
        <f t="shared" si="22"/>
        <v>0</v>
      </c>
      <c r="I153" s="5">
        <f t="shared" si="23"/>
        <v>0</v>
      </c>
      <c r="J153" s="5">
        <f>Table1[[#This Row],[Enrolment S.Y. 2025-2026 ]]*8</f>
        <v>0</v>
      </c>
      <c r="K153" s="5"/>
      <c r="L153" s="1"/>
      <c r="M153" s="5"/>
      <c r="N153" s="5">
        <f t="shared" si="16"/>
        <v>0</v>
      </c>
      <c r="O153" s="5">
        <f t="shared" si="17"/>
        <v>0</v>
      </c>
      <c r="P153" s="5">
        <f>Table1[[#This Row],[Enrolment S.Y. 2025-2026 ]]*8</f>
        <v>0</v>
      </c>
      <c r="Q153" s="5"/>
      <c r="R153" s="1"/>
      <c r="S153" s="5"/>
      <c r="T153" s="5">
        <f t="shared" si="18"/>
        <v>0</v>
      </c>
      <c r="U153" s="5">
        <f t="shared" si="19"/>
        <v>0</v>
      </c>
      <c r="V153" s="5">
        <f>Table1[[#This Row],[Enrolment S.Y. 2025-2026 ]]*8</f>
        <v>0</v>
      </c>
      <c r="W153" s="5"/>
      <c r="X153" s="1"/>
      <c r="Y153" s="5"/>
      <c r="Z153" s="5">
        <f t="shared" si="20"/>
        <v>0</v>
      </c>
      <c r="AA153" s="5">
        <f t="shared" si="21"/>
        <v>0</v>
      </c>
    </row>
    <row r="154" spans="1:27" ht="19.149999999999999">
      <c r="A154" s="1" t="s">
        <v>23</v>
      </c>
      <c r="B154" s="9" t="s">
        <v>25</v>
      </c>
      <c r="C154" s="1"/>
      <c r="D154" s="5">
        <f>Table1[[#This Row],[Enrolment S.Y. 2025-2026 ]]*8</f>
        <v>0</v>
      </c>
      <c r="E154" s="5"/>
      <c r="F154" s="1"/>
      <c r="G154" s="5"/>
      <c r="H154" s="5">
        <f t="shared" si="22"/>
        <v>0</v>
      </c>
      <c r="I154" s="5">
        <f t="shared" si="23"/>
        <v>0</v>
      </c>
      <c r="J154" s="5">
        <f>Table1[[#This Row],[Enrolment S.Y. 2025-2026 ]]*8</f>
        <v>0</v>
      </c>
      <c r="K154" s="5"/>
      <c r="L154" s="1"/>
      <c r="M154" s="5"/>
      <c r="N154" s="5">
        <f t="shared" si="16"/>
        <v>0</v>
      </c>
      <c r="O154" s="5">
        <f t="shared" si="17"/>
        <v>0</v>
      </c>
      <c r="P154" s="5">
        <f>Table1[[#This Row],[Enrolment S.Y. 2025-2026 ]]*8</f>
        <v>0</v>
      </c>
      <c r="Q154" s="5"/>
      <c r="R154" s="1"/>
      <c r="S154" s="5"/>
      <c r="T154" s="5">
        <f t="shared" si="18"/>
        <v>0</v>
      </c>
      <c r="U154" s="5">
        <f t="shared" si="19"/>
        <v>0</v>
      </c>
      <c r="V154" s="5">
        <f>Table1[[#This Row],[Enrolment S.Y. 2025-2026 ]]*8</f>
        <v>0</v>
      </c>
      <c r="W154" s="5"/>
      <c r="X154" s="1"/>
      <c r="Y154" s="5"/>
      <c r="Z154" s="5">
        <f t="shared" si="20"/>
        <v>0</v>
      </c>
      <c r="AA154" s="5">
        <f t="shared" si="21"/>
        <v>0</v>
      </c>
    </row>
    <row r="155" spans="1:27" ht="19.149999999999999">
      <c r="A155" s="1" t="s">
        <v>23</v>
      </c>
      <c r="B155" s="9" t="s">
        <v>26</v>
      </c>
      <c r="C155" s="1"/>
      <c r="D155" s="5">
        <f>Table1[[#This Row],[Enrolment S.Y. 2025-2026 ]]*8</f>
        <v>0</v>
      </c>
      <c r="E155" s="5"/>
      <c r="F155" s="1"/>
      <c r="G155" s="5"/>
      <c r="H155" s="5">
        <f t="shared" si="22"/>
        <v>0</v>
      </c>
      <c r="I155" s="5">
        <f t="shared" si="23"/>
        <v>0</v>
      </c>
      <c r="J155" s="5">
        <f>Table1[[#This Row],[Enrolment S.Y. 2025-2026 ]]*8</f>
        <v>0</v>
      </c>
      <c r="K155" s="5"/>
      <c r="L155" s="1"/>
      <c r="M155" s="5"/>
      <c r="N155" s="5">
        <f t="shared" si="16"/>
        <v>0</v>
      </c>
      <c r="O155" s="5">
        <f t="shared" si="17"/>
        <v>0</v>
      </c>
      <c r="P155" s="5">
        <f>Table1[[#This Row],[Enrolment S.Y. 2025-2026 ]]*8</f>
        <v>0</v>
      </c>
      <c r="Q155" s="5"/>
      <c r="R155" s="1"/>
      <c r="S155" s="5"/>
      <c r="T155" s="5">
        <f t="shared" si="18"/>
        <v>0</v>
      </c>
      <c r="U155" s="5">
        <f t="shared" si="19"/>
        <v>0</v>
      </c>
      <c r="V155" s="5">
        <f>Table1[[#This Row],[Enrolment S.Y. 2025-2026 ]]*8</f>
        <v>0</v>
      </c>
      <c r="W155" s="5"/>
      <c r="X155" s="1"/>
      <c r="Y155" s="5"/>
      <c r="Z155" s="5">
        <f t="shared" si="20"/>
        <v>0</v>
      </c>
      <c r="AA155" s="5">
        <f t="shared" si="21"/>
        <v>0</v>
      </c>
    </row>
    <row r="156" spans="1:27" ht="19.149999999999999">
      <c r="A156" s="1" t="s">
        <v>23</v>
      </c>
      <c r="B156" s="9" t="s">
        <v>27</v>
      </c>
      <c r="C156" s="1"/>
      <c r="D156" s="5">
        <f>Table1[[#This Row],[Enrolment S.Y. 2025-2026 ]]*8</f>
        <v>0</v>
      </c>
      <c r="E156" s="5"/>
      <c r="F156" s="1"/>
      <c r="G156" s="5"/>
      <c r="H156" s="5">
        <f t="shared" si="22"/>
        <v>0</v>
      </c>
      <c r="I156" s="5">
        <f t="shared" si="23"/>
        <v>0</v>
      </c>
      <c r="J156" s="5">
        <f>Table1[[#This Row],[Enrolment S.Y. 2025-2026 ]]*8</f>
        <v>0</v>
      </c>
      <c r="K156" s="5"/>
      <c r="L156" s="1"/>
      <c r="M156" s="5"/>
      <c r="N156" s="5">
        <f t="shared" si="16"/>
        <v>0</v>
      </c>
      <c r="O156" s="5">
        <f t="shared" si="17"/>
        <v>0</v>
      </c>
      <c r="P156" s="5">
        <f>Table1[[#This Row],[Enrolment S.Y. 2025-2026 ]]*8</f>
        <v>0</v>
      </c>
      <c r="Q156" s="5"/>
      <c r="R156" s="1"/>
      <c r="S156" s="5"/>
      <c r="T156" s="5">
        <f t="shared" si="18"/>
        <v>0</v>
      </c>
      <c r="U156" s="5">
        <f t="shared" si="19"/>
        <v>0</v>
      </c>
      <c r="V156" s="5">
        <f>Table1[[#This Row],[Enrolment S.Y. 2025-2026 ]]*8</f>
        <v>0</v>
      </c>
      <c r="W156" s="5"/>
      <c r="X156" s="1"/>
      <c r="Y156" s="5"/>
      <c r="Z156" s="5">
        <f t="shared" si="20"/>
        <v>0</v>
      </c>
      <c r="AA156" s="5">
        <f t="shared" si="21"/>
        <v>0</v>
      </c>
    </row>
    <row r="157" spans="1:27" ht="38.450000000000003">
      <c r="A157" s="1" t="s">
        <v>23</v>
      </c>
      <c r="B157" s="9" t="s">
        <v>28</v>
      </c>
      <c r="C157" s="1"/>
      <c r="D157" s="5">
        <f>Table1[[#This Row],[Enrolment S.Y. 2025-2026 ]]*8</f>
        <v>0</v>
      </c>
      <c r="E157" s="5"/>
      <c r="F157" s="1"/>
      <c r="G157" s="5"/>
      <c r="H157" s="5">
        <f t="shared" si="22"/>
        <v>0</v>
      </c>
      <c r="I157" s="5">
        <f t="shared" si="23"/>
        <v>0</v>
      </c>
      <c r="J157" s="5">
        <f>Table1[[#This Row],[Enrolment S.Y. 2025-2026 ]]*8</f>
        <v>0</v>
      </c>
      <c r="K157" s="5"/>
      <c r="L157" s="1"/>
      <c r="M157" s="5"/>
      <c r="N157" s="5">
        <f t="shared" si="16"/>
        <v>0</v>
      </c>
      <c r="O157" s="5">
        <f t="shared" si="17"/>
        <v>0</v>
      </c>
      <c r="P157" s="5">
        <f>Table1[[#This Row],[Enrolment S.Y. 2025-2026 ]]*8</f>
        <v>0</v>
      </c>
      <c r="Q157" s="5"/>
      <c r="R157" s="1"/>
      <c r="S157" s="5"/>
      <c r="T157" s="5">
        <f t="shared" si="18"/>
        <v>0</v>
      </c>
      <c r="U157" s="5">
        <f t="shared" si="19"/>
        <v>0</v>
      </c>
      <c r="V157" s="5">
        <f>Table1[[#This Row],[Enrolment S.Y. 2025-2026 ]]*8</f>
        <v>0</v>
      </c>
      <c r="W157" s="5"/>
      <c r="X157" s="1"/>
      <c r="Y157" s="5"/>
      <c r="Z157" s="5">
        <f t="shared" si="20"/>
        <v>0</v>
      </c>
      <c r="AA157" s="5">
        <f t="shared" si="21"/>
        <v>0</v>
      </c>
    </row>
    <row r="158" spans="1:27" ht="19.149999999999999">
      <c r="A158" s="1" t="s">
        <v>23</v>
      </c>
      <c r="B158" s="9" t="s">
        <v>29</v>
      </c>
      <c r="C158" s="1"/>
      <c r="D158" s="5">
        <f>Table1[[#This Row],[Enrolment S.Y. 2025-2026 ]]*8</f>
        <v>0</v>
      </c>
      <c r="E158" s="5"/>
      <c r="F158" s="1"/>
      <c r="G158" s="5"/>
      <c r="H158" s="5">
        <f t="shared" si="22"/>
        <v>0</v>
      </c>
      <c r="I158" s="5">
        <f t="shared" si="23"/>
        <v>0</v>
      </c>
      <c r="J158" s="5">
        <f>Table1[[#This Row],[Enrolment S.Y. 2025-2026 ]]*8</f>
        <v>0</v>
      </c>
      <c r="K158" s="5"/>
      <c r="L158" s="1"/>
      <c r="M158" s="5"/>
      <c r="N158" s="5">
        <f t="shared" si="16"/>
        <v>0</v>
      </c>
      <c r="O158" s="5">
        <f t="shared" si="17"/>
        <v>0</v>
      </c>
      <c r="P158" s="5">
        <f>Table1[[#This Row],[Enrolment S.Y. 2025-2026 ]]*8</f>
        <v>0</v>
      </c>
      <c r="Q158" s="5"/>
      <c r="R158" s="1"/>
      <c r="S158" s="5"/>
      <c r="T158" s="5">
        <f t="shared" si="18"/>
        <v>0</v>
      </c>
      <c r="U158" s="5">
        <f t="shared" si="19"/>
        <v>0</v>
      </c>
      <c r="V158" s="5">
        <f>Table1[[#This Row],[Enrolment S.Y. 2025-2026 ]]*8</f>
        <v>0</v>
      </c>
      <c r="W158" s="5"/>
      <c r="X158" s="1"/>
      <c r="Y158" s="5"/>
      <c r="Z158" s="5">
        <f t="shared" si="20"/>
        <v>0</v>
      </c>
      <c r="AA158" s="5">
        <f t="shared" si="21"/>
        <v>0</v>
      </c>
    </row>
    <row r="159" spans="1:27" ht="38.450000000000003">
      <c r="A159" s="1" t="s">
        <v>23</v>
      </c>
      <c r="B159" s="9" t="s">
        <v>30</v>
      </c>
      <c r="C159" s="1"/>
      <c r="D159" s="5">
        <f>Table1[[#This Row],[Enrolment S.Y. 2025-2026 ]]*8</f>
        <v>0</v>
      </c>
      <c r="E159" s="5"/>
      <c r="F159" s="1"/>
      <c r="G159" s="5"/>
      <c r="H159" s="5">
        <f t="shared" si="22"/>
        <v>0</v>
      </c>
      <c r="I159" s="5">
        <f t="shared" si="23"/>
        <v>0</v>
      </c>
      <c r="J159" s="5">
        <f>Table1[[#This Row],[Enrolment S.Y. 2025-2026 ]]*8</f>
        <v>0</v>
      </c>
      <c r="K159" s="5"/>
      <c r="L159" s="1"/>
      <c r="M159" s="5"/>
      <c r="N159" s="5">
        <f t="shared" si="16"/>
        <v>0</v>
      </c>
      <c r="O159" s="5">
        <f t="shared" si="17"/>
        <v>0</v>
      </c>
      <c r="P159" s="5">
        <f>Table1[[#This Row],[Enrolment S.Y. 2025-2026 ]]*8</f>
        <v>0</v>
      </c>
      <c r="Q159" s="5"/>
      <c r="R159" s="1"/>
      <c r="S159" s="5"/>
      <c r="T159" s="5">
        <f t="shared" si="18"/>
        <v>0</v>
      </c>
      <c r="U159" s="5">
        <f t="shared" si="19"/>
        <v>0</v>
      </c>
      <c r="V159" s="5">
        <f>Table1[[#This Row],[Enrolment S.Y. 2025-2026 ]]*8</f>
        <v>0</v>
      </c>
      <c r="W159" s="5"/>
      <c r="X159" s="1"/>
      <c r="Y159" s="5"/>
      <c r="Z159" s="5">
        <f t="shared" si="20"/>
        <v>0</v>
      </c>
      <c r="AA159" s="5">
        <f t="shared" si="21"/>
        <v>0</v>
      </c>
    </row>
    <row r="160" spans="1:27" ht="38.450000000000003">
      <c r="A160" s="1" t="s">
        <v>23</v>
      </c>
      <c r="B160" s="9" t="s">
        <v>31</v>
      </c>
      <c r="C160" s="1"/>
      <c r="D160" s="5">
        <f>Table1[[#This Row],[Enrolment S.Y. 2025-2026 ]]*8</f>
        <v>0</v>
      </c>
      <c r="E160" s="5"/>
      <c r="F160" s="1"/>
      <c r="G160" s="5"/>
      <c r="H160" s="5">
        <f t="shared" si="22"/>
        <v>0</v>
      </c>
      <c r="I160" s="5">
        <f t="shared" si="23"/>
        <v>0</v>
      </c>
      <c r="J160" s="5">
        <f>Table1[[#This Row],[Enrolment S.Y. 2025-2026 ]]*8</f>
        <v>0</v>
      </c>
      <c r="K160" s="5"/>
      <c r="L160" s="1"/>
      <c r="M160" s="5"/>
      <c r="N160" s="5">
        <f t="shared" si="16"/>
        <v>0</v>
      </c>
      <c r="O160" s="5">
        <f t="shared" si="17"/>
        <v>0</v>
      </c>
      <c r="P160" s="5">
        <f>Table1[[#This Row],[Enrolment S.Y. 2025-2026 ]]*8</f>
        <v>0</v>
      </c>
      <c r="Q160" s="5"/>
      <c r="R160" s="1"/>
      <c r="S160" s="5"/>
      <c r="T160" s="5">
        <f t="shared" si="18"/>
        <v>0</v>
      </c>
      <c r="U160" s="5">
        <f t="shared" si="19"/>
        <v>0</v>
      </c>
      <c r="V160" s="5">
        <f>Table1[[#This Row],[Enrolment S.Y. 2025-2026 ]]*8</f>
        <v>0</v>
      </c>
      <c r="W160" s="5"/>
      <c r="X160" s="1"/>
      <c r="Y160" s="5"/>
      <c r="Z160" s="5">
        <f t="shared" si="20"/>
        <v>0</v>
      </c>
      <c r="AA160" s="5">
        <f t="shared" si="21"/>
        <v>0</v>
      </c>
    </row>
    <row r="161" spans="1:27" s="7" customFormat="1" ht="19.149999999999999">
      <c r="J161" s="13"/>
      <c r="N161" s="13"/>
      <c r="O161" s="13"/>
      <c r="P161" s="13"/>
      <c r="T161" s="13"/>
      <c r="U161" s="13"/>
      <c r="V161" s="13"/>
      <c r="Z161" s="13"/>
      <c r="AA161" s="13"/>
    </row>
    <row r="162" spans="1:27" ht="19.149999999999999">
      <c r="A162" s="1"/>
      <c r="B162" s="9"/>
      <c r="C162" s="1"/>
      <c r="D162" s="5"/>
      <c r="E162" s="5"/>
      <c r="F162" s="1"/>
      <c r="G162" s="5"/>
      <c r="H162" s="5">
        <f t="shared" si="22"/>
        <v>0</v>
      </c>
      <c r="I162" s="5">
        <f t="shared" si="23"/>
        <v>0</v>
      </c>
      <c r="J162" s="5">
        <f>Table1[[#This Row],[Enrolment S.Y. 2025-2026 ]]*8</f>
        <v>0</v>
      </c>
      <c r="K162" s="5"/>
      <c r="L162" s="1"/>
      <c r="M162" s="5"/>
      <c r="N162" s="5">
        <f t="shared" si="16"/>
        <v>0</v>
      </c>
      <c r="O162" s="5">
        <f t="shared" si="17"/>
        <v>0</v>
      </c>
      <c r="P162" s="5">
        <f>Table1[[#This Row],[Enrolment S.Y. 2025-2026 ]]*8</f>
        <v>0</v>
      </c>
      <c r="Q162" s="5"/>
      <c r="R162" s="1"/>
      <c r="S162" s="5"/>
      <c r="T162" s="5">
        <f t="shared" si="18"/>
        <v>0</v>
      </c>
      <c r="U162" s="5">
        <f t="shared" si="19"/>
        <v>0</v>
      </c>
      <c r="V162" s="5">
        <f>Table1[[#This Row],[Enrolment S.Y. 2025-2026 ]]*8</f>
        <v>0</v>
      </c>
      <c r="W162" s="5"/>
      <c r="X162" s="1"/>
      <c r="Y162" s="5"/>
      <c r="Z162" s="5">
        <f t="shared" si="20"/>
        <v>0</v>
      </c>
      <c r="AA162" s="5">
        <f t="shared" si="21"/>
        <v>0</v>
      </c>
    </row>
    <row r="163" spans="1:27" ht="19.149999999999999">
      <c r="A163" s="1"/>
      <c r="B163" s="9"/>
      <c r="C163" s="1"/>
      <c r="D163" s="5"/>
      <c r="E163" s="5"/>
      <c r="F163" s="1"/>
      <c r="G163" s="5"/>
      <c r="H163" s="5">
        <f t="shared" si="22"/>
        <v>0</v>
      </c>
      <c r="I163" s="5">
        <f t="shared" si="23"/>
        <v>0</v>
      </c>
      <c r="J163" s="5">
        <f>Table1[[#This Row],[Enrolment S.Y. 2025-2026 ]]*8</f>
        <v>0</v>
      </c>
      <c r="K163" s="5"/>
      <c r="L163" s="1"/>
      <c r="M163" s="5"/>
      <c r="N163" s="5">
        <f t="shared" si="16"/>
        <v>0</v>
      </c>
      <c r="O163" s="5">
        <f t="shared" si="17"/>
        <v>0</v>
      </c>
      <c r="P163" s="5">
        <f>Table1[[#This Row],[Enrolment S.Y. 2025-2026 ]]*8</f>
        <v>0</v>
      </c>
      <c r="Q163" s="5"/>
      <c r="R163" s="1"/>
      <c r="S163" s="5"/>
      <c r="T163" s="5">
        <f t="shared" si="18"/>
        <v>0</v>
      </c>
      <c r="U163" s="5">
        <f t="shared" si="19"/>
        <v>0</v>
      </c>
      <c r="V163" s="5">
        <f>Table1[[#This Row],[Enrolment S.Y. 2025-2026 ]]*8</f>
        <v>0</v>
      </c>
      <c r="W163" s="5"/>
      <c r="X163" s="1"/>
      <c r="Y163" s="5"/>
      <c r="Z163" s="5">
        <f t="shared" si="20"/>
        <v>0</v>
      </c>
      <c r="AA163" s="5">
        <f t="shared" si="21"/>
        <v>0</v>
      </c>
    </row>
    <row r="164" spans="1:27" ht="19.149999999999999">
      <c r="A164" s="1"/>
      <c r="B164" s="9"/>
      <c r="C164" s="1"/>
      <c r="D164" s="5"/>
      <c r="E164" s="5"/>
      <c r="F164" s="1"/>
      <c r="G164" s="5"/>
      <c r="H164" s="5">
        <f t="shared" si="22"/>
        <v>0</v>
      </c>
      <c r="I164" s="5">
        <f t="shared" si="23"/>
        <v>0</v>
      </c>
      <c r="J164" s="5">
        <f>Table1[[#This Row],[Enrolment S.Y. 2025-2026 ]]*8</f>
        <v>0</v>
      </c>
      <c r="K164" s="5"/>
      <c r="L164" s="1"/>
      <c r="M164" s="5"/>
      <c r="N164" s="5">
        <f t="shared" si="16"/>
        <v>0</v>
      </c>
      <c r="O164" s="5">
        <f t="shared" si="17"/>
        <v>0</v>
      </c>
      <c r="P164" s="5">
        <f>Table1[[#This Row],[Enrolment S.Y. 2025-2026 ]]*8</f>
        <v>0</v>
      </c>
      <c r="Q164" s="5"/>
      <c r="R164" s="1"/>
      <c r="S164" s="5"/>
      <c r="T164" s="5">
        <f t="shared" si="18"/>
        <v>0</v>
      </c>
      <c r="U164" s="5">
        <f t="shared" si="19"/>
        <v>0</v>
      </c>
      <c r="V164" s="5">
        <f>Table1[[#This Row],[Enrolment S.Y. 2025-2026 ]]*8</f>
        <v>0</v>
      </c>
      <c r="W164" s="5"/>
      <c r="X164" s="1"/>
      <c r="Y164" s="5"/>
      <c r="Z164" s="5">
        <f t="shared" si="20"/>
        <v>0</v>
      </c>
      <c r="AA164" s="5">
        <f t="shared" si="21"/>
        <v>0</v>
      </c>
    </row>
    <row r="165" spans="1:27" ht="19.149999999999999">
      <c r="A165" s="1"/>
      <c r="B165" s="9"/>
      <c r="C165" s="1"/>
      <c r="D165" s="5"/>
      <c r="E165" s="5"/>
      <c r="F165" s="1"/>
      <c r="G165" s="5"/>
      <c r="H165" s="5">
        <f t="shared" si="22"/>
        <v>0</v>
      </c>
      <c r="I165" s="5">
        <f t="shared" si="23"/>
        <v>0</v>
      </c>
      <c r="J165" s="5">
        <f>Table1[[#This Row],[Enrolment S.Y. 2025-2026 ]]*8</f>
        <v>0</v>
      </c>
      <c r="K165" s="5"/>
      <c r="L165" s="1"/>
      <c r="M165" s="5"/>
      <c r="N165" s="5">
        <f t="shared" si="16"/>
        <v>0</v>
      </c>
      <c r="O165" s="5">
        <f t="shared" si="17"/>
        <v>0</v>
      </c>
      <c r="P165" s="5">
        <f>Table1[[#This Row],[Enrolment S.Y. 2025-2026 ]]*8</f>
        <v>0</v>
      </c>
      <c r="Q165" s="5"/>
      <c r="R165" s="1"/>
      <c r="S165" s="5"/>
      <c r="T165" s="5">
        <f t="shared" si="18"/>
        <v>0</v>
      </c>
      <c r="U165" s="5">
        <f t="shared" si="19"/>
        <v>0</v>
      </c>
      <c r="V165" s="5">
        <f>Table1[[#This Row],[Enrolment S.Y. 2025-2026 ]]*8</f>
        <v>0</v>
      </c>
      <c r="W165" s="5"/>
      <c r="X165" s="1"/>
      <c r="Y165" s="5"/>
      <c r="Z165" s="5">
        <f t="shared" si="20"/>
        <v>0</v>
      </c>
      <c r="AA165" s="5">
        <f t="shared" si="21"/>
        <v>0</v>
      </c>
    </row>
    <row r="166" spans="1:27" ht="19.149999999999999">
      <c r="A166" s="1"/>
      <c r="B166" s="9"/>
      <c r="C166" s="1"/>
      <c r="D166" s="5"/>
      <c r="E166" s="5"/>
      <c r="F166" s="1"/>
      <c r="G166" s="5"/>
      <c r="H166" s="5">
        <f t="shared" si="22"/>
        <v>0</v>
      </c>
      <c r="I166" s="5">
        <f t="shared" si="23"/>
        <v>0</v>
      </c>
      <c r="J166" s="5">
        <f>Table1[[#This Row],[Enrolment S.Y. 2025-2026 ]]*8</f>
        <v>0</v>
      </c>
      <c r="K166" s="5"/>
      <c r="L166" s="1"/>
      <c r="M166" s="5"/>
      <c r="N166" s="5">
        <f t="shared" si="16"/>
        <v>0</v>
      </c>
      <c r="O166" s="5">
        <f t="shared" si="17"/>
        <v>0</v>
      </c>
      <c r="P166" s="5">
        <f>Table1[[#This Row],[Enrolment S.Y. 2025-2026 ]]*8</f>
        <v>0</v>
      </c>
      <c r="Q166" s="5"/>
      <c r="R166" s="1"/>
      <c r="S166" s="5"/>
      <c r="T166" s="5">
        <f t="shared" si="18"/>
        <v>0</v>
      </c>
      <c r="U166" s="5">
        <f t="shared" si="19"/>
        <v>0</v>
      </c>
      <c r="V166" s="5">
        <f>Table1[[#This Row],[Enrolment S.Y. 2025-2026 ]]*8</f>
        <v>0</v>
      </c>
      <c r="W166" s="5"/>
      <c r="X166" s="1"/>
      <c r="Y166" s="5"/>
      <c r="Z166" s="5">
        <f t="shared" si="20"/>
        <v>0</v>
      </c>
      <c r="AA166" s="5">
        <f t="shared" si="21"/>
        <v>0</v>
      </c>
    </row>
    <row r="167" spans="1:27" ht="19.149999999999999">
      <c r="A167" s="1"/>
      <c r="B167" s="9"/>
      <c r="C167" s="1"/>
      <c r="D167" s="5"/>
      <c r="E167" s="5"/>
      <c r="F167" s="1"/>
      <c r="G167" s="5"/>
      <c r="H167" s="5">
        <f t="shared" si="22"/>
        <v>0</v>
      </c>
      <c r="I167" s="5">
        <f t="shared" si="23"/>
        <v>0</v>
      </c>
      <c r="J167" s="5">
        <f>Table1[[#This Row],[Enrolment S.Y. 2025-2026 ]]*8</f>
        <v>0</v>
      </c>
      <c r="K167" s="5"/>
      <c r="L167" s="1"/>
      <c r="M167" s="5"/>
      <c r="N167" s="5">
        <f t="shared" si="16"/>
        <v>0</v>
      </c>
      <c r="O167" s="5">
        <f t="shared" si="17"/>
        <v>0</v>
      </c>
      <c r="P167" s="5">
        <f>Table1[[#This Row],[Enrolment S.Y. 2025-2026 ]]*8</f>
        <v>0</v>
      </c>
      <c r="Q167" s="5"/>
      <c r="R167" s="1"/>
      <c r="S167" s="5"/>
      <c r="T167" s="5">
        <f t="shared" si="18"/>
        <v>0</v>
      </c>
      <c r="U167" s="5">
        <f t="shared" si="19"/>
        <v>0</v>
      </c>
      <c r="V167" s="5">
        <f>Table1[[#This Row],[Enrolment S.Y. 2025-2026 ]]*8</f>
        <v>0</v>
      </c>
      <c r="W167" s="5"/>
      <c r="X167" s="1"/>
      <c r="Y167" s="5"/>
      <c r="Z167" s="5">
        <f t="shared" si="20"/>
        <v>0</v>
      </c>
      <c r="AA167" s="5">
        <f t="shared" si="21"/>
        <v>0</v>
      </c>
    </row>
    <row r="168" spans="1:27" ht="19.149999999999999">
      <c r="A168" s="1"/>
      <c r="B168" s="9"/>
      <c r="C168" s="1"/>
      <c r="D168" s="5"/>
      <c r="E168" s="5"/>
      <c r="F168" s="1"/>
      <c r="G168" s="5"/>
      <c r="H168" s="5">
        <f t="shared" si="22"/>
        <v>0</v>
      </c>
      <c r="I168" s="5">
        <f t="shared" si="23"/>
        <v>0</v>
      </c>
      <c r="J168" s="5">
        <f>Table1[[#This Row],[Enrolment S.Y. 2025-2026 ]]*8</f>
        <v>0</v>
      </c>
      <c r="K168" s="5"/>
      <c r="L168" s="1"/>
      <c r="M168" s="5"/>
      <c r="N168" s="5">
        <f t="shared" si="16"/>
        <v>0</v>
      </c>
      <c r="O168" s="5">
        <f t="shared" si="17"/>
        <v>0</v>
      </c>
      <c r="P168" s="5">
        <f>Table1[[#This Row],[Enrolment S.Y. 2025-2026 ]]*8</f>
        <v>0</v>
      </c>
      <c r="Q168" s="5"/>
      <c r="R168" s="1"/>
      <c r="S168" s="5"/>
      <c r="T168" s="5">
        <f t="shared" si="18"/>
        <v>0</v>
      </c>
      <c r="U168" s="5">
        <f t="shared" si="19"/>
        <v>0</v>
      </c>
      <c r="V168" s="5">
        <f>Table1[[#This Row],[Enrolment S.Y. 2025-2026 ]]*8</f>
        <v>0</v>
      </c>
      <c r="W168" s="5"/>
      <c r="X168" s="1"/>
      <c r="Y168" s="5"/>
      <c r="Z168" s="5">
        <f t="shared" si="20"/>
        <v>0</v>
      </c>
      <c r="AA168" s="5">
        <f t="shared" si="21"/>
        <v>0</v>
      </c>
    </row>
    <row r="169" spans="1:27" ht="19.149999999999999">
      <c r="A169" s="1"/>
      <c r="B169" s="9"/>
      <c r="C169" s="1"/>
      <c r="D169" s="5"/>
      <c r="E169" s="5"/>
      <c r="F169" s="1"/>
      <c r="G169" s="5"/>
      <c r="H169" s="5">
        <f t="shared" si="22"/>
        <v>0</v>
      </c>
      <c r="I169" s="5">
        <f t="shared" si="23"/>
        <v>0</v>
      </c>
      <c r="J169" s="5">
        <f>Table1[[#This Row],[Enrolment S.Y. 2025-2026 ]]*8</f>
        <v>0</v>
      </c>
      <c r="K169" s="5"/>
      <c r="L169" s="1"/>
      <c r="M169" s="5"/>
      <c r="N169" s="5">
        <f t="shared" si="16"/>
        <v>0</v>
      </c>
      <c r="O169" s="5">
        <f t="shared" si="17"/>
        <v>0</v>
      </c>
      <c r="P169" s="5">
        <f>Table1[[#This Row],[Enrolment S.Y. 2025-2026 ]]*8</f>
        <v>0</v>
      </c>
      <c r="Q169" s="5"/>
      <c r="R169" s="1"/>
      <c r="S169" s="5"/>
      <c r="T169" s="5">
        <f t="shared" si="18"/>
        <v>0</v>
      </c>
      <c r="U169" s="5">
        <f t="shared" si="19"/>
        <v>0</v>
      </c>
      <c r="V169" s="5">
        <f>Table1[[#This Row],[Enrolment S.Y. 2025-2026 ]]*8</f>
        <v>0</v>
      </c>
      <c r="W169" s="5"/>
      <c r="X169" s="1"/>
      <c r="Y169" s="5"/>
      <c r="Z169" s="5">
        <f t="shared" si="20"/>
        <v>0</v>
      </c>
      <c r="AA169" s="5">
        <f t="shared" si="21"/>
        <v>0</v>
      </c>
    </row>
    <row r="170" spans="1:27" ht="19.149999999999999">
      <c r="A170" s="1"/>
      <c r="B170" s="9"/>
      <c r="C170" s="1"/>
      <c r="D170" s="5"/>
      <c r="E170" s="5"/>
      <c r="F170" s="1"/>
      <c r="G170" s="5"/>
      <c r="H170" s="5">
        <f t="shared" si="22"/>
        <v>0</v>
      </c>
      <c r="I170" s="5">
        <f t="shared" si="23"/>
        <v>0</v>
      </c>
      <c r="J170" s="5">
        <f>Table1[[#This Row],[Enrolment S.Y. 2025-2026 ]]*8</f>
        <v>0</v>
      </c>
      <c r="K170" s="5"/>
      <c r="L170" s="1"/>
      <c r="M170" s="5"/>
      <c r="N170" s="5">
        <f t="shared" si="16"/>
        <v>0</v>
      </c>
      <c r="O170" s="5">
        <f t="shared" si="17"/>
        <v>0</v>
      </c>
      <c r="P170" s="5">
        <f>Table1[[#This Row],[Enrolment S.Y. 2025-2026 ]]*8</f>
        <v>0</v>
      </c>
      <c r="Q170" s="5"/>
      <c r="R170" s="1"/>
      <c r="S170" s="5"/>
      <c r="T170" s="5">
        <f t="shared" si="18"/>
        <v>0</v>
      </c>
      <c r="U170" s="5">
        <f t="shared" si="19"/>
        <v>0</v>
      </c>
      <c r="V170" s="5">
        <f>Table1[[#This Row],[Enrolment S.Y. 2025-2026 ]]*8</f>
        <v>0</v>
      </c>
      <c r="W170" s="5"/>
      <c r="X170" s="1"/>
      <c r="Y170" s="5"/>
      <c r="Z170" s="5">
        <f t="shared" si="20"/>
        <v>0</v>
      </c>
      <c r="AA170" s="5">
        <f t="shared" si="21"/>
        <v>0</v>
      </c>
    </row>
    <row r="171" spans="1:27" ht="19.149999999999999">
      <c r="A171" s="1"/>
      <c r="B171" s="9"/>
      <c r="C171" s="1"/>
      <c r="D171" s="5"/>
      <c r="E171" s="5"/>
      <c r="F171" s="1"/>
      <c r="G171" s="5"/>
      <c r="H171" s="5">
        <f t="shared" si="22"/>
        <v>0</v>
      </c>
      <c r="I171" s="5">
        <f t="shared" si="23"/>
        <v>0</v>
      </c>
      <c r="J171" s="5">
        <f>Table1[[#This Row],[Enrolment S.Y. 2025-2026 ]]*8</f>
        <v>0</v>
      </c>
      <c r="K171" s="5"/>
      <c r="L171" s="1"/>
      <c r="M171" s="5"/>
      <c r="N171" s="5">
        <f t="shared" si="16"/>
        <v>0</v>
      </c>
      <c r="O171" s="5">
        <f t="shared" si="17"/>
        <v>0</v>
      </c>
      <c r="P171" s="5">
        <f>Table1[[#This Row],[Enrolment S.Y. 2025-2026 ]]*8</f>
        <v>0</v>
      </c>
      <c r="Q171" s="5"/>
      <c r="R171" s="1"/>
      <c r="S171" s="5"/>
      <c r="T171" s="5">
        <f t="shared" si="18"/>
        <v>0</v>
      </c>
      <c r="U171" s="5">
        <f t="shared" si="19"/>
        <v>0</v>
      </c>
      <c r="V171" s="5">
        <f>Table1[[#This Row],[Enrolment S.Y. 2025-2026 ]]*8</f>
        <v>0</v>
      </c>
      <c r="W171" s="5"/>
      <c r="X171" s="1"/>
      <c r="Y171" s="5"/>
      <c r="Z171" s="5">
        <f t="shared" si="20"/>
        <v>0</v>
      </c>
      <c r="AA171" s="5">
        <f t="shared" si="21"/>
        <v>0</v>
      </c>
    </row>
    <row r="172" spans="1:27" ht="19.149999999999999">
      <c r="A172" s="1"/>
      <c r="B172" s="9"/>
      <c r="C172" s="1"/>
      <c r="D172" s="5"/>
      <c r="E172" s="5"/>
      <c r="F172" s="1"/>
      <c r="G172" s="5"/>
      <c r="H172" s="5">
        <f t="shared" si="22"/>
        <v>0</v>
      </c>
      <c r="I172" s="5">
        <f t="shared" si="23"/>
        <v>0</v>
      </c>
      <c r="J172" s="5">
        <f>Table1[[#This Row],[Enrolment S.Y. 2025-2026 ]]*8</f>
        <v>0</v>
      </c>
      <c r="K172" s="5"/>
      <c r="L172" s="1"/>
      <c r="M172" s="5"/>
      <c r="N172" s="5">
        <f t="shared" si="16"/>
        <v>0</v>
      </c>
      <c r="O172" s="5">
        <f t="shared" si="17"/>
        <v>0</v>
      </c>
      <c r="P172" s="5">
        <f>Table1[[#This Row],[Enrolment S.Y. 2025-2026 ]]*8</f>
        <v>0</v>
      </c>
      <c r="Q172" s="5"/>
      <c r="R172" s="1"/>
      <c r="S172" s="5"/>
      <c r="T172" s="5">
        <f t="shared" si="18"/>
        <v>0</v>
      </c>
      <c r="U172" s="5">
        <f t="shared" si="19"/>
        <v>0</v>
      </c>
      <c r="V172" s="5">
        <f>Table1[[#This Row],[Enrolment S.Y. 2025-2026 ]]*8</f>
        <v>0</v>
      </c>
      <c r="W172" s="5"/>
      <c r="X172" s="1"/>
      <c r="Y172" s="5"/>
      <c r="Z172" s="5">
        <f t="shared" si="20"/>
        <v>0</v>
      </c>
      <c r="AA172" s="5">
        <f t="shared" si="21"/>
        <v>0</v>
      </c>
    </row>
    <row r="173" spans="1:27" ht="19.149999999999999">
      <c r="A173" s="1"/>
      <c r="B173" s="9"/>
      <c r="C173" s="1"/>
      <c r="D173" s="5"/>
      <c r="E173" s="5"/>
      <c r="F173" s="1"/>
      <c r="G173" s="5"/>
      <c r="H173" s="5">
        <f t="shared" si="22"/>
        <v>0</v>
      </c>
      <c r="I173" s="5">
        <f t="shared" si="23"/>
        <v>0</v>
      </c>
      <c r="J173" s="5">
        <f>Table1[[#This Row],[Enrolment S.Y. 2025-2026 ]]*8</f>
        <v>0</v>
      </c>
      <c r="K173" s="5"/>
      <c r="L173" s="1"/>
      <c r="M173" s="5"/>
      <c r="N173" s="5">
        <f t="shared" si="16"/>
        <v>0</v>
      </c>
      <c r="O173" s="5">
        <f t="shared" si="17"/>
        <v>0</v>
      </c>
      <c r="P173" s="5">
        <f>Table1[[#This Row],[Enrolment S.Y. 2025-2026 ]]*8</f>
        <v>0</v>
      </c>
      <c r="Q173" s="5"/>
      <c r="R173" s="1"/>
      <c r="S173" s="5"/>
      <c r="T173" s="5">
        <f t="shared" si="18"/>
        <v>0</v>
      </c>
      <c r="U173" s="5">
        <f t="shared" si="19"/>
        <v>0</v>
      </c>
      <c r="V173" s="5">
        <f>Table1[[#This Row],[Enrolment S.Y. 2025-2026 ]]*8</f>
        <v>0</v>
      </c>
      <c r="W173" s="5"/>
      <c r="X173" s="1"/>
      <c r="Y173" s="5"/>
      <c r="Z173" s="5">
        <f t="shared" si="20"/>
        <v>0</v>
      </c>
      <c r="AA173" s="5">
        <f t="shared" si="21"/>
        <v>0</v>
      </c>
    </row>
    <row r="174" spans="1:27" ht="19.149999999999999">
      <c r="A174" s="1"/>
      <c r="B174" s="9"/>
      <c r="C174" s="1"/>
      <c r="D174" s="5"/>
      <c r="E174" s="5"/>
      <c r="F174" s="1"/>
      <c r="G174" s="5"/>
      <c r="H174" s="5">
        <f t="shared" si="22"/>
        <v>0</v>
      </c>
      <c r="I174" s="5">
        <f t="shared" si="23"/>
        <v>0</v>
      </c>
      <c r="J174" s="5">
        <f>Table1[[#This Row],[Enrolment S.Y. 2025-2026 ]]*8</f>
        <v>0</v>
      </c>
      <c r="K174" s="5"/>
      <c r="L174" s="1"/>
      <c r="M174" s="5"/>
      <c r="N174" s="5">
        <f t="shared" si="16"/>
        <v>0</v>
      </c>
      <c r="O174" s="5">
        <f t="shared" si="17"/>
        <v>0</v>
      </c>
      <c r="P174" s="5">
        <f>Table1[[#This Row],[Enrolment S.Y. 2025-2026 ]]*8</f>
        <v>0</v>
      </c>
      <c r="Q174" s="5"/>
      <c r="R174" s="1"/>
      <c r="S174" s="5"/>
      <c r="T174" s="5">
        <f t="shared" si="18"/>
        <v>0</v>
      </c>
      <c r="U174" s="5">
        <f t="shared" si="19"/>
        <v>0</v>
      </c>
      <c r="V174" s="5">
        <f>Table1[[#This Row],[Enrolment S.Y. 2025-2026 ]]*8</f>
        <v>0</v>
      </c>
      <c r="W174" s="5"/>
      <c r="X174" s="1"/>
      <c r="Y174" s="5"/>
      <c r="Z174" s="5">
        <f t="shared" si="20"/>
        <v>0</v>
      </c>
      <c r="AA174" s="5">
        <f t="shared" si="21"/>
        <v>0</v>
      </c>
    </row>
    <row r="175" spans="1:27" ht="19.149999999999999">
      <c r="A175" s="1"/>
      <c r="B175" s="9"/>
      <c r="C175" s="1"/>
      <c r="D175" s="5"/>
      <c r="E175" s="5"/>
      <c r="F175" s="1"/>
      <c r="G175" s="5"/>
      <c r="H175" s="5">
        <f t="shared" si="22"/>
        <v>0</v>
      </c>
      <c r="I175" s="5">
        <f t="shared" si="23"/>
        <v>0</v>
      </c>
      <c r="J175" s="5">
        <f>Table1[[#This Row],[Enrolment S.Y. 2025-2026 ]]*8</f>
        <v>0</v>
      </c>
      <c r="K175" s="5"/>
      <c r="L175" s="1"/>
      <c r="M175" s="5"/>
      <c r="N175" s="5">
        <f t="shared" si="16"/>
        <v>0</v>
      </c>
      <c r="O175" s="5">
        <f t="shared" si="17"/>
        <v>0</v>
      </c>
      <c r="P175" s="5">
        <f>Table1[[#This Row],[Enrolment S.Y. 2025-2026 ]]*8</f>
        <v>0</v>
      </c>
      <c r="Q175" s="5"/>
      <c r="R175" s="1"/>
      <c r="S175" s="5"/>
      <c r="T175" s="5">
        <f t="shared" si="18"/>
        <v>0</v>
      </c>
      <c r="U175" s="5">
        <f t="shared" si="19"/>
        <v>0</v>
      </c>
      <c r="V175" s="5">
        <f>Table1[[#This Row],[Enrolment S.Y. 2025-2026 ]]*8</f>
        <v>0</v>
      </c>
      <c r="W175" s="5"/>
      <c r="X175" s="1"/>
      <c r="Y175" s="5"/>
      <c r="Z175" s="5">
        <f t="shared" si="20"/>
        <v>0</v>
      </c>
      <c r="AA175" s="5">
        <f t="shared" si="21"/>
        <v>0</v>
      </c>
    </row>
    <row r="176" spans="1:27" ht="19.149999999999999">
      <c r="A176" s="1"/>
      <c r="B176" s="9"/>
      <c r="C176" s="1"/>
      <c r="D176" s="5"/>
      <c r="E176" s="5"/>
      <c r="F176" s="1"/>
      <c r="G176" s="5"/>
      <c r="H176" s="5">
        <f t="shared" si="22"/>
        <v>0</v>
      </c>
      <c r="I176" s="5">
        <f t="shared" si="23"/>
        <v>0</v>
      </c>
      <c r="J176" s="5">
        <f>Table1[[#This Row],[Enrolment S.Y. 2025-2026 ]]*8</f>
        <v>0</v>
      </c>
      <c r="K176" s="5"/>
      <c r="L176" s="1"/>
      <c r="M176" s="5"/>
      <c r="N176" s="5">
        <f t="shared" si="16"/>
        <v>0</v>
      </c>
      <c r="O176" s="5">
        <f t="shared" si="17"/>
        <v>0</v>
      </c>
      <c r="P176" s="5">
        <f>Table1[[#This Row],[Enrolment S.Y. 2025-2026 ]]*8</f>
        <v>0</v>
      </c>
      <c r="Q176" s="5"/>
      <c r="R176" s="1"/>
      <c r="S176" s="5"/>
      <c r="T176" s="5">
        <f t="shared" si="18"/>
        <v>0</v>
      </c>
      <c r="U176" s="5">
        <f t="shared" si="19"/>
        <v>0</v>
      </c>
      <c r="V176" s="5">
        <f>Table1[[#This Row],[Enrolment S.Y. 2025-2026 ]]*8</f>
        <v>0</v>
      </c>
      <c r="W176" s="5"/>
      <c r="X176" s="1"/>
      <c r="Y176" s="5"/>
      <c r="Z176" s="5">
        <f t="shared" si="20"/>
        <v>0</v>
      </c>
      <c r="AA176" s="5">
        <f t="shared" si="21"/>
        <v>0</v>
      </c>
    </row>
    <row r="177" spans="1:27" ht="19.149999999999999">
      <c r="A177" s="29"/>
      <c r="B177" s="30"/>
      <c r="C177" s="29"/>
      <c r="D177" s="5"/>
      <c r="E177" s="31"/>
      <c r="F177" s="29"/>
      <c r="G177" s="31"/>
      <c r="H177" s="5">
        <f t="shared" si="22"/>
        <v>0</v>
      </c>
      <c r="I177" s="5">
        <f t="shared" si="23"/>
        <v>0</v>
      </c>
      <c r="J177" s="5">
        <f>Table1[[#This Row],[Enrolment S.Y. 2025-2026 ]]*8</f>
        <v>0</v>
      </c>
      <c r="K177" s="31"/>
      <c r="L177" s="29"/>
      <c r="M177" s="31"/>
      <c r="N177" s="5">
        <f t="shared" ref="N177" si="24">IF((J177-K177)&lt;0,0,(J177-K177))</f>
        <v>0</v>
      </c>
      <c r="O177" s="5">
        <f t="shared" ref="O177" si="25">IF((K177-J177)&lt;0,0,(K177-J177))</f>
        <v>0</v>
      </c>
      <c r="P177" s="5"/>
      <c r="Q177" s="31"/>
      <c r="R177" s="29"/>
      <c r="S177" s="31"/>
      <c r="T177" s="5">
        <f t="shared" si="18"/>
        <v>0</v>
      </c>
      <c r="U177" s="5">
        <f t="shared" si="19"/>
        <v>0</v>
      </c>
      <c r="V177" s="5">
        <f>Table1[[#This Row],[Enrolment S.Y. 2025-2026 ]]*8</f>
        <v>0</v>
      </c>
      <c r="W177" s="31"/>
      <c r="X177" s="29"/>
      <c r="Y177" s="31"/>
      <c r="Z177" s="5">
        <f t="shared" si="20"/>
        <v>0</v>
      </c>
      <c r="AA177" s="5">
        <f t="shared" si="21"/>
        <v>0</v>
      </c>
    </row>
    <row r="178" spans="1:27">
      <c r="J178" t="e">
        <f>#REF!*8</f>
        <v>#REF!</v>
      </c>
    </row>
    <row r="179" spans="1:27">
      <c r="J179" t="e">
        <f>#REF!*8</f>
        <v>#REF!</v>
      </c>
    </row>
    <row r="180" spans="1:27">
      <c r="J180" t="e">
        <f>#REF!*8</f>
        <v>#REF!</v>
      </c>
    </row>
    <row r="181" spans="1:27">
      <c r="J181" t="e">
        <f>#REF!*8</f>
        <v>#REF!</v>
      </c>
    </row>
    <row r="182" spans="1:27">
      <c r="J182" t="e">
        <f>#REF!*8</f>
        <v>#REF!</v>
      </c>
    </row>
    <row r="183" spans="1:27">
      <c r="J183" t="e">
        <f>#REF!*8</f>
        <v>#REF!</v>
      </c>
    </row>
    <row r="184" spans="1:27">
      <c r="J184" t="e">
        <f>#REF!*8</f>
        <v>#REF!</v>
      </c>
    </row>
    <row r="185" spans="1:27">
      <c r="J185" t="e">
        <f>#REF!*8</f>
        <v>#REF!</v>
      </c>
    </row>
    <row r="186" spans="1:27">
      <c r="J186" t="e">
        <f>#REF!*8</f>
        <v>#REF!</v>
      </c>
    </row>
    <row r="187" spans="1:27">
      <c r="J187" t="e">
        <f>#REF!*8</f>
        <v>#REF!</v>
      </c>
    </row>
    <row r="188" spans="1:27">
      <c r="J188" t="e">
        <f>#REF!*8</f>
        <v>#REF!</v>
      </c>
    </row>
    <row r="189" spans="1:27">
      <c r="J189" t="e">
        <f>#REF!*8</f>
        <v>#REF!</v>
      </c>
    </row>
    <row r="190" spans="1:27">
      <c r="J190" t="e">
        <f>#REF!*8</f>
        <v>#REF!</v>
      </c>
    </row>
    <row r="191" spans="1:27">
      <c r="J191" t="e">
        <f>#REF!*8</f>
        <v>#REF!</v>
      </c>
    </row>
    <row r="192" spans="1:27">
      <c r="J192" t="e">
        <f>#REF!*8</f>
        <v>#REF!</v>
      </c>
    </row>
    <row r="193" spans="10:10">
      <c r="J193" t="e">
        <f>#REF!*8</f>
        <v>#REF!</v>
      </c>
    </row>
    <row r="194" spans="10:10">
      <c r="J194" t="e">
        <f>#REF!*8</f>
        <v>#REF!</v>
      </c>
    </row>
    <row r="195" spans="10:10">
      <c r="J195" t="e">
        <f>#REF!*8</f>
        <v>#REF!</v>
      </c>
    </row>
    <row r="196" spans="10:10">
      <c r="J196" t="e">
        <f>#REF!*8</f>
        <v>#REF!</v>
      </c>
    </row>
    <row r="197" spans="10:10">
      <c r="J197" t="e">
        <f>#REF!*8</f>
        <v>#REF!</v>
      </c>
    </row>
    <row r="198" spans="10:10">
      <c r="J198" t="e">
        <f>#REF!*8</f>
        <v>#REF!</v>
      </c>
    </row>
    <row r="199" spans="10:10">
      <c r="J199" t="e">
        <f>#REF!*8</f>
        <v>#REF!</v>
      </c>
    </row>
    <row r="200" spans="10:10">
      <c r="J200" t="e">
        <f>#REF!*8</f>
        <v>#REF!</v>
      </c>
    </row>
    <row r="201" spans="10:10">
      <c r="J201" t="e">
        <f>#REF!*8</f>
        <v>#REF!</v>
      </c>
    </row>
    <row r="202" spans="10:10">
      <c r="J202" t="e">
        <f>#REF!*8</f>
        <v>#REF!</v>
      </c>
    </row>
    <row r="203" spans="10:10">
      <c r="J203" t="e">
        <f>#REF!*8</f>
        <v>#REF!</v>
      </c>
    </row>
    <row r="204" spans="10:10">
      <c r="J204" t="e">
        <f>#REF!*8</f>
        <v>#REF!</v>
      </c>
    </row>
    <row r="205" spans="10:10">
      <c r="J205" t="e">
        <f>#REF!*8</f>
        <v>#REF!</v>
      </c>
    </row>
    <row r="206" spans="10:10">
      <c r="J206" t="e">
        <f>#REF!*8</f>
        <v>#REF!</v>
      </c>
    </row>
    <row r="207" spans="10:10">
      <c r="J207" t="e">
        <f>#REF!*8</f>
        <v>#REF!</v>
      </c>
    </row>
  </sheetData>
  <protectedRanges>
    <protectedRange sqref="C2:C3 C88:C96 C98:C106 C108:C141 C143:C151 C153:C160 C162:C177 C33:C41 C43:C51 C53:C86" name="Textbooks"/>
    <protectedRange sqref="J2:L3 D2:F3 H5:L5 D14:F21 Q14:R21 W14:X21 D23:F31 Q23:R31 W23:X31 D33:F41 H33:I41 Q33:R41 W33:X41 D43:F51 H43:I51 Q43:R51 W43:X51 D53:F86 H53:I86 Q53:R86 W53:X86 D88:F96 H88:I96 Q88:R96 W88:X96 D98:F106 H98:I106 Q98:R106 W98:X106 D108:F141 H108:I141 Q108:R141 W108:X141 D143:F151 H143:I151 Q143:R151 W143:X151 D153:F160 H153:I160 Q153:R160 W153:X160 D162:F177 H162:I177 N177:R177 W162:X177 H14:I21 H23:I31 H6:I12 K6:L12 K33:L41 K43:L51 K53:L86 K88:L96 K98:L106 K108:L141 K143:L151 K153:L160 K162:L177 K14:L21 K23:L31 Q162:R176 P2:R2 V2:X3 N13:P176 T13:V177 J6:J177 D5:F12 N5:R12 T5:X12 N4:P4 T4:V4 J4 Z4:AA177 N3:R3 Y13" name="LAS"/>
    <protectedRange sqref="G2:I3 M2:O2 S2:U3 Y2:AA3 G162:G177 M162:M177 S162:S177 Y162:Y177 G5:G12 M5:M12 S4:S160 Y5:Y12 G14:G21 M14:M160 M3 Y14:Y160 G23:G31 G33:G41 G43:G51 G53:G86 G88:G96 G98:G106 G108:G141 G143:G151 G153:G160" name="SOURCE"/>
    <protectedRange sqref="C5:C12" name="Textbooks_1"/>
    <protectedRange sqref="C14:C21" name="Textbooks_2"/>
    <protectedRange sqref="C23:C31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62:S177 M162:M177 Y162:Y177 G162:G177" xr:uid="{8289B4A9-982E-4C7E-A8E2-4BF3404561DB}">
      <formula1>"CO,RO,SDO"</formula1>
    </dataValidation>
    <dataValidation type="list" allowBlank="1" showInputMessage="1" showErrorMessage="1" sqref="X23:X31 X33:X41 X43:X51 X88:X96 X98:X106 X53:X86 L162:L177 X108:X141 X143:X151 X14:X21 X5:X12 L23:L31 L33:L41 L43:L51 L88:L96 L98:L106 L53:L86 R162:R177 L108:L141 L143:L151 L14:L21 L5:L12 R23:R31 R33:R41 R43:R51 R88:R96 R98:R106 R53:R86 F162:F177 R108:R141 R143:R151 R14:R21 R5:R12 F23:F31 F33:F41 F43:F51 F88:F96 F98:F106 F53:F86 F5:F12 F108:F141 F143:F151 F14:F21 F153:F160 R153:R160 L153:L160 X153:X160 X162:X177" xr:uid="{4ECCD083-8EC4-42EE-B46C-B614411F330D}">
      <formula1>"2024,2025"</formula1>
    </dataValidation>
    <dataValidation type="list" allowBlank="1" showInputMessage="1" showErrorMessage="1" sqref="M14:M160 Y14:Y160 S4:S160 G5:G12 M5:M12 Y5:Y12 G14:G21 G23:G31 G33:G41 G43:G51 G53:G86 G88:G96 G98:G106 G108:G141 G143:G151 G153:G160" xr:uid="{5129D80C-83DF-45BE-B6AD-F21CA596CBA5}">
      <formula1>"CO,RO,SDO,LGU,SCHOOL"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G57" sqref="G57"/>
    </sheetView>
  </sheetViews>
  <sheetFormatPr defaultRowHeight="13.9"/>
  <cols>
    <col min="1" max="1" width="9.42578125" customWidth="1"/>
    <col min="2" max="2" width="27.85546875" customWidth="1"/>
    <col min="3" max="3" width="21.7109375" bestFit="1" customWidth="1"/>
    <col min="4" max="4" width="13.28515625" customWidth="1"/>
    <col min="5" max="5" width="12" customWidth="1"/>
    <col min="6" max="7" width="10.5703125" customWidth="1"/>
    <col min="8" max="8" width="20.85546875" customWidth="1"/>
    <col min="9" max="9" width="12.140625" customWidth="1"/>
    <col min="10" max="10" width="13.7109375" customWidth="1"/>
    <col min="11" max="11" width="16.7109375" customWidth="1"/>
    <col min="12" max="12" width="13" customWidth="1"/>
    <col min="13" max="13" width="12.28515625" customWidth="1"/>
    <col min="14" max="14" width="11.42578125" customWidth="1"/>
    <col min="15" max="15" width="11.140625" customWidth="1"/>
    <col min="16" max="16" width="9.42578125" customWidth="1"/>
    <col min="17" max="17" width="10.5703125" customWidth="1"/>
    <col min="18" max="18" width="13.42578125" customWidth="1"/>
    <col min="19" max="19" width="16.140625" customWidth="1"/>
    <col min="20" max="20" width="20.85546875" customWidth="1"/>
    <col min="21" max="21" width="10" customWidth="1"/>
    <col min="22" max="22" width="16.140625" customWidth="1"/>
    <col min="23" max="23" width="21.5703125" customWidth="1"/>
    <col min="24" max="24" width="15.28515625" hidden="1" customWidth="1"/>
    <col min="25" max="25" width="20.85546875" hidden="1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265</v>
      </c>
      <c r="D3" s="5">
        <f>Table14[[#This Row],[Enrolment S.Y. 2025-2026 ]]*8</f>
        <v>2120</v>
      </c>
      <c r="E3" s="5"/>
      <c r="F3" s="1"/>
      <c r="G3" s="5"/>
      <c r="H3" s="5">
        <f t="shared" ref="H3:H83" si="0">IF((D3-E3)&lt;0,0,(D3-E3))</f>
        <v>2120</v>
      </c>
      <c r="I3" s="5">
        <f t="shared" ref="I3:I83" si="1">IF((E3-D3)&lt;0,0,(E3-D3))</f>
        <v>0</v>
      </c>
      <c r="J3" s="5">
        <f>Table14[[#This Row],[Enrolment S.Y. 2025-2026 ]]*8</f>
        <v>2120</v>
      </c>
      <c r="K3" s="5"/>
      <c r="L3" s="1"/>
      <c r="M3" s="5"/>
      <c r="N3" s="5">
        <f t="shared" ref="N3:N72" si="2">IF((J3-K3)&lt;0,0,(J3-K3))</f>
        <v>2120</v>
      </c>
      <c r="O3" s="5">
        <f t="shared" ref="O3:O72" si="3">IF((K3-J3)&lt;0,0,(K3-J3))</f>
        <v>0</v>
      </c>
      <c r="P3" s="5">
        <f>Table14[[#This Row],[Enrolment S.Y. 2025-2026 ]]*8</f>
        <v>2120</v>
      </c>
      <c r="Q3" s="5"/>
      <c r="R3" s="1"/>
      <c r="S3" s="5"/>
      <c r="T3" s="5">
        <f t="shared" ref="T3:T72" si="4">IF((P3-Q3)&lt;0,0,(P3-Q3))</f>
        <v>2120</v>
      </c>
      <c r="U3" s="5">
        <f t="shared" ref="U3:U72" si="5">IF((Q3-P3)&lt;0,0,(Q3-P3))</f>
        <v>0</v>
      </c>
      <c r="V3" s="5">
        <f>Table14[[#This Row],[Enrolment S.Y. 2025-2026 ]]*8</f>
        <v>2120</v>
      </c>
      <c r="W3" s="5"/>
      <c r="X3" s="1"/>
      <c r="Y3" s="5"/>
      <c r="Z3" s="5">
        <f t="shared" ref="Z3:Z72" si="6">IF((V3-W3)&lt;0,0,(V3-W3))</f>
        <v>2120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265</v>
      </c>
      <c r="D4" s="5">
        <f>Table14[[#This Row],[Enrolment S.Y. 2025-2026 ]]*8</f>
        <v>2120</v>
      </c>
      <c r="E4" s="5"/>
      <c r="F4" s="1"/>
      <c r="G4" s="5"/>
      <c r="H4" s="5">
        <f t="shared" si="0"/>
        <v>2120</v>
      </c>
      <c r="I4" s="5">
        <f t="shared" si="1"/>
        <v>0</v>
      </c>
      <c r="J4" s="5">
        <f>Table14[[#This Row],[Enrolment S.Y. 2025-2026 ]]*8</f>
        <v>2120</v>
      </c>
      <c r="K4" s="5"/>
      <c r="L4" s="1"/>
      <c r="M4" s="5"/>
      <c r="N4" s="5">
        <f t="shared" si="2"/>
        <v>2120</v>
      </c>
      <c r="O4" s="5">
        <f t="shared" si="3"/>
        <v>0</v>
      </c>
      <c r="P4" s="5">
        <f>Table14[[#This Row],[Enrolment S.Y. 2025-2026 ]]*8</f>
        <v>2120</v>
      </c>
      <c r="Q4" s="5"/>
      <c r="R4" s="1"/>
      <c r="S4" s="5"/>
      <c r="T4" s="5">
        <f t="shared" si="4"/>
        <v>2120</v>
      </c>
      <c r="U4" s="5">
        <f t="shared" si="5"/>
        <v>0</v>
      </c>
      <c r="V4" s="5">
        <f>Table14[[#This Row],[Enrolment S.Y. 2025-2026 ]]*8</f>
        <v>2120</v>
      </c>
      <c r="W4" s="5"/>
      <c r="X4" s="1"/>
      <c r="Y4" s="5"/>
      <c r="Z4" s="5">
        <f t="shared" si="6"/>
        <v>2120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265</v>
      </c>
      <c r="D5" s="5">
        <f>Table14[[#This Row],[Enrolment S.Y. 2025-2026 ]]*8</f>
        <v>2120</v>
      </c>
      <c r="E5" s="5"/>
      <c r="F5" s="1"/>
      <c r="G5" s="5"/>
      <c r="H5" s="5">
        <f t="shared" si="0"/>
        <v>2120</v>
      </c>
      <c r="I5" s="5">
        <f t="shared" si="1"/>
        <v>0</v>
      </c>
      <c r="J5" s="5">
        <f>Table14[[#This Row],[Enrolment S.Y. 2025-2026 ]]*8</f>
        <v>2120</v>
      </c>
      <c r="K5" s="5"/>
      <c r="L5" s="1"/>
      <c r="M5" s="5"/>
      <c r="N5" s="5">
        <f t="shared" si="2"/>
        <v>2120</v>
      </c>
      <c r="O5" s="5">
        <f t="shared" si="3"/>
        <v>0</v>
      </c>
      <c r="P5" s="5">
        <f>Table14[[#This Row],[Enrolment S.Y. 2025-2026 ]]*8</f>
        <v>2120</v>
      </c>
      <c r="Q5" s="5"/>
      <c r="R5" s="1"/>
      <c r="S5" s="5"/>
      <c r="T5" s="5">
        <f t="shared" si="4"/>
        <v>2120</v>
      </c>
      <c r="U5" s="5">
        <f t="shared" si="5"/>
        <v>0</v>
      </c>
      <c r="V5" s="5">
        <f>Table14[[#This Row],[Enrolment S.Y. 2025-2026 ]]*8</f>
        <v>2120</v>
      </c>
      <c r="W5" s="5"/>
      <c r="X5" s="1"/>
      <c r="Y5" s="5"/>
      <c r="Z5" s="5">
        <f t="shared" si="6"/>
        <v>2120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265</v>
      </c>
      <c r="D6" s="5">
        <f>Table14[[#This Row],[Enrolment S.Y. 2025-2026 ]]*8</f>
        <v>2120</v>
      </c>
      <c r="E6" s="5"/>
      <c r="F6" s="1"/>
      <c r="G6" s="5"/>
      <c r="H6" s="5">
        <f t="shared" si="0"/>
        <v>2120</v>
      </c>
      <c r="I6" s="5">
        <f t="shared" si="1"/>
        <v>0</v>
      </c>
      <c r="J6" s="5">
        <f>Table14[[#This Row],[Enrolment S.Y. 2025-2026 ]]*8</f>
        <v>2120</v>
      </c>
      <c r="K6" s="5"/>
      <c r="L6" s="1"/>
      <c r="M6" s="5"/>
      <c r="N6" s="5">
        <f t="shared" si="2"/>
        <v>2120</v>
      </c>
      <c r="O6" s="5">
        <f t="shared" si="3"/>
        <v>0</v>
      </c>
      <c r="P6" s="5">
        <f>Table14[[#This Row],[Enrolment S.Y. 2025-2026 ]]*8</f>
        <v>2120</v>
      </c>
      <c r="Q6" s="5"/>
      <c r="R6" s="1"/>
      <c r="S6" s="5"/>
      <c r="T6" s="5">
        <f t="shared" si="4"/>
        <v>2120</v>
      </c>
      <c r="U6" s="5">
        <f t="shared" si="5"/>
        <v>0</v>
      </c>
      <c r="V6" s="5">
        <f>Table14[[#This Row],[Enrolment S.Y. 2025-2026 ]]*8</f>
        <v>2120</v>
      </c>
      <c r="W6" s="5"/>
      <c r="X6" s="1"/>
      <c r="Y6" s="5"/>
      <c r="Z6" s="5">
        <f t="shared" si="6"/>
        <v>2120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265</v>
      </c>
      <c r="D7" s="5">
        <f>Table14[[#This Row],[Enrolment S.Y. 2025-2026 ]]*8</f>
        <v>2120</v>
      </c>
      <c r="E7" s="5"/>
      <c r="F7" s="1"/>
      <c r="G7" s="5"/>
      <c r="H7" s="5">
        <f t="shared" si="0"/>
        <v>2120</v>
      </c>
      <c r="I7" s="5">
        <f t="shared" si="1"/>
        <v>0</v>
      </c>
      <c r="J7" s="5">
        <f>Table14[[#This Row],[Enrolment S.Y. 2025-2026 ]]*8</f>
        <v>2120</v>
      </c>
      <c r="K7" s="5"/>
      <c r="L7" s="1"/>
      <c r="M7" s="5"/>
      <c r="N7" s="5">
        <f t="shared" si="2"/>
        <v>2120</v>
      </c>
      <c r="O7" s="5">
        <f t="shared" si="3"/>
        <v>0</v>
      </c>
      <c r="P7" s="5">
        <f>Table14[[#This Row],[Enrolment S.Y. 2025-2026 ]]*8</f>
        <v>2120</v>
      </c>
      <c r="Q7" s="5"/>
      <c r="R7" s="1"/>
      <c r="S7" s="5"/>
      <c r="T7" s="5">
        <f t="shared" si="4"/>
        <v>2120</v>
      </c>
      <c r="U7" s="5">
        <f t="shared" si="5"/>
        <v>0</v>
      </c>
      <c r="V7" s="5">
        <f>Table14[[#This Row],[Enrolment S.Y. 2025-2026 ]]*8</f>
        <v>2120</v>
      </c>
      <c r="W7" s="5"/>
      <c r="X7" s="1"/>
      <c r="Y7" s="5"/>
      <c r="Z7" s="5">
        <f t="shared" si="6"/>
        <v>2120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265</v>
      </c>
      <c r="D8" s="5">
        <f>Table14[[#This Row],[Enrolment S.Y. 2025-2026 ]]*8</f>
        <v>2120</v>
      </c>
      <c r="E8" s="5"/>
      <c r="F8" s="1"/>
      <c r="G8" s="5"/>
      <c r="H8" s="5">
        <f>IF((D8-E8)&lt;0,0,(D8-E8))</f>
        <v>2120</v>
      </c>
      <c r="I8" s="5">
        <f>IF((E8-D8)&lt;0,0,(E8-D8))</f>
        <v>0</v>
      </c>
      <c r="J8" s="5">
        <f>Table14[[#This Row],[Enrolment S.Y. 2025-2026 ]]*8</f>
        <v>2120</v>
      </c>
      <c r="K8" s="5"/>
      <c r="L8" s="1"/>
      <c r="M8" s="5"/>
      <c r="N8" s="5">
        <f t="shared" si="2"/>
        <v>2120</v>
      </c>
      <c r="O8" s="5">
        <f t="shared" si="3"/>
        <v>0</v>
      </c>
      <c r="P8" s="5">
        <f>Table14[[#This Row],[Enrolment S.Y. 2025-2026 ]]*8</f>
        <v>2120</v>
      </c>
      <c r="Q8" s="5"/>
      <c r="R8" s="1"/>
      <c r="S8" s="5"/>
      <c r="T8" s="5">
        <f t="shared" si="4"/>
        <v>2120</v>
      </c>
      <c r="U8" s="5">
        <f t="shared" si="5"/>
        <v>0</v>
      </c>
      <c r="V8" s="5">
        <f>Table14[[#This Row],[Enrolment S.Y. 2025-2026 ]]*8</f>
        <v>2120</v>
      </c>
      <c r="W8" s="5"/>
      <c r="X8" s="1"/>
      <c r="Y8" s="5"/>
      <c r="Z8" s="5">
        <f t="shared" si="6"/>
        <v>2120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265</v>
      </c>
      <c r="D9" s="5">
        <f>Table14[[#This Row],[Enrolment S.Y. 2025-2026 ]]*8</f>
        <v>2120</v>
      </c>
      <c r="E9" s="5"/>
      <c r="F9" s="1"/>
      <c r="G9" s="5"/>
      <c r="H9" s="5">
        <f>IF((D9-E9)&lt;0,0,(D9-E9))</f>
        <v>2120</v>
      </c>
      <c r="I9" s="5">
        <f>IF((E9-D9)&lt;0,0,(E9-D9))</f>
        <v>0</v>
      </c>
      <c r="J9" s="5">
        <f>Table14[[#This Row],[Enrolment S.Y. 2025-2026 ]]*8</f>
        <v>2120</v>
      </c>
      <c r="K9" s="5"/>
      <c r="L9" s="1"/>
      <c r="M9" s="5"/>
      <c r="N9" s="5">
        <f t="shared" si="2"/>
        <v>2120</v>
      </c>
      <c r="O9" s="5">
        <f t="shared" si="3"/>
        <v>0</v>
      </c>
      <c r="P9" s="5">
        <f>Table14[[#This Row],[Enrolment S.Y. 2025-2026 ]]*8</f>
        <v>2120</v>
      </c>
      <c r="Q9" s="5"/>
      <c r="R9" s="1"/>
      <c r="S9" s="5"/>
      <c r="T9" s="5">
        <f t="shared" si="4"/>
        <v>2120</v>
      </c>
      <c r="U9" s="5">
        <f t="shared" si="5"/>
        <v>0</v>
      </c>
      <c r="V9" s="5">
        <f>Table14[[#This Row],[Enrolment S.Y. 2025-2026 ]]*8</f>
        <v>2120</v>
      </c>
      <c r="W9" s="5"/>
      <c r="X9" s="1"/>
      <c r="Y9" s="5"/>
      <c r="Z9" s="5">
        <f t="shared" si="6"/>
        <v>2120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265</v>
      </c>
      <c r="D10" s="5">
        <f>Table14[[#This Row],[Enrolment S.Y. 2025-2026 ]]*8</f>
        <v>2120</v>
      </c>
      <c r="E10" s="5"/>
      <c r="F10" s="1"/>
      <c r="G10" s="5"/>
      <c r="H10" s="5">
        <f>IF((D10-E10)&lt;0,0,(D10-E10))</f>
        <v>2120</v>
      </c>
      <c r="I10" s="5">
        <f>IF((E10-D10)&lt;0,0,(E10-D10))</f>
        <v>0</v>
      </c>
      <c r="J10" s="5">
        <f>Table14[[#This Row],[Enrolment S.Y. 2025-2026 ]]*8</f>
        <v>2120</v>
      </c>
      <c r="K10" s="5"/>
      <c r="L10" s="1"/>
      <c r="M10" s="5"/>
      <c r="N10" s="5">
        <f t="shared" si="2"/>
        <v>2120</v>
      </c>
      <c r="O10" s="5">
        <f t="shared" si="3"/>
        <v>0</v>
      </c>
      <c r="P10" s="5">
        <f>Table14[[#This Row],[Enrolment S.Y. 2025-2026 ]]*8</f>
        <v>2120</v>
      </c>
      <c r="Q10" s="5"/>
      <c r="R10" s="1"/>
      <c r="S10" s="5"/>
      <c r="T10" s="5">
        <f t="shared" si="4"/>
        <v>2120</v>
      </c>
      <c r="U10" s="5">
        <f t="shared" si="5"/>
        <v>0</v>
      </c>
      <c r="V10" s="5">
        <f>Table14[[#This Row],[Enrolment S.Y. 2025-2026 ]]*8</f>
        <v>2120</v>
      </c>
      <c r="W10" s="5"/>
      <c r="X10" s="1"/>
      <c r="Y10" s="5"/>
      <c r="Z10" s="5">
        <f t="shared" si="6"/>
        <v>2120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254</v>
      </c>
      <c r="D12" s="5">
        <f>Table14[[#This Row],[Enrolment S.Y. 2025-2026 ]]*8</f>
        <v>2032</v>
      </c>
      <c r="E12" s="5"/>
      <c r="F12" s="1"/>
      <c r="G12" s="5"/>
      <c r="H12" s="5">
        <f t="shared" si="0"/>
        <v>2032</v>
      </c>
      <c r="I12" s="5">
        <f t="shared" si="1"/>
        <v>0</v>
      </c>
      <c r="J12" s="5">
        <f>Table14[[#This Row],[Enrolment S.Y. 2025-2026 ]]*8</f>
        <v>2032</v>
      </c>
      <c r="K12" s="5"/>
      <c r="L12" s="1"/>
      <c r="M12" s="5"/>
      <c r="N12" s="5">
        <f t="shared" si="2"/>
        <v>2032</v>
      </c>
      <c r="O12" s="5">
        <f t="shared" si="3"/>
        <v>0</v>
      </c>
      <c r="P12" s="5">
        <f>Table14[[#This Row],[Enrolment S.Y. 2025-2026 ]]*8</f>
        <v>2032</v>
      </c>
      <c r="Q12" s="5"/>
      <c r="R12" s="1"/>
      <c r="S12" s="5"/>
      <c r="T12" s="5">
        <f t="shared" si="4"/>
        <v>2032</v>
      </c>
      <c r="U12" s="5">
        <f t="shared" si="5"/>
        <v>0</v>
      </c>
      <c r="V12" s="5">
        <f>Table14[[#This Row],[Enrolment S.Y. 2025-2026 ]]*8</f>
        <v>2032</v>
      </c>
      <c r="W12" s="5"/>
      <c r="X12" s="1"/>
      <c r="Y12" s="5"/>
      <c r="Z12" s="5">
        <f t="shared" si="6"/>
        <v>2032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254</v>
      </c>
      <c r="D13" s="5">
        <f>Table14[[#This Row],[Enrolment S.Y. 2025-2026 ]]*8</f>
        <v>2032</v>
      </c>
      <c r="E13" s="5"/>
      <c r="F13" s="1"/>
      <c r="G13" s="5"/>
      <c r="H13" s="5">
        <f t="shared" si="0"/>
        <v>2032</v>
      </c>
      <c r="I13" s="5">
        <f t="shared" si="1"/>
        <v>0</v>
      </c>
      <c r="J13" s="5">
        <f>Table14[[#This Row],[Enrolment S.Y. 2025-2026 ]]*8</f>
        <v>2032</v>
      </c>
      <c r="K13" s="5"/>
      <c r="L13" s="1"/>
      <c r="M13" s="5"/>
      <c r="N13" s="5">
        <f t="shared" si="2"/>
        <v>2032</v>
      </c>
      <c r="O13" s="5">
        <f t="shared" si="3"/>
        <v>0</v>
      </c>
      <c r="P13" s="5">
        <f>Table14[[#This Row],[Enrolment S.Y. 2025-2026 ]]*8</f>
        <v>2032</v>
      </c>
      <c r="Q13" s="5"/>
      <c r="R13" s="1"/>
      <c r="S13" s="5"/>
      <c r="T13" s="5">
        <f t="shared" si="4"/>
        <v>2032</v>
      </c>
      <c r="U13" s="5">
        <f t="shared" si="5"/>
        <v>0</v>
      </c>
      <c r="V13" s="5">
        <f>Table14[[#This Row],[Enrolment S.Y. 2025-2026 ]]*8</f>
        <v>2032</v>
      </c>
      <c r="W13" s="5"/>
      <c r="X13" s="1"/>
      <c r="Y13" s="5"/>
      <c r="Z13" s="5">
        <f t="shared" si="6"/>
        <v>2032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254</v>
      </c>
      <c r="D14" s="5">
        <f>Table14[[#This Row],[Enrolment S.Y. 2025-2026 ]]*8</f>
        <v>2032</v>
      </c>
      <c r="E14" s="5"/>
      <c r="F14" s="1"/>
      <c r="G14" s="5"/>
      <c r="H14" s="5">
        <f t="shared" si="0"/>
        <v>2032</v>
      </c>
      <c r="I14" s="5">
        <f t="shared" si="1"/>
        <v>0</v>
      </c>
      <c r="J14" s="5">
        <f>Table14[[#This Row],[Enrolment S.Y. 2025-2026 ]]*8</f>
        <v>2032</v>
      </c>
      <c r="K14" s="5"/>
      <c r="L14" s="1"/>
      <c r="M14" s="5"/>
      <c r="N14" s="5">
        <f t="shared" si="2"/>
        <v>2032</v>
      </c>
      <c r="O14" s="5">
        <f t="shared" si="3"/>
        <v>0</v>
      </c>
      <c r="P14" s="5">
        <f>Table14[[#This Row],[Enrolment S.Y. 2025-2026 ]]*8</f>
        <v>2032</v>
      </c>
      <c r="Q14" s="5"/>
      <c r="R14" s="1"/>
      <c r="S14" s="5"/>
      <c r="T14" s="5">
        <f t="shared" si="4"/>
        <v>2032</v>
      </c>
      <c r="U14" s="5">
        <f t="shared" si="5"/>
        <v>0</v>
      </c>
      <c r="V14" s="5">
        <f>Table14[[#This Row],[Enrolment S.Y. 2025-2026 ]]*8</f>
        <v>2032</v>
      </c>
      <c r="W14" s="5"/>
      <c r="X14" s="1"/>
      <c r="Y14" s="5"/>
      <c r="Z14" s="5">
        <f t="shared" si="6"/>
        <v>2032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254</v>
      </c>
      <c r="D15" s="5">
        <f>Table14[[#This Row],[Enrolment S.Y. 2025-2026 ]]*8</f>
        <v>2032</v>
      </c>
      <c r="E15" s="5"/>
      <c r="F15" s="1"/>
      <c r="G15" s="5"/>
      <c r="H15" s="5">
        <f t="shared" si="0"/>
        <v>2032</v>
      </c>
      <c r="I15" s="5">
        <f t="shared" si="1"/>
        <v>0</v>
      </c>
      <c r="J15" s="5">
        <f>Table14[[#This Row],[Enrolment S.Y. 2025-2026 ]]*8</f>
        <v>2032</v>
      </c>
      <c r="K15" s="5"/>
      <c r="L15" s="1"/>
      <c r="M15" s="5"/>
      <c r="N15" s="5">
        <f t="shared" si="2"/>
        <v>2032</v>
      </c>
      <c r="O15" s="5">
        <f t="shared" si="3"/>
        <v>0</v>
      </c>
      <c r="P15" s="5">
        <f>Table14[[#This Row],[Enrolment S.Y. 2025-2026 ]]*8</f>
        <v>2032</v>
      </c>
      <c r="Q15" s="5"/>
      <c r="R15" s="1"/>
      <c r="S15" s="5"/>
      <c r="T15" s="5">
        <f t="shared" si="4"/>
        <v>2032</v>
      </c>
      <c r="U15" s="5">
        <f t="shared" si="5"/>
        <v>0</v>
      </c>
      <c r="V15" s="5">
        <f>Table14[[#This Row],[Enrolment S.Y. 2025-2026 ]]*8</f>
        <v>2032</v>
      </c>
      <c r="W15" s="5"/>
      <c r="X15" s="1"/>
      <c r="Y15" s="5"/>
      <c r="Z15" s="5">
        <f t="shared" si="6"/>
        <v>2032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254</v>
      </c>
      <c r="D16" s="5">
        <f>Table14[[#This Row],[Enrolment S.Y. 2025-2026 ]]*8</f>
        <v>2032</v>
      </c>
      <c r="E16" s="5"/>
      <c r="F16" s="1"/>
      <c r="G16" s="5"/>
      <c r="H16" s="5">
        <f t="shared" si="0"/>
        <v>2032</v>
      </c>
      <c r="I16" s="5">
        <f t="shared" si="1"/>
        <v>0</v>
      </c>
      <c r="J16" s="5">
        <f>Table14[[#This Row],[Enrolment S.Y. 2025-2026 ]]*8</f>
        <v>2032</v>
      </c>
      <c r="K16" s="5"/>
      <c r="L16" s="1"/>
      <c r="M16" s="5"/>
      <c r="N16" s="5">
        <f t="shared" si="2"/>
        <v>2032</v>
      </c>
      <c r="O16" s="5">
        <f t="shared" si="3"/>
        <v>0</v>
      </c>
      <c r="P16" s="5">
        <f>Table14[[#This Row],[Enrolment S.Y. 2025-2026 ]]*8</f>
        <v>2032</v>
      </c>
      <c r="Q16" s="5"/>
      <c r="R16" s="1"/>
      <c r="S16" s="5"/>
      <c r="T16" s="5">
        <f t="shared" si="4"/>
        <v>2032</v>
      </c>
      <c r="U16" s="5">
        <f t="shared" si="5"/>
        <v>0</v>
      </c>
      <c r="V16" s="5">
        <f>Table14[[#This Row],[Enrolment S.Y. 2025-2026 ]]*8</f>
        <v>2032</v>
      </c>
      <c r="W16" s="5"/>
      <c r="X16" s="1"/>
      <c r="Y16" s="5"/>
      <c r="Z16" s="5">
        <f t="shared" si="6"/>
        <v>2032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254</v>
      </c>
      <c r="D17" s="5">
        <f>Table14[[#This Row],[Enrolment S.Y. 2025-2026 ]]*8</f>
        <v>2032</v>
      </c>
      <c r="E17" s="5"/>
      <c r="F17" s="1"/>
      <c r="G17" s="5"/>
      <c r="H17" s="5">
        <f>IF((D17-E17)&lt;0,0,(D17-E17))</f>
        <v>2032</v>
      </c>
      <c r="I17" s="5">
        <f>IF((E17-D17)&lt;0,0,(E17-D17))</f>
        <v>0</v>
      </c>
      <c r="J17" s="5">
        <f>Table14[[#This Row],[Enrolment S.Y. 2025-2026 ]]*8</f>
        <v>2032</v>
      </c>
      <c r="K17" s="5"/>
      <c r="L17" s="1"/>
      <c r="M17" s="5"/>
      <c r="N17" s="5">
        <f t="shared" si="2"/>
        <v>2032</v>
      </c>
      <c r="O17" s="5">
        <f t="shared" si="3"/>
        <v>0</v>
      </c>
      <c r="P17" s="5">
        <f>Table14[[#This Row],[Enrolment S.Y. 2025-2026 ]]*8</f>
        <v>2032</v>
      </c>
      <c r="Q17" s="5"/>
      <c r="R17" s="1"/>
      <c r="S17" s="5"/>
      <c r="T17" s="5">
        <f t="shared" si="4"/>
        <v>2032</v>
      </c>
      <c r="U17" s="5">
        <f t="shared" si="5"/>
        <v>0</v>
      </c>
      <c r="V17" s="5">
        <f>Table14[[#This Row],[Enrolment S.Y. 2025-2026 ]]*8</f>
        <v>2032</v>
      </c>
      <c r="W17" s="5"/>
      <c r="X17" s="1"/>
      <c r="Y17" s="5"/>
      <c r="Z17" s="5">
        <f t="shared" si="6"/>
        <v>2032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254</v>
      </c>
      <c r="D18" s="5">
        <f>Table14[[#This Row],[Enrolment S.Y. 2025-2026 ]]*8</f>
        <v>2032</v>
      </c>
      <c r="E18" s="5"/>
      <c r="F18" s="1"/>
      <c r="G18" s="5"/>
      <c r="H18" s="5">
        <f>IF((D18-E18)&lt;0,0,(D18-E18))</f>
        <v>2032</v>
      </c>
      <c r="I18" s="5">
        <f>IF((E18-D18)&lt;0,0,(E18-D18))</f>
        <v>0</v>
      </c>
      <c r="J18" s="5">
        <f>Table14[[#This Row],[Enrolment S.Y. 2025-2026 ]]*8</f>
        <v>2032</v>
      </c>
      <c r="K18" s="5"/>
      <c r="L18" s="1"/>
      <c r="M18" s="5"/>
      <c r="N18" s="5">
        <f t="shared" si="2"/>
        <v>2032</v>
      </c>
      <c r="O18" s="5">
        <f t="shared" si="3"/>
        <v>0</v>
      </c>
      <c r="P18" s="5">
        <f>Table14[[#This Row],[Enrolment S.Y. 2025-2026 ]]*8</f>
        <v>2032</v>
      </c>
      <c r="Q18" s="5"/>
      <c r="R18" s="1"/>
      <c r="S18" s="5"/>
      <c r="T18" s="5">
        <f t="shared" si="4"/>
        <v>2032</v>
      </c>
      <c r="U18" s="5">
        <f t="shared" si="5"/>
        <v>0</v>
      </c>
      <c r="V18" s="5">
        <f>Table14[[#This Row],[Enrolment S.Y. 2025-2026 ]]*8</f>
        <v>2032</v>
      </c>
      <c r="W18" s="5"/>
      <c r="X18" s="1"/>
      <c r="Y18" s="5"/>
      <c r="Z18" s="5">
        <f t="shared" si="6"/>
        <v>2032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254</v>
      </c>
      <c r="D19" s="5">
        <f>Table14[[#This Row],[Enrolment S.Y. 2025-2026 ]]*8</f>
        <v>2032</v>
      </c>
      <c r="E19" s="5"/>
      <c r="F19" s="1"/>
      <c r="G19" s="5"/>
      <c r="H19" s="5">
        <f>IF((D19-E19)&lt;0,0,(D19-E19))</f>
        <v>2032</v>
      </c>
      <c r="I19" s="5">
        <f>IF((E19-D19)&lt;0,0,(E19-D19))</f>
        <v>0</v>
      </c>
      <c r="J19" s="5">
        <f>Table14[[#This Row],[Enrolment S.Y. 2025-2026 ]]*8</f>
        <v>2032</v>
      </c>
      <c r="K19" s="5"/>
      <c r="L19" s="1"/>
      <c r="M19" s="5"/>
      <c r="N19" s="5">
        <f t="shared" si="2"/>
        <v>2032</v>
      </c>
      <c r="O19" s="5">
        <f t="shared" si="3"/>
        <v>0</v>
      </c>
      <c r="P19" s="5">
        <f>Table14[[#This Row],[Enrolment S.Y. 2025-2026 ]]*8</f>
        <v>2032</v>
      </c>
      <c r="Q19" s="5"/>
      <c r="R19" s="1"/>
      <c r="S19" s="5"/>
      <c r="T19" s="5">
        <f t="shared" si="4"/>
        <v>2032</v>
      </c>
      <c r="U19" s="5">
        <f t="shared" si="5"/>
        <v>0</v>
      </c>
      <c r="V19" s="5">
        <f>Table14[[#This Row],[Enrolment S.Y. 2025-2026 ]]*8</f>
        <v>2032</v>
      </c>
      <c r="W19" s="5"/>
      <c r="X19" s="1"/>
      <c r="Y19" s="5"/>
      <c r="Z19" s="5">
        <f t="shared" si="6"/>
        <v>2032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287</v>
      </c>
      <c r="D21" s="5">
        <f>Table14[[#This Row],[Enrolment S.Y. 2025-2026 ]]*8</f>
        <v>2296</v>
      </c>
      <c r="E21" s="5"/>
      <c r="F21" s="1"/>
      <c r="G21" s="5"/>
      <c r="H21" s="5">
        <f t="shared" si="0"/>
        <v>2296</v>
      </c>
      <c r="I21" s="5">
        <f t="shared" si="1"/>
        <v>0</v>
      </c>
      <c r="J21" s="5">
        <f>Table14[[#This Row],[Enrolment S.Y. 2025-2026 ]]*8</f>
        <v>2296</v>
      </c>
      <c r="K21" s="5"/>
      <c r="L21" s="1"/>
      <c r="M21" s="5"/>
      <c r="N21" s="5">
        <f t="shared" si="2"/>
        <v>2296</v>
      </c>
      <c r="O21" s="5">
        <f t="shared" si="3"/>
        <v>0</v>
      </c>
      <c r="P21" s="5">
        <f>Table14[[#This Row],[Enrolment S.Y. 2025-2026 ]]*8</f>
        <v>2296</v>
      </c>
      <c r="Q21" s="5"/>
      <c r="R21" s="1"/>
      <c r="S21" s="5"/>
      <c r="T21" s="5">
        <f t="shared" si="4"/>
        <v>2296</v>
      </c>
      <c r="U21" s="5">
        <f t="shared" si="5"/>
        <v>0</v>
      </c>
      <c r="V21" s="5">
        <f>Table14[[#This Row],[Enrolment S.Y. 2025-2026 ]]*8</f>
        <v>2296</v>
      </c>
      <c r="W21" s="5"/>
      <c r="X21" s="1"/>
      <c r="Y21" s="5"/>
      <c r="Z21" s="5">
        <f t="shared" si="6"/>
        <v>2296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287</v>
      </c>
      <c r="D22" s="5">
        <f>Table14[[#This Row],[Enrolment S.Y. 2025-2026 ]]*8</f>
        <v>2296</v>
      </c>
      <c r="E22" s="5"/>
      <c r="F22" s="1"/>
      <c r="G22" s="5"/>
      <c r="H22" s="5">
        <f t="shared" si="0"/>
        <v>2296</v>
      </c>
      <c r="I22" s="5">
        <f t="shared" si="1"/>
        <v>0</v>
      </c>
      <c r="J22" s="5">
        <f>Table14[[#This Row],[Enrolment S.Y. 2025-2026 ]]*8</f>
        <v>2296</v>
      </c>
      <c r="K22" s="5"/>
      <c r="L22" s="1"/>
      <c r="M22" s="5"/>
      <c r="N22" s="5">
        <f t="shared" si="2"/>
        <v>2296</v>
      </c>
      <c r="O22" s="5">
        <f t="shared" si="3"/>
        <v>0</v>
      </c>
      <c r="P22" s="5">
        <f>Table14[[#This Row],[Enrolment S.Y. 2025-2026 ]]*8</f>
        <v>2296</v>
      </c>
      <c r="Q22" s="5"/>
      <c r="R22" s="1"/>
      <c r="S22" s="5"/>
      <c r="T22" s="5">
        <f t="shared" si="4"/>
        <v>2296</v>
      </c>
      <c r="U22" s="5">
        <f t="shared" si="5"/>
        <v>0</v>
      </c>
      <c r="V22" s="5">
        <f>Table14[[#This Row],[Enrolment S.Y. 2025-2026 ]]*8</f>
        <v>2296</v>
      </c>
      <c r="W22" s="5"/>
      <c r="X22" s="1"/>
      <c r="Y22" s="5"/>
      <c r="Z22" s="5">
        <f t="shared" si="6"/>
        <v>2296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287</v>
      </c>
      <c r="D23" s="5">
        <f>Table14[[#This Row],[Enrolment S.Y. 2025-2026 ]]*8</f>
        <v>2296</v>
      </c>
      <c r="E23" s="5"/>
      <c r="F23" s="1"/>
      <c r="G23" s="5"/>
      <c r="H23" s="5">
        <f t="shared" si="0"/>
        <v>2296</v>
      </c>
      <c r="I23" s="5">
        <f t="shared" si="1"/>
        <v>0</v>
      </c>
      <c r="J23" s="5">
        <f>Table14[[#This Row],[Enrolment S.Y. 2025-2026 ]]*8</f>
        <v>2296</v>
      </c>
      <c r="K23" s="5"/>
      <c r="L23" s="1"/>
      <c r="M23" s="5"/>
      <c r="N23" s="5">
        <f t="shared" si="2"/>
        <v>2296</v>
      </c>
      <c r="O23" s="5">
        <f t="shared" si="3"/>
        <v>0</v>
      </c>
      <c r="P23" s="5">
        <f>Table14[[#This Row],[Enrolment S.Y. 2025-2026 ]]*8</f>
        <v>2296</v>
      </c>
      <c r="Q23" s="5"/>
      <c r="R23" s="1"/>
      <c r="S23" s="5"/>
      <c r="T23" s="5">
        <f t="shared" si="4"/>
        <v>2296</v>
      </c>
      <c r="U23" s="5">
        <f t="shared" si="5"/>
        <v>0</v>
      </c>
      <c r="V23" s="5">
        <f>Table14[[#This Row],[Enrolment S.Y. 2025-2026 ]]*8</f>
        <v>2296</v>
      </c>
      <c r="W23" s="5"/>
      <c r="X23" s="1"/>
      <c r="Y23" s="5"/>
      <c r="Z23" s="5">
        <f t="shared" si="6"/>
        <v>2296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287</v>
      </c>
      <c r="D24" s="5">
        <f>Table14[[#This Row],[Enrolment S.Y. 2025-2026 ]]*8</f>
        <v>2296</v>
      </c>
      <c r="E24" s="5"/>
      <c r="F24" s="1"/>
      <c r="G24" s="5"/>
      <c r="H24" s="5">
        <f t="shared" si="0"/>
        <v>2296</v>
      </c>
      <c r="I24" s="5">
        <f t="shared" si="1"/>
        <v>0</v>
      </c>
      <c r="J24" s="5">
        <f>Table14[[#This Row],[Enrolment S.Y. 2025-2026 ]]*8</f>
        <v>2296</v>
      </c>
      <c r="K24" s="5"/>
      <c r="L24" s="1"/>
      <c r="M24" s="5"/>
      <c r="N24" s="5">
        <f t="shared" si="2"/>
        <v>2296</v>
      </c>
      <c r="O24" s="5">
        <f t="shared" si="3"/>
        <v>0</v>
      </c>
      <c r="P24" s="5">
        <f>Table14[[#This Row],[Enrolment S.Y. 2025-2026 ]]*8</f>
        <v>2296</v>
      </c>
      <c r="Q24" s="5"/>
      <c r="R24" s="1"/>
      <c r="S24" s="5"/>
      <c r="T24" s="5">
        <f t="shared" si="4"/>
        <v>2296</v>
      </c>
      <c r="U24" s="5">
        <f t="shared" si="5"/>
        <v>0</v>
      </c>
      <c r="V24" s="5">
        <f>Table14[[#This Row],[Enrolment S.Y. 2025-2026 ]]*8</f>
        <v>2296</v>
      </c>
      <c r="W24" s="5"/>
      <c r="X24" s="1"/>
      <c r="Y24" s="5"/>
      <c r="Z24" s="5">
        <f t="shared" si="6"/>
        <v>2296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287</v>
      </c>
      <c r="D25" s="5">
        <f>Table14[[#This Row],[Enrolment S.Y. 2025-2026 ]]*8</f>
        <v>2296</v>
      </c>
      <c r="E25" s="5"/>
      <c r="F25" s="1"/>
      <c r="G25" s="5"/>
      <c r="H25" s="5">
        <f t="shared" si="0"/>
        <v>2296</v>
      </c>
      <c r="I25" s="5">
        <f t="shared" si="1"/>
        <v>0</v>
      </c>
      <c r="J25" s="5">
        <f>Table14[[#This Row],[Enrolment S.Y. 2025-2026 ]]*8</f>
        <v>2296</v>
      </c>
      <c r="K25" s="5"/>
      <c r="L25" s="1"/>
      <c r="M25" s="5"/>
      <c r="N25" s="5">
        <f t="shared" si="2"/>
        <v>2296</v>
      </c>
      <c r="O25" s="5">
        <f t="shared" si="3"/>
        <v>0</v>
      </c>
      <c r="P25" s="5">
        <f>Table14[[#This Row],[Enrolment S.Y. 2025-2026 ]]*8</f>
        <v>2296</v>
      </c>
      <c r="Q25" s="5"/>
      <c r="R25" s="1"/>
      <c r="S25" s="5"/>
      <c r="T25" s="5">
        <f t="shared" si="4"/>
        <v>2296</v>
      </c>
      <c r="U25" s="5">
        <f t="shared" si="5"/>
        <v>0</v>
      </c>
      <c r="V25" s="5">
        <f>Table14[[#This Row],[Enrolment S.Y. 2025-2026 ]]*8</f>
        <v>2296</v>
      </c>
      <c r="W25" s="5"/>
      <c r="X25" s="1"/>
      <c r="Y25" s="5"/>
      <c r="Z25" s="5">
        <f t="shared" si="6"/>
        <v>2296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287</v>
      </c>
      <c r="D26" s="5">
        <f>Table14[[#This Row],[Enrolment S.Y. 2025-2026 ]]*8</f>
        <v>2296</v>
      </c>
      <c r="E26" s="5"/>
      <c r="F26" s="1"/>
      <c r="G26" s="5"/>
      <c r="H26" s="5">
        <f t="shared" si="0"/>
        <v>2296</v>
      </c>
      <c r="I26" s="5">
        <f t="shared" si="1"/>
        <v>0</v>
      </c>
      <c r="J26" s="5">
        <f>Table14[[#This Row],[Enrolment S.Y. 2025-2026 ]]*8</f>
        <v>2296</v>
      </c>
      <c r="K26" s="5"/>
      <c r="L26" s="1"/>
      <c r="M26" s="5"/>
      <c r="N26" s="5">
        <f t="shared" si="2"/>
        <v>2296</v>
      </c>
      <c r="O26" s="5">
        <f t="shared" si="3"/>
        <v>0</v>
      </c>
      <c r="P26" s="5">
        <f>Table14[[#This Row],[Enrolment S.Y. 2025-2026 ]]*8</f>
        <v>2296</v>
      </c>
      <c r="Q26" s="5"/>
      <c r="R26" s="1"/>
      <c r="S26" s="5"/>
      <c r="T26" s="5">
        <f t="shared" si="4"/>
        <v>2296</v>
      </c>
      <c r="U26" s="5">
        <f t="shared" si="5"/>
        <v>0</v>
      </c>
      <c r="V26" s="5">
        <f>Table14[[#This Row],[Enrolment S.Y. 2025-2026 ]]*8</f>
        <v>2296</v>
      </c>
      <c r="W26" s="5"/>
      <c r="X26" s="1"/>
      <c r="Y26" s="5"/>
      <c r="Z26" s="5">
        <f t="shared" si="6"/>
        <v>2296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287</v>
      </c>
      <c r="D27" s="5">
        <f>Table14[[#This Row],[Enrolment S.Y. 2025-2026 ]]*8</f>
        <v>2296</v>
      </c>
      <c r="E27" s="5"/>
      <c r="F27" s="1"/>
      <c r="G27" s="5"/>
      <c r="H27" s="5">
        <f>IF((D27-E27)&lt;0,0,(D27-E27))</f>
        <v>2296</v>
      </c>
      <c r="I27" s="5">
        <f>IF((E27-D27)&lt;0,0,(E27-D27))</f>
        <v>0</v>
      </c>
      <c r="J27" s="5">
        <f>Table14[[#This Row],[Enrolment S.Y. 2025-2026 ]]*8</f>
        <v>2296</v>
      </c>
      <c r="K27" s="5"/>
      <c r="L27" s="1"/>
      <c r="M27" s="5"/>
      <c r="N27" s="5">
        <f t="shared" si="2"/>
        <v>2296</v>
      </c>
      <c r="O27" s="5">
        <f t="shared" si="3"/>
        <v>0</v>
      </c>
      <c r="P27" s="5">
        <f>Table14[[#This Row],[Enrolment S.Y. 2025-2026 ]]*8</f>
        <v>2296</v>
      </c>
      <c r="Q27" s="5"/>
      <c r="R27" s="1"/>
      <c r="S27" s="5"/>
      <c r="T27" s="5">
        <f t="shared" si="4"/>
        <v>2296</v>
      </c>
      <c r="U27" s="5">
        <f t="shared" si="5"/>
        <v>0</v>
      </c>
      <c r="V27" s="5">
        <f>Table14[[#This Row],[Enrolment S.Y. 2025-2026 ]]*8</f>
        <v>2296</v>
      </c>
      <c r="W27" s="5"/>
      <c r="X27" s="1"/>
      <c r="Y27" s="5"/>
      <c r="Z27" s="5">
        <f t="shared" si="6"/>
        <v>2296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287</v>
      </c>
      <c r="D28" s="5">
        <f>Table14[[#This Row],[Enrolment S.Y. 2025-2026 ]]*8</f>
        <v>2296</v>
      </c>
      <c r="E28" s="5"/>
      <c r="F28" s="1"/>
      <c r="G28" s="5"/>
      <c r="H28" s="5">
        <f>IF((D28-E28)&lt;0,0,(D28-E28))</f>
        <v>2296</v>
      </c>
      <c r="I28" s="5">
        <f>IF((E28-D28)&lt;0,0,(E28-D28))</f>
        <v>0</v>
      </c>
      <c r="J28" s="5">
        <f>Table14[[#This Row],[Enrolment S.Y. 2025-2026 ]]*8</f>
        <v>2296</v>
      </c>
      <c r="K28" s="5"/>
      <c r="L28" s="1"/>
      <c r="M28" s="5"/>
      <c r="N28" s="5">
        <f t="shared" si="2"/>
        <v>2296</v>
      </c>
      <c r="O28" s="5">
        <f t="shared" si="3"/>
        <v>0</v>
      </c>
      <c r="P28" s="5">
        <f>Table14[[#This Row],[Enrolment S.Y. 2025-2026 ]]*8</f>
        <v>2296</v>
      </c>
      <c r="Q28" s="5"/>
      <c r="R28" s="1"/>
      <c r="S28" s="5"/>
      <c r="T28" s="5">
        <f t="shared" si="4"/>
        <v>2296</v>
      </c>
      <c r="U28" s="5">
        <f t="shared" si="5"/>
        <v>0</v>
      </c>
      <c r="V28" s="5">
        <f>Table14[[#This Row],[Enrolment S.Y. 2025-2026 ]]*8</f>
        <v>2296</v>
      </c>
      <c r="W28" s="5"/>
      <c r="X28" s="1"/>
      <c r="Y28" s="5"/>
      <c r="Z28" s="5">
        <f t="shared" si="6"/>
        <v>2296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287</v>
      </c>
      <c r="D29" s="5">
        <f>Table14[[#This Row],[Enrolment S.Y. 2025-2026 ]]*8</f>
        <v>2296</v>
      </c>
      <c r="E29" s="5"/>
      <c r="F29" s="1"/>
      <c r="G29" s="5"/>
      <c r="H29" s="5">
        <f>IF((D29-E29)&lt;0,0,(D29-E29))</f>
        <v>2296</v>
      </c>
      <c r="I29" s="5">
        <f>IF((E29-D29)&lt;0,0,(E29-D29))</f>
        <v>0</v>
      </c>
      <c r="J29" s="5">
        <f>Table14[[#This Row],[Enrolment S.Y. 2025-2026 ]]*8</f>
        <v>2296</v>
      </c>
      <c r="K29" s="5"/>
      <c r="L29" s="1"/>
      <c r="M29" s="5"/>
      <c r="N29" s="5">
        <f t="shared" si="2"/>
        <v>2296</v>
      </c>
      <c r="O29" s="5">
        <f t="shared" si="3"/>
        <v>0</v>
      </c>
      <c r="P29" s="5">
        <f>Table14[[#This Row],[Enrolment S.Y. 2025-2026 ]]*8</f>
        <v>2296</v>
      </c>
      <c r="Q29" s="5"/>
      <c r="R29" s="1"/>
      <c r="S29" s="5"/>
      <c r="T29" s="5">
        <f t="shared" si="4"/>
        <v>2296</v>
      </c>
      <c r="U29" s="5">
        <f t="shared" si="5"/>
        <v>0</v>
      </c>
      <c r="V29" s="5">
        <f>Table14[[#This Row],[Enrolment S.Y. 2025-2026 ]]*8</f>
        <v>2296</v>
      </c>
      <c r="W29" s="5"/>
      <c r="X29" s="1"/>
      <c r="Y29" s="5"/>
      <c r="Z29" s="5">
        <f t="shared" si="6"/>
        <v>2296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303</v>
      </c>
      <c r="D31" s="5">
        <f>Table14[[#This Row],[Enrolment S.Y. 2025-2026 ]]*8</f>
        <v>2424</v>
      </c>
      <c r="E31" s="5"/>
      <c r="F31" s="1"/>
      <c r="G31" s="5"/>
      <c r="H31" s="5">
        <f t="shared" si="0"/>
        <v>2424</v>
      </c>
      <c r="I31" s="5">
        <f t="shared" si="1"/>
        <v>0</v>
      </c>
      <c r="J31" s="5">
        <f>Table14[[#This Row],[Enrolment S.Y. 2025-2026 ]]*8</f>
        <v>2424</v>
      </c>
      <c r="K31" s="5"/>
      <c r="L31" s="1"/>
      <c r="M31" s="5"/>
      <c r="N31" s="5">
        <f t="shared" si="2"/>
        <v>2424</v>
      </c>
      <c r="O31" s="5">
        <f t="shared" si="3"/>
        <v>0</v>
      </c>
      <c r="P31" s="5">
        <f>Table14[[#This Row],[Enrolment S.Y. 2025-2026 ]]*8</f>
        <v>2424</v>
      </c>
      <c r="Q31" s="5"/>
      <c r="R31" s="1"/>
      <c r="S31" s="5"/>
      <c r="T31" s="5">
        <f t="shared" si="4"/>
        <v>2424</v>
      </c>
      <c r="U31" s="5">
        <f t="shared" si="5"/>
        <v>0</v>
      </c>
      <c r="V31" s="5">
        <f>Table14[[#This Row],[Enrolment S.Y. 2025-2026 ]]*8</f>
        <v>2424</v>
      </c>
      <c r="W31" s="5"/>
      <c r="X31" s="1"/>
      <c r="Y31" s="5"/>
      <c r="Z31" s="5">
        <f t="shared" si="6"/>
        <v>2424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303</v>
      </c>
      <c r="D32" s="5">
        <f>Table14[[#This Row],[Enrolment S.Y. 2025-2026 ]]*8</f>
        <v>2424</v>
      </c>
      <c r="E32" s="5"/>
      <c r="F32" s="1"/>
      <c r="G32" s="5"/>
      <c r="H32" s="5">
        <f t="shared" si="0"/>
        <v>2424</v>
      </c>
      <c r="I32" s="5">
        <f t="shared" si="1"/>
        <v>0</v>
      </c>
      <c r="J32" s="5">
        <f>Table14[[#This Row],[Enrolment S.Y. 2025-2026 ]]*8</f>
        <v>2424</v>
      </c>
      <c r="K32" s="5"/>
      <c r="L32" s="1"/>
      <c r="M32" s="5"/>
      <c r="N32" s="5">
        <f t="shared" si="2"/>
        <v>2424</v>
      </c>
      <c r="O32" s="5">
        <f t="shared" si="3"/>
        <v>0</v>
      </c>
      <c r="P32" s="5">
        <f>Table14[[#This Row],[Enrolment S.Y. 2025-2026 ]]*8</f>
        <v>2424</v>
      </c>
      <c r="Q32" s="5"/>
      <c r="R32" s="1"/>
      <c r="S32" s="5"/>
      <c r="T32" s="5">
        <f t="shared" si="4"/>
        <v>2424</v>
      </c>
      <c r="U32" s="5">
        <f t="shared" si="5"/>
        <v>0</v>
      </c>
      <c r="V32" s="5">
        <f>Table14[[#This Row],[Enrolment S.Y. 2025-2026 ]]*8</f>
        <v>2424</v>
      </c>
      <c r="W32" s="5"/>
      <c r="X32" s="1"/>
      <c r="Y32" s="5"/>
      <c r="Z32" s="5">
        <f t="shared" si="6"/>
        <v>2424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303</v>
      </c>
      <c r="D33" s="5">
        <f>Table14[[#This Row],[Enrolment S.Y. 2025-2026 ]]*8</f>
        <v>2424</v>
      </c>
      <c r="E33" s="5"/>
      <c r="F33" s="1"/>
      <c r="G33" s="5"/>
      <c r="H33" s="5">
        <f t="shared" si="0"/>
        <v>2424</v>
      </c>
      <c r="I33" s="5">
        <f t="shared" si="1"/>
        <v>0</v>
      </c>
      <c r="J33" s="5">
        <f>Table14[[#This Row],[Enrolment S.Y. 2025-2026 ]]*8</f>
        <v>2424</v>
      </c>
      <c r="K33" s="5"/>
      <c r="L33" s="1"/>
      <c r="M33" s="5"/>
      <c r="N33" s="5">
        <f t="shared" si="2"/>
        <v>2424</v>
      </c>
      <c r="O33" s="5">
        <f t="shared" si="3"/>
        <v>0</v>
      </c>
      <c r="P33" s="5">
        <f>Table14[[#This Row],[Enrolment S.Y. 2025-2026 ]]*8</f>
        <v>2424</v>
      </c>
      <c r="Q33" s="5"/>
      <c r="R33" s="1"/>
      <c r="S33" s="5"/>
      <c r="T33" s="5">
        <f t="shared" si="4"/>
        <v>2424</v>
      </c>
      <c r="U33" s="5">
        <f t="shared" si="5"/>
        <v>0</v>
      </c>
      <c r="V33" s="5">
        <f>Table14[[#This Row],[Enrolment S.Y. 2025-2026 ]]*8</f>
        <v>2424</v>
      </c>
      <c r="W33" s="5"/>
      <c r="X33" s="1"/>
      <c r="Y33" s="5"/>
      <c r="Z33" s="5">
        <f t="shared" si="6"/>
        <v>2424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303</v>
      </c>
      <c r="D34" s="5">
        <f>Table14[[#This Row],[Enrolment S.Y. 2025-2026 ]]*8</f>
        <v>2424</v>
      </c>
      <c r="E34" s="5"/>
      <c r="F34" s="1"/>
      <c r="G34" s="5"/>
      <c r="H34" s="5">
        <f t="shared" si="0"/>
        <v>2424</v>
      </c>
      <c r="I34" s="5">
        <f t="shared" si="1"/>
        <v>0</v>
      </c>
      <c r="J34" s="5">
        <f>Table14[[#This Row],[Enrolment S.Y. 2025-2026 ]]*8</f>
        <v>2424</v>
      </c>
      <c r="K34" s="5"/>
      <c r="L34" s="1"/>
      <c r="M34" s="5"/>
      <c r="N34" s="5">
        <f t="shared" si="2"/>
        <v>2424</v>
      </c>
      <c r="O34" s="5">
        <f t="shared" si="3"/>
        <v>0</v>
      </c>
      <c r="P34" s="5">
        <f>Table14[[#This Row],[Enrolment S.Y. 2025-2026 ]]*8</f>
        <v>2424</v>
      </c>
      <c r="Q34" s="5"/>
      <c r="R34" s="1"/>
      <c r="S34" s="5"/>
      <c r="T34" s="5">
        <f t="shared" si="4"/>
        <v>2424</v>
      </c>
      <c r="U34" s="5">
        <f t="shared" si="5"/>
        <v>0</v>
      </c>
      <c r="V34" s="5">
        <f>Table14[[#This Row],[Enrolment S.Y. 2025-2026 ]]*8</f>
        <v>2424</v>
      </c>
      <c r="W34" s="5"/>
      <c r="X34" s="1"/>
      <c r="Y34" s="5"/>
      <c r="Z34" s="5">
        <f t="shared" si="6"/>
        <v>2424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303</v>
      </c>
      <c r="D35" s="5">
        <f>Table14[[#This Row],[Enrolment S.Y. 2025-2026 ]]*8</f>
        <v>2424</v>
      </c>
      <c r="E35" s="5"/>
      <c r="F35" s="1"/>
      <c r="G35" s="5"/>
      <c r="H35" s="5">
        <f t="shared" si="0"/>
        <v>2424</v>
      </c>
      <c r="I35" s="5">
        <f t="shared" si="1"/>
        <v>0</v>
      </c>
      <c r="J35" s="5">
        <f>Table14[[#This Row],[Enrolment S.Y. 2025-2026 ]]*8</f>
        <v>2424</v>
      </c>
      <c r="K35" s="5"/>
      <c r="L35" s="1"/>
      <c r="M35" s="5"/>
      <c r="N35" s="5">
        <f t="shared" si="2"/>
        <v>2424</v>
      </c>
      <c r="O35" s="5">
        <f t="shared" si="3"/>
        <v>0</v>
      </c>
      <c r="P35" s="5">
        <f>Table14[[#This Row],[Enrolment S.Y. 2025-2026 ]]*8</f>
        <v>2424</v>
      </c>
      <c r="Q35" s="5"/>
      <c r="R35" s="1"/>
      <c r="S35" s="5"/>
      <c r="T35" s="5">
        <f t="shared" si="4"/>
        <v>2424</v>
      </c>
      <c r="U35" s="5">
        <f t="shared" si="5"/>
        <v>0</v>
      </c>
      <c r="V35" s="5">
        <f>Table14[[#This Row],[Enrolment S.Y. 2025-2026 ]]*8</f>
        <v>2424</v>
      </c>
      <c r="W35" s="5"/>
      <c r="X35" s="1"/>
      <c r="Y35" s="5"/>
      <c r="Z35" s="5">
        <f t="shared" si="6"/>
        <v>2424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303</v>
      </c>
      <c r="D36" s="5">
        <f>Table14[[#This Row],[Enrolment S.Y. 2025-2026 ]]*8</f>
        <v>2424</v>
      </c>
      <c r="E36" s="5"/>
      <c r="F36" s="1"/>
      <c r="G36" s="5"/>
      <c r="H36" s="5">
        <f t="shared" si="0"/>
        <v>2424</v>
      </c>
      <c r="I36" s="5">
        <f t="shared" si="1"/>
        <v>0</v>
      </c>
      <c r="J36" s="5">
        <f>Table14[[#This Row],[Enrolment S.Y. 2025-2026 ]]*8</f>
        <v>2424</v>
      </c>
      <c r="K36" s="5"/>
      <c r="L36" s="1"/>
      <c r="M36" s="5"/>
      <c r="N36" s="5">
        <f t="shared" ref="N36:N41" si="8">IF((J36-K36)&lt;0,0,(J36-K36))</f>
        <v>2424</v>
      </c>
      <c r="O36" s="5">
        <f t="shared" ref="O36:O41" si="9">IF((K36-J36)&lt;0,0,(K36-J36))</f>
        <v>0</v>
      </c>
      <c r="P36" s="5">
        <f>Table14[[#This Row],[Enrolment S.Y. 2025-2026 ]]*8</f>
        <v>2424</v>
      </c>
      <c r="Q36" s="5"/>
      <c r="R36" s="1"/>
      <c r="S36" s="5"/>
      <c r="T36" s="5">
        <f t="shared" si="4"/>
        <v>2424</v>
      </c>
      <c r="U36" s="5">
        <f t="shared" si="5"/>
        <v>0</v>
      </c>
      <c r="V36" s="5">
        <f>Table14[[#This Row],[Enrolment S.Y. 2025-2026 ]]*8</f>
        <v>2424</v>
      </c>
      <c r="W36" s="5"/>
      <c r="X36" s="1"/>
      <c r="Y36" s="5"/>
      <c r="Z36" s="5">
        <f t="shared" si="6"/>
        <v>2424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303</v>
      </c>
      <c r="D37" s="5">
        <f>Table14[[#This Row],[Enrolment S.Y. 2025-2026 ]]*8</f>
        <v>2424</v>
      </c>
      <c r="E37" s="5"/>
      <c r="F37" s="1"/>
      <c r="G37" s="5"/>
      <c r="H37" s="5">
        <f>IF((D37-E37)&lt;0,0,(D37-E37))</f>
        <v>2424</v>
      </c>
      <c r="I37" s="5">
        <f>IF((E37-D37)&lt;0,0,(E37-D37))</f>
        <v>0</v>
      </c>
      <c r="J37" s="5">
        <f>Table14[[#This Row],[Enrolment S.Y. 2025-2026 ]]*8</f>
        <v>2424</v>
      </c>
      <c r="K37" s="5"/>
      <c r="L37" s="1"/>
      <c r="M37" s="5"/>
      <c r="N37" s="5">
        <f t="shared" si="8"/>
        <v>2424</v>
      </c>
      <c r="O37" s="5">
        <f t="shared" si="9"/>
        <v>0</v>
      </c>
      <c r="P37" s="5">
        <f>Table14[[#This Row],[Enrolment S.Y. 2025-2026 ]]*8</f>
        <v>2424</v>
      </c>
      <c r="Q37" s="5"/>
      <c r="R37" s="1"/>
      <c r="S37" s="5"/>
      <c r="T37" s="5">
        <f>IF((P37-Q37)&lt;0,0,(P37-Q37))</f>
        <v>2424</v>
      </c>
      <c r="U37" s="5">
        <f>IF((Q37-P37)&lt;0,0,(Q37-P37))</f>
        <v>0</v>
      </c>
      <c r="V37" s="5">
        <f>Table14[[#This Row],[Enrolment S.Y. 2025-2026 ]]*8</f>
        <v>2424</v>
      </c>
      <c r="W37" s="5"/>
      <c r="X37" s="1"/>
      <c r="Y37" s="5"/>
      <c r="Z37" s="5">
        <f>IF((V37-W37)&lt;0,0,(V37-W37))</f>
        <v>2424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303</v>
      </c>
      <c r="D38" s="5">
        <f>Table14[[#This Row],[Enrolment S.Y. 2025-2026 ]]*8</f>
        <v>2424</v>
      </c>
      <c r="E38" s="5"/>
      <c r="F38" s="1"/>
      <c r="G38" s="5"/>
      <c r="H38" s="5">
        <f t="shared" si="0"/>
        <v>2424</v>
      </c>
      <c r="I38" s="5">
        <f t="shared" si="1"/>
        <v>0</v>
      </c>
      <c r="J38" s="5">
        <f>Table14[[#This Row],[Enrolment S.Y. 2025-2026 ]]*8</f>
        <v>2424</v>
      </c>
      <c r="K38" s="5"/>
      <c r="L38" s="1"/>
      <c r="M38" s="5"/>
      <c r="N38" s="5">
        <f t="shared" si="8"/>
        <v>2424</v>
      </c>
      <c r="O38" s="5">
        <f t="shared" si="9"/>
        <v>0</v>
      </c>
      <c r="P38" s="5">
        <f>Table14[[#This Row],[Enrolment S.Y. 2025-2026 ]]*8</f>
        <v>2424</v>
      </c>
      <c r="Q38" s="5"/>
      <c r="R38" s="1"/>
      <c r="S38" s="5"/>
      <c r="T38" s="5">
        <f t="shared" si="4"/>
        <v>2424</v>
      </c>
      <c r="U38" s="5">
        <f t="shared" si="5"/>
        <v>0</v>
      </c>
      <c r="V38" s="5">
        <f>Table14[[#This Row],[Enrolment S.Y. 2025-2026 ]]*8</f>
        <v>2424</v>
      </c>
      <c r="W38" s="5"/>
      <c r="X38" s="1"/>
      <c r="Y38" s="5"/>
      <c r="Z38" s="5">
        <f t="shared" si="6"/>
        <v>2424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303</v>
      </c>
      <c r="D39" s="5">
        <f>Table14[[#This Row],[Enrolment S.Y. 2025-2026 ]]*8</f>
        <v>2424</v>
      </c>
      <c r="E39" s="5"/>
      <c r="F39" s="1"/>
      <c r="G39" s="5"/>
      <c r="H39" s="5">
        <f t="shared" si="0"/>
        <v>2424</v>
      </c>
      <c r="I39" s="5">
        <f t="shared" si="1"/>
        <v>0</v>
      </c>
      <c r="J39" s="5">
        <f>Table14[[#This Row],[Enrolment S.Y. 2025-2026 ]]*8</f>
        <v>2424</v>
      </c>
      <c r="K39" s="5"/>
      <c r="L39" s="1"/>
      <c r="M39" s="5"/>
      <c r="N39" s="5">
        <f t="shared" si="8"/>
        <v>2424</v>
      </c>
      <c r="O39" s="5">
        <f t="shared" si="9"/>
        <v>0</v>
      </c>
      <c r="P39" s="5">
        <f>Table14[[#This Row],[Enrolment S.Y. 2025-2026 ]]*8</f>
        <v>2424</v>
      </c>
      <c r="Q39" s="5"/>
      <c r="R39" s="1"/>
      <c r="S39" s="5"/>
      <c r="T39" s="5">
        <f t="shared" si="4"/>
        <v>2424</v>
      </c>
      <c r="U39" s="5">
        <f t="shared" si="5"/>
        <v>0</v>
      </c>
      <c r="V39" s="5">
        <f>Table14[[#This Row],[Enrolment S.Y. 2025-2026 ]]*8</f>
        <v>2424</v>
      </c>
      <c r="W39" s="5"/>
      <c r="X39" s="1"/>
      <c r="Y39" s="5"/>
      <c r="Z39" s="5">
        <f t="shared" si="6"/>
        <v>2424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303</v>
      </c>
      <c r="D40" s="5">
        <f>Table14[[#This Row],[Enrolment S.Y. 2025-2026 ]]*8</f>
        <v>2424</v>
      </c>
      <c r="E40" s="5"/>
      <c r="F40" s="1"/>
      <c r="G40" s="5"/>
      <c r="H40" s="5">
        <f>IF((D40-E40)&lt;0,0,(D40-E40))</f>
        <v>2424</v>
      </c>
      <c r="I40" s="5">
        <f>IF((E40-D40)&lt;0,0,(E40-D40))</f>
        <v>0</v>
      </c>
      <c r="J40" s="5">
        <f>Table14[[#This Row],[Enrolment S.Y. 2025-2026 ]]*8</f>
        <v>2424</v>
      </c>
      <c r="K40" s="5"/>
      <c r="L40" s="1"/>
      <c r="M40" s="5"/>
      <c r="N40" s="5">
        <f t="shared" si="8"/>
        <v>2424</v>
      </c>
      <c r="O40" s="5">
        <f t="shared" si="9"/>
        <v>0</v>
      </c>
      <c r="P40" s="5">
        <f>Table14[[#This Row],[Enrolment S.Y. 2025-2026 ]]*8</f>
        <v>2424</v>
      </c>
      <c r="Q40" s="5"/>
      <c r="R40" s="1"/>
      <c r="S40" s="5"/>
      <c r="T40" s="5">
        <f>IF((P40-Q40)&lt;0,0,(P40-Q40))</f>
        <v>2424</v>
      </c>
      <c r="U40" s="5">
        <f>IF((Q40-P40)&lt;0,0,(Q40-P40))</f>
        <v>0</v>
      </c>
      <c r="V40" s="5">
        <f>Table14[[#This Row],[Enrolment S.Y. 2025-2026 ]]*8</f>
        <v>2424</v>
      </c>
      <c r="W40" s="5"/>
      <c r="X40" s="1"/>
      <c r="Y40" s="5"/>
      <c r="Z40" s="5">
        <f>IF((V40-W40)&lt;0,0,(V40-W40))</f>
        <v>2424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303</v>
      </c>
      <c r="D41" s="5">
        <f>Table14[[#This Row],[Enrolment S.Y. 2025-2026 ]]*8</f>
        <v>2424</v>
      </c>
      <c r="E41" s="5"/>
      <c r="F41" s="1"/>
      <c r="G41" s="5"/>
      <c r="H41" s="5">
        <f t="shared" si="0"/>
        <v>2424</v>
      </c>
      <c r="I41" s="5">
        <f t="shared" si="1"/>
        <v>0</v>
      </c>
      <c r="J41" s="5">
        <f>Table14[[#This Row],[Enrolment S.Y. 2025-2026 ]]*8</f>
        <v>2424</v>
      </c>
      <c r="K41" s="5"/>
      <c r="L41" s="1"/>
      <c r="M41" s="5"/>
      <c r="N41" s="5">
        <f t="shared" si="8"/>
        <v>2424</v>
      </c>
      <c r="O41" s="5">
        <f t="shared" si="9"/>
        <v>0</v>
      </c>
      <c r="P41" s="5">
        <f>Table14[[#This Row],[Enrolment S.Y. 2025-2026 ]]*8</f>
        <v>2424</v>
      </c>
      <c r="Q41" s="5"/>
      <c r="R41" s="1"/>
      <c r="S41" s="5"/>
      <c r="T41" s="5">
        <f t="shared" si="4"/>
        <v>2424</v>
      </c>
      <c r="U41" s="5">
        <f t="shared" si="5"/>
        <v>0</v>
      </c>
      <c r="V41" s="5">
        <f>Table14[[#This Row],[Enrolment S.Y. 2025-2026 ]]*8</f>
        <v>2424</v>
      </c>
      <c r="W41" s="5"/>
      <c r="X41" s="1"/>
      <c r="Y41" s="5"/>
      <c r="Z41" s="5">
        <f t="shared" si="6"/>
        <v>2424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298</v>
      </c>
      <c r="D43" s="5">
        <f>Table14[[#This Row],[Enrolment S.Y. 2025-2026 ]]*8</f>
        <v>2384</v>
      </c>
      <c r="E43" s="5"/>
      <c r="F43" s="1"/>
      <c r="G43" s="5"/>
      <c r="H43" s="5">
        <f t="shared" si="0"/>
        <v>2384</v>
      </c>
      <c r="I43" s="5">
        <f t="shared" si="1"/>
        <v>0</v>
      </c>
      <c r="J43" s="5">
        <f>Table14[[#This Row],[Enrolment S.Y. 2025-2026 ]]*8</f>
        <v>2384</v>
      </c>
      <c r="K43" s="5"/>
      <c r="L43" s="1"/>
      <c r="M43" s="5"/>
      <c r="N43" s="5">
        <f t="shared" si="2"/>
        <v>2384</v>
      </c>
      <c r="O43" s="5">
        <f t="shared" si="3"/>
        <v>0</v>
      </c>
      <c r="P43" s="5">
        <f>Table14[[#This Row],[Enrolment S.Y. 2025-2026 ]]*8</f>
        <v>2384</v>
      </c>
      <c r="Q43" s="5"/>
      <c r="R43" s="1"/>
      <c r="S43" s="5"/>
      <c r="T43" s="5">
        <f t="shared" si="4"/>
        <v>2384</v>
      </c>
      <c r="U43" s="5">
        <f t="shared" si="5"/>
        <v>0</v>
      </c>
      <c r="V43" s="5">
        <f>Table14[[#This Row],[Enrolment S.Y. 2025-2026 ]]*8</f>
        <v>2384</v>
      </c>
      <c r="W43" s="5"/>
      <c r="X43" s="1"/>
      <c r="Y43" s="5"/>
      <c r="Z43" s="5">
        <f t="shared" si="6"/>
        <v>2384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298</v>
      </c>
      <c r="D44" s="5">
        <f>Table14[[#This Row],[Enrolment S.Y. 2025-2026 ]]*8</f>
        <v>2384</v>
      </c>
      <c r="E44" s="5"/>
      <c r="F44" s="1"/>
      <c r="G44" s="5"/>
      <c r="H44" s="5">
        <f t="shared" si="0"/>
        <v>2384</v>
      </c>
      <c r="I44" s="5">
        <f t="shared" si="1"/>
        <v>0</v>
      </c>
      <c r="J44" s="5">
        <f>Table14[[#This Row],[Enrolment S.Y. 2025-2026 ]]*8</f>
        <v>2384</v>
      </c>
      <c r="K44" s="5"/>
      <c r="L44" s="1"/>
      <c r="M44" s="5"/>
      <c r="N44" s="5">
        <f t="shared" si="2"/>
        <v>2384</v>
      </c>
      <c r="O44" s="5">
        <f t="shared" si="3"/>
        <v>0</v>
      </c>
      <c r="P44" s="5">
        <f>Table14[[#This Row],[Enrolment S.Y. 2025-2026 ]]*8</f>
        <v>2384</v>
      </c>
      <c r="Q44" s="5"/>
      <c r="R44" s="1"/>
      <c r="S44" s="5"/>
      <c r="T44" s="5">
        <f t="shared" si="4"/>
        <v>2384</v>
      </c>
      <c r="U44" s="5">
        <f t="shared" si="5"/>
        <v>0</v>
      </c>
      <c r="V44" s="5">
        <f>Table14[[#This Row],[Enrolment S.Y. 2025-2026 ]]*8</f>
        <v>2384</v>
      </c>
      <c r="W44" s="5"/>
      <c r="X44" s="1"/>
      <c r="Y44" s="5"/>
      <c r="Z44" s="5">
        <f t="shared" si="6"/>
        <v>2384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298</v>
      </c>
      <c r="D45" s="5">
        <f>Table14[[#This Row],[Enrolment S.Y. 2025-2026 ]]*8</f>
        <v>2384</v>
      </c>
      <c r="E45" s="5"/>
      <c r="F45" s="1"/>
      <c r="G45" s="5"/>
      <c r="H45" s="5">
        <f t="shared" si="0"/>
        <v>2384</v>
      </c>
      <c r="I45" s="5">
        <f t="shared" si="1"/>
        <v>0</v>
      </c>
      <c r="J45" s="5">
        <f>Table14[[#This Row],[Enrolment S.Y. 2025-2026 ]]*8</f>
        <v>2384</v>
      </c>
      <c r="K45" s="5"/>
      <c r="L45" s="1"/>
      <c r="M45" s="5"/>
      <c r="N45" s="5">
        <f t="shared" si="2"/>
        <v>2384</v>
      </c>
      <c r="O45" s="5">
        <f t="shared" si="3"/>
        <v>0</v>
      </c>
      <c r="P45" s="5">
        <f>Table14[[#This Row],[Enrolment S.Y. 2025-2026 ]]*8</f>
        <v>2384</v>
      </c>
      <c r="Q45" s="5"/>
      <c r="R45" s="1"/>
      <c r="S45" s="5"/>
      <c r="T45" s="5">
        <f t="shared" si="4"/>
        <v>2384</v>
      </c>
      <c r="U45" s="5">
        <f t="shared" si="5"/>
        <v>0</v>
      </c>
      <c r="V45" s="5">
        <f>Table14[[#This Row],[Enrolment S.Y. 2025-2026 ]]*8</f>
        <v>2384</v>
      </c>
      <c r="W45" s="5"/>
      <c r="X45" s="1"/>
      <c r="Y45" s="5"/>
      <c r="Z45" s="5">
        <f t="shared" si="6"/>
        <v>2384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298</v>
      </c>
      <c r="D46" s="5">
        <f>Table14[[#This Row],[Enrolment S.Y. 2025-2026 ]]*8</f>
        <v>2384</v>
      </c>
      <c r="E46" s="5"/>
      <c r="F46" s="1"/>
      <c r="G46" s="5"/>
      <c r="H46" s="5">
        <f t="shared" si="0"/>
        <v>2384</v>
      </c>
      <c r="I46" s="5">
        <f t="shared" si="1"/>
        <v>0</v>
      </c>
      <c r="J46" s="5">
        <f>Table14[[#This Row],[Enrolment S.Y. 2025-2026 ]]*8</f>
        <v>2384</v>
      </c>
      <c r="K46" s="5"/>
      <c r="L46" s="1"/>
      <c r="M46" s="5"/>
      <c r="N46" s="5">
        <f t="shared" si="2"/>
        <v>2384</v>
      </c>
      <c r="O46" s="5">
        <f t="shared" si="3"/>
        <v>0</v>
      </c>
      <c r="P46" s="5">
        <f>Table14[[#This Row],[Enrolment S.Y. 2025-2026 ]]*8</f>
        <v>2384</v>
      </c>
      <c r="Q46" s="5"/>
      <c r="R46" s="1"/>
      <c r="S46" s="5"/>
      <c r="T46" s="5">
        <f t="shared" si="4"/>
        <v>2384</v>
      </c>
      <c r="U46" s="5">
        <f t="shared" si="5"/>
        <v>0</v>
      </c>
      <c r="V46" s="5">
        <f>Table14[[#This Row],[Enrolment S.Y. 2025-2026 ]]*8</f>
        <v>2384</v>
      </c>
      <c r="W46" s="5"/>
      <c r="X46" s="1"/>
      <c r="Y46" s="5"/>
      <c r="Z46" s="5">
        <f t="shared" si="6"/>
        <v>2384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298</v>
      </c>
      <c r="D47" s="5">
        <f>Table14[[#This Row],[Enrolment S.Y. 2025-2026 ]]*8</f>
        <v>2384</v>
      </c>
      <c r="E47" s="5"/>
      <c r="F47" s="1"/>
      <c r="G47" s="5"/>
      <c r="H47" s="5">
        <f t="shared" si="0"/>
        <v>2384</v>
      </c>
      <c r="I47" s="5">
        <f t="shared" si="1"/>
        <v>0</v>
      </c>
      <c r="J47" s="5">
        <f>Table14[[#This Row],[Enrolment S.Y. 2025-2026 ]]*8</f>
        <v>2384</v>
      </c>
      <c r="K47" s="5"/>
      <c r="L47" s="1"/>
      <c r="M47" s="5"/>
      <c r="N47" s="5">
        <f t="shared" si="2"/>
        <v>2384</v>
      </c>
      <c r="O47" s="5">
        <f t="shared" si="3"/>
        <v>0</v>
      </c>
      <c r="P47" s="5">
        <f>Table14[[#This Row],[Enrolment S.Y. 2025-2026 ]]*8</f>
        <v>2384</v>
      </c>
      <c r="Q47" s="5"/>
      <c r="R47" s="1"/>
      <c r="S47" s="5"/>
      <c r="T47" s="5">
        <f t="shared" si="4"/>
        <v>2384</v>
      </c>
      <c r="U47" s="5">
        <f t="shared" si="5"/>
        <v>0</v>
      </c>
      <c r="V47" s="5">
        <f>Table14[[#This Row],[Enrolment S.Y. 2025-2026 ]]*8</f>
        <v>2384</v>
      </c>
      <c r="W47" s="5"/>
      <c r="X47" s="1"/>
      <c r="Y47" s="5"/>
      <c r="Z47" s="5">
        <f t="shared" si="6"/>
        <v>2384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298</v>
      </c>
      <c r="D48" s="5">
        <f>Table14[[#This Row],[Enrolment S.Y. 2025-2026 ]]*8</f>
        <v>2384</v>
      </c>
      <c r="E48" s="5"/>
      <c r="F48" s="1"/>
      <c r="G48" s="5"/>
      <c r="H48" s="5">
        <f t="shared" si="0"/>
        <v>2384</v>
      </c>
      <c r="I48" s="5">
        <f t="shared" si="1"/>
        <v>0</v>
      </c>
      <c r="J48" s="5">
        <f>Table14[[#This Row],[Enrolment S.Y. 2025-2026 ]]*8</f>
        <v>2384</v>
      </c>
      <c r="K48" s="5"/>
      <c r="L48" s="1"/>
      <c r="M48" s="5"/>
      <c r="N48" s="5">
        <f t="shared" ref="N48:N53" si="10">IF((J48-K48)&lt;0,0,(J48-K48))</f>
        <v>2384</v>
      </c>
      <c r="O48" s="5">
        <f t="shared" ref="O48:O53" si="11">IF((K48-J48)&lt;0,0,(K48-J48))</f>
        <v>0</v>
      </c>
      <c r="P48" s="5">
        <f>Table14[[#This Row],[Enrolment S.Y. 2025-2026 ]]*8</f>
        <v>2384</v>
      </c>
      <c r="Q48" s="5"/>
      <c r="R48" s="1"/>
      <c r="S48" s="5"/>
      <c r="T48" s="5">
        <f t="shared" si="4"/>
        <v>2384</v>
      </c>
      <c r="U48" s="5">
        <f t="shared" si="5"/>
        <v>0</v>
      </c>
      <c r="V48" s="5">
        <f>Table14[[#This Row],[Enrolment S.Y. 2025-2026 ]]*8</f>
        <v>2384</v>
      </c>
      <c r="W48" s="5"/>
      <c r="X48" s="1"/>
      <c r="Y48" s="5"/>
      <c r="Z48" s="5">
        <f t="shared" si="6"/>
        <v>2384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298</v>
      </c>
      <c r="D49" s="5">
        <f>Table14[[#This Row],[Enrolment S.Y. 2025-2026 ]]*8</f>
        <v>2384</v>
      </c>
      <c r="E49" s="5"/>
      <c r="F49" s="1"/>
      <c r="G49" s="5"/>
      <c r="H49" s="5">
        <f>IF((D49-E49)&lt;0,0,(D49-E49))</f>
        <v>2384</v>
      </c>
      <c r="I49" s="5">
        <f>IF((E49-D49)&lt;0,0,(E49-D49))</f>
        <v>0</v>
      </c>
      <c r="J49" s="5">
        <f>Table14[[#This Row],[Enrolment S.Y. 2025-2026 ]]*8</f>
        <v>2384</v>
      </c>
      <c r="K49" s="5"/>
      <c r="L49" s="1"/>
      <c r="M49" s="5"/>
      <c r="N49" s="5">
        <f t="shared" si="10"/>
        <v>2384</v>
      </c>
      <c r="O49" s="5">
        <f t="shared" si="11"/>
        <v>0</v>
      </c>
      <c r="P49" s="5">
        <f>Table14[[#This Row],[Enrolment S.Y. 2025-2026 ]]*8</f>
        <v>2384</v>
      </c>
      <c r="Q49" s="5"/>
      <c r="R49" s="1"/>
      <c r="S49" s="5"/>
      <c r="T49" s="5">
        <f>IF((P49-Q49)&lt;0,0,(P49-Q49))</f>
        <v>2384</v>
      </c>
      <c r="U49" s="5">
        <f>IF((Q49-P49)&lt;0,0,(Q49-P49))</f>
        <v>0</v>
      </c>
      <c r="V49" s="5">
        <f>Table14[[#This Row],[Enrolment S.Y. 2025-2026 ]]*8</f>
        <v>2384</v>
      </c>
      <c r="W49" s="5"/>
      <c r="X49" s="1"/>
      <c r="Y49" s="5"/>
      <c r="Z49" s="5">
        <f>IF((V49-W49)&lt;0,0,(V49-W49))</f>
        <v>2384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298</v>
      </c>
      <c r="D50" s="5">
        <f>Table14[[#This Row],[Enrolment S.Y. 2025-2026 ]]*8</f>
        <v>2384</v>
      </c>
      <c r="E50" s="5"/>
      <c r="F50" s="1"/>
      <c r="G50" s="5"/>
      <c r="H50" s="5">
        <f t="shared" si="0"/>
        <v>2384</v>
      </c>
      <c r="I50" s="5">
        <f t="shared" si="1"/>
        <v>0</v>
      </c>
      <c r="J50" s="5">
        <f>Table14[[#This Row],[Enrolment S.Y. 2025-2026 ]]*8</f>
        <v>2384</v>
      </c>
      <c r="K50" s="5"/>
      <c r="L50" s="1"/>
      <c r="M50" s="5"/>
      <c r="N50" s="5">
        <f t="shared" si="10"/>
        <v>2384</v>
      </c>
      <c r="O50" s="5">
        <f t="shared" si="11"/>
        <v>0</v>
      </c>
      <c r="P50" s="5">
        <f>Table14[[#This Row],[Enrolment S.Y. 2025-2026 ]]*8</f>
        <v>2384</v>
      </c>
      <c r="Q50" s="5"/>
      <c r="R50" s="1"/>
      <c r="S50" s="5"/>
      <c r="T50" s="5">
        <f t="shared" si="4"/>
        <v>2384</v>
      </c>
      <c r="U50" s="5">
        <f t="shared" si="5"/>
        <v>0</v>
      </c>
      <c r="V50" s="5">
        <f>Table14[[#This Row],[Enrolment S.Y. 2025-2026 ]]*8</f>
        <v>2384</v>
      </c>
      <c r="W50" s="5"/>
      <c r="X50" s="1"/>
      <c r="Y50" s="5"/>
      <c r="Z50" s="5">
        <f t="shared" si="6"/>
        <v>2384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298</v>
      </c>
      <c r="D51" s="5">
        <f>Table14[[#This Row],[Enrolment S.Y. 2025-2026 ]]*8</f>
        <v>2384</v>
      </c>
      <c r="E51" s="5"/>
      <c r="F51" s="1"/>
      <c r="G51" s="5"/>
      <c r="H51" s="5">
        <f t="shared" si="0"/>
        <v>2384</v>
      </c>
      <c r="I51" s="5">
        <f t="shared" si="1"/>
        <v>0</v>
      </c>
      <c r="J51" s="5">
        <f>Table14[[#This Row],[Enrolment S.Y. 2025-2026 ]]*8</f>
        <v>2384</v>
      </c>
      <c r="K51" s="5"/>
      <c r="L51" s="1"/>
      <c r="M51" s="5"/>
      <c r="N51" s="5">
        <f t="shared" si="10"/>
        <v>2384</v>
      </c>
      <c r="O51" s="5">
        <f t="shared" si="11"/>
        <v>0</v>
      </c>
      <c r="P51" s="5">
        <f>Table14[[#This Row],[Enrolment S.Y. 2025-2026 ]]*8</f>
        <v>2384</v>
      </c>
      <c r="Q51" s="5"/>
      <c r="R51" s="1"/>
      <c r="S51" s="5"/>
      <c r="T51" s="5">
        <f t="shared" si="4"/>
        <v>2384</v>
      </c>
      <c r="U51" s="5">
        <f t="shared" si="5"/>
        <v>0</v>
      </c>
      <c r="V51" s="5">
        <f>Table14[[#This Row],[Enrolment S.Y. 2025-2026 ]]*8</f>
        <v>2384</v>
      </c>
      <c r="W51" s="5"/>
      <c r="X51" s="1"/>
      <c r="Y51" s="5"/>
      <c r="Z51" s="5">
        <f t="shared" si="6"/>
        <v>2384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298</v>
      </c>
      <c r="D52" s="5">
        <f>Table14[[#This Row],[Enrolment S.Y. 2025-2026 ]]*8</f>
        <v>2384</v>
      </c>
      <c r="E52" s="5"/>
      <c r="F52" s="1"/>
      <c r="G52" s="5"/>
      <c r="H52" s="5">
        <f>IF((D52-E52)&lt;0,0,(D52-E52))</f>
        <v>2384</v>
      </c>
      <c r="I52" s="5">
        <f>IF((E52-D52)&lt;0,0,(E52-D52))</f>
        <v>0</v>
      </c>
      <c r="J52" s="5">
        <f>Table14[[#This Row],[Enrolment S.Y. 2025-2026 ]]*8</f>
        <v>2384</v>
      </c>
      <c r="K52" s="5"/>
      <c r="L52" s="1"/>
      <c r="M52" s="5"/>
      <c r="N52" s="5">
        <f t="shared" si="10"/>
        <v>2384</v>
      </c>
      <c r="O52" s="5">
        <f t="shared" si="11"/>
        <v>0</v>
      </c>
      <c r="P52" s="5">
        <f>Table14[[#This Row],[Enrolment S.Y. 2025-2026 ]]*8</f>
        <v>2384</v>
      </c>
      <c r="Q52" s="5"/>
      <c r="R52" s="1"/>
      <c r="S52" s="5"/>
      <c r="T52" s="5">
        <f>IF((P52-Q52)&lt;0,0,(P52-Q52))</f>
        <v>2384</v>
      </c>
      <c r="U52" s="5">
        <f>IF((Q52-P52)&lt;0,0,(Q52-P52))</f>
        <v>0</v>
      </c>
      <c r="V52" s="5">
        <f>Table14[[#This Row],[Enrolment S.Y. 2025-2026 ]]*8</f>
        <v>2384</v>
      </c>
      <c r="W52" s="5"/>
      <c r="X52" s="1"/>
      <c r="Y52" s="5"/>
      <c r="Z52" s="5">
        <f>IF((V52-W52)&lt;0,0,(V52-W52))</f>
        <v>2384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298</v>
      </c>
      <c r="D53" s="5">
        <f>Table14[[#This Row],[Enrolment S.Y. 2025-2026 ]]*8</f>
        <v>2384</v>
      </c>
      <c r="E53" s="5"/>
      <c r="F53" s="1"/>
      <c r="G53" s="5"/>
      <c r="H53" s="5">
        <f t="shared" si="0"/>
        <v>2384</v>
      </c>
      <c r="I53" s="5">
        <f t="shared" si="1"/>
        <v>0</v>
      </c>
      <c r="J53" s="5">
        <f>Table14[[#This Row],[Enrolment S.Y. 2025-2026 ]]*8</f>
        <v>2384</v>
      </c>
      <c r="K53" s="5"/>
      <c r="L53" s="1"/>
      <c r="M53" s="5"/>
      <c r="N53" s="5">
        <f t="shared" si="10"/>
        <v>2384</v>
      </c>
      <c r="O53" s="5">
        <f t="shared" si="11"/>
        <v>0</v>
      </c>
      <c r="P53" s="5">
        <f>Table14[[#This Row],[Enrolment S.Y. 2025-2026 ]]*8</f>
        <v>2384</v>
      </c>
      <c r="Q53" s="5"/>
      <c r="R53" s="1"/>
      <c r="S53" s="5"/>
      <c r="T53" s="5">
        <f t="shared" si="4"/>
        <v>2384</v>
      </c>
      <c r="U53" s="5">
        <f t="shared" si="5"/>
        <v>0</v>
      </c>
      <c r="V53" s="5">
        <f>Table14[[#This Row],[Enrolment S.Y. 2025-2026 ]]*8</f>
        <v>2384</v>
      </c>
      <c r="W53" s="5"/>
      <c r="X53" s="1"/>
      <c r="Y53" s="5"/>
      <c r="Z53" s="5">
        <f t="shared" si="6"/>
        <v>2384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310</v>
      </c>
      <c r="D55" s="5">
        <f>Table14[[#This Row],[Enrolment S.Y. 2025-2026 ]]*8</f>
        <v>2480</v>
      </c>
      <c r="E55" s="5">
        <v>270</v>
      </c>
      <c r="F55" s="1">
        <v>2025</v>
      </c>
      <c r="G55" s="5" t="s">
        <v>62</v>
      </c>
      <c r="H55" s="5">
        <f t="shared" si="0"/>
        <v>2210</v>
      </c>
      <c r="I55" s="5">
        <f t="shared" si="1"/>
        <v>0</v>
      </c>
      <c r="J55" s="5">
        <f>Table14[[#This Row],[Enrolment S.Y. 2025-2026 ]]*8</f>
        <v>2480</v>
      </c>
      <c r="K55" s="5"/>
      <c r="L55" s="1"/>
      <c r="M55" s="5"/>
      <c r="N55" s="5">
        <f t="shared" si="2"/>
        <v>2480</v>
      </c>
      <c r="O55" s="5">
        <f t="shared" si="3"/>
        <v>0</v>
      </c>
      <c r="P55" s="5">
        <f>Table14[[#This Row],[Enrolment S.Y. 2025-2026 ]]*8</f>
        <v>2480</v>
      </c>
      <c r="Q55" s="5"/>
      <c r="R55" s="1"/>
      <c r="S55" s="5"/>
      <c r="T55" s="5">
        <f t="shared" si="4"/>
        <v>2480</v>
      </c>
      <c r="U55" s="5">
        <f t="shared" si="5"/>
        <v>0</v>
      </c>
      <c r="V55" s="5">
        <f>Table14[[#This Row],[Enrolment S.Y. 2025-2026 ]]*8</f>
        <v>2480</v>
      </c>
      <c r="W55" s="5"/>
      <c r="X55" s="1"/>
      <c r="Y55" s="5"/>
      <c r="Z55" s="5">
        <f t="shared" si="6"/>
        <v>2480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310</v>
      </c>
      <c r="D56" s="5">
        <f>Table14[[#This Row],[Enrolment S.Y. 2025-2026 ]]*8</f>
        <v>2480</v>
      </c>
      <c r="E56" s="5">
        <v>1260</v>
      </c>
      <c r="F56" s="1">
        <v>2025</v>
      </c>
      <c r="G56" s="5" t="s">
        <v>62</v>
      </c>
      <c r="H56" s="5">
        <f t="shared" si="0"/>
        <v>1220</v>
      </c>
      <c r="I56" s="5">
        <f t="shared" si="1"/>
        <v>0</v>
      </c>
      <c r="J56" s="5">
        <f>Table14[[#This Row],[Enrolment S.Y. 2025-2026 ]]*8</f>
        <v>2480</v>
      </c>
      <c r="K56" s="5"/>
      <c r="L56" s="1"/>
      <c r="M56" s="5"/>
      <c r="N56" s="5">
        <f t="shared" si="2"/>
        <v>2480</v>
      </c>
      <c r="O56" s="5">
        <f t="shared" si="3"/>
        <v>0</v>
      </c>
      <c r="P56" s="5">
        <f>Table14[[#This Row],[Enrolment S.Y. 2025-2026 ]]*8</f>
        <v>2480</v>
      </c>
      <c r="Q56" s="5"/>
      <c r="R56" s="1"/>
      <c r="S56" s="5"/>
      <c r="T56" s="5">
        <f t="shared" si="4"/>
        <v>2480</v>
      </c>
      <c r="U56" s="5">
        <f t="shared" si="5"/>
        <v>0</v>
      </c>
      <c r="V56" s="5">
        <f>Table14[[#This Row],[Enrolment S.Y. 2025-2026 ]]*8</f>
        <v>2480</v>
      </c>
      <c r="W56" s="5"/>
      <c r="X56" s="1"/>
      <c r="Y56" s="5"/>
      <c r="Z56" s="5">
        <f t="shared" si="6"/>
        <v>2480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310</v>
      </c>
      <c r="D57" s="5">
        <f>Table14[[#This Row],[Enrolment S.Y. 2025-2026 ]]*8</f>
        <v>2480</v>
      </c>
      <c r="E57" s="5">
        <v>990</v>
      </c>
      <c r="F57" s="1">
        <v>2025</v>
      </c>
      <c r="G57" s="5" t="s">
        <v>62</v>
      </c>
      <c r="H57" s="5">
        <f t="shared" si="0"/>
        <v>1490</v>
      </c>
      <c r="I57" s="5">
        <f t="shared" si="1"/>
        <v>0</v>
      </c>
      <c r="J57" s="5">
        <f>Table14[[#This Row],[Enrolment S.Y. 2025-2026 ]]*8</f>
        <v>2480</v>
      </c>
      <c r="K57" s="5"/>
      <c r="L57" s="1"/>
      <c r="M57" s="5"/>
      <c r="N57" s="5">
        <f t="shared" si="2"/>
        <v>2480</v>
      </c>
      <c r="O57" s="5">
        <f t="shared" si="3"/>
        <v>0</v>
      </c>
      <c r="P57" s="5">
        <f>Table14[[#This Row],[Enrolment S.Y. 2025-2026 ]]*8</f>
        <v>2480</v>
      </c>
      <c r="Q57" s="5"/>
      <c r="R57" s="1"/>
      <c r="S57" s="5"/>
      <c r="T57" s="5">
        <f t="shared" si="4"/>
        <v>2480</v>
      </c>
      <c r="U57" s="5">
        <f t="shared" si="5"/>
        <v>0</v>
      </c>
      <c r="V57" s="5">
        <f>Table14[[#This Row],[Enrolment S.Y. 2025-2026 ]]*8</f>
        <v>2480</v>
      </c>
      <c r="W57" s="5"/>
      <c r="X57" s="1"/>
      <c r="Y57" s="5"/>
      <c r="Z57" s="5">
        <f t="shared" si="6"/>
        <v>2480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310</v>
      </c>
      <c r="D58" s="5">
        <f>Table14[[#This Row],[Enrolment S.Y. 2025-2026 ]]*8</f>
        <v>2480</v>
      </c>
      <c r="E58" s="5"/>
      <c r="F58" s="1"/>
      <c r="G58" s="5"/>
      <c r="H58" s="5">
        <f t="shared" si="0"/>
        <v>2480</v>
      </c>
      <c r="I58" s="5">
        <f t="shared" si="1"/>
        <v>0</v>
      </c>
      <c r="J58" s="5">
        <f>Table14[[#This Row],[Enrolment S.Y. 2025-2026 ]]*8</f>
        <v>2480</v>
      </c>
      <c r="K58" s="5"/>
      <c r="L58" s="1"/>
      <c r="M58" s="5"/>
      <c r="N58" s="5">
        <f t="shared" si="2"/>
        <v>2480</v>
      </c>
      <c r="O58" s="5">
        <f t="shared" si="3"/>
        <v>0</v>
      </c>
      <c r="P58" s="5">
        <f>Table14[[#This Row],[Enrolment S.Y. 2025-2026 ]]*8</f>
        <v>2480</v>
      </c>
      <c r="Q58" s="5"/>
      <c r="R58" s="1"/>
      <c r="S58" s="5"/>
      <c r="T58" s="5">
        <f t="shared" si="4"/>
        <v>2480</v>
      </c>
      <c r="U58" s="5">
        <f t="shared" si="5"/>
        <v>0</v>
      </c>
      <c r="V58" s="5">
        <f>Table14[[#This Row],[Enrolment S.Y. 2025-2026 ]]*8</f>
        <v>2480</v>
      </c>
      <c r="W58" s="5"/>
      <c r="X58" s="1"/>
      <c r="Y58" s="5"/>
      <c r="Z58" s="5">
        <f t="shared" si="6"/>
        <v>2480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310</v>
      </c>
      <c r="D59" s="5">
        <f>Table14[[#This Row],[Enrolment S.Y. 2025-2026 ]]*8</f>
        <v>2480</v>
      </c>
      <c r="E59" s="5"/>
      <c r="F59" s="1"/>
      <c r="G59" s="5"/>
      <c r="H59" s="5">
        <f t="shared" si="0"/>
        <v>2480</v>
      </c>
      <c r="I59" s="5">
        <f t="shared" si="1"/>
        <v>0</v>
      </c>
      <c r="J59" s="5">
        <f>Table14[[#This Row],[Enrolment S.Y. 2025-2026 ]]*8</f>
        <v>2480</v>
      </c>
      <c r="K59" s="5"/>
      <c r="L59" s="1"/>
      <c r="M59" s="5"/>
      <c r="N59" s="5">
        <f t="shared" si="2"/>
        <v>2480</v>
      </c>
      <c r="O59" s="5">
        <f t="shared" si="3"/>
        <v>0</v>
      </c>
      <c r="P59" s="5">
        <f>Table14[[#This Row],[Enrolment S.Y. 2025-2026 ]]*8</f>
        <v>2480</v>
      </c>
      <c r="Q59" s="5"/>
      <c r="R59" s="1"/>
      <c r="S59" s="5"/>
      <c r="T59" s="5">
        <f t="shared" si="4"/>
        <v>2480</v>
      </c>
      <c r="U59" s="5">
        <f t="shared" si="5"/>
        <v>0</v>
      </c>
      <c r="V59" s="5">
        <f>Table14[[#This Row],[Enrolment S.Y. 2025-2026 ]]*8</f>
        <v>2480</v>
      </c>
      <c r="W59" s="5"/>
      <c r="X59" s="1"/>
      <c r="Y59" s="5"/>
      <c r="Z59" s="5">
        <f t="shared" si="6"/>
        <v>2480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310</v>
      </c>
      <c r="D60" s="5">
        <f>Table14[[#This Row],[Enrolment S.Y. 2025-2026 ]]*8</f>
        <v>2480</v>
      </c>
      <c r="E60" s="5"/>
      <c r="F60" s="1"/>
      <c r="G60" s="5"/>
      <c r="H60" s="5">
        <f t="shared" si="0"/>
        <v>2480</v>
      </c>
      <c r="I60" s="5">
        <f t="shared" si="1"/>
        <v>0</v>
      </c>
      <c r="J60" s="5">
        <f>Table14[[#This Row],[Enrolment S.Y. 2025-2026 ]]*8</f>
        <v>2480</v>
      </c>
      <c r="K60" s="5"/>
      <c r="L60" s="1"/>
      <c r="M60" s="5"/>
      <c r="N60" s="5">
        <f t="shared" si="2"/>
        <v>2480</v>
      </c>
      <c r="O60" s="5">
        <f t="shared" si="3"/>
        <v>0</v>
      </c>
      <c r="P60" s="5">
        <f>Table14[[#This Row],[Enrolment S.Y. 2025-2026 ]]*8</f>
        <v>2480</v>
      </c>
      <c r="Q60" s="5"/>
      <c r="R60" s="1"/>
      <c r="S60" s="5"/>
      <c r="T60" s="5">
        <f t="shared" si="4"/>
        <v>2480</v>
      </c>
      <c r="U60" s="5">
        <f t="shared" si="5"/>
        <v>0</v>
      </c>
      <c r="V60" s="5">
        <f>Table14[[#This Row],[Enrolment S.Y. 2025-2026 ]]*8</f>
        <v>2480</v>
      </c>
      <c r="W60" s="5"/>
      <c r="X60" s="1"/>
      <c r="Y60" s="5"/>
      <c r="Z60" s="5">
        <f t="shared" si="6"/>
        <v>2480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310</v>
      </c>
      <c r="D61" s="5">
        <f>Table14[[#This Row],[Enrolment S.Y. 2025-2026 ]]*8</f>
        <v>2480</v>
      </c>
      <c r="E61" s="5"/>
      <c r="F61" s="1"/>
      <c r="G61" s="5"/>
      <c r="H61" s="5">
        <f>IF((D61-E61)&lt;0,0,(D61-E61))</f>
        <v>2480</v>
      </c>
      <c r="I61" s="5">
        <f>IF((E61-D61)&lt;0,0,(E61-D61))</f>
        <v>0</v>
      </c>
      <c r="J61" s="5">
        <f>Table14[[#This Row],[Enrolment S.Y. 2025-2026 ]]*8</f>
        <v>2480</v>
      </c>
      <c r="K61" s="5"/>
      <c r="L61" s="1"/>
      <c r="M61" s="5"/>
      <c r="N61" s="5">
        <f t="shared" ref="N61:N65" si="12">IF((J61-K61)&lt;0,0,(J61-K61))</f>
        <v>2480</v>
      </c>
      <c r="O61" s="5">
        <f t="shared" ref="O61:O65" si="13">IF((K61-J61)&lt;0,0,(K61-J61))</f>
        <v>0</v>
      </c>
      <c r="P61" s="5">
        <f>Table14[[#This Row],[Enrolment S.Y. 2025-2026 ]]*8</f>
        <v>2480</v>
      </c>
      <c r="Q61" s="5"/>
      <c r="R61" s="1"/>
      <c r="S61" s="5"/>
      <c r="T61" s="5">
        <f>IF((P61-Q61)&lt;0,0,(P61-Q61))</f>
        <v>2480</v>
      </c>
      <c r="U61" s="5">
        <f>IF((Q61-P61)&lt;0,0,(Q61-P61))</f>
        <v>0</v>
      </c>
      <c r="V61" s="5">
        <f>Table14[[#This Row],[Enrolment S.Y. 2025-2026 ]]*8</f>
        <v>2480</v>
      </c>
      <c r="W61" s="5"/>
      <c r="X61" s="1"/>
      <c r="Y61" s="5"/>
      <c r="Z61" s="5">
        <f>IF((V61-W61)&lt;0,0,(V61-W61))</f>
        <v>2480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310</v>
      </c>
      <c r="D62" s="5">
        <f>Table14[[#This Row],[Enrolment S.Y. 2025-2026 ]]*8</f>
        <v>2480</v>
      </c>
      <c r="E62" s="5"/>
      <c r="F62" s="1"/>
      <c r="G62" s="5"/>
      <c r="H62" s="5">
        <f t="shared" si="0"/>
        <v>2480</v>
      </c>
      <c r="I62" s="5">
        <f t="shared" si="1"/>
        <v>0</v>
      </c>
      <c r="J62" s="5">
        <f>Table14[[#This Row],[Enrolment S.Y. 2025-2026 ]]*8</f>
        <v>2480</v>
      </c>
      <c r="K62" s="5"/>
      <c r="L62" s="1"/>
      <c r="M62" s="5"/>
      <c r="N62" s="5">
        <f t="shared" si="12"/>
        <v>2480</v>
      </c>
      <c r="O62" s="5">
        <f t="shared" si="13"/>
        <v>0</v>
      </c>
      <c r="P62" s="5">
        <f>Table14[[#This Row],[Enrolment S.Y. 2025-2026 ]]*8</f>
        <v>2480</v>
      </c>
      <c r="Q62" s="5"/>
      <c r="R62" s="1"/>
      <c r="S62" s="5"/>
      <c r="T62" s="5">
        <f t="shared" si="4"/>
        <v>2480</v>
      </c>
      <c r="U62" s="5">
        <f t="shared" si="5"/>
        <v>0</v>
      </c>
      <c r="V62" s="5">
        <f>Table14[[#This Row],[Enrolment S.Y. 2025-2026 ]]*8</f>
        <v>2480</v>
      </c>
      <c r="W62" s="5"/>
      <c r="X62" s="1"/>
      <c r="Y62" s="5"/>
      <c r="Z62" s="5">
        <f t="shared" si="6"/>
        <v>2480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310</v>
      </c>
      <c r="D63" s="5">
        <f>Table14[[#This Row],[Enrolment S.Y. 2025-2026 ]]*8</f>
        <v>2480</v>
      </c>
      <c r="E63" s="5"/>
      <c r="F63" s="1"/>
      <c r="G63" s="5"/>
      <c r="H63" s="5">
        <f t="shared" si="0"/>
        <v>2480</v>
      </c>
      <c r="I63" s="5">
        <f t="shared" si="1"/>
        <v>0</v>
      </c>
      <c r="J63" s="5">
        <f>Table14[[#This Row],[Enrolment S.Y. 2025-2026 ]]*8</f>
        <v>2480</v>
      </c>
      <c r="K63" s="5"/>
      <c r="L63" s="1"/>
      <c r="M63" s="5"/>
      <c r="N63" s="5">
        <f t="shared" si="12"/>
        <v>2480</v>
      </c>
      <c r="O63" s="5">
        <f t="shared" si="13"/>
        <v>0</v>
      </c>
      <c r="P63" s="5">
        <f>Table14[[#This Row],[Enrolment S.Y. 2025-2026 ]]*8</f>
        <v>2480</v>
      </c>
      <c r="Q63" s="5"/>
      <c r="R63" s="1"/>
      <c r="S63" s="5"/>
      <c r="T63" s="5">
        <f t="shared" si="4"/>
        <v>2480</v>
      </c>
      <c r="U63" s="5">
        <f t="shared" si="5"/>
        <v>0</v>
      </c>
      <c r="V63" s="5">
        <f>Table14[[#This Row],[Enrolment S.Y. 2025-2026 ]]*8</f>
        <v>2480</v>
      </c>
      <c r="W63" s="5"/>
      <c r="X63" s="1"/>
      <c r="Y63" s="5"/>
      <c r="Z63" s="5">
        <f t="shared" si="6"/>
        <v>2480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310</v>
      </c>
      <c r="D64" s="5">
        <f>Table14[[#This Row],[Enrolment S.Y. 2025-2026 ]]*8</f>
        <v>2480</v>
      </c>
      <c r="E64" s="5"/>
      <c r="F64" s="1"/>
      <c r="G64" s="5"/>
      <c r="H64" s="5">
        <f>IF((D64-E64)&lt;0,0,(D64-E64))</f>
        <v>2480</v>
      </c>
      <c r="I64" s="5">
        <f>IF((E64-D64)&lt;0,0,(E64-D64))</f>
        <v>0</v>
      </c>
      <c r="J64" s="5">
        <f>Table14[[#This Row],[Enrolment S.Y. 2025-2026 ]]*8</f>
        <v>2480</v>
      </c>
      <c r="K64" s="5"/>
      <c r="L64" s="1"/>
      <c r="M64" s="5"/>
      <c r="N64" s="5">
        <f t="shared" si="12"/>
        <v>2480</v>
      </c>
      <c r="O64" s="5">
        <f t="shared" si="13"/>
        <v>0</v>
      </c>
      <c r="P64" s="5">
        <f>Table14[[#This Row],[Enrolment S.Y. 2025-2026 ]]*8</f>
        <v>2480</v>
      </c>
      <c r="Q64" s="5"/>
      <c r="R64" s="1"/>
      <c r="S64" s="5"/>
      <c r="T64" s="5">
        <f>IF((P64-Q64)&lt;0,0,(P64-Q64))</f>
        <v>2480</v>
      </c>
      <c r="U64" s="5">
        <f>IF((Q64-P64)&lt;0,0,(Q64-P64))</f>
        <v>0</v>
      </c>
      <c r="V64" s="5">
        <f>Table14[[#This Row],[Enrolment S.Y. 2025-2026 ]]*8</f>
        <v>2480</v>
      </c>
      <c r="W64" s="5"/>
      <c r="X64" s="1"/>
      <c r="Y64" s="5"/>
      <c r="Z64" s="5">
        <f>IF((V64-W64)&lt;0,0,(V64-W64))</f>
        <v>2480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310</v>
      </c>
      <c r="D65" s="5">
        <f>Table14[[#This Row],[Enrolment S.Y. 2025-2026 ]]*8</f>
        <v>2480</v>
      </c>
      <c r="E65" s="5"/>
      <c r="F65" s="1"/>
      <c r="G65" s="5"/>
      <c r="H65" s="5">
        <f t="shared" si="0"/>
        <v>2480</v>
      </c>
      <c r="I65" s="5">
        <f t="shared" si="1"/>
        <v>0</v>
      </c>
      <c r="J65" s="5">
        <f>Table14[[#This Row],[Enrolment S.Y. 2025-2026 ]]*8</f>
        <v>2480</v>
      </c>
      <c r="K65" s="5"/>
      <c r="L65" s="1"/>
      <c r="M65" s="5"/>
      <c r="N65" s="5">
        <f t="shared" si="12"/>
        <v>2480</v>
      </c>
      <c r="O65" s="5">
        <f t="shared" si="13"/>
        <v>0</v>
      </c>
      <c r="P65" s="5">
        <f>Table14[[#This Row],[Enrolment S.Y. 2025-2026 ]]*8</f>
        <v>2480</v>
      </c>
      <c r="Q65" s="5"/>
      <c r="R65" s="1"/>
      <c r="S65" s="5"/>
      <c r="T65" s="5">
        <f t="shared" si="4"/>
        <v>2480</v>
      </c>
      <c r="U65" s="5">
        <f t="shared" si="5"/>
        <v>0</v>
      </c>
      <c r="V65" s="5">
        <f>Table14[[#This Row],[Enrolment S.Y. 2025-2026 ]]*8</f>
        <v>2480</v>
      </c>
      <c r="W65" s="5"/>
      <c r="X65" s="1"/>
      <c r="Y65" s="5"/>
      <c r="Z65" s="5">
        <f t="shared" si="6"/>
        <v>2480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2026-02-17T06:31:54Z</dcterms:modified>
  <cp:category/>
  <cp:contentStatus/>
</cp:coreProperties>
</file>