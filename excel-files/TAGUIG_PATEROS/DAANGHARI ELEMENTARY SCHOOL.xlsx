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9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352" documentId="13_ncr:1_{BFB59F67-F0DC-4675-A682-EB0734A8026A}" xr6:coauthVersionLast="47" xr6:coauthVersionMax="47" xr10:uidLastSave="{B6C08968-0941-4803-B9BE-5889716FFA81}"/>
  <bookViews>
    <workbookView xWindow="-108" yWindow="-108" windowWidth="23256" windowHeight="12456" firstSheet="1" activeTab="1" xr2:uid="{00000000-000D-0000-FFFF-FFFF00000000}"/>
  </bookViews>
  <sheets>
    <sheet name="TextBooks" sheetId="1" r:id="rId1"/>
    <sheet name="MODULE" sheetId="6" r:id="rId2"/>
    <sheet name="LE" sheetId="7" r:id="rId3"/>
    <sheet name="LAS" sheetId="4" r:id="rId4"/>
    <sheet name="ADM-SLM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0" i="1" l="1"/>
  <c r="J157" i="7"/>
  <c r="J156" i="7"/>
  <c r="J155" i="7"/>
  <c r="J154" i="7"/>
  <c r="J153" i="7"/>
  <c r="J152" i="7"/>
  <c r="J151" i="7"/>
  <c r="J150" i="7"/>
  <c r="J149" i="7"/>
  <c r="J148" i="7"/>
  <c r="J147" i="7"/>
  <c r="J146" i="7"/>
  <c r="J145" i="7"/>
  <c r="J144" i="7"/>
  <c r="J143" i="7"/>
  <c r="J142" i="7"/>
  <c r="J141" i="7"/>
  <c r="J140" i="7"/>
  <c r="J139" i="7"/>
  <c r="J138" i="7"/>
  <c r="J137" i="7"/>
  <c r="J136" i="7"/>
  <c r="J135" i="7"/>
  <c r="J134" i="7"/>
  <c r="J133" i="7"/>
  <c r="J132" i="7"/>
  <c r="J131" i="7"/>
  <c r="J130" i="7"/>
  <c r="J129" i="7"/>
  <c r="J128" i="7"/>
  <c r="V127" i="7"/>
  <c r="U127" i="7"/>
  <c r="T127" i="7"/>
  <c r="J127" i="7"/>
  <c r="I127" i="7"/>
  <c r="H127" i="7"/>
  <c r="V126" i="7"/>
  <c r="P126" i="7"/>
  <c r="J126" i="7"/>
  <c r="I126" i="7"/>
  <c r="H126" i="7"/>
  <c r="V125" i="7"/>
  <c r="P125" i="7"/>
  <c r="J125" i="7"/>
  <c r="I125" i="7"/>
  <c r="H125" i="7"/>
  <c r="V124" i="7"/>
  <c r="P124" i="7"/>
  <c r="J124" i="7"/>
  <c r="I124" i="7"/>
  <c r="H124" i="7"/>
  <c r="V123" i="7"/>
  <c r="P123" i="7"/>
  <c r="J123" i="7"/>
  <c r="I123" i="7"/>
  <c r="H123" i="7"/>
  <c r="V122" i="7"/>
  <c r="P122" i="7"/>
  <c r="J122" i="7"/>
  <c r="I122" i="7"/>
  <c r="H122" i="7"/>
  <c r="V121" i="7"/>
  <c r="P121" i="7"/>
  <c r="J121" i="7"/>
  <c r="I121" i="7"/>
  <c r="H121" i="7"/>
  <c r="V120" i="7"/>
  <c r="P120" i="7"/>
  <c r="J120" i="7"/>
  <c r="I120" i="7"/>
  <c r="H120" i="7"/>
  <c r="V119" i="7"/>
  <c r="P119" i="7"/>
  <c r="J119" i="7"/>
  <c r="I119" i="7"/>
  <c r="H119" i="7"/>
  <c r="V118" i="7"/>
  <c r="P118" i="7"/>
  <c r="J118" i="7"/>
  <c r="I118" i="7"/>
  <c r="H118" i="7"/>
  <c r="V117" i="7"/>
  <c r="P117" i="7"/>
  <c r="J117" i="7"/>
  <c r="I117" i="7"/>
  <c r="H117" i="7"/>
  <c r="V116" i="7"/>
  <c r="P116" i="7"/>
  <c r="J116" i="7"/>
  <c r="I116" i="7"/>
  <c r="H116" i="7"/>
  <c r="V115" i="7"/>
  <c r="P115" i="7"/>
  <c r="J115" i="7"/>
  <c r="I115" i="7"/>
  <c r="H115" i="7"/>
  <c r="V114" i="7"/>
  <c r="P114" i="7"/>
  <c r="J114" i="7"/>
  <c r="I114" i="7"/>
  <c r="H114" i="7"/>
  <c r="V113" i="7"/>
  <c r="P113" i="7"/>
  <c r="J113" i="7"/>
  <c r="I113" i="7"/>
  <c r="H113" i="7"/>
  <c r="V112" i="7"/>
  <c r="P112" i="7"/>
  <c r="J112" i="7"/>
  <c r="I112" i="7"/>
  <c r="H112" i="7"/>
  <c r="V110" i="7"/>
  <c r="P110" i="7"/>
  <c r="J110" i="7"/>
  <c r="D110" i="7"/>
  <c r="V109" i="7"/>
  <c r="P109" i="7"/>
  <c r="J109" i="7"/>
  <c r="D109" i="7"/>
  <c r="V108" i="7"/>
  <c r="P108" i="7"/>
  <c r="J108" i="7"/>
  <c r="D108" i="7"/>
  <c r="V107" i="7"/>
  <c r="P107" i="7"/>
  <c r="J107" i="7"/>
  <c r="D107" i="7"/>
  <c r="V106" i="7"/>
  <c r="P106" i="7"/>
  <c r="J106" i="7"/>
  <c r="D106" i="7"/>
  <c r="V105" i="7"/>
  <c r="P105" i="7"/>
  <c r="J105" i="7"/>
  <c r="D105" i="7"/>
  <c r="V104" i="7"/>
  <c r="P104" i="7"/>
  <c r="J104" i="7"/>
  <c r="D104" i="7"/>
  <c r="V103" i="7"/>
  <c r="P103" i="7"/>
  <c r="J103" i="7"/>
  <c r="D103" i="7"/>
  <c r="V101" i="7"/>
  <c r="P101" i="7"/>
  <c r="J101" i="7"/>
  <c r="D101" i="7"/>
  <c r="V100" i="7"/>
  <c r="P100" i="7"/>
  <c r="J100" i="7"/>
  <c r="D100" i="7"/>
  <c r="V99" i="7"/>
  <c r="P99" i="7"/>
  <c r="J99" i="7"/>
  <c r="D99" i="7"/>
  <c r="V98" i="7"/>
  <c r="P98" i="7"/>
  <c r="J98" i="7"/>
  <c r="D98" i="7"/>
  <c r="V97" i="7"/>
  <c r="P97" i="7"/>
  <c r="J97" i="7"/>
  <c r="D97" i="7"/>
  <c r="V96" i="7"/>
  <c r="P96" i="7"/>
  <c r="J96" i="7"/>
  <c r="D96" i="7"/>
  <c r="V95" i="7"/>
  <c r="P95" i="7"/>
  <c r="J95" i="7"/>
  <c r="D95" i="7"/>
  <c r="V94" i="7"/>
  <c r="P94" i="7"/>
  <c r="J94" i="7"/>
  <c r="D94" i="7"/>
  <c r="V93" i="7"/>
  <c r="P93" i="7"/>
  <c r="J93" i="7"/>
  <c r="D93" i="7"/>
  <c r="V91" i="7"/>
  <c r="P91" i="7"/>
  <c r="J91" i="7"/>
  <c r="D91" i="7"/>
  <c r="V90" i="7"/>
  <c r="P90" i="7"/>
  <c r="J90" i="7"/>
  <c r="D90" i="7"/>
  <c r="V89" i="7"/>
  <c r="P89" i="7"/>
  <c r="J89" i="7"/>
  <c r="D89" i="7"/>
  <c r="V88" i="7"/>
  <c r="P88" i="7"/>
  <c r="J88" i="7"/>
  <c r="D88" i="7"/>
  <c r="V87" i="7"/>
  <c r="P87" i="7"/>
  <c r="J87" i="7"/>
  <c r="D87" i="7"/>
  <c r="V86" i="7"/>
  <c r="P86" i="7"/>
  <c r="J86" i="7"/>
  <c r="D86" i="7"/>
  <c r="V85" i="7"/>
  <c r="P85" i="7"/>
  <c r="J85" i="7"/>
  <c r="D85" i="7"/>
  <c r="V84" i="7"/>
  <c r="P84" i="7"/>
  <c r="J84" i="7"/>
  <c r="D84" i="7"/>
  <c r="V83" i="7"/>
  <c r="P83" i="7"/>
  <c r="J83" i="7"/>
  <c r="D83" i="7"/>
  <c r="V81" i="7"/>
  <c r="P81" i="7"/>
  <c r="J81" i="7"/>
  <c r="D81" i="7"/>
  <c r="V80" i="7"/>
  <c r="P80" i="7"/>
  <c r="J80" i="7"/>
  <c r="D80" i="7"/>
  <c r="V79" i="7"/>
  <c r="P79" i="7"/>
  <c r="J79" i="7"/>
  <c r="D79" i="7"/>
  <c r="V78" i="7"/>
  <c r="P78" i="7"/>
  <c r="J78" i="7"/>
  <c r="D78" i="7"/>
  <c r="V77" i="7"/>
  <c r="P77" i="7"/>
  <c r="J77" i="7"/>
  <c r="D77" i="7"/>
  <c r="V76" i="7"/>
  <c r="P76" i="7"/>
  <c r="J76" i="7"/>
  <c r="D76" i="7"/>
  <c r="V75" i="7"/>
  <c r="P75" i="7"/>
  <c r="J75" i="7"/>
  <c r="D75" i="7"/>
  <c r="V74" i="7"/>
  <c r="P74" i="7"/>
  <c r="J74" i="7"/>
  <c r="D74" i="7"/>
  <c r="V73" i="7"/>
  <c r="P73" i="7"/>
  <c r="J73" i="7"/>
  <c r="D73" i="7"/>
  <c r="V71" i="7"/>
  <c r="P71" i="7"/>
  <c r="J71" i="7"/>
  <c r="D71" i="7"/>
  <c r="V70" i="7"/>
  <c r="P70" i="7"/>
  <c r="J70" i="7"/>
  <c r="D70" i="7"/>
  <c r="V69" i="7"/>
  <c r="P69" i="7"/>
  <c r="J69" i="7"/>
  <c r="D69" i="7"/>
  <c r="V68" i="7"/>
  <c r="P68" i="7"/>
  <c r="J68" i="7"/>
  <c r="D68" i="7"/>
  <c r="V67" i="7"/>
  <c r="P67" i="7"/>
  <c r="J67" i="7"/>
  <c r="D67" i="7"/>
  <c r="V66" i="7"/>
  <c r="P66" i="7"/>
  <c r="J66" i="7"/>
  <c r="D66" i="7"/>
  <c r="V65" i="7"/>
  <c r="P65" i="7"/>
  <c r="J65" i="7"/>
  <c r="D65" i="7"/>
  <c r="V64" i="7"/>
  <c r="P64" i="7"/>
  <c r="J64" i="7"/>
  <c r="D64" i="7"/>
  <c r="V63" i="7"/>
  <c r="P63" i="7"/>
  <c r="J63" i="7"/>
  <c r="D63" i="7"/>
  <c r="V61" i="7"/>
  <c r="P61" i="7"/>
  <c r="J61" i="7"/>
  <c r="D61" i="7"/>
  <c r="V60" i="7"/>
  <c r="P60" i="7"/>
  <c r="J60" i="7"/>
  <c r="D60" i="7"/>
  <c r="V59" i="7"/>
  <c r="P59" i="7"/>
  <c r="J59" i="7"/>
  <c r="D59" i="7"/>
  <c r="V58" i="7"/>
  <c r="P58" i="7"/>
  <c r="J58" i="7"/>
  <c r="D58" i="7"/>
  <c r="V57" i="7"/>
  <c r="P57" i="7"/>
  <c r="J57" i="7"/>
  <c r="D57" i="7"/>
  <c r="V56" i="7"/>
  <c r="P56" i="7"/>
  <c r="J56" i="7"/>
  <c r="D56" i="7"/>
  <c r="V55" i="7"/>
  <c r="P55" i="7"/>
  <c r="J55" i="7"/>
  <c r="D55" i="7"/>
  <c r="V54" i="7"/>
  <c r="P54" i="7"/>
  <c r="J54" i="7"/>
  <c r="D54" i="7"/>
  <c r="V53" i="7"/>
  <c r="P53" i="7"/>
  <c r="J53" i="7"/>
  <c r="D53" i="7"/>
  <c r="V51" i="7"/>
  <c r="P51" i="7"/>
  <c r="J51" i="7"/>
  <c r="D51" i="7"/>
  <c r="V50" i="7"/>
  <c r="P50" i="7"/>
  <c r="J50" i="7"/>
  <c r="D50" i="7"/>
  <c r="V49" i="7"/>
  <c r="P49" i="7"/>
  <c r="J49" i="7"/>
  <c r="D49" i="7"/>
  <c r="V48" i="7"/>
  <c r="P48" i="7"/>
  <c r="J48" i="7"/>
  <c r="D48" i="7"/>
  <c r="V47" i="7"/>
  <c r="P47" i="7"/>
  <c r="J47" i="7"/>
  <c r="D47" i="7"/>
  <c r="V46" i="7"/>
  <c r="P46" i="7"/>
  <c r="J46" i="7"/>
  <c r="D46" i="7"/>
  <c r="V45" i="7"/>
  <c r="P45" i="7"/>
  <c r="J45" i="7"/>
  <c r="D45" i="7"/>
  <c r="V44" i="7"/>
  <c r="P44" i="7"/>
  <c r="J44" i="7"/>
  <c r="D44" i="7"/>
  <c r="V43" i="7"/>
  <c r="P43" i="7"/>
  <c r="J43" i="7"/>
  <c r="D43" i="7"/>
  <c r="V41" i="7"/>
  <c r="P41" i="7"/>
  <c r="J41" i="7"/>
  <c r="D41" i="7"/>
  <c r="V40" i="7"/>
  <c r="P40" i="7"/>
  <c r="J40" i="7"/>
  <c r="D40" i="7"/>
  <c r="V39" i="7"/>
  <c r="P39" i="7"/>
  <c r="J39" i="7"/>
  <c r="D39" i="7"/>
  <c r="V38" i="7"/>
  <c r="P38" i="7"/>
  <c r="J38" i="7"/>
  <c r="D38" i="7"/>
  <c r="V37" i="7"/>
  <c r="P37" i="7"/>
  <c r="J37" i="7"/>
  <c r="D37" i="7"/>
  <c r="V36" i="7"/>
  <c r="P36" i="7"/>
  <c r="J36" i="7"/>
  <c r="D36" i="7"/>
  <c r="V35" i="7"/>
  <c r="P35" i="7"/>
  <c r="J35" i="7"/>
  <c r="D35" i="7"/>
  <c r="V34" i="7"/>
  <c r="P34" i="7"/>
  <c r="J34" i="7"/>
  <c r="D34" i="7"/>
  <c r="V33" i="7"/>
  <c r="P33" i="7"/>
  <c r="J33" i="7"/>
  <c r="D33" i="7"/>
  <c r="V31" i="7"/>
  <c r="P31" i="7"/>
  <c r="J31" i="7"/>
  <c r="D31" i="7"/>
  <c r="V30" i="7"/>
  <c r="P30" i="7"/>
  <c r="J30" i="7"/>
  <c r="D30" i="7"/>
  <c r="V29" i="7"/>
  <c r="P29" i="7"/>
  <c r="J29" i="7"/>
  <c r="D29" i="7"/>
  <c r="V28" i="7"/>
  <c r="P28" i="7"/>
  <c r="J28" i="7"/>
  <c r="D28" i="7"/>
  <c r="V27" i="7"/>
  <c r="P27" i="7"/>
  <c r="J27" i="7"/>
  <c r="D27" i="7"/>
  <c r="V26" i="7"/>
  <c r="P26" i="7"/>
  <c r="J26" i="7"/>
  <c r="D26" i="7"/>
  <c r="V25" i="7"/>
  <c r="P25" i="7"/>
  <c r="J25" i="7"/>
  <c r="D25" i="7"/>
  <c r="V24" i="7"/>
  <c r="P24" i="7"/>
  <c r="J24" i="7"/>
  <c r="D24" i="7"/>
  <c r="V23" i="7"/>
  <c r="P23" i="7"/>
  <c r="J23" i="7"/>
  <c r="D23" i="7"/>
  <c r="V21" i="7"/>
  <c r="P21" i="7"/>
  <c r="J21" i="7"/>
  <c r="D21" i="7"/>
  <c r="V20" i="7"/>
  <c r="P20" i="7"/>
  <c r="J20" i="7"/>
  <c r="D20" i="7"/>
  <c r="V19" i="7"/>
  <c r="P19" i="7"/>
  <c r="J19" i="7"/>
  <c r="D19" i="7"/>
  <c r="V18" i="7"/>
  <c r="P18" i="7"/>
  <c r="J18" i="7"/>
  <c r="D18" i="7"/>
  <c r="V17" i="7"/>
  <c r="P17" i="7"/>
  <c r="J17" i="7"/>
  <c r="D17" i="7"/>
  <c r="V16" i="7"/>
  <c r="P16" i="7"/>
  <c r="J16" i="7"/>
  <c r="D16" i="7"/>
  <c r="V15" i="7"/>
  <c r="P15" i="7"/>
  <c r="J15" i="7"/>
  <c r="D15" i="7"/>
  <c r="V14" i="7"/>
  <c r="P14" i="7"/>
  <c r="J14" i="7"/>
  <c r="D14" i="7"/>
  <c r="V12" i="7"/>
  <c r="P12" i="7"/>
  <c r="J12" i="7"/>
  <c r="D12" i="7"/>
  <c r="V11" i="7"/>
  <c r="P11" i="7"/>
  <c r="J11" i="7"/>
  <c r="D11" i="7"/>
  <c r="V10" i="7"/>
  <c r="P10" i="7"/>
  <c r="J10" i="7"/>
  <c r="D10" i="7"/>
  <c r="V9" i="7"/>
  <c r="P9" i="7"/>
  <c r="J9" i="7"/>
  <c r="D9" i="7"/>
  <c r="V8" i="7"/>
  <c r="P8" i="7"/>
  <c r="J8" i="7"/>
  <c r="D8" i="7"/>
  <c r="V7" i="7"/>
  <c r="P7" i="7"/>
  <c r="J7" i="7"/>
  <c r="D7" i="7"/>
  <c r="V6" i="7"/>
  <c r="P6" i="7"/>
  <c r="J6" i="7"/>
  <c r="D6" i="7"/>
  <c r="V5" i="7"/>
  <c r="P5" i="7"/>
  <c r="J5" i="7"/>
  <c r="D5" i="7"/>
  <c r="V3" i="7"/>
  <c r="P3" i="7"/>
  <c r="J3" i="7"/>
  <c r="D3" i="7"/>
  <c r="J157" i="6"/>
  <c r="J156" i="6"/>
  <c r="J155" i="6"/>
  <c r="J154" i="6"/>
  <c r="J153" i="6"/>
  <c r="J152" i="6"/>
  <c r="J151" i="6"/>
  <c r="J150" i="6"/>
  <c r="J149" i="6"/>
  <c r="J148" i="6"/>
  <c r="J147" i="6"/>
  <c r="J146" i="6"/>
  <c r="J145" i="6"/>
  <c r="J144" i="6"/>
  <c r="J143" i="6"/>
  <c r="J142" i="6"/>
  <c r="J141" i="6"/>
  <c r="J140" i="6"/>
  <c r="J139" i="6"/>
  <c r="J138" i="6"/>
  <c r="J137" i="6"/>
  <c r="J136" i="6"/>
  <c r="J135" i="6"/>
  <c r="J134" i="6"/>
  <c r="J133" i="6"/>
  <c r="J132" i="6"/>
  <c r="J131" i="6"/>
  <c r="J130" i="6"/>
  <c r="J129" i="6"/>
  <c r="J128" i="6"/>
  <c r="V127" i="6"/>
  <c r="U127" i="6"/>
  <c r="T127" i="6"/>
  <c r="J127" i="6"/>
  <c r="I127" i="6"/>
  <c r="H127" i="6"/>
  <c r="V126" i="6"/>
  <c r="P126" i="6"/>
  <c r="J126" i="6"/>
  <c r="I126" i="6"/>
  <c r="H126" i="6"/>
  <c r="V125" i="6"/>
  <c r="P125" i="6"/>
  <c r="J125" i="6"/>
  <c r="I125" i="6"/>
  <c r="H125" i="6"/>
  <c r="V124" i="6"/>
  <c r="P124" i="6"/>
  <c r="J124" i="6"/>
  <c r="I124" i="6"/>
  <c r="H124" i="6"/>
  <c r="V123" i="6"/>
  <c r="P123" i="6"/>
  <c r="J123" i="6"/>
  <c r="I123" i="6"/>
  <c r="H123" i="6"/>
  <c r="V122" i="6"/>
  <c r="P122" i="6"/>
  <c r="J122" i="6"/>
  <c r="I122" i="6"/>
  <c r="H122" i="6"/>
  <c r="V121" i="6"/>
  <c r="P121" i="6"/>
  <c r="J121" i="6"/>
  <c r="I121" i="6"/>
  <c r="H121" i="6"/>
  <c r="V120" i="6"/>
  <c r="P120" i="6"/>
  <c r="J120" i="6"/>
  <c r="I120" i="6"/>
  <c r="H120" i="6"/>
  <c r="V119" i="6"/>
  <c r="P119" i="6"/>
  <c r="J119" i="6"/>
  <c r="I119" i="6"/>
  <c r="H119" i="6"/>
  <c r="V118" i="6"/>
  <c r="P118" i="6"/>
  <c r="J118" i="6"/>
  <c r="I118" i="6"/>
  <c r="H118" i="6"/>
  <c r="V117" i="6"/>
  <c r="P117" i="6"/>
  <c r="J117" i="6"/>
  <c r="I117" i="6"/>
  <c r="H117" i="6"/>
  <c r="V116" i="6"/>
  <c r="P116" i="6"/>
  <c r="J116" i="6"/>
  <c r="I116" i="6"/>
  <c r="H116" i="6"/>
  <c r="V115" i="6"/>
  <c r="P115" i="6"/>
  <c r="J115" i="6"/>
  <c r="I115" i="6"/>
  <c r="H115" i="6"/>
  <c r="V114" i="6"/>
  <c r="P114" i="6"/>
  <c r="J114" i="6"/>
  <c r="I114" i="6"/>
  <c r="H114" i="6"/>
  <c r="V113" i="6"/>
  <c r="P113" i="6"/>
  <c r="J113" i="6"/>
  <c r="I113" i="6"/>
  <c r="H113" i="6"/>
  <c r="V112" i="6"/>
  <c r="P112" i="6"/>
  <c r="J112" i="6"/>
  <c r="I112" i="6"/>
  <c r="H112" i="6"/>
  <c r="V110" i="6"/>
  <c r="P110" i="6"/>
  <c r="J110" i="6"/>
  <c r="D110" i="6"/>
  <c r="V109" i="6"/>
  <c r="P109" i="6"/>
  <c r="J109" i="6"/>
  <c r="D109" i="6"/>
  <c r="V108" i="6"/>
  <c r="P108" i="6"/>
  <c r="J108" i="6"/>
  <c r="D108" i="6"/>
  <c r="V107" i="6"/>
  <c r="P107" i="6"/>
  <c r="J107" i="6"/>
  <c r="D107" i="6"/>
  <c r="V106" i="6"/>
  <c r="P106" i="6"/>
  <c r="J106" i="6"/>
  <c r="D106" i="6"/>
  <c r="V105" i="6"/>
  <c r="P105" i="6"/>
  <c r="J105" i="6"/>
  <c r="D105" i="6"/>
  <c r="V104" i="6"/>
  <c r="P104" i="6"/>
  <c r="J104" i="6"/>
  <c r="D104" i="6"/>
  <c r="V103" i="6"/>
  <c r="P103" i="6"/>
  <c r="J103" i="6"/>
  <c r="D103" i="6"/>
  <c r="V101" i="6"/>
  <c r="P101" i="6"/>
  <c r="J101" i="6"/>
  <c r="D101" i="6"/>
  <c r="V100" i="6"/>
  <c r="P100" i="6"/>
  <c r="J100" i="6"/>
  <c r="D100" i="6"/>
  <c r="V99" i="6"/>
  <c r="P99" i="6"/>
  <c r="J99" i="6"/>
  <c r="D99" i="6"/>
  <c r="V98" i="6"/>
  <c r="P98" i="6"/>
  <c r="J98" i="6"/>
  <c r="D98" i="6"/>
  <c r="V97" i="6"/>
  <c r="P97" i="6"/>
  <c r="J97" i="6"/>
  <c r="D97" i="6"/>
  <c r="V96" i="6"/>
  <c r="P96" i="6"/>
  <c r="J96" i="6"/>
  <c r="D96" i="6"/>
  <c r="V95" i="6"/>
  <c r="P95" i="6"/>
  <c r="J95" i="6"/>
  <c r="D95" i="6"/>
  <c r="V94" i="6"/>
  <c r="P94" i="6"/>
  <c r="J94" i="6"/>
  <c r="D94" i="6"/>
  <c r="V93" i="6"/>
  <c r="P93" i="6"/>
  <c r="J93" i="6"/>
  <c r="D93" i="6"/>
  <c r="V91" i="6"/>
  <c r="P91" i="6"/>
  <c r="J91" i="6"/>
  <c r="D91" i="6"/>
  <c r="V90" i="6"/>
  <c r="P90" i="6"/>
  <c r="J90" i="6"/>
  <c r="D90" i="6"/>
  <c r="V89" i="6"/>
  <c r="P89" i="6"/>
  <c r="J89" i="6"/>
  <c r="D89" i="6"/>
  <c r="V88" i="6"/>
  <c r="P88" i="6"/>
  <c r="J88" i="6"/>
  <c r="D88" i="6"/>
  <c r="V87" i="6"/>
  <c r="P87" i="6"/>
  <c r="J87" i="6"/>
  <c r="D87" i="6"/>
  <c r="V86" i="6"/>
  <c r="P86" i="6"/>
  <c r="J86" i="6"/>
  <c r="D86" i="6"/>
  <c r="V85" i="6"/>
  <c r="P85" i="6"/>
  <c r="J85" i="6"/>
  <c r="D85" i="6"/>
  <c r="V84" i="6"/>
  <c r="P84" i="6"/>
  <c r="J84" i="6"/>
  <c r="D84" i="6"/>
  <c r="V83" i="6"/>
  <c r="P83" i="6"/>
  <c r="J83" i="6"/>
  <c r="D83" i="6"/>
  <c r="V81" i="6"/>
  <c r="P81" i="6"/>
  <c r="J81" i="6"/>
  <c r="D81" i="6"/>
  <c r="V80" i="6"/>
  <c r="P80" i="6"/>
  <c r="J80" i="6"/>
  <c r="D80" i="6"/>
  <c r="V79" i="6"/>
  <c r="P79" i="6"/>
  <c r="J79" i="6"/>
  <c r="D79" i="6"/>
  <c r="V78" i="6"/>
  <c r="P78" i="6"/>
  <c r="J78" i="6"/>
  <c r="D78" i="6"/>
  <c r="V77" i="6"/>
  <c r="P77" i="6"/>
  <c r="J77" i="6"/>
  <c r="D77" i="6"/>
  <c r="V76" i="6"/>
  <c r="P76" i="6"/>
  <c r="J76" i="6"/>
  <c r="D76" i="6"/>
  <c r="V75" i="6"/>
  <c r="P75" i="6"/>
  <c r="J75" i="6"/>
  <c r="D75" i="6"/>
  <c r="V74" i="6"/>
  <c r="P74" i="6"/>
  <c r="J74" i="6"/>
  <c r="D74" i="6"/>
  <c r="V73" i="6"/>
  <c r="P73" i="6"/>
  <c r="J73" i="6"/>
  <c r="D73" i="6"/>
  <c r="V71" i="6"/>
  <c r="P71" i="6"/>
  <c r="J71" i="6"/>
  <c r="D71" i="6"/>
  <c r="V70" i="6"/>
  <c r="P70" i="6"/>
  <c r="J70" i="6"/>
  <c r="D70" i="6"/>
  <c r="V69" i="6"/>
  <c r="P69" i="6"/>
  <c r="J69" i="6"/>
  <c r="D69" i="6"/>
  <c r="V68" i="6"/>
  <c r="P68" i="6"/>
  <c r="J68" i="6"/>
  <c r="D68" i="6"/>
  <c r="V67" i="6"/>
  <c r="P67" i="6"/>
  <c r="J67" i="6"/>
  <c r="D67" i="6"/>
  <c r="V66" i="6"/>
  <c r="P66" i="6"/>
  <c r="J66" i="6"/>
  <c r="D66" i="6"/>
  <c r="V65" i="6"/>
  <c r="P65" i="6"/>
  <c r="J65" i="6"/>
  <c r="D65" i="6"/>
  <c r="V64" i="6"/>
  <c r="P64" i="6"/>
  <c r="J64" i="6"/>
  <c r="D64" i="6"/>
  <c r="V63" i="6"/>
  <c r="P63" i="6"/>
  <c r="J63" i="6"/>
  <c r="D63" i="6"/>
  <c r="V61" i="6"/>
  <c r="P61" i="6"/>
  <c r="J61" i="6"/>
  <c r="D61" i="6"/>
  <c r="V60" i="6"/>
  <c r="P60" i="6"/>
  <c r="J60" i="6"/>
  <c r="D60" i="6"/>
  <c r="V59" i="6"/>
  <c r="P59" i="6"/>
  <c r="J59" i="6"/>
  <c r="D59" i="6"/>
  <c r="V58" i="6"/>
  <c r="P58" i="6"/>
  <c r="J58" i="6"/>
  <c r="D58" i="6"/>
  <c r="V57" i="6"/>
  <c r="P57" i="6"/>
  <c r="J57" i="6"/>
  <c r="D57" i="6"/>
  <c r="V56" i="6"/>
  <c r="P56" i="6"/>
  <c r="J56" i="6"/>
  <c r="D56" i="6"/>
  <c r="V55" i="6"/>
  <c r="P55" i="6"/>
  <c r="J55" i="6"/>
  <c r="D55" i="6"/>
  <c r="V54" i="6"/>
  <c r="P54" i="6"/>
  <c r="J54" i="6"/>
  <c r="D54" i="6"/>
  <c r="V53" i="6"/>
  <c r="P53" i="6"/>
  <c r="J53" i="6"/>
  <c r="D53" i="6"/>
  <c r="V51" i="6"/>
  <c r="P51" i="6"/>
  <c r="J51" i="6"/>
  <c r="D51" i="6"/>
  <c r="V50" i="6"/>
  <c r="P50" i="6"/>
  <c r="J50" i="6"/>
  <c r="D50" i="6"/>
  <c r="V49" i="6"/>
  <c r="P49" i="6"/>
  <c r="J49" i="6"/>
  <c r="D49" i="6"/>
  <c r="V48" i="6"/>
  <c r="P48" i="6"/>
  <c r="J48" i="6"/>
  <c r="D48" i="6"/>
  <c r="V47" i="6"/>
  <c r="P47" i="6"/>
  <c r="J47" i="6"/>
  <c r="D47" i="6"/>
  <c r="V46" i="6"/>
  <c r="P46" i="6"/>
  <c r="J46" i="6"/>
  <c r="D46" i="6"/>
  <c r="V45" i="6"/>
  <c r="P45" i="6"/>
  <c r="J45" i="6"/>
  <c r="D45" i="6"/>
  <c r="V44" i="6"/>
  <c r="P44" i="6"/>
  <c r="J44" i="6"/>
  <c r="D44" i="6"/>
  <c r="V43" i="6"/>
  <c r="P43" i="6"/>
  <c r="J43" i="6"/>
  <c r="D43" i="6"/>
  <c r="V41" i="6"/>
  <c r="P41" i="6"/>
  <c r="J41" i="6"/>
  <c r="D41" i="6"/>
  <c r="V40" i="6"/>
  <c r="P40" i="6"/>
  <c r="J40" i="6"/>
  <c r="D40" i="6"/>
  <c r="V39" i="6"/>
  <c r="P39" i="6"/>
  <c r="J39" i="6"/>
  <c r="D39" i="6"/>
  <c r="V38" i="6"/>
  <c r="P38" i="6"/>
  <c r="J38" i="6"/>
  <c r="D38" i="6"/>
  <c r="V37" i="6"/>
  <c r="P37" i="6"/>
  <c r="J37" i="6"/>
  <c r="D37" i="6"/>
  <c r="V36" i="6"/>
  <c r="P36" i="6"/>
  <c r="J36" i="6"/>
  <c r="D36" i="6"/>
  <c r="V35" i="6"/>
  <c r="P35" i="6"/>
  <c r="J35" i="6"/>
  <c r="D35" i="6"/>
  <c r="V34" i="6"/>
  <c r="P34" i="6"/>
  <c r="J34" i="6"/>
  <c r="D34" i="6"/>
  <c r="V33" i="6"/>
  <c r="P33" i="6"/>
  <c r="J33" i="6"/>
  <c r="D33" i="6"/>
  <c r="V31" i="6"/>
  <c r="P31" i="6"/>
  <c r="J31" i="6"/>
  <c r="D31" i="6"/>
  <c r="V30" i="6"/>
  <c r="P30" i="6"/>
  <c r="J30" i="6"/>
  <c r="D30" i="6"/>
  <c r="V29" i="6"/>
  <c r="P29" i="6"/>
  <c r="J29" i="6"/>
  <c r="D29" i="6"/>
  <c r="V28" i="6"/>
  <c r="P28" i="6"/>
  <c r="J28" i="6"/>
  <c r="D28" i="6"/>
  <c r="V27" i="6"/>
  <c r="P27" i="6"/>
  <c r="J27" i="6"/>
  <c r="D27" i="6"/>
  <c r="V26" i="6"/>
  <c r="P26" i="6"/>
  <c r="J26" i="6"/>
  <c r="D26" i="6"/>
  <c r="V25" i="6"/>
  <c r="P25" i="6"/>
  <c r="J25" i="6"/>
  <c r="D25" i="6"/>
  <c r="V24" i="6"/>
  <c r="P24" i="6"/>
  <c r="J24" i="6"/>
  <c r="D24" i="6"/>
  <c r="V23" i="6"/>
  <c r="P23" i="6"/>
  <c r="J23" i="6"/>
  <c r="D23" i="6"/>
  <c r="V21" i="6"/>
  <c r="P21" i="6"/>
  <c r="J21" i="6"/>
  <c r="D21" i="6"/>
  <c r="V20" i="6"/>
  <c r="P20" i="6"/>
  <c r="J20" i="6"/>
  <c r="D20" i="6"/>
  <c r="V19" i="6"/>
  <c r="P19" i="6"/>
  <c r="J19" i="6"/>
  <c r="D19" i="6"/>
  <c r="V18" i="6"/>
  <c r="P18" i="6"/>
  <c r="J18" i="6"/>
  <c r="D18" i="6"/>
  <c r="V17" i="6"/>
  <c r="P17" i="6"/>
  <c r="J17" i="6"/>
  <c r="D17" i="6"/>
  <c r="V16" i="6"/>
  <c r="P16" i="6"/>
  <c r="J16" i="6"/>
  <c r="D16" i="6"/>
  <c r="V15" i="6"/>
  <c r="P15" i="6"/>
  <c r="J15" i="6"/>
  <c r="D15" i="6"/>
  <c r="V14" i="6"/>
  <c r="P14" i="6"/>
  <c r="J14" i="6"/>
  <c r="D14" i="6"/>
  <c r="V12" i="6"/>
  <c r="P12" i="6"/>
  <c r="J12" i="6"/>
  <c r="D12" i="6"/>
  <c r="V11" i="6"/>
  <c r="P11" i="6"/>
  <c r="J11" i="6"/>
  <c r="D11" i="6"/>
  <c r="V10" i="6"/>
  <c r="P10" i="6"/>
  <c r="J10" i="6"/>
  <c r="D10" i="6"/>
  <c r="V9" i="6"/>
  <c r="P9" i="6"/>
  <c r="J9" i="6"/>
  <c r="D9" i="6"/>
  <c r="V8" i="6"/>
  <c r="P8" i="6"/>
  <c r="J8" i="6"/>
  <c r="D8" i="6"/>
  <c r="V7" i="6"/>
  <c r="P7" i="6"/>
  <c r="J7" i="6"/>
  <c r="D7" i="6"/>
  <c r="V6" i="6"/>
  <c r="P6" i="6"/>
  <c r="J6" i="6"/>
  <c r="D6" i="6"/>
  <c r="V5" i="6"/>
  <c r="P5" i="6"/>
  <c r="J5" i="6"/>
  <c r="D5" i="6"/>
  <c r="V3" i="6"/>
  <c r="P3" i="6"/>
  <c r="J3" i="6"/>
  <c r="D3" i="6"/>
  <c r="P109" i="5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I3" i="7" l="1"/>
  <c r="H3" i="7"/>
  <c r="O3" i="7"/>
  <c r="N3" i="7"/>
  <c r="U3" i="7"/>
  <c r="T3" i="7"/>
  <c r="AA3" i="7"/>
  <c r="Z3" i="7"/>
  <c r="I5" i="7"/>
  <c r="H5" i="7"/>
  <c r="O5" i="7"/>
  <c r="N5" i="7"/>
  <c r="U5" i="7"/>
  <c r="T5" i="7"/>
  <c r="AA5" i="7"/>
  <c r="Z5" i="7"/>
  <c r="I6" i="7"/>
  <c r="H6" i="7"/>
  <c r="O6" i="7"/>
  <c r="N6" i="7"/>
  <c r="U6" i="7"/>
  <c r="T6" i="7"/>
  <c r="AA6" i="7"/>
  <c r="Z6" i="7"/>
  <c r="I7" i="7"/>
  <c r="H7" i="7"/>
  <c r="O7" i="7"/>
  <c r="N7" i="7"/>
  <c r="U7" i="7"/>
  <c r="T7" i="7"/>
  <c r="AA7" i="7"/>
  <c r="Z7" i="7"/>
  <c r="I8" i="7"/>
  <c r="H8" i="7"/>
  <c r="O8" i="7"/>
  <c r="N8" i="7"/>
  <c r="U8" i="7"/>
  <c r="T8" i="7"/>
  <c r="AA8" i="7"/>
  <c r="Z8" i="7"/>
  <c r="I9" i="7"/>
  <c r="H9" i="7"/>
  <c r="O9" i="7"/>
  <c r="N9" i="7"/>
  <c r="U9" i="7"/>
  <c r="T9" i="7"/>
  <c r="AA9" i="7"/>
  <c r="Z9" i="7"/>
  <c r="I10" i="7"/>
  <c r="H10" i="7"/>
  <c r="O10" i="7"/>
  <c r="N10" i="7"/>
  <c r="U10" i="7"/>
  <c r="T10" i="7"/>
  <c r="AA10" i="7"/>
  <c r="Z10" i="7"/>
  <c r="I11" i="7"/>
  <c r="H11" i="7"/>
  <c r="O11" i="7"/>
  <c r="N11" i="7"/>
  <c r="U11" i="7"/>
  <c r="T11" i="7"/>
  <c r="AA11" i="7"/>
  <c r="Z11" i="7"/>
  <c r="I12" i="7"/>
  <c r="H12" i="7"/>
  <c r="O12" i="7"/>
  <c r="N12" i="7"/>
  <c r="U12" i="7"/>
  <c r="T12" i="7"/>
  <c r="AA12" i="7"/>
  <c r="Z12" i="7"/>
  <c r="I14" i="7"/>
  <c r="H14" i="7"/>
  <c r="O14" i="7"/>
  <c r="N14" i="7"/>
  <c r="U14" i="7"/>
  <c r="T14" i="7"/>
  <c r="AA14" i="7"/>
  <c r="Z14" i="7"/>
  <c r="I15" i="7"/>
  <c r="H15" i="7"/>
  <c r="O15" i="7"/>
  <c r="N15" i="7"/>
  <c r="U15" i="7"/>
  <c r="T15" i="7"/>
  <c r="AA15" i="7"/>
  <c r="Z15" i="7"/>
  <c r="I16" i="7"/>
  <c r="H16" i="7"/>
  <c r="O16" i="7"/>
  <c r="N16" i="7"/>
  <c r="U16" i="7"/>
  <c r="T16" i="7"/>
  <c r="AA16" i="7"/>
  <c r="Z16" i="7"/>
  <c r="I17" i="7"/>
  <c r="H17" i="7"/>
  <c r="O17" i="7"/>
  <c r="N17" i="7"/>
  <c r="U17" i="7"/>
  <c r="T17" i="7"/>
  <c r="AA17" i="7"/>
  <c r="Z17" i="7"/>
  <c r="I18" i="7"/>
  <c r="H18" i="7"/>
  <c r="O18" i="7"/>
  <c r="N18" i="7"/>
  <c r="U18" i="7"/>
  <c r="T18" i="7"/>
  <c r="AA18" i="7"/>
  <c r="Z18" i="7"/>
  <c r="I19" i="7"/>
  <c r="H19" i="7"/>
  <c r="O19" i="7"/>
  <c r="N19" i="7"/>
  <c r="U19" i="7"/>
  <c r="T19" i="7"/>
  <c r="AA19" i="7"/>
  <c r="Z19" i="7"/>
  <c r="I20" i="7"/>
  <c r="H20" i="7"/>
  <c r="O20" i="7"/>
  <c r="N20" i="7"/>
  <c r="U20" i="7"/>
  <c r="T20" i="7"/>
  <c r="AA20" i="7"/>
  <c r="Z20" i="7"/>
  <c r="I21" i="7"/>
  <c r="H21" i="7"/>
  <c r="O21" i="7"/>
  <c r="N21" i="7"/>
  <c r="U21" i="7"/>
  <c r="T21" i="7"/>
  <c r="AA21" i="7"/>
  <c r="Z21" i="7"/>
  <c r="I23" i="7"/>
  <c r="H23" i="7"/>
  <c r="O23" i="7"/>
  <c r="N23" i="7"/>
  <c r="U23" i="7"/>
  <c r="T23" i="7"/>
  <c r="AA23" i="7"/>
  <c r="Z23" i="7"/>
  <c r="I24" i="7"/>
  <c r="H24" i="7"/>
  <c r="O24" i="7"/>
  <c r="N24" i="7"/>
  <c r="U24" i="7"/>
  <c r="T24" i="7"/>
  <c r="AA24" i="7"/>
  <c r="Z24" i="7"/>
  <c r="I25" i="7"/>
  <c r="H25" i="7"/>
  <c r="O25" i="7"/>
  <c r="N25" i="7"/>
  <c r="U25" i="7"/>
  <c r="T25" i="7"/>
  <c r="AA25" i="7"/>
  <c r="Z25" i="7"/>
  <c r="I26" i="7"/>
  <c r="H26" i="7"/>
  <c r="O26" i="7"/>
  <c r="N26" i="7"/>
  <c r="U26" i="7"/>
  <c r="T26" i="7"/>
  <c r="AA26" i="7"/>
  <c r="Z26" i="7"/>
  <c r="I27" i="7"/>
  <c r="H27" i="7"/>
  <c r="O27" i="7"/>
  <c r="N27" i="7"/>
  <c r="U27" i="7"/>
  <c r="T27" i="7"/>
  <c r="AA27" i="7"/>
  <c r="Z27" i="7"/>
  <c r="I28" i="7"/>
  <c r="H28" i="7"/>
  <c r="O28" i="7"/>
  <c r="N28" i="7"/>
  <c r="U28" i="7"/>
  <c r="T28" i="7"/>
  <c r="AA28" i="7"/>
  <c r="Z28" i="7"/>
  <c r="I29" i="7"/>
  <c r="H29" i="7"/>
  <c r="O29" i="7"/>
  <c r="N29" i="7"/>
  <c r="U29" i="7"/>
  <c r="T29" i="7"/>
  <c r="AA29" i="7"/>
  <c r="Z29" i="7"/>
  <c r="I30" i="7"/>
  <c r="H30" i="7"/>
  <c r="O30" i="7"/>
  <c r="N30" i="7"/>
  <c r="U30" i="7"/>
  <c r="T30" i="7"/>
  <c r="AA30" i="7"/>
  <c r="Z30" i="7"/>
  <c r="I31" i="7"/>
  <c r="H31" i="7"/>
  <c r="O31" i="7"/>
  <c r="N31" i="7"/>
  <c r="U31" i="7"/>
  <c r="T31" i="7"/>
  <c r="AA31" i="7"/>
  <c r="Z31" i="7"/>
  <c r="I33" i="7"/>
  <c r="H33" i="7"/>
  <c r="O33" i="7"/>
  <c r="N33" i="7"/>
  <c r="U33" i="7"/>
  <c r="T33" i="7"/>
  <c r="AA33" i="7"/>
  <c r="Z33" i="7"/>
  <c r="I34" i="7"/>
  <c r="H34" i="7"/>
  <c r="O34" i="7"/>
  <c r="N34" i="7"/>
  <c r="U34" i="7"/>
  <c r="T34" i="7"/>
  <c r="AA34" i="7"/>
  <c r="Z34" i="7"/>
  <c r="I35" i="7"/>
  <c r="H35" i="7"/>
  <c r="O35" i="7"/>
  <c r="N35" i="7"/>
  <c r="U35" i="7"/>
  <c r="T35" i="7"/>
  <c r="AA35" i="7"/>
  <c r="Z35" i="7"/>
  <c r="I36" i="7"/>
  <c r="H36" i="7"/>
  <c r="O36" i="7"/>
  <c r="N36" i="7"/>
  <c r="U36" i="7"/>
  <c r="T36" i="7"/>
  <c r="AA36" i="7"/>
  <c r="Z36" i="7"/>
  <c r="I37" i="7"/>
  <c r="H37" i="7"/>
  <c r="O37" i="7"/>
  <c r="N37" i="7"/>
  <c r="U37" i="7"/>
  <c r="T37" i="7"/>
  <c r="AA37" i="7"/>
  <c r="Z37" i="7"/>
  <c r="I38" i="7"/>
  <c r="H38" i="7"/>
  <c r="O38" i="7"/>
  <c r="N38" i="7"/>
  <c r="U38" i="7"/>
  <c r="T38" i="7"/>
  <c r="AA38" i="7"/>
  <c r="Z38" i="7"/>
  <c r="I39" i="7"/>
  <c r="H39" i="7"/>
  <c r="O39" i="7"/>
  <c r="N39" i="7"/>
  <c r="U39" i="7"/>
  <c r="T39" i="7"/>
  <c r="AA39" i="7"/>
  <c r="Z39" i="7"/>
  <c r="I40" i="7"/>
  <c r="H40" i="7"/>
  <c r="O40" i="7"/>
  <c r="N40" i="7"/>
  <c r="U40" i="7"/>
  <c r="T40" i="7"/>
  <c r="AA40" i="7"/>
  <c r="Z40" i="7"/>
  <c r="I41" i="7"/>
  <c r="H41" i="7"/>
  <c r="O41" i="7"/>
  <c r="N41" i="7"/>
  <c r="U41" i="7"/>
  <c r="T41" i="7"/>
  <c r="AA41" i="7"/>
  <c r="Z41" i="7"/>
  <c r="I43" i="7"/>
  <c r="H43" i="7"/>
  <c r="O43" i="7"/>
  <c r="N43" i="7"/>
  <c r="U43" i="7"/>
  <c r="T43" i="7"/>
  <c r="AA43" i="7"/>
  <c r="Z43" i="7"/>
  <c r="I44" i="7"/>
  <c r="H44" i="7"/>
  <c r="O44" i="7"/>
  <c r="N44" i="7"/>
  <c r="U44" i="7"/>
  <c r="T44" i="7"/>
  <c r="AA44" i="7"/>
  <c r="Z44" i="7"/>
  <c r="I45" i="7"/>
  <c r="H45" i="7"/>
  <c r="O45" i="7"/>
  <c r="N45" i="7"/>
  <c r="U45" i="7"/>
  <c r="T45" i="7"/>
  <c r="AA45" i="7"/>
  <c r="Z45" i="7"/>
  <c r="I46" i="7"/>
  <c r="H46" i="7"/>
  <c r="O46" i="7"/>
  <c r="N46" i="7"/>
  <c r="U46" i="7"/>
  <c r="T46" i="7"/>
  <c r="AA46" i="7"/>
  <c r="Z46" i="7"/>
  <c r="I47" i="7"/>
  <c r="H47" i="7"/>
  <c r="O47" i="7"/>
  <c r="N47" i="7"/>
  <c r="U47" i="7"/>
  <c r="T47" i="7"/>
  <c r="AA47" i="7"/>
  <c r="Z47" i="7"/>
  <c r="I48" i="7"/>
  <c r="H48" i="7"/>
  <c r="O48" i="7"/>
  <c r="N48" i="7"/>
  <c r="U48" i="7"/>
  <c r="T48" i="7"/>
  <c r="AA48" i="7"/>
  <c r="Z48" i="7"/>
  <c r="I49" i="7"/>
  <c r="H49" i="7"/>
  <c r="O49" i="7"/>
  <c r="N49" i="7"/>
  <c r="U49" i="7"/>
  <c r="T49" i="7"/>
  <c r="AA49" i="7"/>
  <c r="Z49" i="7"/>
  <c r="I50" i="7"/>
  <c r="H50" i="7"/>
  <c r="O50" i="7"/>
  <c r="N50" i="7"/>
  <c r="U50" i="7"/>
  <c r="T50" i="7"/>
  <c r="AA50" i="7"/>
  <c r="Z50" i="7"/>
  <c r="I51" i="7"/>
  <c r="H51" i="7"/>
  <c r="O51" i="7"/>
  <c r="N51" i="7"/>
  <c r="U51" i="7"/>
  <c r="T51" i="7"/>
  <c r="AA51" i="7"/>
  <c r="Z51" i="7"/>
  <c r="I53" i="7"/>
  <c r="H53" i="7"/>
  <c r="O53" i="7"/>
  <c r="N53" i="7"/>
  <c r="U53" i="7"/>
  <c r="T53" i="7"/>
  <c r="AA53" i="7"/>
  <c r="Z53" i="7"/>
  <c r="I54" i="7"/>
  <c r="H54" i="7"/>
  <c r="O54" i="7"/>
  <c r="N54" i="7"/>
  <c r="U54" i="7"/>
  <c r="T54" i="7"/>
  <c r="AA54" i="7"/>
  <c r="Z54" i="7"/>
  <c r="I55" i="7"/>
  <c r="H55" i="7"/>
  <c r="O55" i="7"/>
  <c r="N55" i="7"/>
  <c r="U55" i="7"/>
  <c r="T55" i="7"/>
  <c r="AA55" i="7"/>
  <c r="Z55" i="7"/>
  <c r="I56" i="7"/>
  <c r="H56" i="7"/>
  <c r="O56" i="7"/>
  <c r="N56" i="7"/>
  <c r="U56" i="7"/>
  <c r="T56" i="7"/>
  <c r="AA56" i="7"/>
  <c r="Z56" i="7"/>
  <c r="I57" i="7"/>
  <c r="H57" i="7"/>
  <c r="O57" i="7"/>
  <c r="N57" i="7"/>
  <c r="U57" i="7"/>
  <c r="T57" i="7"/>
  <c r="AA57" i="7"/>
  <c r="Z57" i="7"/>
  <c r="I58" i="7"/>
  <c r="H58" i="7"/>
  <c r="O58" i="7"/>
  <c r="N58" i="7"/>
  <c r="U58" i="7"/>
  <c r="T58" i="7"/>
  <c r="AA58" i="7"/>
  <c r="Z58" i="7"/>
  <c r="I59" i="7"/>
  <c r="H59" i="7"/>
  <c r="O59" i="7"/>
  <c r="N59" i="7"/>
  <c r="U59" i="7"/>
  <c r="T59" i="7"/>
  <c r="AA59" i="7"/>
  <c r="Z59" i="7"/>
  <c r="I60" i="7"/>
  <c r="H60" i="7"/>
  <c r="O60" i="7"/>
  <c r="N60" i="7"/>
  <c r="U60" i="7"/>
  <c r="T60" i="7"/>
  <c r="AA60" i="7"/>
  <c r="Z60" i="7"/>
  <c r="I61" i="7"/>
  <c r="H61" i="7"/>
  <c r="O61" i="7"/>
  <c r="N61" i="7"/>
  <c r="U61" i="7"/>
  <c r="T61" i="7"/>
  <c r="AA61" i="7"/>
  <c r="Z61" i="7"/>
  <c r="I63" i="7"/>
  <c r="H63" i="7"/>
  <c r="O63" i="7"/>
  <c r="N63" i="7"/>
  <c r="U63" i="7"/>
  <c r="T63" i="7"/>
  <c r="AA63" i="7"/>
  <c r="Z63" i="7"/>
  <c r="I64" i="7"/>
  <c r="H64" i="7"/>
  <c r="O64" i="7"/>
  <c r="N64" i="7"/>
  <c r="U64" i="7"/>
  <c r="T64" i="7"/>
  <c r="AA64" i="7"/>
  <c r="Z64" i="7"/>
  <c r="I65" i="7"/>
  <c r="H65" i="7"/>
  <c r="O65" i="7"/>
  <c r="N65" i="7"/>
  <c r="U65" i="7"/>
  <c r="T65" i="7"/>
  <c r="AA65" i="7"/>
  <c r="Z65" i="7"/>
  <c r="I66" i="7"/>
  <c r="H66" i="7"/>
  <c r="O66" i="7"/>
  <c r="N66" i="7"/>
  <c r="U66" i="7"/>
  <c r="T66" i="7"/>
  <c r="AA66" i="7"/>
  <c r="Z66" i="7"/>
  <c r="I67" i="7"/>
  <c r="H67" i="7"/>
  <c r="O67" i="7"/>
  <c r="N67" i="7"/>
  <c r="U67" i="7"/>
  <c r="T67" i="7"/>
  <c r="AA67" i="7"/>
  <c r="Z67" i="7"/>
  <c r="I68" i="7"/>
  <c r="H68" i="7"/>
  <c r="O68" i="7"/>
  <c r="N68" i="7"/>
  <c r="U68" i="7"/>
  <c r="T68" i="7"/>
  <c r="AA68" i="7"/>
  <c r="Z68" i="7"/>
  <c r="I69" i="7"/>
  <c r="H69" i="7"/>
  <c r="O69" i="7"/>
  <c r="N69" i="7"/>
  <c r="U69" i="7"/>
  <c r="T69" i="7"/>
  <c r="AA69" i="7"/>
  <c r="Z69" i="7"/>
  <c r="I70" i="7"/>
  <c r="H70" i="7"/>
  <c r="O70" i="7"/>
  <c r="N70" i="7"/>
  <c r="U70" i="7"/>
  <c r="T70" i="7"/>
  <c r="AA70" i="7"/>
  <c r="Z70" i="7"/>
  <c r="I71" i="7"/>
  <c r="H71" i="7"/>
  <c r="O71" i="7"/>
  <c r="N71" i="7"/>
  <c r="U71" i="7"/>
  <c r="T71" i="7"/>
  <c r="AA71" i="7"/>
  <c r="Z71" i="7"/>
  <c r="I73" i="7"/>
  <c r="H73" i="7"/>
  <c r="O73" i="7"/>
  <c r="N73" i="7"/>
  <c r="U73" i="7"/>
  <c r="T73" i="7"/>
  <c r="AA73" i="7"/>
  <c r="Z73" i="7"/>
  <c r="I74" i="7"/>
  <c r="H74" i="7"/>
  <c r="O74" i="7"/>
  <c r="N74" i="7"/>
  <c r="U74" i="7"/>
  <c r="T74" i="7"/>
  <c r="AA74" i="7"/>
  <c r="Z74" i="7"/>
  <c r="I75" i="7"/>
  <c r="H75" i="7"/>
  <c r="O75" i="7"/>
  <c r="N75" i="7"/>
  <c r="U75" i="7"/>
  <c r="T75" i="7"/>
  <c r="AA75" i="7"/>
  <c r="Z75" i="7"/>
  <c r="I76" i="7"/>
  <c r="H76" i="7"/>
  <c r="O76" i="7"/>
  <c r="N76" i="7"/>
  <c r="U76" i="7"/>
  <c r="T76" i="7"/>
  <c r="AA76" i="7"/>
  <c r="Z76" i="7"/>
  <c r="I77" i="7"/>
  <c r="H77" i="7"/>
  <c r="O77" i="7"/>
  <c r="N77" i="7"/>
  <c r="U77" i="7"/>
  <c r="T77" i="7"/>
  <c r="AA77" i="7"/>
  <c r="Z77" i="7"/>
  <c r="I78" i="7"/>
  <c r="H78" i="7"/>
  <c r="O78" i="7"/>
  <c r="N78" i="7"/>
  <c r="U78" i="7"/>
  <c r="T78" i="7"/>
  <c r="AA78" i="7"/>
  <c r="Z78" i="7"/>
  <c r="I79" i="7"/>
  <c r="H79" i="7"/>
  <c r="O79" i="7"/>
  <c r="N79" i="7"/>
  <c r="U79" i="7"/>
  <c r="T79" i="7"/>
  <c r="AA79" i="7"/>
  <c r="Z79" i="7"/>
  <c r="I80" i="7"/>
  <c r="H80" i="7"/>
  <c r="O80" i="7"/>
  <c r="N80" i="7"/>
  <c r="U80" i="7"/>
  <c r="T80" i="7"/>
  <c r="AA80" i="7"/>
  <c r="Z80" i="7"/>
  <c r="I81" i="7"/>
  <c r="H81" i="7"/>
  <c r="O81" i="7"/>
  <c r="N81" i="7"/>
  <c r="U81" i="7"/>
  <c r="T81" i="7"/>
  <c r="AA81" i="7"/>
  <c r="Z81" i="7"/>
  <c r="I83" i="7"/>
  <c r="H83" i="7"/>
  <c r="O83" i="7"/>
  <c r="N83" i="7"/>
  <c r="U83" i="7"/>
  <c r="T83" i="7"/>
  <c r="AA83" i="7"/>
  <c r="Z83" i="7"/>
  <c r="I84" i="7"/>
  <c r="H84" i="7"/>
  <c r="O84" i="7"/>
  <c r="N84" i="7"/>
  <c r="U84" i="7"/>
  <c r="T84" i="7"/>
  <c r="AA84" i="7"/>
  <c r="Z84" i="7"/>
  <c r="I85" i="7"/>
  <c r="H85" i="7"/>
  <c r="O85" i="7"/>
  <c r="N85" i="7"/>
  <c r="U85" i="7"/>
  <c r="T85" i="7"/>
  <c r="AA85" i="7"/>
  <c r="Z85" i="7"/>
  <c r="I86" i="7"/>
  <c r="H86" i="7"/>
  <c r="O86" i="7"/>
  <c r="N86" i="7"/>
  <c r="U86" i="7"/>
  <c r="T86" i="7"/>
  <c r="AA86" i="7"/>
  <c r="Z86" i="7"/>
  <c r="I87" i="7"/>
  <c r="H87" i="7"/>
  <c r="O87" i="7"/>
  <c r="N87" i="7"/>
  <c r="U87" i="7"/>
  <c r="T87" i="7"/>
  <c r="AA87" i="7"/>
  <c r="Z87" i="7"/>
  <c r="I88" i="7"/>
  <c r="H88" i="7"/>
  <c r="O88" i="7"/>
  <c r="N88" i="7"/>
  <c r="U88" i="7"/>
  <c r="T88" i="7"/>
  <c r="AA88" i="7"/>
  <c r="Z88" i="7"/>
  <c r="I89" i="7"/>
  <c r="H89" i="7"/>
  <c r="O89" i="7"/>
  <c r="N89" i="7"/>
  <c r="U89" i="7"/>
  <c r="T89" i="7"/>
  <c r="AA89" i="7"/>
  <c r="Z89" i="7"/>
  <c r="I90" i="7"/>
  <c r="H90" i="7"/>
  <c r="O90" i="7"/>
  <c r="N90" i="7"/>
  <c r="U90" i="7"/>
  <c r="T90" i="7"/>
  <c r="AA90" i="7"/>
  <c r="Z90" i="7"/>
  <c r="I91" i="7"/>
  <c r="H91" i="7"/>
  <c r="O91" i="7"/>
  <c r="N91" i="7"/>
  <c r="U91" i="7"/>
  <c r="T91" i="7"/>
  <c r="AA91" i="7"/>
  <c r="Z91" i="7"/>
  <c r="I93" i="7"/>
  <c r="H93" i="7"/>
  <c r="O93" i="7"/>
  <c r="N93" i="7"/>
  <c r="U93" i="7"/>
  <c r="T93" i="7"/>
  <c r="AA93" i="7"/>
  <c r="Z93" i="7"/>
  <c r="I94" i="7"/>
  <c r="H94" i="7"/>
  <c r="O94" i="7"/>
  <c r="N94" i="7"/>
  <c r="U94" i="7"/>
  <c r="T94" i="7"/>
  <c r="AA94" i="7"/>
  <c r="Z94" i="7"/>
  <c r="I95" i="7"/>
  <c r="H95" i="7"/>
  <c r="O95" i="7"/>
  <c r="N95" i="7"/>
  <c r="U95" i="7"/>
  <c r="T95" i="7"/>
  <c r="AA95" i="7"/>
  <c r="Z95" i="7"/>
  <c r="I96" i="7"/>
  <c r="H96" i="7"/>
  <c r="O96" i="7"/>
  <c r="N96" i="7"/>
  <c r="U96" i="7"/>
  <c r="T96" i="7"/>
  <c r="AA96" i="7"/>
  <c r="Z96" i="7"/>
  <c r="I97" i="7"/>
  <c r="H97" i="7"/>
  <c r="O97" i="7"/>
  <c r="N97" i="7"/>
  <c r="U97" i="7"/>
  <c r="T97" i="7"/>
  <c r="AA97" i="7"/>
  <c r="Z97" i="7"/>
  <c r="I98" i="7"/>
  <c r="H98" i="7"/>
  <c r="O98" i="7"/>
  <c r="N98" i="7"/>
  <c r="U98" i="7"/>
  <c r="T98" i="7"/>
  <c r="AA98" i="7"/>
  <c r="Z98" i="7"/>
  <c r="I99" i="7"/>
  <c r="H99" i="7"/>
  <c r="O99" i="7"/>
  <c r="N99" i="7"/>
  <c r="U99" i="7"/>
  <c r="T99" i="7"/>
  <c r="AA99" i="7"/>
  <c r="Z99" i="7"/>
  <c r="I100" i="7"/>
  <c r="H100" i="7"/>
  <c r="O100" i="7"/>
  <c r="N100" i="7"/>
  <c r="U100" i="7"/>
  <c r="T100" i="7"/>
  <c r="AA100" i="7"/>
  <c r="Z100" i="7"/>
  <c r="I101" i="7"/>
  <c r="H101" i="7"/>
  <c r="O101" i="7"/>
  <c r="N101" i="7"/>
  <c r="U101" i="7"/>
  <c r="T101" i="7"/>
  <c r="AA101" i="7"/>
  <c r="Z101" i="7"/>
  <c r="I103" i="7"/>
  <c r="H103" i="7"/>
  <c r="O103" i="7"/>
  <c r="N103" i="7"/>
  <c r="U103" i="7"/>
  <c r="T103" i="7"/>
  <c r="AA103" i="7"/>
  <c r="Z103" i="7"/>
  <c r="I104" i="7"/>
  <c r="H104" i="7"/>
  <c r="O104" i="7"/>
  <c r="N104" i="7"/>
  <c r="U104" i="7"/>
  <c r="T104" i="7"/>
  <c r="AA104" i="7"/>
  <c r="Z104" i="7"/>
  <c r="I105" i="7"/>
  <c r="H105" i="7"/>
  <c r="O105" i="7"/>
  <c r="N105" i="7"/>
  <c r="U105" i="7"/>
  <c r="T105" i="7"/>
  <c r="AA105" i="7"/>
  <c r="Z105" i="7"/>
  <c r="I106" i="7"/>
  <c r="H106" i="7"/>
  <c r="O106" i="7"/>
  <c r="N106" i="7"/>
  <c r="U106" i="7"/>
  <c r="T106" i="7"/>
  <c r="AA106" i="7"/>
  <c r="Z106" i="7"/>
  <c r="I107" i="7"/>
  <c r="H107" i="7"/>
  <c r="O107" i="7"/>
  <c r="N107" i="7"/>
  <c r="U107" i="7"/>
  <c r="T107" i="7"/>
  <c r="AA107" i="7"/>
  <c r="Z107" i="7"/>
  <c r="I108" i="7"/>
  <c r="H108" i="7"/>
  <c r="O108" i="7"/>
  <c r="N108" i="7"/>
  <c r="U108" i="7"/>
  <c r="T108" i="7"/>
  <c r="AA108" i="7"/>
  <c r="Z108" i="7"/>
  <c r="I109" i="7"/>
  <c r="H109" i="7"/>
  <c r="O109" i="7"/>
  <c r="N109" i="7"/>
  <c r="U109" i="7"/>
  <c r="T109" i="7"/>
  <c r="AA109" i="7"/>
  <c r="Z109" i="7"/>
  <c r="I110" i="7"/>
  <c r="H110" i="7"/>
  <c r="O110" i="7"/>
  <c r="N110" i="7"/>
  <c r="U110" i="7"/>
  <c r="T110" i="7"/>
  <c r="AA110" i="7"/>
  <c r="Z110" i="7"/>
  <c r="O112" i="7"/>
  <c r="N112" i="7"/>
  <c r="U112" i="7"/>
  <c r="T112" i="7"/>
  <c r="AA112" i="7"/>
  <c r="Z112" i="7"/>
  <c r="O113" i="7"/>
  <c r="N113" i="7"/>
  <c r="U113" i="7"/>
  <c r="T113" i="7"/>
  <c r="AA113" i="7"/>
  <c r="Z113" i="7"/>
  <c r="O114" i="7"/>
  <c r="N114" i="7"/>
  <c r="U114" i="7"/>
  <c r="T114" i="7"/>
  <c r="AA114" i="7"/>
  <c r="Z114" i="7"/>
  <c r="O115" i="7"/>
  <c r="N115" i="7"/>
  <c r="U115" i="7"/>
  <c r="T115" i="7"/>
  <c r="AA115" i="7"/>
  <c r="Z115" i="7"/>
  <c r="O116" i="7"/>
  <c r="N116" i="7"/>
  <c r="U116" i="7"/>
  <c r="T116" i="7"/>
  <c r="AA116" i="7"/>
  <c r="Z116" i="7"/>
  <c r="O117" i="7"/>
  <c r="N117" i="7"/>
  <c r="U117" i="7"/>
  <c r="T117" i="7"/>
  <c r="AA117" i="7"/>
  <c r="Z117" i="7"/>
  <c r="O118" i="7"/>
  <c r="N118" i="7"/>
  <c r="U118" i="7"/>
  <c r="T118" i="7"/>
  <c r="AA118" i="7"/>
  <c r="Z118" i="7"/>
  <c r="O119" i="7"/>
  <c r="N119" i="7"/>
  <c r="U119" i="7"/>
  <c r="T119" i="7"/>
  <c r="AA119" i="7"/>
  <c r="Z119" i="7"/>
  <c r="O120" i="7"/>
  <c r="N120" i="7"/>
  <c r="U120" i="7"/>
  <c r="T120" i="7"/>
  <c r="AA120" i="7"/>
  <c r="Z120" i="7"/>
  <c r="O121" i="7"/>
  <c r="N121" i="7"/>
  <c r="U121" i="7"/>
  <c r="T121" i="7"/>
  <c r="AA121" i="7"/>
  <c r="Z121" i="7"/>
  <c r="O122" i="7"/>
  <c r="N122" i="7"/>
  <c r="U122" i="7"/>
  <c r="T122" i="7"/>
  <c r="AA122" i="7"/>
  <c r="Z122" i="7"/>
  <c r="O123" i="7"/>
  <c r="N123" i="7"/>
  <c r="U123" i="7"/>
  <c r="T123" i="7"/>
  <c r="AA123" i="7"/>
  <c r="Z123" i="7"/>
  <c r="O124" i="7"/>
  <c r="N124" i="7"/>
  <c r="U124" i="7"/>
  <c r="T124" i="7"/>
  <c r="AA124" i="7"/>
  <c r="Z124" i="7"/>
  <c r="O125" i="7"/>
  <c r="N125" i="7"/>
  <c r="U125" i="7"/>
  <c r="T125" i="7"/>
  <c r="AA125" i="7"/>
  <c r="Z125" i="7"/>
  <c r="O126" i="7"/>
  <c r="N126" i="7"/>
  <c r="U126" i="7"/>
  <c r="T126" i="7"/>
  <c r="AA126" i="7"/>
  <c r="Z126" i="7"/>
  <c r="O127" i="7"/>
  <c r="N127" i="7"/>
  <c r="AA127" i="7"/>
  <c r="Z127" i="7"/>
  <c r="I3" i="6"/>
  <c r="H3" i="6"/>
  <c r="O3" i="6"/>
  <c r="N3" i="6"/>
  <c r="U3" i="6"/>
  <c r="T3" i="6"/>
  <c r="AA3" i="6"/>
  <c r="Z3" i="6"/>
  <c r="I5" i="6"/>
  <c r="H5" i="6"/>
  <c r="O5" i="6"/>
  <c r="N5" i="6"/>
  <c r="U5" i="6"/>
  <c r="T5" i="6"/>
  <c r="AA5" i="6"/>
  <c r="Z5" i="6"/>
  <c r="I6" i="6"/>
  <c r="H6" i="6"/>
  <c r="O6" i="6"/>
  <c r="N6" i="6"/>
  <c r="U6" i="6"/>
  <c r="T6" i="6"/>
  <c r="AA6" i="6"/>
  <c r="Z6" i="6"/>
  <c r="I7" i="6"/>
  <c r="H7" i="6"/>
  <c r="O7" i="6"/>
  <c r="N7" i="6"/>
  <c r="U7" i="6"/>
  <c r="T7" i="6"/>
  <c r="AA7" i="6"/>
  <c r="Z7" i="6"/>
  <c r="I8" i="6"/>
  <c r="H8" i="6"/>
  <c r="O8" i="6"/>
  <c r="N8" i="6"/>
  <c r="U8" i="6"/>
  <c r="T8" i="6"/>
  <c r="AA8" i="6"/>
  <c r="Z8" i="6"/>
  <c r="I9" i="6"/>
  <c r="H9" i="6"/>
  <c r="O9" i="6"/>
  <c r="N9" i="6"/>
  <c r="U9" i="6"/>
  <c r="T9" i="6"/>
  <c r="AA9" i="6"/>
  <c r="Z9" i="6"/>
  <c r="I10" i="6"/>
  <c r="H10" i="6"/>
  <c r="O10" i="6"/>
  <c r="N10" i="6"/>
  <c r="U10" i="6"/>
  <c r="T10" i="6"/>
  <c r="AA10" i="6"/>
  <c r="Z10" i="6"/>
  <c r="I11" i="6"/>
  <c r="H11" i="6"/>
  <c r="O11" i="6"/>
  <c r="N11" i="6"/>
  <c r="U11" i="6"/>
  <c r="T11" i="6"/>
  <c r="AA11" i="6"/>
  <c r="Z11" i="6"/>
  <c r="I12" i="6"/>
  <c r="H12" i="6"/>
  <c r="O12" i="6"/>
  <c r="N12" i="6"/>
  <c r="U12" i="6"/>
  <c r="T12" i="6"/>
  <c r="AA12" i="6"/>
  <c r="Z12" i="6"/>
  <c r="I14" i="6"/>
  <c r="H14" i="6"/>
  <c r="O14" i="6"/>
  <c r="N14" i="6"/>
  <c r="U14" i="6"/>
  <c r="T14" i="6"/>
  <c r="AA14" i="6"/>
  <c r="Z14" i="6"/>
  <c r="I15" i="6"/>
  <c r="H15" i="6"/>
  <c r="O15" i="6"/>
  <c r="N15" i="6"/>
  <c r="U15" i="6"/>
  <c r="T15" i="6"/>
  <c r="AA15" i="6"/>
  <c r="Z15" i="6"/>
  <c r="I16" i="6"/>
  <c r="H16" i="6"/>
  <c r="O16" i="6"/>
  <c r="N16" i="6"/>
  <c r="U16" i="6"/>
  <c r="T16" i="6"/>
  <c r="AA16" i="6"/>
  <c r="Z16" i="6"/>
  <c r="I17" i="6"/>
  <c r="H17" i="6"/>
  <c r="O17" i="6"/>
  <c r="N17" i="6"/>
  <c r="U17" i="6"/>
  <c r="T17" i="6"/>
  <c r="AA17" i="6"/>
  <c r="Z17" i="6"/>
  <c r="I18" i="6"/>
  <c r="H18" i="6"/>
  <c r="O18" i="6"/>
  <c r="N18" i="6"/>
  <c r="U18" i="6"/>
  <c r="T18" i="6"/>
  <c r="AA18" i="6"/>
  <c r="Z18" i="6"/>
  <c r="I19" i="6"/>
  <c r="H19" i="6"/>
  <c r="O19" i="6"/>
  <c r="N19" i="6"/>
  <c r="U19" i="6"/>
  <c r="T19" i="6"/>
  <c r="AA19" i="6"/>
  <c r="Z19" i="6"/>
  <c r="I20" i="6"/>
  <c r="H20" i="6"/>
  <c r="O20" i="6"/>
  <c r="N20" i="6"/>
  <c r="U20" i="6"/>
  <c r="T20" i="6"/>
  <c r="AA20" i="6"/>
  <c r="Z20" i="6"/>
  <c r="I21" i="6"/>
  <c r="H21" i="6"/>
  <c r="O21" i="6"/>
  <c r="N21" i="6"/>
  <c r="U21" i="6"/>
  <c r="T21" i="6"/>
  <c r="AA21" i="6"/>
  <c r="Z21" i="6"/>
  <c r="I23" i="6"/>
  <c r="H23" i="6"/>
  <c r="O23" i="6"/>
  <c r="N23" i="6"/>
  <c r="U23" i="6"/>
  <c r="T23" i="6"/>
  <c r="AA23" i="6"/>
  <c r="Z23" i="6"/>
  <c r="I24" i="6"/>
  <c r="H24" i="6"/>
  <c r="O24" i="6"/>
  <c r="N24" i="6"/>
  <c r="U24" i="6"/>
  <c r="T24" i="6"/>
  <c r="AA24" i="6"/>
  <c r="Z24" i="6"/>
  <c r="I25" i="6"/>
  <c r="H25" i="6"/>
  <c r="O25" i="6"/>
  <c r="N25" i="6"/>
  <c r="U25" i="6"/>
  <c r="T25" i="6"/>
  <c r="AA25" i="6"/>
  <c r="Z25" i="6"/>
  <c r="I26" i="6"/>
  <c r="H26" i="6"/>
  <c r="O26" i="6"/>
  <c r="N26" i="6"/>
  <c r="U26" i="6"/>
  <c r="T26" i="6"/>
  <c r="AA26" i="6"/>
  <c r="Z26" i="6"/>
  <c r="I27" i="6"/>
  <c r="H27" i="6"/>
  <c r="O27" i="6"/>
  <c r="N27" i="6"/>
  <c r="U27" i="6"/>
  <c r="T27" i="6"/>
  <c r="AA27" i="6"/>
  <c r="Z27" i="6"/>
  <c r="I28" i="6"/>
  <c r="H28" i="6"/>
  <c r="O28" i="6"/>
  <c r="N28" i="6"/>
  <c r="U28" i="6"/>
  <c r="T28" i="6"/>
  <c r="AA28" i="6"/>
  <c r="Z28" i="6"/>
  <c r="I29" i="6"/>
  <c r="H29" i="6"/>
  <c r="O29" i="6"/>
  <c r="N29" i="6"/>
  <c r="U29" i="6"/>
  <c r="T29" i="6"/>
  <c r="AA29" i="6"/>
  <c r="Z29" i="6"/>
  <c r="I30" i="6"/>
  <c r="H30" i="6"/>
  <c r="O30" i="6"/>
  <c r="N30" i="6"/>
  <c r="U30" i="6"/>
  <c r="T30" i="6"/>
  <c r="AA30" i="6"/>
  <c r="Z30" i="6"/>
  <c r="I31" i="6"/>
  <c r="H31" i="6"/>
  <c r="O31" i="6"/>
  <c r="N31" i="6"/>
  <c r="U31" i="6"/>
  <c r="T31" i="6"/>
  <c r="AA31" i="6"/>
  <c r="Z31" i="6"/>
  <c r="I33" i="6"/>
  <c r="H33" i="6"/>
  <c r="O33" i="6"/>
  <c r="N33" i="6"/>
  <c r="U33" i="6"/>
  <c r="T33" i="6"/>
  <c r="AA33" i="6"/>
  <c r="Z33" i="6"/>
  <c r="I34" i="6"/>
  <c r="H34" i="6"/>
  <c r="O34" i="6"/>
  <c r="N34" i="6"/>
  <c r="U34" i="6"/>
  <c r="T34" i="6"/>
  <c r="AA34" i="6"/>
  <c r="Z34" i="6"/>
  <c r="I35" i="6"/>
  <c r="H35" i="6"/>
  <c r="O35" i="6"/>
  <c r="N35" i="6"/>
  <c r="U35" i="6"/>
  <c r="T35" i="6"/>
  <c r="AA35" i="6"/>
  <c r="Z35" i="6"/>
  <c r="I36" i="6"/>
  <c r="H36" i="6"/>
  <c r="O36" i="6"/>
  <c r="N36" i="6"/>
  <c r="U36" i="6"/>
  <c r="T36" i="6"/>
  <c r="AA36" i="6"/>
  <c r="Z36" i="6"/>
  <c r="I37" i="6"/>
  <c r="H37" i="6"/>
  <c r="O37" i="6"/>
  <c r="N37" i="6"/>
  <c r="U37" i="6"/>
  <c r="T37" i="6"/>
  <c r="AA37" i="6"/>
  <c r="Z37" i="6"/>
  <c r="I38" i="6"/>
  <c r="H38" i="6"/>
  <c r="O38" i="6"/>
  <c r="N38" i="6"/>
  <c r="U38" i="6"/>
  <c r="T38" i="6"/>
  <c r="AA38" i="6"/>
  <c r="Z38" i="6"/>
  <c r="I39" i="6"/>
  <c r="H39" i="6"/>
  <c r="O39" i="6"/>
  <c r="N39" i="6"/>
  <c r="U39" i="6"/>
  <c r="T39" i="6"/>
  <c r="AA39" i="6"/>
  <c r="Z39" i="6"/>
  <c r="I40" i="6"/>
  <c r="H40" i="6"/>
  <c r="O40" i="6"/>
  <c r="N40" i="6"/>
  <c r="U40" i="6"/>
  <c r="T40" i="6"/>
  <c r="AA40" i="6"/>
  <c r="Z40" i="6"/>
  <c r="I41" i="6"/>
  <c r="H41" i="6"/>
  <c r="O41" i="6"/>
  <c r="N41" i="6"/>
  <c r="U41" i="6"/>
  <c r="T41" i="6"/>
  <c r="AA41" i="6"/>
  <c r="Z41" i="6"/>
  <c r="I43" i="6"/>
  <c r="H43" i="6"/>
  <c r="O43" i="6"/>
  <c r="N43" i="6"/>
  <c r="U43" i="6"/>
  <c r="T43" i="6"/>
  <c r="AA43" i="6"/>
  <c r="Z43" i="6"/>
  <c r="I44" i="6"/>
  <c r="H44" i="6"/>
  <c r="O44" i="6"/>
  <c r="N44" i="6"/>
  <c r="U44" i="6"/>
  <c r="T44" i="6"/>
  <c r="AA44" i="6"/>
  <c r="Z44" i="6"/>
  <c r="I45" i="6"/>
  <c r="H45" i="6"/>
  <c r="O45" i="6"/>
  <c r="N45" i="6"/>
  <c r="U45" i="6"/>
  <c r="T45" i="6"/>
  <c r="AA45" i="6"/>
  <c r="Z45" i="6"/>
  <c r="I46" i="6"/>
  <c r="H46" i="6"/>
  <c r="O46" i="6"/>
  <c r="N46" i="6"/>
  <c r="U46" i="6"/>
  <c r="T46" i="6"/>
  <c r="AA46" i="6"/>
  <c r="Z46" i="6"/>
  <c r="I47" i="6"/>
  <c r="H47" i="6"/>
  <c r="O47" i="6"/>
  <c r="N47" i="6"/>
  <c r="U47" i="6"/>
  <c r="T47" i="6"/>
  <c r="AA47" i="6"/>
  <c r="Z47" i="6"/>
  <c r="I48" i="6"/>
  <c r="H48" i="6"/>
  <c r="O48" i="6"/>
  <c r="N48" i="6"/>
  <c r="U48" i="6"/>
  <c r="T48" i="6"/>
  <c r="AA48" i="6"/>
  <c r="Z48" i="6"/>
  <c r="I49" i="6"/>
  <c r="H49" i="6"/>
  <c r="O49" i="6"/>
  <c r="N49" i="6"/>
  <c r="U49" i="6"/>
  <c r="T49" i="6"/>
  <c r="AA49" i="6"/>
  <c r="Z49" i="6"/>
  <c r="I50" i="6"/>
  <c r="H50" i="6"/>
  <c r="O50" i="6"/>
  <c r="N50" i="6"/>
  <c r="U50" i="6"/>
  <c r="T50" i="6"/>
  <c r="AA50" i="6"/>
  <c r="Z50" i="6"/>
  <c r="I51" i="6"/>
  <c r="H51" i="6"/>
  <c r="O51" i="6"/>
  <c r="N51" i="6"/>
  <c r="U51" i="6"/>
  <c r="T51" i="6"/>
  <c r="AA51" i="6"/>
  <c r="Z51" i="6"/>
  <c r="I53" i="6"/>
  <c r="H53" i="6"/>
  <c r="O53" i="6"/>
  <c r="N53" i="6"/>
  <c r="U53" i="6"/>
  <c r="T53" i="6"/>
  <c r="AA53" i="6"/>
  <c r="Z53" i="6"/>
  <c r="I54" i="6"/>
  <c r="H54" i="6"/>
  <c r="O54" i="6"/>
  <c r="N54" i="6"/>
  <c r="U54" i="6"/>
  <c r="T54" i="6"/>
  <c r="AA54" i="6"/>
  <c r="Z54" i="6"/>
  <c r="I55" i="6"/>
  <c r="H55" i="6"/>
  <c r="O55" i="6"/>
  <c r="N55" i="6"/>
  <c r="U55" i="6"/>
  <c r="T55" i="6"/>
  <c r="AA55" i="6"/>
  <c r="Z55" i="6"/>
  <c r="I56" i="6"/>
  <c r="H56" i="6"/>
  <c r="O56" i="6"/>
  <c r="N56" i="6"/>
  <c r="U56" i="6"/>
  <c r="T56" i="6"/>
  <c r="AA56" i="6"/>
  <c r="Z56" i="6"/>
  <c r="I57" i="6"/>
  <c r="H57" i="6"/>
  <c r="O57" i="6"/>
  <c r="N57" i="6"/>
  <c r="U57" i="6"/>
  <c r="T57" i="6"/>
  <c r="AA57" i="6"/>
  <c r="Z57" i="6"/>
  <c r="I58" i="6"/>
  <c r="H58" i="6"/>
  <c r="O58" i="6"/>
  <c r="N58" i="6"/>
  <c r="U58" i="6"/>
  <c r="T58" i="6"/>
  <c r="AA58" i="6"/>
  <c r="Z58" i="6"/>
  <c r="I59" i="6"/>
  <c r="H59" i="6"/>
  <c r="O59" i="6"/>
  <c r="N59" i="6"/>
  <c r="U59" i="6"/>
  <c r="T59" i="6"/>
  <c r="AA59" i="6"/>
  <c r="Z59" i="6"/>
  <c r="I60" i="6"/>
  <c r="H60" i="6"/>
  <c r="O60" i="6"/>
  <c r="N60" i="6"/>
  <c r="U60" i="6"/>
  <c r="T60" i="6"/>
  <c r="AA60" i="6"/>
  <c r="Z60" i="6"/>
  <c r="I61" i="6"/>
  <c r="H61" i="6"/>
  <c r="O61" i="6"/>
  <c r="N61" i="6"/>
  <c r="U61" i="6"/>
  <c r="T61" i="6"/>
  <c r="AA61" i="6"/>
  <c r="Z61" i="6"/>
  <c r="I63" i="6"/>
  <c r="H63" i="6"/>
  <c r="O63" i="6"/>
  <c r="N63" i="6"/>
  <c r="U63" i="6"/>
  <c r="T63" i="6"/>
  <c r="AA63" i="6"/>
  <c r="Z63" i="6"/>
  <c r="I64" i="6"/>
  <c r="H64" i="6"/>
  <c r="O64" i="6"/>
  <c r="N64" i="6"/>
  <c r="U64" i="6"/>
  <c r="T64" i="6"/>
  <c r="AA64" i="6"/>
  <c r="Z64" i="6"/>
  <c r="I65" i="6"/>
  <c r="H65" i="6"/>
  <c r="O65" i="6"/>
  <c r="N65" i="6"/>
  <c r="U65" i="6"/>
  <c r="T65" i="6"/>
  <c r="AA65" i="6"/>
  <c r="Z65" i="6"/>
  <c r="I66" i="6"/>
  <c r="H66" i="6"/>
  <c r="O66" i="6"/>
  <c r="N66" i="6"/>
  <c r="U66" i="6"/>
  <c r="T66" i="6"/>
  <c r="AA66" i="6"/>
  <c r="Z66" i="6"/>
  <c r="I67" i="6"/>
  <c r="H67" i="6"/>
  <c r="O67" i="6"/>
  <c r="N67" i="6"/>
  <c r="U67" i="6"/>
  <c r="T67" i="6"/>
  <c r="AA67" i="6"/>
  <c r="Z67" i="6"/>
  <c r="I68" i="6"/>
  <c r="H68" i="6"/>
  <c r="O68" i="6"/>
  <c r="N68" i="6"/>
  <c r="U68" i="6"/>
  <c r="T68" i="6"/>
  <c r="AA68" i="6"/>
  <c r="Z68" i="6"/>
  <c r="I69" i="6"/>
  <c r="H69" i="6"/>
  <c r="O69" i="6"/>
  <c r="N69" i="6"/>
  <c r="U69" i="6"/>
  <c r="T69" i="6"/>
  <c r="AA69" i="6"/>
  <c r="Z69" i="6"/>
  <c r="I70" i="6"/>
  <c r="H70" i="6"/>
  <c r="O70" i="6"/>
  <c r="N70" i="6"/>
  <c r="U70" i="6"/>
  <c r="T70" i="6"/>
  <c r="AA70" i="6"/>
  <c r="Z70" i="6"/>
  <c r="I71" i="6"/>
  <c r="H71" i="6"/>
  <c r="O71" i="6"/>
  <c r="N71" i="6"/>
  <c r="U71" i="6"/>
  <c r="T71" i="6"/>
  <c r="AA71" i="6"/>
  <c r="Z71" i="6"/>
  <c r="I73" i="6"/>
  <c r="H73" i="6"/>
  <c r="O73" i="6"/>
  <c r="N73" i="6"/>
  <c r="U73" i="6"/>
  <c r="T73" i="6"/>
  <c r="AA73" i="6"/>
  <c r="Z73" i="6"/>
  <c r="I74" i="6"/>
  <c r="H74" i="6"/>
  <c r="O74" i="6"/>
  <c r="N74" i="6"/>
  <c r="U74" i="6"/>
  <c r="T74" i="6"/>
  <c r="AA74" i="6"/>
  <c r="Z74" i="6"/>
  <c r="I75" i="6"/>
  <c r="H75" i="6"/>
  <c r="O75" i="6"/>
  <c r="N75" i="6"/>
  <c r="U75" i="6"/>
  <c r="T75" i="6"/>
  <c r="AA75" i="6"/>
  <c r="Z75" i="6"/>
  <c r="I76" i="6"/>
  <c r="H76" i="6"/>
  <c r="O76" i="6"/>
  <c r="N76" i="6"/>
  <c r="U76" i="6"/>
  <c r="T76" i="6"/>
  <c r="AA76" i="6"/>
  <c r="Z76" i="6"/>
  <c r="I77" i="6"/>
  <c r="H77" i="6"/>
  <c r="O77" i="6"/>
  <c r="N77" i="6"/>
  <c r="U77" i="6"/>
  <c r="T77" i="6"/>
  <c r="AA77" i="6"/>
  <c r="Z77" i="6"/>
  <c r="I78" i="6"/>
  <c r="H78" i="6"/>
  <c r="O78" i="6"/>
  <c r="N78" i="6"/>
  <c r="U78" i="6"/>
  <c r="T78" i="6"/>
  <c r="AA78" i="6"/>
  <c r="Z78" i="6"/>
  <c r="I79" i="6"/>
  <c r="H79" i="6"/>
  <c r="O79" i="6"/>
  <c r="N79" i="6"/>
  <c r="U79" i="6"/>
  <c r="T79" i="6"/>
  <c r="AA79" i="6"/>
  <c r="Z79" i="6"/>
  <c r="I80" i="6"/>
  <c r="H80" i="6"/>
  <c r="O80" i="6"/>
  <c r="N80" i="6"/>
  <c r="U80" i="6"/>
  <c r="T80" i="6"/>
  <c r="AA80" i="6"/>
  <c r="Z80" i="6"/>
  <c r="I81" i="6"/>
  <c r="H81" i="6"/>
  <c r="O81" i="6"/>
  <c r="N81" i="6"/>
  <c r="U81" i="6"/>
  <c r="T81" i="6"/>
  <c r="AA81" i="6"/>
  <c r="Z81" i="6"/>
  <c r="I83" i="6"/>
  <c r="H83" i="6"/>
  <c r="O83" i="6"/>
  <c r="N83" i="6"/>
  <c r="U83" i="6"/>
  <c r="T83" i="6"/>
  <c r="AA83" i="6"/>
  <c r="Z83" i="6"/>
  <c r="I84" i="6"/>
  <c r="H84" i="6"/>
  <c r="O84" i="6"/>
  <c r="N84" i="6"/>
  <c r="U84" i="6"/>
  <c r="T84" i="6"/>
  <c r="AA84" i="6"/>
  <c r="Z84" i="6"/>
  <c r="I85" i="6"/>
  <c r="H85" i="6"/>
  <c r="O85" i="6"/>
  <c r="N85" i="6"/>
  <c r="U85" i="6"/>
  <c r="T85" i="6"/>
  <c r="AA85" i="6"/>
  <c r="Z85" i="6"/>
  <c r="I86" i="6"/>
  <c r="H86" i="6"/>
  <c r="O86" i="6"/>
  <c r="N86" i="6"/>
  <c r="U86" i="6"/>
  <c r="T86" i="6"/>
  <c r="AA86" i="6"/>
  <c r="Z86" i="6"/>
  <c r="I87" i="6"/>
  <c r="H87" i="6"/>
  <c r="O87" i="6"/>
  <c r="N87" i="6"/>
  <c r="U87" i="6"/>
  <c r="T87" i="6"/>
  <c r="AA87" i="6"/>
  <c r="Z87" i="6"/>
  <c r="I88" i="6"/>
  <c r="H88" i="6"/>
  <c r="O88" i="6"/>
  <c r="N88" i="6"/>
  <c r="U88" i="6"/>
  <c r="T88" i="6"/>
  <c r="AA88" i="6"/>
  <c r="Z88" i="6"/>
  <c r="I89" i="6"/>
  <c r="H89" i="6"/>
  <c r="O89" i="6"/>
  <c r="N89" i="6"/>
  <c r="U89" i="6"/>
  <c r="T89" i="6"/>
  <c r="AA89" i="6"/>
  <c r="Z89" i="6"/>
  <c r="I90" i="6"/>
  <c r="H90" i="6"/>
  <c r="O90" i="6"/>
  <c r="N90" i="6"/>
  <c r="U90" i="6"/>
  <c r="T90" i="6"/>
  <c r="AA90" i="6"/>
  <c r="Z90" i="6"/>
  <c r="I91" i="6"/>
  <c r="H91" i="6"/>
  <c r="O91" i="6"/>
  <c r="N91" i="6"/>
  <c r="U91" i="6"/>
  <c r="T91" i="6"/>
  <c r="AA91" i="6"/>
  <c r="Z91" i="6"/>
  <c r="I93" i="6"/>
  <c r="H93" i="6"/>
  <c r="O93" i="6"/>
  <c r="N93" i="6"/>
  <c r="U93" i="6"/>
  <c r="T93" i="6"/>
  <c r="AA93" i="6"/>
  <c r="Z93" i="6"/>
  <c r="I94" i="6"/>
  <c r="H94" i="6"/>
  <c r="O94" i="6"/>
  <c r="N94" i="6"/>
  <c r="U94" i="6"/>
  <c r="T94" i="6"/>
  <c r="AA94" i="6"/>
  <c r="Z94" i="6"/>
  <c r="I95" i="6"/>
  <c r="H95" i="6"/>
  <c r="O95" i="6"/>
  <c r="N95" i="6"/>
  <c r="U95" i="6"/>
  <c r="T95" i="6"/>
  <c r="AA95" i="6"/>
  <c r="Z95" i="6"/>
  <c r="I96" i="6"/>
  <c r="H96" i="6"/>
  <c r="O96" i="6"/>
  <c r="N96" i="6"/>
  <c r="U96" i="6"/>
  <c r="T96" i="6"/>
  <c r="AA96" i="6"/>
  <c r="Z96" i="6"/>
  <c r="I97" i="6"/>
  <c r="H97" i="6"/>
  <c r="O97" i="6"/>
  <c r="N97" i="6"/>
  <c r="U97" i="6"/>
  <c r="T97" i="6"/>
  <c r="AA97" i="6"/>
  <c r="Z97" i="6"/>
  <c r="I98" i="6"/>
  <c r="H98" i="6"/>
  <c r="O98" i="6"/>
  <c r="N98" i="6"/>
  <c r="U98" i="6"/>
  <c r="T98" i="6"/>
  <c r="AA98" i="6"/>
  <c r="Z98" i="6"/>
  <c r="I99" i="6"/>
  <c r="H99" i="6"/>
  <c r="O99" i="6"/>
  <c r="N99" i="6"/>
  <c r="U99" i="6"/>
  <c r="T99" i="6"/>
  <c r="AA99" i="6"/>
  <c r="Z99" i="6"/>
  <c r="I100" i="6"/>
  <c r="H100" i="6"/>
  <c r="O100" i="6"/>
  <c r="N100" i="6"/>
  <c r="U100" i="6"/>
  <c r="T100" i="6"/>
  <c r="AA100" i="6"/>
  <c r="Z100" i="6"/>
  <c r="I101" i="6"/>
  <c r="H101" i="6"/>
  <c r="O101" i="6"/>
  <c r="N101" i="6"/>
  <c r="U101" i="6"/>
  <c r="T101" i="6"/>
  <c r="AA101" i="6"/>
  <c r="Z101" i="6"/>
  <c r="I103" i="6"/>
  <c r="H103" i="6"/>
  <c r="O103" i="6"/>
  <c r="N103" i="6"/>
  <c r="U103" i="6"/>
  <c r="T103" i="6"/>
  <c r="AA103" i="6"/>
  <c r="Z103" i="6"/>
  <c r="I104" i="6"/>
  <c r="H104" i="6"/>
  <c r="O104" i="6"/>
  <c r="N104" i="6"/>
  <c r="U104" i="6"/>
  <c r="T104" i="6"/>
  <c r="AA104" i="6"/>
  <c r="Z104" i="6"/>
  <c r="I105" i="6"/>
  <c r="H105" i="6"/>
  <c r="O105" i="6"/>
  <c r="N105" i="6"/>
  <c r="U105" i="6"/>
  <c r="T105" i="6"/>
  <c r="AA105" i="6"/>
  <c r="Z105" i="6"/>
  <c r="I106" i="6"/>
  <c r="H106" i="6"/>
  <c r="O106" i="6"/>
  <c r="N106" i="6"/>
  <c r="U106" i="6"/>
  <c r="T106" i="6"/>
  <c r="AA106" i="6"/>
  <c r="Z106" i="6"/>
  <c r="I107" i="6"/>
  <c r="H107" i="6"/>
  <c r="O107" i="6"/>
  <c r="N107" i="6"/>
  <c r="U107" i="6"/>
  <c r="T107" i="6"/>
  <c r="AA107" i="6"/>
  <c r="Z107" i="6"/>
  <c r="I108" i="6"/>
  <c r="H108" i="6"/>
  <c r="O108" i="6"/>
  <c r="N108" i="6"/>
  <c r="U108" i="6"/>
  <c r="T108" i="6"/>
  <c r="AA108" i="6"/>
  <c r="Z108" i="6"/>
  <c r="I109" i="6"/>
  <c r="H109" i="6"/>
  <c r="O109" i="6"/>
  <c r="N109" i="6"/>
  <c r="U109" i="6"/>
  <c r="T109" i="6"/>
  <c r="AA109" i="6"/>
  <c r="Z109" i="6"/>
  <c r="I110" i="6"/>
  <c r="H110" i="6"/>
  <c r="O110" i="6"/>
  <c r="N110" i="6"/>
  <c r="U110" i="6"/>
  <c r="T110" i="6"/>
  <c r="AA110" i="6"/>
  <c r="Z110" i="6"/>
  <c r="O112" i="6"/>
  <c r="N112" i="6"/>
  <c r="U112" i="6"/>
  <c r="T112" i="6"/>
  <c r="AA112" i="6"/>
  <c r="Z112" i="6"/>
  <c r="O113" i="6"/>
  <c r="N113" i="6"/>
  <c r="U113" i="6"/>
  <c r="T113" i="6"/>
  <c r="AA113" i="6"/>
  <c r="Z113" i="6"/>
  <c r="O114" i="6"/>
  <c r="N114" i="6"/>
  <c r="U114" i="6"/>
  <c r="T114" i="6"/>
  <c r="AA114" i="6"/>
  <c r="Z114" i="6"/>
  <c r="O115" i="6"/>
  <c r="N115" i="6"/>
  <c r="U115" i="6"/>
  <c r="T115" i="6"/>
  <c r="AA115" i="6"/>
  <c r="Z115" i="6"/>
  <c r="O116" i="6"/>
  <c r="N116" i="6"/>
  <c r="U116" i="6"/>
  <c r="T116" i="6"/>
  <c r="AA116" i="6"/>
  <c r="Z116" i="6"/>
  <c r="O117" i="6"/>
  <c r="N117" i="6"/>
  <c r="U117" i="6"/>
  <c r="T117" i="6"/>
  <c r="AA117" i="6"/>
  <c r="Z117" i="6"/>
  <c r="O118" i="6"/>
  <c r="N118" i="6"/>
  <c r="U118" i="6"/>
  <c r="T118" i="6"/>
  <c r="AA118" i="6"/>
  <c r="Z118" i="6"/>
  <c r="O119" i="6"/>
  <c r="N119" i="6"/>
  <c r="U119" i="6"/>
  <c r="T119" i="6"/>
  <c r="AA119" i="6"/>
  <c r="Z119" i="6"/>
  <c r="O120" i="6"/>
  <c r="N120" i="6"/>
  <c r="U120" i="6"/>
  <c r="T120" i="6"/>
  <c r="AA120" i="6"/>
  <c r="Z120" i="6"/>
  <c r="O121" i="6"/>
  <c r="N121" i="6"/>
  <c r="U121" i="6"/>
  <c r="T121" i="6"/>
  <c r="AA121" i="6"/>
  <c r="Z121" i="6"/>
  <c r="O122" i="6"/>
  <c r="N122" i="6"/>
  <c r="U122" i="6"/>
  <c r="T122" i="6"/>
  <c r="AA122" i="6"/>
  <c r="Z122" i="6"/>
  <c r="O123" i="6"/>
  <c r="N123" i="6"/>
  <c r="U123" i="6"/>
  <c r="T123" i="6"/>
  <c r="AA123" i="6"/>
  <c r="Z123" i="6"/>
  <c r="O124" i="6"/>
  <c r="N124" i="6"/>
  <c r="U124" i="6"/>
  <c r="T124" i="6"/>
  <c r="AA124" i="6"/>
  <c r="Z124" i="6"/>
  <c r="O125" i="6"/>
  <c r="N125" i="6"/>
  <c r="U125" i="6"/>
  <c r="T125" i="6"/>
  <c r="AA125" i="6"/>
  <c r="Z125" i="6"/>
  <c r="O126" i="6"/>
  <c r="N126" i="6"/>
  <c r="U126" i="6"/>
  <c r="T126" i="6"/>
  <c r="AA126" i="6"/>
  <c r="Z126" i="6"/>
  <c r="O127" i="6"/>
  <c r="N127" i="6"/>
  <c r="AA127" i="6"/>
  <c r="Z127" i="6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<sst xmlns="http://schemas.openxmlformats.org/spreadsheetml/2006/main" count="699" uniqueCount="92">
  <si>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</si>
  <si>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</si>
  <si>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</si>
  <si>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</si>
  <si>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</si>
  <si>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</si>
  <si>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</si>
  <si>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</si>
  <si>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</si>
  <si>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</si>
  <si>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</si>
  <si>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</si>
  <si>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</si>
  <si>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</si>
  <si>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</si>
  <si>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</si>
  <si>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</si>
  <si>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</si>
  <si>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</si>
  <si>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</si>
  <si>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</si>
  <si>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</si>
  <si>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</si>
  <si>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</si>
  <si>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</si>
  <si>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</si>
  <si>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</si>
  <si>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</si>
  <si>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</si>
  <si>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</si>
  <si>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</si>
  <si>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</si>
  <si>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</si>
  <si>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</si>
  <si>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</si>
  <si>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</si>
  <si>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</si>
  <si>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</si>
  <si>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</si>
  <si>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</si>
  <si>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</si>
  <si>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</si>
  <si>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</si>
  <si>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</si>
  <si>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</si>
  <si>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</si>
  <si>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</si>
  <si>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</si>
  <si>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</si>
  <si>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</si>
  <si>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</si>
  <si>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</si>
  <si>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</si>
  <si>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</si>
  <si>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</si>
  <si>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</si>
  <si>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</si>
  <si>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</si>
  <si>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</si>
  <si>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</si>
  <si>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</si>
  <si>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</si>
  <si>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>SDO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</si>
  <si>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</si>
  <si>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</si>
  <si>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</si>
  <si>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</si>
  <si>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</si>
  <si>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</si>
  <si>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</si>
  <si>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</si>
  <si>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</si>
  <si>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</si>
  <si>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</si>
  <si>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</si>
  <si>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</si>
  <si>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</si>
  <si>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</si>
  <si>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</si>
  <si>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</si>
  <si>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</si>
  <si>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</si>
  <si>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</si>
  <si>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</si>
  <si>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</si>
  <si>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</si>
  <si>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</si>
  <si>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RO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</si>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</sst>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12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122" headerRowBorderDxfId="120" tableBorderDxfId="12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143BCC8-793C-45AD-8EC6-29852A93B5E3}" name="Table15" displayName="Table15" ref="A2:AA127" totalsRowShown="0" dataDxfId="119" headerRowBorderDxfId="117" tableBorderDxfId="118">
  <autoFilter ref="A2:AA127" xr:uid="{D7C37D80-F2E1-4395-8B6C-0FD477B4D8F8}"/>
  <tableColumns count="27">
    <tableColumn id="1" xr3:uid="{8AB1EF48-3D81-49FC-BA11-D114FD4A92EB}" name="Grade Level" dataDxfId="116"/>
    <tableColumn id="2" xr3:uid="{6B19A230-B3BB-4F0F-AF20-9CDB64D796C2}" name="SUBJECTS" dataDxfId="115"/>
    <tableColumn id="3" xr3:uid="{B62CF30F-A263-492A-96E8-1C9F50DA5B3A}" name="Enrolment S.Y. 2025-2026 " dataDxfId="114"/>
    <tableColumn id="4" xr3:uid="{44C4FC47-9BC7-4FC9-9492-1045407F9260}" name="Quantity based on Target LAS - Q1 " dataDxfId="113">
      <calculatedColumnFormula>Table15[[#This Row],[Enrolment S.Y. 2025-2026 ]]*8</calculatedColumnFormula>
    </tableColumn>
    <tableColumn id="5" xr3:uid="{927FAF51-0EEE-4D8C-8835-ACFF10509B43}" name="Quantity of Learning Activity Sheets Received (Quantity received x No. of LAS) - Q1" dataDxfId="112"/>
    <tableColumn id="6" xr3:uid="{8BB1CE31-31EF-4BA6-9B00-1B03448F2156}" name="Year of Delivery-LAS - Q1" dataDxfId="111"/>
    <tableColumn id="7" xr3:uid="{856552BC-0E71-4DCF-A547-99F6F29DB382}" name="SOURCE - LAS (CO,RO, SDO) - Q1" dataDxfId="110"/>
    <tableColumn id="8" xr3:uid="{5A71B598-3981-45E7-B024-8DE658EB1623}" name="GAP - LAS - Q1" dataDxfId="109">
      <calculatedColumnFormula>IF((D3-E3)&lt;0,0,(D3-E3))</calculatedColumnFormula>
    </tableColumn>
    <tableColumn id="9" xr3:uid="{4B60C216-DD2F-428B-886C-63DAA38060F9}" name="SURPLUS - LAS - Q1" dataDxfId="108">
      <calculatedColumnFormula>IF((E3-D3)&lt;0,0,(E3-D3))</calculatedColumnFormula>
    </tableColumn>
    <tableColumn id="10" xr3:uid="{6E6F2BAA-4A35-4967-BF2C-4AFC4CFF7A2F}" name="Quantity based on Target LAS - Q2" dataDxfId="107">
      <calculatedColumnFormula>Table15[[#This Row],[Enrolment S.Y. 2025-2026 ]]*8</calculatedColumnFormula>
    </tableColumn>
    <tableColumn id="11" xr3:uid="{E146867F-AF82-488B-8BE7-785DA225F363}" name="Quantity of Learning Activity Sheets Received (Quantity received x No. of LAS) Q2" dataDxfId="106"/>
    <tableColumn id="12" xr3:uid="{E7CCC451-03D6-4187-B94F-18B3B3F5CB91}" name="Year of Delivery-LAS Q2" dataDxfId="105"/>
    <tableColumn id="13" xr3:uid="{B4FFFD53-A374-495B-8B60-93543A831BD8}" name="SOURCE-LAS (CO,RO, SDO) Q2" dataDxfId="104"/>
    <tableColumn id="14" xr3:uid="{FA0D72EE-B2DD-402E-A4B8-FE07566FBF4C}" name="GAP - LAS -Q2" dataDxfId="103"/>
    <tableColumn id="15" xr3:uid="{1714F14E-CC72-4632-85A7-3D2471A3148D}" name="SURPLUS - LAS -Q2" dataDxfId="102"/>
    <tableColumn id="16" xr3:uid="{846B8D6A-61F9-4CBD-9C67-571B363805F9}" name="Quantity based on Target LAS - Q3" dataDxfId="101">
      <calculatedColumnFormula>#REF!*8</calculatedColumnFormula>
    </tableColumn>
    <tableColumn id="17" xr3:uid="{AA3FC2DD-A72E-4A50-955A-4EEF16371EF6}" name="Quantity of Learning Activity Sheets Received (Quantity received x No. of LAS) - Q3" dataDxfId="100"/>
    <tableColumn id="18" xr3:uid="{035B513C-29ED-4F51-859C-4E24664F0065}" name="Year of Delivery-LAS - Q3" dataDxfId="99"/>
    <tableColumn id="19" xr3:uid="{E202E1D1-B86A-4331-837A-A3499BA074F8}" name="SOURCE-LAS (CO,RO, SDO) - Q3" dataDxfId="98"/>
    <tableColumn id="20" xr3:uid="{A52A29FB-D5D5-4040-80BE-6FE73C7A74A3}" name="GAP - LAS - Q3" dataDxfId="97">
      <calculatedColumnFormula>IF((P3-Q3)&lt;0,0,(P3-Q3))</calculatedColumnFormula>
    </tableColumn>
    <tableColumn id="21" xr3:uid="{BE48DB28-EB3E-4EF7-97BB-98A7661C42E6}" name="SURPLUS - LAS - Q3" dataDxfId="96">
      <calculatedColumnFormula>IF((Q3-P3)&lt;0,0,(Q3-P3))</calculatedColumnFormula>
    </tableColumn>
    <tableColumn id="22" xr3:uid="{090D9EDB-3995-44EF-A1EC-8742F69B9E93}" name="Quantity based on Target LAS - Q4" dataDxfId="95">
      <calculatedColumnFormula>Table15[[#This Row],[Enrolment S.Y. 2025-2026 ]]*8</calculatedColumnFormula>
    </tableColumn>
    <tableColumn id="23" xr3:uid="{84BF0FDE-F911-45B7-8F8A-1AFE2DDE4BDC}" name="Quantity of Learning Activity Sheets Received (Quantity received x No. of LAS)- Q4" dataDxfId="94"/>
    <tableColumn id="24" xr3:uid="{FD0458B3-7911-48DE-BB26-162B296F2168}" name="Year of Delivery - LAS - Q4" dataDxfId="93"/>
    <tableColumn id="25" xr3:uid="{74BD5099-8545-4813-89B9-6159387E2C57}" name="SOURCE - LAS (CO,RO, SDO) - Q4" dataDxfId="92"/>
    <tableColumn id="26" xr3:uid="{E6ADDE26-D7E4-419F-B0EE-9D1C32119667}" name="GAP - LAS - Q4" dataDxfId="91">
      <calculatedColumnFormula>IF((V3-W3)&lt;0,0,(V3-W3))</calculatedColumnFormula>
    </tableColumn>
    <tableColumn id="27" xr3:uid="{C99DE9AE-FF67-4134-91DA-0454A7243FB1}" name="SURPLUS - LAS - Q4" dataDxfId="9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0D548E2-E151-4ACF-942F-C0D04C6947AA}" name="Table16" displayName="Table16" ref="A2:AA127" totalsRowShown="0" dataDxfId="89" headerRowBorderDxfId="87" tableBorderDxfId="88">
  <autoFilter ref="A2:AA127" xr:uid="{D7C37D80-F2E1-4395-8B6C-0FD477B4D8F8}"/>
  <tableColumns count="27">
    <tableColumn id="1" xr3:uid="{0812A98D-AEFE-4D13-9080-4515611710D4}" name="Grade Level" dataDxfId="86"/>
    <tableColumn id="2" xr3:uid="{0867271E-F74D-4023-9B66-D5CA57E254A7}" name="SUBJECTS" dataDxfId="85"/>
    <tableColumn id="3" xr3:uid="{D0675C59-D18E-4D13-BB9D-F255673B64CB}" name="Enrolment S.Y. 2025-2026 " dataDxfId="84"/>
    <tableColumn id="4" xr3:uid="{E792F941-0763-4724-B685-BBFA525916A4}" name="Quantity based on Target LAS - Q1 " dataDxfId="83">
      <calculatedColumnFormula>Table16[[#This Row],[Enrolment S.Y. 2025-2026 ]]*8</calculatedColumnFormula>
    </tableColumn>
    <tableColumn id="5" xr3:uid="{F7644F1C-1606-41A9-8970-316A8B96D2D0}" name="Quantity of Learning Activity Sheets Received (Quantity received x No. of LAS) - Q1" dataDxfId="82"/>
    <tableColumn id="6" xr3:uid="{6C714B8F-8E99-4861-A268-90C2B81D0FAC}" name="Year of Delivery-LAS - Q1" dataDxfId="81"/>
    <tableColumn id="7" xr3:uid="{2D7BD27C-36E2-4E33-BF03-024B2067021A}" name="SOURCE - LAS (CO,RO, SDO) - Q1" dataDxfId="80"/>
    <tableColumn id="8" xr3:uid="{54726FF5-7BEB-48EB-9A71-7A511C534B52}" name="GAP - LAS - Q1" dataDxfId="79">
      <calculatedColumnFormula>IF((D3-E3)&lt;0,0,(D3-E3))</calculatedColumnFormula>
    </tableColumn>
    <tableColumn id="9" xr3:uid="{37012C7B-C2CF-49F2-99EC-D70CA88A4275}" name="SURPLUS - LAS - Q1" dataDxfId="78">
      <calculatedColumnFormula>IF((E3-D3)&lt;0,0,(E3-D3))</calculatedColumnFormula>
    </tableColumn>
    <tableColumn id="10" xr3:uid="{9831C478-85D7-42E5-9D89-EBE41E1360FD}" name="Quantity based on Target LAS - Q2" dataDxfId="77">
      <calculatedColumnFormula>Table16[[#This Row],[Enrolment S.Y. 2025-2026 ]]*8</calculatedColumnFormula>
    </tableColumn>
    <tableColumn id="11" xr3:uid="{6116C1A9-F240-44AE-B280-553E0CF924FB}" name="Quantity of Learning Activity Sheets Received (Quantity received x No. of LAS) Q2" dataDxfId="76"/>
    <tableColumn id="12" xr3:uid="{7016D058-D0E5-4DB9-AE97-FF95D82B7857}" name="Year of Delivery-LAS Q2" dataDxfId="75"/>
    <tableColumn id="13" xr3:uid="{EB90E920-AB5B-453E-882E-23EFCB19332D}" name="SOURCE-LAS (CO,RO, SDO) Q2" dataDxfId="74"/>
    <tableColumn id="14" xr3:uid="{BDAC4B38-208B-4E60-BBAC-BCE007D54D22}" name="GAP - LAS -Q2" dataDxfId="73"/>
    <tableColumn id="15" xr3:uid="{AB243F91-1F50-4772-9DF1-55337567E14E}" name="SURPLUS - LAS -Q2" dataDxfId="72"/>
    <tableColumn id="16" xr3:uid="{87A935D5-4F56-42AE-A0DA-8B0C36AA7709}" name="Quantity based on Target LAS - Q3" dataDxfId="71">
      <calculatedColumnFormula>#REF!*8</calculatedColumnFormula>
    </tableColumn>
    <tableColumn id="17" xr3:uid="{ACCBBE30-23C1-4CCE-A1B9-E063A413206A}" name="Quantity of Learning Activity Sheets Received (Quantity received x No. of LAS) - Q3" dataDxfId="70"/>
    <tableColumn id="18" xr3:uid="{480B508A-4616-431B-81B5-F2B458CD318C}" name="Year of Delivery-LAS - Q3" dataDxfId="69"/>
    <tableColumn id="19" xr3:uid="{018D0373-F318-4E39-8453-98E3F99FB10D}" name="SOURCE-LAS (CO,RO, SDO) - Q3" dataDxfId="68"/>
    <tableColumn id="20" xr3:uid="{0CA6B958-5B87-4933-8DD3-83520B9E4BBF}" name="GAP - LAS - Q3" dataDxfId="67">
      <calculatedColumnFormula>IF((P3-Q3)&lt;0,0,(P3-Q3))</calculatedColumnFormula>
    </tableColumn>
    <tableColumn id="21" xr3:uid="{9FDBA896-02BA-4010-880F-DE6B6AA7B9C3}" name="SURPLUS - LAS - Q3" dataDxfId="66">
      <calculatedColumnFormula>IF((Q3-P3)&lt;0,0,(Q3-P3))</calculatedColumnFormula>
    </tableColumn>
    <tableColumn id="22" xr3:uid="{3A8CF01E-1C86-47C4-824C-E5071AA3087B}" name="Quantity based on Target LAS - Q4" dataDxfId="65">
      <calculatedColumnFormula>Table16[[#This Row],[Enrolment S.Y. 2025-2026 ]]*8</calculatedColumnFormula>
    </tableColumn>
    <tableColumn id="23" xr3:uid="{E3C4C31D-A927-444B-9B5B-82013D4BA632}" name="Quantity of Learning Activity Sheets Received (Quantity received x No. of LAS)- Q4" dataDxfId="64"/>
    <tableColumn id="24" xr3:uid="{23706916-C9E1-4A00-96B1-C4A383CEC3B2}" name="Year of Delivery - LAS - Q4" dataDxfId="63"/>
    <tableColumn id="25" xr3:uid="{E4B031EB-EB4C-48C0-BBFE-7EC8A4984443}" name="SOURCE - LAS (CO,RO, SDO) - Q4" dataDxfId="62"/>
    <tableColumn id="26" xr3:uid="{071CF0C6-7032-4EBD-97F8-72467E07472D}" name="GAP - LAS - Q4" dataDxfId="61">
      <calculatedColumnFormula>IF((V3-W3)&lt;0,0,(V3-W3))</calculatedColumnFormula>
    </tableColumn>
    <tableColumn id="27" xr3:uid="{3A660127-EF37-4A77-A2BC-B45172C023AE}" name="SURPLUS - LAS - Q4" dataDxfId="6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48" activePane="topRight" state="frozen"/>
      <selection pane="topRight" activeCell="C51" sqref="C51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226</v>
      </c>
      <c r="D2" s="1"/>
      <c r="E2" s="1"/>
      <c r="F2" s="5"/>
      <c r="G2" s="3">
        <f>IF((C2-D2)&lt;0,0,C2-D2)</f>
        <v>226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>
        <v>226</v>
      </c>
      <c r="D3" s="1"/>
      <c r="E3" s="1"/>
      <c r="F3" s="5"/>
      <c r="G3" s="3">
        <f>IF((C3-D3)&lt;0,0,C3-D3)</f>
        <v>226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>
        <v>226</v>
      </c>
      <c r="D4" s="1"/>
      <c r="E4" s="1"/>
      <c r="F4" s="5"/>
      <c r="G4" s="3">
        <f>IF((C4-D4)&lt;0,0,C4-D4)</f>
        <v>226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>
        <v>226</v>
      </c>
      <c r="D5" s="1"/>
      <c r="E5" s="1"/>
      <c r="F5" s="5"/>
      <c r="G5" s="3">
        <f t="shared" ref="G5:G6" si="0">IF((C5-D5)&lt;0,0,C5-D5)</f>
        <v>226</v>
      </c>
      <c r="H5" s="4">
        <f t="shared" ref="H5:H6" si="1">IF((D5-C5)&lt;0,0,D5-C5)</f>
        <v>0</v>
      </c>
    </row>
    <row r="6" spans="1:8" ht="19.5">
      <c r="A6" s="1">
        <v>1</v>
      </c>
      <c r="B6" s="2" t="s">
        <v>12</v>
      </c>
      <c r="C6" s="1">
        <v>226</v>
      </c>
      <c r="D6" s="1"/>
      <c r="E6" s="1"/>
      <c r="F6" s="5"/>
      <c r="G6" s="3">
        <f t="shared" si="0"/>
        <v>226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266</v>
      </c>
      <c r="D8" s="1"/>
      <c r="E8" s="1"/>
      <c r="F8" s="5"/>
      <c r="G8" s="3">
        <f>IF((C8-D8)&lt;0,0,C8-D8)</f>
        <v>266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>
        <v>266</v>
      </c>
      <c r="D9" s="1"/>
      <c r="E9" s="1"/>
      <c r="F9" s="5"/>
      <c r="G9" s="3">
        <f>IF((C9-D9)&lt;0,0,C9-D9)</f>
        <v>266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>
        <v>266</v>
      </c>
      <c r="D10" s="1"/>
      <c r="E10" s="1"/>
      <c r="F10" s="5"/>
      <c r="G10" s="3">
        <f>IF((C10-D10)&lt;0,0,C10-D10)</f>
        <v>266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>
        <v>266</v>
      </c>
      <c r="D11" s="1"/>
      <c r="E11" s="1"/>
      <c r="F11" s="5"/>
      <c r="G11" s="3">
        <f>IF((C11-D11)&lt;0,0,C11-D11)</f>
        <v>266</v>
      </c>
      <c r="H11" s="4">
        <f>IF((D11-C11)&lt;0,0,D11-C11)</f>
        <v>0</v>
      </c>
    </row>
    <row r="12" spans="1:8" ht="19.5">
      <c r="A12" s="1">
        <v>2</v>
      </c>
      <c r="B12" s="2" t="s">
        <v>12</v>
      </c>
      <c r="C12" s="1">
        <v>266</v>
      </c>
      <c r="D12" s="1"/>
      <c r="E12" s="1"/>
      <c r="F12" s="5"/>
      <c r="G12" s="3">
        <f>IF((C12-D12)&lt;0,0,C12-D12)</f>
        <v>266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293</v>
      </c>
      <c r="D14" s="1"/>
      <c r="E14" s="1"/>
      <c r="F14" s="5"/>
      <c r="G14" s="3">
        <f t="shared" ref="G14:G19" si="2">IF((C14-D14)&lt;0,0,C14-D14)</f>
        <v>293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>
        <v>293</v>
      </c>
      <c r="D15" s="1"/>
      <c r="E15" s="1"/>
      <c r="F15" s="5"/>
      <c r="G15" s="3">
        <f t="shared" si="2"/>
        <v>293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>
        <v>293</v>
      </c>
      <c r="D16" s="1"/>
      <c r="E16" s="1"/>
      <c r="F16" s="5"/>
      <c r="G16" s="3">
        <f t="shared" si="2"/>
        <v>293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>
        <v>293</v>
      </c>
      <c r="D17" s="1"/>
      <c r="E17" s="1"/>
      <c r="F17" s="5"/>
      <c r="G17" s="3">
        <f t="shared" si="2"/>
        <v>293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>
        <v>293</v>
      </c>
      <c r="D18" s="1"/>
      <c r="E18" s="1"/>
      <c r="F18" s="5"/>
      <c r="G18" s="3">
        <f t="shared" si="2"/>
        <v>293</v>
      </c>
      <c r="H18" s="4">
        <f t="shared" si="3"/>
        <v>0</v>
      </c>
    </row>
    <row r="19" spans="1:8" ht="19.5">
      <c r="A19" s="1">
        <v>3</v>
      </c>
      <c r="B19" s="2" t="s">
        <v>12</v>
      </c>
      <c r="C19" s="1">
        <v>293</v>
      </c>
      <c r="D19" s="1"/>
      <c r="E19" s="1"/>
      <c r="F19" s="5"/>
      <c r="G19" s="3">
        <f t="shared" si="2"/>
        <v>293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>
        <v>309</v>
      </c>
      <c r="D21" s="1"/>
      <c r="E21" s="1"/>
      <c r="F21" s="5"/>
      <c r="G21" s="3">
        <f t="shared" ref="G21:G29" si="4">IF((C21-D21)&lt;0,0,C21-D21)</f>
        <v>309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>
        <v>309</v>
      </c>
      <c r="D22" s="1"/>
      <c r="E22" s="1"/>
      <c r="F22" s="5"/>
      <c r="G22" s="3">
        <f t="shared" si="4"/>
        <v>309</v>
      </c>
      <c r="H22" s="4">
        <f t="shared" si="5"/>
        <v>0</v>
      </c>
    </row>
    <row r="23" spans="1:8" ht="19.5">
      <c r="A23" s="1">
        <v>4</v>
      </c>
      <c r="B23" s="9" t="s">
        <v>12</v>
      </c>
      <c r="C23" s="1">
        <v>309</v>
      </c>
      <c r="D23" s="1"/>
      <c r="E23" s="1"/>
      <c r="F23" s="5"/>
      <c r="G23" s="3">
        <f t="shared" si="4"/>
        <v>309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>
        <v>309</v>
      </c>
      <c r="D24" s="1"/>
      <c r="E24" s="1"/>
      <c r="F24" s="5"/>
      <c r="G24" s="3">
        <f t="shared" si="4"/>
        <v>309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>
        <v>309</v>
      </c>
      <c r="D25" s="1"/>
      <c r="E25" s="1"/>
      <c r="F25" s="5"/>
      <c r="G25" s="3">
        <f t="shared" si="4"/>
        <v>309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>
        <v>309</v>
      </c>
      <c r="D26" s="1"/>
      <c r="E26" s="1"/>
      <c r="F26" s="5"/>
      <c r="G26" s="3">
        <f t="shared" si="4"/>
        <v>309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>
        <v>309</v>
      </c>
      <c r="D27" s="1"/>
      <c r="E27" s="1"/>
      <c r="F27" s="5"/>
      <c r="G27" s="3">
        <f t="shared" si="4"/>
        <v>309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>
        <v>309</v>
      </c>
      <c r="D28" s="1"/>
      <c r="E28" s="1"/>
      <c r="F28" s="5"/>
      <c r="G28" s="3">
        <f t="shared" si="4"/>
        <v>309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>
        <v>309</v>
      </c>
      <c r="D29" s="1"/>
      <c r="E29" s="1"/>
      <c r="F29" s="5"/>
      <c r="G29" s="3">
        <f t="shared" si="4"/>
        <v>309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>
        <v>285</v>
      </c>
      <c r="D31" s="1"/>
      <c r="E31" s="1"/>
      <c r="F31" s="5"/>
      <c r="G31" s="3">
        <f t="shared" ref="G31:G39" si="6">IF((C31-D31)&lt;0,0,C31-D31)</f>
        <v>285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>
        <v>285</v>
      </c>
      <c r="D32" s="1"/>
      <c r="E32" s="1"/>
      <c r="F32" s="5"/>
      <c r="G32" s="3">
        <f t="shared" si="6"/>
        <v>285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>
        <v>285</v>
      </c>
      <c r="D33" s="1"/>
      <c r="E33" s="1"/>
      <c r="F33" s="5"/>
      <c r="G33" s="3">
        <f t="shared" si="6"/>
        <v>285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>
        <v>285</v>
      </c>
      <c r="D34" s="1"/>
      <c r="E34" s="1"/>
      <c r="F34" s="5"/>
      <c r="G34" s="3">
        <f t="shared" si="6"/>
        <v>285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>
        <v>285</v>
      </c>
      <c r="D35" s="1"/>
      <c r="E35" s="1"/>
      <c r="F35" s="5"/>
      <c r="G35" s="3">
        <f t="shared" si="6"/>
        <v>285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>
        <v>285</v>
      </c>
      <c r="D36" s="1"/>
      <c r="E36" s="1"/>
      <c r="F36" s="5"/>
      <c r="G36" s="3">
        <f t="shared" si="6"/>
        <v>285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>
        <v>285</v>
      </c>
      <c r="D37" s="1"/>
      <c r="E37" s="1"/>
      <c r="F37" s="5"/>
      <c r="G37" s="3">
        <f t="shared" si="6"/>
        <v>285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>
        <v>285</v>
      </c>
      <c r="D38" s="1"/>
      <c r="E38" s="1"/>
      <c r="F38" s="5"/>
      <c r="G38" s="3">
        <f t="shared" si="6"/>
        <v>285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>
        <v>285</v>
      </c>
      <c r="D39" s="1"/>
      <c r="E39" s="1"/>
      <c r="F39" s="5"/>
      <c r="G39" s="3">
        <f t="shared" si="6"/>
        <v>285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>
        <v>252</v>
      </c>
      <c r="D41" s="1"/>
      <c r="E41" s="1"/>
      <c r="F41" s="5"/>
      <c r="G41" s="3">
        <f t="shared" ref="G41:G49" si="8">IF((C41-D41)&lt;0,0,C41-D41)</f>
        <v>252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>
        <v>252</v>
      </c>
      <c r="D42" s="1"/>
      <c r="E42" s="1"/>
      <c r="F42" s="5"/>
      <c r="G42" s="3">
        <f t="shared" si="8"/>
        <v>252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>
        <v>252</v>
      </c>
      <c r="D43" s="1"/>
      <c r="E43" s="1"/>
      <c r="F43" s="5"/>
      <c r="G43" s="3">
        <f t="shared" si="8"/>
        <v>252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>
        <v>252</v>
      </c>
      <c r="D44" s="1"/>
      <c r="E44" s="1"/>
      <c r="F44" s="5"/>
      <c r="G44" s="3">
        <f t="shared" si="8"/>
        <v>252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>
        <v>252</v>
      </c>
      <c r="D45" s="1"/>
      <c r="E45" s="1"/>
      <c r="F45" s="5"/>
      <c r="G45" s="3">
        <f t="shared" si="8"/>
        <v>252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>
        <v>252</v>
      </c>
      <c r="D46" s="1"/>
      <c r="E46" s="1"/>
      <c r="F46" s="5"/>
      <c r="G46" s="3">
        <f t="shared" si="8"/>
        <v>252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>
        <v>252</v>
      </c>
      <c r="D47" s="1"/>
      <c r="E47" s="1"/>
      <c r="F47" s="5"/>
      <c r="G47" s="3">
        <f t="shared" si="8"/>
        <v>252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>
        <v>252</v>
      </c>
      <c r="D48" s="1"/>
      <c r="E48" s="1"/>
      <c r="F48" s="5"/>
      <c r="G48" s="3">
        <f t="shared" si="8"/>
        <v>252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>
        <v>252</v>
      </c>
      <c r="D49" s="1"/>
      <c r="E49" s="1"/>
      <c r="F49" s="5"/>
      <c r="G49" s="3">
        <f t="shared" si="8"/>
        <v>252</v>
      </c>
      <c r="H49" s="4">
        <f t="shared" si="9"/>
        <v>0</v>
      </c>
    </row>
    <row r="50" spans="1:8" ht="27.75" customHeight="1">
      <c r="A50" s="7"/>
      <c r="B50" s="7"/>
      <c r="C50" s="8">
        <f>C2+C8+C14+C21+C31+C41</f>
        <v>1631</v>
      </c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6C15A-E72A-45FE-BAF3-7BC73FAE721D}">
  <dimension ref="A1:AA157"/>
  <sheetViews>
    <sheetView tabSelected="1" topLeftCell="M50" zoomScale="70" zoomScaleNormal="70" workbookViewId="0">
      <selection activeCell="Q63" sqref="Q63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0" t="s">
        <v>45</v>
      </c>
      <c r="N2" s="40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1" t="s">
        <v>57</v>
      </c>
      <c r="Z2" s="41" t="s">
        <v>58</v>
      </c>
      <c r="AA2" s="26" t="s">
        <v>59</v>
      </c>
    </row>
    <row r="3" spans="1:27" ht="30.6" customHeight="1">
      <c r="A3" s="39" t="s">
        <v>60</v>
      </c>
      <c r="B3" s="33"/>
      <c r="C3" s="32">
        <v>273</v>
      </c>
      <c r="D3" s="34">
        <f>Table15[[#This Row],[Enrolment S.Y. 2025-2026 ]]*8</f>
        <v>2184</v>
      </c>
      <c r="E3" s="34"/>
      <c r="F3" s="32"/>
      <c r="G3" s="34"/>
      <c r="H3" s="34">
        <f>IF((D3-E3)&lt;0,0,(D3-E3))</f>
        <v>2184</v>
      </c>
      <c r="I3" s="34">
        <f>IF((E3-D3)&lt;0,0,(E3-D3))</f>
        <v>0</v>
      </c>
      <c r="J3" s="34">
        <f>Table15[[#This Row],[Enrolment S.Y. 2025-2026 ]]*8</f>
        <v>2184</v>
      </c>
      <c r="K3" s="34"/>
      <c r="L3" s="32"/>
      <c r="M3" s="34"/>
      <c r="N3" s="5">
        <f t="shared" ref="N3" si="0">IF((J3-K3)&lt;0,0,(J3-K3))</f>
        <v>2184</v>
      </c>
      <c r="O3" s="5">
        <f t="shared" ref="O3" si="1">IF((K3-J3)&lt;0,0,(K3-J3))</f>
        <v>0</v>
      </c>
      <c r="P3" s="5">
        <f>Table15[[#This Row],[Enrolment S.Y. 2025-2026 ]]*8</f>
        <v>2184</v>
      </c>
      <c r="Q3" s="34"/>
      <c r="R3" s="32"/>
      <c r="S3" s="34"/>
      <c r="T3" s="34">
        <f>IF((P3-Q3)&lt;0,0,(P3-Q3))</f>
        <v>2184</v>
      </c>
      <c r="U3" s="34">
        <f>IF((Q3-P3)&lt;0,0,(Q3-P3))</f>
        <v>0</v>
      </c>
      <c r="V3" s="34">
        <f>Table15[[#This Row],[Enrolment S.Y. 2025-2026 ]]*8</f>
        <v>2184</v>
      </c>
      <c r="W3" s="34"/>
      <c r="X3" s="32"/>
      <c r="Y3" s="34"/>
      <c r="Z3" s="34">
        <f>IF((V3-W3)&lt;0,0,(V3-W3))</f>
        <v>2184</v>
      </c>
      <c r="AA3" s="34">
        <f>IF((W3-V3)&lt;0,0,(W3-V3))</f>
        <v>0</v>
      </c>
    </row>
    <row r="4" spans="1:27" s="7" customFormat="1" ht="19.5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226</v>
      </c>
      <c r="D5" s="5">
        <f>Table15[[#This Row],[Enrolment S.Y. 2025-2026 ]]*8</f>
        <v>1808</v>
      </c>
      <c r="E5" s="5"/>
      <c r="F5" s="1"/>
      <c r="G5" s="5"/>
      <c r="H5" s="5">
        <f t="shared" ref="H5:H77" si="2">IF((D5-E5)&lt;0,0,(D5-E5))</f>
        <v>1808</v>
      </c>
      <c r="I5" s="5">
        <f t="shared" ref="I5:I77" si="3">IF((E5-D5)&lt;0,0,(E5-D5))</f>
        <v>0</v>
      </c>
      <c r="J5" s="5">
        <f>Table15[[#This Row],[Enrolment S.Y. 2025-2026 ]]*8</f>
        <v>1808</v>
      </c>
      <c r="K5" s="5"/>
      <c r="L5" s="1"/>
      <c r="M5" s="5"/>
      <c r="N5" s="5">
        <f t="shared" ref="N5:N68" si="4">IF((J5-K5)&lt;0,0,(J5-K5))</f>
        <v>1808</v>
      </c>
      <c r="O5" s="5">
        <f t="shared" ref="O5:O68" si="5">IF((K5-J5)&lt;0,0,(K5-J5))</f>
        <v>0</v>
      </c>
      <c r="P5" s="5">
        <f>Table15[[#This Row],[Enrolment S.Y. 2025-2026 ]]*8</f>
        <v>1808</v>
      </c>
      <c r="Q5" s="5"/>
      <c r="R5" s="1"/>
      <c r="S5" s="5"/>
      <c r="T5" s="5">
        <f t="shared" ref="T5:T68" si="6">IF((P5-Q5)&lt;0,0,(P5-Q5))</f>
        <v>1808</v>
      </c>
      <c r="U5" s="5">
        <f t="shared" ref="U5:U68" si="7">IF((Q5-P5)&lt;0,0,(Q5-P5))</f>
        <v>0</v>
      </c>
      <c r="V5" s="5">
        <f>Table15[[#This Row],[Enrolment S.Y. 2025-2026 ]]*8</f>
        <v>1808</v>
      </c>
      <c r="W5" s="5"/>
      <c r="X5" s="1"/>
      <c r="Y5" s="5"/>
      <c r="Z5" s="5">
        <f t="shared" ref="Z5:Z68" si="8">IF((V5-W5)&lt;0,0,(V5-W5))</f>
        <v>1808</v>
      </c>
      <c r="AA5" s="5">
        <f t="shared" ref="AA5:AA68" si="9">IF((W5-V5)&lt;0,0,(W5-V5))</f>
        <v>0</v>
      </c>
    </row>
    <row r="6" spans="1:27" ht="19.5">
      <c r="A6" s="1">
        <v>1</v>
      </c>
      <c r="B6" s="2" t="s">
        <v>9</v>
      </c>
      <c r="C6" s="1">
        <v>226</v>
      </c>
      <c r="D6" s="5">
        <f>Table15[[#This Row],[Enrolment S.Y. 2025-2026 ]]*8</f>
        <v>1808</v>
      </c>
      <c r="E6" s="5"/>
      <c r="F6" s="1"/>
      <c r="G6" s="5"/>
      <c r="H6" s="5">
        <f t="shared" si="2"/>
        <v>1808</v>
      </c>
      <c r="I6" s="5">
        <f t="shared" si="3"/>
        <v>0</v>
      </c>
      <c r="J6" s="5">
        <f>Table15[[#This Row],[Enrolment S.Y. 2025-2026 ]]*8</f>
        <v>1808</v>
      </c>
      <c r="K6" s="5"/>
      <c r="L6" s="1"/>
      <c r="M6" s="5"/>
      <c r="N6" s="5">
        <f t="shared" si="4"/>
        <v>1808</v>
      </c>
      <c r="O6" s="5">
        <f t="shared" si="5"/>
        <v>0</v>
      </c>
      <c r="P6" s="5">
        <f>Table15[[#This Row],[Enrolment S.Y. 2025-2026 ]]*8</f>
        <v>1808</v>
      </c>
      <c r="Q6" s="5"/>
      <c r="R6" s="1"/>
      <c r="S6" s="5"/>
      <c r="T6" s="5">
        <f t="shared" si="6"/>
        <v>1808</v>
      </c>
      <c r="U6" s="5">
        <f t="shared" si="7"/>
        <v>0</v>
      </c>
      <c r="V6" s="5">
        <f>Table15[[#This Row],[Enrolment S.Y. 2025-2026 ]]*8</f>
        <v>1808</v>
      </c>
      <c r="W6" s="5"/>
      <c r="X6" s="1"/>
      <c r="Y6" s="5"/>
      <c r="Z6" s="5">
        <f t="shared" si="8"/>
        <v>1808</v>
      </c>
      <c r="AA6" s="5">
        <f t="shared" si="9"/>
        <v>0</v>
      </c>
    </row>
    <row r="7" spans="1:27" ht="19.5">
      <c r="A7" s="1">
        <v>1</v>
      </c>
      <c r="B7" s="2" t="s">
        <v>10</v>
      </c>
      <c r="C7" s="1">
        <v>226</v>
      </c>
      <c r="D7" s="5">
        <f>Table15[[#This Row],[Enrolment S.Y. 2025-2026 ]]*8</f>
        <v>1808</v>
      </c>
      <c r="E7" s="5"/>
      <c r="F7" s="1"/>
      <c r="G7" s="5"/>
      <c r="H7" s="5">
        <f t="shared" si="2"/>
        <v>1808</v>
      </c>
      <c r="I7" s="5">
        <f t="shared" si="3"/>
        <v>0</v>
      </c>
      <c r="J7" s="5">
        <f>Table15[[#This Row],[Enrolment S.Y. 2025-2026 ]]*8</f>
        <v>1808</v>
      </c>
      <c r="K7" s="5"/>
      <c r="L7" s="1"/>
      <c r="M7" s="5"/>
      <c r="N7" s="5">
        <f t="shared" si="4"/>
        <v>1808</v>
      </c>
      <c r="O7" s="5">
        <f t="shared" si="5"/>
        <v>0</v>
      </c>
      <c r="P7" s="5">
        <f>Table15[[#This Row],[Enrolment S.Y. 2025-2026 ]]*8</f>
        <v>1808</v>
      </c>
      <c r="Q7" s="5"/>
      <c r="R7" s="1"/>
      <c r="S7" s="5"/>
      <c r="T7" s="5">
        <f t="shared" si="6"/>
        <v>1808</v>
      </c>
      <c r="U7" s="5">
        <f t="shared" si="7"/>
        <v>0</v>
      </c>
      <c r="V7" s="5">
        <f>Table15[[#This Row],[Enrolment S.Y. 2025-2026 ]]*8</f>
        <v>1808</v>
      </c>
      <c r="W7" s="5"/>
      <c r="X7" s="1"/>
      <c r="Y7" s="5"/>
      <c r="Z7" s="5">
        <f t="shared" si="8"/>
        <v>1808</v>
      </c>
      <c r="AA7" s="5">
        <f t="shared" si="9"/>
        <v>0</v>
      </c>
    </row>
    <row r="8" spans="1:27" ht="19.5">
      <c r="A8" s="1">
        <v>1</v>
      </c>
      <c r="B8" s="2" t="s">
        <v>11</v>
      </c>
      <c r="C8" s="1">
        <v>226</v>
      </c>
      <c r="D8" s="5">
        <f>Table15[[#This Row],[Enrolment S.Y. 2025-2026 ]]*8</f>
        <v>1808</v>
      </c>
      <c r="E8" s="5"/>
      <c r="F8" s="1"/>
      <c r="G8" s="5"/>
      <c r="H8" s="5">
        <f t="shared" si="2"/>
        <v>1808</v>
      </c>
      <c r="I8" s="5">
        <f t="shared" si="3"/>
        <v>0</v>
      </c>
      <c r="J8" s="5">
        <f>Table15[[#This Row],[Enrolment S.Y. 2025-2026 ]]*8</f>
        <v>1808</v>
      </c>
      <c r="K8" s="5"/>
      <c r="L8" s="1"/>
      <c r="M8" s="5"/>
      <c r="N8" s="5">
        <f t="shared" si="4"/>
        <v>1808</v>
      </c>
      <c r="O8" s="5">
        <f t="shared" si="5"/>
        <v>0</v>
      </c>
      <c r="P8" s="5">
        <f>Table15[[#This Row],[Enrolment S.Y. 2025-2026 ]]*8</f>
        <v>1808</v>
      </c>
      <c r="Q8" s="5"/>
      <c r="R8" s="1"/>
      <c r="S8" s="5"/>
      <c r="T8" s="5">
        <f t="shared" si="6"/>
        <v>1808</v>
      </c>
      <c r="U8" s="5">
        <f t="shared" si="7"/>
        <v>0</v>
      </c>
      <c r="V8" s="5">
        <f>Table15[[#This Row],[Enrolment S.Y. 2025-2026 ]]*8</f>
        <v>1808</v>
      </c>
      <c r="W8" s="5"/>
      <c r="X8" s="1"/>
      <c r="Y8" s="5"/>
      <c r="Z8" s="5">
        <f t="shared" si="8"/>
        <v>1808</v>
      </c>
      <c r="AA8" s="5">
        <f t="shared" si="9"/>
        <v>0</v>
      </c>
    </row>
    <row r="9" spans="1:27" ht="19.5">
      <c r="A9" s="1">
        <v>1</v>
      </c>
      <c r="B9" s="2" t="s">
        <v>12</v>
      </c>
      <c r="C9" s="1">
        <v>226</v>
      </c>
      <c r="D9" s="5">
        <f>Table15[[#This Row],[Enrolment S.Y. 2025-2026 ]]*8</f>
        <v>1808</v>
      </c>
      <c r="E9" s="5"/>
      <c r="F9" s="1"/>
      <c r="G9" s="5"/>
      <c r="H9" s="5">
        <f t="shared" si="2"/>
        <v>1808</v>
      </c>
      <c r="I9" s="5">
        <f t="shared" si="3"/>
        <v>0</v>
      </c>
      <c r="J9" s="5">
        <f>Table15[[#This Row],[Enrolment S.Y. 2025-2026 ]]*8</f>
        <v>1808</v>
      </c>
      <c r="K9" s="5"/>
      <c r="L9" s="1"/>
      <c r="M9" s="5"/>
      <c r="N9" s="5">
        <f t="shared" si="4"/>
        <v>1808</v>
      </c>
      <c r="O9" s="5">
        <f t="shared" si="5"/>
        <v>0</v>
      </c>
      <c r="P9" s="5">
        <f>Table15[[#This Row],[Enrolment S.Y. 2025-2026 ]]*8</f>
        <v>1808</v>
      </c>
      <c r="Q9" s="5"/>
      <c r="R9" s="1"/>
      <c r="S9" s="5"/>
      <c r="T9" s="5">
        <f t="shared" si="6"/>
        <v>1808</v>
      </c>
      <c r="U9" s="5">
        <f t="shared" si="7"/>
        <v>0</v>
      </c>
      <c r="V9" s="5">
        <f>Table15[[#This Row],[Enrolment S.Y. 2025-2026 ]]*8</f>
        <v>1808</v>
      </c>
      <c r="W9" s="5"/>
      <c r="X9" s="1"/>
      <c r="Y9" s="5"/>
      <c r="Z9" s="5">
        <f t="shared" si="8"/>
        <v>1808</v>
      </c>
      <c r="AA9" s="5">
        <f t="shared" si="9"/>
        <v>0</v>
      </c>
    </row>
    <row r="10" spans="1:27" ht="19.5">
      <c r="A10" s="1">
        <v>1</v>
      </c>
      <c r="B10" s="9" t="s">
        <v>14</v>
      </c>
      <c r="C10" s="1">
        <v>226</v>
      </c>
      <c r="D10" s="5">
        <f>Table15[[#This Row],[Enrolment S.Y. 2025-2026 ]]*8</f>
        <v>1808</v>
      </c>
      <c r="E10" s="5"/>
      <c r="F10" s="1"/>
      <c r="G10" s="5"/>
      <c r="H10" s="5">
        <f>IF((D10-E10)&lt;0,0,(D10-E10))</f>
        <v>1808</v>
      </c>
      <c r="I10" s="5">
        <f>IF((E10-D10)&lt;0,0,(E10-D10))</f>
        <v>0</v>
      </c>
      <c r="J10" s="5">
        <f>Table15[[#This Row],[Enrolment S.Y. 2025-2026 ]]*8</f>
        <v>1808</v>
      </c>
      <c r="K10" s="5"/>
      <c r="L10" s="1"/>
      <c r="M10" s="5"/>
      <c r="N10" s="5">
        <f t="shared" si="4"/>
        <v>1808</v>
      </c>
      <c r="O10" s="5">
        <f t="shared" si="5"/>
        <v>0</v>
      </c>
      <c r="P10" s="5">
        <f>Table15[[#This Row],[Enrolment S.Y. 2025-2026 ]]*8</f>
        <v>1808</v>
      </c>
      <c r="Q10" s="5"/>
      <c r="R10" s="1"/>
      <c r="S10" s="5"/>
      <c r="T10" s="5">
        <f t="shared" si="6"/>
        <v>1808</v>
      </c>
      <c r="U10" s="5">
        <f t="shared" si="7"/>
        <v>0</v>
      </c>
      <c r="V10" s="5">
        <f>Table15[[#This Row],[Enrolment S.Y. 2025-2026 ]]*8</f>
        <v>1808</v>
      </c>
      <c r="W10" s="5"/>
      <c r="X10" s="1"/>
      <c r="Y10" s="5"/>
      <c r="Z10" s="5">
        <f t="shared" si="8"/>
        <v>1808</v>
      </c>
      <c r="AA10" s="5">
        <f t="shared" si="9"/>
        <v>0</v>
      </c>
    </row>
    <row r="11" spans="1:27" ht="19.5">
      <c r="A11" s="1">
        <v>1</v>
      </c>
      <c r="B11" s="9" t="s">
        <v>15</v>
      </c>
      <c r="C11" s="1">
        <v>226</v>
      </c>
      <c r="D11" s="5">
        <f>Table15[[#This Row],[Enrolment S.Y. 2025-2026 ]]*8</f>
        <v>1808</v>
      </c>
      <c r="E11" s="5"/>
      <c r="F11" s="1"/>
      <c r="G11" s="5"/>
      <c r="H11" s="5">
        <f>IF((D11-E11)&lt;0,0,(D11-E11))</f>
        <v>1808</v>
      </c>
      <c r="I11" s="5">
        <f>IF((E11-D11)&lt;0,0,(E11-D11))</f>
        <v>0</v>
      </c>
      <c r="J11" s="5">
        <f>Table15[[#This Row],[Enrolment S.Y. 2025-2026 ]]*8</f>
        <v>1808</v>
      </c>
      <c r="K11" s="5"/>
      <c r="L11" s="1"/>
      <c r="M11" s="5"/>
      <c r="N11" s="5">
        <f t="shared" si="4"/>
        <v>1808</v>
      </c>
      <c r="O11" s="5">
        <f t="shared" si="5"/>
        <v>0</v>
      </c>
      <c r="P11" s="5">
        <f>Table15[[#This Row],[Enrolment S.Y. 2025-2026 ]]*8</f>
        <v>1808</v>
      </c>
      <c r="Q11" s="5"/>
      <c r="R11" s="1"/>
      <c r="S11" s="5"/>
      <c r="T11" s="5">
        <f t="shared" si="6"/>
        <v>1808</v>
      </c>
      <c r="U11" s="5">
        <f t="shared" si="7"/>
        <v>0</v>
      </c>
      <c r="V11" s="5">
        <f>Table15[[#This Row],[Enrolment S.Y. 2025-2026 ]]*8</f>
        <v>1808</v>
      </c>
      <c r="W11" s="5"/>
      <c r="X11" s="1"/>
      <c r="Y11" s="5"/>
      <c r="Z11" s="5">
        <f t="shared" si="8"/>
        <v>1808</v>
      </c>
      <c r="AA11" s="5">
        <f t="shared" si="9"/>
        <v>0</v>
      </c>
    </row>
    <row r="12" spans="1:27" ht="19.5">
      <c r="A12" s="1">
        <v>1</v>
      </c>
      <c r="B12" s="9" t="s">
        <v>61</v>
      </c>
      <c r="C12" s="1">
        <v>226</v>
      </c>
      <c r="D12" s="5">
        <f>Table15[[#This Row],[Enrolment S.Y. 2025-2026 ]]*8</f>
        <v>1808</v>
      </c>
      <c r="E12" s="5"/>
      <c r="F12" s="1"/>
      <c r="G12" s="5"/>
      <c r="H12" s="5">
        <f>IF((D12-E12)&lt;0,0,(D12-E12))</f>
        <v>1808</v>
      </c>
      <c r="I12" s="5">
        <f>IF((E12-D12)&lt;0,0,(E12-D12))</f>
        <v>0</v>
      </c>
      <c r="J12" s="5">
        <f>Table15[[#This Row],[Enrolment S.Y. 2025-2026 ]]*8</f>
        <v>1808</v>
      </c>
      <c r="K12" s="5"/>
      <c r="L12" s="1"/>
      <c r="M12" s="5"/>
      <c r="N12" s="5">
        <f t="shared" si="4"/>
        <v>1808</v>
      </c>
      <c r="O12" s="5">
        <f t="shared" si="5"/>
        <v>0</v>
      </c>
      <c r="P12" s="5">
        <f>Table15[[#This Row],[Enrolment S.Y. 2025-2026 ]]*8</f>
        <v>1808</v>
      </c>
      <c r="Q12" s="5"/>
      <c r="R12" s="1"/>
      <c r="S12" s="5"/>
      <c r="T12" s="5">
        <f t="shared" si="6"/>
        <v>1808</v>
      </c>
      <c r="U12" s="5">
        <f t="shared" si="7"/>
        <v>0</v>
      </c>
      <c r="V12" s="5">
        <f>Table15[[#This Row],[Enrolment S.Y. 2025-2026 ]]*8</f>
        <v>1808</v>
      </c>
      <c r="W12" s="5"/>
      <c r="X12" s="1"/>
      <c r="Y12" s="5"/>
      <c r="Z12" s="5">
        <f t="shared" si="8"/>
        <v>1808</v>
      </c>
      <c r="AA12" s="5">
        <f t="shared" si="9"/>
        <v>0</v>
      </c>
    </row>
    <row r="13" spans="1:27" s="7" customFormat="1" ht="19.5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266</v>
      </c>
      <c r="D14" s="5">
        <f>Table15[[#This Row],[Enrolment S.Y. 2025-2026 ]]*8</f>
        <v>2128</v>
      </c>
      <c r="E14" s="5">
        <v>948</v>
      </c>
      <c r="F14" s="1">
        <v>2024</v>
      </c>
      <c r="G14" s="5" t="s">
        <v>62</v>
      </c>
      <c r="H14" s="5">
        <f t="shared" si="2"/>
        <v>1180</v>
      </c>
      <c r="I14" s="5">
        <f t="shared" si="3"/>
        <v>0</v>
      </c>
      <c r="J14" s="5">
        <f>Table15[[#This Row],[Enrolment S.Y. 2025-2026 ]]*8</f>
        <v>2128</v>
      </c>
      <c r="K14" s="5"/>
      <c r="L14" s="1"/>
      <c r="M14" s="5"/>
      <c r="N14" s="5">
        <f t="shared" si="4"/>
        <v>2128</v>
      </c>
      <c r="O14" s="5">
        <f t="shared" si="5"/>
        <v>0</v>
      </c>
      <c r="P14" s="5">
        <f>Table15[[#This Row],[Enrolment S.Y. 2025-2026 ]]*8</f>
        <v>2128</v>
      </c>
      <c r="Q14" s="5"/>
      <c r="R14" s="1"/>
      <c r="S14" s="5"/>
      <c r="T14" s="5">
        <f t="shared" si="6"/>
        <v>2128</v>
      </c>
      <c r="U14" s="5">
        <f t="shared" si="7"/>
        <v>0</v>
      </c>
      <c r="V14" s="5">
        <f>Table15[[#This Row],[Enrolment S.Y. 2025-2026 ]]*8</f>
        <v>2128</v>
      </c>
      <c r="W14" s="5"/>
      <c r="X14" s="1"/>
      <c r="Y14" s="5"/>
      <c r="Z14" s="5">
        <f t="shared" si="8"/>
        <v>2128</v>
      </c>
      <c r="AA14" s="5">
        <f t="shared" si="9"/>
        <v>0</v>
      </c>
    </row>
    <row r="15" spans="1:27" ht="19.5">
      <c r="A15" s="1">
        <v>2</v>
      </c>
      <c r="B15" s="2" t="s">
        <v>9</v>
      </c>
      <c r="C15" s="1">
        <v>266</v>
      </c>
      <c r="D15" s="5">
        <f>Table15[[#This Row],[Enrolment S.Y. 2025-2026 ]]*8</f>
        <v>2128</v>
      </c>
      <c r="E15" s="5"/>
      <c r="F15" s="1"/>
      <c r="G15" s="5"/>
      <c r="H15" s="5">
        <f t="shared" si="2"/>
        <v>2128</v>
      </c>
      <c r="I15" s="5">
        <f t="shared" si="3"/>
        <v>0</v>
      </c>
      <c r="J15" s="5">
        <f>Table15[[#This Row],[Enrolment S.Y. 2025-2026 ]]*8</f>
        <v>2128</v>
      </c>
      <c r="K15" s="5"/>
      <c r="L15" s="1"/>
      <c r="M15" s="5"/>
      <c r="N15" s="5">
        <f t="shared" si="4"/>
        <v>2128</v>
      </c>
      <c r="O15" s="5">
        <f t="shared" si="5"/>
        <v>0</v>
      </c>
      <c r="P15" s="5">
        <f>Table15[[#This Row],[Enrolment S.Y. 2025-2026 ]]*8</f>
        <v>2128</v>
      </c>
      <c r="Q15" s="5"/>
      <c r="R15" s="1"/>
      <c r="S15" s="5"/>
      <c r="T15" s="5">
        <f t="shared" si="6"/>
        <v>2128</v>
      </c>
      <c r="U15" s="5">
        <f t="shared" si="7"/>
        <v>0</v>
      </c>
      <c r="V15" s="5">
        <f>Table15[[#This Row],[Enrolment S.Y. 2025-2026 ]]*8</f>
        <v>2128</v>
      </c>
      <c r="W15" s="5"/>
      <c r="X15" s="1"/>
      <c r="Y15" s="5"/>
      <c r="Z15" s="5">
        <f t="shared" si="8"/>
        <v>2128</v>
      </c>
      <c r="AA15" s="5">
        <f t="shared" si="9"/>
        <v>0</v>
      </c>
    </row>
    <row r="16" spans="1:27" ht="19.5">
      <c r="A16" s="1">
        <v>2</v>
      </c>
      <c r="B16" s="2" t="s">
        <v>10</v>
      </c>
      <c r="C16" s="1">
        <v>266</v>
      </c>
      <c r="D16" s="5">
        <f>Table15[[#This Row],[Enrolment S.Y. 2025-2026 ]]*8</f>
        <v>2128</v>
      </c>
      <c r="E16" s="5"/>
      <c r="F16" s="1"/>
      <c r="G16" s="5"/>
      <c r="H16" s="5">
        <f t="shared" si="2"/>
        <v>2128</v>
      </c>
      <c r="I16" s="5">
        <f t="shared" si="3"/>
        <v>0</v>
      </c>
      <c r="J16" s="5">
        <f>Table15[[#This Row],[Enrolment S.Y. 2025-2026 ]]*8</f>
        <v>2128</v>
      </c>
      <c r="K16" s="5"/>
      <c r="L16" s="1"/>
      <c r="M16" s="5"/>
      <c r="N16" s="5">
        <f t="shared" si="4"/>
        <v>2128</v>
      </c>
      <c r="O16" s="5">
        <f t="shared" si="5"/>
        <v>0</v>
      </c>
      <c r="P16" s="5">
        <f>Table15[[#This Row],[Enrolment S.Y. 2025-2026 ]]*8</f>
        <v>2128</v>
      </c>
      <c r="Q16" s="5"/>
      <c r="R16" s="1"/>
      <c r="S16" s="5"/>
      <c r="T16" s="5">
        <f t="shared" si="6"/>
        <v>2128</v>
      </c>
      <c r="U16" s="5">
        <f t="shared" si="7"/>
        <v>0</v>
      </c>
      <c r="V16" s="5">
        <f>Table15[[#This Row],[Enrolment S.Y. 2025-2026 ]]*8</f>
        <v>2128</v>
      </c>
      <c r="W16" s="5"/>
      <c r="X16" s="1"/>
      <c r="Y16" s="5"/>
      <c r="Z16" s="5">
        <f t="shared" si="8"/>
        <v>2128</v>
      </c>
      <c r="AA16" s="5">
        <f t="shared" si="9"/>
        <v>0</v>
      </c>
    </row>
    <row r="17" spans="1:27" ht="19.5">
      <c r="A17" s="1">
        <v>2</v>
      </c>
      <c r="B17" s="2" t="s">
        <v>11</v>
      </c>
      <c r="C17" s="1">
        <v>266</v>
      </c>
      <c r="D17" s="5">
        <f>Table15[[#This Row],[Enrolment S.Y. 2025-2026 ]]*8</f>
        <v>2128</v>
      </c>
      <c r="E17" s="5"/>
      <c r="F17" s="1"/>
      <c r="G17" s="5"/>
      <c r="H17" s="5">
        <f t="shared" si="2"/>
        <v>2128</v>
      </c>
      <c r="I17" s="5">
        <f t="shared" si="3"/>
        <v>0</v>
      </c>
      <c r="J17" s="5">
        <f>Table15[[#This Row],[Enrolment S.Y. 2025-2026 ]]*8</f>
        <v>2128</v>
      </c>
      <c r="K17" s="5"/>
      <c r="L17" s="1"/>
      <c r="M17" s="5"/>
      <c r="N17" s="5">
        <f t="shared" si="4"/>
        <v>2128</v>
      </c>
      <c r="O17" s="5">
        <f t="shared" si="5"/>
        <v>0</v>
      </c>
      <c r="P17" s="5">
        <f>Table15[[#This Row],[Enrolment S.Y. 2025-2026 ]]*8</f>
        <v>2128</v>
      </c>
      <c r="Q17" s="5"/>
      <c r="R17" s="1"/>
      <c r="S17" s="5"/>
      <c r="T17" s="5">
        <f t="shared" si="6"/>
        <v>2128</v>
      </c>
      <c r="U17" s="5">
        <f t="shared" si="7"/>
        <v>0</v>
      </c>
      <c r="V17" s="5">
        <f>Table15[[#This Row],[Enrolment S.Y. 2025-2026 ]]*8</f>
        <v>2128</v>
      </c>
      <c r="W17" s="5"/>
      <c r="X17" s="1"/>
      <c r="Y17" s="5"/>
      <c r="Z17" s="5">
        <f t="shared" si="8"/>
        <v>2128</v>
      </c>
      <c r="AA17" s="5">
        <f t="shared" si="9"/>
        <v>0</v>
      </c>
    </row>
    <row r="18" spans="1:27" ht="19.5">
      <c r="A18" s="1">
        <v>2</v>
      </c>
      <c r="B18" s="2" t="s">
        <v>12</v>
      </c>
      <c r="C18" s="1">
        <v>266</v>
      </c>
      <c r="D18" s="5">
        <f>Table15[[#This Row],[Enrolment S.Y. 2025-2026 ]]*8</f>
        <v>2128</v>
      </c>
      <c r="E18" s="5">
        <v>3168</v>
      </c>
      <c r="F18" s="1">
        <v>2024</v>
      </c>
      <c r="G18" s="5" t="s">
        <v>62</v>
      </c>
      <c r="H18" s="5">
        <f t="shared" si="2"/>
        <v>0</v>
      </c>
      <c r="I18" s="5">
        <f t="shared" si="3"/>
        <v>1040</v>
      </c>
      <c r="J18" s="5">
        <f>Table15[[#This Row],[Enrolment S.Y. 2025-2026 ]]*8</f>
        <v>2128</v>
      </c>
      <c r="K18" s="5"/>
      <c r="L18" s="1"/>
      <c r="M18" s="5"/>
      <c r="N18" s="5">
        <f t="shared" si="4"/>
        <v>2128</v>
      </c>
      <c r="O18" s="5">
        <f t="shared" si="5"/>
        <v>0</v>
      </c>
      <c r="P18" s="5">
        <f>Table15[[#This Row],[Enrolment S.Y. 2025-2026 ]]*8</f>
        <v>2128</v>
      </c>
      <c r="Q18" s="5"/>
      <c r="R18" s="1"/>
      <c r="S18" s="5"/>
      <c r="T18" s="5">
        <f t="shared" si="6"/>
        <v>2128</v>
      </c>
      <c r="U18" s="5">
        <f t="shared" si="7"/>
        <v>0</v>
      </c>
      <c r="V18" s="5">
        <f>Table15[[#This Row],[Enrolment S.Y. 2025-2026 ]]*8</f>
        <v>2128</v>
      </c>
      <c r="W18" s="5"/>
      <c r="X18" s="1"/>
      <c r="Y18" s="5"/>
      <c r="Z18" s="5">
        <f t="shared" si="8"/>
        <v>2128</v>
      </c>
      <c r="AA18" s="5">
        <f t="shared" si="9"/>
        <v>0</v>
      </c>
    </row>
    <row r="19" spans="1:27" ht="19.5">
      <c r="A19" s="1">
        <v>2</v>
      </c>
      <c r="B19" s="9" t="s">
        <v>15</v>
      </c>
      <c r="C19" s="1">
        <v>266</v>
      </c>
      <c r="D19" s="5">
        <f>Table15[[#This Row],[Enrolment S.Y. 2025-2026 ]]*8</f>
        <v>2128</v>
      </c>
      <c r="E19" s="5">
        <v>1580</v>
      </c>
      <c r="F19" s="1">
        <v>2024</v>
      </c>
      <c r="G19" s="5" t="s">
        <v>62</v>
      </c>
      <c r="H19" s="5">
        <f>IF((D19-E19)&lt;0,0,(D19-E19))</f>
        <v>548</v>
      </c>
      <c r="I19" s="5">
        <f>IF((E19-D19)&lt;0,0,(E19-D19))</f>
        <v>0</v>
      </c>
      <c r="J19" s="5">
        <f>Table15[[#This Row],[Enrolment S.Y. 2025-2026 ]]*8</f>
        <v>2128</v>
      </c>
      <c r="K19" s="5"/>
      <c r="L19" s="1"/>
      <c r="M19" s="5"/>
      <c r="N19" s="5">
        <f t="shared" si="4"/>
        <v>2128</v>
      </c>
      <c r="O19" s="5">
        <f t="shared" si="5"/>
        <v>0</v>
      </c>
      <c r="P19" s="5">
        <f>Table15[[#This Row],[Enrolment S.Y. 2025-2026 ]]*8</f>
        <v>2128</v>
      </c>
      <c r="Q19" s="5"/>
      <c r="R19" s="1"/>
      <c r="S19" s="5"/>
      <c r="T19" s="5">
        <f t="shared" si="6"/>
        <v>2128</v>
      </c>
      <c r="U19" s="5">
        <f t="shared" si="7"/>
        <v>0</v>
      </c>
      <c r="V19" s="5">
        <f>Table15[[#This Row],[Enrolment S.Y. 2025-2026 ]]*8</f>
        <v>2128</v>
      </c>
      <c r="W19" s="5"/>
      <c r="X19" s="1"/>
      <c r="Y19" s="5"/>
      <c r="Z19" s="5">
        <f t="shared" si="8"/>
        <v>2128</v>
      </c>
      <c r="AA19" s="5">
        <f t="shared" si="9"/>
        <v>0</v>
      </c>
    </row>
    <row r="20" spans="1:27" ht="19.5">
      <c r="A20" s="1">
        <v>2</v>
      </c>
      <c r="B20" s="9" t="s">
        <v>14</v>
      </c>
      <c r="C20" s="1">
        <v>266</v>
      </c>
      <c r="D20" s="5">
        <f>Table15[[#This Row],[Enrolment S.Y. 2025-2026 ]]*8</f>
        <v>2128</v>
      </c>
      <c r="E20" s="5"/>
      <c r="F20" s="1"/>
      <c r="G20" s="5"/>
      <c r="H20" s="5">
        <f>IF((D20-E20)&lt;0,0,(D20-E20))</f>
        <v>2128</v>
      </c>
      <c r="I20" s="5">
        <f>IF((E20-D20)&lt;0,0,(E20-D20))</f>
        <v>0</v>
      </c>
      <c r="J20" s="5">
        <f>Table15[[#This Row],[Enrolment S.Y. 2025-2026 ]]*8</f>
        <v>2128</v>
      </c>
      <c r="K20" s="5"/>
      <c r="L20" s="1"/>
      <c r="M20" s="5"/>
      <c r="N20" s="5">
        <f t="shared" si="4"/>
        <v>2128</v>
      </c>
      <c r="O20" s="5">
        <f t="shared" si="5"/>
        <v>0</v>
      </c>
      <c r="P20" s="5">
        <f>Table15[[#This Row],[Enrolment S.Y. 2025-2026 ]]*8</f>
        <v>2128</v>
      </c>
      <c r="Q20" s="5"/>
      <c r="R20" s="1"/>
      <c r="S20" s="5"/>
      <c r="T20" s="5">
        <f t="shared" si="6"/>
        <v>2128</v>
      </c>
      <c r="U20" s="5">
        <f t="shared" si="7"/>
        <v>0</v>
      </c>
      <c r="V20" s="5">
        <f>Table15[[#This Row],[Enrolment S.Y. 2025-2026 ]]*8</f>
        <v>2128</v>
      </c>
      <c r="W20" s="5"/>
      <c r="X20" s="1"/>
      <c r="Y20" s="5"/>
      <c r="Z20" s="5">
        <f t="shared" si="8"/>
        <v>2128</v>
      </c>
      <c r="AA20" s="5">
        <f t="shared" si="9"/>
        <v>0</v>
      </c>
    </row>
    <row r="21" spans="1:27" ht="19.5">
      <c r="A21" s="1">
        <v>2</v>
      </c>
      <c r="B21" s="9" t="s">
        <v>61</v>
      </c>
      <c r="C21" s="1">
        <v>266</v>
      </c>
      <c r="D21" s="5">
        <f>Table15[[#This Row],[Enrolment S.Y. 2025-2026 ]]*8</f>
        <v>2128</v>
      </c>
      <c r="E21" s="5"/>
      <c r="F21" s="1"/>
      <c r="G21" s="5"/>
      <c r="H21" s="5">
        <f>IF((D21-E21)&lt;0,0,(D21-E21))</f>
        <v>2128</v>
      </c>
      <c r="I21" s="5">
        <f>IF((E21-D21)&lt;0,0,(E21-D21))</f>
        <v>0</v>
      </c>
      <c r="J21" s="5">
        <f>Table15[[#This Row],[Enrolment S.Y. 2025-2026 ]]*8</f>
        <v>2128</v>
      </c>
      <c r="K21" s="5"/>
      <c r="L21" s="1"/>
      <c r="M21" s="5"/>
      <c r="N21" s="5">
        <f t="shared" si="4"/>
        <v>2128</v>
      </c>
      <c r="O21" s="5">
        <f t="shared" si="5"/>
        <v>0</v>
      </c>
      <c r="P21" s="5">
        <f>Table15[[#This Row],[Enrolment S.Y. 2025-2026 ]]*8</f>
        <v>2128</v>
      </c>
      <c r="Q21" s="5"/>
      <c r="R21" s="1"/>
      <c r="S21" s="5"/>
      <c r="T21" s="5">
        <f t="shared" si="6"/>
        <v>2128</v>
      </c>
      <c r="U21" s="5">
        <f t="shared" si="7"/>
        <v>0</v>
      </c>
      <c r="V21" s="5">
        <f>Table15[[#This Row],[Enrolment S.Y. 2025-2026 ]]*8</f>
        <v>2128</v>
      </c>
      <c r="W21" s="5"/>
      <c r="X21" s="1"/>
      <c r="Y21" s="5"/>
      <c r="Z21" s="5">
        <f t="shared" si="8"/>
        <v>2128</v>
      </c>
      <c r="AA21" s="5">
        <f t="shared" si="9"/>
        <v>0</v>
      </c>
    </row>
    <row r="22" spans="1:27" s="7" customFormat="1" ht="19.5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293</v>
      </c>
      <c r="D23" s="5">
        <f>Table15[[#This Row],[Enrolment S.Y. 2025-2026 ]]*8</f>
        <v>2344</v>
      </c>
      <c r="E23" s="5"/>
      <c r="F23" s="1"/>
      <c r="G23" s="5"/>
      <c r="H23" s="5">
        <f t="shared" si="2"/>
        <v>2344</v>
      </c>
      <c r="I23" s="5">
        <f t="shared" si="3"/>
        <v>0</v>
      </c>
      <c r="J23" s="5">
        <f>Table15[[#This Row],[Enrolment S.Y. 2025-2026 ]]*8</f>
        <v>2344</v>
      </c>
      <c r="K23" s="5"/>
      <c r="L23" s="1"/>
      <c r="M23" s="5"/>
      <c r="N23" s="5">
        <f t="shared" si="4"/>
        <v>2344</v>
      </c>
      <c r="O23" s="5">
        <f t="shared" si="5"/>
        <v>0</v>
      </c>
      <c r="P23" s="5">
        <f>Table15[[#This Row],[Enrolment S.Y. 2025-2026 ]]*8</f>
        <v>2344</v>
      </c>
      <c r="Q23" s="5"/>
      <c r="R23" s="1"/>
      <c r="S23" s="5"/>
      <c r="T23" s="5">
        <f t="shared" si="6"/>
        <v>2344</v>
      </c>
      <c r="U23" s="5">
        <f t="shared" si="7"/>
        <v>0</v>
      </c>
      <c r="V23" s="5">
        <f>Table15[[#This Row],[Enrolment S.Y. 2025-2026 ]]*8</f>
        <v>2344</v>
      </c>
      <c r="W23" s="5"/>
      <c r="X23" s="1"/>
      <c r="Y23" s="5"/>
      <c r="Z23" s="5">
        <f t="shared" si="8"/>
        <v>2344</v>
      </c>
      <c r="AA23" s="5">
        <f t="shared" si="9"/>
        <v>0</v>
      </c>
    </row>
    <row r="24" spans="1:27" ht="19.5">
      <c r="A24" s="1">
        <v>3</v>
      </c>
      <c r="B24" s="2" t="s">
        <v>9</v>
      </c>
      <c r="C24" s="1">
        <v>293</v>
      </c>
      <c r="D24" s="5">
        <f>Table15[[#This Row],[Enrolment S.Y. 2025-2026 ]]*8</f>
        <v>2344</v>
      </c>
      <c r="E24" s="5"/>
      <c r="F24" s="1">
        <v>2024</v>
      </c>
      <c r="G24" s="5" t="s">
        <v>62</v>
      </c>
      <c r="H24" s="5">
        <f t="shared" si="2"/>
        <v>2344</v>
      </c>
      <c r="I24" s="5">
        <f t="shared" si="3"/>
        <v>0</v>
      </c>
      <c r="J24" s="5">
        <f>Table15[[#This Row],[Enrolment S.Y. 2025-2026 ]]*8</f>
        <v>2344</v>
      </c>
      <c r="K24" s="5"/>
      <c r="L24" s="1"/>
      <c r="M24" s="5"/>
      <c r="N24" s="5">
        <f t="shared" si="4"/>
        <v>2344</v>
      </c>
      <c r="O24" s="5">
        <f t="shared" si="5"/>
        <v>0</v>
      </c>
      <c r="P24" s="5">
        <f>Table15[[#This Row],[Enrolment S.Y. 2025-2026 ]]*8</f>
        <v>2344</v>
      </c>
      <c r="Q24" s="5"/>
      <c r="R24" s="1"/>
      <c r="S24" s="5"/>
      <c r="T24" s="5">
        <f t="shared" si="6"/>
        <v>2344</v>
      </c>
      <c r="U24" s="5">
        <f t="shared" si="7"/>
        <v>0</v>
      </c>
      <c r="V24" s="5">
        <f>Table15[[#This Row],[Enrolment S.Y. 2025-2026 ]]*8</f>
        <v>2344</v>
      </c>
      <c r="W24" s="5"/>
      <c r="X24" s="1"/>
      <c r="Y24" s="5"/>
      <c r="Z24" s="5">
        <f t="shared" si="8"/>
        <v>2344</v>
      </c>
      <c r="AA24" s="5">
        <f t="shared" si="9"/>
        <v>0</v>
      </c>
    </row>
    <row r="25" spans="1:27" ht="19.5">
      <c r="A25" s="1">
        <v>3</v>
      </c>
      <c r="B25" s="2" t="s">
        <v>10</v>
      </c>
      <c r="C25" s="1">
        <v>293</v>
      </c>
      <c r="D25" s="5">
        <f>Table15[[#This Row],[Enrolment S.Y. 2025-2026 ]]*8</f>
        <v>2344</v>
      </c>
      <c r="E25" s="5"/>
      <c r="F25" s="1"/>
      <c r="G25" s="5"/>
      <c r="H25" s="5">
        <f t="shared" si="2"/>
        <v>2344</v>
      </c>
      <c r="I25" s="5">
        <f t="shared" si="3"/>
        <v>0</v>
      </c>
      <c r="J25" s="5">
        <f>Table15[[#This Row],[Enrolment S.Y. 2025-2026 ]]*8</f>
        <v>2344</v>
      </c>
      <c r="K25" s="5"/>
      <c r="L25" s="1"/>
      <c r="M25" s="5"/>
      <c r="N25" s="5">
        <f t="shared" si="4"/>
        <v>2344</v>
      </c>
      <c r="O25" s="5">
        <f t="shared" si="5"/>
        <v>0</v>
      </c>
      <c r="P25" s="5">
        <f>Table15[[#This Row],[Enrolment S.Y. 2025-2026 ]]*8</f>
        <v>2344</v>
      </c>
      <c r="Q25" s="5"/>
      <c r="R25" s="1"/>
      <c r="S25" s="5"/>
      <c r="T25" s="5">
        <f t="shared" si="6"/>
        <v>2344</v>
      </c>
      <c r="U25" s="5">
        <f t="shared" si="7"/>
        <v>0</v>
      </c>
      <c r="V25" s="5">
        <f>Table15[[#This Row],[Enrolment S.Y. 2025-2026 ]]*8</f>
        <v>2344</v>
      </c>
      <c r="W25" s="5"/>
      <c r="X25" s="1"/>
      <c r="Y25" s="5"/>
      <c r="Z25" s="5">
        <f t="shared" si="8"/>
        <v>2344</v>
      </c>
      <c r="AA25" s="5">
        <f t="shared" si="9"/>
        <v>0</v>
      </c>
    </row>
    <row r="26" spans="1:27" ht="19.5">
      <c r="A26" s="1">
        <v>3</v>
      </c>
      <c r="B26" s="2" t="s">
        <v>13</v>
      </c>
      <c r="C26" s="1">
        <v>293</v>
      </c>
      <c r="D26" s="5">
        <f>Table15[[#This Row],[Enrolment S.Y. 2025-2026 ]]*8</f>
        <v>2344</v>
      </c>
      <c r="E26" s="5"/>
      <c r="F26" s="1"/>
      <c r="G26" s="5"/>
      <c r="H26" s="5">
        <f t="shared" si="2"/>
        <v>2344</v>
      </c>
      <c r="I26" s="5">
        <f t="shared" si="3"/>
        <v>0</v>
      </c>
      <c r="J26" s="5">
        <f>Table15[[#This Row],[Enrolment S.Y. 2025-2026 ]]*8</f>
        <v>2344</v>
      </c>
      <c r="K26" s="5"/>
      <c r="L26" s="1"/>
      <c r="M26" s="5"/>
      <c r="N26" s="5">
        <f t="shared" si="4"/>
        <v>2344</v>
      </c>
      <c r="O26" s="5">
        <f t="shared" si="5"/>
        <v>0</v>
      </c>
      <c r="P26" s="5">
        <f>Table15[[#This Row],[Enrolment S.Y. 2025-2026 ]]*8</f>
        <v>2344</v>
      </c>
      <c r="Q26" s="5"/>
      <c r="R26" s="1"/>
      <c r="S26" s="5"/>
      <c r="T26" s="5">
        <f t="shared" si="6"/>
        <v>2344</v>
      </c>
      <c r="U26" s="5">
        <f t="shared" si="7"/>
        <v>0</v>
      </c>
      <c r="V26" s="5">
        <f>Table15[[#This Row],[Enrolment S.Y. 2025-2026 ]]*8</f>
        <v>2344</v>
      </c>
      <c r="W26" s="5"/>
      <c r="X26" s="1"/>
      <c r="Y26" s="5"/>
      <c r="Z26" s="5">
        <f t="shared" si="8"/>
        <v>2344</v>
      </c>
      <c r="AA26" s="5">
        <f t="shared" si="9"/>
        <v>0</v>
      </c>
    </row>
    <row r="27" spans="1:27" ht="19.5">
      <c r="A27" s="1">
        <v>3</v>
      </c>
      <c r="B27" s="2" t="s">
        <v>11</v>
      </c>
      <c r="C27" s="1">
        <v>293</v>
      </c>
      <c r="D27" s="5">
        <f>Table15[[#This Row],[Enrolment S.Y. 2025-2026 ]]*8</f>
        <v>2344</v>
      </c>
      <c r="E27" s="5"/>
      <c r="F27" s="1"/>
      <c r="G27" s="5"/>
      <c r="H27" s="5">
        <f t="shared" si="2"/>
        <v>2344</v>
      </c>
      <c r="I27" s="5">
        <f t="shared" si="3"/>
        <v>0</v>
      </c>
      <c r="J27" s="5">
        <f>Table15[[#This Row],[Enrolment S.Y. 2025-2026 ]]*8</f>
        <v>2344</v>
      </c>
      <c r="K27" s="5"/>
      <c r="L27" s="1"/>
      <c r="M27" s="5"/>
      <c r="N27" s="5">
        <f t="shared" si="4"/>
        <v>2344</v>
      </c>
      <c r="O27" s="5">
        <f t="shared" si="5"/>
        <v>0</v>
      </c>
      <c r="P27" s="5">
        <f>Table15[[#This Row],[Enrolment S.Y. 2025-2026 ]]*8</f>
        <v>2344</v>
      </c>
      <c r="Q27" s="5"/>
      <c r="R27" s="1"/>
      <c r="S27" s="5"/>
      <c r="T27" s="5">
        <f t="shared" si="6"/>
        <v>2344</v>
      </c>
      <c r="U27" s="5">
        <f t="shared" si="7"/>
        <v>0</v>
      </c>
      <c r="V27" s="5">
        <f>Table15[[#This Row],[Enrolment S.Y. 2025-2026 ]]*8</f>
        <v>2344</v>
      </c>
      <c r="W27" s="5"/>
      <c r="X27" s="1"/>
      <c r="Y27" s="5"/>
      <c r="Z27" s="5">
        <f t="shared" si="8"/>
        <v>2344</v>
      </c>
      <c r="AA27" s="5">
        <f t="shared" si="9"/>
        <v>0</v>
      </c>
    </row>
    <row r="28" spans="1:27" ht="19.5">
      <c r="A28" s="1">
        <v>3</v>
      </c>
      <c r="B28" s="2" t="s">
        <v>12</v>
      </c>
      <c r="C28" s="1">
        <v>293</v>
      </c>
      <c r="D28" s="5">
        <f>Table15[[#This Row],[Enrolment S.Y. 2025-2026 ]]*8</f>
        <v>2344</v>
      </c>
      <c r="E28" s="5">
        <v>2219</v>
      </c>
      <c r="F28" s="1">
        <v>2024</v>
      </c>
      <c r="G28" s="5" t="s">
        <v>62</v>
      </c>
      <c r="H28" s="5">
        <f t="shared" si="2"/>
        <v>125</v>
      </c>
      <c r="I28" s="5">
        <f t="shared" si="3"/>
        <v>0</v>
      </c>
      <c r="J28" s="5">
        <f>Table15[[#This Row],[Enrolment S.Y. 2025-2026 ]]*8</f>
        <v>2344</v>
      </c>
      <c r="K28" s="5">
        <v>2219</v>
      </c>
      <c r="L28" s="1">
        <v>2024</v>
      </c>
      <c r="M28" s="5" t="s">
        <v>62</v>
      </c>
      <c r="N28" s="5">
        <f t="shared" si="4"/>
        <v>125</v>
      </c>
      <c r="O28" s="5">
        <f t="shared" si="5"/>
        <v>0</v>
      </c>
      <c r="P28" s="5">
        <f>Table15[[#This Row],[Enrolment S.Y. 2025-2026 ]]*8</f>
        <v>2344</v>
      </c>
      <c r="Q28" s="5"/>
      <c r="R28" s="1"/>
      <c r="S28" s="5"/>
      <c r="T28" s="5">
        <f t="shared" si="6"/>
        <v>2344</v>
      </c>
      <c r="U28" s="5">
        <f t="shared" si="7"/>
        <v>0</v>
      </c>
      <c r="V28" s="5">
        <f>Table15[[#This Row],[Enrolment S.Y. 2025-2026 ]]*8</f>
        <v>2344</v>
      </c>
      <c r="W28" s="5"/>
      <c r="X28" s="1"/>
      <c r="Y28" s="5"/>
      <c r="Z28" s="5">
        <f t="shared" si="8"/>
        <v>2344</v>
      </c>
      <c r="AA28" s="5">
        <f t="shared" si="9"/>
        <v>0</v>
      </c>
    </row>
    <row r="29" spans="1:27" ht="19.5">
      <c r="A29" s="1">
        <v>3</v>
      </c>
      <c r="B29" s="9" t="s">
        <v>14</v>
      </c>
      <c r="C29" s="1">
        <v>293</v>
      </c>
      <c r="D29" s="5">
        <f>Table15[[#This Row],[Enrolment S.Y. 2025-2026 ]]*8</f>
        <v>2344</v>
      </c>
      <c r="E29" s="5">
        <v>1585</v>
      </c>
      <c r="F29" s="1">
        <v>2024</v>
      </c>
      <c r="G29" s="5" t="s">
        <v>62</v>
      </c>
      <c r="H29" s="5">
        <f>IF((D29-E29)&lt;0,0,(D29-E29))</f>
        <v>759</v>
      </c>
      <c r="I29" s="5">
        <f>IF((E29-D29)&lt;0,0,(E29-D29))</f>
        <v>0</v>
      </c>
      <c r="J29" s="5">
        <f>Table15[[#This Row],[Enrolment S.Y. 2025-2026 ]]*8</f>
        <v>2344</v>
      </c>
      <c r="K29" s="5">
        <v>317</v>
      </c>
      <c r="L29" s="1">
        <v>2024</v>
      </c>
      <c r="M29" s="5" t="s">
        <v>62</v>
      </c>
      <c r="N29" s="5">
        <f t="shared" si="4"/>
        <v>2027</v>
      </c>
      <c r="O29" s="5">
        <f t="shared" si="5"/>
        <v>0</v>
      </c>
      <c r="P29" s="5">
        <f>Table15[[#This Row],[Enrolment S.Y. 2025-2026 ]]*8</f>
        <v>2344</v>
      </c>
      <c r="Q29" s="5"/>
      <c r="R29" s="1"/>
      <c r="S29" s="5"/>
      <c r="T29" s="5">
        <f t="shared" si="6"/>
        <v>2344</v>
      </c>
      <c r="U29" s="5">
        <f t="shared" si="7"/>
        <v>0</v>
      </c>
      <c r="V29" s="5">
        <f>Table15[[#This Row],[Enrolment S.Y. 2025-2026 ]]*8</f>
        <v>2344</v>
      </c>
      <c r="W29" s="5"/>
      <c r="X29" s="1"/>
      <c r="Y29" s="5"/>
      <c r="Z29" s="5">
        <f t="shared" si="8"/>
        <v>2344</v>
      </c>
      <c r="AA29" s="5">
        <f t="shared" si="9"/>
        <v>0</v>
      </c>
    </row>
    <row r="30" spans="1:27" ht="19.5">
      <c r="A30" s="1">
        <v>3</v>
      </c>
      <c r="B30" s="9" t="s">
        <v>15</v>
      </c>
      <c r="C30" s="1">
        <v>293</v>
      </c>
      <c r="D30" s="5">
        <f>Table15[[#This Row],[Enrolment S.Y. 2025-2026 ]]*8</f>
        <v>2344</v>
      </c>
      <c r="E30" s="5">
        <v>634</v>
      </c>
      <c r="F30" s="1">
        <v>2024</v>
      </c>
      <c r="G30" s="5" t="s">
        <v>62</v>
      </c>
      <c r="H30" s="5">
        <f>IF((D30-E30)&lt;0,0,(D30-E30))</f>
        <v>1710</v>
      </c>
      <c r="I30" s="5">
        <f>IF((E30-D30)&lt;0,0,(E30-D30))</f>
        <v>0</v>
      </c>
      <c r="J30" s="5">
        <f>Table15[[#This Row],[Enrolment S.Y. 2025-2026 ]]*8</f>
        <v>2344</v>
      </c>
      <c r="K30" s="5"/>
      <c r="L30" s="1"/>
      <c r="M30" s="5"/>
      <c r="N30" s="5">
        <f t="shared" si="4"/>
        <v>2344</v>
      </c>
      <c r="O30" s="5">
        <f t="shared" si="5"/>
        <v>0</v>
      </c>
      <c r="P30" s="5">
        <f>Table15[[#This Row],[Enrolment S.Y. 2025-2026 ]]*8</f>
        <v>2344</v>
      </c>
      <c r="Q30" s="5"/>
      <c r="R30" s="1"/>
      <c r="S30" s="5"/>
      <c r="T30" s="5">
        <f t="shared" si="6"/>
        <v>2344</v>
      </c>
      <c r="U30" s="5">
        <f t="shared" si="7"/>
        <v>0</v>
      </c>
      <c r="V30" s="5">
        <f>Table15[[#This Row],[Enrolment S.Y. 2025-2026 ]]*8</f>
        <v>2344</v>
      </c>
      <c r="W30" s="5"/>
      <c r="X30" s="1"/>
      <c r="Y30" s="5"/>
      <c r="Z30" s="5">
        <f t="shared" si="8"/>
        <v>2344</v>
      </c>
      <c r="AA30" s="5">
        <f t="shared" si="9"/>
        <v>0</v>
      </c>
    </row>
    <row r="31" spans="1:27" ht="19.5">
      <c r="A31" s="1">
        <v>3</v>
      </c>
      <c r="B31" s="9" t="s">
        <v>61</v>
      </c>
      <c r="C31" s="1">
        <v>293</v>
      </c>
      <c r="D31" s="5">
        <f>Table15[[#This Row],[Enrolment S.Y. 2025-2026 ]]*8</f>
        <v>2344</v>
      </c>
      <c r="E31" s="5"/>
      <c r="F31" s="1"/>
      <c r="G31" s="5"/>
      <c r="H31" s="5">
        <f>IF((D31-E31)&lt;0,0,(D31-E31))</f>
        <v>2344</v>
      </c>
      <c r="I31" s="5">
        <f>IF((E31-D31)&lt;0,0,(E31-D31))</f>
        <v>0</v>
      </c>
      <c r="J31" s="5">
        <f>Table15[[#This Row],[Enrolment S.Y. 2025-2026 ]]*8</f>
        <v>2344</v>
      </c>
      <c r="K31" s="5"/>
      <c r="L31" s="1"/>
      <c r="M31" s="5"/>
      <c r="N31" s="5">
        <f t="shared" si="4"/>
        <v>2344</v>
      </c>
      <c r="O31" s="5">
        <f t="shared" si="5"/>
        <v>0</v>
      </c>
      <c r="P31" s="5">
        <f>Table15[[#This Row],[Enrolment S.Y. 2025-2026 ]]*8</f>
        <v>2344</v>
      </c>
      <c r="Q31" s="5"/>
      <c r="R31" s="1"/>
      <c r="S31" s="5"/>
      <c r="T31" s="5">
        <f t="shared" si="6"/>
        <v>2344</v>
      </c>
      <c r="U31" s="5">
        <f t="shared" si="7"/>
        <v>0</v>
      </c>
      <c r="V31" s="5">
        <f>Table15[[#This Row],[Enrolment S.Y. 2025-2026 ]]*8</f>
        <v>2344</v>
      </c>
      <c r="W31" s="5"/>
      <c r="X31" s="1"/>
      <c r="Y31" s="5"/>
      <c r="Z31" s="5">
        <f t="shared" si="8"/>
        <v>2344</v>
      </c>
      <c r="AA31" s="5">
        <f t="shared" si="9"/>
        <v>0</v>
      </c>
    </row>
    <row r="32" spans="1:27" s="7" customFormat="1" ht="19.5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14</v>
      </c>
      <c r="C33" s="1">
        <v>309</v>
      </c>
      <c r="D33" s="5">
        <f>Table15[[#This Row],[Enrolment S.Y. 2025-2026 ]]*8</f>
        <v>2472</v>
      </c>
      <c r="E33" s="5"/>
      <c r="F33" s="1"/>
      <c r="G33" s="5"/>
      <c r="H33" s="5">
        <f t="shared" si="2"/>
        <v>2472</v>
      </c>
      <c r="I33" s="5">
        <f t="shared" si="3"/>
        <v>0</v>
      </c>
      <c r="J33" s="5">
        <f>Table15[[#This Row],[Enrolment S.Y. 2025-2026 ]]*8</f>
        <v>2472</v>
      </c>
      <c r="K33" s="5"/>
      <c r="L33" s="1"/>
      <c r="M33" s="5"/>
      <c r="N33" s="5">
        <f t="shared" si="4"/>
        <v>2472</v>
      </c>
      <c r="O33" s="5">
        <f t="shared" si="5"/>
        <v>0</v>
      </c>
      <c r="P33" s="5">
        <f>Table15[[#This Row],[Enrolment S.Y. 2025-2026 ]]*8</f>
        <v>2472</v>
      </c>
      <c r="Q33" s="5"/>
      <c r="R33" s="1"/>
      <c r="S33" s="5"/>
      <c r="T33" s="5">
        <f t="shared" si="6"/>
        <v>2472</v>
      </c>
      <c r="U33" s="5">
        <f t="shared" si="7"/>
        <v>0</v>
      </c>
      <c r="V33" s="5">
        <f>Table15[[#This Row],[Enrolment S.Y. 2025-2026 ]]*8</f>
        <v>2472</v>
      </c>
      <c r="W33" s="5"/>
      <c r="X33" s="1"/>
      <c r="Y33" s="5"/>
      <c r="Z33" s="5">
        <f t="shared" si="8"/>
        <v>2472</v>
      </c>
      <c r="AA33" s="5">
        <f t="shared" si="9"/>
        <v>0</v>
      </c>
    </row>
    <row r="34" spans="1:27" ht="19.5">
      <c r="A34" s="1">
        <v>4</v>
      </c>
      <c r="B34" s="9" t="s">
        <v>15</v>
      </c>
      <c r="C34" s="1">
        <v>309</v>
      </c>
      <c r="D34" s="5">
        <f>Table15[[#This Row],[Enrolment S.Y. 2025-2026 ]]*8</f>
        <v>2472</v>
      </c>
      <c r="E34" s="5"/>
      <c r="F34" s="1"/>
      <c r="G34" s="5"/>
      <c r="H34" s="5">
        <f t="shared" si="2"/>
        <v>2472</v>
      </c>
      <c r="I34" s="5">
        <f t="shared" si="3"/>
        <v>0</v>
      </c>
      <c r="J34" s="5">
        <f>Table15[[#This Row],[Enrolment S.Y. 2025-2026 ]]*8</f>
        <v>2472</v>
      </c>
      <c r="K34" s="5"/>
      <c r="L34" s="1"/>
      <c r="M34" s="5"/>
      <c r="N34" s="5">
        <f t="shared" si="4"/>
        <v>2472</v>
      </c>
      <c r="O34" s="5">
        <f t="shared" si="5"/>
        <v>0</v>
      </c>
      <c r="P34" s="5">
        <f>Table15[[#This Row],[Enrolment S.Y. 2025-2026 ]]*8</f>
        <v>2472</v>
      </c>
      <c r="Q34" s="5"/>
      <c r="R34" s="1"/>
      <c r="S34" s="5"/>
      <c r="T34" s="5">
        <f t="shared" si="6"/>
        <v>2472</v>
      </c>
      <c r="U34" s="5">
        <f t="shared" si="7"/>
        <v>0</v>
      </c>
      <c r="V34" s="5">
        <f>Table15[[#This Row],[Enrolment S.Y. 2025-2026 ]]*8</f>
        <v>2472</v>
      </c>
      <c r="W34" s="5"/>
      <c r="X34" s="1"/>
      <c r="Y34" s="5"/>
      <c r="Z34" s="5">
        <f t="shared" si="8"/>
        <v>2472</v>
      </c>
      <c r="AA34" s="5">
        <f t="shared" si="9"/>
        <v>0</v>
      </c>
    </row>
    <row r="35" spans="1:27" ht="19.5">
      <c r="A35" s="1">
        <v>4</v>
      </c>
      <c r="B35" s="9" t="s">
        <v>12</v>
      </c>
      <c r="C35" s="1">
        <v>309</v>
      </c>
      <c r="D35" s="5">
        <f>Table15[[#This Row],[Enrolment S.Y. 2025-2026 ]]*8</f>
        <v>2472</v>
      </c>
      <c r="E35" s="5"/>
      <c r="F35" s="1"/>
      <c r="G35" s="5"/>
      <c r="H35" s="5">
        <f t="shared" si="2"/>
        <v>2472</v>
      </c>
      <c r="I35" s="5">
        <f t="shared" si="3"/>
        <v>0</v>
      </c>
      <c r="J35" s="5">
        <f>Table15[[#This Row],[Enrolment S.Y. 2025-2026 ]]*8</f>
        <v>2472</v>
      </c>
      <c r="K35" s="5"/>
      <c r="L35" s="1"/>
      <c r="M35" s="5"/>
      <c r="N35" s="5">
        <f t="shared" si="4"/>
        <v>2472</v>
      </c>
      <c r="O35" s="5">
        <f t="shared" si="5"/>
        <v>0</v>
      </c>
      <c r="P35" s="5">
        <f>Table15[[#This Row],[Enrolment S.Y. 2025-2026 ]]*8</f>
        <v>2472</v>
      </c>
      <c r="Q35" s="5"/>
      <c r="R35" s="1"/>
      <c r="S35" s="5"/>
      <c r="T35" s="5">
        <f t="shared" si="6"/>
        <v>2472</v>
      </c>
      <c r="U35" s="5">
        <f t="shared" si="7"/>
        <v>0</v>
      </c>
      <c r="V35" s="5">
        <f>Table15[[#This Row],[Enrolment S.Y. 2025-2026 ]]*8</f>
        <v>2472</v>
      </c>
      <c r="W35" s="5"/>
      <c r="X35" s="1"/>
      <c r="Y35" s="5"/>
      <c r="Z35" s="5">
        <f t="shared" si="8"/>
        <v>2472</v>
      </c>
      <c r="AA35" s="5">
        <f t="shared" si="9"/>
        <v>0</v>
      </c>
    </row>
    <row r="36" spans="1:27" ht="19.5">
      <c r="A36" s="1">
        <v>4</v>
      </c>
      <c r="B36" s="9" t="s">
        <v>10</v>
      </c>
      <c r="C36" s="1">
        <v>309</v>
      </c>
      <c r="D36" s="5">
        <f>Table15[[#This Row],[Enrolment S.Y. 2025-2026 ]]*8</f>
        <v>2472</v>
      </c>
      <c r="E36" s="5"/>
      <c r="F36" s="1"/>
      <c r="G36" s="5"/>
      <c r="H36" s="5">
        <f t="shared" si="2"/>
        <v>2472</v>
      </c>
      <c r="I36" s="5">
        <f t="shared" si="3"/>
        <v>0</v>
      </c>
      <c r="J36" s="5">
        <f>Table15[[#This Row],[Enrolment S.Y. 2025-2026 ]]*8</f>
        <v>2472</v>
      </c>
      <c r="K36" s="5"/>
      <c r="L36" s="1"/>
      <c r="M36" s="5"/>
      <c r="N36" s="5">
        <f t="shared" si="4"/>
        <v>2472</v>
      </c>
      <c r="O36" s="5">
        <f t="shared" si="5"/>
        <v>0</v>
      </c>
      <c r="P36" s="5">
        <f>Table15[[#This Row],[Enrolment S.Y. 2025-2026 ]]*8</f>
        <v>2472</v>
      </c>
      <c r="Q36" s="5"/>
      <c r="R36" s="1"/>
      <c r="S36" s="5"/>
      <c r="T36" s="5">
        <f t="shared" si="6"/>
        <v>2472</v>
      </c>
      <c r="U36" s="5">
        <f t="shared" si="7"/>
        <v>0</v>
      </c>
      <c r="V36" s="5">
        <f>Table15[[#This Row],[Enrolment S.Y. 2025-2026 ]]*8</f>
        <v>2472</v>
      </c>
      <c r="W36" s="5"/>
      <c r="X36" s="1"/>
      <c r="Y36" s="5"/>
      <c r="Z36" s="5">
        <f t="shared" si="8"/>
        <v>2472</v>
      </c>
      <c r="AA36" s="5">
        <f t="shared" si="9"/>
        <v>0</v>
      </c>
    </row>
    <row r="37" spans="1:27" ht="38.25">
      <c r="A37" s="1">
        <v>4</v>
      </c>
      <c r="B37" s="9" t="s">
        <v>16</v>
      </c>
      <c r="C37" s="1">
        <v>309</v>
      </c>
      <c r="D37" s="5">
        <f>Table15[[#This Row],[Enrolment S.Y. 2025-2026 ]]*8</f>
        <v>2472</v>
      </c>
      <c r="E37" s="5"/>
      <c r="F37" s="1"/>
      <c r="G37" s="5"/>
      <c r="H37" s="5">
        <f t="shared" si="2"/>
        <v>2472</v>
      </c>
      <c r="I37" s="5">
        <f t="shared" si="3"/>
        <v>0</v>
      </c>
      <c r="J37" s="5">
        <f>Table15[[#This Row],[Enrolment S.Y. 2025-2026 ]]*8</f>
        <v>2472</v>
      </c>
      <c r="K37" s="5"/>
      <c r="L37" s="1"/>
      <c r="M37" s="5"/>
      <c r="N37" s="5">
        <f t="shared" si="4"/>
        <v>2472</v>
      </c>
      <c r="O37" s="5">
        <f t="shared" si="5"/>
        <v>0</v>
      </c>
      <c r="P37" s="5">
        <f>Table15[[#This Row],[Enrolment S.Y. 2025-2026 ]]*8</f>
        <v>2472</v>
      </c>
      <c r="Q37" s="5"/>
      <c r="R37" s="1"/>
      <c r="S37" s="5"/>
      <c r="T37" s="5">
        <f t="shared" si="6"/>
        <v>2472</v>
      </c>
      <c r="U37" s="5">
        <f t="shared" si="7"/>
        <v>0</v>
      </c>
      <c r="V37" s="5">
        <f>Table15[[#This Row],[Enrolment S.Y. 2025-2026 ]]*8</f>
        <v>2472</v>
      </c>
      <c r="W37" s="5"/>
      <c r="X37" s="1"/>
      <c r="Y37" s="5"/>
      <c r="Z37" s="5">
        <f t="shared" si="8"/>
        <v>2472</v>
      </c>
      <c r="AA37" s="5">
        <f t="shared" si="9"/>
        <v>0</v>
      </c>
    </row>
    <row r="38" spans="1:27" ht="19.5">
      <c r="A38" s="1">
        <v>4</v>
      </c>
      <c r="B38" s="9" t="s">
        <v>13</v>
      </c>
      <c r="C38" s="1">
        <v>309</v>
      </c>
      <c r="D38" s="5">
        <f>Table15[[#This Row],[Enrolment S.Y. 2025-2026 ]]*8</f>
        <v>2472</v>
      </c>
      <c r="E38" s="5"/>
      <c r="F38" s="1"/>
      <c r="G38" s="5"/>
      <c r="H38" s="5">
        <f t="shared" si="2"/>
        <v>2472</v>
      </c>
      <c r="I38" s="5">
        <f t="shared" si="3"/>
        <v>0</v>
      </c>
      <c r="J38" s="5">
        <f>Table15[[#This Row],[Enrolment S.Y. 2025-2026 ]]*8</f>
        <v>2472</v>
      </c>
      <c r="K38" s="5"/>
      <c r="L38" s="1"/>
      <c r="M38" s="5"/>
      <c r="N38" s="5">
        <f t="shared" si="4"/>
        <v>2472</v>
      </c>
      <c r="O38" s="5">
        <f t="shared" si="5"/>
        <v>0</v>
      </c>
      <c r="P38" s="5">
        <f>Table15[[#This Row],[Enrolment S.Y. 2025-2026 ]]*8</f>
        <v>2472</v>
      </c>
      <c r="Q38" s="5"/>
      <c r="R38" s="1"/>
      <c r="S38" s="5"/>
      <c r="T38" s="5">
        <f t="shared" si="6"/>
        <v>2472</v>
      </c>
      <c r="U38" s="5">
        <f t="shared" si="7"/>
        <v>0</v>
      </c>
      <c r="V38" s="5">
        <f>Table15[[#This Row],[Enrolment S.Y. 2025-2026 ]]*8</f>
        <v>2472</v>
      </c>
      <c r="W38" s="5"/>
      <c r="X38" s="1"/>
      <c r="Y38" s="5"/>
      <c r="Z38" s="5">
        <f t="shared" si="8"/>
        <v>2472</v>
      </c>
      <c r="AA38" s="5">
        <f t="shared" si="9"/>
        <v>0</v>
      </c>
    </row>
    <row r="39" spans="1:27" ht="19.5">
      <c r="A39" s="1">
        <v>4</v>
      </c>
      <c r="B39" s="9" t="s">
        <v>17</v>
      </c>
      <c r="C39" s="1">
        <v>309</v>
      </c>
      <c r="D39" s="5">
        <f>Table15[[#This Row],[Enrolment S.Y. 2025-2026 ]]*8</f>
        <v>2472</v>
      </c>
      <c r="E39" s="5"/>
      <c r="F39" s="1"/>
      <c r="G39" s="5"/>
      <c r="H39" s="5">
        <f t="shared" si="2"/>
        <v>2472</v>
      </c>
      <c r="I39" s="5">
        <f t="shared" si="3"/>
        <v>0</v>
      </c>
      <c r="J39" s="5">
        <f>Table15[[#This Row],[Enrolment S.Y. 2025-2026 ]]*8</f>
        <v>2472</v>
      </c>
      <c r="K39" s="5"/>
      <c r="L39" s="1"/>
      <c r="M39" s="5"/>
      <c r="N39" s="5">
        <f t="shared" si="4"/>
        <v>2472</v>
      </c>
      <c r="O39" s="5">
        <f t="shared" si="5"/>
        <v>0</v>
      </c>
      <c r="P39" s="5">
        <f>Table15[[#This Row],[Enrolment S.Y. 2025-2026 ]]*8</f>
        <v>2472</v>
      </c>
      <c r="Q39" s="5"/>
      <c r="R39" s="1"/>
      <c r="S39" s="5"/>
      <c r="T39" s="5">
        <f t="shared" si="6"/>
        <v>2472</v>
      </c>
      <c r="U39" s="5">
        <f t="shared" si="7"/>
        <v>0</v>
      </c>
      <c r="V39" s="5">
        <f>Table15[[#This Row],[Enrolment S.Y. 2025-2026 ]]*8</f>
        <v>2472</v>
      </c>
      <c r="W39" s="5"/>
      <c r="X39" s="1"/>
      <c r="Y39" s="5"/>
      <c r="Z39" s="5">
        <f t="shared" si="8"/>
        <v>2472</v>
      </c>
      <c r="AA39" s="5">
        <f t="shared" si="9"/>
        <v>0</v>
      </c>
    </row>
    <row r="40" spans="1:27" ht="19.5">
      <c r="A40" s="1">
        <v>4</v>
      </c>
      <c r="B40" s="9" t="s">
        <v>18</v>
      </c>
      <c r="C40" s="1">
        <v>309</v>
      </c>
      <c r="D40" s="5">
        <f>Table15[[#This Row],[Enrolment S.Y. 2025-2026 ]]*8</f>
        <v>2472</v>
      </c>
      <c r="E40" s="5"/>
      <c r="F40" s="1"/>
      <c r="G40" s="5"/>
      <c r="H40" s="5">
        <f t="shared" si="2"/>
        <v>2472</v>
      </c>
      <c r="I40" s="5">
        <f t="shared" si="3"/>
        <v>0</v>
      </c>
      <c r="J40" s="5">
        <f>Table15[[#This Row],[Enrolment S.Y. 2025-2026 ]]*8</f>
        <v>2472</v>
      </c>
      <c r="K40" s="5"/>
      <c r="L40" s="1"/>
      <c r="M40" s="5"/>
      <c r="N40" s="5">
        <f t="shared" si="4"/>
        <v>2472</v>
      </c>
      <c r="O40" s="5">
        <f t="shared" si="5"/>
        <v>0</v>
      </c>
      <c r="P40" s="5">
        <f>Table15[[#This Row],[Enrolment S.Y. 2025-2026 ]]*8</f>
        <v>2472</v>
      </c>
      <c r="Q40" s="5"/>
      <c r="R40" s="1"/>
      <c r="S40" s="5"/>
      <c r="T40" s="5">
        <f t="shared" si="6"/>
        <v>2472</v>
      </c>
      <c r="U40" s="5">
        <f t="shared" si="7"/>
        <v>0</v>
      </c>
      <c r="V40" s="5">
        <f>Table15[[#This Row],[Enrolment S.Y. 2025-2026 ]]*8</f>
        <v>2472</v>
      </c>
      <c r="W40" s="5"/>
      <c r="X40" s="1"/>
      <c r="Y40" s="5"/>
      <c r="Z40" s="5">
        <f t="shared" si="8"/>
        <v>2472</v>
      </c>
      <c r="AA40" s="5">
        <f t="shared" si="9"/>
        <v>0</v>
      </c>
    </row>
    <row r="41" spans="1:27" ht="19.5">
      <c r="A41" s="1">
        <v>4</v>
      </c>
      <c r="B41" s="9" t="s">
        <v>19</v>
      </c>
      <c r="C41" s="1">
        <v>309</v>
      </c>
      <c r="D41" s="5">
        <f>Table15[[#This Row],[Enrolment S.Y. 2025-2026 ]]*8</f>
        <v>2472</v>
      </c>
      <c r="E41" s="5"/>
      <c r="F41" s="1"/>
      <c r="G41" s="5"/>
      <c r="H41" s="5">
        <f t="shared" si="2"/>
        <v>2472</v>
      </c>
      <c r="I41" s="5">
        <f t="shared" si="3"/>
        <v>0</v>
      </c>
      <c r="J41" s="5">
        <f>Table15[[#This Row],[Enrolment S.Y. 2025-2026 ]]*8</f>
        <v>2472</v>
      </c>
      <c r="K41" s="5"/>
      <c r="L41" s="1"/>
      <c r="M41" s="5"/>
      <c r="N41" s="5">
        <f t="shared" si="4"/>
        <v>2472</v>
      </c>
      <c r="O41" s="5">
        <f t="shared" si="5"/>
        <v>0</v>
      </c>
      <c r="P41" s="5">
        <f>Table15[[#This Row],[Enrolment S.Y. 2025-2026 ]]*8</f>
        <v>2472</v>
      </c>
      <c r="Q41" s="5"/>
      <c r="R41" s="1"/>
      <c r="S41" s="5"/>
      <c r="T41" s="5">
        <f t="shared" si="6"/>
        <v>2472</v>
      </c>
      <c r="U41" s="5">
        <f t="shared" si="7"/>
        <v>0</v>
      </c>
      <c r="V41" s="5">
        <f>Table15[[#This Row],[Enrolment S.Y. 2025-2026 ]]*8</f>
        <v>2472</v>
      </c>
      <c r="W41" s="5"/>
      <c r="X41" s="1"/>
      <c r="Y41" s="5"/>
      <c r="Z41" s="5">
        <f t="shared" si="8"/>
        <v>2472</v>
      </c>
      <c r="AA41" s="5">
        <f t="shared" si="9"/>
        <v>0</v>
      </c>
    </row>
    <row r="42" spans="1:27" s="7" customFormat="1" ht="19.5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14</v>
      </c>
      <c r="C43" s="1">
        <v>285</v>
      </c>
      <c r="D43" s="5">
        <f>Table15[[#This Row],[Enrolment S.Y. 2025-2026 ]]*8</f>
        <v>2280</v>
      </c>
      <c r="E43" s="5"/>
      <c r="F43" s="1"/>
      <c r="G43" s="5"/>
      <c r="H43" s="5">
        <f t="shared" si="2"/>
        <v>2280</v>
      </c>
      <c r="I43" s="5">
        <f t="shared" si="3"/>
        <v>0</v>
      </c>
      <c r="J43" s="5">
        <f>Table15[[#This Row],[Enrolment S.Y. 2025-2026 ]]*8</f>
        <v>2280</v>
      </c>
      <c r="K43" s="5"/>
      <c r="L43" s="1"/>
      <c r="M43" s="5"/>
      <c r="N43" s="5">
        <f t="shared" si="4"/>
        <v>2280</v>
      </c>
      <c r="O43" s="5">
        <f t="shared" si="5"/>
        <v>0</v>
      </c>
      <c r="P43" s="5">
        <f>Table15[[#This Row],[Enrolment S.Y. 2025-2026 ]]*8</f>
        <v>2280</v>
      </c>
      <c r="Q43" s="5"/>
      <c r="R43" s="1"/>
      <c r="S43" s="5"/>
      <c r="T43" s="5">
        <f t="shared" si="6"/>
        <v>2280</v>
      </c>
      <c r="U43" s="5">
        <f t="shared" si="7"/>
        <v>0</v>
      </c>
      <c r="V43" s="5">
        <f>Table15[[#This Row],[Enrolment S.Y. 2025-2026 ]]*8</f>
        <v>2280</v>
      </c>
      <c r="W43" s="5"/>
      <c r="X43" s="1"/>
      <c r="Y43" s="5"/>
      <c r="Z43" s="5">
        <f t="shared" si="8"/>
        <v>2280</v>
      </c>
      <c r="AA43" s="5">
        <f t="shared" si="9"/>
        <v>0</v>
      </c>
    </row>
    <row r="44" spans="1:27" ht="19.5">
      <c r="A44" s="1">
        <v>5</v>
      </c>
      <c r="B44" s="9" t="s">
        <v>15</v>
      </c>
      <c r="C44" s="1">
        <v>285</v>
      </c>
      <c r="D44" s="5">
        <f>Table15[[#This Row],[Enrolment S.Y. 2025-2026 ]]*8</f>
        <v>2280</v>
      </c>
      <c r="E44" s="5"/>
      <c r="F44" s="1"/>
      <c r="G44" s="5"/>
      <c r="H44" s="5">
        <f t="shared" si="2"/>
        <v>2280</v>
      </c>
      <c r="I44" s="5">
        <f t="shared" si="3"/>
        <v>0</v>
      </c>
      <c r="J44" s="5">
        <f>Table15[[#This Row],[Enrolment S.Y. 2025-2026 ]]*8</f>
        <v>2280</v>
      </c>
      <c r="K44" s="5"/>
      <c r="L44" s="1"/>
      <c r="M44" s="5"/>
      <c r="N44" s="5">
        <f t="shared" si="4"/>
        <v>2280</v>
      </c>
      <c r="O44" s="5">
        <f t="shared" si="5"/>
        <v>0</v>
      </c>
      <c r="P44" s="5">
        <f>Table15[[#This Row],[Enrolment S.Y. 2025-2026 ]]*8</f>
        <v>2280</v>
      </c>
      <c r="Q44" s="5"/>
      <c r="R44" s="1"/>
      <c r="S44" s="5"/>
      <c r="T44" s="5">
        <f t="shared" si="6"/>
        <v>2280</v>
      </c>
      <c r="U44" s="5">
        <f t="shared" si="7"/>
        <v>0</v>
      </c>
      <c r="V44" s="5">
        <f>Table15[[#This Row],[Enrolment S.Y. 2025-2026 ]]*8</f>
        <v>2280</v>
      </c>
      <c r="W44" s="5"/>
      <c r="X44" s="1"/>
      <c r="Y44" s="5"/>
      <c r="Z44" s="5">
        <f t="shared" si="8"/>
        <v>2280</v>
      </c>
      <c r="AA44" s="5">
        <f t="shared" si="9"/>
        <v>0</v>
      </c>
    </row>
    <row r="45" spans="1:27" ht="19.5">
      <c r="A45" s="1">
        <v>5</v>
      </c>
      <c r="B45" s="9" t="s">
        <v>12</v>
      </c>
      <c r="C45" s="1">
        <v>285</v>
      </c>
      <c r="D45" s="5">
        <f>Table15[[#This Row],[Enrolment S.Y. 2025-2026 ]]*8</f>
        <v>2280</v>
      </c>
      <c r="E45" s="5"/>
      <c r="F45" s="1"/>
      <c r="G45" s="5"/>
      <c r="H45" s="5">
        <f t="shared" si="2"/>
        <v>2280</v>
      </c>
      <c r="I45" s="5">
        <f t="shared" si="3"/>
        <v>0</v>
      </c>
      <c r="J45" s="5">
        <f>Table15[[#This Row],[Enrolment S.Y. 2025-2026 ]]*8</f>
        <v>2280</v>
      </c>
      <c r="K45" s="5"/>
      <c r="L45" s="1"/>
      <c r="M45" s="5"/>
      <c r="N45" s="5">
        <f t="shared" si="4"/>
        <v>2280</v>
      </c>
      <c r="O45" s="5">
        <f t="shared" si="5"/>
        <v>0</v>
      </c>
      <c r="P45" s="5">
        <f>Table15[[#This Row],[Enrolment S.Y. 2025-2026 ]]*8</f>
        <v>2280</v>
      </c>
      <c r="Q45" s="5"/>
      <c r="R45" s="1"/>
      <c r="S45" s="5"/>
      <c r="T45" s="5">
        <f t="shared" si="6"/>
        <v>2280</v>
      </c>
      <c r="U45" s="5">
        <f t="shared" si="7"/>
        <v>0</v>
      </c>
      <c r="V45" s="5">
        <f>Table15[[#This Row],[Enrolment S.Y. 2025-2026 ]]*8</f>
        <v>2280</v>
      </c>
      <c r="W45" s="5"/>
      <c r="X45" s="1"/>
      <c r="Y45" s="5"/>
      <c r="Z45" s="5">
        <f t="shared" si="8"/>
        <v>2280</v>
      </c>
      <c r="AA45" s="5">
        <f t="shared" si="9"/>
        <v>0</v>
      </c>
    </row>
    <row r="46" spans="1:27" ht="19.5">
      <c r="A46" s="1">
        <v>5</v>
      </c>
      <c r="B46" s="9" t="s">
        <v>10</v>
      </c>
      <c r="C46" s="1">
        <v>285</v>
      </c>
      <c r="D46" s="5">
        <f>Table15[[#This Row],[Enrolment S.Y. 2025-2026 ]]*8</f>
        <v>2280</v>
      </c>
      <c r="E46" s="5"/>
      <c r="F46" s="1"/>
      <c r="G46" s="5"/>
      <c r="H46" s="5">
        <f t="shared" si="2"/>
        <v>2280</v>
      </c>
      <c r="I46" s="5">
        <f t="shared" si="3"/>
        <v>0</v>
      </c>
      <c r="J46" s="5">
        <f>Table15[[#This Row],[Enrolment S.Y. 2025-2026 ]]*8</f>
        <v>2280</v>
      </c>
      <c r="K46" s="5"/>
      <c r="L46" s="1"/>
      <c r="M46" s="5"/>
      <c r="N46" s="5">
        <f t="shared" si="4"/>
        <v>2280</v>
      </c>
      <c r="O46" s="5">
        <f t="shared" si="5"/>
        <v>0</v>
      </c>
      <c r="P46" s="5">
        <f>Table15[[#This Row],[Enrolment S.Y. 2025-2026 ]]*8</f>
        <v>2280</v>
      </c>
      <c r="Q46" s="5"/>
      <c r="R46" s="1"/>
      <c r="S46" s="5"/>
      <c r="T46" s="5">
        <f t="shared" si="6"/>
        <v>2280</v>
      </c>
      <c r="U46" s="5">
        <f t="shared" si="7"/>
        <v>0</v>
      </c>
      <c r="V46" s="5">
        <f>Table15[[#This Row],[Enrolment S.Y. 2025-2026 ]]*8</f>
        <v>2280</v>
      </c>
      <c r="W46" s="5"/>
      <c r="X46" s="1"/>
      <c r="Y46" s="5"/>
      <c r="Z46" s="5">
        <f t="shared" si="8"/>
        <v>2280</v>
      </c>
      <c r="AA46" s="5">
        <f t="shared" si="9"/>
        <v>0</v>
      </c>
    </row>
    <row r="47" spans="1:27" ht="38.25">
      <c r="A47" s="1">
        <v>5</v>
      </c>
      <c r="B47" s="9" t="s">
        <v>16</v>
      </c>
      <c r="C47" s="1">
        <v>285</v>
      </c>
      <c r="D47" s="5">
        <f>Table15[[#This Row],[Enrolment S.Y. 2025-2026 ]]*8</f>
        <v>2280</v>
      </c>
      <c r="E47" s="5"/>
      <c r="F47" s="1"/>
      <c r="G47" s="5"/>
      <c r="H47" s="5">
        <f t="shared" si="2"/>
        <v>2280</v>
      </c>
      <c r="I47" s="5">
        <f t="shared" si="3"/>
        <v>0</v>
      </c>
      <c r="J47" s="5">
        <f>Table15[[#This Row],[Enrolment S.Y. 2025-2026 ]]*8</f>
        <v>2280</v>
      </c>
      <c r="K47" s="5"/>
      <c r="L47" s="1"/>
      <c r="M47" s="5"/>
      <c r="N47" s="5">
        <f t="shared" si="4"/>
        <v>2280</v>
      </c>
      <c r="O47" s="5">
        <f t="shared" si="5"/>
        <v>0</v>
      </c>
      <c r="P47" s="5">
        <f>Table15[[#This Row],[Enrolment S.Y. 2025-2026 ]]*8</f>
        <v>2280</v>
      </c>
      <c r="Q47" s="5"/>
      <c r="R47" s="1"/>
      <c r="S47" s="5"/>
      <c r="T47" s="5">
        <f t="shared" si="6"/>
        <v>2280</v>
      </c>
      <c r="U47" s="5">
        <f t="shared" si="7"/>
        <v>0</v>
      </c>
      <c r="V47" s="5">
        <f>Table15[[#This Row],[Enrolment S.Y. 2025-2026 ]]*8</f>
        <v>2280</v>
      </c>
      <c r="W47" s="5"/>
      <c r="X47" s="1"/>
      <c r="Y47" s="5"/>
      <c r="Z47" s="5">
        <f t="shared" si="8"/>
        <v>2280</v>
      </c>
      <c r="AA47" s="5">
        <f t="shared" si="9"/>
        <v>0</v>
      </c>
    </row>
    <row r="48" spans="1:27" ht="19.5">
      <c r="A48" s="1">
        <v>5</v>
      </c>
      <c r="B48" s="9" t="s">
        <v>13</v>
      </c>
      <c r="C48" s="1">
        <v>285</v>
      </c>
      <c r="D48" s="5">
        <f>Table15[[#This Row],[Enrolment S.Y. 2025-2026 ]]*8</f>
        <v>2280</v>
      </c>
      <c r="E48" s="5"/>
      <c r="F48" s="1"/>
      <c r="G48" s="5"/>
      <c r="H48" s="5">
        <f t="shared" si="2"/>
        <v>2280</v>
      </c>
      <c r="I48" s="5">
        <f t="shared" si="3"/>
        <v>0</v>
      </c>
      <c r="J48" s="5">
        <f>Table15[[#This Row],[Enrolment S.Y. 2025-2026 ]]*8</f>
        <v>2280</v>
      </c>
      <c r="K48" s="5"/>
      <c r="L48" s="1"/>
      <c r="M48" s="5"/>
      <c r="N48" s="5">
        <f t="shared" si="4"/>
        <v>2280</v>
      </c>
      <c r="O48" s="5">
        <f t="shared" si="5"/>
        <v>0</v>
      </c>
      <c r="P48" s="5">
        <f>Table15[[#This Row],[Enrolment S.Y. 2025-2026 ]]*8</f>
        <v>2280</v>
      </c>
      <c r="Q48" s="5"/>
      <c r="R48" s="1"/>
      <c r="S48" s="5"/>
      <c r="T48" s="5">
        <f t="shared" si="6"/>
        <v>2280</v>
      </c>
      <c r="U48" s="5">
        <f t="shared" si="7"/>
        <v>0</v>
      </c>
      <c r="V48" s="5">
        <f>Table15[[#This Row],[Enrolment S.Y. 2025-2026 ]]*8</f>
        <v>2280</v>
      </c>
      <c r="W48" s="5"/>
      <c r="X48" s="1"/>
      <c r="Y48" s="5"/>
      <c r="Z48" s="5">
        <f t="shared" si="8"/>
        <v>2280</v>
      </c>
      <c r="AA48" s="5">
        <f t="shared" si="9"/>
        <v>0</v>
      </c>
    </row>
    <row r="49" spans="1:27" ht="19.5">
      <c r="A49" s="1">
        <v>5</v>
      </c>
      <c r="B49" s="9" t="s">
        <v>17</v>
      </c>
      <c r="C49" s="1">
        <v>285</v>
      </c>
      <c r="D49" s="5">
        <f>Table15[[#This Row],[Enrolment S.Y. 2025-2026 ]]*8</f>
        <v>2280</v>
      </c>
      <c r="E49" s="5"/>
      <c r="F49" s="1"/>
      <c r="G49" s="5"/>
      <c r="H49" s="5">
        <f t="shared" si="2"/>
        <v>2280</v>
      </c>
      <c r="I49" s="5">
        <f t="shared" si="3"/>
        <v>0</v>
      </c>
      <c r="J49" s="5">
        <f>Table15[[#This Row],[Enrolment S.Y. 2025-2026 ]]*8</f>
        <v>2280</v>
      </c>
      <c r="K49" s="5"/>
      <c r="L49" s="1"/>
      <c r="M49" s="5"/>
      <c r="N49" s="5">
        <f t="shared" si="4"/>
        <v>2280</v>
      </c>
      <c r="O49" s="5">
        <f t="shared" si="5"/>
        <v>0</v>
      </c>
      <c r="P49" s="5">
        <f>Table15[[#This Row],[Enrolment S.Y. 2025-2026 ]]*8</f>
        <v>2280</v>
      </c>
      <c r="Q49" s="5"/>
      <c r="R49" s="1"/>
      <c r="S49" s="5"/>
      <c r="T49" s="5">
        <f t="shared" si="6"/>
        <v>2280</v>
      </c>
      <c r="U49" s="5">
        <f t="shared" si="7"/>
        <v>0</v>
      </c>
      <c r="V49" s="5">
        <f>Table15[[#This Row],[Enrolment S.Y. 2025-2026 ]]*8</f>
        <v>2280</v>
      </c>
      <c r="W49" s="5"/>
      <c r="X49" s="1"/>
      <c r="Y49" s="5"/>
      <c r="Z49" s="5">
        <f t="shared" si="8"/>
        <v>2280</v>
      </c>
      <c r="AA49" s="5">
        <f t="shared" si="9"/>
        <v>0</v>
      </c>
    </row>
    <row r="50" spans="1:27" ht="19.5">
      <c r="A50" s="1">
        <v>5</v>
      </c>
      <c r="B50" s="9" t="s">
        <v>18</v>
      </c>
      <c r="C50" s="1">
        <v>285</v>
      </c>
      <c r="D50" s="5">
        <f>Table15[[#This Row],[Enrolment S.Y. 2025-2026 ]]*8</f>
        <v>2280</v>
      </c>
      <c r="E50" s="5"/>
      <c r="F50" s="1"/>
      <c r="G50" s="5"/>
      <c r="H50" s="5">
        <f t="shared" si="2"/>
        <v>2280</v>
      </c>
      <c r="I50" s="5">
        <f t="shared" si="3"/>
        <v>0</v>
      </c>
      <c r="J50" s="5">
        <f>Table15[[#This Row],[Enrolment S.Y. 2025-2026 ]]*8</f>
        <v>2280</v>
      </c>
      <c r="K50" s="5"/>
      <c r="L50" s="1"/>
      <c r="M50" s="5"/>
      <c r="N50" s="5">
        <f t="shared" si="4"/>
        <v>2280</v>
      </c>
      <c r="O50" s="5">
        <f t="shared" si="5"/>
        <v>0</v>
      </c>
      <c r="P50" s="5">
        <f>Table15[[#This Row],[Enrolment S.Y. 2025-2026 ]]*8</f>
        <v>2280</v>
      </c>
      <c r="Q50" s="5"/>
      <c r="R50" s="1"/>
      <c r="S50" s="5"/>
      <c r="T50" s="5">
        <f t="shared" si="6"/>
        <v>2280</v>
      </c>
      <c r="U50" s="5">
        <f t="shared" si="7"/>
        <v>0</v>
      </c>
      <c r="V50" s="5">
        <f>Table15[[#This Row],[Enrolment S.Y. 2025-2026 ]]*8</f>
        <v>2280</v>
      </c>
      <c r="W50" s="5"/>
      <c r="X50" s="1"/>
      <c r="Y50" s="5"/>
      <c r="Z50" s="5">
        <f t="shared" si="8"/>
        <v>2280</v>
      </c>
      <c r="AA50" s="5">
        <f t="shared" si="9"/>
        <v>0</v>
      </c>
    </row>
    <row r="51" spans="1:27" ht="19.5">
      <c r="A51" s="1">
        <v>5</v>
      </c>
      <c r="B51" s="9" t="s">
        <v>19</v>
      </c>
      <c r="C51" s="1">
        <v>285</v>
      </c>
      <c r="D51" s="5">
        <f>Table15[[#This Row],[Enrolment S.Y. 2025-2026 ]]*8</f>
        <v>2280</v>
      </c>
      <c r="E51" s="5"/>
      <c r="F51" s="1"/>
      <c r="G51" s="5"/>
      <c r="H51" s="5">
        <f t="shared" si="2"/>
        <v>2280</v>
      </c>
      <c r="I51" s="5">
        <f t="shared" si="3"/>
        <v>0</v>
      </c>
      <c r="J51" s="5">
        <f>Table15[[#This Row],[Enrolment S.Y. 2025-2026 ]]*8</f>
        <v>2280</v>
      </c>
      <c r="K51" s="5"/>
      <c r="L51" s="1"/>
      <c r="M51" s="5"/>
      <c r="N51" s="5">
        <f t="shared" si="4"/>
        <v>2280</v>
      </c>
      <c r="O51" s="5">
        <f t="shared" si="5"/>
        <v>0</v>
      </c>
      <c r="P51" s="5">
        <f>Table15[[#This Row],[Enrolment S.Y. 2025-2026 ]]*8</f>
        <v>2280</v>
      </c>
      <c r="Q51" s="5"/>
      <c r="R51" s="1"/>
      <c r="S51" s="5"/>
      <c r="T51" s="5">
        <f t="shared" si="6"/>
        <v>2280</v>
      </c>
      <c r="U51" s="5">
        <f t="shared" si="7"/>
        <v>0</v>
      </c>
      <c r="V51" s="5">
        <f>Table15[[#This Row],[Enrolment S.Y. 2025-2026 ]]*8</f>
        <v>2280</v>
      </c>
      <c r="W51" s="5"/>
      <c r="X51" s="1"/>
      <c r="Y51" s="5"/>
      <c r="Z51" s="5">
        <f t="shared" si="8"/>
        <v>2280</v>
      </c>
      <c r="AA51" s="5">
        <f t="shared" si="9"/>
        <v>0</v>
      </c>
    </row>
    <row r="52" spans="1:27" s="7" customFormat="1" ht="19.5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14</v>
      </c>
      <c r="C53" s="1">
        <v>252</v>
      </c>
      <c r="D53" s="5">
        <f>Table15[[#This Row],[Enrolment S.Y. 2025-2026 ]]*8</f>
        <v>2016</v>
      </c>
      <c r="E53" s="5"/>
      <c r="F53" s="1"/>
      <c r="G53" s="5"/>
      <c r="H53" s="5">
        <f t="shared" si="2"/>
        <v>2016</v>
      </c>
      <c r="I53" s="5">
        <f t="shared" si="3"/>
        <v>0</v>
      </c>
      <c r="J53" s="5">
        <f>Table15[[#This Row],[Enrolment S.Y. 2025-2026 ]]*8</f>
        <v>2016</v>
      </c>
      <c r="K53" s="5"/>
      <c r="L53" s="1"/>
      <c r="M53" s="5"/>
      <c r="N53" s="5">
        <f t="shared" si="4"/>
        <v>2016</v>
      </c>
      <c r="O53" s="5">
        <f t="shared" si="5"/>
        <v>0</v>
      </c>
      <c r="P53" s="5">
        <f>Table15[[#This Row],[Enrolment S.Y. 2025-2026 ]]*8</f>
        <v>2016</v>
      </c>
      <c r="Q53" s="5">
        <v>450</v>
      </c>
      <c r="R53" s="1">
        <v>2025</v>
      </c>
      <c r="S53" s="5" t="s">
        <v>62</v>
      </c>
      <c r="T53" s="5">
        <f t="shared" si="6"/>
        <v>1566</v>
      </c>
      <c r="U53" s="5">
        <f t="shared" si="7"/>
        <v>0</v>
      </c>
      <c r="V53" s="5">
        <f>Table15[[#This Row],[Enrolment S.Y. 2025-2026 ]]*8</f>
        <v>2016</v>
      </c>
      <c r="W53" s="5"/>
      <c r="X53" s="1"/>
      <c r="Y53" s="5"/>
      <c r="Z53" s="5">
        <f t="shared" si="8"/>
        <v>2016</v>
      </c>
      <c r="AA53" s="5">
        <f t="shared" si="9"/>
        <v>0</v>
      </c>
    </row>
    <row r="54" spans="1:27" ht="19.5">
      <c r="A54" s="1">
        <v>6</v>
      </c>
      <c r="B54" s="9" t="s">
        <v>15</v>
      </c>
      <c r="C54" s="1">
        <v>252</v>
      </c>
      <c r="D54" s="5">
        <f>Table15[[#This Row],[Enrolment S.Y. 2025-2026 ]]*8</f>
        <v>2016</v>
      </c>
      <c r="E54" s="5"/>
      <c r="F54" s="1"/>
      <c r="G54" s="5"/>
      <c r="H54" s="5">
        <f t="shared" si="2"/>
        <v>2016</v>
      </c>
      <c r="I54" s="5">
        <f t="shared" si="3"/>
        <v>0</v>
      </c>
      <c r="J54" s="5">
        <f>Table15[[#This Row],[Enrolment S.Y. 2025-2026 ]]*8</f>
        <v>2016</v>
      </c>
      <c r="K54" s="5"/>
      <c r="L54" s="1"/>
      <c r="M54" s="5"/>
      <c r="N54" s="5">
        <f t="shared" si="4"/>
        <v>2016</v>
      </c>
      <c r="O54" s="5">
        <f t="shared" si="5"/>
        <v>0</v>
      </c>
      <c r="P54" s="5">
        <f>Table15[[#This Row],[Enrolment S.Y. 2025-2026 ]]*8</f>
        <v>2016</v>
      </c>
      <c r="Q54" s="5">
        <v>850</v>
      </c>
      <c r="R54" s="1">
        <v>2025</v>
      </c>
      <c r="S54" s="5" t="s">
        <v>62</v>
      </c>
      <c r="T54" s="5">
        <f t="shared" si="6"/>
        <v>1166</v>
      </c>
      <c r="U54" s="5">
        <f t="shared" si="7"/>
        <v>0</v>
      </c>
      <c r="V54" s="5">
        <f>Table15[[#This Row],[Enrolment S.Y. 2025-2026 ]]*8</f>
        <v>2016</v>
      </c>
      <c r="W54" s="5"/>
      <c r="X54" s="1"/>
      <c r="Y54" s="5"/>
      <c r="Z54" s="5">
        <f t="shared" si="8"/>
        <v>2016</v>
      </c>
      <c r="AA54" s="5">
        <f t="shared" si="9"/>
        <v>0</v>
      </c>
    </row>
    <row r="55" spans="1:27" ht="19.5">
      <c r="A55" s="1">
        <v>6</v>
      </c>
      <c r="B55" s="9" t="s">
        <v>12</v>
      </c>
      <c r="C55" s="1">
        <v>252</v>
      </c>
      <c r="D55" s="5">
        <f>Table15[[#This Row],[Enrolment S.Y. 2025-2026 ]]*8</f>
        <v>2016</v>
      </c>
      <c r="E55" s="5"/>
      <c r="F55" s="1"/>
      <c r="G55" s="5"/>
      <c r="H55" s="5">
        <f t="shared" si="2"/>
        <v>2016</v>
      </c>
      <c r="I55" s="5">
        <f t="shared" si="3"/>
        <v>0</v>
      </c>
      <c r="J55" s="5">
        <f>Table15[[#This Row],[Enrolment S.Y. 2025-2026 ]]*8</f>
        <v>2016</v>
      </c>
      <c r="K55" s="5"/>
      <c r="L55" s="1"/>
      <c r="M55" s="5"/>
      <c r="N55" s="5">
        <f t="shared" si="4"/>
        <v>2016</v>
      </c>
      <c r="O55" s="5">
        <f t="shared" si="5"/>
        <v>0</v>
      </c>
      <c r="P55" s="5">
        <f>Table15[[#This Row],[Enrolment S.Y. 2025-2026 ]]*8</f>
        <v>2016</v>
      </c>
      <c r="Q55" s="5">
        <v>900</v>
      </c>
      <c r="R55" s="1">
        <v>2025</v>
      </c>
      <c r="S55" s="5" t="s">
        <v>62</v>
      </c>
      <c r="T55" s="5">
        <f t="shared" si="6"/>
        <v>1116</v>
      </c>
      <c r="U55" s="5">
        <f t="shared" si="7"/>
        <v>0</v>
      </c>
      <c r="V55" s="5">
        <f>Table15[[#This Row],[Enrolment S.Y. 2025-2026 ]]*8</f>
        <v>2016</v>
      </c>
      <c r="W55" s="5"/>
      <c r="X55" s="1"/>
      <c r="Y55" s="5"/>
      <c r="Z55" s="5">
        <f t="shared" si="8"/>
        <v>2016</v>
      </c>
      <c r="AA55" s="5">
        <f t="shared" si="9"/>
        <v>0</v>
      </c>
    </row>
    <row r="56" spans="1:27" ht="19.5">
      <c r="A56" s="1">
        <v>6</v>
      </c>
      <c r="B56" s="9" t="s">
        <v>10</v>
      </c>
      <c r="C56" s="1">
        <v>252</v>
      </c>
      <c r="D56" s="5">
        <f>Table15[[#This Row],[Enrolment S.Y. 2025-2026 ]]*8</f>
        <v>2016</v>
      </c>
      <c r="E56" s="5"/>
      <c r="F56" s="1"/>
      <c r="G56" s="5"/>
      <c r="H56" s="5">
        <f t="shared" si="2"/>
        <v>2016</v>
      </c>
      <c r="I56" s="5">
        <f t="shared" si="3"/>
        <v>0</v>
      </c>
      <c r="J56" s="5">
        <f>Table15[[#This Row],[Enrolment S.Y. 2025-2026 ]]*8</f>
        <v>2016</v>
      </c>
      <c r="K56" s="5"/>
      <c r="L56" s="1"/>
      <c r="M56" s="5"/>
      <c r="N56" s="5">
        <f t="shared" si="4"/>
        <v>2016</v>
      </c>
      <c r="O56" s="5">
        <f t="shared" si="5"/>
        <v>0</v>
      </c>
      <c r="P56" s="5">
        <f>Table15[[#This Row],[Enrolment S.Y. 2025-2026 ]]*8</f>
        <v>2016</v>
      </c>
      <c r="Q56" s="5">
        <v>300</v>
      </c>
      <c r="R56" s="1">
        <v>2025</v>
      </c>
      <c r="S56" s="5" t="s">
        <v>62</v>
      </c>
      <c r="T56" s="5">
        <f t="shared" si="6"/>
        <v>1716</v>
      </c>
      <c r="U56" s="5">
        <f t="shared" si="7"/>
        <v>0</v>
      </c>
      <c r="V56" s="5">
        <f>Table15[[#This Row],[Enrolment S.Y. 2025-2026 ]]*8</f>
        <v>2016</v>
      </c>
      <c r="W56" s="5"/>
      <c r="X56" s="1"/>
      <c r="Y56" s="5"/>
      <c r="Z56" s="5">
        <f t="shared" si="8"/>
        <v>2016</v>
      </c>
      <c r="AA56" s="5">
        <f t="shared" si="9"/>
        <v>0</v>
      </c>
    </row>
    <row r="57" spans="1:27" ht="38.25">
      <c r="A57" s="1">
        <v>6</v>
      </c>
      <c r="B57" s="9" t="s">
        <v>16</v>
      </c>
      <c r="C57" s="1">
        <v>252</v>
      </c>
      <c r="D57" s="5">
        <f>Table15[[#This Row],[Enrolment S.Y. 2025-2026 ]]*8</f>
        <v>2016</v>
      </c>
      <c r="E57" s="5"/>
      <c r="F57" s="1"/>
      <c r="G57" s="5"/>
      <c r="H57" s="5">
        <f t="shared" si="2"/>
        <v>2016</v>
      </c>
      <c r="I57" s="5">
        <f t="shared" si="3"/>
        <v>0</v>
      </c>
      <c r="J57" s="5">
        <f>Table15[[#This Row],[Enrolment S.Y. 2025-2026 ]]*8</f>
        <v>2016</v>
      </c>
      <c r="K57" s="5"/>
      <c r="L57" s="1"/>
      <c r="M57" s="5"/>
      <c r="N57" s="5">
        <f t="shared" si="4"/>
        <v>2016</v>
      </c>
      <c r="O57" s="5">
        <f t="shared" si="5"/>
        <v>0</v>
      </c>
      <c r="P57" s="5">
        <f>Table15[[#This Row],[Enrolment S.Y. 2025-2026 ]]*8</f>
        <v>2016</v>
      </c>
      <c r="Q57" s="5">
        <v>650</v>
      </c>
      <c r="R57" s="1">
        <v>2025</v>
      </c>
      <c r="S57" s="5" t="s">
        <v>62</v>
      </c>
      <c r="T57" s="5">
        <f t="shared" si="6"/>
        <v>1366</v>
      </c>
      <c r="U57" s="5">
        <f t="shared" si="7"/>
        <v>0</v>
      </c>
      <c r="V57" s="5">
        <f>Table15[[#This Row],[Enrolment S.Y. 2025-2026 ]]*8</f>
        <v>2016</v>
      </c>
      <c r="W57" s="5"/>
      <c r="X57" s="1"/>
      <c r="Y57" s="5"/>
      <c r="Z57" s="5">
        <f t="shared" si="8"/>
        <v>2016</v>
      </c>
      <c r="AA57" s="5">
        <f t="shared" si="9"/>
        <v>0</v>
      </c>
    </row>
    <row r="58" spans="1:27" ht="19.5">
      <c r="A58" s="1">
        <v>6</v>
      </c>
      <c r="B58" s="9" t="s">
        <v>13</v>
      </c>
      <c r="C58" s="1">
        <v>252</v>
      </c>
      <c r="D58" s="5">
        <f>Table15[[#This Row],[Enrolment S.Y. 2025-2026 ]]*8</f>
        <v>2016</v>
      </c>
      <c r="E58" s="5"/>
      <c r="F58" s="1"/>
      <c r="G58" s="5"/>
      <c r="H58" s="5">
        <f t="shared" si="2"/>
        <v>2016</v>
      </c>
      <c r="I58" s="5">
        <f t="shared" si="3"/>
        <v>0</v>
      </c>
      <c r="J58" s="5">
        <f>Table15[[#This Row],[Enrolment S.Y. 2025-2026 ]]*8</f>
        <v>2016</v>
      </c>
      <c r="K58" s="5"/>
      <c r="L58" s="1"/>
      <c r="M58" s="5"/>
      <c r="N58" s="5">
        <f t="shared" si="4"/>
        <v>2016</v>
      </c>
      <c r="O58" s="5">
        <f t="shared" si="5"/>
        <v>0</v>
      </c>
      <c r="P58" s="5">
        <f>Table15[[#This Row],[Enrolment S.Y. 2025-2026 ]]*8</f>
        <v>2016</v>
      </c>
      <c r="Q58" s="5">
        <v>600</v>
      </c>
      <c r="R58" s="1">
        <v>2025</v>
      </c>
      <c r="S58" s="5" t="s">
        <v>62</v>
      </c>
      <c r="T58" s="5">
        <f t="shared" si="6"/>
        <v>1416</v>
      </c>
      <c r="U58" s="5">
        <f t="shared" si="7"/>
        <v>0</v>
      </c>
      <c r="V58" s="5">
        <f>Table15[[#This Row],[Enrolment S.Y. 2025-2026 ]]*8</f>
        <v>2016</v>
      </c>
      <c r="W58" s="5"/>
      <c r="X58" s="1"/>
      <c r="Y58" s="5"/>
      <c r="Z58" s="5">
        <f t="shared" si="8"/>
        <v>2016</v>
      </c>
      <c r="AA58" s="5">
        <f t="shared" si="9"/>
        <v>0</v>
      </c>
    </row>
    <row r="59" spans="1:27" ht="19.5">
      <c r="A59" s="1">
        <v>6</v>
      </c>
      <c r="B59" s="9" t="s">
        <v>17</v>
      </c>
      <c r="C59" s="1">
        <v>252</v>
      </c>
      <c r="D59" s="5">
        <f>Table15[[#This Row],[Enrolment S.Y. 2025-2026 ]]*8</f>
        <v>2016</v>
      </c>
      <c r="E59" s="5"/>
      <c r="F59" s="1"/>
      <c r="G59" s="5"/>
      <c r="H59" s="5">
        <f t="shared" si="2"/>
        <v>2016</v>
      </c>
      <c r="I59" s="5">
        <f t="shared" si="3"/>
        <v>0</v>
      </c>
      <c r="J59" s="5">
        <f>Table15[[#This Row],[Enrolment S.Y. 2025-2026 ]]*8</f>
        <v>2016</v>
      </c>
      <c r="K59" s="5"/>
      <c r="L59" s="1"/>
      <c r="M59" s="5"/>
      <c r="N59" s="5">
        <f t="shared" si="4"/>
        <v>2016</v>
      </c>
      <c r="O59" s="5">
        <f t="shared" si="5"/>
        <v>0</v>
      </c>
      <c r="P59" s="5">
        <f>Table15[[#This Row],[Enrolment S.Y. 2025-2026 ]]*8</f>
        <v>2016</v>
      </c>
      <c r="Q59" s="5">
        <v>1150</v>
      </c>
      <c r="R59" s="1">
        <v>2025</v>
      </c>
      <c r="S59" s="5" t="s">
        <v>62</v>
      </c>
      <c r="T59" s="5">
        <f t="shared" si="6"/>
        <v>866</v>
      </c>
      <c r="U59" s="5">
        <f t="shared" si="7"/>
        <v>0</v>
      </c>
      <c r="V59" s="5">
        <f>Table15[[#This Row],[Enrolment S.Y. 2025-2026 ]]*8</f>
        <v>2016</v>
      </c>
      <c r="W59" s="5"/>
      <c r="X59" s="1"/>
      <c r="Y59" s="5"/>
      <c r="Z59" s="5">
        <f t="shared" si="8"/>
        <v>2016</v>
      </c>
      <c r="AA59" s="5">
        <f t="shared" si="9"/>
        <v>0</v>
      </c>
    </row>
    <row r="60" spans="1:27" ht="19.5">
      <c r="A60" s="1">
        <v>6</v>
      </c>
      <c r="B60" s="9" t="s">
        <v>18</v>
      </c>
      <c r="C60" s="1">
        <v>252</v>
      </c>
      <c r="D60" s="5">
        <f>Table15[[#This Row],[Enrolment S.Y. 2025-2026 ]]*8</f>
        <v>2016</v>
      </c>
      <c r="E60" s="5"/>
      <c r="F60" s="1"/>
      <c r="G60" s="5"/>
      <c r="H60" s="5">
        <f t="shared" si="2"/>
        <v>2016</v>
      </c>
      <c r="I60" s="5">
        <f t="shared" si="3"/>
        <v>0</v>
      </c>
      <c r="J60" s="5">
        <f>Table15[[#This Row],[Enrolment S.Y. 2025-2026 ]]*8</f>
        <v>2016</v>
      </c>
      <c r="K60" s="5"/>
      <c r="L60" s="1"/>
      <c r="M60" s="5"/>
      <c r="N60" s="5">
        <f t="shared" si="4"/>
        <v>2016</v>
      </c>
      <c r="O60" s="5">
        <f t="shared" si="5"/>
        <v>0</v>
      </c>
      <c r="P60" s="5">
        <f>Table15[[#This Row],[Enrolment S.Y. 2025-2026 ]]*8</f>
        <v>2016</v>
      </c>
      <c r="Q60" s="5"/>
      <c r="R60" s="1"/>
      <c r="S60" s="5"/>
      <c r="T60" s="5">
        <f t="shared" si="6"/>
        <v>2016</v>
      </c>
      <c r="U60" s="5">
        <f t="shared" si="7"/>
        <v>0</v>
      </c>
      <c r="V60" s="5">
        <f>Table15[[#This Row],[Enrolment S.Y. 2025-2026 ]]*8</f>
        <v>2016</v>
      </c>
      <c r="W60" s="5"/>
      <c r="X60" s="1"/>
      <c r="Y60" s="5"/>
      <c r="Z60" s="5">
        <f t="shared" si="8"/>
        <v>2016</v>
      </c>
      <c r="AA60" s="5">
        <f t="shared" si="9"/>
        <v>0</v>
      </c>
    </row>
    <row r="61" spans="1:27" ht="19.5">
      <c r="A61" s="1">
        <v>6</v>
      </c>
      <c r="B61" s="9" t="s">
        <v>19</v>
      </c>
      <c r="C61" s="1">
        <v>252</v>
      </c>
      <c r="D61" s="5">
        <f>Table15[[#This Row],[Enrolment S.Y. 2025-2026 ]]*8</f>
        <v>2016</v>
      </c>
      <c r="E61" s="5"/>
      <c r="F61" s="1"/>
      <c r="G61" s="5"/>
      <c r="H61" s="5">
        <f t="shared" si="2"/>
        <v>2016</v>
      </c>
      <c r="I61" s="5">
        <f t="shared" si="3"/>
        <v>0</v>
      </c>
      <c r="J61" s="5">
        <f>Table15[[#This Row],[Enrolment S.Y. 2025-2026 ]]*8</f>
        <v>2016</v>
      </c>
      <c r="K61" s="5"/>
      <c r="L61" s="1"/>
      <c r="M61" s="5"/>
      <c r="N61" s="5">
        <f t="shared" si="4"/>
        <v>2016</v>
      </c>
      <c r="O61" s="5">
        <f t="shared" si="5"/>
        <v>0</v>
      </c>
      <c r="P61" s="5">
        <f>Table15[[#This Row],[Enrolment S.Y. 2025-2026 ]]*8</f>
        <v>2016</v>
      </c>
      <c r="Q61" s="5">
        <v>850</v>
      </c>
      <c r="R61" s="1">
        <v>2025</v>
      </c>
      <c r="S61" s="5" t="s">
        <v>62</v>
      </c>
      <c r="T61" s="5">
        <f t="shared" si="6"/>
        <v>1166</v>
      </c>
      <c r="U61" s="5">
        <f t="shared" si="7"/>
        <v>0</v>
      </c>
      <c r="V61" s="5">
        <f>Table15[[#This Row],[Enrolment S.Y. 2025-2026 ]]*8</f>
        <v>2016</v>
      </c>
      <c r="W61" s="5"/>
      <c r="X61" s="1"/>
      <c r="Y61" s="5"/>
      <c r="Z61" s="5">
        <f t="shared" si="8"/>
        <v>2016</v>
      </c>
      <c r="AA61" s="5">
        <f t="shared" si="9"/>
        <v>0</v>
      </c>
    </row>
    <row r="62" spans="1:27" s="7" customFormat="1" ht="19.5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5">
      <c r="A63" s="10">
        <v>7</v>
      </c>
      <c r="B63" s="11" t="s">
        <v>14</v>
      </c>
      <c r="C63" s="10"/>
      <c r="D63" s="12">
        <f>Table15[[#This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Table15[[#This Row],[Enrolment S.Y. 2025-2026 ]]*8</f>
        <v>0</v>
      </c>
      <c r="K63" s="12"/>
      <c r="L63" s="10"/>
      <c r="M63" s="12"/>
      <c r="N63" s="12">
        <f t="shared" si="4"/>
        <v>0</v>
      </c>
      <c r="O63" s="12">
        <f t="shared" si="5"/>
        <v>0</v>
      </c>
      <c r="P63" s="12">
        <f>Table15[[#This Row],[Enrolment S.Y. 2025-2026 ]]*8</f>
        <v>0</v>
      </c>
      <c r="Q63" s="12"/>
      <c r="R63" s="10"/>
      <c r="S63" s="12"/>
      <c r="T63" s="12">
        <f t="shared" si="6"/>
        <v>0</v>
      </c>
      <c r="U63" s="12">
        <f t="shared" si="7"/>
        <v>0</v>
      </c>
      <c r="V63" s="12">
        <f>Table15[[#This Row],[Enrolment S.Y. 2025-2026 ]]*8</f>
        <v>0</v>
      </c>
      <c r="W63" s="12"/>
      <c r="X63" s="10"/>
      <c r="Y63" s="12"/>
      <c r="Z63" s="12">
        <f t="shared" si="8"/>
        <v>0</v>
      </c>
      <c r="AA63" s="12">
        <f t="shared" si="9"/>
        <v>0</v>
      </c>
    </row>
    <row r="64" spans="1:27" ht="19.5">
      <c r="A64" s="10">
        <v>7</v>
      </c>
      <c r="B64" s="11" t="s">
        <v>15</v>
      </c>
      <c r="C64" s="10"/>
      <c r="D64" s="12">
        <f>Table15[[#This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Table15[[#This Row],[Enrolment S.Y. 2025-2026 ]]*8</f>
        <v>0</v>
      </c>
      <c r="K64" s="12"/>
      <c r="L64" s="10"/>
      <c r="M64" s="12"/>
      <c r="N64" s="12">
        <f t="shared" si="4"/>
        <v>0</v>
      </c>
      <c r="O64" s="12">
        <f t="shared" si="5"/>
        <v>0</v>
      </c>
      <c r="P64" s="12">
        <f>Table15[[#This Row],[Enrolment S.Y. 2025-2026 ]]*8</f>
        <v>0</v>
      </c>
      <c r="Q64" s="12"/>
      <c r="R64" s="10"/>
      <c r="S64" s="12"/>
      <c r="T64" s="12">
        <f t="shared" si="6"/>
        <v>0</v>
      </c>
      <c r="U64" s="12">
        <f t="shared" si="7"/>
        <v>0</v>
      </c>
      <c r="V64" s="12">
        <f>Table15[[#This Row],[Enrolment S.Y. 2025-2026 ]]*8</f>
        <v>0</v>
      </c>
      <c r="W64" s="12"/>
      <c r="X64" s="10"/>
      <c r="Y64" s="12"/>
      <c r="Z64" s="12">
        <f t="shared" si="8"/>
        <v>0</v>
      </c>
      <c r="AA64" s="12">
        <f t="shared" si="9"/>
        <v>0</v>
      </c>
    </row>
    <row r="65" spans="1:27" ht="19.5">
      <c r="A65" s="10">
        <v>7</v>
      </c>
      <c r="B65" s="11" t="s">
        <v>12</v>
      </c>
      <c r="C65" s="10"/>
      <c r="D65" s="12">
        <f>Table15[[#This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Table15[[#This Row],[Enrolment S.Y. 2025-2026 ]]*8</f>
        <v>0</v>
      </c>
      <c r="K65" s="12"/>
      <c r="L65" s="10"/>
      <c r="M65" s="12"/>
      <c r="N65" s="12">
        <f t="shared" si="4"/>
        <v>0</v>
      </c>
      <c r="O65" s="12">
        <f t="shared" si="5"/>
        <v>0</v>
      </c>
      <c r="P65" s="12">
        <f>Table15[[#This Row],[Enrolment S.Y. 2025-2026 ]]*8</f>
        <v>0</v>
      </c>
      <c r="Q65" s="12"/>
      <c r="R65" s="10"/>
      <c r="S65" s="12"/>
      <c r="T65" s="12">
        <f t="shared" si="6"/>
        <v>0</v>
      </c>
      <c r="U65" s="12">
        <f t="shared" si="7"/>
        <v>0</v>
      </c>
      <c r="V65" s="12">
        <f>Table15[[#This Row],[Enrolment S.Y. 2025-2026 ]]*8</f>
        <v>0</v>
      </c>
      <c r="W65" s="12"/>
      <c r="X65" s="10"/>
      <c r="Y65" s="12"/>
      <c r="Z65" s="12">
        <f t="shared" si="8"/>
        <v>0</v>
      </c>
      <c r="AA65" s="12">
        <f t="shared" si="9"/>
        <v>0</v>
      </c>
    </row>
    <row r="66" spans="1:27" ht="19.5">
      <c r="A66" s="10">
        <v>7</v>
      </c>
      <c r="B66" s="11" t="s">
        <v>20</v>
      </c>
      <c r="C66" s="10"/>
      <c r="D66" s="12">
        <f>Table15[[#This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Table15[[#This Row],[Enrolment S.Y. 2025-2026 ]]*8</f>
        <v>0</v>
      </c>
      <c r="K66" s="12"/>
      <c r="L66" s="10"/>
      <c r="M66" s="12"/>
      <c r="N66" s="12">
        <f t="shared" si="4"/>
        <v>0</v>
      </c>
      <c r="O66" s="12">
        <f t="shared" si="5"/>
        <v>0</v>
      </c>
      <c r="P66" s="12">
        <f>Table15[[#This Row],[Enrolment S.Y. 2025-2026 ]]*8</f>
        <v>0</v>
      </c>
      <c r="Q66" s="12"/>
      <c r="R66" s="10"/>
      <c r="S66" s="12"/>
      <c r="T66" s="12">
        <f t="shared" si="6"/>
        <v>0</v>
      </c>
      <c r="U66" s="12">
        <f t="shared" si="7"/>
        <v>0</v>
      </c>
      <c r="V66" s="12">
        <f>Table15[[#This Row],[Enrolment S.Y. 2025-2026 ]]*8</f>
        <v>0</v>
      </c>
      <c r="W66" s="12"/>
      <c r="X66" s="10"/>
      <c r="Y66" s="12"/>
      <c r="Z66" s="12">
        <f t="shared" si="8"/>
        <v>0</v>
      </c>
      <c r="AA66" s="12">
        <f t="shared" si="9"/>
        <v>0</v>
      </c>
    </row>
    <row r="67" spans="1:27" ht="38.25">
      <c r="A67" s="10">
        <v>7</v>
      </c>
      <c r="B67" s="11" t="s">
        <v>16</v>
      </c>
      <c r="C67" s="10"/>
      <c r="D67" s="12">
        <f>Table15[[#This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Table15[[#This Row],[Enrolment S.Y. 2025-2026 ]]*8</f>
        <v>0</v>
      </c>
      <c r="K67" s="12"/>
      <c r="L67" s="10"/>
      <c r="M67" s="12"/>
      <c r="N67" s="12">
        <f t="shared" si="4"/>
        <v>0</v>
      </c>
      <c r="O67" s="12">
        <f t="shared" si="5"/>
        <v>0</v>
      </c>
      <c r="P67" s="12">
        <f>Table15[[#This Row],[Enrolment S.Y. 2025-2026 ]]*8</f>
        <v>0</v>
      </c>
      <c r="Q67" s="12"/>
      <c r="R67" s="10"/>
      <c r="S67" s="12"/>
      <c r="T67" s="12">
        <f t="shared" si="6"/>
        <v>0</v>
      </c>
      <c r="U67" s="12">
        <f t="shared" si="7"/>
        <v>0</v>
      </c>
      <c r="V67" s="12">
        <f>Table15[[#This Row],[Enrolment S.Y. 2025-2026 ]]*8</f>
        <v>0</v>
      </c>
      <c r="W67" s="12"/>
      <c r="X67" s="10"/>
      <c r="Y67" s="12"/>
      <c r="Z67" s="12">
        <f t="shared" si="8"/>
        <v>0</v>
      </c>
      <c r="AA67" s="12">
        <f t="shared" si="9"/>
        <v>0</v>
      </c>
    </row>
    <row r="68" spans="1:27" ht="19.5">
      <c r="A68" s="10">
        <v>7</v>
      </c>
      <c r="B68" s="11" t="s">
        <v>13</v>
      </c>
      <c r="C68" s="10"/>
      <c r="D68" s="12">
        <f>Table15[[#This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Table15[[#This Row],[Enrolment S.Y. 2025-2026 ]]*8</f>
        <v>0</v>
      </c>
      <c r="K68" s="12"/>
      <c r="L68" s="10"/>
      <c r="M68" s="12"/>
      <c r="N68" s="12">
        <f t="shared" si="4"/>
        <v>0</v>
      </c>
      <c r="O68" s="12">
        <f t="shared" si="5"/>
        <v>0</v>
      </c>
      <c r="P68" s="12">
        <f>Table15[[#This Row],[Enrolment S.Y. 2025-2026 ]]*8</f>
        <v>0</v>
      </c>
      <c r="Q68" s="12"/>
      <c r="R68" s="10"/>
      <c r="S68" s="12"/>
      <c r="T68" s="12">
        <f t="shared" si="6"/>
        <v>0</v>
      </c>
      <c r="U68" s="12">
        <f t="shared" si="7"/>
        <v>0</v>
      </c>
      <c r="V68" s="12">
        <f>Table15[[#This Row],[Enrolment S.Y. 2025-2026 ]]*8</f>
        <v>0</v>
      </c>
      <c r="W68" s="12"/>
      <c r="X68" s="10"/>
      <c r="Y68" s="12"/>
      <c r="Z68" s="12">
        <f t="shared" si="8"/>
        <v>0</v>
      </c>
      <c r="AA68" s="12">
        <f t="shared" si="9"/>
        <v>0</v>
      </c>
    </row>
    <row r="69" spans="1:27" ht="19.5">
      <c r="A69" s="10">
        <v>7</v>
      </c>
      <c r="B69" s="11" t="s">
        <v>17</v>
      </c>
      <c r="C69" s="10"/>
      <c r="D69" s="12">
        <f>Table15[[#This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Table15[[#This Row],[Enrolment S.Y. 2025-2026 ]]*8</f>
        <v>0</v>
      </c>
      <c r="K69" s="12"/>
      <c r="L69" s="10"/>
      <c r="M69" s="12"/>
      <c r="N69" s="12">
        <f t="shared" ref="N69:N132" si="10">IF((J69-K69)&lt;0,0,(J69-K69))</f>
        <v>0</v>
      </c>
      <c r="O69" s="12">
        <f t="shared" ref="O69:O132" si="11">IF((K69-J69)&lt;0,0,(K69-J69))</f>
        <v>0</v>
      </c>
      <c r="P69" s="12">
        <f>Table15[[#This Row],[Enrolment S.Y. 2025-2026 ]]*8</f>
        <v>0</v>
      </c>
      <c r="Q69" s="12"/>
      <c r="R69" s="10"/>
      <c r="S69" s="12"/>
      <c r="T69" s="12">
        <f t="shared" ref="T69:T132" si="12">IF((P69-Q69)&lt;0,0,(P69-Q69))</f>
        <v>0</v>
      </c>
      <c r="U69" s="12">
        <f t="shared" ref="U69:U132" si="13">IF((Q69-P69)&lt;0,0,(Q69-P69))</f>
        <v>0</v>
      </c>
      <c r="V69" s="12">
        <f>Table15[[#This Row],[Enrolment S.Y. 2025-2026 ]]*8</f>
        <v>0</v>
      </c>
      <c r="W69" s="12"/>
      <c r="X69" s="10"/>
      <c r="Y69" s="12"/>
      <c r="Z69" s="12">
        <f t="shared" ref="Z69:Z132" si="14">IF((V69-W69)&lt;0,0,(V69-W69))</f>
        <v>0</v>
      </c>
      <c r="AA69" s="12">
        <f t="shared" ref="AA69:AA132" si="15">IF((W69-V69)&lt;0,0,(W69-V69))</f>
        <v>0</v>
      </c>
    </row>
    <row r="70" spans="1:27" ht="19.5">
      <c r="A70" s="10">
        <v>7</v>
      </c>
      <c r="B70" s="11" t="s">
        <v>21</v>
      </c>
      <c r="C70" s="10"/>
      <c r="D70" s="12">
        <f>Table15[[#This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Table15[[#This Row],[Enrolment S.Y. 2025-2026 ]]*8</f>
        <v>0</v>
      </c>
      <c r="K70" s="12"/>
      <c r="L70" s="10"/>
      <c r="M70" s="12"/>
      <c r="N70" s="12">
        <f t="shared" si="10"/>
        <v>0</v>
      </c>
      <c r="O70" s="12">
        <f t="shared" si="11"/>
        <v>0</v>
      </c>
      <c r="P70" s="12">
        <f>Table15[[#This Row],[Enrolment S.Y. 2025-2026 ]]*8</f>
        <v>0</v>
      </c>
      <c r="Q70" s="12"/>
      <c r="R70" s="10"/>
      <c r="S70" s="12"/>
      <c r="T70" s="12">
        <f t="shared" si="12"/>
        <v>0</v>
      </c>
      <c r="U70" s="12">
        <f t="shared" si="13"/>
        <v>0</v>
      </c>
      <c r="V70" s="12">
        <f>Table15[[#This Row],[Enrolment S.Y. 2025-2026 ]]*8</f>
        <v>0</v>
      </c>
      <c r="W70" s="12"/>
      <c r="X70" s="10"/>
      <c r="Y70" s="12"/>
      <c r="Z70" s="12">
        <f t="shared" si="14"/>
        <v>0</v>
      </c>
      <c r="AA70" s="12">
        <f t="shared" si="15"/>
        <v>0</v>
      </c>
    </row>
    <row r="71" spans="1:27" ht="19.5">
      <c r="A71" s="10">
        <v>7</v>
      </c>
      <c r="B71" s="11" t="s">
        <v>19</v>
      </c>
      <c r="C71" s="10"/>
      <c r="D71" s="12">
        <f>Table15[[#This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Table15[[#This Row],[Enrolment S.Y. 2025-2026 ]]*8</f>
        <v>0</v>
      </c>
      <c r="K71" s="12"/>
      <c r="L71" s="10"/>
      <c r="M71" s="12"/>
      <c r="N71" s="12">
        <f t="shared" si="10"/>
        <v>0</v>
      </c>
      <c r="O71" s="12">
        <f t="shared" si="11"/>
        <v>0</v>
      </c>
      <c r="P71" s="12">
        <f>Table15[[#This Row],[Enrolment S.Y. 2025-2026 ]]*8</f>
        <v>0</v>
      </c>
      <c r="Q71" s="12"/>
      <c r="R71" s="10"/>
      <c r="S71" s="12"/>
      <c r="T71" s="12">
        <f t="shared" si="12"/>
        <v>0</v>
      </c>
      <c r="U71" s="12">
        <f t="shared" si="13"/>
        <v>0</v>
      </c>
      <c r="V71" s="12">
        <f>Table15[[#This Row],[Enrolment S.Y. 2025-2026 ]]*8</f>
        <v>0</v>
      </c>
      <c r="W71" s="12"/>
      <c r="X71" s="10"/>
      <c r="Y71" s="12"/>
      <c r="Z71" s="12">
        <f t="shared" si="14"/>
        <v>0</v>
      </c>
      <c r="AA71" s="12">
        <f t="shared" si="15"/>
        <v>0</v>
      </c>
    </row>
    <row r="72" spans="1:27" s="7" customFormat="1" ht="19.5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5">
      <c r="A73" s="10">
        <v>8</v>
      </c>
      <c r="B73" s="11" t="s">
        <v>14</v>
      </c>
      <c r="C73" s="10"/>
      <c r="D73" s="12">
        <f>Table15[[#This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Table15[[#This Row],[Enrolment S.Y. 2025-2026 ]]*8</f>
        <v>0</v>
      </c>
      <c r="K73" s="12"/>
      <c r="L73" s="10"/>
      <c r="M73" s="12"/>
      <c r="N73" s="12">
        <f t="shared" si="10"/>
        <v>0</v>
      </c>
      <c r="O73" s="12">
        <f t="shared" si="11"/>
        <v>0</v>
      </c>
      <c r="P73" s="12">
        <f>Table15[[#This Row],[Enrolment S.Y. 2025-2026 ]]*8</f>
        <v>0</v>
      </c>
      <c r="Q73" s="12"/>
      <c r="R73" s="10"/>
      <c r="S73" s="12"/>
      <c r="T73" s="12">
        <f t="shared" si="12"/>
        <v>0</v>
      </c>
      <c r="U73" s="12">
        <f t="shared" si="13"/>
        <v>0</v>
      </c>
      <c r="V73" s="12">
        <f>Table15[[#This Row],[Enrolment S.Y. 2025-2026 ]]*8</f>
        <v>0</v>
      </c>
      <c r="W73" s="12"/>
      <c r="X73" s="10"/>
      <c r="Y73" s="12"/>
      <c r="Z73" s="12">
        <f t="shared" si="14"/>
        <v>0</v>
      </c>
      <c r="AA73" s="12">
        <f t="shared" si="15"/>
        <v>0</v>
      </c>
    </row>
    <row r="74" spans="1:27" ht="19.5">
      <c r="A74" s="10">
        <v>8</v>
      </c>
      <c r="B74" s="11" t="s">
        <v>15</v>
      </c>
      <c r="C74" s="10"/>
      <c r="D74" s="12">
        <f>Table15[[#This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Table15[[#This Row],[Enrolment S.Y. 2025-2026 ]]*8</f>
        <v>0</v>
      </c>
      <c r="K74" s="12"/>
      <c r="L74" s="10"/>
      <c r="M74" s="12"/>
      <c r="N74" s="12">
        <f t="shared" si="10"/>
        <v>0</v>
      </c>
      <c r="O74" s="12">
        <f t="shared" si="11"/>
        <v>0</v>
      </c>
      <c r="P74" s="12">
        <f>Table15[[#This Row],[Enrolment S.Y. 2025-2026 ]]*8</f>
        <v>0</v>
      </c>
      <c r="Q74" s="12"/>
      <c r="R74" s="10"/>
      <c r="S74" s="12"/>
      <c r="T74" s="12">
        <f t="shared" si="12"/>
        <v>0</v>
      </c>
      <c r="U74" s="12">
        <f t="shared" si="13"/>
        <v>0</v>
      </c>
      <c r="V74" s="12">
        <f>Table15[[#This Row],[Enrolment S.Y. 2025-2026 ]]*8</f>
        <v>0</v>
      </c>
      <c r="W74" s="12"/>
      <c r="X74" s="10"/>
      <c r="Y74" s="12"/>
      <c r="Z74" s="12">
        <f t="shared" si="14"/>
        <v>0</v>
      </c>
      <c r="AA74" s="12">
        <f t="shared" si="15"/>
        <v>0</v>
      </c>
    </row>
    <row r="75" spans="1:27" ht="19.5">
      <c r="A75" s="10">
        <v>8</v>
      </c>
      <c r="B75" s="11" t="s">
        <v>12</v>
      </c>
      <c r="C75" s="10"/>
      <c r="D75" s="12">
        <f>Table15[[#This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Table15[[#This Row],[Enrolment S.Y. 2025-2026 ]]*8</f>
        <v>0</v>
      </c>
      <c r="K75" s="12"/>
      <c r="L75" s="10"/>
      <c r="M75" s="12"/>
      <c r="N75" s="12">
        <f t="shared" si="10"/>
        <v>0</v>
      </c>
      <c r="O75" s="12">
        <f t="shared" si="11"/>
        <v>0</v>
      </c>
      <c r="P75" s="12">
        <f>Table15[[#This Row],[Enrolment S.Y. 2025-2026 ]]*8</f>
        <v>0</v>
      </c>
      <c r="Q75" s="12"/>
      <c r="R75" s="10"/>
      <c r="S75" s="12"/>
      <c r="T75" s="12">
        <f t="shared" si="12"/>
        <v>0</v>
      </c>
      <c r="U75" s="12">
        <f t="shared" si="13"/>
        <v>0</v>
      </c>
      <c r="V75" s="12">
        <f>Table15[[#This Row],[Enrolment S.Y. 2025-2026 ]]*8</f>
        <v>0</v>
      </c>
      <c r="W75" s="12"/>
      <c r="X75" s="10"/>
      <c r="Y75" s="12"/>
      <c r="Z75" s="12">
        <f t="shared" si="14"/>
        <v>0</v>
      </c>
      <c r="AA75" s="12">
        <f t="shared" si="15"/>
        <v>0</v>
      </c>
    </row>
    <row r="76" spans="1:27" ht="19.5">
      <c r="A76" s="10">
        <v>8</v>
      </c>
      <c r="B76" s="11" t="s">
        <v>20</v>
      </c>
      <c r="C76" s="10"/>
      <c r="D76" s="12">
        <f>Table15[[#This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Table15[[#This Row],[Enrolment S.Y. 2025-2026 ]]*8</f>
        <v>0</v>
      </c>
      <c r="K76" s="12"/>
      <c r="L76" s="10"/>
      <c r="M76" s="12"/>
      <c r="N76" s="12">
        <f t="shared" si="10"/>
        <v>0</v>
      </c>
      <c r="O76" s="12">
        <f t="shared" si="11"/>
        <v>0</v>
      </c>
      <c r="P76" s="12">
        <f>Table15[[#This Row],[Enrolment S.Y. 2025-2026 ]]*8</f>
        <v>0</v>
      </c>
      <c r="Q76" s="12"/>
      <c r="R76" s="10"/>
      <c r="S76" s="12"/>
      <c r="T76" s="12">
        <f t="shared" si="12"/>
        <v>0</v>
      </c>
      <c r="U76" s="12">
        <f t="shared" si="13"/>
        <v>0</v>
      </c>
      <c r="V76" s="12">
        <f>Table15[[#This Row],[Enrolment S.Y. 2025-2026 ]]*8</f>
        <v>0</v>
      </c>
      <c r="W76" s="12"/>
      <c r="X76" s="10"/>
      <c r="Y76" s="12"/>
      <c r="Z76" s="12">
        <f t="shared" si="14"/>
        <v>0</v>
      </c>
      <c r="AA76" s="12">
        <f t="shared" si="15"/>
        <v>0</v>
      </c>
    </row>
    <row r="77" spans="1:27" ht="19.5">
      <c r="A77" s="10">
        <v>8</v>
      </c>
      <c r="B77" s="11" t="s">
        <v>22</v>
      </c>
      <c r="C77" s="10"/>
      <c r="D77" s="12">
        <f>Table15[[#This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Table15[[#This Row],[Enrolment S.Y. 2025-2026 ]]*8</f>
        <v>0</v>
      </c>
      <c r="K77" s="12"/>
      <c r="L77" s="10"/>
      <c r="M77" s="12"/>
      <c r="N77" s="12">
        <f t="shared" si="10"/>
        <v>0</v>
      </c>
      <c r="O77" s="12">
        <f t="shared" si="11"/>
        <v>0</v>
      </c>
      <c r="P77" s="12">
        <f>Table15[[#This Row],[Enrolment S.Y. 2025-2026 ]]*8</f>
        <v>0</v>
      </c>
      <c r="Q77" s="12"/>
      <c r="R77" s="10"/>
      <c r="S77" s="12"/>
      <c r="T77" s="12">
        <f t="shared" si="12"/>
        <v>0</v>
      </c>
      <c r="U77" s="12">
        <f t="shared" si="13"/>
        <v>0</v>
      </c>
      <c r="V77" s="12">
        <f>Table15[[#This Row],[Enrolment S.Y. 2025-2026 ]]*8</f>
        <v>0</v>
      </c>
      <c r="W77" s="12"/>
      <c r="X77" s="10"/>
      <c r="Y77" s="12"/>
      <c r="Z77" s="12">
        <f t="shared" si="14"/>
        <v>0</v>
      </c>
      <c r="AA77" s="12">
        <f t="shared" si="15"/>
        <v>0</v>
      </c>
    </row>
    <row r="78" spans="1:27" ht="19.5">
      <c r="A78" s="10">
        <v>8</v>
      </c>
      <c r="B78" s="11" t="s">
        <v>13</v>
      </c>
      <c r="C78" s="10"/>
      <c r="D78" s="12">
        <f>Table15[[#This Row],[Enrolment S.Y. 2025-2026 ]]*8</f>
        <v>0</v>
      </c>
      <c r="E78" s="12"/>
      <c r="F78" s="10"/>
      <c r="G78" s="12"/>
      <c r="H78" s="12">
        <f t="shared" ref="H78:H127" si="16">IF((D78-E78)&lt;0,0,(D78-E78))</f>
        <v>0</v>
      </c>
      <c r="I78" s="12">
        <f t="shared" ref="I78:I127" si="17">IF((E78-D78)&lt;0,0,(E78-D78))</f>
        <v>0</v>
      </c>
      <c r="J78" s="12">
        <f>Table15[[#This Row],[Enrolment S.Y. 2025-2026 ]]*8</f>
        <v>0</v>
      </c>
      <c r="K78" s="12"/>
      <c r="L78" s="10"/>
      <c r="M78" s="12"/>
      <c r="N78" s="12">
        <f t="shared" si="10"/>
        <v>0</v>
      </c>
      <c r="O78" s="12">
        <f t="shared" si="11"/>
        <v>0</v>
      </c>
      <c r="P78" s="12">
        <f>Table15[[#This Row],[Enrolment S.Y. 2025-2026 ]]*8</f>
        <v>0</v>
      </c>
      <c r="Q78" s="12"/>
      <c r="R78" s="10"/>
      <c r="S78" s="12"/>
      <c r="T78" s="12">
        <f t="shared" si="12"/>
        <v>0</v>
      </c>
      <c r="U78" s="12">
        <f t="shared" si="13"/>
        <v>0</v>
      </c>
      <c r="V78" s="12">
        <f>Table15[[#This Row],[Enrolment S.Y. 2025-2026 ]]*8</f>
        <v>0</v>
      </c>
      <c r="W78" s="12"/>
      <c r="X78" s="10"/>
      <c r="Y78" s="12"/>
      <c r="Z78" s="12">
        <f t="shared" si="14"/>
        <v>0</v>
      </c>
      <c r="AA78" s="12">
        <f t="shared" si="15"/>
        <v>0</v>
      </c>
    </row>
    <row r="79" spans="1:27" ht="19.5">
      <c r="A79" s="10">
        <v>8</v>
      </c>
      <c r="B79" s="11" t="s">
        <v>17</v>
      </c>
      <c r="C79" s="10"/>
      <c r="D79" s="12">
        <f>Table15[[#This Row],[Enrolment S.Y. 2025-2026 ]]*8</f>
        <v>0</v>
      </c>
      <c r="E79" s="12"/>
      <c r="F79" s="10"/>
      <c r="G79" s="12"/>
      <c r="H79" s="12">
        <f t="shared" si="16"/>
        <v>0</v>
      </c>
      <c r="I79" s="12">
        <f t="shared" si="17"/>
        <v>0</v>
      </c>
      <c r="J79" s="12">
        <f>Table15[[#This Row],[Enrolment S.Y. 2025-2026 ]]*8</f>
        <v>0</v>
      </c>
      <c r="K79" s="12"/>
      <c r="L79" s="10"/>
      <c r="M79" s="12"/>
      <c r="N79" s="12">
        <f t="shared" si="10"/>
        <v>0</v>
      </c>
      <c r="O79" s="12">
        <f t="shared" si="11"/>
        <v>0</v>
      </c>
      <c r="P79" s="12">
        <f>Table15[[#This Row],[Enrolment S.Y. 2025-2026 ]]*8</f>
        <v>0</v>
      </c>
      <c r="Q79" s="12"/>
      <c r="R79" s="10"/>
      <c r="S79" s="12"/>
      <c r="T79" s="12">
        <f t="shared" si="12"/>
        <v>0</v>
      </c>
      <c r="U79" s="12">
        <f t="shared" si="13"/>
        <v>0</v>
      </c>
      <c r="V79" s="12">
        <f>Table15[[#This Row],[Enrolment S.Y. 2025-2026 ]]*8</f>
        <v>0</v>
      </c>
      <c r="W79" s="12"/>
      <c r="X79" s="10"/>
      <c r="Y79" s="12"/>
      <c r="Z79" s="12">
        <f t="shared" si="14"/>
        <v>0</v>
      </c>
      <c r="AA79" s="12">
        <f t="shared" si="15"/>
        <v>0</v>
      </c>
    </row>
    <row r="80" spans="1:27" ht="19.5">
      <c r="A80" s="10">
        <v>8</v>
      </c>
      <c r="B80" s="11" t="s">
        <v>21</v>
      </c>
      <c r="C80" s="10"/>
      <c r="D80" s="12">
        <f>Table15[[#This Row],[Enrolment S.Y. 2025-2026 ]]*8</f>
        <v>0</v>
      </c>
      <c r="E80" s="12"/>
      <c r="F80" s="10"/>
      <c r="G80" s="12"/>
      <c r="H80" s="12">
        <f t="shared" si="16"/>
        <v>0</v>
      </c>
      <c r="I80" s="12">
        <f t="shared" si="17"/>
        <v>0</v>
      </c>
      <c r="J80" s="12">
        <f>Table15[[#This Row],[Enrolment S.Y. 2025-2026 ]]*8</f>
        <v>0</v>
      </c>
      <c r="K80" s="12"/>
      <c r="L80" s="10"/>
      <c r="M80" s="12"/>
      <c r="N80" s="12">
        <f t="shared" si="10"/>
        <v>0</v>
      </c>
      <c r="O80" s="12">
        <f t="shared" si="11"/>
        <v>0</v>
      </c>
      <c r="P80" s="12">
        <f>Table15[[#This Row],[Enrolment S.Y. 2025-2026 ]]*8</f>
        <v>0</v>
      </c>
      <c r="Q80" s="12"/>
      <c r="R80" s="10"/>
      <c r="S80" s="12"/>
      <c r="T80" s="12">
        <f t="shared" si="12"/>
        <v>0</v>
      </c>
      <c r="U80" s="12">
        <f t="shared" si="13"/>
        <v>0</v>
      </c>
      <c r="V80" s="12">
        <f>Table15[[#This Row],[Enrolment S.Y. 2025-2026 ]]*8</f>
        <v>0</v>
      </c>
      <c r="W80" s="12"/>
      <c r="X80" s="10"/>
      <c r="Y80" s="12"/>
      <c r="Z80" s="12">
        <f t="shared" si="14"/>
        <v>0</v>
      </c>
      <c r="AA80" s="12">
        <f t="shared" si="15"/>
        <v>0</v>
      </c>
    </row>
    <row r="81" spans="1:27" ht="19.5">
      <c r="A81" s="10">
        <v>8</v>
      </c>
      <c r="B81" s="11" t="s">
        <v>19</v>
      </c>
      <c r="C81" s="10"/>
      <c r="D81" s="12">
        <f>Table15[[#This Row],[Enrolment S.Y. 2025-2026 ]]*8</f>
        <v>0</v>
      </c>
      <c r="E81" s="12"/>
      <c r="F81" s="10"/>
      <c r="G81" s="12"/>
      <c r="H81" s="12">
        <f t="shared" si="16"/>
        <v>0</v>
      </c>
      <c r="I81" s="12">
        <f t="shared" si="17"/>
        <v>0</v>
      </c>
      <c r="J81" s="12">
        <f>Table15[[#This Row],[Enrolment S.Y. 2025-2026 ]]*8</f>
        <v>0</v>
      </c>
      <c r="K81" s="12"/>
      <c r="L81" s="10"/>
      <c r="M81" s="12"/>
      <c r="N81" s="12">
        <f t="shared" si="10"/>
        <v>0</v>
      </c>
      <c r="O81" s="12">
        <f t="shared" si="11"/>
        <v>0</v>
      </c>
      <c r="P81" s="12">
        <f>Table15[[#This Row],[Enrolment S.Y. 2025-2026 ]]*8</f>
        <v>0</v>
      </c>
      <c r="Q81" s="12"/>
      <c r="R81" s="10"/>
      <c r="S81" s="12"/>
      <c r="T81" s="12">
        <f t="shared" si="12"/>
        <v>0</v>
      </c>
      <c r="U81" s="12">
        <f t="shared" si="13"/>
        <v>0</v>
      </c>
      <c r="V81" s="12">
        <f>Table15[[#This Row],[Enrolment S.Y. 2025-2026 ]]*8</f>
        <v>0</v>
      </c>
      <c r="W81" s="12"/>
      <c r="X81" s="10"/>
      <c r="Y81" s="12"/>
      <c r="Z81" s="12">
        <f t="shared" si="14"/>
        <v>0</v>
      </c>
      <c r="AA81" s="12">
        <f t="shared" si="15"/>
        <v>0</v>
      </c>
    </row>
    <row r="82" spans="1:27" s="7" customFormat="1" ht="19.5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5">
      <c r="A83" s="10">
        <v>9</v>
      </c>
      <c r="B83" s="11" t="s">
        <v>14</v>
      </c>
      <c r="C83" s="10"/>
      <c r="D83" s="12">
        <f>Table15[[#This Row],[Enrolment S.Y. 2025-2026 ]]*8</f>
        <v>0</v>
      </c>
      <c r="E83" s="12"/>
      <c r="F83" s="10"/>
      <c r="G83" s="12"/>
      <c r="H83" s="12">
        <f t="shared" si="16"/>
        <v>0</v>
      </c>
      <c r="I83" s="12">
        <f t="shared" si="17"/>
        <v>0</v>
      </c>
      <c r="J83" s="12">
        <f>Table15[[#This Row],[Enrolment S.Y. 2025-2026 ]]*8</f>
        <v>0</v>
      </c>
      <c r="K83" s="12"/>
      <c r="L83" s="10"/>
      <c r="M83" s="12"/>
      <c r="N83" s="12">
        <f t="shared" si="10"/>
        <v>0</v>
      </c>
      <c r="O83" s="12">
        <f t="shared" si="11"/>
        <v>0</v>
      </c>
      <c r="P83" s="12">
        <f>Table15[[#This Row],[Enrolment S.Y. 2025-2026 ]]*8</f>
        <v>0</v>
      </c>
      <c r="Q83" s="12"/>
      <c r="R83" s="10"/>
      <c r="S83" s="12"/>
      <c r="T83" s="12">
        <f t="shared" si="12"/>
        <v>0</v>
      </c>
      <c r="U83" s="12">
        <f t="shared" si="13"/>
        <v>0</v>
      </c>
      <c r="V83" s="12">
        <f>Table15[[#This Row],[Enrolment S.Y. 2025-2026 ]]*8</f>
        <v>0</v>
      </c>
      <c r="W83" s="12"/>
      <c r="X83" s="10"/>
      <c r="Y83" s="12"/>
      <c r="Z83" s="12">
        <f t="shared" si="14"/>
        <v>0</v>
      </c>
      <c r="AA83" s="12">
        <f t="shared" si="15"/>
        <v>0</v>
      </c>
    </row>
    <row r="84" spans="1:27" ht="19.5">
      <c r="A84" s="10">
        <v>9</v>
      </c>
      <c r="B84" s="11" t="s">
        <v>15</v>
      </c>
      <c r="C84" s="10"/>
      <c r="D84" s="12">
        <f>Table15[[#This Row],[Enrolment S.Y. 2025-2026 ]]*8</f>
        <v>0</v>
      </c>
      <c r="E84" s="12"/>
      <c r="F84" s="10"/>
      <c r="G84" s="12"/>
      <c r="H84" s="12">
        <f t="shared" si="16"/>
        <v>0</v>
      </c>
      <c r="I84" s="12">
        <f t="shared" si="17"/>
        <v>0</v>
      </c>
      <c r="J84" s="12">
        <f>Table15[[#This Row],[Enrolment S.Y. 2025-2026 ]]*8</f>
        <v>0</v>
      </c>
      <c r="K84" s="12"/>
      <c r="L84" s="10"/>
      <c r="M84" s="12"/>
      <c r="N84" s="12">
        <f t="shared" si="10"/>
        <v>0</v>
      </c>
      <c r="O84" s="12">
        <f t="shared" si="11"/>
        <v>0</v>
      </c>
      <c r="P84" s="12">
        <f>Table15[[#This Row],[Enrolment S.Y. 2025-2026 ]]*8</f>
        <v>0</v>
      </c>
      <c r="Q84" s="12"/>
      <c r="R84" s="10"/>
      <c r="S84" s="12"/>
      <c r="T84" s="12">
        <f t="shared" si="12"/>
        <v>0</v>
      </c>
      <c r="U84" s="12">
        <f t="shared" si="13"/>
        <v>0</v>
      </c>
      <c r="V84" s="12">
        <f>Table15[[#This Row],[Enrolment S.Y. 2025-2026 ]]*8</f>
        <v>0</v>
      </c>
      <c r="W84" s="12"/>
      <c r="X84" s="10"/>
      <c r="Y84" s="12"/>
      <c r="Z84" s="12">
        <f t="shared" si="14"/>
        <v>0</v>
      </c>
      <c r="AA84" s="12">
        <f t="shared" si="15"/>
        <v>0</v>
      </c>
    </row>
    <row r="85" spans="1:27" ht="19.5">
      <c r="A85" s="10">
        <v>9</v>
      </c>
      <c r="B85" s="11" t="s">
        <v>12</v>
      </c>
      <c r="C85" s="10"/>
      <c r="D85" s="12">
        <f>Table15[[#This Row],[Enrolment S.Y. 2025-2026 ]]*8</f>
        <v>0</v>
      </c>
      <c r="E85" s="12"/>
      <c r="F85" s="10"/>
      <c r="G85" s="12"/>
      <c r="H85" s="12">
        <f t="shared" si="16"/>
        <v>0</v>
      </c>
      <c r="I85" s="12">
        <f t="shared" si="17"/>
        <v>0</v>
      </c>
      <c r="J85" s="12">
        <f>Table15[[#This Row],[Enrolment S.Y. 2025-2026 ]]*8</f>
        <v>0</v>
      </c>
      <c r="K85" s="12"/>
      <c r="L85" s="10"/>
      <c r="M85" s="12"/>
      <c r="N85" s="12">
        <f t="shared" si="10"/>
        <v>0</v>
      </c>
      <c r="O85" s="12">
        <f t="shared" si="11"/>
        <v>0</v>
      </c>
      <c r="P85" s="12">
        <f>Table15[[#This Row],[Enrolment S.Y. 2025-2026 ]]*8</f>
        <v>0</v>
      </c>
      <c r="Q85" s="12"/>
      <c r="R85" s="10"/>
      <c r="S85" s="12"/>
      <c r="T85" s="12">
        <f t="shared" si="12"/>
        <v>0</v>
      </c>
      <c r="U85" s="12">
        <f t="shared" si="13"/>
        <v>0</v>
      </c>
      <c r="V85" s="12">
        <f>Table15[[#This Row],[Enrolment S.Y. 2025-2026 ]]*8</f>
        <v>0</v>
      </c>
      <c r="W85" s="12"/>
      <c r="X85" s="10"/>
      <c r="Y85" s="12"/>
      <c r="Z85" s="12">
        <f t="shared" si="14"/>
        <v>0</v>
      </c>
      <c r="AA85" s="12">
        <f t="shared" si="15"/>
        <v>0</v>
      </c>
    </row>
    <row r="86" spans="1:27" ht="19.5">
      <c r="A86" s="10">
        <v>9</v>
      </c>
      <c r="B86" s="11" t="s">
        <v>20</v>
      </c>
      <c r="C86" s="10"/>
      <c r="D86" s="12">
        <f>Table15[[#This Row],[Enrolment S.Y. 2025-2026 ]]*8</f>
        <v>0</v>
      </c>
      <c r="E86" s="12"/>
      <c r="F86" s="10"/>
      <c r="G86" s="12"/>
      <c r="H86" s="12">
        <f t="shared" si="16"/>
        <v>0</v>
      </c>
      <c r="I86" s="12">
        <f t="shared" si="17"/>
        <v>0</v>
      </c>
      <c r="J86" s="12">
        <f>Table15[[#This Row],[Enrolment S.Y. 2025-2026 ]]*8</f>
        <v>0</v>
      </c>
      <c r="K86" s="12"/>
      <c r="L86" s="10"/>
      <c r="M86" s="12"/>
      <c r="N86" s="12">
        <f t="shared" si="10"/>
        <v>0</v>
      </c>
      <c r="O86" s="12">
        <f t="shared" si="11"/>
        <v>0</v>
      </c>
      <c r="P86" s="12">
        <f>Table15[[#This Row],[Enrolment S.Y. 2025-2026 ]]*8</f>
        <v>0</v>
      </c>
      <c r="Q86" s="12"/>
      <c r="R86" s="10"/>
      <c r="S86" s="12"/>
      <c r="T86" s="12">
        <f t="shared" si="12"/>
        <v>0</v>
      </c>
      <c r="U86" s="12">
        <f t="shared" si="13"/>
        <v>0</v>
      </c>
      <c r="V86" s="12">
        <f>Table15[[#This Row],[Enrolment S.Y. 2025-2026 ]]*8</f>
        <v>0</v>
      </c>
      <c r="W86" s="12"/>
      <c r="X86" s="10"/>
      <c r="Y86" s="12"/>
      <c r="Z86" s="12">
        <f t="shared" si="14"/>
        <v>0</v>
      </c>
      <c r="AA86" s="12">
        <f t="shared" si="15"/>
        <v>0</v>
      </c>
    </row>
    <row r="87" spans="1:27" ht="19.5">
      <c r="A87" s="10">
        <v>9</v>
      </c>
      <c r="B87" s="11" t="s">
        <v>22</v>
      </c>
      <c r="C87" s="10"/>
      <c r="D87" s="12">
        <f>Table15[[#This Row],[Enrolment S.Y. 2025-2026 ]]*8</f>
        <v>0</v>
      </c>
      <c r="E87" s="12"/>
      <c r="F87" s="10"/>
      <c r="G87" s="12"/>
      <c r="H87" s="12">
        <f t="shared" si="16"/>
        <v>0</v>
      </c>
      <c r="I87" s="12">
        <f t="shared" si="17"/>
        <v>0</v>
      </c>
      <c r="J87" s="12">
        <f>Table15[[#This Row],[Enrolment S.Y. 2025-2026 ]]*8</f>
        <v>0</v>
      </c>
      <c r="K87" s="12"/>
      <c r="L87" s="10"/>
      <c r="M87" s="12"/>
      <c r="N87" s="12">
        <f t="shared" si="10"/>
        <v>0</v>
      </c>
      <c r="O87" s="12">
        <f t="shared" si="11"/>
        <v>0</v>
      </c>
      <c r="P87" s="12">
        <f>Table15[[#This Row],[Enrolment S.Y. 2025-2026 ]]*8</f>
        <v>0</v>
      </c>
      <c r="Q87" s="12"/>
      <c r="R87" s="10"/>
      <c r="S87" s="12"/>
      <c r="T87" s="12">
        <f t="shared" si="12"/>
        <v>0</v>
      </c>
      <c r="U87" s="12">
        <f t="shared" si="13"/>
        <v>0</v>
      </c>
      <c r="V87" s="12">
        <f>Table15[[#This Row],[Enrolment S.Y. 2025-2026 ]]*8</f>
        <v>0</v>
      </c>
      <c r="W87" s="12"/>
      <c r="X87" s="10"/>
      <c r="Y87" s="12"/>
      <c r="Z87" s="12">
        <f t="shared" si="14"/>
        <v>0</v>
      </c>
      <c r="AA87" s="12">
        <f t="shared" si="15"/>
        <v>0</v>
      </c>
    </row>
    <row r="88" spans="1:27" ht="19.5">
      <c r="A88" s="10">
        <v>9</v>
      </c>
      <c r="B88" s="11" t="s">
        <v>13</v>
      </c>
      <c r="C88" s="10"/>
      <c r="D88" s="12">
        <f>Table15[[#This Row],[Enrolment S.Y. 2025-2026 ]]*8</f>
        <v>0</v>
      </c>
      <c r="E88" s="12"/>
      <c r="F88" s="10"/>
      <c r="G88" s="12"/>
      <c r="H88" s="12">
        <f t="shared" si="16"/>
        <v>0</v>
      </c>
      <c r="I88" s="12">
        <f t="shared" si="17"/>
        <v>0</v>
      </c>
      <c r="J88" s="12">
        <f>Table15[[#This Row],[Enrolment S.Y. 2025-2026 ]]*8</f>
        <v>0</v>
      </c>
      <c r="K88" s="12"/>
      <c r="L88" s="10"/>
      <c r="M88" s="12"/>
      <c r="N88" s="12">
        <f t="shared" si="10"/>
        <v>0</v>
      </c>
      <c r="O88" s="12">
        <f t="shared" si="11"/>
        <v>0</v>
      </c>
      <c r="P88" s="12">
        <f>Table15[[#This Row],[Enrolment S.Y. 2025-2026 ]]*8</f>
        <v>0</v>
      </c>
      <c r="Q88" s="12"/>
      <c r="R88" s="10"/>
      <c r="S88" s="12"/>
      <c r="T88" s="12">
        <f t="shared" si="12"/>
        <v>0</v>
      </c>
      <c r="U88" s="12">
        <f t="shared" si="13"/>
        <v>0</v>
      </c>
      <c r="V88" s="12">
        <f>Table15[[#This Row],[Enrolment S.Y. 2025-2026 ]]*8</f>
        <v>0</v>
      </c>
      <c r="W88" s="12"/>
      <c r="X88" s="10"/>
      <c r="Y88" s="12"/>
      <c r="Z88" s="12">
        <f t="shared" si="14"/>
        <v>0</v>
      </c>
      <c r="AA88" s="12">
        <f t="shared" si="15"/>
        <v>0</v>
      </c>
    </row>
    <row r="89" spans="1:27" ht="19.5">
      <c r="A89" s="10">
        <v>9</v>
      </c>
      <c r="B89" s="11" t="s">
        <v>17</v>
      </c>
      <c r="C89" s="10"/>
      <c r="D89" s="12">
        <f>Table15[[#This Row],[Enrolment S.Y. 2025-2026 ]]*8</f>
        <v>0</v>
      </c>
      <c r="E89" s="12"/>
      <c r="F89" s="10"/>
      <c r="G89" s="12"/>
      <c r="H89" s="12">
        <f t="shared" si="16"/>
        <v>0</v>
      </c>
      <c r="I89" s="12">
        <f t="shared" si="17"/>
        <v>0</v>
      </c>
      <c r="J89" s="12">
        <f>Table15[[#This Row],[Enrolment S.Y. 2025-2026 ]]*8</f>
        <v>0</v>
      </c>
      <c r="K89" s="12"/>
      <c r="L89" s="10"/>
      <c r="M89" s="12"/>
      <c r="N89" s="12">
        <f t="shared" si="10"/>
        <v>0</v>
      </c>
      <c r="O89" s="12">
        <f t="shared" si="11"/>
        <v>0</v>
      </c>
      <c r="P89" s="12">
        <f>Table15[[#This Row],[Enrolment S.Y. 2025-2026 ]]*8</f>
        <v>0</v>
      </c>
      <c r="Q89" s="12"/>
      <c r="R89" s="10"/>
      <c r="S89" s="12"/>
      <c r="T89" s="12">
        <f t="shared" si="12"/>
        <v>0</v>
      </c>
      <c r="U89" s="12">
        <f t="shared" si="13"/>
        <v>0</v>
      </c>
      <c r="V89" s="12">
        <f>Table15[[#This Row],[Enrolment S.Y. 2025-2026 ]]*8</f>
        <v>0</v>
      </c>
      <c r="W89" s="12"/>
      <c r="X89" s="10"/>
      <c r="Y89" s="12"/>
      <c r="Z89" s="12">
        <f t="shared" si="14"/>
        <v>0</v>
      </c>
      <c r="AA89" s="12">
        <f t="shared" si="15"/>
        <v>0</v>
      </c>
    </row>
    <row r="90" spans="1:27" ht="19.5">
      <c r="A90" s="10">
        <v>9</v>
      </c>
      <c r="B90" s="11" t="s">
        <v>21</v>
      </c>
      <c r="C90" s="10"/>
      <c r="D90" s="12">
        <f>Table15[[#This Row],[Enrolment S.Y. 2025-2026 ]]*8</f>
        <v>0</v>
      </c>
      <c r="E90" s="12"/>
      <c r="F90" s="10"/>
      <c r="G90" s="12"/>
      <c r="H90" s="12">
        <f t="shared" si="16"/>
        <v>0</v>
      </c>
      <c r="I90" s="12">
        <f t="shared" si="17"/>
        <v>0</v>
      </c>
      <c r="J90" s="12">
        <f>Table15[[#This Row],[Enrolment S.Y. 2025-2026 ]]*8</f>
        <v>0</v>
      </c>
      <c r="K90" s="12"/>
      <c r="L90" s="10"/>
      <c r="M90" s="12"/>
      <c r="N90" s="12">
        <f t="shared" si="10"/>
        <v>0</v>
      </c>
      <c r="O90" s="12">
        <f t="shared" si="11"/>
        <v>0</v>
      </c>
      <c r="P90" s="12">
        <f>Table15[[#This Row],[Enrolment S.Y. 2025-2026 ]]*8</f>
        <v>0</v>
      </c>
      <c r="Q90" s="12"/>
      <c r="R90" s="10"/>
      <c r="S90" s="12"/>
      <c r="T90" s="12">
        <f t="shared" si="12"/>
        <v>0</v>
      </c>
      <c r="U90" s="12">
        <f t="shared" si="13"/>
        <v>0</v>
      </c>
      <c r="V90" s="12">
        <f>Table15[[#This Row],[Enrolment S.Y. 2025-2026 ]]*8</f>
        <v>0</v>
      </c>
      <c r="W90" s="12"/>
      <c r="X90" s="10"/>
      <c r="Y90" s="12"/>
      <c r="Z90" s="12">
        <f t="shared" si="14"/>
        <v>0</v>
      </c>
      <c r="AA90" s="12">
        <f t="shared" si="15"/>
        <v>0</v>
      </c>
    </row>
    <row r="91" spans="1:27" ht="19.5">
      <c r="A91" s="10">
        <v>9</v>
      </c>
      <c r="B91" s="11" t="s">
        <v>19</v>
      </c>
      <c r="C91" s="10"/>
      <c r="D91" s="12">
        <f>Table15[[#This Row],[Enrolment S.Y. 2025-2026 ]]*8</f>
        <v>0</v>
      </c>
      <c r="E91" s="12"/>
      <c r="F91" s="10"/>
      <c r="G91" s="12"/>
      <c r="H91" s="12">
        <f t="shared" si="16"/>
        <v>0</v>
      </c>
      <c r="I91" s="12">
        <f t="shared" si="17"/>
        <v>0</v>
      </c>
      <c r="J91" s="12">
        <f>Table15[[#This Row],[Enrolment S.Y. 2025-2026 ]]*8</f>
        <v>0</v>
      </c>
      <c r="K91" s="12"/>
      <c r="L91" s="10"/>
      <c r="M91" s="12"/>
      <c r="N91" s="12">
        <f t="shared" si="10"/>
        <v>0</v>
      </c>
      <c r="O91" s="12">
        <f t="shared" si="11"/>
        <v>0</v>
      </c>
      <c r="P91" s="12">
        <f>Table15[[#This Row],[Enrolment S.Y. 2025-2026 ]]*8</f>
        <v>0</v>
      </c>
      <c r="Q91" s="12"/>
      <c r="R91" s="10"/>
      <c r="S91" s="12"/>
      <c r="T91" s="12">
        <f t="shared" si="12"/>
        <v>0</v>
      </c>
      <c r="U91" s="12">
        <f t="shared" si="13"/>
        <v>0</v>
      </c>
      <c r="V91" s="12">
        <f>Table15[[#This Row],[Enrolment S.Y. 2025-2026 ]]*8</f>
        <v>0</v>
      </c>
      <c r="W91" s="12"/>
      <c r="X91" s="10"/>
      <c r="Y91" s="12"/>
      <c r="Z91" s="12">
        <f t="shared" si="14"/>
        <v>0</v>
      </c>
      <c r="AA91" s="12">
        <f t="shared" si="15"/>
        <v>0</v>
      </c>
    </row>
    <row r="92" spans="1:27" s="7" customFormat="1" ht="19.5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5">
      <c r="A93" s="10">
        <v>10</v>
      </c>
      <c r="B93" s="11" t="s">
        <v>14</v>
      </c>
      <c r="C93" s="10"/>
      <c r="D93" s="12">
        <f>Table15[[#This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Table15[[#This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Table15[[#This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Table15[[#This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5">
      <c r="A94" s="10">
        <v>10</v>
      </c>
      <c r="B94" s="11" t="s">
        <v>15</v>
      </c>
      <c r="C94" s="10"/>
      <c r="D94" s="12">
        <f>Table15[[#This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Table15[[#This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Table15[[#This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Table15[[#This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5">
      <c r="A95" s="10">
        <v>10</v>
      </c>
      <c r="B95" s="11" t="s">
        <v>12</v>
      </c>
      <c r="C95" s="10"/>
      <c r="D95" s="12">
        <f>Table15[[#This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Table15[[#This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Table15[[#This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Table15[[#This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5">
      <c r="A96" s="10">
        <v>10</v>
      </c>
      <c r="B96" s="11" t="s">
        <v>20</v>
      </c>
      <c r="C96" s="10"/>
      <c r="D96" s="12">
        <f>Table15[[#This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Table15[[#This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Table15[[#This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Table15[[#This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5">
      <c r="A97" s="10">
        <v>10</v>
      </c>
      <c r="B97" s="11" t="s">
        <v>22</v>
      </c>
      <c r="C97" s="10"/>
      <c r="D97" s="12">
        <f>Table15[[#This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Table15[[#This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Table15[[#This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Table15[[#This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5">
      <c r="A98" s="10">
        <v>10</v>
      </c>
      <c r="B98" s="11" t="s">
        <v>13</v>
      </c>
      <c r="C98" s="10"/>
      <c r="D98" s="12">
        <f>Table15[[#This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Table15[[#This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Table15[[#This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Table15[[#This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5">
      <c r="A99" s="10">
        <v>10</v>
      </c>
      <c r="B99" s="11" t="s">
        <v>17</v>
      </c>
      <c r="C99" s="10"/>
      <c r="D99" s="12">
        <f>Table15[[#This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Table15[[#This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Table15[[#This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Table15[[#This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5">
      <c r="A100" s="10">
        <v>10</v>
      </c>
      <c r="B100" s="11" t="s">
        <v>21</v>
      </c>
      <c r="C100" s="10"/>
      <c r="D100" s="12">
        <f>Table15[[#This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Table15[[#This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Table15[[#This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Table15[[#This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5">
      <c r="A101" s="10">
        <v>10</v>
      </c>
      <c r="B101" s="11" t="s">
        <v>19</v>
      </c>
      <c r="C101" s="10"/>
      <c r="D101" s="12">
        <f>Table15[[#This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Table15[[#This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Table15[[#This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Table15[[#This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5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25">
      <c r="A103" s="1" t="s">
        <v>23</v>
      </c>
      <c r="B103" s="9" t="s">
        <v>24</v>
      </c>
      <c r="C103" s="1"/>
      <c r="D103" s="5">
        <f>Table15[[#This Row],[Enrolment S.Y. 2025-2026 ]]*8</f>
        <v>0</v>
      </c>
      <c r="E103" s="5"/>
      <c r="F103" s="1"/>
      <c r="G103" s="5"/>
      <c r="H103" s="5">
        <f t="shared" si="16"/>
        <v>0</v>
      </c>
      <c r="I103" s="5">
        <f t="shared" si="17"/>
        <v>0</v>
      </c>
      <c r="J103" s="5">
        <f>Table15[[#This Row],[Enrolment S.Y. 2025-2026 ]]*8</f>
        <v>0</v>
      </c>
      <c r="K103" s="5"/>
      <c r="L103" s="1"/>
      <c r="M103" s="5"/>
      <c r="N103" s="5">
        <f t="shared" si="10"/>
        <v>0</v>
      </c>
      <c r="O103" s="5">
        <f t="shared" si="11"/>
        <v>0</v>
      </c>
      <c r="P103" s="5">
        <f>Table15[[#This Row],[Enrolment S.Y. 2025-2026 ]]*8</f>
        <v>0</v>
      </c>
      <c r="Q103" s="5"/>
      <c r="R103" s="1"/>
      <c r="S103" s="5"/>
      <c r="T103" s="5">
        <f t="shared" si="12"/>
        <v>0</v>
      </c>
      <c r="U103" s="5">
        <f t="shared" si="13"/>
        <v>0</v>
      </c>
      <c r="V103" s="5">
        <f>Table15[[#This Row],[Enrolment S.Y. 2025-2026 ]]*8</f>
        <v>0</v>
      </c>
      <c r="W103" s="5"/>
      <c r="X103" s="1"/>
      <c r="Y103" s="5"/>
      <c r="Z103" s="5">
        <f t="shared" si="14"/>
        <v>0</v>
      </c>
      <c r="AA103" s="5">
        <f t="shared" si="15"/>
        <v>0</v>
      </c>
    </row>
    <row r="104" spans="1:27" ht="19.5">
      <c r="A104" s="1" t="s">
        <v>23</v>
      </c>
      <c r="B104" s="9" t="s">
        <v>25</v>
      </c>
      <c r="C104" s="1"/>
      <c r="D104" s="5">
        <f>Table15[[#This Row],[Enrolment S.Y. 2025-2026 ]]*8</f>
        <v>0</v>
      </c>
      <c r="E104" s="5"/>
      <c r="F104" s="1"/>
      <c r="G104" s="5"/>
      <c r="H104" s="5">
        <f t="shared" si="16"/>
        <v>0</v>
      </c>
      <c r="I104" s="5">
        <f t="shared" si="17"/>
        <v>0</v>
      </c>
      <c r="J104" s="5">
        <f>Table15[[#This Row],[Enrolment S.Y. 2025-2026 ]]*8</f>
        <v>0</v>
      </c>
      <c r="K104" s="5"/>
      <c r="L104" s="1"/>
      <c r="M104" s="5"/>
      <c r="N104" s="5">
        <f t="shared" si="10"/>
        <v>0</v>
      </c>
      <c r="O104" s="5">
        <f t="shared" si="11"/>
        <v>0</v>
      </c>
      <c r="P104" s="5">
        <f>Table15[[#This Row],[Enrolment S.Y. 2025-2026 ]]*8</f>
        <v>0</v>
      </c>
      <c r="Q104" s="5"/>
      <c r="R104" s="1"/>
      <c r="S104" s="5"/>
      <c r="T104" s="5">
        <f t="shared" si="12"/>
        <v>0</v>
      </c>
      <c r="U104" s="5">
        <f t="shared" si="13"/>
        <v>0</v>
      </c>
      <c r="V104" s="5">
        <f>Table15[[#This Row],[Enrolment S.Y. 2025-2026 ]]*8</f>
        <v>0</v>
      </c>
      <c r="W104" s="5"/>
      <c r="X104" s="1"/>
      <c r="Y104" s="5"/>
      <c r="Z104" s="5">
        <f t="shared" si="14"/>
        <v>0</v>
      </c>
      <c r="AA104" s="5">
        <f t="shared" si="15"/>
        <v>0</v>
      </c>
    </row>
    <row r="105" spans="1:27" ht="19.5">
      <c r="A105" s="1" t="s">
        <v>23</v>
      </c>
      <c r="B105" s="9" t="s">
        <v>26</v>
      </c>
      <c r="C105" s="1"/>
      <c r="D105" s="5">
        <f>Table15[[#This Row],[Enrolment S.Y. 2025-2026 ]]*8</f>
        <v>0</v>
      </c>
      <c r="E105" s="5"/>
      <c r="F105" s="1"/>
      <c r="G105" s="5"/>
      <c r="H105" s="5">
        <f t="shared" si="16"/>
        <v>0</v>
      </c>
      <c r="I105" s="5">
        <f t="shared" si="17"/>
        <v>0</v>
      </c>
      <c r="J105" s="5">
        <f>Table15[[#This Row],[Enrolment S.Y. 2025-2026 ]]*8</f>
        <v>0</v>
      </c>
      <c r="K105" s="5"/>
      <c r="L105" s="1"/>
      <c r="M105" s="5"/>
      <c r="N105" s="5">
        <f t="shared" si="10"/>
        <v>0</v>
      </c>
      <c r="O105" s="5">
        <f t="shared" si="11"/>
        <v>0</v>
      </c>
      <c r="P105" s="5">
        <f>Table15[[#This Row],[Enrolment S.Y. 2025-2026 ]]*8</f>
        <v>0</v>
      </c>
      <c r="Q105" s="5"/>
      <c r="R105" s="1"/>
      <c r="S105" s="5"/>
      <c r="T105" s="5">
        <f t="shared" si="12"/>
        <v>0</v>
      </c>
      <c r="U105" s="5">
        <f t="shared" si="13"/>
        <v>0</v>
      </c>
      <c r="V105" s="5">
        <f>Table15[[#This Row],[Enrolment S.Y. 2025-2026 ]]*8</f>
        <v>0</v>
      </c>
      <c r="W105" s="5"/>
      <c r="X105" s="1"/>
      <c r="Y105" s="5"/>
      <c r="Z105" s="5">
        <f t="shared" si="14"/>
        <v>0</v>
      </c>
      <c r="AA105" s="5">
        <f t="shared" si="15"/>
        <v>0</v>
      </c>
    </row>
    <row r="106" spans="1:27" ht="19.5">
      <c r="A106" s="1" t="s">
        <v>23</v>
      </c>
      <c r="B106" s="9" t="s">
        <v>27</v>
      </c>
      <c r="C106" s="1"/>
      <c r="D106" s="5">
        <f>Table15[[#This Row],[Enrolment S.Y. 2025-2026 ]]*8</f>
        <v>0</v>
      </c>
      <c r="E106" s="5"/>
      <c r="F106" s="1"/>
      <c r="G106" s="5"/>
      <c r="H106" s="5">
        <f t="shared" si="16"/>
        <v>0</v>
      </c>
      <c r="I106" s="5">
        <f t="shared" si="17"/>
        <v>0</v>
      </c>
      <c r="J106" s="5">
        <f>Table15[[#This Row],[Enrolment S.Y. 2025-2026 ]]*8</f>
        <v>0</v>
      </c>
      <c r="K106" s="5"/>
      <c r="L106" s="1"/>
      <c r="M106" s="5"/>
      <c r="N106" s="5">
        <f t="shared" si="10"/>
        <v>0</v>
      </c>
      <c r="O106" s="5">
        <f t="shared" si="11"/>
        <v>0</v>
      </c>
      <c r="P106" s="5">
        <f>Table15[[#This Row],[Enrolment S.Y. 2025-2026 ]]*8</f>
        <v>0</v>
      </c>
      <c r="Q106" s="5"/>
      <c r="R106" s="1"/>
      <c r="S106" s="5"/>
      <c r="T106" s="5">
        <f t="shared" si="12"/>
        <v>0</v>
      </c>
      <c r="U106" s="5">
        <f t="shared" si="13"/>
        <v>0</v>
      </c>
      <c r="V106" s="5">
        <f>Table15[[#This Row],[Enrolment S.Y. 2025-2026 ]]*8</f>
        <v>0</v>
      </c>
      <c r="W106" s="5"/>
      <c r="X106" s="1"/>
      <c r="Y106" s="5"/>
      <c r="Z106" s="5">
        <f t="shared" si="14"/>
        <v>0</v>
      </c>
      <c r="AA106" s="5">
        <f t="shared" si="15"/>
        <v>0</v>
      </c>
    </row>
    <row r="107" spans="1:27" ht="38.25">
      <c r="A107" s="1" t="s">
        <v>23</v>
      </c>
      <c r="B107" s="9" t="s">
        <v>28</v>
      </c>
      <c r="C107" s="1"/>
      <c r="D107" s="5">
        <f>Table15[[#This Row],[Enrolment S.Y. 2025-2026 ]]*8</f>
        <v>0</v>
      </c>
      <c r="E107" s="5"/>
      <c r="F107" s="1"/>
      <c r="G107" s="5"/>
      <c r="H107" s="5">
        <f t="shared" si="16"/>
        <v>0</v>
      </c>
      <c r="I107" s="5">
        <f t="shared" si="17"/>
        <v>0</v>
      </c>
      <c r="J107" s="5">
        <f>Table15[[#This Row],[Enrolment S.Y. 2025-2026 ]]*8</f>
        <v>0</v>
      </c>
      <c r="K107" s="5"/>
      <c r="L107" s="1"/>
      <c r="M107" s="5"/>
      <c r="N107" s="5">
        <f t="shared" si="10"/>
        <v>0</v>
      </c>
      <c r="O107" s="5">
        <f t="shared" si="11"/>
        <v>0</v>
      </c>
      <c r="P107" s="5">
        <f>Table15[[#This Row],[Enrolment S.Y. 2025-2026 ]]*8</f>
        <v>0</v>
      </c>
      <c r="Q107" s="5"/>
      <c r="R107" s="1"/>
      <c r="S107" s="5"/>
      <c r="T107" s="5">
        <f t="shared" si="12"/>
        <v>0</v>
      </c>
      <c r="U107" s="5">
        <f t="shared" si="13"/>
        <v>0</v>
      </c>
      <c r="V107" s="5">
        <f>Table15[[#This Row],[Enrolment S.Y. 2025-2026 ]]*8</f>
        <v>0</v>
      </c>
      <c r="W107" s="5"/>
      <c r="X107" s="1"/>
      <c r="Y107" s="5"/>
      <c r="Z107" s="5">
        <f t="shared" si="14"/>
        <v>0</v>
      </c>
      <c r="AA107" s="5">
        <f t="shared" si="15"/>
        <v>0</v>
      </c>
    </row>
    <row r="108" spans="1:27" ht="38.25">
      <c r="A108" s="1" t="s">
        <v>23</v>
      </c>
      <c r="B108" s="9" t="s">
        <v>29</v>
      </c>
      <c r="C108" s="1"/>
      <c r="D108" s="5">
        <f>Table15[[#This Row],[Enrolment S.Y. 2025-2026 ]]*8</f>
        <v>0</v>
      </c>
      <c r="E108" s="5"/>
      <c r="F108" s="1"/>
      <c r="G108" s="5"/>
      <c r="H108" s="5">
        <f t="shared" si="16"/>
        <v>0</v>
      </c>
      <c r="I108" s="5">
        <f t="shared" si="17"/>
        <v>0</v>
      </c>
      <c r="J108" s="5">
        <f>Table15[[#This Row],[Enrolment S.Y. 2025-2026 ]]*8</f>
        <v>0</v>
      </c>
      <c r="K108" s="5"/>
      <c r="L108" s="1"/>
      <c r="M108" s="5"/>
      <c r="N108" s="5">
        <f t="shared" si="10"/>
        <v>0</v>
      </c>
      <c r="O108" s="5">
        <f t="shared" si="11"/>
        <v>0</v>
      </c>
      <c r="P108" s="5">
        <f>Table15[[#This Row],[Enrolment S.Y. 2025-2026 ]]*8</f>
        <v>0</v>
      </c>
      <c r="Q108" s="5"/>
      <c r="R108" s="1"/>
      <c r="S108" s="5"/>
      <c r="T108" s="5">
        <f t="shared" si="12"/>
        <v>0</v>
      </c>
      <c r="U108" s="5">
        <f t="shared" si="13"/>
        <v>0</v>
      </c>
      <c r="V108" s="5">
        <f>Table15[[#This Row],[Enrolment S.Y. 2025-2026 ]]*8</f>
        <v>0</v>
      </c>
      <c r="W108" s="5"/>
      <c r="X108" s="1"/>
      <c r="Y108" s="5"/>
      <c r="Z108" s="5">
        <f t="shared" si="14"/>
        <v>0</v>
      </c>
      <c r="AA108" s="5">
        <f t="shared" si="15"/>
        <v>0</v>
      </c>
    </row>
    <row r="109" spans="1:27" ht="57.75">
      <c r="A109" s="1" t="s">
        <v>23</v>
      </c>
      <c r="B109" s="9" t="s">
        <v>30</v>
      </c>
      <c r="C109" s="1"/>
      <c r="D109" s="5">
        <f>Table15[[#This Row],[Enrolment S.Y. 2025-2026 ]]*8</f>
        <v>0</v>
      </c>
      <c r="E109" s="5"/>
      <c r="F109" s="1"/>
      <c r="G109" s="5"/>
      <c r="H109" s="5">
        <f t="shared" si="16"/>
        <v>0</v>
      </c>
      <c r="I109" s="5">
        <f t="shared" si="17"/>
        <v>0</v>
      </c>
      <c r="J109" s="5">
        <f>Table15[[#This Row],[Enrolment S.Y. 2025-2026 ]]*8</f>
        <v>0</v>
      </c>
      <c r="K109" s="5"/>
      <c r="L109" s="1"/>
      <c r="M109" s="5"/>
      <c r="N109" s="5">
        <f t="shared" si="10"/>
        <v>0</v>
      </c>
      <c r="O109" s="5">
        <f t="shared" si="11"/>
        <v>0</v>
      </c>
      <c r="P109" s="5">
        <f>Table15[[#This Row],[Enrolment S.Y. 2025-2026 ]]*8</f>
        <v>0</v>
      </c>
      <c r="Q109" s="5"/>
      <c r="R109" s="1"/>
      <c r="S109" s="5"/>
      <c r="T109" s="5">
        <f t="shared" si="12"/>
        <v>0</v>
      </c>
      <c r="U109" s="5">
        <f t="shared" si="13"/>
        <v>0</v>
      </c>
      <c r="V109" s="5">
        <f>Table15[[#This Row],[Enrolment S.Y. 2025-2026 ]]*8</f>
        <v>0</v>
      </c>
      <c r="W109" s="5"/>
      <c r="X109" s="1"/>
      <c r="Y109" s="5"/>
      <c r="Z109" s="5">
        <f t="shared" si="14"/>
        <v>0</v>
      </c>
      <c r="AA109" s="5">
        <f t="shared" si="15"/>
        <v>0</v>
      </c>
    </row>
    <row r="110" spans="1:27" ht="38.25">
      <c r="A110" s="1" t="s">
        <v>23</v>
      </c>
      <c r="B110" s="9" t="s">
        <v>31</v>
      </c>
      <c r="C110" s="1"/>
      <c r="D110" s="5">
        <f>Table15[[#This Row],[Enrolment S.Y. 2025-2026 ]]*8</f>
        <v>0</v>
      </c>
      <c r="E110" s="5"/>
      <c r="F110" s="1"/>
      <c r="G110" s="5"/>
      <c r="H110" s="5">
        <f t="shared" si="16"/>
        <v>0</v>
      </c>
      <c r="I110" s="5">
        <f t="shared" si="17"/>
        <v>0</v>
      </c>
      <c r="J110" s="5">
        <f>Table15[[#This Row],[Enrolment S.Y. 2025-2026 ]]*8</f>
        <v>0</v>
      </c>
      <c r="K110" s="5"/>
      <c r="L110" s="1"/>
      <c r="M110" s="5"/>
      <c r="N110" s="5">
        <f t="shared" si="10"/>
        <v>0</v>
      </c>
      <c r="O110" s="5">
        <f t="shared" si="11"/>
        <v>0</v>
      </c>
      <c r="P110" s="5">
        <f>Table15[[#This Row],[Enrolment S.Y. 2025-2026 ]]*8</f>
        <v>0</v>
      </c>
      <c r="Q110" s="5"/>
      <c r="R110" s="1"/>
      <c r="S110" s="5"/>
      <c r="T110" s="5">
        <f t="shared" si="12"/>
        <v>0</v>
      </c>
      <c r="U110" s="5">
        <f t="shared" si="13"/>
        <v>0</v>
      </c>
      <c r="V110" s="5">
        <f>Table15[[#This Row],[Enrolment S.Y. 2025-2026 ]]*8</f>
        <v>0</v>
      </c>
      <c r="W110" s="5"/>
      <c r="X110" s="1"/>
      <c r="Y110" s="5"/>
      <c r="Z110" s="5">
        <f t="shared" si="14"/>
        <v>0</v>
      </c>
      <c r="AA110" s="5">
        <f t="shared" si="15"/>
        <v>0</v>
      </c>
    </row>
    <row r="111" spans="1:27" s="7" customFormat="1" ht="19.5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5">
      <c r="A112" s="1"/>
      <c r="B112" s="9"/>
      <c r="C112" s="1"/>
      <c r="D112" s="5"/>
      <c r="E112" s="5"/>
      <c r="F112" s="1"/>
      <c r="G112" s="5"/>
      <c r="H112" s="5">
        <f t="shared" si="16"/>
        <v>0</v>
      </c>
      <c r="I112" s="5">
        <f t="shared" si="17"/>
        <v>0</v>
      </c>
      <c r="J112" s="5">
        <f>Table15[[#This Row],[Enrolment S.Y. 2025-2026 ]]*8</f>
        <v>0</v>
      </c>
      <c r="K112" s="5"/>
      <c r="L112" s="1"/>
      <c r="M112" s="5"/>
      <c r="N112" s="5">
        <f t="shared" si="10"/>
        <v>0</v>
      </c>
      <c r="O112" s="5">
        <f t="shared" si="11"/>
        <v>0</v>
      </c>
      <c r="P112" s="5">
        <f>Table15[[#This Row],[Enrolment S.Y. 2025-2026 ]]*8</f>
        <v>0</v>
      </c>
      <c r="Q112" s="5"/>
      <c r="R112" s="1"/>
      <c r="S112" s="5"/>
      <c r="T112" s="5">
        <f t="shared" si="12"/>
        <v>0</v>
      </c>
      <c r="U112" s="5">
        <f t="shared" si="13"/>
        <v>0</v>
      </c>
      <c r="V112" s="5">
        <f>Table15[[#This Row],[Enrolment S.Y. 2025-2026 ]]*8</f>
        <v>0</v>
      </c>
      <c r="W112" s="5"/>
      <c r="X112" s="1"/>
      <c r="Y112" s="5"/>
      <c r="Z112" s="5">
        <f t="shared" si="14"/>
        <v>0</v>
      </c>
      <c r="AA112" s="5">
        <f t="shared" si="15"/>
        <v>0</v>
      </c>
    </row>
    <row r="113" spans="1:27" ht="19.5">
      <c r="A113" s="1"/>
      <c r="B113" s="9"/>
      <c r="C113" s="1"/>
      <c r="D113" s="5"/>
      <c r="E113" s="5"/>
      <c r="F113" s="1"/>
      <c r="G113" s="5"/>
      <c r="H113" s="5">
        <f t="shared" si="16"/>
        <v>0</v>
      </c>
      <c r="I113" s="5">
        <f t="shared" si="17"/>
        <v>0</v>
      </c>
      <c r="J113" s="5">
        <f>Table15[[#This Row],[Enrolment S.Y. 2025-2026 ]]*8</f>
        <v>0</v>
      </c>
      <c r="K113" s="5"/>
      <c r="L113" s="1"/>
      <c r="M113" s="5"/>
      <c r="N113" s="5">
        <f t="shared" si="10"/>
        <v>0</v>
      </c>
      <c r="O113" s="5">
        <f t="shared" si="11"/>
        <v>0</v>
      </c>
      <c r="P113" s="5">
        <f>Table15[[#This Row],[Enrolment S.Y. 2025-2026 ]]*8</f>
        <v>0</v>
      </c>
      <c r="Q113" s="5"/>
      <c r="R113" s="1"/>
      <c r="S113" s="5"/>
      <c r="T113" s="5">
        <f t="shared" si="12"/>
        <v>0</v>
      </c>
      <c r="U113" s="5">
        <f t="shared" si="13"/>
        <v>0</v>
      </c>
      <c r="V113" s="5">
        <f>Table15[[#This Row],[Enrolment S.Y. 2025-2026 ]]*8</f>
        <v>0</v>
      </c>
      <c r="W113" s="5"/>
      <c r="X113" s="1"/>
      <c r="Y113" s="5"/>
      <c r="Z113" s="5">
        <f t="shared" si="14"/>
        <v>0</v>
      </c>
      <c r="AA113" s="5">
        <f t="shared" si="15"/>
        <v>0</v>
      </c>
    </row>
    <row r="114" spans="1:27" ht="19.5">
      <c r="A114" s="1"/>
      <c r="B114" s="9"/>
      <c r="C114" s="1"/>
      <c r="D114" s="5"/>
      <c r="E114" s="5"/>
      <c r="F114" s="1"/>
      <c r="G114" s="5"/>
      <c r="H114" s="5">
        <f t="shared" si="16"/>
        <v>0</v>
      </c>
      <c r="I114" s="5">
        <f t="shared" si="17"/>
        <v>0</v>
      </c>
      <c r="J114" s="5">
        <f>Table15[[#This Row],[Enrolment S.Y. 2025-2026 ]]*8</f>
        <v>0</v>
      </c>
      <c r="K114" s="5"/>
      <c r="L114" s="1"/>
      <c r="M114" s="5"/>
      <c r="N114" s="5">
        <f t="shared" si="10"/>
        <v>0</v>
      </c>
      <c r="O114" s="5">
        <f t="shared" si="11"/>
        <v>0</v>
      </c>
      <c r="P114" s="5">
        <f>Table15[[#This Row],[Enrolment S.Y. 2025-2026 ]]*8</f>
        <v>0</v>
      </c>
      <c r="Q114" s="5"/>
      <c r="R114" s="1"/>
      <c r="S114" s="5"/>
      <c r="T114" s="5">
        <f t="shared" si="12"/>
        <v>0</v>
      </c>
      <c r="U114" s="5">
        <f t="shared" si="13"/>
        <v>0</v>
      </c>
      <c r="V114" s="5">
        <f>Table15[[#This Row],[Enrolment S.Y. 2025-2026 ]]*8</f>
        <v>0</v>
      </c>
      <c r="W114" s="5"/>
      <c r="X114" s="1"/>
      <c r="Y114" s="5"/>
      <c r="Z114" s="5">
        <f t="shared" si="14"/>
        <v>0</v>
      </c>
      <c r="AA114" s="5">
        <f t="shared" si="15"/>
        <v>0</v>
      </c>
    </row>
    <row r="115" spans="1:27" ht="19.5">
      <c r="A115" s="1"/>
      <c r="B115" s="9"/>
      <c r="C115" s="1"/>
      <c r="D115" s="5"/>
      <c r="E115" s="5"/>
      <c r="F115" s="1"/>
      <c r="G115" s="5"/>
      <c r="H115" s="5">
        <f t="shared" si="16"/>
        <v>0</v>
      </c>
      <c r="I115" s="5">
        <f t="shared" si="17"/>
        <v>0</v>
      </c>
      <c r="J115" s="5">
        <f>Table15[[#This Row],[Enrolment S.Y. 2025-2026 ]]*8</f>
        <v>0</v>
      </c>
      <c r="K115" s="5"/>
      <c r="L115" s="1"/>
      <c r="M115" s="5"/>
      <c r="N115" s="5">
        <f t="shared" si="10"/>
        <v>0</v>
      </c>
      <c r="O115" s="5">
        <f t="shared" si="11"/>
        <v>0</v>
      </c>
      <c r="P115" s="5">
        <f>Table15[[#This Row],[Enrolment S.Y. 2025-2026 ]]*8</f>
        <v>0</v>
      </c>
      <c r="Q115" s="5"/>
      <c r="R115" s="1"/>
      <c r="S115" s="5"/>
      <c r="T115" s="5">
        <f t="shared" si="12"/>
        <v>0</v>
      </c>
      <c r="U115" s="5">
        <f t="shared" si="13"/>
        <v>0</v>
      </c>
      <c r="V115" s="5">
        <f>Table15[[#This Row],[Enrolment S.Y. 2025-2026 ]]*8</f>
        <v>0</v>
      </c>
      <c r="W115" s="5"/>
      <c r="X115" s="1"/>
      <c r="Y115" s="5"/>
      <c r="Z115" s="5">
        <f t="shared" si="14"/>
        <v>0</v>
      </c>
      <c r="AA115" s="5">
        <f t="shared" si="15"/>
        <v>0</v>
      </c>
    </row>
    <row r="116" spans="1:27" ht="19.5">
      <c r="A116" s="1"/>
      <c r="B116" s="9"/>
      <c r="C116" s="1"/>
      <c r="D116" s="5"/>
      <c r="E116" s="5"/>
      <c r="F116" s="1"/>
      <c r="G116" s="5"/>
      <c r="H116" s="5">
        <f t="shared" si="16"/>
        <v>0</v>
      </c>
      <c r="I116" s="5">
        <f t="shared" si="17"/>
        <v>0</v>
      </c>
      <c r="J116" s="5">
        <f>Table15[[#This Row],[Enrolment S.Y. 2025-2026 ]]*8</f>
        <v>0</v>
      </c>
      <c r="K116" s="5"/>
      <c r="L116" s="1"/>
      <c r="M116" s="5"/>
      <c r="N116" s="5">
        <f t="shared" si="10"/>
        <v>0</v>
      </c>
      <c r="O116" s="5">
        <f t="shared" si="11"/>
        <v>0</v>
      </c>
      <c r="P116" s="5">
        <f>Table15[[#This Row],[Enrolment S.Y. 2025-2026 ]]*8</f>
        <v>0</v>
      </c>
      <c r="Q116" s="5"/>
      <c r="R116" s="1"/>
      <c r="S116" s="5"/>
      <c r="T116" s="5">
        <f t="shared" si="12"/>
        <v>0</v>
      </c>
      <c r="U116" s="5">
        <f t="shared" si="13"/>
        <v>0</v>
      </c>
      <c r="V116" s="5">
        <f>Table15[[#This Row],[Enrolment S.Y. 2025-2026 ]]*8</f>
        <v>0</v>
      </c>
      <c r="W116" s="5"/>
      <c r="X116" s="1"/>
      <c r="Y116" s="5"/>
      <c r="Z116" s="5">
        <f t="shared" si="14"/>
        <v>0</v>
      </c>
      <c r="AA116" s="5">
        <f t="shared" si="15"/>
        <v>0</v>
      </c>
    </row>
    <row r="117" spans="1:27" ht="19.5">
      <c r="A117" s="1"/>
      <c r="B117" s="9"/>
      <c r="C117" s="1"/>
      <c r="D117" s="5"/>
      <c r="E117" s="5"/>
      <c r="F117" s="1"/>
      <c r="G117" s="5"/>
      <c r="H117" s="5">
        <f t="shared" si="16"/>
        <v>0</v>
      </c>
      <c r="I117" s="5">
        <f t="shared" si="17"/>
        <v>0</v>
      </c>
      <c r="J117" s="5">
        <f>Table15[[#This Row],[Enrolment S.Y. 2025-2026 ]]*8</f>
        <v>0</v>
      </c>
      <c r="K117" s="5"/>
      <c r="L117" s="1"/>
      <c r="M117" s="5"/>
      <c r="N117" s="5">
        <f t="shared" si="10"/>
        <v>0</v>
      </c>
      <c r="O117" s="5">
        <f t="shared" si="11"/>
        <v>0</v>
      </c>
      <c r="P117" s="5">
        <f>Table15[[#This Row],[Enrolment S.Y. 2025-2026 ]]*8</f>
        <v>0</v>
      </c>
      <c r="Q117" s="5"/>
      <c r="R117" s="1"/>
      <c r="S117" s="5"/>
      <c r="T117" s="5">
        <f t="shared" si="12"/>
        <v>0</v>
      </c>
      <c r="U117" s="5">
        <f t="shared" si="13"/>
        <v>0</v>
      </c>
      <c r="V117" s="5">
        <f>Table15[[#This Row],[Enrolment S.Y. 2025-2026 ]]*8</f>
        <v>0</v>
      </c>
      <c r="W117" s="5"/>
      <c r="X117" s="1"/>
      <c r="Y117" s="5"/>
      <c r="Z117" s="5">
        <f t="shared" si="14"/>
        <v>0</v>
      </c>
      <c r="AA117" s="5">
        <f t="shared" si="15"/>
        <v>0</v>
      </c>
    </row>
    <row r="118" spans="1:27" ht="19.5">
      <c r="A118" s="1"/>
      <c r="B118" s="9"/>
      <c r="C118" s="1"/>
      <c r="D118" s="5"/>
      <c r="E118" s="5"/>
      <c r="F118" s="1"/>
      <c r="G118" s="5"/>
      <c r="H118" s="5">
        <f t="shared" si="16"/>
        <v>0</v>
      </c>
      <c r="I118" s="5">
        <f t="shared" si="17"/>
        <v>0</v>
      </c>
      <c r="J118" s="5">
        <f>Table15[[#This Row],[Enrolment S.Y. 2025-2026 ]]*8</f>
        <v>0</v>
      </c>
      <c r="K118" s="5"/>
      <c r="L118" s="1"/>
      <c r="M118" s="5"/>
      <c r="N118" s="5">
        <f t="shared" si="10"/>
        <v>0</v>
      </c>
      <c r="O118" s="5">
        <f t="shared" si="11"/>
        <v>0</v>
      </c>
      <c r="P118" s="5">
        <f>Table15[[#This Row],[Enrolment S.Y. 2025-2026 ]]*8</f>
        <v>0</v>
      </c>
      <c r="Q118" s="5"/>
      <c r="R118" s="1"/>
      <c r="S118" s="5"/>
      <c r="T118" s="5">
        <f t="shared" si="12"/>
        <v>0</v>
      </c>
      <c r="U118" s="5">
        <f t="shared" si="13"/>
        <v>0</v>
      </c>
      <c r="V118" s="5">
        <f>Table15[[#This Row],[Enrolment S.Y. 2025-2026 ]]*8</f>
        <v>0</v>
      </c>
      <c r="W118" s="5"/>
      <c r="X118" s="1"/>
      <c r="Y118" s="5"/>
      <c r="Z118" s="5">
        <f t="shared" si="14"/>
        <v>0</v>
      </c>
      <c r="AA118" s="5">
        <f t="shared" si="15"/>
        <v>0</v>
      </c>
    </row>
    <row r="119" spans="1:27" ht="19.5">
      <c r="A119" s="1"/>
      <c r="B119" s="9"/>
      <c r="C119" s="1"/>
      <c r="D119" s="5"/>
      <c r="E119" s="5"/>
      <c r="F119" s="1"/>
      <c r="G119" s="5"/>
      <c r="H119" s="5">
        <f t="shared" si="16"/>
        <v>0</v>
      </c>
      <c r="I119" s="5">
        <f t="shared" si="17"/>
        <v>0</v>
      </c>
      <c r="J119" s="5">
        <f>Table15[[#This Row],[Enrolment S.Y. 2025-2026 ]]*8</f>
        <v>0</v>
      </c>
      <c r="K119" s="5"/>
      <c r="L119" s="1"/>
      <c r="M119" s="5"/>
      <c r="N119" s="5">
        <f t="shared" si="10"/>
        <v>0</v>
      </c>
      <c r="O119" s="5">
        <f t="shared" si="11"/>
        <v>0</v>
      </c>
      <c r="P119" s="5">
        <f>Table15[[#This Row],[Enrolment S.Y. 2025-2026 ]]*8</f>
        <v>0</v>
      </c>
      <c r="Q119" s="5"/>
      <c r="R119" s="1"/>
      <c r="S119" s="5"/>
      <c r="T119" s="5">
        <f t="shared" si="12"/>
        <v>0</v>
      </c>
      <c r="U119" s="5">
        <f t="shared" si="13"/>
        <v>0</v>
      </c>
      <c r="V119" s="5">
        <f>Table15[[#This Row],[Enrolment S.Y. 2025-2026 ]]*8</f>
        <v>0</v>
      </c>
      <c r="W119" s="5"/>
      <c r="X119" s="1"/>
      <c r="Y119" s="5"/>
      <c r="Z119" s="5">
        <f t="shared" si="14"/>
        <v>0</v>
      </c>
      <c r="AA119" s="5">
        <f t="shared" si="15"/>
        <v>0</v>
      </c>
    </row>
    <row r="120" spans="1:27" ht="19.5">
      <c r="A120" s="1"/>
      <c r="B120" s="9"/>
      <c r="C120" s="1"/>
      <c r="D120" s="5"/>
      <c r="E120" s="5"/>
      <c r="F120" s="1"/>
      <c r="G120" s="5"/>
      <c r="H120" s="5">
        <f t="shared" si="16"/>
        <v>0</v>
      </c>
      <c r="I120" s="5">
        <f t="shared" si="17"/>
        <v>0</v>
      </c>
      <c r="J120" s="5">
        <f>Table15[[#This Row],[Enrolment S.Y. 2025-2026 ]]*8</f>
        <v>0</v>
      </c>
      <c r="K120" s="5"/>
      <c r="L120" s="1"/>
      <c r="M120" s="5"/>
      <c r="N120" s="5">
        <f t="shared" si="10"/>
        <v>0</v>
      </c>
      <c r="O120" s="5">
        <f t="shared" si="11"/>
        <v>0</v>
      </c>
      <c r="P120" s="5">
        <f>Table15[[#This Row],[Enrolment S.Y. 2025-2026 ]]*8</f>
        <v>0</v>
      </c>
      <c r="Q120" s="5"/>
      <c r="R120" s="1"/>
      <c r="S120" s="5"/>
      <c r="T120" s="5">
        <f t="shared" si="12"/>
        <v>0</v>
      </c>
      <c r="U120" s="5">
        <f t="shared" si="13"/>
        <v>0</v>
      </c>
      <c r="V120" s="5">
        <f>Table15[[#This Row],[Enrolment S.Y. 2025-2026 ]]*8</f>
        <v>0</v>
      </c>
      <c r="W120" s="5"/>
      <c r="X120" s="1"/>
      <c r="Y120" s="5"/>
      <c r="Z120" s="5">
        <f t="shared" si="14"/>
        <v>0</v>
      </c>
      <c r="AA120" s="5">
        <f t="shared" si="15"/>
        <v>0</v>
      </c>
    </row>
    <row r="121" spans="1:27" ht="19.5">
      <c r="A121" s="1"/>
      <c r="B121" s="9"/>
      <c r="C121" s="1"/>
      <c r="D121" s="5"/>
      <c r="E121" s="5"/>
      <c r="F121" s="1"/>
      <c r="G121" s="5"/>
      <c r="H121" s="5">
        <f t="shared" si="16"/>
        <v>0</v>
      </c>
      <c r="I121" s="5">
        <f t="shared" si="17"/>
        <v>0</v>
      </c>
      <c r="J121" s="5">
        <f>Table15[[#This Row],[Enrolment S.Y. 2025-2026 ]]*8</f>
        <v>0</v>
      </c>
      <c r="K121" s="5"/>
      <c r="L121" s="1"/>
      <c r="M121" s="5"/>
      <c r="N121" s="5">
        <f t="shared" si="10"/>
        <v>0</v>
      </c>
      <c r="O121" s="5">
        <f t="shared" si="11"/>
        <v>0</v>
      </c>
      <c r="P121" s="5">
        <f>Table15[[#This Row],[Enrolment S.Y. 2025-2026 ]]*8</f>
        <v>0</v>
      </c>
      <c r="Q121" s="5"/>
      <c r="R121" s="1"/>
      <c r="S121" s="5"/>
      <c r="T121" s="5">
        <f t="shared" si="12"/>
        <v>0</v>
      </c>
      <c r="U121" s="5">
        <f t="shared" si="13"/>
        <v>0</v>
      </c>
      <c r="V121" s="5">
        <f>Table15[[#This Row],[Enrolment S.Y. 2025-2026 ]]*8</f>
        <v>0</v>
      </c>
      <c r="W121" s="5"/>
      <c r="X121" s="1"/>
      <c r="Y121" s="5"/>
      <c r="Z121" s="5">
        <f t="shared" si="14"/>
        <v>0</v>
      </c>
      <c r="AA121" s="5">
        <f t="shared" si="15"/>
        <v>0</v>
      </c>
    </row>
    <row r="122" spans="1:27" ht="19.5">
      <c r="A122" s="1"/>
      <c r="B122" s="9"/>
      <c r="C122" s="1"/>
      <c r="D122" s="5"/>
      <c r="E122" s="5"/>
      <c r="F122" s="1"/>
      <c r="G122" s="5"/>
      <c r="H122" s="5">
        <f t="shared" si="16"/>
        <v>0</v>
      </c>
      <c r="I122" s="5">
        <f t="shared" si="17"/>
        <v>0</v>
      </c>
      <c r="J122" s="5">
        <f>Table15[[#This Row],[Enrolment S.Y. 2025-2026 ]]*8</f>
        <v>0</v>
      </c>
      <c r="K122" s="5"/>
      <c r="L122" s="1"/>
      <c r="M122" s="5"/>
      <c r="N122" s="5">
        <f t="shared" si="10"/>
        <v>0</v>
      </c>
      <c r="O122" s="5">
        <f t="shared" si="11"/>
        <v>0</v>
      </c>
      <c r="P122" s="5">
        <f>Table15[[#This Row],[Enrolment S.Y. 2025-2026 ]]*8</f>
        <v>0</v>
      </c>
      <c r="Q122" s="5"/>
      <c r="R122" s="1"/>
      <c r="S122" s="5"/>
      <c r="T122" s="5">
        <f t="shared" si="12"/>
        <v>0</v>
      </c>
      <c r="U122" s="5">
        <f t="shared" si="13"/>
        <v>0</v>
      </c>
      <c r="V122" s="5">
        <f>Table15[[#This Row],[Enrolment S.Y. 2025-2026 ]]*8</f>
        <v>0</v>
      </c>
      <c r="W122" s="5"/>
      <c r="X122" s="1"/>
      <c r="Y122" s="5"/>
      <c r="Z122" s="5">
        <f t="shared" si="14"/>
        <v>0</v>
      </c>
      <c r="AA122" s="5">
        <f t="shared" si="15"/>
        <v>0</v>
      </c>
    </row>
    <row r="123" spans="1:27" ht="19.5">
      <c r="A123" s="1"/>
      <c r="B123" s="9"/>
      <c r="C123" s="1"/>
      <c r="D123" s="5"/>
      <c r="E123" s="5"/>
      <c r="F123" s="1"/>
      <c r="G123" s="5"/>
      <c r="H123" s="5">
        <f t="shared" si="16"/>
        <v>0</v>
      </c>
      <c r="I123" s="5">
        <f t="shared" si="17"/>
        <v>0</v>
      </c>
      <c r="J123" s="5">
        <f>Table15[[#This Row],[Enrolment S.Y. 2025-2026 ]]*8</f>
        <v>0</v>
      </c>
      <c r="K123" s="5"/>
      <c r="L123" s="1"/>
      <c r="M123" s="5"/>
      <c r="N123" s="5">
        <f t="shared" si="10"/>
        <v>0</v>
      </c>
      <c r="O123" s="5">
        <f t="shared" si="11"/>
        <v>0</v>
      </c>
      <c r="P123" s="5">
        <f>Table15[[#This Row],[Enrolment S.Y. 2025-2026 ]]*8</f>
        <v>0</v>
      </c>
      <c r="Q123" s="5"/>
      <c r="R123" s="1"/>
      <c r="S123" s="5"/>
      <c r="T123" s="5">
        <f t="shared" si="12"/>
        <v>0</v>
      </c>
      <c r="U123" s="5">
        <f t="shared" si="13"/>
        <v>0</v>
      </c>
      <c r="V123" s="5">
        <f>Table15[[#This Row],[Enrolment S.Y. 2025-2026 ]]*8</f>
        <v>0</v>
      </c>
      <c r="W123" s="5"/>
      <c r="X123" s="1"/>
      <c r="Y123" s="5"/>
      <c r="Z123" s="5">
        <f t="shared" si="14"/>
        <v>0</v>
      </c>
      <c r="AA123" s="5">
        <f t="shared" si="15"/>
        <v>0</v>
      </c>
    </row>
    <row r="124" spans="1:27" ht="19.5">
      <c r="A124" s="1"/>
      <c r="B124" s="9"/>
      <c r="C124" s="1"/>
      <c r="D124" s="5"/>
      <c r="E124" s="5"/>
      <c r="F124" s="1"/>
      <c r="G124" s="5"/>
      <c r="H124" s="5">
        <f t="shared" si="16"/>
        <v>0</v>
      </c>
      <c r="I124" s="5">
        <f t="shared" si="17"/>
        <v>0</v>
      </c>
      <c r="J124" s="5">
        <f>Table15[[#This Row],[Enrolment S.Y. 2025-2026 ]]*8</f>
        <v>0</v>
      </c>
      <c r="K124" s="5"/>
      <c r="L124" s="1"/>
      <c r="M124" s="5"/>
      <c r="N124" s="5">
        <f t="shared" si="10"/>
        <v>0</v>
      </c>
      <c r="O124" s="5">
        <f t="shared" si="11"/>
        <v>0</v>
      </c>
      <c r="P124" s="5">
        <f>Table15[[#This Row],[Enrolment S.Y. 2025-2026 ]]*8</f>
        <v>0</v>
      </c>
      <c r="Q124" s="5"/>
      <c r="R124" s="1"/>
      <c r="S124" s="5"/>
      <c r="T124" s="5">
        <f t="shared" si="12"/>
        <v>0</v>
      </c>
      <c r="U124" s="5">
        <f t="shared" si="13"/>
        <v>0</v>
      </c>
      <c r="V124" s="5">
        <f>Table15[[#This Row],[Enrolment S.Y. 2025-2026 ]]*8</f>
        <v>0</v>
      </c>
      <c r="W124" s="5"/>
      <c r="X124" s="1"/>
      <c r="Y124" s="5"/>
      <c r="Z124" s="5">
        <f t="shared" si="14"/>
        <v>0</v>
      </c>
      <c r="AA124" s="5">
        <f t="shared" si="15"/>
        <v>0</v>
      </c>
    </row>
    <row r="125" spans="1:27" ht="19.5">
      <c r="A125" s="1"/>
      <c r="B125" s="9"/>
      <c r="C125" s="1"/>
      <c r="D125" s="5"/>
      <c r="E125" s="5"/>
      <c r="F125" s="1"/>
      <c r="G125" s="5"/>
      <c r="H125" s="5">
        <f t="shared" si="16"/>
        <v>0</v>
      </c>
      <c r="I125" s="5">
        <f t="shared" si="17"/>
        <v>0</v>
      </c>
      <c r="J125" s="5">
        <f>Table15[[#This Row],[Enrolment S.Y. 2025-2026 ]]*8</f>
        <v>0</v>
      </c>
      <c r="K125" s="5"/>
      <c r="L125" s="1"/>
      <c r="M125" s="5"/>
      <c r="N125" s="5">
        <f t="shared" si="10"/>
        <v>0</v>
      </c>
      <c r="O125" s="5">
        <f t="shared" si="11"/>
        <v>0</v>
      </c>
      <c r="P125" s="5">
        <f>Table15[[#This Row],[Enrolment S.Y. 2025-2026 ]]*8</f>
        <v>0</v>
      </c>
      <c r="Q125" s="5"/>
      <c r="R125" s="1"/>
      <c r="S125" s="5"/>
      <c r="T125" s="5">
        <f t="shared" si="12"/>
        <v>0</v>
      </c>
      <c r="U125" s="5">
        <f t="shared" si="13"/>
        <v>0</v>
      </c>
      <c r="V125" s="5">
        <f>Table15[[#This Row],[Enrolment S.Y. 2025-2026 ]]*8</f>
        <v>0</v>
      </c>
      <c r="W125" s="5"/>
      <c r="X125" s="1"/>
      <c r="Y125" s="5"/>
      <c r="Z125" s="5">
        <f t="shared" si="14"/>
        <v>0</v>
      </c>
      <c r="AA125" s="5">
        <f t="shared" si="15"/>
        <v>0</v>
      </c>
    </row>
    <row r="126" spans="1:27" ht="19.5">
      <c r="A126" s="1"/>
      <c r="B126" s="9"/>
      <c r="C126" s="1"/>
      <c r="D126" s="5"/>
      <c r="E126" s="5"/>
      <c r="F126" s="1"/>
      <c r="G126" s="5"/>
      <c r="H126" s="5">
        <f t="shared" si="16"/>
        <v>0</v>
      </c>
      <c r="I126" s="5">
        <f t="shared" si="17"/>
        <v>0</v>
      </c>
      <c r="J126" s="5">
        <f>Table15[[#This Row],[Enrolment S.Y. 2025-2026 ]]*8</f>
        <v>0</v>
      </c>
      <c r="K126" s="5"/>
      <c r="L126" s="1"/>
      <c r="M126" s="5"/>
      <c r="N126" s="5">
        <f t="shared" si="10"/>
        <v>0</v>
      </c>
      <c r="O126" s="5">
        <f t="shared" si="11"/>
        <v>0</v>
      </c>
      <c r="P126" s="5">
        <f>Table15[[#This Row],[Enrolment S.Y. 2025-2026 ]]*8</f>
        <v>0</v>
      </c>
      <c r="Q126" s="5"/>
      <c r="R126" s="1"/>
      <c r="S126" s="5"/>
      <c r="T126" s="5">
        <f t="shared" si="12"/>
        <v>0</v>
      </c>
      <c r="U126" s="5">
        <f t="shared" si="13"/>
        <v>0</v>
      </c>
      <c r="V126" s="5">
        <f>Table15[[#This Row],[Enrolment S.Y. 2025-2026 ]]*8</f>
        <v>0</v>
      </c>
      <c r="W126" s="5"/>
      <c r="X126" s="1"/>
      <c r="Y126" s="5"/>
      <c r="Z126" s="5">
        <f t="shared" si="14"/>
        <v>0</v>
      </c>
      <c r="AA126" s="5">
        <f t="shared" si="15"/>
        <v>0</v>
      </c>
    </row>
    <row r="127" spans="1:27" ht="19.5">
      <c r="A127" s="29"/>
      <c r="B127" s="30"/>
      <c r="C127" s="29"/>
      <c r="D127" s="5"/>
      <c r="E127" s="31"/>
      <c r="F127" s="29"/>
      <c r="G127" s="31"/>
      <c r="H127" s="5">
        <f t="shared" si="16"/>
        <v>0</v>
      </c>
      <c r="I127" s="5">
        <f t="shared" si="17"/>
        <v>0</v>
      </c>
      <c r="J127" s="5">
        <f>Table15[[#This Row],[Enrolment S.Y. 2025-2026 ]]*8</f>
        <v>0</v>
      </c>
      <c r="K127" s="31"/>
      <c r="L127" s="29"/>
      <c r="M127" s="31"/>
      <c r="N127" s="5">
        <f t="shared" si="10"/>
        <v>0</v>
      </c>
      <c r="O127" s="5">
        <f t="shared" si="11"/>
        <v>0</v>
      </c>
      <c r="P127" s="5"/>
      <c r="Q127" s="31"/>
      <c r="R127" s="29"/>
      <c r="S127" s="31"/>
      <c r="T127" s="5">
        <f t="shared" si="12"/>
        <v>0</v>
      </c>
      <c r="U127" s="5">
        <f t="shared" si="13"/>
        <v>0</v>
      </c>
      <c r="V127" s="5">
        <f>Table15[[#This Row],[Enrolment S.Y. 2025-2026 ]]*8</f>
        <v>0</v>
      </c>
      <c r="W127" s="31"/>
      <c r="X127" s="29"/>
      <c r="Y127" s="31"/>
      <c r="Z127" s="5">
        <f t="shared" si="14"/>
        <v>0</v>
      </c>
      <c r="AA127" s="5">
        <f t="shared" si="15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 Q53:R61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M14:M110 Y14:Y110 S4:S110 G5:G12 M5:M12 Y5:Y12 G14:G21 G23:G31 G33:G41 G43:G51 G53:G61 G63:G71 G73:G81 G83:G91 G93:G101 G103:G110" xr:uid="{0CEA3548-957F-4A36-B77A-CB9CF1733F6C}">
      <formula1>"CO,RO,SDO,LGU,SCHOOL"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C6B0350D-41D2-44F7-A0FC-EA4E0A16258A}">
      <formula1>"2024,2025"</formula1>
    </dataValidation>
    <dataValidation type="list" allowBlank="1" showInputMessage="1" showErrorMessage="1" sqref="S112:S127 M112:M127 Y112:Y127 G112:G127" xr:uid="{0E898C40-DF67-4ED3-9FD0-F2B5E3F7520E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E2415-E160-45DB-B163-91BA25116ECB}">
  <dimension ref="A1:AA157"/>
  <sheetViews>
    <sheetView topLeftCell="A25" zoomScale="70" zoomScaleNormal="70" workbookViewId="0">
      <selection activeCell="D1" sqref="D1:O1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0" t="s">
        <v>45</v>
      </c>
      <c r="N2" s="40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1" t="s">
        <v>57</v>
      </c>
      <c r="Z2" s="41" t="s">
        <v>58</v>
      </c>
      <c r="AA2" s="26" t="s">
        <v>59</v>
      </c>
    </row>
    <row r="3" spans="1:27" ht="30.6" customHeight="1">
      <c r="A3" s="39" t="s">
        <v>60</v>
      </c>
      <c r="B3" s="33"/>
      <c r="C3" s="32">
        <v>273</v>
      </c>
      <c r="D3" s="34">
        <f>Table16[[#This Row],[Enrolment S.Y. 2025-2026 ]]*8</f>
        <v>2184</v>
      </c>
      <c r="E3" s="34"/>
      <c r="F3" s="32"/>
      <c r="G3" s="34"/>
      <c r="H3" s="34">
        <f>IF((D3-E3)&lt;0,0,(D3-E3))</f>
        <v>2184</v>
      </c>
      <c r="I3" s="34">
        <f>IF((E3-D3)&lt;0,0,(E3-D3))</f>
        <v>0</v>
      </c>
      <c r="J3" s="34">
        <f>Table16[[#This Row],[Enrolment S.Y. 2025-2026 ]]*8</f>
        <v>2184</v>
      </c>
      <c r="K3" s="34"/>
      <c r="L3" s="32"/>
      <c r="M3" s="34"/>
      <c r="N3" s="5">
        <f t="shared" ref="N3" si="0">IF((J3-K3)&lt;0,0,(J3-K3))</f>
        <v>2184</v>
      </c>
      <c r="O3" s="5">
        <f t="shared" ref="O3" si="1">IF((K3-J3)&lt;0,0,(K3-J3))</f>
        <v>0</v>
      </c>
      <c r="P3" s="5">
        <f>Table16[[#This Row],[Enrolment S.Y. 2025-2026 ]]*8</f>
        <v>2184</v>
      </c>
      <c r="Q3" s="34"/>
      <c r="R3" s="32"/>
      <c r="S3" s="34"/>
      <c r="T3" s="34">
        <f>IF((P3-Q3)&lt;0,0,(P3-Q3))</f>
        <v>2184</v>
      </c>
      <c r="U3" s="34">
        <f>IF((Q3-P3)&lt;0,0,(Q3-P3))</f>
        <v>0</v>
      </c>
      <c r="V3" s="34">
        <f>Table16[[#This Row],[Enrolment S.Y. 2025-2026 ]]*8</f>
        <v>2184</v>
      </c>
      <c r="W3" s="34"/>
      <c r="X3" s="32"/>
      <c r="Y3" s="34"/>
      <c r="Z3" s="34">
        <f>IF((V3-W3)&lt;0,0,(V3-W3))</f>
        <v>2184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226</v>
      </c>
      <c r="D5" s="5">
        <f>Table16[[#This Row],[Enrolment S.Y. 2025-2026 ]]*8</f>
        <v>1808</v>
      </c>
      <c r="E5" s="5"/>
      <c r="F5" s="1"/>
      <c r="G5" s="5"/>
      <c r="H5" s="5">
        <f t="shared" ref="H5:H77" si="2">IF((D5-E5)&lt;0,0,(D5-E5))</f>
        <v>1808</v>
      </c>
      <c r="I5" s="5">
        <f t="shared" ref="I5:I77" si="3">IF((E5-D5)&lt;0,0,(E5-D5))</f>
        <v>0</v>
      </c>
      <c r="J5" s="5">
        <f>Table16[[#This Row],[Enrolment S.Y. 2025-2026 ]]*8</f>
        <v>1808</v>
      </c>
      <c r="K5" s="5"/>
      <c r="L5" s="1"/>
      <c r="M5" s="5"/>
      <c r="N5" s="5">
        <f t="shared" ref="N5:N68" si="4">IF((J5-K5)&lt;0,0,(J5-K5))</f>
        <v>1808</v>
      </c>
      <c r="O5" s="5">
        <f t="shared" ref="O5:O68" si="5">IF((K5-J5)&lt;0,0,(K5-J5))</f>
        <v>0</v>
      </c>
      <c r="P5" s="5">
        <f>Table16[[#This Row],[Enrolment S.Y. 2025-2026 ]]*8</f>
        <v>1808</v>
      </c>
      <c r="Q5" s="5"/>
      <c r="R5" s="1"/>
      <c r="S5" s="5"/>
      <c r="T5" s="5">
        <f t="shared" ref="T5:T68" si="6">IF((P5-Q5)&lt;0,0,(P5-Q5))</f>
        <v>1808</v>
      </c>
      <c r="U5" s="5">
        <f t="shared" ref="U5:U68" si="7">IF((Q5-P5)&lt;0,0,(Q5-P5))</f>
        <v>0</v>
      </c>
      <c r="V5" s="5">
        <f>Table16[[#This Row],[Enrolment S.Y. 2025-2026 ]]*8</f>
        <v>1808</v>
      </c>
      <c r="W5" s="5"/>
      <c r="X5" s="1"/>
      <c r="Y5" s="5"/>
      <c r="Z5" s="5">
        <f t="shared" ref="Z5:Z68" si="8">IF((V5-W5)&lt;0,0,(V5-W5))</f>
        <v>1808</v>
      </c>
      <c r="AA5" s="5">
        <f t="shared" ref="AA5:AA68" si="9">IF((W5-V5)&lt;0,0,(W5-V5))</f>
        <v>0</v>
      </c>
    </row>
    <row r="6" spans="1:27" ht="19.5">
      <c r="A6" s="1">
        <v>1</v>
      </c>
      <c r="B6" s="2" t="s">
        <v>9</v>
      </c>
      <c r="C6" s="1">
        <v>226</v>
      </c>
      <c r="D6" s="5">
        <f>Table16[[#This Row],[Enrolment S.Y. 2025-2026 ]]*8</f>
        <v>1808</v>
      </c>
      <c r="E6" s="5"/>
      <c r="F6" s="1"/>
      <c r="G6" s="5"/>
      <c r="H6" s="5">
        <f t="shared" si="2"/>
        <v>1808</v>
      </c>
      <c r="I6" s="5">
        <f t="shared" si="3"/>
        <v>0</v>
      </c>
      <c r="J6" s="5">
        <f>Table16[[#This Row],[Enrolment S.Y. 2025-2026 ]]*8</f>
        <v>1808</v>
      </c>
      <c r="K6" s="5"/>
      <c r="L6" s="1"/>
      <c r="M6" s="5"/>
      <c r="N6" s="5">
        <f t="shared" si="4"/>
        <v>1808</v>
      </c>
      <c r="O6" s="5">
        <f t="shared" si="5"/>
        <v>0</v>
      </c>
      <c r="P6" s="5">
        <f>Table16[[#This Row],[Enrolment S.Y. 2025-2026 ]]*8</f>
        <v>1808</v>
      </c>
      <c r="Q6" s="5"/>
      <c r="R6" s="1"/>
      <c r="S6" s="5"/>
      <c r="T6" s="5">
        <f t="shared" si="6"/>
        <v>1808</v>
      </c>
      <c r="U6" s="5">
        <f t="shared" si="7"/>
        <v>0</v>
      </c>
      <c r="V6" s="5">
        <f>Table16[[#This Row],[Enrolment S.Y. 2025-2026 ]]*8</f>
        <v>1808</v>
      </c>
      <c r="W6" s="5"/>
      <c r="X6" s="1"/>
      <c r="Y6" s="5"/>
      <c r="Z6" s="5">
        <f t="shared" si="8"/>
        <v>1808</v>
      </c>
      <c r="AA6" s="5">
        <f t="shared" si="9"/>
        <v>0</v>
      </c>
    </row>
    <row r="7" spans="1:27" ht="19.5">
      <c r="A7" s="1">
        <v>1</v>
      </c>
      <c r="B7" s="2" t="s">
        <v>10</v>
      </c>
      <c r="C7" s="1">
        <v>226</v>
      </c>
      <c r="D7" s="5">
        <f>Table16[[#This Row],[Enrolment S.Y. 2025-2026 ]]*8</f>
        <v>1808</v>
      </c>
      <c r="E7" s="5"/>
      <c r="F7" s="1"/>
      <c r="G7" s="5"/>
      <c r="H7" s="5">
        <f t="shared" si="2"/>
        <v>1808</v>
      </c>
      <c r="I7" s="5">
        <f t="shared" si="3"/>
        <v>0</v>
      </c>
      <c r="J7" s="5">
        <f>Table16[[#This Row],[Enrolment S.Y. 2025-2026 ]]*8</f>
        <v>1808</v>
      </c>
      <c r="K7" s="5"/>
      <c r="L7" s="1"/>
      <c r="M7" s="5"/>
      <c r="N7" s="5">
        <f t="shared" si="4"/>
        <v>1808</v>
      </c>
      <c r="O7" s="5">
        <f t="shared" si="5"/>
        <v>0</v>
      </c>
      <c r="P7" s="5">
        <f>Table16[[#This Row],[Enrolment S.Y. 2025-2026 ]]*8</f>
        <v>1808</v>
      </c>
      <c r="Q7" s="5"/>
      <c r="R7" s="1"/>
      <c r="S7" s="5"/>
      <c r="T7" s="5">
        <f t="shared" si="6"/>
        <v>1808</v>
      </c>
      <c r="U7" s="5">
        <f t="shared" si="7"/>
        <v>0</v>
      </c>
      <c r="V7" s="5">
        <f>Table16[[#This Row],[Enrolment S.Y. 2025-2026 ]]*8</f>
        <v>1808</v>
      </c>
      <c r="W7" s="5"/>
      <c r="X7" s="1"/>
      <c r="Y7" s="5"/>
      <c r="Z7" s="5">
        <f t="shared" si="8"/>
        <v>1808</v>
      </c>
      <c r="AA7" s="5">
        <f t="shared" si="9"/>
        <v>0</v>
      </c>
    </row>
    <row r="8" spans="1:27" ht="19.5">
      <c r="A8" s="1">
        <v>1</v>
      </c>
      <c r="B8" s="2" t="s">
        <v>11</v>
      </c>
      <c r="C8" s="1">
        <v>226</v>
      </c>
      <c r="D8" s="5">
        <f>Table16[[#This Row],[Enrolment S.Y. 2025-2026 ]]*8</f>
        <v>1808</v>
      </c>
      <c r="E8" s="5"/>
      <c r="F8" s="1"/>
      <c r="G8" s="5"/>
      <c r="H8" s="5">
        <f t="shared" si="2"/>
        <v>1808</v>
      </c>
      <c r="I8" s="5">
        <f t="shared" si="3"/>
        <v>0</v>
      </c>
      <c r="J8" s="5">
        <f>Table16[[#This Row],[Enrolment S.Y. 2025-2026 ]]*8</f>
        <v>1808</v>
      </c>
      <c r="K8" s="5"/>
      <c r="L8" s="1"/>
      <c r="M8" s="5"/>
      <c r="N8" s="5">
        <f t="shared" si="4"/>
        <v>1808</v>
      </c>
      <c r="O8" s="5">
        <f t="shared" si="5"/>
        <v>0</v>
      </c>
      <c r="P8" s="5">
        <f>Table16[[#This Row],[Enrolment S.Y. 2025-2026 ]]*8</f>
        <v>1808</v>
      </c>
      <c r="Q8" s="5"/>
      <c r="R8" s="1"/>
      <c r="S8" s="5"/>
      <c r="T8" s="5">
        <f t="shared" si="6"/>
        <v>1808</v>
      </c>
      <c r="U8" s="5">
        <f t="shared" si="7"/>
        <v>0</v>
      </c>
      <c r="V8" s="5">
        <f>Table16[[#This Row],[Enrolment S.Y. 2025-2026 ]]*8</f>
        <v>1808</v>
      </c>
      <c r="W8" s="5"/>
      <c r="X8" s="1"/>
      <c r="Y8" s="5"/>
      <c r="Z8" s="5">
        <f t="shared" si="8"/>
        <v>1808</v>
      </c>
      <c r="AA8" s="5">
        <f t="shared" si="9"/>
        <v>0</v>
      </c>
    </row>
    <row r="9" spans="1:27" ht="19.5">
      <c r="A9" s="1">
        <v>1</v>
      </c>
      <c r="B9" s="2" t="s">
        <v>12</v>
      </c>
      <c r="C9" s="1">
        <v>226</v>
      </c>
      <c r="D9" s="5">
        <f>Table16[[#This Row],[Enrolment S.Y. 2025-2026 ]]*8</f>
        <v>1808</v>
      </c>
      <c r="E9" s="5"/>
      <c r="F9" s="1"/>
      <c r="G9" s="5"/>
      <c r="H9" s="5">
        <f t="shared" si="2"/>
        <v>1808</v>
      </c>
      <c r="I9" s="5">
        <f t="shared" si="3"/>
        <v>0</v>
      </c>
      <c r="J9" s="5">
        <f>Table16[[#This Row],[Enrolment S.Y. 2025-2026 ]]*8</f>
        <v>1808</v>
      </c>
      <c r="K9" s="5"/>
      <c r="L9" s="1"/>
      <c r="M9" s="5"/>
      <c r="N9" s="5">
        <f t="shared" si="4"/>
        <v>1808</v>
      </c>
      <c r="O9" s="5">
        <f t="shared" si="5"/>
        <v>0</v>
      </c>
      <c r="P9" s="5">
        <f>Table16[[#This Row],[Enrolment S.Y. 2025-2026 ]]*8</f>
        <v>1808</v>
      </c>
      <c r="Q9" s="5"/>
      <c r="R9" s="1"/>
      <c r="S9" s="5"/>
      <c r="T9" s="5">
        <f t="shared" si="6"/>
        <v>1808</v>
      </c>
      <c r="U9" s="5">
        <f t="shared" si="7"/>
        <v>0</v>
      </c>
      <c r="V9" s="5">
        <f>Table16[[#This Row],[Enrolment S.Y. 2025-2026 ]]*8</f>
        <v>1808</v>
      </c>
      <c r="W9" s="5"/>
      <c r="X9" s="1"/>
      <c r="Y9" s="5"/>
      <c r="Z9" s="5">
        <f t="shared" si="8"/>
        <v>1808</v>
      </c>
      <c r="AA9" s="5">
        <f t="shared" si="9"/>
        <v>0</v>
      </c>
    </row>
    <row r="10" spans="1:27" ht="19.5">
      <c r="A10" s="1">
        <v>1</v>
      </c>
      <c r="B10" s="9" t="s">
        <v>14</v>
      </c>
      <c r="C10" s="1">
        <v>226</v>
      </c>
      <c r="D10" s="5">
        <f>Table16[[#This Row],[Enrolment S.Y. 2025-2026 ]]*8</f>
        <v>1808</v>
      </c>
      <c r="E10" s="5"/>
      <c r="F10" s="1"/>
      <c r="G10" s="5"/>
      <c r="H10" s="5">
        <f>IF((D10-E10)&lt;0,0,(D10-E10))</f>
        <v>1808</v>
      </c>
      <c r="I10" s="5">
        <f>IF((E10-D10)&lt;0,0,(E10-D10))</f>
        <v>0</v>
      </c>
      <c r="J10" s="5">
        <f>Table16[[#This Row],[Enrolment S.Y. 2025-2026 ]]*8</f>
        <v>1808</v>
      </c>
      <c r="K10" s="5"/>
      <c r="L10" s="1"/>
      <c r="M10" s="5"/>
      <c r="N10" s="5">
        <f t="shared" si="4"/>
        <v>1808</v>
      </c>
      <c r="O10" s="5">
        <f t="shared" si="5"/>
        <v>0</v>
      </c>
      <c r="P10" s="5">
        <f>Table16[[#This Row],[Enrolment S.Y. 2025-2026 ]]*8</f>
        <v>1808</v>
      </c>
      <c r="Q10" s="5"/>
      <c r="R10" s="1"/>
      <c r="S10" s="5"/>
      <c r="T10" s="5">
        <f t="shared" si="6"/>
        <v>1808</v>
      </c>
      <c r="U10" s="5">
        <f t="shared" si="7"/>
        <v>0</v>
      </c>
      <c r="V10" s="5">
        <f>Table16[[#This Row],[Enrolment S.Y. 2025-2026 ]]*8</f>
        <v>1808</v>
      </c>
      <c r="W10" s="5"/>
      <c r="X10" s="1"/>
      <c r="Y10" s="5"/>
      <c r="Z10" s="5">
        <f t="shared" si="8"/>
        <v>1808</v>
      </c>
      <c r="AA10" s="5">
        <f t="shared" si="9"/>
        <v>0</v>
      </c>
    </row>
    <row r="11" spans="1:27" ht="19.5">
      <c r="A11" s="1">
        <v>1</v>
      </c>
      <c r="B11" s="9" t="s">
        <v>15</v>
      </c>
      <c r="C11" s="1">
        <v>226</v>
      </c>
      <c r="D11" s="5">
        <f>Table16[[#This Row],[Enrolment S.Y. 2025-2026 ]]*8</f>
        <v>1808</v>
      </c>
      <c r="E11" s="5"/>
      <c r="F11" s="1"/>
      <c r="G11" s="5"/>
      <c r="H11" s="5">
        <f>IF((D11-E11)&lt;0,0,(D11-E11))</f>
        <v>1808</v>
      </c>
      <c r="I11" s="5">
        <f>IF((E11-D11)&lt;0,0,(E11-D11))</f>
        <v>0</v>
      </c>
      <c r="J11" s="5">
        <f>Table16[[#This Row],[Enrolment S.Y. 2025-2026 ]]*8</f>
        <v>1808</v>
      </c>
      <c r="K11" s="5"/>
      <c r="L11" s="1"/>
      <c r="M11" s="5"/>
      <c r="N11" s="5">
        <f t="shared" si="4"/>
        <v>1808</v>
      </c>
      <c r="O11" s="5">
        <f t="shared" si="5"/>
        <v>0</v>
      </c>
      <c r="P11" s="5">
        <f>Table16[[#This Row],[Enrolment S.Y. 2025-2026 ]]*8</f>
        <v>1808</v>
      </c>
      <c r="Q11" s="5"/>
      <c r="R11" s="1"/>
      <c r="S11" s="5"/>
      <c r="T11" s="5">
        <f t="shared" si="6"/>
        <v>1808</v>
      </c>
      <c r="U11" s="5">
        <f t="shared" si="7"/>
        <v>0</v>
      </c>
      <c r="V11" s="5">
        <f>Table16[[#This Row],[Enrolment S.Y. 2025-2026 ]]*8</f>
        <v>1808</v>
      </c>
      <c r="W11" s="5"/>
      <c r="X11" s="1"/>
      <c r="Y11" s="5"/>
      <c r="Z11" s="5">
        <f t="shared" si="8"/>
        <v>1808</v>
      </c>
      <c r="AA11" s="5">
        <f t="shared" si="9"/>
        <v>0</v>
      </c>
    </row>
    <row r="12" spans="1:27" ht="19.5">
      <c r="A12" s="1">
        <v>1</v>
      </c>
      <c r="B12" s="9" t="s">
        <v>61</v>
      </c>
      <c r="C12" s="1">
        <v>226</v>
      </c>
      <c r="D12" s="5">
        <f>Table16[[#This Row],[Enrolment S.Y. 2025-2026 ]]*8</f>
        <v>1808</v>
      </c>
      <c r="E12" s="5"/>
      <c r="F12" s="1"/>
      <c r="G12" s="5"/>
      <c r="H12" s="5">
        <f>IF((D12-E12)&lt;0,0,(D12-E12))</f>
        <v>1808</v>
      </c>
      <c r="I12" s="5">
        <f>IF((E12-D12)&lt;0,0,(E12-D12))</f>
        <v>0</v>
      </c>
      <c r="J12" s="5">
        <f>Table16[[#This Row],[Enrolment S.Y. 2025-2026 ]]*8</f>
        <v>1808</v>
      </c>
      <c r="K12" s="5"/>
      <c r="L12" s="1"/>
      <c r="M12" s="5"/>
      <c r="N12" s="5">
        <f t="shared" si="4"/>
        <v>1808</v>
      </c>
      <c r="O12" s="5">
        <f t="shared" si="5"/>
        <v>0</v>
      </c>
      <c r="P12" s="5">
        <f>Table16[[#This Row],[Enrolment S.Y. 2025-2026 ]]*8</f>
        <v>1808</v>
      </c>
      <c r="Q12" s="5"/>
      <c r="R12" s="1"/>
      <c r="S12" s="5"/>
      <c r="T12" s="5">
        <f t="shared" si="6"/>
        <v>1808</v>
      </c>
      <c r="U12" s="5">
        <f t="shared" si="7"/>
        <v>0</v>
      </c>
      <c r="V12" s="5">
        <f>Table16[[#This Row],[Enrolment S.Y. 2025-2026 ]]*8</f>
        <v>1808</v>
      </c>
      <c r="W12" s="5"/>
      <c r="X12" s="1"/>
      <c r="Y12" s="5"/>
      <c r="Z12" s="5">
        <f t="shared" si="8"/>
        <v>1808</v>
      </c>
      <c r="AA12" s="5">
        <f t="shared" si="9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266</v>
      </c>
      <c r="D14" s="5">
        <f>Table16[[#This Row],[Enrolment S.Y. 2025-2026 ]]*8</f>
        <v>2128</v>
      </c>
      <c r="E14" s="5"/>
      <c r="F14" s="1"/>
      <c r="G14" s="5"/>
      <c r="H14" s="5">
        <f t="shared" si="2"/>
        <v>2128</v>
      </c>
      <c r="I14" s="5">
        <f t="shared" si="3"/>
        <v>0</v>
      </c>
      <c r="J14" s="5">
        <f>Table16[[#This Row],[Enrolment S.Y. 2025-2026 ]]*8</f>
        <v>2128</v>
      </c>
      <c r="K14" s="5"/>
      <c r="L14" s="1"/>
      <c r="M14" s="5"/>
      <c r="N14" s="5">
        <f t="shared" si="4"/>
        <v>2128</v>
      </c>
      <c r="O14" s="5">
        <f t="shared" si="5"/>
        <v>0</v>
      </c>
      <c r="P14" s="5">
        <f>Table16[[#This Row],[Enrolment S.Y. 2025-2026 ]]*8</f>
        <v>2128</v>
      </c>
      <c r="Q14" s="5"/>
      <c r="R14" s="1"/>
      <c r="S14" s="5"/>
      <c r="T14" s="5">
        <f t="shared" si="6"/>
        <v>2128</v>
      </c>
      <c r="U14" s="5">
        <f t="shared" si="7"/>
        <v>0</v>
      </c>
      <c r="V14" s="5">
        <f>Table16[[#This Row],[Enrolment S.Y. 2025-2026 ]]*8</f>
        <v>2128</v>
      </c>
      <c r="W14" s="5"/>
      <c r="X14" s="1"/>
      <c r="Y14" s="5"/>
      <c r="Z14" s="5">
        <f t="shared" si="8"/>
        <v>2128</v>
      </c>
      <c r="AA14" s="5">
        <f t="shared" si="9"/>
        <v>0</v>
      </c>
    </row>
    <row r="15" spans="1:27" ht="19.5">
      <c r="A15" s="1">
        <v>2</v>
      </c>
      <c r="B15" s="2" t="s">
        <v>9</v>
      </c>
      <c r="C15" s="1">
        <v>266</v>
      </c>
      <c r="D15" s="5">
        <f>Table16[[#This Row],[Enrolment S.Y. 2025-2026 ]]*8</f>
        <v>2128</v>
      </c>
      <c r="E15" s="5"/>
      <c r="F15" s="1"/>
      <c r="G15" s="5"/>
      <c r="H15" s="5">
        <f t="shared" si="2"/>
        <v>2128</v>
      </c>
      <c r="I15" s="5">
        <f t="shared" si="3"/>
        <v>0</v>
      </c>
      <c r="J15" s="5">
        <f>Table16[[#This Row],[Enrolment S.Y. 2025-2026 ]]*8</f>
        <v>2128</v>
      </c>
      <c r="K15" s="5"/>
      <c r="L15" s="1"/>
      <c r="M15" s="5"/>
      <c r="N15" s="5">
        <f t="shared" si="4"/>
        <v>2128</v>
      </c>
      <c r="O15" s="5">
        <f t="shared" si="5"/>
        <v>0</v>
      </c>
      <c r="P15" s="5">
        <f>Table16[[#This Row],[Enrolment S.Y. 2025-2026 ]]*8</f>
        <v>2128</v>
      </c>
      <c r="Q15" s="5"/>
      <c r="R15" s="1"/>
      <c r="S15" s="5"/>
      <c r="T15" s="5">
        <f t="shared" si="6"/>
        <v>2128</v>
      </c>
      <c r="U15" s="5">
        <f t="shared" si="7"/>
        <v>0</v>
      </c>
      <c r="V15" s="5">
        <f>Table16[[#This Row],[Enrolment S.Y. 2025-2026 ]]*8</f>
        <v>2128</v>
      </c>
      <c r="W15" s="5"/>
      <c r="X15" s="1"/>
      <c r="Y15" s="5"/>
      <c r="Z15" s="5">
        <f t="shared" si="8"/>
        <v>2128</v>
      </c>
      <c r="AA15" s="5">
        <f t="shared" si="9"/>
        <v>0</v>
      </c>
    </row>
    <row r="16" spans="1:27" ht="19.5">
      <c r="A16" s="1">
        <v>2</v>
      </c>
      <c r="B16" s="2" t="s">
        <v>10</v>
      </c>
      <c r="C16" s="1">
        <v>266</v>
      </c>
      <c r="D16" s="5">
        <f>Table16[[#This Row],[Enrolment S.Y. 2025-2026 ]]*8</f>
        <v>2128</v>
      </c>
      <c r="E16" s="5"/>
      <c r="F16" s="1"/>
      <c r="G16" s="5"/>
      <c r="H16" s="5">
        <f t="shared" si="2"/>
        <v>2128</v>
      </c>
      <c r="I16" s="5">
        <f t="shared" si="3"/>
        <v>0</v>
      </c>
      <c r="J16" s="5">
        <f>Table16[[#This Row],[Enrolment S.Y. 2025-2026 ]]*8</f>
        <v>2128</v>
      </c>
      <c r="K16" s="5"/>
      <c r="L16" s="1"/>
      <c r="M16" s="5"/>
      <c r="N16" s="5">
        <f t="shared" si="4"/>
        <v>2128</v>
      </c>
      <c r="O16" s="5">
        <f t="shared" si="5"/>
        <v>0</v>
      </c>
      <c r="P16" s="5">
        <f>Table16[[#This Row],[Enrolment S.Y. 2025-2026 ]]*8</f>
        <v>2128</v>
      </c>
      <c r="Q16" s="5"/>
      <c r="R16" s="1"/>
      <c r="S16" s="5"/>
      <c r="T16" s="5">
        <f t="shared" si="6"/>
        <v>2128</v>
      </c>
      <c r="U16" s="5">
        <f t="shared" si="7"/>
        <v>0</v>
      </c>
      <c r="V16" s="5">
        <f>Table16[[#This Row],[Enrolment S.Y. 2025-2026 ]]*8</f>
        <v>2128</v>
      </c>
      <c r="W16" s="5"/>
      <c r="X16" s="1"/>
      <c r="Y16" s="5"/>
      <c r="Z16" s="5">
        <f t="shared" si="8"/>
        <v>2128</v>
      </c>
      <c r="AA16" s="5">
        <f t="shared" si="9"/>
        <v>0</v>
      </c>
    </row>
    <row r="17" spans="1:27" ht="19.5">
      <c r="A17" s="1">
        <v>2</v>
      </c>
      <c r="B17" s="2" t="s">
        <v>11</v>
      </c>
      <c r="C17" s="1">
        <v>266</v>
      </c>
      <c r="D17" s="5">
        <f>Table16[[#This Row],[Enrolment S.Y. 2025-2026 ]]*8</f>
        <v>2128</v>
      </c>
      <c r="E17" s="5"/>
      <c r="F17" s="1"/>
      <c r="G17" s="5"/>
      <c r="H17" s="5">
        <f t="shared" si="2"/>
        <v>2128</v>
      </c>
      <c r="I17" s="5">
        <f t="shared" si="3"/>
        <v>0</v>
      </c>
      <c r="J17" s="5">
        <f>Table16[[#This Row],[Enrolment S.Y. 2025-2026 ]]*8</f>
        <v>2128</v>
      </c>
      <c r="K17" s="5"/>
      <c r="L17" s="1"/>
      <c r="M17" s="5"/>
      <c r="N17" s="5">
        <f t="shared" si="4"/>
        <v>2128</v>
      </c>
      <c r="O17" s="5">
        <f t="shared" si="5"/>
        <v>0</v>
      </c>
      <c r="P17" s="5">
        <f>Table16[[#This Row],[Enrolment S.Y. 2025-2026 ]]*8</f>
        <v>2128</v>
      </c>
      <c r="Q17" s="5"/>
      <c r="R17" s="1"/>
      <c r="S17" s="5"/>
      <c r="T17" s="5">
        <f t="shared" si="6"/>
        <v>2128</v>
      </c>
      <c r="U17" s="5">
        <f t="shared" si="7"/>
        <v>0</v>
      </c>
      <c r="V17" s="5">
        <f>Table16[[#This Row],[Enrolment S.Y. 2025-2026 ]]*8</f>
        <v>2128</v>
      </c>
      <c r="W17" s="5"/>
      <c r="X17" s="1"/>
      <c r="Y17" s="5"/>
      <c r="Z17" s="5">
        <f t="shared" si="8"/>
        <v>2128</v>
      </c>
      <c r="AA17" s="5">
        <f t="shared" si="9"/>
        <v>0</v>
      </c>
    </row>
    <row r="18" spans="1:27" ht="19.5">
      <c r="A18" s="1">
        <v>2</v>
      </c>
      <c r="B18" s="2" t="s">
        <v>12</v>
      </c>
      <c r="C18" s="1">
        <v>266</v>
      </c>
      <c r="D18" s="5">
        <f>Table16[[#This Row],[Enrolment S.Y. 2025-2026 ]]*8</f>
        <v>2128</v>
      </c>
      <c r="E18" s="5"/>
      <c r="F18" s="1"/>
      <c r="G18" s="5"/>
      <c r="H18" s="5">
        <f t="shared" si="2"/>
        <v>2128</v>
      </c>
      <c r="I18" s="5">
        <f t="shared" si="3"/>
        <v>0</v>
      </c>
      <c r="J18" s="5">
        <f>Table16[[#This Row],[Enrolment S.Y. 2025-2026 ]]*8</f>
        <v>2128</v>
      </c>
      <c r="K18" s="5"/>
      <c r="L18" s="1"/>
      <c r="M18" s="5"/>
      <c r="N18" s="5">
        <f t="shared" si="4"/>
        <v>2128</v>
      </c>
      <c r="O18" s="5">
        <f t="shared" si="5"/>
        <v>0</v>
      </c>
      <c r="P18" s="5">
        <f>Table16[[#This Row],[Enrolment S.Y. 2025-2026 ]]*8</f>
        <v>2128</v>
      </c>
      <c r="Q18" s="5"/>
      <c r="R18" s="1"/>
      <c r="S18" s="5"/>
      <c r="T18" s="5">
        <f t="shared" si="6"/>
        <v>2128</v>
      </c>
      <c r="U18" s="5">
        <f t="shared" si="7"/>
        <v>0</v>
      </c>
      <c r="V18" s="5">
        <f>Table16[[#This Row],[Enrolment S.Y. 2025-2026 ]]*8</f>
        <v>2128</v>
      </c>
      <c r="W18" s="5"/>
      <c r="X18" s="1"/>
      <c r="Y18" s="5"/>
      <c r="Z18" s="5">
        <f t="shared" si="8"/>
        <v>2128</v>
      </c>
      <c r="AA18" s="5">
        <f t="shared" si="9"/>
        <v>0</v>
      </c>
    </row>
    <row r="19" spans="1:27" ht="19.5">
      <c r="A19" s="1">
        <v>2</v>
      </c>
      <c r="B19" s="9" t="s">
        <v>15</v>
      </c>
      <c r="C19" s="1">
        <v>266</v>
      </c>
      <c r="D19" s="5">
        <f>Table16[[#This Row],[Enrolment S.Y. 2025-2026 ]]*8</f>
        <v>2128</v>
      </c>
      <c r="E19" s="5"/>
      <c r="F19" s="1"/>
      <c r="G19" s="5"/>
      <c r="H19" s="5">
        <f>IF((D19-E19)&lt;0,0,(D19-E19))</f>
        <v>2128</v>
      </c>
      <c r="I19" s="5">
        <f>IF((E19-D19)&lt;0,0,(E19-D19))</f>
        <v>0</v>
      </c>
      <c r="J19" s="5">
        <f>Table16[[#This Row],[Enrolment S.Y. 2025-2026 ]]*8</f>
        <v>2128</v>
      </c>
      <c r="K19" s="5"/>
      <c r="L19" s="1"/>
      <c r="M19" s="5"/>
      <c r="N19" s="5">
        <f t="shared" si="4"/>
        <v>2128</v>
      </c>
      <c r="O19" s="5">
        <f t="shared" si="5"/>
        <v>0</v>
      </c>
      <c r="P19" s="5">
        <f>Table16[[#This Row],[Enrolment S.Y. 2025-2026 ]]*8</f>
        <v>2128</v>
      </c>
      <c r="Q19" s="5"/>
      <c r="R19" s="1"/>
      <c r="S19" s="5"/>
      <c r="T19" s="5">
        <f t="shared" si="6"/>
        <v>2128</v>
      </c>
      <c r="U19" s="5">
        <f t="shared" si="7"/>
        <v>0</v>
      </c>
      <c r="V19" s="5">
        <f>Table16[[#This Row],[Enrolment S.Y. 2025-2026 ]]*8</f>
        <v>2128</v>
      </c>
      <c r="W19" s="5"/>
      <c r="X19" s="1"/>
      <c r="Y19" s="5"/>
      <c r="Z19" s="5">
        <f t="shared" si="8"/>
        <v>2128</v>
      </c>
      <c r="AA19" s="5">
        <f t="shared" si="9"/>
        <v>0</v>
      </c>
    </row>
    <row r="20" spans="1:27" ht="19.5">
      <c r="A20" s="1">
        <v>2</v>
      </c>
      <c r="B20" s="9" t="s">
        <v>14</v>
      </c>
      <c r="C20" s="1">
        <v>266</v>
      </c>
      <c r="D20" s="5">
        <f>Table16[[#This Row],[Enrolment S.Y. 2025-2026 ]]*8</f>
        <v>2128</v>
      </c>
      <c r="E20" s="5"/>
      <c r="F20" s="1"/>
      <c r="G20" s="5"/>
      <c r="H20" s="5">
        <f>IF((D20-E20)&lt;0,0,(D20-E20))</f>
        <v>2128</v>
      </c>
      <c r="I20" s="5">
        <f>IF((E20-D20)&lt;0,0,(E20-D20))</f>
        <v>0</v>
      </c>
      <c r="J20" s="5">
        <f>Table16[[#This Row],[Enrolment S.Y. 2025-2026 ]]*8</f>
        <v>2128</v>
      </c>
      <c r="K20" s="5"/>
      <c r="L20" s="1"/>
      <c r="M20" s="5"/>
      <c r="N20" s="5">
        <f t="shared" si="4"/>
        <v>2128</v>
      </c>
      <c r="O20" s="5">
        <f t="shared" si="5"/>
        <v>0</v>
      </c>
      <c r="P20" s="5">
        <f>Table16[[#This Row],[Enrolment S.Y. 2025-2026 ]]*8</f>
        <v>2128</v>
      </c>
      <c r="Q20" s="5"/>
      <c r="R20" s="1"/>
      <c r="S20" s="5"/>
      <c r="T20" s="5">
        <f t="shared" si="6"/>
        <v>2128</v>
      </c>
      <c r="U20" s="5">
        <f t="shared" si="7"/>
        <v>0</v>
      </c>
      <c r="V20" s="5">
        <f>Table16[[#This Row],[Enrolment S.Y. 2025-2026 ]]*8</f>
        <v>2128</v>
      </c>
      <c r="W20" s="5"/>
      <c r="X20" s="1"/>
      <c r="Y20" s="5"/>
      <c r="Z20" s="5">
        <f t="shared" si="8"/>
        <v>2128</v>
      </c>
      <c r="AA20" s="5">
        <f t="shared" si="9"/>
        <v>0</v>
      </c>
    </row>
    <row r="21" spans="1:27" ht="19.5">
      <c r="A21" s="1">
        <v>2</v>
      </c>
      <c r="B21" s="9" t="s">
        <v>61</v>
      </c>
      <c r="C21" s="1">
        <v>266</v>
      </c>
      <c r="D21" s="5">
        <f>Table16[[#This Row],[Enrolment S.Y. 2025-2026 ]]*8</f>
        <v>2128</v>
      </c>
      <c r="E21" s="5"/>
      <c r="F21" s="1"/>
      <c r="G21" s="5"/>
      <c r="H21" s="5">
        <f>IF((D21-E21)&lt;0,0,(D21-E21))</f>
        <v>2128</v>
      </c>
      <c r="I21" s="5">
        <f>IF((E21-D21)&lt;0,0,(E21-D21))</f>
        <v>0</v>
      </c>
      <c r="J21" s="5">
        <f>Table16[[#This Row],[Enrolment S.Y. 2025-2026 ]]*8</f>
        <v>2128</v>
      </c>
      <c r="K21" s="5"/>
      <c r="L21" s="1"/>
      <c r="M21" s="5"/>
      <c r="N21" s="5">
        <f t="shared" si="4"/>
        <v>2128</v>
      </c>
      <c r="O21" s="5">
        <f t="shared" si="5"/>
        <v>0</v>
      </c>
      <c r="P21" s="5">
        <f>Table16[[#This Row],[Enrolment S.Y. 2025-2026 ]]*8</f>
        <v>2128</v>
      </c>
      <c r="Q21" s="5"/>
      <c r="R21" s="1"/>
      <c r="S21" s="5"/>
      <c r="T21" s="5">
        <f t="shared" si="6"/>
        <v>2128</v>
      </c>
      <c r="U21" s="5">
        <f t="shared" si="7"/>
        <v>0</v>
      </c>
      <c r="V21" s="5">
        <f>Table16[[#This Row],[Enrolment S.Y. 2025-2026 ]]*8</f>
        <v>2128</v>
      </c>
      <c r="W21" s="5"/>
      <c r="X21" s="1"/>
      <c r="Y21" s="5"/>
      <c r="Z21" s="5">
        <f t="shared" si="8"/>
        <v>2128</v>
      </c>
      <c r="AA21" s="5">
        <f t="shared" si="9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293</v>
      </c>
      <c r="D23" s="5">
        <f>Table16[[#This Row],[Enrolment S.Y. 2025-2026 ]]*8</f>
        <v>2344</v>
      </c>
      <c r="E23" s="5"/>
      <c r="F23" s="1"/>
      <c r="G23" s="5"/>
      <c r="H23" s="5">
        <f t="shared" si="2"/>
        <v>2344</v>
      </c>
      <c r="I23" s="5">
        <f t="shared" si="3"/>
        <v>0</v>
      </c>
      <c r="J23" s="5">
        <f>Table16[[#This Row],[Enrolment S.Y. 2025-2026 ]]*8</f>
        <v>2344</v>
      </c>
      <c r="K23" s="5"/>
      <c r="L23" s="1"/>
      <c r="M23" s="5"/>
      <c r="N23" s="5">
        <f t="shared" si="4"/>
        <v>2344</v>
      </c>
      <c r="O23" s="5">
        <f t="shared" si="5"/>
        <v>0</v>
      </c>
      <c r="P23" s="5">
        <f>Table16[[#This Row],[Enrolment S.Y. 2025-2026 ]]*8</f>
        <v>2344</v>
      </c>
      <c r="Q23" s="5"/>
      <c r="R23" s="1"/>
      <c r="S23" s="5"/>
      <c r="T23" s="5">
        <f t="shared" si="6"/>
        <v>2344</v>
      </c>
      <c r="U23" s="5">
        <f t="shared" si="7"/>
        <v>0</v>
      </c>
      <c r="V23" s="5">
        <f>Table16[[#This Row],[Enrolment S.Y. 2025-2026 ]]*8</f>
        <v>2344</v>
      </c>
      <c r="W23" s="5"/>
      <c r="X23" s="1"/>
      <c r="Y23" s="5"/>
      <c r="Z23" s="5">
        <f t="shared" si="8"/>
        <v>2344</v>
      </c>
      <c r="AA23" s="5">
        <f t="shared" si="9"/>
        <v>0</v>
      </c>
    </row>
    <row r="24" spans="1:27" ht="19.5">
      <c r="A24" s="1">
        <v>3</v>
      </c>
      <c r="B24" s="2" t="s">
        <v>9</v>
      </c>
      <c r="C24" s="1">
        <v>293</v>
      </c>
      <c r="D24" s="5">
        <f>Table16[[#This Row],[Enrolment S.Y. 2025-2026 ]]*8</f>
        <v>2344</v>
      </c>
      <c r="E24" s="5"/>
      <c r="F24" s="1"/>
      <c r="G24" s="5"/>
      <c r="H24" s="5">
        <f t="shared" si="2"/>
        <v>2344</v>
      </c>
      <c r="I24" s="5">
        <f t="shared" si="3"/>
        <v>0</v>
      </c>
      <c r="J24" s="5">
        <f>Table16[[#This Row],[Enrolment S.Y. 2025-2026 ]]*8</f>
        <v>2344</v>
      </c>
      <c r="K24" s="5"/>
      <c r="L24" s="1"/>
      <c r="M24" s="5"/>
      <c r="N24" s="5">
        <f t="shared" si="4"/>
        <v>2344</v>
      </c>
      <c r="O24" s="5">
        <f t="shared" si="5"/>
        <v>0</v>
      </c>
      <c r="P24" s="5">
        <f>Table16[[#This Row],[Enrolment S.Y. 2025-2026 ]]*8</f>
        <v>2344</v>
      </c>
      <c r="Q24" s="5"/>
      <c r="R24" s="1"/>
      <c r="S24" s="5"/>
      <c r="T24" s="5">
        <f t="shared" si="6"/>
        <v>2344</v>
      </c>
      <c r="U24" s="5">
        <f t="shared" si="7"/>
        <v>0</v>
      </c>
      <c r="V24" s="5">
        <f>Table16[[#This Row],[Enrolment S.Y. 2025-2026 ]]*8</f>
        <v>2344</v>
      </c>
      <c r="W24" s="5"/>
      <c r="X24" s="1"/>
      <c r="Y24" s="5"/>
      <c r="Z24" s="5">
        <f t="shared" si="8"/>
        <v>2344</v>
      </c>
      <c r="AA24" s="5">
        <f t="shared" si="9"/>
        <v>0</v>
      </c>
    </row>
    <row r="25" spans="1:27" ht="19.5">
      <c r="A25" s="1">
        <v>3</v>
      </c>
      <c r="B25" s="2" t="s">
        <v>10</v>
      </c>
      <c r="C25" s="1">
        <v>293</v>
      </c>
      <c r="D25" s="5">
        <f>Table16[[#This Row],[Enrolment S.Y. 2025-2026 ]]*8</f>
        <v>2344</v>
      </c>
      <c r="E25" s="5"/>
      <c r="F25" s="1"/>
      <c r="G25" s="5"/>
      <c r="H25" s="5">
        <f t="shared" si="2"/>
        <v>2344</v>
      </c>
      <c r="I25" s="5">
        <f t="shared" si="3"/>
        <v>0</v>
      </c>
      <c r="J25" s="5">
        <f>Table16[[#This Row],[Enrolment S.Y. 2025-2026 ]]*8</f>
        <v>2344</v>
      </c>
      <c r="K25" s="5"/>
      <c r="L25" s="1"/>
      <c r="M25" s="5"/>
      <c r="N25" s="5">
        <f t="shared" si="4"/>
        <v>2344</v>
      </c>
      <c r="O25" s="5">
        <f t="shared" si="5"/>
        <v>0</v>
      </c>
      <c r="P25" s="5">
        <f>Table16[[#This Row],[Enrolment S.Y. 2025-2026 ]]*8</f>
        <v>2344</v>
      </c>
      <c r="Q25" s="5"/>
      <c r="R25" s="1"/>
      <c r="S25" s="5"/>
      <c r="T25" s="5">
        <f t="shared" si="6"/>
        <v>2344</v>
      </c>
      <c r="U25" s="5">
        <f t="shared" si="7"/>
        <v>0</v>
      </c>
      <c r="V25" s="5">
        <f>Table16[[#This Row],[Enrolment S.Y. 2025-2026 ]]*8</f>
        <v>2344</v>
      </c>
      <c r="W25" s="5"/>
      <c r="X25" s="1"/>
      <c r="Y25" s="5"/>
      <c r="Z25" s="5">
        <f t="shared" si="8"/>
        <v>2344</v>
      </c>
      <c r="AA25" s="5">
        <f t="shared" si="9"/>
        <v>0</v>
      </c>
    </row>
    <row r="26" spans="1:27" ht="19.5">
      <c r="A26" s="1">
        <v>3</v>
      </c>
      <c r="B26" s="2" t="s">
        <v>13</v>
      </c>
      <c r="C26" s="1">
        <v>293</v>
      </c>
      <c r="D26" s="5">
        <f>Table16[[#This Row],[Enrolment S.Y. 2025-2026 ]]*8</f>
        <v>2344</v>
      </c>
      <c r="E26" s="5"/>
      <c r="F26" s="1"/>
      <c r="G26" s="5"/>
      <c r="H26" s="5">
        <f t="shared" si="2"/>
        <v>2344</v>
      </c>
      <c r="I26" s="5">
        <f t="shared" si="3"/>
        <v>0</v>
      </c>
      <c r="J26" s="5">
        <f>Table16[[#This Row],[Enrolment S.Y. 2025-2026 ]]*8</f>
        <v>2344</v>
      </c>
      <c r="K26" s="5"/>
      <c r="L26" s="1"/>
      <c r="M26" s="5"/>
      <c r="N26" s="5">
        <f t="shared" si="4"/>
        <v>2344</v>
      </c>
      <c r="O26" s="5">
        <f t="shared" si="5"/>
        <v>0</v>
      </c>
      <c r="P26" s="5">
        <f>Table16[[#This Row],[Enrolment S.Y. 2025-2026 ]]*8</f>
        <v>2344</v>
      </c>
      <c r="Q26" s="5"/>
      <c r="R26" s="1"/>
      <c r="S26" s="5"/>
      <c r="T26" s="5">
        <f t="shared" si="6"/>
        <v>2344</v>
      </c>
      <c r="U26" s="5">
        <f t="shared" si="7"/>
        <v>0</v>
      </c>
      <c r="V26" s="5">
        <f>Table16[[#This Row],[Enrolment S.Y. 2025-2026 ]]*8</f>
        <v>2344</v>
      </c>
      <c r="W26" s="5"/>
      <c r="X26" s="1"/>
      <c r="Y26" s="5"/>
      <c r="Z26" s="5">
        <f t="shared" si="8"/>
        <v>2344</v>
      </c>
      <c r="AA26" s="5">
        <f t="shared" si="9"/>
        <v>0</v>
      </c>
    </row>
    <row r="27" spans="1:27" ht="19.5">
      <c r="A27" s="1">
        <v>3</v>
      </c>
      <c r="B27" s="2" t="s">
        <v>11</v>
      </c>
      <c r="C27" s="1">
        <v>293</v>
      </c>
      <c r="D27" s="5">
        <f>Table16[[#This Row],[Enrolment S.Y. 2025-2026 ]]*8</f>
        <v>2344</v>
      </c>
      <c r="E27" s="5"/>
      <c r="F27" s="1"/>
      <c r="G27" s="5"/>
      <c r="H27" s="5">
        <f t="shared" si="2"/>
        <v>2344</v>
      </c>
      <c r="I27" s="5">
        <f t="shared" si="3"/>
        <v>0</v>
      </c>
      <c r="J27" s="5">
        <f>Table16[[#This Row],[Enrolment S.Y. 2025-2026 ]]*8</f>
        <v>2344</v>
      </c>
      <c r="K27" s="5"/>
      <c r="L27" s="1"/>
      <c r="M27" s="5"/>
      <c r="N27" s="5">
        <f t="shared" si="4"/>
        <v>2344</v>
      </c>
      <c r="O27" s="5">
        <f t="shared" si="5"/>
        <v>0</v>
      </c>
      <c r="P27" s="5">
        <f>Table16[[#This Row],[Enrolment S.Y. 2025-2026 ]]*8</f>
        <v>2344</v>
      </c>
      <c r="Q27" s="5"/>
      <c r="R27" s="1"/>
      <c r="S27" s="5"/>
      <c r="T27" s="5">
        <f t="shared" si="6"/>
        <v>2344</v>
      </c>
      <c r="U27" s="5">
        <f t="shared" si="7"/>
        <v>0</v>
      </c>
      <c r="V27" s="5">
        <f>Table16[[#This Row],[Enrolment S.Y. 2025-2026 ]]*8</f>
        <v>2344</v>
      </c>
      <c r="W27" s="5"/>
      <c r="X27" s="1"/>
      <c r="Y27" s="5"/>
      <c r="Z27" s="5">
        <f t="shared" si="8"/>
        <v>2344</v>
      </c>
      <c r="AA27" s="5">
        <f t="shared" si="9"/>
        <v>0</v>
      </c>
    </row>
    <row r="28" spans="1:27" ht="19.5">
      <c r="A28" s="1">
        <v>3</v>
      </c>
      <c r="B28" s="2" t="s">
        <v>12</v>
      </c>
      <c r="C28" s="1">
        <v>293</v>
      </c>
      <c r="D28" s="5">
        <f>Table16[[#This Row],[Enrolment S.Y. 2025-2026 ]]*8</f>
        <v>2344</v>
      </c>
      <c r="E28" s="5"/>
      <c r="F28" s="1"/>
      <c r="G28" s="5"/>
      <c r="H28" s="5">
        <f t="shared" si="2"/>
        <v>2344</v>
      </c>
      <c r="I28" s="5">
        <f t="shared" si="3"/>
        <v>0</v>
      </c>
      <c r="J28" s="5">
        <f>Table16[[#This Row],[Enrolment S.Y. 2025-2026 ]]*8</f>
        <v>2344</v>
      </c>
      <c r="K28" s="5"/>
      <c r="L28" s="1"/>
      <c r="M28" s="5"/>
      <c r="N28" s="5">
        <f t="shared" si="4"/>
        <v>2344</v>
      </c>
      <c r="O28" s="5">
        <f t="shared" si="5"/>
        <v>0</v>
      </c>
      <c r="P28" s="5">
        <f>Table16[[#This Row],[Enrolment S.Y. 2025-2026 ]]*8</f>
        <v>2344</v>
      </c>
      <c r="Q28" s="5"/>
      <c r="R28" s="1"/>
      <c r="S28" s="5"/>
      <c r="T28" s="5">
        <f t="shared" si="6"/>
        <v>2344</v>
      </c>
      <c r="U28" s="5">
        <f t="shared" si="7"/>
        <v>0</v>
      </c>
      <c r="V28" s="5">
        <f>Table16[[#This Row],[Enrolment S.Y. 2025-2026 ]]*8</f>
        <v>2344</v>
      </c>
      <c r="W28" s="5"/>
      <c r="X28" s="1"/>
      <c r="Y28" s="5"/>
      <c r="Z28" s="5">
        <f t="shared" si="8"/>
        <v>2344</v>
      </c>
      <c r="AA28" s="5">
        <f t="shared" si="9"/>
        <v>0</v>
      </c>
    </row>
    <row r="29" spans="1:27" ht="19.5">
      <c r="A29" s="1">
        <v>3</v>
      </c>
      <c r="B29" s="9" t="s">
        <v>14</v>
      </c>
      <c r="C29" s="1">
        <v>293</v>
      </c>
      <c r="D29" s="5">
        <f>Table16[[#This Row],[Enrolment S.Y. 2025-2026 ]]*8</f>
        <v>2344</v>
      </c>
      <c r="E29" s="5"/>
      <c r="F29" s="1"/>
      <c r="G29" s="5"/>
      <c r="H29" s="5">
        <f>IF((D29-E29)&lt;0,0,(D29-E29))</f>
        <v>2344</v>
      </c>
      <c r="I29" s="5">
        <f>IF((E29-D29)&lt;0,0,(E29-D29))</f>
        <v>0</v>
      </c>
      <c r="J29" s="5">
        <f>Table16[[#This Row],[Enrolment S.Y. 2025-2026 ]]*8</f>
        <v>2344</v>
      </c>
      <c r="K29" s="5"/>
      <c r="L29" s="1"/>
      <c r="M29" s="5"/>
      <c r="N29" s="5">
        <f t="shared" si="4"/>
        <v>2344</v>
      </c>
      <c r="O29" s="5">
        <f t="shared" si="5"/>
        <v>0</v>
      </c>
      <c r="P29" s="5">
        <f>Table16[[#This Row],[Enrolment S.Y. 2025-2026 ]]*8</f>
        <v>2344</v>
      </c>
      <c r="Q29" s="5"/>
      <c r="R29" s="1"/>
      <c r="S29" s="5"/>
      <c r="T29" s="5">
        <f t="shared" si="6"/>
        <v>2344</v>
      </c>
      <c r="U29" s="5">
        <f t="shared" si="7"/>
        <v>0</v>
      </c>
      <c r="V29" s="5">
        <f>Table16[[#This Row],[Enrolment S.Y. 2025-2026 ]]*8</f>
        <v>2344</v>
      </c>
      <c r="W29" s="5"/>
      <c r="X29" s="1"/>
      <c r="Y29" s="5"/>
      <c r="Z29" s="5">
        <f t="shared" si="8"/>
        <v>2344</v>
      </c>
      <c r="AA29" s="5">
        <f t="shared" si="9"/>
        <v>0</v>
      </c>
    </row>
    <row r="30" spans="1:27" ht="19.5">
      <c r="A30" s="1">
        <v>3</v>
      </c>
      <c r="B30" s="9" t="s">
        <v>15</v>
      </c>
      <c r="C30" s="1">
        <v>293</v>
      </c>
      <c r="D30" s="5">
        <f>Table16[[#This Row],[Enrolment S.Y. 2025-2026 ]]*8</f>
        <v>2344</v>
      </c>
      <c r="E30" s="5"/>
      <c r="F30" s="1"/>
      <c r="G30" s="5"/>
      <c r="H30" s="5">
        <f>IF((D30-E30)&lt;0,0,(D30-E30))</f>
        <v>2344</v>
      </c>
      <c r="I30" s="5">
        <f>IF((E30-D30)&lt;0,0,(E30-D30))</f>
        <v>0</v>
      </c>
      <c r="J30" s="5">
        <f>Table16[[#This Row],[Enrolment S.Y. 2025-2026 ]]*8</f>
        <v>2344</v>
      </c>
      <c r="K30" s="5"/>
      <c r="L30" s="1"/>
      <c r="M30" s="5"/>
      <c r="N30" s="5">
        <f t="shared" si="4"/>
        <v>2344</v>
      </c>
      <c r="O30" s="5">
        <f t="shared" si="5"/>
        <v>0</v>
      </c>
      <c r="P30" s="5">
        <f>Table16[[#This Row],[Enrolment S.Y. 2025-2026 ]]*8</f>
        <v>2344</v>
      </c>
      <c r="Q30" s="5"/>
      <c r="R30" s="1"/>
      <c r="S30" s="5"/>
      <c r="T30" s="5">
        <f t="shared" si="6"/>
        <v>2344</v>
      </c>
      <c r="U30" s="5">
        <f t="shared" si="7"/>
        <v>0</v>
      </c>
      <c r="V30" s="5">
        <f>Table16[[#This Row],[Enrolment S.Y. 2025-2026 ]]*8</f>
        <v>2344</v>
      </c>
      <c r="W30" s="5"/>
      <c r="X30" s="1"/>
      <c r="Y30" s="5"/>
      <c r="Z30" s="5">
        <f t="shared" si="8"/>
        <v>2344</v>
      </c>
      <c r="AA30" s="5">
        <f t="shared" si="9"/>
        <v>0</v>
      </c>
    </row>
    <row r="31" spans="1:27" ht="19.5">
      <c r="A31" s="1">
        <v>3</v>
      </c>
      <c r="B31" s="9" t="s">
        <v>61</v>
      </c>
      <c r="C31" s="1">
        <v>293</v>
      </c>
      <c r="D31" s="5">
        <f>Table16[[#This Row],[Enrolment S.Y. 2025-2026 ]]*8</f>
        <v>2344</v>
      </c>
      <c r="E31" s="5"/>
      <c r="F31" s="1"/>
      <c r="G31" s="5"/>
      <c r="H31" s="5">
        <f>IF((D31-E31)&lt;0,0,(D31-E31))</f>
        <v>2344</v>
      </c>
      <c r="I31" s="5">
        <f>IF((E31-D31)&lt;0,0,(E31-D31))</f>
        <v>0</v>
      </c>
      <c r="J31" s="5">
        <f>Table16[[#This Row],[Enrolment S.Y. 2025-2026 ]]*8</f>
        <v>2344</v>
      </c>
      <c r="K31" s="5"/>
      <c r="L31" s="1"/>
      <c r="M31" s="5"/>
      <c r="N31" s="5">
        <f t="shared" si="4"/>
        <v>2344</v>
      </c>
      <c r="O31" s="5">
        <f t="shared" si="5"/>
        <v>0</v>
      </c>
      <c r="P31" s="5">
        <f>Table16[[#This Row],[Enrolment S.Y. 2025-2026 ]]*8</f>
        <v>2344</v>
      </c>
      <c r="Q31" s="5"/>
      <c r="R31" s="1"/>
      <c r="S31" s="5"/>
      <c r="T31" s="5">
        <f t="shared" si="6"/>
        <v>2344</v>
      </c>
      <c r="U31" s="5">
        <f t="shared" si="7"/>
        <v>0</v>
      </c>
      <c r="V31" s="5">
        <f>Table16[[#This Row],[Enrolment S.Y. 2025-2026 ]]*8</f>
        <v>2344</v>
      </c>
      <c r="W31" s="5"/>
      <c r="X31" s="1"/>
      <c r="Y31" s="5"/>
      <c r="Z31" s="5">
        <f t="shared" si="8"/>
        <v>2344</v>
      </c>
      <c r="AA31" s="5">
        <f t="shared" si="9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14</v>
      </c>
      <c r="C33" s="1">
        <v>309</v>
      </c>
      <c r="D33" s="5">
        <f>Table16[[#This Row],[Enrolment S.Y. 2025-2026 ]]*8</f>
        <v>2472</v>
      </c>
      <c r="E33" s="5"/>
      <c r="F33" s="1"/>
      <c r="G33" s="5"/>
      <c r="H33" s="5">
        <f t="shared" si="2"/>
        <v>2472</v>
      </c>
      <c r="I33" s="5">
        <f t="shared" si="3"/>
        <v>0</v>
      </c>
      <c r="J33" s="5">
        <f>Table16[[#This Row],[Enrolment S.Y. 2025-2026 ]]*8</f>
        <v>2472</v>
      </c>
      <c r="K33" s="5"/>
      <c r="L33" s="1"/>
      <c r="M33" s="5"/>
      <c r="N33" s="5">
        <f t="shared" si="4"/>
        <v>2472</v>
      </c>
      <c r="O33" s="5">
        <f t="shared" si="5"/>
        <v>0</v>
      </c>
      <c r="P33" s="5">
        <f>Table16[[#This Row],[Enrolment S.Y. 2025-2026 ]]*8</f>
        <v>2472</v>
      </c>
      <c r="Q33" s="5"/>
      <c r="R33" s="1"/>
      <c r="S33" s="5"/>
      <c r="T33" s="5">
        <f t="shared" si="6"/>
        <v>2472</v>
      </c>
      <c r="U33" s="5">
        <f t="shared" si="7"/>
        <v>0</v>
      </c>
      <c r="V33" s="5">
        <f>Table16[[#This Row],[Enrolment S.Y. 2025-2026 ]]*8</f>
        <v>2472</v>
      </c>
      <c r="W33" s="5"/>
      <c r="X33" s="1"/>
      <c r="Y33" s="5"/>
      <c r="Z33" s="5">
        <f t="shared" si="8"/>
        <v>2472</v>
      </c>
      <c r="AA33" s="5">
        <f t="shared" si="9"/>
        <v>0</v>
      </c>
    </row>
    <row r="34" spans="1:27" ht="19.5">
      <c r="A34" s="1">
        <v>4</v>
      </c>
      <c r="B34" s="9" t="s">
        <v>15</v>
      </c>
      <c r="C34" s="1">
        <v>309</v>
      </c>
      <c r="D34" s="5">
        <f>Table16[[#This Row],[Enrolment S.Y. 2025-2026 ]]*8</f>
        <v>2472</v>
      </c>
      <c r="E34" s="5">
        <v>43</v>
      </c>
      <c r="F34" s="1">
        <v>2024</v>
      </c>
      <c r="G34" s="5" t="s">
        <v>62</v>
      </c>
      <c r="H34" s="5">
        <f t="shared" si="2"/>
        <v>2429</v>
      </c>
      <c r="I34" s="5">
        <f t="shared" si="3"/>
        <v>0</v>
      </c>
      <c r="J34" s="5">
        <f>Table16[[#This Row],[Enrolment S.Y. 2025-2026 ]]*8</f>
        <v>2472</v>
      </c>
      <c r="K34" s="5"/>
      <c r="L34" s="1"/>
      <c r="M34" s="5"/>
      <c r="N34" s="5">
        <f t="shared" si="4"/>
        <v>2472</v>
      </c>
      <c r="O34" s="5">
        <f t="shared" si="5"/>
        <v>0</v>
      </c>
      <c r="P34" s="5">
        <f>Table16[[#This Row],[Enrolment S.Y. 2025-2026 ]]*8</f>
        <v>2472</v>
      </c>
      <c r="Q34" s="5"/>
      <c r="R34" s="1"/>
      <c r="S34" s="5"/>
      <c r="T34" s="5">
        <f t="shared" si="6"/>
        <v>2472</v>
      </c>
      <c r="U34" s="5">
        <f t="shared" si="7"/>
        <v>0</v>
      </c>
      <c r="V34" s="5">
        <f>Table16[[#This Row],[Enrolment S.Y. 2025-2026 ]]*8</f>
        <v>2472</v>
      </c>
      <c r="W34" s="5"/>
      <c r="X34" s="1"/>
      <c r="Y34" s="5"/>
      <c r="Z34" s="5">
        <f t="shared" si="8"/>
        <v>2472</v>
      </c>
      <c r="AA34" s="5">
        <f t="shared" si="9"/>
        <v>0</v>
      </c>
    </row>
    <row r="35" spans="1:27" ht="19.5">
      <c r="A35" s="1">
        <v>4</v>
      </c>
      <c r="B35" s="9" t="s">
        <v>12</v>
      </c>
      <c r="C35" s="1">
        <v>309</v>
      </c>
      <c r="D35" s="5">
        <f>Table16[[#This Row],[Enrolment S.Y. 2025-2026 ]]*8</f>
        <v>2472</v>
      </c>
      <c r="E35" s="5"/>
      <c r="F35" s="1"/>
      <c r="G35" s="5"/>
      <c r="H35" s="5">
        <f t="shared" si="2"/>
        <v>2472</v>
      </c>
      <c r="I35" s="5">
        <f t="shared" si="3"/>
        <v>0</v>
      </c>
      <c r="J35" s="5">
        <f>Table16[[#This Row],[Enrolment S.Y. 2025-2026 ]]*8</f>
        <v>2472</v>
      </c>
      <c r="K35" s="5"/>
      <c r="L35" s="1"/>
      <c r="M35" s="5"/>
      <c r="N35" s="5">
        <f t="shared" si="4"/>
        <v>2472</v>
      </c>
      <c r="O35" s="5">
        <f t="shared" si="5"/>
        <v>0</v>
      </c>
      <c r="P35" s="5">
        <f>Table16[[#This Row],[Enrolment S.Y. 2025-2026 ]]*8</f>
        <v>2472</v>
      </c>
      <c r="Q35" s="5"/>
      <c r="R35" s="1"/>
      <c r="S35" s="5"/>
      <c r="T35" s="5">
        <f t="shared" si="6"/>
        <v>2472</v>
      </c>
      <c r="U35" s="5">
        <f t="shared" si="7"/>
        <v>0</v>
      </c>
      <c r="V35" s="5">
        <f>Table16[[#This Row],[Enrolment S.Y. 2025-2026 ]]*8</f>
        <v>2472</v>
      </c>
      <c r="W35" s="5"/>
      <c r="X35" s="1"/>
      <c r="Y35" s="5"/>
      <c r="Z35" s="5">
        <f t="shared" si="8"/>
        <v>2472</v>
      </c>
      <c r="AA35" s="5">
        <f t="shared" si="9"/>
        <v>0</v>
      </c>
    </row>
    <row r="36" spans="1:27" ht="19.5">
      <c r="A36" s="1">
        <v>4</v>
      </c>
      <c r="B36" s="9" t="s">
        <v>10</v>
      </c>
      <c r="C36" s="1">
        <v>309</v>
      </c>
      <c r="D36" s="5">
        <f>Table16[[#This Row],[Enrolment S.Y. 2025-2026 ]]*8</f>
        <v>2472</v>
      </c>
      <c r="E36" s="5"/>
      <c r="F36" s="1"/>
      <c r="G36" s="5"/>
      <c r="H36" s="5">
        <f t="shared" si="2"/>
        <v>2472</v>
      </c>
      <c r="I36" s="5">
        <f t="shared" si="3"/>
        <v>0</v>
      </c>
      <c r="J36" s="5">
        <f>Table16[[#This Row],[Enrolment S.Y. 2025-2026 ]]*8</f>
        <v>2472</v>
      </c>
      <c r="K36" s="5"/>
      <c r="L36" s="1"/>
      <c r="M36" s="5"/>
      <c r="N36" s="5">
        <f t="shared" si="4"/>
        <v>2472</v>
      </c>
      <c r="O36" s="5">
        <f t="shared" si="5"/>
        <v>0</v>
      </c>
      <c r="P36" s="5">
        <f>Table16[[#This Row],[Enrolment S.Y. 2025-2026 ]]*8</f>
        <v>2472</v>
      </c>
      <c r="Q36" s="5"/>
      <c r="R36" s="1"/>
      <c r="S36" s="5"/>
      <c r="T36" s="5">
        <f t="shared" si="6"/>
        <v>2472</v>
      </c>
      <c r="U36" s="5">
        <f t="shared" si="7"/>
        <v>0</v>
      </c>
      <c r="V36" s="5">
        <f>Table16[[#This Row],[Enrolment S.Y. 2025-2026 ]]*8</f>
        <v>2472</v>
      </c>
      <c r="W36" s="5"/>
      <c r="X36" s="1"/>
      <c r="Y36" s="5"/>
      <c r="Z36" s="5">
        <f t="shared" si="8"/>
        <v>2472</v>
      </c>
      <c r="AA36" s="5">
        <f t="shared" si="9"/>
        <v>0</v>
      </c>
    </row>
    <row r="37" spans="1:27" ht="38.25">
      <c r="A37" s="1">
        <v>4</v>
      </c>
      <c r="B37" s="9" t="s">
        <v>16</v>
      </c>
      <c r="C37" s="1">
        <v>309</v>
      </c>
      <c r="D37" s="5">
        <f>Table16[[#This Row],[Enrolment S.Y. 2025-2026 ]]*8</f>
        <v>2472</v>
      </c>
      <c r="E37" s="5">
        <v>43</v>
      </c>
      <c r="F37" s="1">
        <v>2024</v>
      </c>
      <c r="G37" s="5" t="s">
        <v>62</v>
      </c>
      <c r="H37" s="5">
        <f t="shared" si="2"/>
        <v>2429</v>
      </c>
      <c r="I37" s="5">
        <f t="shared" si="3"/>
        <v>0</v>
      </c>
      <c r="J37" s="5">
        <f>Table16[[#This Row],[Enrolment S.Y. 2025-2026 ]]*8</f>
        <v>2472</v>
      </c>
      <c r="K37" s="5"/>
      <c r="L37" s="1"/>
      <c r="M37" s="5"/>
      <c r="N37" s="5">
        <f t="shared" si="4"/>
        <v>2472</v>
      </c>
      <c r="O37" s="5">
        <f t="shared" si="5"/>
        <v>0</v>
      </c>
      <c r="P37" s="5">
        <f>Table16[[#This Row],[Enrolment S.Y. 2025-2026 ]]*8</f>
        <v>2472</v>
      </c>
      <c r="Q37" s="5"/>
      <c r="R37" s="1"/>
      <c r="S37" s="5"/>
      <c r="T37" s="5">
        <f t="shared" si="6"/>
        <v>2472</v>
      </c>
      <c r="U37" s="5">
        <f t="shared" si="7"/>
        <v>0</v>
      </c>
      <c r="V37" s="5">
        <f>Table16[[#This Row],[Enrolment S.Y. 2025-2026 ]]*8</f>
        <v>2472</v>
      </c>
      <c r="W37" s="5"/>
      <c r="X37" s="1"/>
      <c r="Y37" s="5"/>
      <c r="Z37" s="5">
        <f t="shared" si="8"/>
        <v>2472</v>
      </c>
      <c r="AA37" s="5">
        <f t="shared" si="9"/>
        <v>0</v>
      </c>
    </row>
    <row r="38" spans="1:27" ht="19.5">
      <c r="A38" s="1">
        <v>4</v>
      </c>
      <c r="B38" s="9" t="s">
        <v>13</v>
      </c>
      <c r="C38" s="1">
        <v>309</v>
      </c>
      <c r="D38" s="5">
        <f>Table16[[#This Row],[Enrolment S.Y. 2025-2026 ]]*8</f>
        <v>2472</v>
      </c>
      <c r="E38" s="5"/>
      <c r="F38" s="1"/>
      <c r="G38" s="5"/>
      <c r="H38" s="5">
        <f t="shared" si="2"/>
        <v>2472</v>
      </c>
      <c r="I38" s="5">
        <f t="shared" si="3"/>
        <v>0</v>
      </c>
      <c r="J38" s="5">
        <f>Table16[[#This Row],[Enrolment S.Y. 2025-2026 ]]*8</f>
        <v>2472</v>
      </c>
      <c r="K38" s="5"/>
      <c r="L38" s="1"/>
      <c r="M38" s="5"/>
      <c r="N38" s="5">
        <f t="shared" si="4"/>
        <v>2472</v>
      </c>
      <c r="O38" s="5">
        <f t="shared" si="5"/>
        <v>0</v>
      </c>
      <c r="P38" s="5">
        <f>Table16[[#This Row],[Enrolment S.Y. 2025-2026 ]]*8</f>
        <v>2472</v>
      </c>
      <c r="Q38" s="5"/>
      <c r="R38" s="1"/>
      <c r="S38" s="5"/>
      <c r="T38" s="5">
        <f t="shared" si="6"/>
        <v>2472</v>
      </c>
      <c r="U38" s="5">
        <f t="shared" si="7"/>
        <v>0</v>
      </c>
      <c r="V38" s="5">
        <f>Table16[[#This Row],[Enrolment S.Y. 2025-2026 ]]*8</f>
        <v>2472</v>
      </c>
      <c r="W38" s="5"/>
      <c r="X38" s="1"/>
      <c r="Y38" s="5"/>
      <c r="Z38" s="5">
        <f t="shared" si="8"/>
        <v>2472</v>
      </c>
      <c r="AA38" s="5">
        <f t="shared" si="9"/>
        <v>0</v>
      </c>
    </row>
    <row r="39" spans="1:27" ht="19.5">
      <c r="A39" s="1">
        <v>4</v>
      </c>
      <c r="B39" s="9" t="s">
        <v>17</v>
      </c>
      <c r="C39" s="1">
        <v>309</v>
      </c>
      <c r="D39" s="5">
        <f>Table16[[#This Row],[Enrolment S.Y. 2025-2026 ]]*8</f>
        <v>2472</v>
      </c>
      <c r="E39" s="5">
        <v>43</v>
      </c>
      <c r="F39" s="1">
        <v>2024</v>
      </c>
      <c r="G39" s="5" t="s">
        <v>62</v>
      </c>
      <c r="H39" s="5">
        <f t="shared" si="2"/>
        <v>2429</v>
      </c>
      <c r="I39" s="5">
        <f t="shared" si="3"/>
        <v>0</v>
      </c>
      <c r="J39" s="5">
        <f>Table16[[#This Row],[Enrolment S.Y. 2025-2026 ]]*8</f>
        <v>2472</v>
      </c>
      <c r="K39" s="5"/>
      <c r="L39" s="1"/>
      <c r="M39" s="5"/>
      <c r="N39" s="5">
        <f t="shared" si="4"/>
        <v>2472</v>
      </c>
      <c r="O39" s="5">
        <f t="shared" si="5"/>
        <v>0</v>
      </c>
      <c r="P39" s="5">
        <f>Table16[[#This Row],[Enrolment S.Y. 2025-2026 ]]*8</f>
        <v>2472</v>
      </c>
      <c r="Q39" s="5"/>
      <c r="R39" s="1"/>
      <c r="S39" s="5"/>
      <c r="T39" s="5">
        <f t="shared" si="6"/>
        <v>2472</v>
      </c>
      <c r="U39" s="5">
        <f t="shared" si="7"/>
        <v>0</v>
      </c>
      <c r="V39" s="5">
        <f>Table16[[#This Row],[Enrolment S.Y. 2025-2026 ]]*8</f>
        <v>2472</v>
      </c>
      <c r="W39" s="5"/>
      <c r="X39" s="1"/>
      <c r="Y39" s="5"/>
      <c r="Z39" s="5">
        <f t="shared" si="8"/>
        <v>2472</v>
      </c>
      <c r="AA39" s="5">
        <f t="shared" si="9"/>
        <v>0</v>
      </c>
    </row>
    <row r="40" spans="1:27" ht="19.5">
      <c r="A40" s="1">
        <v>4</v>
      </c>
      <c r="B40" s="9" t="s">
        <v>18</v>
      </c>
      <c r="C40" s="1">
        <v>309</v>
      </c>
      <c r="D40" s="5">
        <f>Table16[[#This Row],[Enrolment S.Y. 2025-2026 ]]*8</f>
        <v>2472</v>
      </c>
      <c r="E40" s="5">
        <v>43</v>
      </c>
      <c r="F40" s="1">
        <v>2024</v>
      </c>
      <c r="G40" s="5" t="s">
        <v>62</v>
      </c>
      <c r="H40" s="5">
        <f t="shared" si="2"/>
        <v>2429</v>
      </c>
      <c r="I40" s="5">
        <f t="shared" si="3"/>
        <v>0</v>
      </c>
      <c r="J40" s="5">
        <f>Table16[[#This Row],[Enrolment S.Y. 2025-2026 ]]*8</f>
        <v>2472</v>
      </c>
      <c r="K40" s="5"/>
      <c r="L40" s="1"/>
      <c r="M40" s="5"/>
      <c r="N40" s="5">
        <f t="shared" si="4"/>
        <v>2472</v>
      </c>
      <c r="O40" s="5">
        <f t="shared" si="5"/>
        <v>0</v>
      </c>
      <c r="P40" s="5">
        <f>Table16[[#This Row],[Enrolment S.Y. 2025-2026 ]]*8</f>
        <v>2472</v>
      </c>
      <c r="Q40" s="5"/>
      <c r="R40" s="1"/>
      <c r="S40" s="5"/>
      <c r="T40" s="5">
        <f t="shared" si="6"/>
        <v>2472</v>
      </c>
      <c r="U40" s="5">
        <f t="shared" si="7"/>
        <v>0</v>
      </c>
      <c r="V40" s="5">
        <f>Table16[[#This Row],[Enrolment S.Y. 2025-2026 ]]*8</f>
        <v>2472</v>
      </c>
      <c r="W40" s="5"/>
      <c r="X40" s="1"/>
      <c r="Y40" s="5"/>
      <c r="Z40" s="5">
        <f t="shared" si="8"/>
        <v>2472</v>
      </c>
      <c r="AA40" s="5">
        <f t="shared" si="9"/>
        <v>0</v>
      </c>
    </row>
    <row r="41" spans="1:27" ht="19.5">
      <c r="A41" s="1">
        <v>4</v>
      </c>
      <c r="B41" s="9" t="s">
        <v>19</v>
      </c>
      <c r="C41" s="1">
        <v>309</v>
      </c>
      <c r="D41" s="5">
        <f>Table16[[#This Row],[Enrolment S.Y. 2025-2026 ]]*8</f>
        <v>2472</v>
      </c>
      <c r="E41" s="5"/>
      <c r="F41" s="1"/>
      <c r="G41" s="5"/>
      <c r="H41" s="5">
        <f t="shared" si="2"/>
        <v>2472</v>
      </c>
      <c r="I41" s="5">
        <f t="shared" si="3"/>
        <v>0</v>
      </c>
      <c r="J41" s="5">
        <f>Table16[[#This Row],[Enrolment S.Y. 2025-2026 ]]*8</f>
        <v>2472</v>
      </c>
      <c r="K41" s="5"/>
      <c r="L41" s="1"/>
      <c r="M41" s="5"/>
      <c r="N41" s="5">
        <f t="shared" si="4"/>
        <v>2472</v>
      </c>
      <c r="O41" s="5">
        <f t="shared" si="5"/>
        <v>0</v>
      </c>
      <c r="P41" s="5">
        <f>Table16[[#This Row],[Enrolment S.Y. 2025-2026 ]]*8</f>
        <v>2472</v>
      </c>
      <c r="Q41" s="5"/>
      <c r="R41" s="1"/>
      <c r="S41" s="5"/>
      <c r="T41" s="5">
        <f t="shared" si="6"/>
        <v>2472</v>
      </c>
      <c r="U41" s="5">
        <f t="shared" si="7"/>
        <v>0</v>
      </c>
      <c r="V41" s="5">
        <f>Table16[[#This Row],[Enrolment S.Y. 2025-2026 ]]*8</f>
        <v>2472</v>
      </c>
      <c r="W41" s="5"/>
      <c r="X41" s="1"/>
      <c r="Y41" s="5"/>
      <c r="Z41" s="5">
        <f t="shared" si="8"/>
        <v>2472</v>
      </c>
      <c r="AA41" s="5">
        <f t="shared" si="9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14</v>
      </c>
      <c r="C43" s="1">
        <v>285</v>
      </c>
      <c r="D43" s="5">
        <f>Table16[[#This Row],[Enrolment S.Y. 2025-2026 ]]*8</f>
        <v>2280</v>
      </c>
      <c r="E43" s="5"/>
      <c r="F43" s="1"/>
      <c r="G43" s="5"/>
      <c r="H43" s="5">
        <f t="shared" si="2"/>
        <v>2280</v>
      </c>
      <c r="I43" s="5">
        <f t="shared" si="3"/>
        <v>0</v>
      </c>
      <c r="J43" s="5">
        <f>Table16[[#This Row],[Enrolment S.Y. 2025-2026 ]]*8</f>
        <v>2280</v>
      </c>
      <c r="K43" s="5"/>
      <c r="L43" s="1"/>
      <c r="M43" s="5"/>
      <c r="N43" s="5">
        <f t="shared" si="4"/>
        <v>2280</v>
      </c>
      <c r="O43" s="5">
        <f t="shared" si="5"/>
        <v>0</v>
      </c>
      <c r="P43" s="5">
        <f>Table16[[#This Row],[Enrolment S.Y. 2025-2026 ]]*8</f>
        <v>2280</v>
      </c>
      <c r="Q43" s="5"/>
      <c r="R43" s="1"/>
      <c r="S43" s="5"/>
      <c r="T43" s="5">
        <f t="shared" si="6"/>
        <v>2280</v>
      </c>
      <c r="U43" s="5">
        <f t="shared" si="7"/>
        <v>0</v>
      </c>
      <c r="V43" s="5">
        <f>Table16[[#This Row],[Enrolment S.Y. 2025-2026 ]]*8</f>
        <v>2280</v>
      </c>
      <c r="W43" s="5"/>
      <c r="X43" s="1"/>
      <c r="Y43" s="5"/>
      <c r="Z43" s="5">
        <f t="shared" si="8"/>
        <v>2280</v>
      </c>
      <c r="AA43" s="5">
        <f t="shared" si="9"/>
        <v>0</v>
      </c>
    </row>
    <row r="44" spans="1:27" ht="19.5">
      <c r="A44" s="1">
        <v>5</v>
      </c>
      <c r="B44" s="9" t="s">
        <v>15</v>
      </c>
      <c r="C44" s="1">
        <v>285</v>
      </c>
      <c r="D44" s="5">
        <f>Table16[[#This Row],[Enrolment S.Y. 2025-2026 ]]*8</f>
        <v>2280</v>
      </c>
      <c r="E44" s="5"/>
      <c r="F44" s="1"/>
      <c r="G44" s="5"/>
      <c r="H44" s="5">
        <f t="shared" si="2"/>
        <v>2280</v>
      </c>
      <c r="I44" s="5">
        <f t="shared" si="3"/>
        <v>0</v>
      </c>
      <c r="J44" s="5">
        <f>Table16[[#This Row],[Enrolment S.Y. 2025-2026 ]]*8</f>
        <v>2280</v>
      </c>
      <c r="K44" s="5"/>
      <c r="L44" s="1"/>
      <c r="M44" s="5"/>
      <c r="N44" s="5">
        <f t="shared" si="4"/>
        <v>2280</v>
      </c>
      <c r="O44" s="5">
        <f t="shared" si="5"/>
        <v>0</v>
      </c>
      <c r="P44" s="5">
        <f>Table16[[#This Row],[Enrolment S.Y. 2025-2026 ]]*8</f>
        <v>2280</v>
      </c>
      <c r="Q44" s="5"/>
      <c r="R44" s="1"/>
      <c r="S44" s="5"/>
      <c r="T44" s="5">
        <f t="shared" si="6"/>
        <v>2280</v>
      </c>
      <c r="U44" s="5">
        <f t="shared" si="7"/>
        <v>0</v>
      </c>
      <c r="V44" s="5">
        <f>Table16[[#This Row],[Enrolment S.Y. 2025-2026 ]]*8</f>
        <v>2280</v>
      </c>
      <c r="W44" s="5"/>
      <c r="X44" s="1"/>
      <c r="Y44" s="5"/>
      <c r="Z44" s="5">
        <f t="shared" si="8"/>
        <v>2280</v>
      </c>
      <c r="AA44" s="5">
        <f t="shared" si="9"/>
        <v>0</v>
      </c>
    </row>
    <row r="45" spans="1:27" ht="19.5">
      <c r="A45" s="1">
        <v>5</v>
      </c>
      <c r="B45" s="9" t="s">
        <v>12</v>
      </c>
      <c r="C45" s="1">
        <v>285</v>
      </c>
      <c r="D45" s="5">
        <f>Table16[[#This Row],[Enrolment S.Y. 2025-2026 ]]*8</f>
        <v>2280</v>
      </c>
      <c r="E45" s="5"/>
      <c r="F45" s="1"/>
      <c r="G45" s="5"/>
      <c r="H45" s="5">
        <f t="shared" si="2"/>
        <v>2280</v>
      </c>
      <c r="I45" s="5">
        <f t="shared" si="3"/>
        <v>0</v>
      </c>
      <c r="J45" s="5">
        <f>Table16[[#This Row],[Enrolment S.Y. 2025-2026 ]]*8</f>
        <v>2280</v>
      </c>
      <c r="K45" s="5"/>
      <c r="L45" s="1"/>
      <c r="M45" s="5"/>
      <c r="N45" s="5">
        <f t="shared" si="4"/>
        <v>2280</v>
      </c>
      <c r="O45" s="5">
        <f t="shared" si="5"/>
        <v>0</v>
      </c>
      <c r="P45" s="5">
        <f>Table16[[#This Row],[Enrolment S.Y. 2025-2026 ]]*8</f>
        <v>2280</v>
      </c>
      <c r="Q45" s="5"/>
      <c r="R45" s="1"/>
      <c r="S45" s="5"/>
      <c r="T45" s="5">
        <f t="shared" si="6"/>
        <v>2280</v>
      </c>
      <c r="U45" s="5">
        <f t="shared" si="7"/>
        <v>0</v>
      </c>
      <c r="V45" s="5">
        <f>Table16[[#This Row],[Enrolment S.Y. 2025-2026 ]]*8</f>
        <v>2280</v>
      </c>
      <c r="W45" s="5"/>
      <c r="X45" s="1"/>
      <c r="Y45" s="5"/>
      <c r="Z45" s="5">
        <f t="shared" si="8"/>
        <v>2280</v>
      </c>
      <c r="AA45" s="5">
        <f t="shared" si="9"/>
        <v>0</v>
      </c>
    </row>
    <row r="46" spans="1:27" ht="19.5">
      <c r="A46" s="1">
        <v>5</v>
      </c>
      <c r="B46" s="9" t="s">
        <v>10</v>
      </c>
      <c r="C46" s="1">
        <v>285</v>
      </c>
      <c r="D46" s="5">
        <f>Table16[[#This Row],[Enrolment S.Y. 2025-2026 ]]*8</f>
        <v>2280</v>
      </c>
      <c r="E46" s="5"/>
      <c r="F46" s="1"/>
      <c r="G46" s="5"/>
      <c r="H46" s="5">
        <f t="shared" si="2"/>
        <v>2280</v>
      </c>
      <c r="I46" s="5">
        <f t="shared" si="3"/>
        <v>0</v>
      </c>
      <c r="J46" s="5">
        <f>Table16[[#This Row],[Enrolment S.Y. 2025-2026 ]]*8</f>
        <v>2280</v>
      </c>
      <c r="K46" s="5"/>
      <c r="L46" s="1"/>
      <c r="M46" s="5"/>
      <c r="N46" s="5">
        <f t="shared" si="4"/>
        <v>2280</v>
      </c>
      <c r="O46" s="5">
        <f t="shared" si="5"/>
        <v>0</v>
      </c>
      <c r="P46" s="5">
        <f>Table16[[#This Row],[Enrolment S.Y. 2025-2026 ]]*8</f>
        <v>2280</v>
      </c>
      <c r="Q46" s="5"/>
      <c r="R46" s="1"/>
      <c r="S46" s="5"/>
      <c r="T46" s="5">
        <f t="shared" si="6"/>
        <v>2280</v>
      </c>
      <c r="U46" s="5">
        <f t="shared" si="7"/>
        <v>0</v>
      </c>
      <c r="V46" s="5">
        <f>Table16[[#This Row],[Enrolment S.Y. 2025-2026 ]]*8</f>
        <v>2280</v>
      </c>
      <c r="W46" s="5"/>
      <c r="X46" s="1"/>
      <c r="Y46" s="5"/>
      <c r="Z46" s="5">
        <f t="shared" si="8"/>
        <v>2280</v>
      </c>
      <c r="AA46" s="5">
        <f t="shared" si="9"/>
        <v>0</v>
      </c>
    </row>
    <row r="47" spans="1:27" ht="38.25">
      <c r="A47" s="1">
        <v>5</v>
      </c>
      <c r="B47" s="9" t="s">
        <v>16</v>
      </c>
      <c r="C47" s="1">
        <v>285</v>
      </c>
      <c r="D47" s="5">
        <f>Table16[[#This Row],[Enrolment S.Y. 2025-2026 ]]*8</f>
        <v>2280</v>
      </c>
      <c r="E47" s="5"/>
      <c r="F47" s="1"/>
      <c r="G47" s="5"/>
      <c r="H47" s="5">
        <f t="shared" si="2"/>
        <v>2280</v>
      </c>
      <c r="I47" s="5">
        <f t="shared" si="3"/>
        <v>0</v>
      </c>
      <c r="J47" s="5">
        <f>Table16[[#This Row],[Enrolment S.Y. 2025-2026 ]]*8</f>
        <v>2280</v>
      </c>
      <c r="K47" s="5"/>
      <c r="L47" s="1"/>
      <c r="M47" s="5"/>
      <c r="N47" s="5">
        <f t="shared" si="4"/>
        <v>2280</v>
      </c>
      <c r="O47" s="5">
        <f t="shared" si="5"/>
        <v>0</v>
      </c>
      <c r="P47" s="5">
        <f>Table16[[#This Row],[Enrolment S.Y. 2025-2026 ]]*8</f>
        <v>2280</v>
      </c>
      <c r="Q47" s="5"/>
      <c r="R47" s="1"/>
      <c r="S47" s="5"/>
      <c r="T47" s="5">
        <f t="shared" si="6"/>
        <v>2280</v>
      </c>
      <c r="U47" s="5">
        <f t="shared" si="7"/>
        <v>0</v>
      </c>
      <c r="V47" s="5">
        <f>Table16[[#This Row],[Enrolment S.Y. 2025-2026 ]]*8</f>
        <v>2280</v>
      </c>
      <c r="W47" s="5"/>
      <c r="X47" s="1"/>
      <c r="Y47" s="5"/>
      <c r="Z47" s="5">
        <f t="shared" si="8"/>
        <v>2280</v>
      </c>
      <c r="AA47" s="5">
        <f t="shared" si="9"/>
        <v>0</v>
      </c>
    </row>
    <row r="48" spans="1:27" ht="19.5">
      <c r="A48" s="1">
        <v>5</v>
      </c>
      <c r="B48" s="9" t="s">
        <v>13</v>
      </c>
      <c r="C48" s="1">
        <v>285</v>
      </c>
      <c r="D48" s="5">
        <f>Table16[[#This Row],[Enrolment S.Y. 2025-2026 ]]*8</f>
        <v>2280</v>
      </c>
      <c r="E48" s="5"/>
      <c r="F48" s="1"/>
      <c r="G48" s="5"/>
      <c r="H48" s="5">
        <f t="shared" si="2"/>
        <v>2280</v>
      </c>
      <c r="I48" s="5">
        <f t="shared" si="3"/>
        <v>0</v>
      </c>
      <c r="J48" s="5">
        <f>Table16[[#This Row],[Enrolment S.Y. 2025-2026 ]]*8</f>
        <v>2280</v>
      </c>
      <c r="K48" s="5"/>
      <c r="L48" s="1"/>
      <c r="M48" s="5"/>
      <c r="N48" s="5">
        <f t="shared" si="4"/>
        <v>2280</v>
      </c>
      <c r="O48" s="5">
        <f t="shared" si="5"/>
        <v>0</v>
      </c>
      <c r="P48" s="5">
        <f>Table16[[#This Row],[Enrolment S.Y. 2025-2026 ]]*8</f>
        <v>2280</v>
      </c>
      <c r="Q48" s="5"/>
      <c r="R48" s="1"/>
      <c r="S48" s="5"/>
      <c r="T48" s="5">
        <f t="shared" si="6"/>
        <v>2280</v>
      </c>
      <c r="U48" s="5">
        <f t="shared" si="7"/>
        <v>0</v>
      </c>
      <c r="V48" s="5">
        <f>Table16[[#This Row],[Enrolment S.Y. 2025-2026 ]]*8</f>
        <v>2280</v>
      </c>
      <c r="W48" s="5"/>
      <c r="X48" s="1"/>
      <c r="Y48" s="5"/>
      <c r="Z48" s="5">
        <f t="shared" si="8"/>
        <v>2280</v>
      </c>
      <c r="AA48" s="5">
        <f t="shared" si="9"/>
        <v>0</v>
      </c>
    </row>
    <row r="49" spans="1:27" ht="19.5">
      <c r="A49" s="1">
        <v>5</v>
      </c>
      <c r="B49" s="9" t="s">
        <v>17</v>
      </c>
      <c r="C49" s="1">
        <v>285</v>
      </c>
      <c r="D49" s="5">
        <f>Table16[[#This Row],[Enrolment S.Y. 2025-2026 ]]*8</f>
        <v>2280</v>
      </c>
      <c r="E49" s="5"/>
      <c r="F49" s="1"/>
      <c r="G49" s="5"/>
      <c r="H49" s="5">
        <f t="shared" si="2"/>
        <v>2280</v>
      </c>
      <c r="I49" s="5">
        <f t="shared" si="3"/>
        <v>0</v>
      </c>
      <c r="J49" s="5">
        <f>Table16[[#This Row],[Enrolment S.Y. 2025-2026 ]]*8</f>
        <v>2280</v>
      </c>
      <c r="K49" s="5"/>
      <c r="L49" s="1"/>
      <c r="M49" s="5"/>
      <c r="N49" s="5">
        <f t="shared" si="4"/>
        <v>2280</v>
      </c>
      <c r="O49" s="5">
        <f t="shared" si="5"/>
        <v>0</v>
      </c>
      <c r="P49" s="5">
        <f>Table16[[#This Row],[Enrolment S.Y. 2025-2026 ]]*8</f>
        <v>2280</v>
      </c>
      <c r="Q49" s="5"/>
      <c r="R49" s="1"/>
      <c r="S49" s="5"/>
      <c r="T49" s="5">
        <f t="shared" si="6"/>
        <v>2280</v>
      </c>
      <c r="U49" s="5">
        <f t="shared" si="7"/>
        <v>0</v>
      </c>
      <c r="V49" s="5">
        <f>Table16[[#This Row],[Enrolment S.Y. 2025-2026 ]]*8</f>
        <v>2280</v>
      </c>
      <c r="W49" s="5"/>
      <c r="X49" s="1"/>
      <c r="Y49" s="5"/>
      <c r="Z49" s="5">
        <f t="shared" si="8"/>
        <v>2280</v>
      </c>
      <c r="AA49" s="5">
        <f t="shared" si="9"/>
        <v>0</v>
      </c>
    </row>
    <row r="50" spans="1:27" ht="19.5">
      <c r="A50" s="1">
        <v>5</v>
      </c>
      <c r="B50" s="9" t="s">
        <v>18</v>
      </c>
      <c r="C50" s="1">
        <v>285</v>
      </c>
      <c r="D50" s="5">
        <f>Table16[[#This Row],[Enrolment S.Y. 2025-2026 ]]*8</f>
        <v>2280</v>
      </c>
      <c r="E50" s="5"/>
      <c r="F50" s="1"/>
      <c r="G50" s="5"/>
      <c r="H50" s="5">
        <f t="shared" si="2"/>
        <v>2280</v>
      </c>
      <c r="I50" s="5">
        <f t="shared" si="3"/>
        <v>0</v>
      </c>
      <c r="J50" s="5">
        <f>Table16[[#This Row],[Enrolment S.Y. 2025-2026 ]]*8</f>
        <v>2280</v>
      </c>
      <c r="K50" s="5"/>
      <c r="L50" s="1"/>
      <c r="M50" s="5"/>
      <c r="N50" s="5">
        <f t="shared" si="4"/>
        <v>2280</v>
      </c>
      <c r="O50" s="5">
        <f t="shared" si="5"/>
        <v>0</v>
      </c>
      <c r="P50" s="5">
        <f>Table16[[#This Row],[Enrolment S.Y. 2025-2026 ]]*8</f>
        <v>2280</v>
      </c>
      <c r="Q50" s="5"/>
      <c r="R50" s="1"/>
      <c r="S50" s="5"/>
      <c r="T50" s="5">
        <f t="shared" si="6"/>
        <v>2280</v>
      </c>
      <c r="U50" s="5">
        <f t="shared" si="7"/>
        <v>0</v>
      </c>
      <c r="V50" s="5">
        <f>Table16[[#This Row],[Enrolment S.Y. 2025-2026 ]]*8</f>
        <v>2280</v>
      </c>
      <c r="W50" s="5"/>
      <c r="X50" s="1"/>
      <c r="Y50" s="5"/>
      <c r="Z50" s="5">
        <f t="shared" si="8"/>
        <v>2280</v>
      </c>
      <c r="AA50" s="5">
        <f t="shared" si="9"/>
        <v>0</v>
      </c>
    </row>
    <row r="51" spans="1:27" ht="19.5">
      <c r="A51" s="1">
        <v>5</v>
      </c>
      <c r="B51" s="9" t="s">
        <v>19</v>
      </c>
      <c r="C51" s="1">
        <v>285</v>
      </c>
      <c r="D51" s="5">
        <f>Table16[[#This Row],[Enrolment S.Y. 2025-2026 ]]*8</f>
        <v>2280</v>
      </c>
      <c r="E51" s="5"/>
      <c r="F51" s="1"/>
      <c r="G51" s="5"/>
      <c r="H51" s="5">
        <f t="shared" si="2"/>
        <v>2280</v>
      </c>
      <c r="I51" s="5">
        <f t="shared" si="3"/>
        <v>0</v>
      </c>
      <c r="J51" s="5">
        <f>Table16[[#This Row],[Enrolment S.Y. 2025-2026 ]]*8</f>
        <v>2280</v>
      </c>
      <c r="K51" s="5"/>
      <c r="L51" s="1"/>
      <c r="M51" s="5"/>
      <c r="N51" s="5">
        <f t="shared" si="4"/>
        <v>2280</v>
      </c>
      <c r="O51" s="5">
        <f t="shared" si="5"/>
        <v>0</v>
      </c>
      <c r="P51" s="5">
        <f>Table16[[#This Row],[Enrolment S.Y. 2025-2026 ]]*8</f>
        <v>2280</v>
      </c>
      <c r="Q51" s="5"/>
      <c r="R51" s="1"/>
      <c r="S51" s="5"/>
      <c r="T51" s="5">
        <f t="shared" si="6"/>
        <v>2280</v>
      </c>
      <c r="U51" s="5">
        <f t="shared" si="7"/>
        <v>0</v>
      </c>
      <c r="V51" s="5">
        <f>Table16[[#This Row],[Enrolment S.Y. 2025-2026 ]]*8</f>
        <v>2280</v>
      </c>
      <c r="W51" s="5"/>
      <c r="X51" s="1"/>
      <c r="Y51" s="5"/>
      <c r="Z51" s="5">
        <f t="shared" si="8"/>
        <v>2280</v>
      </c>
      <c r="AA51" s="5">
        <f t="shared" si="9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14</v>
      </c>
      <c r="C53" s="1">
        <v>252</v>
      </c>
      <c r="D53" s="5">
        <f>Table16[[#This Row],[Enrolment S.Y. 2025-2026 ]]*8</f>
        <v>2016</v>
      </c>
      <c r="E53" s="5"/>
      <c r="F53" s="1"/>
      <c r="G53" s="5"/>
      <c r="H53" s="5">
        <f t="shared" si="2"/>
        <v>2016</v>
      </c>
      <c r="I53" s="5">
        <f t="shared" si="3"/>
        <v>0</v>
      </c>
      <c r="J53" s="5">
        <f>Table16[[#This Row],[Enrolment S.Y. 2025-2026 ]]*8</f>
        <v>2016</v>
      </c>
      <c r="K53" s="5"/>
      <c r="L53" s="1"/>
      <c r="M53" s="5"/>
      <c r="N53" s="5">
        <f t="shared" si="4"/>
        <v>2016</v>
      </c>
      <c r="O53" s="5">
        <f t="shared" si="5"/>
        <v>0</v>
      </c>
      <c r="P53" s="5">
        <f>Table16[[#This Row],[Enrolment S.Y. 2025-2026 ]]*8</f>
        <v>2016</v>
      </c>
      <c r="Q53" s="5"/>
      <c r="R53" s="1"/>
      <c r="S53" s="5"/>
      <c r="T53" s="5">
        <f t="shared" si="6"/>
        <v>2016</v>
      </c>
      <c r="U53" s="5">
        <f t="shared" si="7"/>
        <v>0</v>
      </c>
      <c r="V53" s="5">
        <f>Table16[[#This Row],[Enrolment S.Y. 2025-2026 ]]*8</f>
        <v>2016</v>
      </c>
      <c r="W53" s="5"/>
      <c r="X53" s="1"/>
      <c r="Y53" s="5"/>
      <c r="Z53" s="5">
        <f t="shared" si="8"/>
        <v>2016</v>
      </c>
      <c r="AA53" s="5">
        <f t="shared" si="9"/>
        <v>0</v>
      </c>
    </row>
    <row r="54" spans="1:27" ht="19.5">
      <c r="A54" s="1">
        <v>6</v>
      </c>
      <c r="B54" s="9" t="s">
        <v>15</v>
      </c>
      <c r="C54" s="1">
        <v>252</v>
      </c>
      <c r="D54" s="5">
        <f>Table16[[#This Row],[Enrolment S.Y. 2025-2026 ]]*8</f>
        <v>2016</v>
      </c>
      <c r="E54" s="5"/>
      <c r="F54" s="1"/>
      <c r="G54" s="5"/>
      <c r="H54" s="5">
        <f t="shared" si="2"/>
        <v>2016</v>
      </c>
      <c r="I54" s="5">
        <f t="shared" si="3"/>
        <v>0</v>
      </c>
      <c r="J54" s="5">
        <f>Table16[[#This Row],[Enrolment S.Y. 2025-2026 ]]*8</f>
        <v>2016</v>
      </c>
      <c r="K54" s="5"/>
      <c r="L54" s="1"/>
      <c r="M54" s="5"/>
      <c r="N54" s="5">
        <f t="shared" si="4"/>
        <v>2016</v>
      </c>
      <c r="O54" s="5">
        <f t="shared" si="5"/>
        <v>0</v>
      </c>
      <c r="P54" s="5">
        <f>Table16[[#This Row],[Enrolment S.Y. 2025-2026 ]]*8</f>
        <v>2016</v>
      </c>
      <c r="Q54" s="5"/>
      <c r="R54" s="1"/>
      <c r="S54" s="5"/>
      <c r="T54" s="5">
        <f t="shared" si="6"/>
        <v>2016</v>
      </c>
      <c r="U54" s="5">
        <f t="shared" si="7"/>
        <v>0</v>
      </c>
      <c r="V54" s="5">
        <f>Table16[[#This Row],[Enrolment S.Y. 2025-2026 ]]*8</f>
        <v>2016</v>
      </c>
      <c r="W54" s="5"/>
      <c r="X54" s="1"/>
      <c r="Y54" s="5"/>
      <c r="Z54" s="5">
        <f t="shared" si="8"/>
        <v>2016</v>
      </c>
      <c r="AA54" s="5">
        <f t="shared" si="9"/>
        <v>0</v>
      </c>
    </row>
    <row r="55" spans="1:27" ht="19.5">
      <c r="A55" s="1">
        <v>6</v>
      </c>
      <c r="B55" s="9" t="s">
        <v>12</v>
      </c>
      <c r="C55" s="1">
        <v>252</v>
      </c>
      <c r="D55" s="5">
        <f>Table16[[#This Row],[Enrolment S.Y. 2025-2026 ]]*8</f>
        <v>2016</v>
      </c>
      <c r="E55" s="5"/>
      <c r="F55" s="1"/>
      <c r="G55" s="5"/>
      <c r="H55" s="5">
        <f t="shared" si="2"/>
        <v>2016</v>
      </c>
      <c r="I55" s="5">
        <f t="shared" si="3"/>
        <v>0</v>
      </c>
      <c r="J55" s="5">
        <f>Table16[[#This Row],[Enrolment S.Y. 2025-2026 ]]*8</f>
        <v>2016</v>
      </c>
      <c r="K55" s="5"/>
      <c r="L55" s="1"/>
      <c r="M55" s="5"/>
      <c r="N55" s="5">
        <f t="shared" si="4"/>
        <v>2016</v>
      </c>
      <c r="O55" s="5">
        <f t="shared" si="5"/>
        <v>0</v>
      </c>
      <c r="P55" s="5">
        <f>Table16[[#This Row],[Enrolment S.Y. 2025-2026 ]]*8</f>
        <v>2016</v>
      </c>
      <c r="Q55" s="5"/>
      <c r="R55" s="1"/>
      <c r="S55" s="5"/>
      <c r="T55" s="5">
        <f t="shared" si="6"/>
        <v>2016</v>
      </c>
      <c r="U55" s="5">
        <f t="shared" si="7"/>
        <v>0</v>
      </c>
      <c r="V55" s="5">
        <f>Table16[[#This Row],[Enrolment S.Y. 2025-2026 ]]*8</f>
        <v>2016</v>
      </c>
      <c r="W55" s="5"/>
      <c r="X55" s="1"/>
      <c r="Y55" s="5"/>
      <c r="Z55" s="5">
        <f t="shared" si="8"/>
        <v>2016</v>
      </c>
      <c r="AA55" s="5">
        <f t="shared" si="9"/>
        <v>0</v>
      </c>
    </row>
    <row r="56" spans="1:27" ht="19.5">
      <c r="A56" s="1">
        <v>6</v>
      </c>
      <c r="B56" s="9" t="s">
        <v>10</v>
      </c>
      <c r="C56" s="1">
        <v>252</v>
      </c>
      <c r="D56" s="5">
        <f>Table16[[#This Row],[Enrolment S.Y. 2025-2026 ]]*8</f>
        <v>2016</v>
      </c>
      <c r="E56" s="5"/>
      <c r="F56" s="1"/>
      <c r="G56" s="5"/>
      <c r="H56" s="5">
        <f t="shared" si="2"/>
        <v>2016</v>
      </c>
      <c r="I56" s="5">
        <f t="shared" si="3"/>
        <v>0</v>
      </c>
      <c r="J56" s="5">
        <f>Table16[[#This Row],[Enrolment S.Y. 2025-2026 ]]*8</f>
        <v>2016</v>
      </c>
      <c r="K56" s="5"/>
      <c r="L56" s="1"/>
      <c r="M56" s="5"/>
      <c r="N56" s="5">
        <f t="shared" si="4"/>
        <v>2016</v>
      </c>
      <c r="O56" s="5">
        <f t="shared" si="5"/>
        <v>0</v>
      </c>
      <c r="P56" s="5">
        <f>Table16[[#This Row],[Enrolment S.Y. 2025-2026 ]]*8</f>
        <v>2016</v>
      </c>
      <c r="Q56" s="5"/>
      <c r="R56" s="1"/>
      <c r="S56" s="5"/>
      <c r="T56" s="5">
        <f t="shared" si="6"/>
        <v>2016</v>
      </c>
      <c r="U56" s="5">
        <f t="shared" si="7"/>
        <v>0</v>
      </c>
      <c r="V56" s="5">
        <f>Table16[[#This Row],[Enrolment S.Y. 2025-2026 ]]*8</f>
        <v>2016</v>
      </c>
      <c r="W56" s="5"/>
      <c r="X56" s="1"/>
      <c r="Y56" s="5"/>
      <c r="Z56" s="5">
        <f t="shared" si="8"/>
        <v>2016</v>
      </c>
      <c r="AA56" s="5">
        <f t="shared" si="9"/>
        <v>0</v>
      </c>
    </row>
    <row r="57" spans="1:27" ht="38.25">
      <c r="A57" s="1">
        <v>6</v>
      </c>
      <c r="B57" s="9" t="s">
        <v>16</v>
      </c>
      <c r="C57" s="1">
        <v>252</v>
      </c>
      <c r="D57" s="5">
        <f>Table16[[#This Row],[Enrolment S.Y. 2025-2026 ]]*8</f>
        <v>2016</v>
      </c>
      <c r="E57" s="5"/>
      <c r="F57" s="1"/>
      <c r="G57" s="5"/>
      <c r="H57" s="5">
        <f t="shared" si="2"/>
        <v>2016</v>
      </c>
      <c r="I57" s="5">
        <f t="shared" si="3"/>
        <v>0</v>
      </c>
      <c r="J57" s="5">
        <f>Table16[[#This Row],[Enrolment S.Y. 2025-2026 ]]*8</f>
        <v>2016</v>
      </c>
      <c r="K57" s="5"/>
      <c r="L57" s="1"/>
      <c r="M57" s="5"/>
      <c r="N57" s="5">
        <f t="shared" si="4"/>
        <v>2016</v>
      </c>
      <c r="O57" s="5">
        <f t="shared" si="5"/>
        <v>0</v>
      </c>
      <c r="P57" s="5">
        <f>Table16[[#This Row],[Enrolment S.Y. 2025-2026 ]]*8</f>
        <v>2016</v>
      </c>
      <c r="Q57" s="5"/>
      <c r="R57" s="1"/>
      <c r="S57" s="5"/>
      <c r="T57" s="5">
        <f t="shared" si="6"/>
        <v>2016</v>
      </c>
      <c r="U57" s="5">
        <f t="shared" si="7"/>
        <v>0</v>
      </c>
      <c r="V57" s="5">
        <f>Table16[[#This Row],[Enrolment S.Y. 2025-2026 ]]*8</f>
        <v>2016</v>
      </c>
      <c r="W57" s="5"/>
      <c r="X57" s="1"/>
      <c r="Y57" s="5"/>
      <c r="Z57" s="5">
        <f t="shared" si="8"/>
        <v>2016</v>
      </c>
      <c r="AA57" s="5">
        <f t="shared" si="9"/>
        <v>0</v>
      </c>
    </row>
    <row r="58" spans="1:27" ht="19.5">
      <c r="A58" s="1">
        <v>6</v>
      </c>
      <c r="B58" s="9" t="s">
        <v>13</v>
      </c>
      <c r="C58" s="1">
        <v>252</v>
      </c>
      <c r="D58" s="5">
        <f>Table16[[#This Row],[Enrolment S.Y. 2025-2026 ]]*8</f>
        <v>2016</v>
      </c>
      <c r="E58" s="5"/>
      <c r="F58" s="1"/>
      <c r="G58" s="5"/>
      <c r="H58" s="5">
        <f t="shared" si="2"/>
        <v>2016</v>
      </c>
      <c r="I58" s="5">
        <f t="shared" si="3"/>
        <v>0</v>
      </c>
      <c r="J58" s="5">
        <f>Table16[[#This Row],[Enrolment S.Y. 2025-2026 ]]*8</f>
        <v>2016</v>
      </c>
      <c r="K58" s="5"/>
      <c r="L58" s="1"/>
      <c r="M58" s="5"/>
      <c r="N58" s="5">
        <f t="shared" si="4"/>
        <v>2016</v>
      </c>
      <c r="O58" s="5">
        <f t="shared" si="5"/>
        <v>0</v>
      </c>
      <c r="P58" s="5">
        <f>Table16[[#This Row],[Enrolment S.Y. 2025-2026 ]]*8</f>
        <v>2016</v>
      </c>
      <c r="Q58" s="5"/>
      <c r="R58" s="1"/>
      <c r="S58" s="5"/>
      <c r="T58" s="5">
        <f t="shared" si="6"/>
        <v>2016</v>
      </c>
      <c r="U58" s="5">
        <f t="shared" si="7"/>
        <v>0</v>
      </c>
      <c r="V58" s="5">
        <f>Table16[[#This Row],[Enrolment S.Y. 2025-2026 ]]*8</f>
        <v>2016</v>
      </c>
      <c r="W58" s="5"/>
      <c r="X58" s="1"/>
      <c r="Y58" s="5"/>
      <c r="Z58" s="5">
        <f t="shared" si="8"/>
        <v>2016</v>
      </c>
      <c r="AA58" s="5">
        <f t="shared" si="9"/>
        <v>0</v>
      </c>
    </row>
    <row r="59" spans="1:27" ht="19.5">
      <c r="A59" s="1">
        <v>6</v>
      </c>
      <c r="B59" s="9" t="s">
        <v>17</v>
      </c>
      <c r="C59" s="1">
        <v>252</v>
      </c>
      <c r="D59" s="5">
        <f>Table16[[#This Row],[Enrolment S.Y. 2025-2026 ]]*8</f>
        <v>2016</v>
      </c>
      <c r="E59" s="5"/>
      <c r="F59" s="1"/>
      <c r="G59" s="5"/>
      <c r="H59" s="5">
        <f t="shared" si="2"/>
        <v>2016</v>
      </c>
      <c r="I59" s="5">
        <f t="shared" si="3"/>
        <v>0</v>
      </c>
      <c r="J59" s="5">
        <f>Table16[[#This Row],[Enrolment S.Y. 2025-2026 ]]*8</f>
        <v>2016</v>
      </c>
      <c r="K59" s="5"/>
      <c r="L59" s="1"/>
      <c r="M59" s="5"/>
      <c r="N59" s="5">
        <f t="shared" si="4"/>
        <v>2016</v>
      </c>
      <c r="O59" s="5">
        <f t="shared" si="5"/>
        <v>0</v>
      </c>
      <c r="P59" s="5">
        <f>Table16[[#This Row],[Enrolment S.Y. 2025-2026 ]]*8</f>
        <v>2016</v>
      </c>
      <c r="Q59" s="5"/>
      <c r="R59" s="1"/>
      <c r="S59" s="5"/>
      <c r="T59" s="5">
        <f t="shared" si="6"/>
        <v>2016</v>
      </c>
      <c r="U59" s="5">
        <f t="shared" si="7"/>
        <v>0</v>
      </c>
      <c r="V59" s="5">
        <f>Table16[[#This Row],[Enrolment S.Y. 2025-2026 ]]*8</f>
        <v>2016</v>
      </c>
      <c r="W59" s="5"/>
      <c r="X59" s="1"/>
      <c r="Y59" s="5"/>
      <c r="Z59" s="5">
        <f t="shared" si="8"/>
        <v>2016</v>
      </c>
      <c r="AA59" s="5">
        <f t="shared" si="9"/>
        <v>0</v>
      </c>
    </row>
    <row r="60" spans="1:27" ht="19.5">
      <c r="A60" s="1">
        <v>6</v>
      </c>
      <c r="B60" s="9" t="s">
        <v>18</v>
      </c>
      <c r="C60" s="1">
        <v>252</v>
      </c>
      <c r="D60" s="5">
        <f>Table16[[#This Row],[Enrolment S.Y. 2025-2026 ]]*8</f>
        <v>2016</v>
      </c>
      <c r="E60" s="5"/>
      <c r="F60" s="1"/>
      <c r="G60" s="5"/>
      <c r="H60" s="5">
        <f t="shared" si="2"/>
        <v>2016</v>
      </c>
      <c r="I60" s="5">
        <f t="shared" si="3"/>
        <v>0</v>
      </c>
      <c r="J60" s="5">
        <f>Table16[[#This Row],[Enrolment S.Y. 2025-2026 ]]*8</f>
        <v>2016</v>
      </c>
      <c r="K60" s="5"/>
      <c r="L60" s="1"/>
      <c r="M60" s="5"/>
      <c r="N60" s="5">
        <f t="shared" si="4"/>
        <v>2016</v>
      </c>
      <c r="O60" s="5">
        <f t="shared" si="5"/>
        <v>0</v>
      </c>
      <c r="P60" s="5">
        <f>Table16[[#This Row],[Enrolment S.Y. 2025-2026 ]]*8</f>
        <v>2016</v>
      </c>
      <c r="Q60" s="5"/>
      <c r="R60" s="1"/>
      <c r="S60" s="5"/>
      <c r="T60" s="5">
        <f t="shared" si="6"/>
        <v>2016</v>
      </c>
      <c r="U60" s="5">
        <f t="shared" si="7"/>
        <v>0</v>
      </c>
      <c r="V60" s="5">
        <f>Table16[[#This Row],[Enrolment S.Y. 2025-2026 ]]*8</f>
        <v>2016</v>
      </c>
      <c r="W60" s="5"/>
      <c r="X60" s="1"/>
      <c r="Y60" s="5"/>
      <c r="Z60" s="5">
        <f t="shared" si="8"/>
        <v>2016</v>
      </c>
      <c r="AA60" s="5">
        <f t="shared" si="9"/>
        <v>0</v>
      </c>
    </row>
    <row r="61" spans="1:27" ht="19.5">
      <c r="A61" s="1">
        <v>6</v>
      </c>
      <c r="B61" s="9" t="s">
        <v>19</v>
      </c>
      <c r="C61" s="1">
        <v>252</v>
      </c>
      <c r="D61" s="5">
        <f>Table16[[#This Row],[Enrolment S.Y. 2025-2026 ]]*8</f>
        <v>2016</v>
      </c>
      <c r="E61" s="5"/>
      <c r="F61" s="1"/>
      <c r="G61" s="5"/>
      <c r="H61" s="5">
        <f t="shared" si="2"/>
        <v>2016</v>
      </c>
      <c r="I61" s="5">
        <f t="shared" si="3"/>
        <v>0</v>
      </c>
      <c r="J61" s="5">
        <f>Table16[[#This Row],[Enrolment S.Y. 2025-2026 ]]*8</f>
        <v>2016</v>
      </c>
      <c r="K61" s="5"/>
      <c r="L61" s="1"/>
      <c r="M61" s="5"/>
      <c r="N61" s="5">
        <f t="shared" si="4"/>
        <v>2016</v>
      </c>
      <c r="O61" s="5">
        <f t="shared" si="5"/>
        <v>0</v>
      </c>
      <c r="P61" s="5">
        <f>Table16[[#This Row],[Enrolment S.Y. 2025-2026 ]]*8</f>
        <v>2016</v>
      </c>
      <c r="Q61" s="5"/>
      <c r="R61" s="1"/>
      <c r="S61" s="5"/>
      <c r="T61" s="5">
        <f t="shared" si="6"/>
        <v>2016</v>
      </c>
      <c r="U61" s="5">
        <f t="shared" si="7"/>
        <v>0</v>
      </c>
      <c r="V61" s="5">
        <f>Table16[[#This Row],[Enrolment S.Y. 2025-2026 ]]*8</f>
        <v>2016</v>
      </c>
      <c r="W61" s="5"/>
      <c r="X61" s="1"/>
      <c r="Y61" s="5"/>
      <c r="Z61" s="5">
        <f t="shared" si="8"/>
        <v>2016</v>
      </c>
      <c r="AA61" s="5">
        <f t="shared" si="9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Table16[[#This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Table16[[#This Row],[Enrolment S.Y. 2025-2026 ]]*8</f>
        <v>0</v>
      </c>
      <c r="K63" s="12"/>
      <c r="L63" s="10"/>
      <c r="M63" s="12"/>
      <c r="N63" s="12">
        <f t="shared" si="4"/>
        <v>0</v>
      </c>
      <c r="O63" s="12">
        <f t="shared" si="5"/>
        <v>0</v>
      </c>
      <c r="P63" s="12">
        <f>Table16[[#This Row],[Enrolment S.Y. 2025-2026 ]]*8</f>
        <v>0</v>
      </c>
      <c r="Q63" s="12"/>
      <c r="R63" s="10"/>
      <c r="S63" s="12"/>
      <c r="T63" s="12">
        <f t="shared" si="6"/>
        <v>0</v>
      </c>
      <c r="U63" s="12">
        <f t="shared" si="7"/>
        <v>0</v>
      </c>
      <c r="V63" s="12">
        <f>Table16[[#This Row],[Enrolment S.Y. 2025-2026 ]]*8</f>
        <v>0</v>
      </c>
      <c r="W63" s="12"/>
      <c r="X63" s="10"/>
      <c r="Y63" s="12"/>
      <c r="Z63" s="12">
        <f t="shared" si="8"/>
        <v>0</v>
      </c>
      <c r="AA63" s="12">
        <f t="shared" si="9"/>
        <v>0</v>
      </c>
    </row>
    <row r="64" spans="1:27" ht="19.149999999999999">
      <c r="A64" s="10">
        <v>7</v>
      </c>
      <c r="B64" s="11" t="s">
        <v>15</v>
      </c>
      <c r="C64" s="10"/>
      <c r="D64" s="12">
        <f>Table16[[#This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Table16[[#This Row],[Enrolment S.Y. 2025-2026 ]]*8</f>
        <v>0</v>
      </c>
      <c r="K64" s="12"/>
      <c r="L64" s="10"/>
      <c r="M64" s="12"/>
      <c r="N64" s="12">
        <f t="shared" si="4"/>
        <v>0</v>
      </c>
      <c r="O64" s="12">
        <f t="shared" si="5"/>
        <v>0</v>
      </c>
      <c r="P64" s="12">
        <f>Table16[[#This Row],[Enrolment S.Y. 2025-2026 ]]*8</f>
        <v>0</v>
      </c>
      <c r="Q64" s="12"/>
      <c r="R64" s="10"/>
      <c r="S64" s="12"/>
      <c r="T64" s="12">
        <f t="shared" si="6"/>
        <v>0</v>
      </c>
      <c r="U64" s="12">
        <f t="shared" si="7"/>
        <v>0</v>
      </c>
      <c r="V64" s="12">
        <f>Table16[[#This Row],[Enrolment S.Y. 2025-2026 ]]*8</f>
        <v>0</v>
      </c>
      <c r="W64" s="12"/>
      <c r="X64" s="10"/>
      <c r="Y64" s="12"/>
      <c r="Z64" s="12">
        <f t="shared" si="8"/>
        <v>0</v>
      </c>
      <c r="AA64" s="12">
        <f t="shared" si="9"/>
        <v>0</v>
      </c>
    </row>
    <row r="65" spans="1:27" ht="19.149999999999999">
      <c r="A65" s="10">
        <v>7</v>
      </c>
      <c r="B65" s="11" t="s">
        <v>12</v>
      </c>
      <c r="C65" s="10"/>
      <c r="D65" s="12">
        <f>Table16[[#This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Table16[[#This Row],[Enrolment S.Y. 2025-2026 ]]*8</f>
        <v>0</v>
      </c>
      <c r="K65" s="12"/>
      <c r="L65" s="10"/>
      <c r="M65" s="12"/>
      <c r="N65" s="12">
        <f t="shared" si="4"/>
        <v>0</v>
      </c>
      <c r="O65" s="12">
        <f t="shared" si="5"/>
        <v>0</v>
      </c>
      <c r="P65" s="12">
        <f>Table16[[#This Row],[Enrolment S.Y. 2025-2026 ]]*8</f>
        <v>0</v>
      </c>
      <c r="Q65" s="12"/>
      <c r="R65" s="10"/>
      <c r="S65" s="12"/>
      <c r="T65" s="12">
        <f t="shared" si="6"/>
        <v>0</v>
      </c>
      <c r="U65" s="12">
        <f t="shared" si="7"/>
        <v>0</v>
      </c>
      <c r="V65" s="12">
        <f>Table16[[#This Row],[Enrolment S.Y. 2025-2026 ]]*8</f>
        <v>0</v>
      </c>
      <c r="W65" s="12"/>
      <c r="X65" s="10"/>
      <c r="Y65" s="12"/>
      <c r="Z65" s="12">
        <f t="shared" si="8"/>
        <v>0</v>
      </c>
      <c r="AA65" s="12">
        <f t="shared" si="9"/>
        <v>0</v>
      </c>
    </row>
    <row r="66" spans="1:27" ht="19.149999999999999">
      <c r="A66" s="10">
        <v>7</v>
      </c>
      <c r="B66" s="11" t="s">
        <v>20</v>
      </c>
      <c r="C66" s="10"/>
      <c r="D66" s="12">
        <f>Table16[[#This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Table16[[#This Row],[Enrolment S.Y. 2025-2026 ]]*8</f>
        <v>0</v>
      </c>
      <c r="K66" s="12"/>
      <c r="L66" s="10"/>
      <c r="M66" s="12"/>
      <c r="N66" s="12">
        <f t="shared" si="4"/>
        <v>0</v>
      </c>
      <c r="O66" s="12">
        <f t="shared" si="5"/>
        <v>0</v>
      </c>
      <c r="P66" s="12">
        <f>Table16[[#This Row],[Enrolment S.Y. 2025-2026 ]]*8</f>
        <v>0</v>
      </c>
      <c r="Q66" s="12"/>
      <c r="R66" s="10"/>
      <c r="S66" s="12"/>
      <c r="T66" s="12">
        <f t="shared" si="6"/>
        <v>0</v>
      </c>
      <c r="U66" s="12">
        <f t="shared" si="7"/>
        <v>0</v>
      </c>
      <c r="V66" s="12">
        <f>Table16[[#This Row],[Enrolment S.Y. 2025-2026 ]]*8</f>
        <v>0</v>
      </c>
      <c r="W66" s="12"/>
      <c r="X66" s="10"/>
      <c r="Y66" s="12"/>
      <c r="Z66" s="12">
        <f t="shared" si="8"/>
        <v>0</v>
      </c>
      <c r="AA66" s="12">
        <f t="shared" si="9"/>
        <v>0</v>
      </c>
    </row>
    <row r="67" spans="1:27" ht="19.149999999999999">
      <c r="A67" s="10">
        <v>7</v>
      </c>
      <c r="B67" s="11" t="s">
        <v>16</v>
      </c>
      <c r="C67" s="10"/>
      <c r="D67" s="12">
        <f>Table16[[#This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Table16[[#This Row],[Enrolment S.Y. 2025-2026 ]]*8</f>
        <v>0</v>
      </c>
      <c r="K67" s="12"/>
      <c r="L67" s="10"/>
      <c r="M67" s="12"/>
      <c r="N67" s="12">
        <f t="shared" si="4"/>
        <v>0</v>
      </c>
      <c r="O67" s="12">
        <f t="shared" si="5"/>
        <v>0</v>
      </c>
      <c r="P67" s="12">
        <f>Table16[[#This Row],[Enrolment S.Y. 2025-2026 ]]*8</f>
        <v>0</v>
      </c>
      <c r="Q67" s="12"/>
      <c r="R67" s="10"/>
      <c r="S67" s="12"/>
      <c r="T67" s="12">
        <f t="shared" si="6"/>
        <v>0</v>
      </c>
      <c r="U67" s="12">
        <f t="shared" si="7"/>
        <v>0</v>
      </c>
      <c r="V67" s="12">
        <f>Table16[[#This Row],[Enrolment S.Y. 2025-2026 ]]*8</f>
        <v>0</v>
      </c>
      <c r="W67" s="12"/>
      <c r="X67" s="10"/>
      <c r="Y67" s="12"/>
      <c r="Z67" s="12">
        <f t="shared" si="8"/>
        <v>0</v>
      </c>
      <c r="AA67" s="12">
        <f t="shared" si="9"/>
        <v>0</v>
      </c>
    </row>
    <row r="68" spans="1:27" ht="19.149999999999999">
      <c r="A68" s="10">
        <v>7</v>
      </c>
      <c r="B68" s="11" t="s">
        <v>13</v>
      </c>
      <c r="C68" s="10"/>
      <c r="D68" s="12">
        <f>Table16[[#This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Table16[[#This Row],[Enrolment S.Y. 2025-2026 ]]*8</f>
        <v>0</v>
      </c>
      <c r="K68" s="12"/>
      <c r="L68" s="10"/>
      <c r="M68" s="12"/>
      <c r="N68" s="12">
        <f t="shared" si="4"/>
        <v>0</v>
      </c>
      <c r="O68" s="12">
        <f t="shared" si="5"/>
        <v>0</v>
      </c>
      <c r="P68" s="12">
        <f>Table16[[#This Row],[Enrolment S.Y. 2025-2026 ]]*8</f>
        <v>0</v>
      </c>
      <c r="Q68" s="12"/>
      <c r="R68" s="10"/>
      <c r="S68" s="12"/>
      <c r="T68" s="12">
        <f t="shared" si="6"/>
        <v>0</v>
      </c>
      <c r="U68" s="12">
        <f t="shared" si="7"/>
        <v>0</v>
      </c>
      <c r="V68" s="12">
        <f>Table16[[#This Row],[Enrolment S.Y. 2025-2026 ]]*8</f>
        <v>0</v>
      </c>
      <c r="W68" s="12"/>
      <c r="X68" s="10"/>
      <c r="Y68" s="12"/>
      <c r="Z68" s="12">
        <f t="shared" si="8"/>
        <v>0</v>
      </c>
      <c r="AA68" s="12">
        <f t="shared" si="9"/>
        <v>0</v>
      </c>
    </row>
    <row r="69" spans="1:27" ht="19.149999999999999">
      <c r="A69" s="10">
        <v>7</v>
      </c>
      <c r="B69" s="11" t="s">
        <v>17</v>
      </c>
      <c r="C69" s="10"/>
      <c r="D69" s="12">
        <f>Table16[[#This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Table16[[#This Row],[Enrolment S.Y. 2025-2026 ]]*8</f>
        <v>0</v>
      </c>
      <c r="K69" s="12"/>
      <c r="L69" s="10"/>
      <c r="M69" s="12"/>
      <c r="N69" s="12">
        <f t="shared" ref="N69:N132" si="10">IF((J69-K69)&lt;0,0,(J69-K69))</f>
        <v>0</v>
      </c>
      <c r="O69" s="12">
        <f t="shared" ref="O69:O132" si="11">IF((K69-J69)&lt;0,0,(K69-J69))</f>
        <v>0</v>
      </c>
      <c r="P69" s="12">
        <f>Table16[[#This Row],[Enrolment S.Y. 2025-2026 ]]*8</f>
        <v>0</v>
      </c>
      <c r="Q69" s="12"/>
      <c r="R69" s="10"/>
      <c r="S69" s="12"/>
      <c r="T69" s="12">
        <f t="shared" ref="T69:T132" si="12">IF((P69-Q69)&lt;0,0,(P69-Q69))</f>
        <v>0</v>
      </c>
      <c r="U69" s="12">
        <f t="shared" ref="U69:U132" si="13">IF((Q69-P69)&lt;0,0,(Q69-P69))</f>
        <v>0</v>
      </c>
      <c r="V69" s="12">
        <f>Table16[[#This Row],[Enrolment S.Y. 2025-2026 ]]*8</f>
        <v>0</v>
      </c>
      <c r="W69" s="12"/>
      <c r="X69" s="10"/>
      <c r="Y69" s="12"/>
      <c r="Z69" s="12">
        <f t="shared" ref="Z69:Z132" si="14">IF((V69-W69)&lt;0,0,(V69-W69))</f>
        <v>0</v>
      </c>
      <c r="AA69" s="12">
        <f t="shared" ref="AA69:AA132" si="15">IF((W69-V69)&lt;0,0,(W69-V69))</f>
        <v>0</v>
      </c>
    </row>
    <row r="70" spans="1:27" ht="19.149999999999999">
      <c r="A70" s="10">
        <v>7</v>
      </c>
      <c r="B70" s="11" t="s">
        <v>21</v>
      </c>
      <c r="C70" s="10"/>
      <c r="D70" s="12">
        <f>Table16[[#This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Table16[[#This Row],[Enrolment S.Y. 2025-2026 ]]*8</f>
        <v>0</v>
      </c>
      <c r="K70" s="12"/>
      <c r="L70" s="10"/>
      <c r="M70" s="12"/>
      <c r="N70" s="12">
        <f t="shared" si="10"/>
        <v>0</v>
      </c>
      <c r="O70" s="12">
        <f t="shared" si="11"/>
        <v>0</v>
      </c>
      <c r="P70" s="12">
        <f>Table16[[#This Row],[Enrolment S.Y. 2025-2026 ]]*8</f>
        <v>0</v>
      </c>
      <c r="Q70" s="12"/>
      <c r="R70" s="10"/>
      <c r="S70" s="12"/>
      <c r="T70" s="12">
        <f t="shared" si="12"/>
        <v>0</v>
      </c>
      <c r="U70" s="12">
        <f t="shared" si="13"/>
        <v>0</v>
      </c>
      <c r="V70" s="12">
        <f>Table16[[#This Row],[Enrolment S.Y. 2025-2026 ]]*8</f>
        <v>0</v>
      </c>
      <c r="W70" s="12"/>
      <c r="X70" s="10"/>
      <c r="Y70" s="12"/>
      <c r="Z70" s="12">
        <f t="shared" si="14"/>
        <v>0</v>
      </c>
      <c r="AA70" s="12">
        <f t="shared" si="15"/>
        <v>0</v>
      </c>
    </row>
    <row r="71" spans="1:27" ht="19.149999999999999">
      <c r="A71" s="10">
        <v>7</v>
      </c>
      <c r="B71" s="11" t="s">
        <v>19</v>
      </c>
      <c r="C71" s="10"/>
      <c r="D71" s="12">
        <f>Table16[[#This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Table16[[#This Row],[Enrolment S.Y. 2025-2026 ]]*8</f>
        <v>0</v>
      </c>
      <c r="K71" s="12"/>
      <c r="L71" s="10"/>
      <c r="M71" s="12"/>
      <c r="N71" s="12">
        <f t="shared" si="10"/>
        <v>0</v>
      </c>
      <c r="O71" s="12">
        <f t="shared" si="11"/>
        <v>0</v>
      </c>
      <c r="P71" s="12">
        <f>Table16[[#This Row],[Enrolment S.Y. 2025-2026 ]]*8</f>
        <v>0</v>
      </c>
      <c r="Q71" s="12"/>
      <c r="R71" s="10"/>
      <c r="S71" s="12"/>
      <c r="T71" s="12">
        <f t="shared" si="12"/>
        <v>0</v>
      </c>
      <c r="U71" s="12">
        <f t="shared" si="13"/>
        <v>0</v>
      </c>
      <c r="V71" s="12">
        <f>Table16[[#This Row],[Enrolment S.Y. 2025-2026 ]]*8</f>
        <v>0</v>
      </c>
      <c r="W71" s="12"/>
      <c r="X71" s="10"/>
      <c r="Y71" s="12"/>
      <c r="Z71" s="12">
        <f t="shared" si="14"/>
        <v>0</v>
      </c>
      <c r="AA71" s="12">
        <f t="shared" si="15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Table16[[#This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Table16[[#This Row],[Enrolment S.Y. 2025-2026 ]]*8</f>
        <v>0</v>
      </c>
      <c r="K73" s="12"/>
      <c r="L73" s="10"/>
      <c r="M73" s="12"/>
      <c r="N73" s="12">
        <f t="shared" si="10"/>
        <v>0</v>
      </c>
      <c r="O73" s="12">
        <f t="shared" si="11"/>
        <v>0</v>
      </c>
      <c r="P73" s="12">
        <f>Table16[[#This Row],[Enrolment S.Y. 2025-2026 ]]*8</f>
        <v>0</v>
      </c>
      <c r="Q73" s="12"/>
      <c r="R73" s="10"/>
      <c r="S73" s="12"/>
      <c r="T73" s="12">
        <f t="shared" si="12"/>
        <v>0</v>
      </c>
      <c r="U73" s="12">
        <f t="shared" si="13"/>
        <v>0</v>
      </c>
      <c r="V73" s="12">
        <f>Table16[[#This Row],[Enrolment S.Y. 2025-2026 ]]*8</f>
        <v>0</v>
      </c>
      <c r="W73" s="12"/>
      <c r="X73" s="10"/>
      <c r="Y73" s="12"/>
      <c r="Z73" s="12">
        <f t="shared" si="14"/>
        <v>0</v>
      </c>
      <c r="AA73" s="12">
        <f t="shared" si="15"/>
        <v>0</v>
      </c>
    </row>
    <row r="74" spans="1:27" ht="19.149999999999999">
      <c r="A74" s="10">
        <v>8</v>
      </c>
      <c r="B74" s="11" t="s">
        <v>15</v>
      </c>
      <c r="C74" s="10"/>
      <c r="D74" s="12">
        <f>Table16[[#This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Table16[[#This Row],[Enrolment S.Y. 2025-2026 ]]*8</f>
        <v>0</v>
      </c>
      <c r="K74" s="12"/>
      <c r="L74" s="10"/>
      <c r="M74" s="12"/>
      <c r="N74" s="12">
        <f t="shared" si="10"/>
        <v>0</v>
      </c>
      <c r="O74" s="12">
        <f t="shared" si="11"/>
        <v>0</v>
      </c>
      <c r="P74" s="12">
        <f>Table16[[#This Row],[Enrolment S.Y. 2025-2026 ]]*8</f>
        <v>0</v>
      </c>
      <c r="Q74" s="12"/>
      <c r="R74" s="10"/>
      <c r="S74" s="12"/>
      <c r="T74" s="12">
        <f t="shared" si="12"/>
        <v>0</v>
      </c>
      <c r="U74" s="12">
        <f t="shared" si="13"/>
        <v>0</v>
      </c>
      <c r="V74" s="12">
        <f>Table16[[#This Row],[Enrolment S.Y. 2025-2026 ]]*8</f>
        <v>0</v>
      </c>
      <c r="W74" s="12"/>
      <c r="X74" s="10"/>
      <c r="Y74" s="12"/>
      <c r="Z74" s="12">
        <f t="shared" si="14"/>
        <v>0</v>
      </c>
      <c r="AA74" s="12">
        <f t="shared" si="15"/>
        <v>0</v>
      </c>
    </row>
    <row r="75" spans="1:27" ht="19.149999999999999">
      <c r="A75" s="10">
        <v>8</v>
      </c>
      <c r="B75" s="11" t="s">
        <v>12</v>
      </c>
      <c r="C75" s="10"/>
      <c r="D75" s="12">
        <f>Table16[[#This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Table16[[#This Row],[Enrolment S.Y. 2025-2026 ]]*8</f>
        <v>0</v>
      </c>
      <c r="K75" s="12"/>
      <c r="L75" s="10"/>
      <c r="M75" s="12"/>
      <c r="N75" s="12">
        <f t="shared" si="10"/>
        <v>0</v>
      </c>
      <c r="O75" s="12">
        <f t="shared" si="11"/>
        <v>0</v>
      </c>
      <c r="P75" s="12">
        <f>Table16[[#This Row],[Enrolment S.Y. 2025-2026 ]]*8</f>
        <v>0</v>
      </c>
      <c r="Q75" s="12"/>
      <c r="R75" s="10"/>
      <c r="S75" s="12"/>
      <c r="T75" s="12">
        <f t="shared" si="12"/>
        <v>0</v>
      </c>
      <c r="U75" s="12">
        <f t="shared" si="13"/>
        <v>0</v>
      </c>
      <c r="V75" s="12">
        <f>Table16[[#This Row],[Enrolment S.Y. 2025-2026 ]]*8</f>
        <v>0</v>
      </c>
      <c r="W75" s="12"/>
      <c r="X75" s="10"/>
      <c r="Y75" s="12"/>
      <c r="Z75" s="12">
        <f t="shared" si="14"/>
        <v>0</v>
      </c>
      <c r="AA75" s="12">
        <f t="shared" si="15"/>
        <v>0</v>
      </c>
    </row>
    <row r="76" spans="1:27" ht="19.149999999999999">
      <c r="A76" s="10">
        <v>8</v>
      </c>
      <c r="B76" s="11" t="s">
        <v>20</v>
      </c>
      <c r="C76" s="10"/>
      <c r="D76" s="12">
        <f>Table16[[#This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Table16[[#This Row],[Enrolment S.Y. 2025-2026 ]]*8</f>
        <v>0</v>
      </c>
      <c r="K76" s="12"/>
      <c r="L76" s="10"/>
      <c r="M76" s="12"/>
      <c r="N76" s="12">
        <f t="shared" si="10"/>
        <v>0</v>
      </c>
      <c r="O76" s="12">
        <f t="shared" si="11"/>
        <v>0</v>
      </c>
      <c r="P76" s="12">
        <f>Table16[[#This Row],[Enrolment S.Y. 2025-2026 ]]*8</f>
        <v>0</v>
      </c>
      <c r="Q76" s="12"/>
      <c r="R76" s="10"/>
      <c r="S76" s="12"/>
      <c r="T76" s="12">
        <f t="shared" si="12"/>
        <v>0</v>
      </c>
      <c r="U76" s="12">
        <f t="shared" si="13"/>
        <v>0</v>
      </c>
      <c r="V76" s="12">
        <f>Table16[[#This Row],[Enrolment S.Y. 2025-2026 ]]*8</f>
        <v>0</v>
      </c>
      <c r="W76" s="12"/>
      <c r="X76" s="10"/>
      <c r="Y76" s="12"/>
      <c r="Z76" s="12">
        <f t="shared" si="14"/>
        <v>0</v>
      </c>
      <c r="AA76" s="12">
        <f t="shared" si="15"/>
        <v>0</v>
      </c>
    </row>
    <row r="77" spans="1:27" ht="19.149999999999999">
      <c r="A77" s="10">
        <v>8</v>
      </c>
      <c r="B77" s="11" t="s">
        <v>22</v>
      </c>
      <c r="C77" s="10"/>
      <c r="D77" s="12">
        <f>Table16[[#This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Table16[[#This Row],[Enrolment S.Y. 2025-2026 ]]*8</f>
        <v>0</v>
      </c>
      <c r="K77" s="12"/>
      <c r="L77" s="10"/>
      <c r="M77" s="12"/>
      <c r="N77" s="12">
        <f t="shared" si="10"/>
        <v>0</v>
      </c>
      <c r="O77" s="12">
        <f t="shared" si="11"/>
        <v>0</v>
      </c>
      <c r="P77" s="12">
        <f>Table16[[#This Row],[Enrolment S.Y. 2025-2026 ]]*8</f>
        <v>0</v>
      </c>
      <c r="Q77" s="12"/>
      <c r="R77" s="10"/>
      <c r="S77" s="12"/>
      <c r="T77" s="12">
        <f t="shared" si="12"/>
        <v>0</v>
      </c>
      <c r="U77" s="12">
        <f t="shared" si="13"/>
        <v>0</v>
      </c>
      <c r="V77" s="12">
        <f>Table16[[#This Row],[Enrolment S.Y. 2025-2026 ]]*8</f>
        <v>0</v>
      </c>
      <c r="W77" s="12"/>
      <c r="X77" s="10"/>
      <c r="Y77" s="12"/>
      <c r="Z77" s="12">
        <f t="shared" si="14"/>
        <v>0</v>
      </c>
      <c r="AA77" s="12">
        <f t="shared" si="15"/>
        <v>0</v>
      </c>
    </row>
    <row r="78" spans="1:27" ht="19.149999999999999">
      <c r="A78" s="10">
        <v>8</v>
      </c>
      <c r="B78" s="11" t="s">
        <v>13</v>
      </c>
      <c r="C78" s="10"/>
      <c r="D78" s="12">
        <f>Table16[[#This Row],[Enrolment S.Y. 2025-2026 ]]*8</f>
        <v>0</v>
      </c>
      <c r="E78" s="12"/>
      <c r="F78" s="10"/>
      <c r="G78" s="12"/>
      <c r="H78" s="12">
        <f t="shared" ref="H78:H127" si="16">IF((D78-E78)&lt;0,0,(D78-E78))</f>
        <v>0</v>
      </c>
      <c r="I78" s="12">
        <f t="shared" ref="I78:I127" si="17">IF((E78-D78)&lt;0,0,(E78-D78))</f>
        <v>0</v>
      </c>
      <c r="J78" s="12">
        <f>Table16[[#This Row],[Enrolment S.Y. 2025-2026 ]]*8</f>
        <v>0</v>
      </c>
      <c r="K78" s="12"/>
      <c r="L78" s="10"/>
      <c r="M78" s="12"/>
      <c r="N78" s="12">
        <f t="shared" si="10"/>
        <v>0</v>
      </c>
      <c r="O78" s="12">
        <f t="shared" si="11"/>
        <v>0</v>
      </c>
      <c r="P78" s="12">
        <f>Table16[[#This Row],[Enrolment S.Y. 2025-2026 ]]*8</f>
        <v>0</v>
      </c>
      <c r="Q78" s="12"/>
      <c r="R78" s="10"/>
      <c r="S78" s="12"/>
      <c r="T78" s="12">
        <f t="shared" si="12"/>
        <v>0</v>
      </c>
      <c r="U78" s="12">
        <f t="shared" si="13"/>
        <v>0</v>
      </c>
      <c r="V78" s="12">
        <f>Table16[[#This Row],[Enrolment S.Y. 2025-2026 ]]*8</f>
        <v>0</v>
      </c>
      <c r="W78" s="12"/>
      <c r="X78" s="10"/>
      <c r="Y78" s="12"/>
      <c r="Z78" s="12">
        <f t="shared" si="14"/>
        <v>0</v>
      </c>
      <c r="AA78" s="12">
        <f t="shared" si="15"/>
        <v>0</v>
      </c>
    </row>
    <row r="79" spans="1:27" ht="19.149999999999999">
      <c r="A79" s="10">
        <v>8</v>
      </c>
      <c r="B79" s="11" t="s">
        <v>17</v>
      </c>
      <c r="C79" s="10"/>
      <c r="D79" s="12">
        <f>Table16[[#This Row],[Enrolment S.Y. 2025-2026 ]]*8</f>
        <v>0</v>
      </c>
      <c r="E79" s="12"/>
      <c r="F79" s="10"/>
      <c r="G79" s="12"/>
      <c r="H79" s="12">
        <f t="shared" si="16"/>
        <v>0</v>
      </c>
      <c r="I79" s="12">
        <f t="shared" si="17"/>
        <v>0</v>
      </c>
      <c r="J79" s="12">
        <f>Table16[[#This Row],[Enrolment S.Y. 2025-2026 ]]*8</f>
        <v>0</v>
      </c>
      <c r="K79" s="12"/>
      <c r="L79" s="10"/>
      <c r="M79" s="12"/>
      <c r="N79" s="12">
        <f t="shared" si="10"/>
        <v>0</v>
      </c>
      <c r="O79" s="12">
        <f t="shared" si="11"/>
        <v>0</v>
      </c>
      <c r="P79" s="12">
        <f>Table16[[#This Row],[Enrolment S.Y. 2025-2026 ]]*8</f>
        <v>0</v>
      </c>
      <c r="Q79" s="12"/>
      <c r="R79" s="10"/>
      <c r="S79" s="12"/>
      <c r="T79" s="12">
        <f t="shared" si="12"/>
        <v>0</v>
      </c>
      <c r="U79" s="12">
        <f t="shared" si="13"/>
        <v>0</v>
      </c>
      <c r="V79" s="12">
        <f>Table16[[#This Row],[Enrolment S.Y. 2025-2026 ]]*8</f>
        <v>0</v>
      </c>
      <c r="W79" s="12"/>
      <c r="X79" s="10"/>
      <c r="Y79" s="12"/>
      <c r="Z79" s="12">
        <f t="shared" si="14"/>
        <v>0</v>
      </c>
      <c r="AA79" s="12">
        <f t="shared" si="15"/>
        <v>0</v>
      </c>
    </row>
    <row r="80" spans="1:27" ht="19.149999999999999">
      <c r="A80" s="10">
        <v>8</v>
      </c>
      <c r="B80" s="11" t="s">
        <v>21</v>
      </c>
      <c r="C80" s="10"/>
      <c r="D80" s="12">
        <f>Table16[[#This Row],[Enrolment S.Y. 2025-2026 ]]*8</f>
        <v>0</v>
      </c>
      <c r="E80" s="12"/>
      <c r="F80" s="10"/>
      <c r="G80" s="12"/>
      <c r="H80" s="12">
        <f t="shared" si="16"/>
        <v>0</v>
      </c>
      <c r="I80" s="12">
        <f t="shared" si="17"/>
        <v>0</v>
      </c>
      <c r="J80" s="12">
        <f>Table16[[#This Row],[Enrolment S.Y. 2025-2026 ]]*8</f>
        <v>0</v>
      </c>
      <c r="K80" s="12"/>
      <c r="L80" s="10"/>
      <c r="M80" s="12"/>
      <c r="N80" s="12">
        <f t="shared" si="10"/>
        <v>0</v>
      </c>
      <c r="O80" s="12">
        <f t="shared" si="11"/>
        <v>0</v>
      </c>
      <c r="P80" s="12">
        <f>Table16[[#This Row],[Enrolment S.Y. 2025-2026 ]]*8</f>
        <v>0</v>
      </c>
      <c r="Q80" s="12"/>
      <c r="R80" s="10"/>
      <c r="S80" s="12"/>
      <c r="T80" s="12">
        <f t="shared" si="12"/>
        <v>0</v>
      </c>
      <c r="U80" s="12">
        <f t="shared" si="13"/>
        <v>0</v>
      </c>
      <c r="V80" s="12">
        <f>Table16[[#This Row],[Enrolment S.Y. 2025-2026 ]]*8</f>
        <v>0</v>
      </c>
      <c r="W80" s="12"/>
      <c r="X80" s="10"/>
      <c r="Y80" s="12"/>
      <c r="Z80" s="12">
        <f t="shared" si="14"/>
        <v>0</v>
      </c>
      <c r="AA80" s="12">
        <f t="shared" si="15"/>
        <v>0</v>
      </c>
    </row>
    <row r="81" spans="1:27" ht="19.149999999999999">
      <c r="A81" s="10">
        <v>8</v>
      </c>
      <c r="B81" s="11" t="s">
        <v>19</v>
      </c>
      <c r="C81" s="10"/>
      <c r="D81" s="12">
        <f>Table16[[#This Row],[Enrolment S.Y. 2025-2026 ]]*8</f>
        <v>0</v>
      </c>
      <c r="E81" s="12"/>
      <c r="F81" s="10"/>
      <c r="G81" s="12"/>
      <c r="H81" s="12">
        <f t="shared" si="16"/>
        <v>0</v>
      </c>
      <c r="I81" s="12">
        <f t="shared" si="17"/>
        <v>0</v>
      </c>
      <c r="J81" s="12">
        <f>Table16[[#This Row],[Enrolment S.Y. 2025-2026 ]]*8</f>
        <v>0</v>
      </c>
      <c r="K81" s="12"/>
      <c r="L81" s="10"/>
      <c r="M81" s="12"/>
      <c r="N81" s="12">
        <f t="shared" si="10"/>
        <v>0</v>
      </c>
      <c r="O81" s="12">
        <f t="shared" si="11"/>
        <v>0</v>
      </c>
      <c r="P81" s="12">
        <f>Table16[[#This Row],[Enrolment S.Y. 2025-2026 ]]*8</f>
        <v>0</v>
      </c>
      <c r="Q81" s="12"/>
      <c r="R81" s="10"/>
      <c r="S81" s="12"/>
      <c r="T81" s="12">
        <f t="shared" si="12"/>
        <v>0</v>
      </c>
      <c r="U81" s="12">
        <f t="shared" si="13"/>
        <v>0</v>
      </c>
      <c r="V81" s="12">
        <f>Table16[[#This Row],[Enrolment S.Y. 2025-2026 ]]*8</f>
        <v>0</v>
      </c>
      <c r="W81" s="12"/>
      <c r="X81" s="10"/>
      <c r="Y81" s="12"/>
      <c r="Z81" s="12">
        <f t="shared" si="14"/>
        <v>0</v>
      </c>
      <c r="AA81" s="12">
        <f t="shared" si="15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Table16[[#This Row],[Enrolment S.Y. 2025-2026 ]]*8</f>
        <v>0</v>
      </c>
      <c r="E83" s="12"/>
      <c r="F83" s="10"/>
      <c r="G83" s="12"/>
      <c r="H83" s="12">
        <f t="shared" si="16"/>
        <v>0</v>
      </c>
      <c r="I83" s="12">
        <f t="shared" si="17"/>
        <v>0</v>
      </c>
      <c r="J83" s="12">
        <f>Table16[[#This Row],[Enrolment S.Y. 2025-2026 ]]*8</f>
        <v>0</v>
      </c>
      <c r="K83" s="12"/>
      <c r="L83" s="10"/>
      <c r="M83" s="12"/>
      <c r="N83" s="12">
        <f t="shared" si="10"/>
        <v>0</v>
      </c>
      <c r="O83" s="12">
        <f t="shared" si="11"/>
        <v>0</v>
      </c>
      <c r="P83" s="12">
        <f>Table16[[#This Row],[Enrolment S.Y. 2025-2026 ]]*8</f>
        <v>0</v>
      </c>
      <c r="Q83" s="12"/>
      <c r="R83" s="10"/>
      <c r="S83" s="12"/>
      <c r="T83" s="12">
        <f t="shared" si="12"/>
        <v>0</v>
      </c>
      <c r="U83" s="12">
        <f t="shared" si="13"/>
        <v>0</v>
      </c>
      <c r="V83" s="12">
        <f>Table16[[#This Row],[Enrolment S.Y. 2025-2026 ]]*8</f>
        <v>0</v>
      </c>
      <c r="W83" s="12"/>
      <c r="X83" s="10"/>
      <c r="Y83" s="12"/>
      <c r="Z83" s="12">
        <f t="shared" si="14"/>
        <v>0</v>
      </c>
      <c r="AA83" s="12">
        <f t="shared" si="15"/>
        <v>0</v>
      </c>
    </row>
    <row r="84" spans="1:27" ht="19.149999999999999">
      <c r="A84" s="10">
        <v>9</v>
      </c>
      <c r="B84" s="11" t="s">
        <v>15</v>
      </c>
      <c r="C84" s="10"/>
      <c r="D84" s="12">
        <f>Table16[[#This Row],[Enrolment S.Y. 2025-2026 ]]*8</f>
        <v>0</v>
      </c>
      <c r="E84" s="12"/>
      <c r="F84" s="10"/>
      <c r="G84" s="12"/>
      <c r="H84" s="12">
        <f t="shared" si="16"/>
        <v>0</v>
      </c>
      <c r="I84" s="12">
        <f t="shared" si="17"/>
        <v>0</v>
      </c>
      <c r="J84" s="12">
        <f>Table16[[#This Row],[Enrolment S.Y. 2025-2026 ]]*8</f>
        <v>0</v>
      </c>
      <c r="K84" s="12"/>
      <c r="L84" s="10"/>
      <c r="M84" s="12"/>
      <c r="N84" s="12">
        <f t="shared" si="10"/>
        <v>0</v>
      </c>
      <c r="O84" s="12">
        <f t="shared" si="11"/>
        <v>0</v>
      </c>
      <c r="P84" s="12">
        <f>Table16[[#This Row],[Enrolment S.Y. 2025-2026 ]]*8</f>
        <v>0</v>
      </c>
      <c r="Q84" s="12"/>
      <c r="R84" s="10"/>
      <c r="S84" s="12"/>
      <c r="T84" s="12">
        <f t="shared" si="12"/>
        <v>0</v>
      </c>
      <c r="U84" s="12">
        <f t="shared" si="13"/>
        <v>0</v>
      </c>
      <c r="V84" s="12">
        <f>Table16[[#This Row],[Enrolment S.Y. 2025-2026 ]]*8</f>
        <v>0</v>
      </c>
      <c r="W84" s="12"/>
      <c r="X84" s="10"/>
      <c r="Y84" s="12"/>
      <c r="Z84" s="12">
        <f t="shared" si="14"/>
        <v>0</v>
      </c>
      <c r="AA84" s="12">
        <f t="shared" si="15"/>
        <v>0</v>
      </c>
    </row>
    <row r="85" spans="1:27" ht="19.149999999999999">
      <c r="A85" s="10">
        <v>9</v>
      </c>
      <c r="B85" s="11" t="s">
        <v>12</v>
      </c>
      <c r="C85" s="10"/>
      <c r="D85" s="12">
        <f>Table16[[#This Row],[Enrolment S.Y. 2025-2026 ]]*8</f>
        <v>0</v>
      </c>
      <c r="E85" s="12"/>
      <c r="F85" s="10"/>
      <c r="G85" s="12"/>
      <c r="H85" s="12">
        <f t="shared" si="16"/>
        <v>0</v>
      </c>
      <c r="I85" s="12">
        <f t="shared" si="17"/>
        <v>0</v>
      </c>
      <c r="J85" s="12">
        <f>Table16[[#This Row],[Enrolment S.Y. 2025-2026 ]]*8</f>
        <v>0</v>
      </c>
      <c r="K85" s="12"/>
      <c r="L85" s="10"/>
      <c r="M85" s="12"/>
      <c r="N85" s="12">
        <f t="shared" si="10"/>
        <v>0</v>
      </c>
      <c r="O85" s="12">
        <f t="shared" si="11"/>
        <v>0</v>
      </c>
      <c r="P85" s="12">
        <f>Table16[[#This Row],[Enrolment S.Y. 2025-2026 ]]*8</f>
        <v>0</v>
      </c>
      <c r="Q85" s="12"/>
      <c r="R85" s="10"/>
      <c r="S85" s="12"/>
      <c r="T85" s="12">
        <f t="shared" si="12"/>
        <v>0</v>
      </c>
      <c r="U85" s="12">
        <f t="shared" si="13"/>
        <v>0</v>
      </c>
      <c r="V85" s="12">
        <f>Table16[[#This Row],[Enrolment S.Y. 2025-2026 ]]*8</f>
        <v>0</v>
      </c>
      <c r="W85" s="12"/>
      <c r="X85" s="10"/>
      <c r="Y85" s="12"/>
      <c r="Z85" s="12">
        <f t="shared" si="14"/>
        <v>0</v>
      </c>
      <c r="AA85" s="12">
        <f t="shared" si="15"/>
        <v>0</v>
      </c>
    </row>
    <row r="86" spans="1:27" ht="19.149999999999999">
      <c r="A86" s="10">
        <v>9</v>
      </c>
      <c r="B86" s="11" t="s">
        <v>20</v>
      </c>
      <c r="C86" s="10"/>
      <c r="D86" s="12">
        <f>Table16[[#This Row],[Enrolment S.Y. 2025-2026 ]]*8</f>
        <v>0</v>
      </c>
      <c r="E86" s="12"/>
      <c r="F86" s="10"/>
      <c r="G86" s="12"/>
      <c r="H86" s="12">
        <f t="shared" si="16"/>
        <v>0</v>
      </c>
      <c r="I86" s="12">
        <f t="shared" si="17"/>
        <v>0</v>
      </c>
      <c r="J86" s="12">
        <f>Table16[[#This Row],[Enrolment S.Y. 2025-2026 ]]*8</f>
        <v>0</v>
      </c>
      <c r="K86" s="12"/>
      <c r="L86" s="10"/>
      <c r="M86" s="12"/>
      <c r="N86" s="12">
        <f t="shared" si="10"/>
        <v>0</v>
      </c>
      <c r="O86" s="12">
        <f t="shared" si="11"/>
        <v>0</v>
      </c>
      <c r="P86" s="12">
        <f>Table16[[#This Row],[Enrolment S.Y. 2025-2026 ]]*8</f>
        <v>0</v>
      </c>
      <c r="Q86" s="12"/>
      <c r="R86" s="10"/>
      <c r="S86" s="12"/>
      <c r="T86" s="12">
        <f t="shared" si="12"/>
        <v>0</v>
      </c>
      <c r="U86" s="12">
        <f t="shared" si="13"/>
        <v>0</v>
      </c>
      <c r="V86" s="12">
        <f>Table16[[#This Row],[Enrolment S.Y. 2025-2026 ]]*8</f>
        <v>0</v>
      </c>
      <c r="W86" s="12"/>
      <c r="X86" s="10"/>
      <c r="Y86" s="12"/>
      <c r="Z86" s="12">
        <f t="shared" si="14"/>
        <v>0</v>
      </c>
      <c r="AA86" s="12">
        <f t="shared" si="15"/>
        <v>0</v>
      </c>
    </row>
    <row r="87" spans="1:27" ht="19.149999999999999">
      <c r="A87" s="10">
        <v>9</v>
      </c>
      <c r="B87" s="11" t="s">
        <v>22</v>
      </c>
      <c r="C87" s="10"/>
      <c r="D87" s="12">
        <f>Table16[[#This Row],[Enrolment S.Y. 2025-2026 ]]*8</f>
        <v>0</v>
      </c>
      <c r="E87" s="12"/>
      <c r="F87" s="10"/>
      <c r="G87" s="12"/>
      <c r="H87" s="12">
        <f t="shared" si="16"/>
        <v>0</v>
      </c>
      <c r="I87" s="12">
        <f t="shared" si="17"/>
        <v>0</v>
      </c>
      <c r="J87" s="12">
        <f>Table16[[#This Row],[Enrolment S.Y. 2025-2026 ]]*8</f>
        <v>0</v>
      </c>
      <c r="K87" s="12"/>
      <c r="L87" s="10"/>
      <c r="M87" s="12"/>
      <c r="N87" s="12">
        <f t="shared" si="10"/>
        <v>0</v>
      </c>
      <c r="O87" s="12">
        <f t="shared" si="11"/>
        <v>0</v>
      </c>
      <c r="P87" s="12">
        <f>Table16[[#This Row],[Enrolment S.Y. 2025-2026 ]]*8</f>
        <v>0</v>
      </c>
      <c r="Q87" s="12"/>
      <c r="R87" s="10"/>
      <c r="S87" s="12"/>
      <c r="T87" s="12">
        <f t="shared" si="12"/>
        <v>0</v>
      </c>
      <c r="U87" s="12">
        <f t="shared" si="13"/>
        <v>0</v>
      </c>
      <c r="V87" s="12">
        <f>Table16[[#This Row],[Enrolment S.Y. 2025-2026 ]]*8</f>
        <v>0</v>
      </c>
      <c r="W87" s="12"/>
      <c r="X87" s="10"/>
      <c r="Y87" s="12"/>
      <c r="Z87" s="12">
        <f t="shared" si="14"/>
        <v>0</v>
      </c>
      <c r="AA87" s="12">
        <f t="shared" si="15"/>
        <v>0</v>
      </c>
    </row>
    <row r="88" spans="1:27" ht="19.149999999999999">
      <c r="A88" s="10">
        <v>9</v>
      </c>
      <c r="B88" s="11" t="s">
        <v>13</v>
      </c>
      <c r="C88" s="10"/>
      <c r="D88" s="12">
        <f>Table16[[#This Row],[Enrolment S.Y. 2025-2026 ]]*8</f>
        <v>0</v>
      </c>
      <c r="E88" s="12"/>
      <c r="F88" s="10"/>
      <c r="G88" s="12"/>
      <c r="H88" s="12">
        <f t="shared" si="16"/>
        <v>0</v>
      </c>
      <c r="I88" s="12">
        <f t="shared" si="17"/>
        <v>0</v>
      </c>
      <c r="J88" s="12">
        <f>Table16[[#This Row],[Enrolment S.Y. 2025-2026 ]]*8</f>
        <v>0</v>
      </c>
      <c r="K88" s="12"/>
      <c r="L88" s="10"/>
      <c r="M88" s="12"/>
      <c r="N88" s="12">
        <f t="shared" si="10"/>
        <v>0</v>
      </c>
      <c r="O88" s="12">
        <f t="shared" si="11"/>
        <v>0</v>
      </c>
      <c r="P88" s="12">
        <f>Table16[[#This Row],[Enrolment S.Y. 2025-2026 ]]*8</f>
        <v>0</v>
      </c>
      <c r="Q88" s="12"/>
      <c r="R88" s="10"/>
      <c r="S88" s="12"/>
      <c r="T88" s="12">
        <f t="shared" si="12"/>
        <v>0</v>
      </c>
      <c r="U88" s="12">
        <f t="shared" si="13"/>
        <v>0</v>
      </c>
      <c r="V88" s="12">
        <f>Table16[[#This Row],[Enrolment S.Y. 2025-2026 ]]*8</f>
        <v>0</v>
      </c>
      <c r="W88" s="12"/>
      <c r="X88" s="10"/>
      <c r="Y88" s="12"/>
      <c r="Z88" s="12">
        <f t="shared" si="14"/>
        <v>0</v>
      </c>
      <c r="AA88" s="12">
        <f t="shared" si="15"/>
        <v>0</v>
      </c>
    </row>
    <row r="89" spans="1:27" ht="19.149999999999999">
      <c r="A89" s="10">
        <v>9</v>
      </c>
      <c r="B89" s="11" t="s">
        <v>17</v>
      </c>
      <c r="C89" s="10"/>
      <c r="D89" s="12">
        <f>Table16[[#This Row],[Enrolment S.Y. 2025-2026 ]]*8</f>
        <v>0</v>
      </c>
      <c r="E89" s="12"/>
      <c r="F89" s="10"/>
      <c r="G89" s="12"/>
      <c r="H89" s="12">
        <f t="shared" si="16"/>
        <v>0</v>
      </c>
      <c r="I89" s="12">
        <f t="shared" si="17"/>
        <v>0</v>
      </c>
      <c r="J89" s="12">
        <f>Table16[[#This Row],[Enrolment S.Y. 2025-2026 ]]*8</f>
        <v>0</v>
      </c>
      <c r="K89" s="12"/>
      <c r="L89" s="10"/>
      <c r="M89" s="12"/>
      <c r="N89" s="12">
        <f t="shared" si="10"/>
        <v>0</v>
      </c>
      <c r="O89" s="12">
        <f t="shared" si="11"/>
        <v>0</v>
      </c>
      <c r="P89" s="12">
        <f>Table16[[#This Row],[Enrolment S.Y. 2025-2026 ]]*8</f>
        <v>0</v>
      </c>
      <c r="Q89" s="12"/>
      <c r="R89" s="10"/>
      <c r="S89" s="12"/>
      <c r="T89" s="12">
        <f t="shared" si="12"/>
        <v>0</v>
      </c>
      <c r="U89" s="12">
        <f t="shared" si="13"/>
        <v>0</v>
      </c>
      <c r="V89" s="12">
        <f>Table16[[#This Row],[Enrolment S.Y. 2025-2026 ]]*8</f>
        <v>0</v>
      </c>
      <c r="W89" s="12"/>
      <c r="X89" s="10"/>
      <c r="Y89" s="12"/>
      <c r="Z89" s="12">
        <f t="shared" si="14"/>
        <v>0</v>
      </c>
      <c r="AA89" s="12">
        <f t="shared" si="15"/>
        <v>0</v>
      </c>
    </row>
    <row r="90" spans="1:27" ht="19.149999999999999">
      <c r="A90" s="10">
        <v>9</v>
      </c>
      <c r="B90" s="11" t="s">
        <v>21</v>
      </c>
      <c r="C90" s="10"/>
      <c r="D90" s="12">
        <f>Table16[[#This Row],[Enrolment S.Y. 2025-2026 ]]*8</f>
        <v>0</v>
      </c>
      <c r="E90" s="12"/>
      <c r="F90" s="10"/>
      <c r="G90" s="12"/>
      <c r="H90" s="12">
        <f t="shared" si="16"/>
        <v>0</v>
      </c>
      <c r="I90" s="12">
        <f t="shared" si="17"/>
        <v>0</v>
      </c>
      <c r="J90" s="12">
        <f>Table16[[#This Row],[Enrolment S.Y. 2025-2026 ]]*8</f>
        <v>0</v>
      </c>
      <c r="K90" s="12"/>
      <c r="L90" s="10"/>
      <c r="M90" s="12"/>
      <c r="N90" s="12">
        <f t="shared" si="10"/>
        <v>0</v>
      </c>
      <c r="O90" s="12">
        <f t="shared" si="11"/>
        <v>0</v>
      </c>
      <c r="P90" s="12">
        <f>Table16[[#This Row],[Enrolment S.Y. 2025-2026 ]]*8</f>
        <v>0</v>
      </c>
      <c r="Q90" s="12"/>
      <c r="R90" s="10"/>
      <c r="S90" s="12"/>
      <c r="T90" s="12">
        <f t="shared" si="12"/>
        <v>0</v>
      </c>
      <c r="U90" s="12">
        <f t="shared" si="13"/>
        <v>0</v>
      </c>
      <c r="V90" s="12">
        <f>Table16[[#This Row],[Enrolment S.Y. 2025-2026 ]]*8</f>
        <v>0</v>
      </c>
      <c r="W90" s="12"/>
      <c r="X90" s="10"/>
      <c r="Y90" s="12"/>
      <c r="Z90" s="12">
        <f t="shared" si="14"/>
        <v>0</v>
      </c>
      <c r="AA90" s="12">
        <f t="shared" si="15"/>
        <v>0</v>
      </c>
    </row>
    <row r="91" spans="1:27" ht="19.149999999999999">
      <c r="A91" s="10">
        <v>9</v>
      </c>
      <c r="B91" s="11" t="s">
        <v>19</v>
      </c>
      <c r="C91" s="10"/>
      <c r="D91" s="12">
        <f>Table16[[#This Row],[Enrolment S.Y. 2025-2026 ]]*8</f>
        <v>0</v>
      </c>
      <c r="E91" s="12"/>
      <c r="F91" s="10"/>
      <c r="G91" s="12"/>
      <c r="H91" s="12">
        <f t="shared" si="16"/>
        <v>0</v>
      </c>
      <c r="I91" s="12">
        <f t="shared" si="17"/>
        <v>0</v>
      </c>
      <c r="J91" s="12">
        <f>Table16[[#This Row],[Enrolment S.Y. 2025-2026 ]]*8</f>
        <v>0</v>
      </c>
      <c r="K91" s="12"/>
      <c r="L91" s="10"/>
      <c r="M91" s="12"/>
      <c r="N91" s="12">
        <f t="shared" si="10"/>
        <v>0</v>
      </c>
      <c r="O91" s="12">
        <f t="shared" si="11"/>
        <v>0</v>
      </c>
      <c r="P91" s="12">
        <f>Table16[[#This Row],[Enrolment S.Y. 2025-2026 ]]*8</f>
        <v>0</v>
      </c>
      <c r="Q91" s="12"/>
      <c r="R91" s="10"/>
      <c r="S91" s="12"/>
      <c r="T91" s="12">
        <f t="shared" si="12"/>
        <v>0</v>
      </c>
      <c r="U91" s="12">
        <f t="shared" si="13"/>
        <v>0</v>
      </c>
      <c r="V91" s="12">
        <f>Table16[[#This Row],[Enrolment S.Y. 2025-2026 ]]*8</f>
        <v>0</v>
      </c>
      <c r="W91" s="12"/>
      <c r="X91" s="10"/>
      <c r="Y91" s="12"/>
      <c r="Z91" s="12">
        <f t="shared" si="14"/>
        <v>0</v>
      </c>
      <c r="AA91" s="12">
        <f t="shared" si="15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Table16[[#This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Table16[[#This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Table16[[#This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Table16[[#This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Table16[[#This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Table16[[#This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Table16[[#This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Table16[[#This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Table16[[#This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Table16[[#This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Table16[[#This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Table16[[#This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Table16[[#This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Table16[[#This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Table16[[#This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Table16[[#This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Table16[[#This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Table16[[#This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Table16[[#This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Table16[[#This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Table16[[#This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Table16[[#This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Table16[[#This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Table16[[#This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Table16[[#This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Table16[[#This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Table16[[#This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Table16[[#This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Table16[[#This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Table16[[#This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Table16[[#This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Table16[[#This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Table16[[#This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Table16[[#This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Table16[[#This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Table16[[#This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Table16[[#This Row],[Enrolment S.Y. 2025-2026 ]]*8</f>
        <v>0</v>
      </c>
      <c r="E103" s="5"/>
      <c r="F103" s="1"/>
      <c r="G103" s="5"/>
      <c r="H103" s="5">
        <f t="shared" si="16"/>
        <v>0</v>
      </c>
      <c r="I103" s="5">
        <f t="shared" si="17"/>
        <v>0</v>
      </c>
      <c r="J103" s="5">
        <f>Table16[[#This Row],[Enrolment S.Y. 2025-2026 ]]*8</f>
        <v>0</v>
      </c>
      <c r="K103" s="5"/>
      <c r="L103" s="1"/>
      <c r="M103" s="5"/>
      <c r="N103" s="5">
        <f t="shared" si="10"/>
        <v>0</v>
      </c>
      <c r="O103" s="5">
        <f t="shared" si="11"/>
        <v>0</v>
      </c>
      <c r="P103" s="5">
        <f>Table16[[#This Row],[Enrolment S.Y. 2025-2026 ]]*8</f>
        <v>0</v>
      </c>
      <c r="Q103" s="5"/>
      <c r="R103" s="1"/>
      <c r="S103" s="5"/>
      <c r="T103" s="5">
        <f t="shared" si="12"/>
        <v>0</v>
      </c>
      <c r="U103" s="5">
        <f t="shared" si="13"/>
        <v>0</v>
      </c>
      <c r="V103" s="5">
        <f>Table16[[#This Row],[Enrolment S.Y. 2025-2026 ]]*8</f>
        <v>0</v>
      </c>
      <c r="W103" s="5"/>
      <c r="X103" s="1"/>
      <c r="Y103" s="5"/>
      <c r="Z103" s="5">
        <f t="shared" si="14"/>
        <v>0</v>
      </c>
      <c r="AA103" s="5">
        <f t="shared" si="15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Table16[[#This Row],[Enrolment S.Y. 2025-2026 ]]*8</f>
        <v>0</v>
      </c>
      <c r="E104" s="5"/>
      <c r="F104" s="1"/>
      <c r="G104" s="5"/>
      <c r="H104" s="5">
        <f t="shared" si="16"/>
        <v>0</v>
      </c>
      <c r="I104" s="5">
        <f t="shared" si="17"/>
        <v>0</v>
      </c>
      <c r="J104" s="5">
        <f>Table16[[#This Row],[Enrolment S.Y. 2025-2026 ]]*8</f>
        <v>0</v>
      </c>
      <c r="K104" s="5"/>
      <c r="L104" s="1"/>
      <c r="M104" s="5"/>
      <c r="N104" s="5">
        <f t="shared" si="10"/>
        <v>0</v>
      </c>
      <c r="O104" s="5">
        <f t="shared" si="11"/>
        <v>0</v>
      </c>
      <c r="P104" s="5">
        <f>Table16[[#This Row],[Enrolment S.Y. 2025-2026 ]]*8</f>
        <v>0</v>
      </c>
      <c r="Q104" s="5"/>
      <c r="R104" s="1"/>
      <c r="S104" s="5"/>
      <c r="T104" s="5">
        <f t="shared" si="12"/>
        <v>0</v>
      </c>
      <c r="U104" s="5">
        <f t="shared" si="13"/>
        <v>0</v>
      </c>
      <c r="V104" s="5">
        <f>Table16[[#This Row],[Enrolment S.Y. 2025-2026 ]]*8</f>
        <v>0</v>
      </c>
      <c r="W104" s="5"/>
      <c r="X104" s="1"/>
      <c r="Y104" s="5"/>
      <c r="Z104" s="5">
        <f t="shared" si="14"/>
        <v>0</v>
      </c>
      <c r="AA104" s="5">
        <f t="shared" si="15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Table16[[#This Row],[Enrolment S.Y. 2025-2026 ]]*8</f>
        <v>0</v>
      </c>
      <c r="E105" s="5"/>
      <c r="F105" s="1"/>
      <c r="G105" s="5"/>
      <c r="H105" s="5">
        <f t="shared" si="16"/>
        <v>0</v>
      </c>
      <c r="I105" s="5">
        <f t="shared" si="17"/>
        <v>0</v>
      </c>
      <c r="J105" s="5">
        <f>Table16[[#This Row],[Enrolment S.Y. 2025-2026 ]]*8</f>
        <v>0</v>
      </c>
      <c r="K105" s="5"/>
      <c r="L105" s="1"/>
      <c r="M105" s="5"/>
      <c r="N105" s="5">
        <f t="shared" si="10"/>
        <v>0</v>
      </c>
      <c r="O105" s="5">
        <f t="shared" si="11"/>
        <v>0</v>
      </c>
      <c r="P105" s="5">
        <f>Table16[[#This Row],[Enrolment S.Y. 2025-2026 ]]*8</f>
        <v>0</v>
      </c>
      <c r="Q105" s="5"/>
      <c r="R105" s="1"/>
      <c r="S105" s="5"/>
      <c r="T105" s="5">
        <f t="shared" si="12"/>
        <v>0</v>
      </c>
      <c r="U105" s="5">
        <f t="shared" si="13"/>
        <v>0</v>
      </c>
      <c r="V105" s="5">
        <f>Table16[[#This Row],[Enrolment S.Y. 2025-2026 ]]*8</f>
        <v>0</v>
      </c>
      <c r="W105" s="5"/>
      <c r="X105" s="1"/>
      <c r="Y105" s="5"/>
      <c r="Z105" s="5">
        <f t="shared" si="14"/>
        <v>0</v>
      </c>
      <c r="AA105" s="5">
        <f t="shared" si="15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Table16[[#This Row],[Enrolment S.Y. 2025-2026 ]]*8</f>
        <v>0</v>
      </c>
      <c r="E106" s="5"/>
      <c r="F106" s="1"/>
      <c r="G106" s="5"/>
      <c r="H106" s="5">
        <f t="shared" si="16"/>
        <v>0</v>
      </c>
      <c r="I106" s="5">
        <f t="shared" si="17"/>
        <v>0</v>
      </c>
      <c r="J106" s="5">
        <f>Table16[[#This Row],[Enrolment S.Y. 2025-2026 ]]*8</f>
        <v>0</v>
      </c>
      <c r="K106" s="5"/>
      <c r="L106" s="1"/>
      <c r="M106" s="5"/>
      <c r="N106" s="5">
        <f t="shared" si="10"/>
        <v>0</v>
      </c>
      <c r="O106" s="5">
        <f t="shared" si="11"/>
        <v>0</v>
      </c>
      <c r="P106" s="5">
        <f>Table16[[#This Row],[Enrolment S.Y. 2025-2026 ]]*8</f>
        <v>0</v>
      </c>
      <c r="Q106" s="5"/>
      <c r="R106" s="1"/>
      <c r="S106" s="5"/>
      <c r="T106" s="5">
        <f t="shared" si="12"/>
        <v>0</v>
      </c>
      <c r="U106" s="5">
        <f t="shared" si="13"/>
        <v>0</v>
      </c>
      <c r="V106" s="5">
        <f>Table16[[#This Row],[Enrolment S.Y. 2025-2026 ]]*8</f>
        <v>0</v>
      </c>
      <c r="W106" s="5"/>
      <c r="X106" s="1"/>
      <c r="Y106" s="5"/>
      <c r="Z106" s="5">
        <f t="shared" si="14"/>
        <v>0</v>
      </c>
      <c r="AA106" s="5">
        <f t="shared" si="15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Table16[[#This Row],[Enrolment S.Y. 2025-2026 ]]*8</f>
        <v>0</v>
      </c>
      <c r="E107" s="5"/>
      <c r="F107" s="1"/>
      <c r="G107" s="5"/>
      <c r="H107" s="5">
        <f t="shared" si="16"/>
        <v>0</v>
      </c>
      <c r="I107" s="5">
        <f t="shared" si="17"/>
        <v>0</v>
      </c>
      <c r="J107" s="5">
        <f>Table16[[#This Row],[Enrolment S.Y. 2025-2026 ]]*8</f>
        <v>0</v>
      </c>
      <c r="K107" s="5"/>
      <c r="L107" s="1"/>
      <c r="M107" s="5"/>
      <c r="N107" s="5">
        <f t="shared" si="10"/>
        <v>0</v>
      </c>
      <c r="O107" s="5">
        <f t="shared" si="11"/>
        <v>0</v>
      </c>
      <c r="P107" s="5">
        <f>Table16[[#This Row],[Enrolment S.Y. 2025-2026 ]]*8</f>
        <v>0</v>
      </c>
      <c r="Q107" s="5"/>
      <c r="R107" s="1"/>
      <c r="S107" s="5"/>
      <c r="T107" s="5">
        <f t="shared" si="12"/>
        <v>0</v>
      </c>
      <c r="U107" s="5">
        <f t="shared" si="13"/>
        <v>0</v>
      </c>
      <c r="V107" s="5">
        <f>Table16[[#This Row],[Enrolment S.Y. 2025-2026 ]]*8</f>
        <v>0</v>
      </c>
      <c r="W107" s="5"/>
      <c r="X107" s="1"/>
      <c r="Y107" s="5"/>
      <c r="Z107" s="5">
        <f t="shared" si="14"/>
        <v>0</v>
      </c>
      <c r="AA107" s="5">
        <f t="shared" si="15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Table16[[#This Row],[Enrolment S.Y. 2025-2026 ]]*8</f>
        <v>0</v>
      </c>
      <c r="E108" s="5"/>
      <c r="F108" s="1"/>
      <c r="G108" s="5"/>
      <c r="H108" s="5">
        <f t="shared" si="16"/>
        <v>0</v>
      </c>
      <c r="I108" s="5">
        <f t="shared" si="17"/>
        <v>0</v>
      </c>
      <c r="J108" s="5">
        <f>Table16[[#This Row],[Enrolment S.Y. 2025-2026 ]]*8</f>
        <v>0</v>
      </c>
      <c r="K108" s="5"/>
      <c r="L108" s="1"/>
      <c r="M108" s="5"/>
      <c r="N108" s="5">
        <f t="shared" si="10"/>
        <v>0</v>
      </c>
      <c r="O108" s="5">
        <f t="shared" si="11"/>
        <v>0</v>
      </c>
      <c r="P108" s="5">
        <f>Table16[[#This Row],[Enrolment S.Y. 2025-2026 ]]*8</f>
        <v>0</v>
      </c>
      <c r="Q108" s="5"/>
      <c r="R108" s="1"/>
      <c r="S108" s="5"/>
      <c r="T108" s="5">
        <f t="shared" si="12"/>
        <v>0</v>
      </c>
      <c r="U108" s="5">
        <f t="shared" si="13"/>
        <v>0</v>
      </c>
      <c r="V108" s="5">
        <f>Table16[[#This Row],[Enrolment S.Y. 2025-2026 ]]*8</f>
        <v>0</v>
      </c>
      <c r="W108" s="5"/>
      <c r="X108" s="1"/>
      <c r="Y108" s="5"/>
      <c r="Z108" s="5">
        <f t="shared" si="14"/>
        <v>0</v>
      </c>
      <c r="AA108" s="5">
        <f t="shared" si="15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Table16[[#This Row],[Enrolment S.Y. 2025-2026 ]]*8</f>
        <v>0</v>
      </c>
      <c r="E109" s="5"/>
      <c r="F109" s="1"/>
      <c r="G109" s="5"/>
      <c r="H109" s="5">
        <f t="shared" si="16"/>
        <v>0</v>
      </c>
      <c r="I109" s="5">
        <f t="shared" si="17"/>
        <v>0</v>
      </c>
      <c r="J109" s="5">
        <f>Table16[[#This Row],[Enrolment S.Y. 2025-2026 ]]*8</f>
        <v>0</v>
      </c>
      <c r="K109" s="5"/>
      <c r="L109" s="1"/>
      <c r="M109" s="5"/>
      <c r="N109" s="5">
        <f t="shared" si="10"/>
        <v>0</v>
      </c>
      <c r="O109" s="5">
        <f t="shared" si="11"/>
        <v>0</v>
      </c>
      <c r="P109" s="5">
        <f>Table16[[#This Row],[Enrolment S.Y. 2025-2026 ]]*8</f>
        <v>0</v>
      </c>
      <c r="Q109" s="5"/>
      <c r="R109" s="1"/>
      <c r="S109" s="5"/>
      <c r="T109" s="5">
        <f t="shared" si="12"/>
        <v>0</v>
      </c>
      <c r="U109" s="5">
        <f t="shared" si="13"/>
        <v>0</v>
      </c>
      <c r="V109" s="5">
        <f>Table16[[#This Row],[Enrolment S.Y. 2025-2026 ]]*8</f>
        <v>0</v>
      </c>
      <c r="W109" s="5"/>
      <c r="X109" s="1"/>
      <c r="Y109" s="5"/>
      <c r="Z109" s="5">
        <f t="shared" si="14"/>
        <v>0</v>
      </c>
      <c r="AA109" s="5">
        <f t="shared" si="15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Table16[[#This Row],[Enrolment S.Y. 2025-2026 ]]*8</f>
        <v>0</v>
      </c>
      <c r="E110" s="5"/>
      <c r="F110" s="1"/>
      <c r="G110" s="5"/>
      <c r="H110" s="5">
        <f t="shared" si="16"/>
        <v>0</v>
      </c>
      <c r="I110" s="5">
        <f t="shared" si="17"/>
        <v>0</v>
      </c>
      <c r="J110" s="5">
        <f>Table16[[#This Row],[Enrolment S.Y. 2025-2026 ]]*8</f>
        <v>0</v>
      </c>
      <c r="K110" s="5"/>
      <c r="L110" s="1"/>
      <c r="M110" s="5"/>
      <c r="N110" s="5">
        <f t="shared" si="10"/>
        <v>0</v>
      </c>
      <c r="O110" s="5">
        <f t="shared" si="11"/>
        <v>0</v>
      </c>
      <c r="P110" s="5">
        <f>Table16[[#This Row],[Enrolment S.Y. 2025-2026 ]]*8</f>
        <v>0</v>
      </c>
      <c r="Q110" s="5"/>
      <c r="R110" s="1"/>
      <c r="S110" s="5"/>
      <c r="T110" s="5">
        <f t="shared" si="12"/>
        <v>0</v>
      </c>
      <c r="U110" s="5">
        <f t="shared" si="13"/>
        <v>0</v>
      </c>
      <c r="V110" s="5">
        <f>Table16[[#This Row],[Enrolment S.Y. 2025-2026 ]]*8</f>
        <v>0</v>
      </c>
      <c r="W110" s="5"/>
      <c r="X110" s="1"/>
      <c r="Y110" s="5"/>
      <c r="Z110" s="5">
        <f t="shared" si="14"/>
        <v>0</v>
      </c>
      <c r="AA110" s="5">
        <f t="shared" si="15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16"/>
        <v>0</v>
      </c>
      <c r="I112" s="5">
        <f t="shared" si="17"/>
        <v>0</v>
      </c>
      <c r="J112" s="5">
        <f>Table16[[#This Row],[Enrolment S.Y. 2025-2026 ]]*8</f>
        <v>0</v>
      </c>
      <c r="K112" s="5"/>
      <c r="L112" s="1"/>
      <c r="M112" s="5"/>
      <c r="N112" s="5">
        <f t="shared" si="10"/>
        <v>0</v>
      </c>
      <c r="O112" s="5">
        <f t="shared" si="11"/>
        <v>0</v>
      </c>
      <c r="P112" s="5">
        <f>Table16[[#This Row],[Enrolment S.Y. 2025-2026 ]]*8</f>
        <v>0</v>
      </c>
      <c r="Q112" s="5"/>
      <c r="R112" s="1"/>
      <c r="S112" s="5"/>
      <c r="T112" s="5">
        <f t="shared" si="12"/>
        <v>0</v>
      </c>
      <c r="U112" s="5">
        <f t="shared" si="13"/>
        <v>0</v>
      </c>
      <c r="V112" s="5">
        <f>Table16[[#This Row],[Enrolment S.Y. 2025-2026 ]]*8</f>
        <v>0</v>
      </c>
      <c r="W112" s="5"/>
      <c r="X112" s="1"/>
      <c r="Y112" s="5"/>
      <c r="Z112" s="5">
        <f t="shared" si="14"/>
        <v>0</v>
      </c>
      <c r="AA112" s="5">
        <f t="shared" si="15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16"/>
        <v>0</v>
      </c>
      <c r="I113" s="5">
        <f t="shared" si="17"/>
        <v>0</v>
      </c>
      <c r="J113" s="5">
        <f>Table16[[#This Row],[Enrolment S.Y. 2025-2026 ]]*8</f>
        <v>0</v>
      </c>
      <c r="K113" s="5"/>
      <c r="L113" s="1"/>
      <c r="M113" s="5"/>
      <c r="N113" s="5">
        <f t="shared" si="10"/>
        <v>0</v>
      </c>
      <c r="O113" s="5">
        <f t="shared" si="11"/>
        <v>0</v>
      </c>
      <c r="P113" s="5">
        <f>Table16[[#This Row],[Enrolment S.Y. 2025-2026 ]]*8</f>
        <v>0</v>
      </c>
      <c r="Q113" s="5"/>
      <c r="R113" s="1"/>
      <c r="S113" s="5"/>
      <c r="T113" s="5">
        <f t="shared" si="12"/>
        <v>0</v>
      </c>
      <c r="U113" s="5">
        <f t="shared" si="13"/>
        <v>0</v>
      </c>
      <c r="V113" s="5">
        <f>Table16[[#This Row],[Enrolment S.Y. 2025-2026 ]]*8</f>
        <v>0</v>
      </c>
      <c r="W113" s="5"/>
      <c r="X113" s="1"/>
      <c r="Y113" s="5"/>
      <c r="Z113" s="5">
        <f t="shared" si="14"/>
        <v>0</v>
      </c>
      <c r="AA113" s="5">
        <f t="shared" si="15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16"/>
        <v>0</v>
      </c>
      <c r="I114" s="5">
        <f t="shared" si="17"/>
        <v>0</v>
      </c>
      <c r="J114" s="5">
        <f>Table16[[#This Row],[Enrolment S.Y. 2025-2026 ]]*8</f>
        <v>0</v>
      </c>
      <c r="K114" s="5"/>
      <c r="L114" s="1"/>
      <c r="M114" s="5"/>
      <c r="N114" s="5">
        <f t="shared" si="10"/>
        <v>0</v>
      </c>
      <c r="O114" s="5">
        <f t="shared" si="11"/>
        <v>0</v>
      </c>
      <c r="P114" s="5">
        <f>Table16[[#This Row],[Enrolment S.Y. 2025-2026 ]]*8</f>
        <v>0</v>
      </c>
      <c r="Q114" s="5"/>
      <c r="R114" s="1"/>
      <c r="S114" s="5"/>
      <c r="T114" s="5">
        <f t="shared" si="12"/>
        <v>0</v>
      </c>
      <c r="U114" s="5">
        <f t="shared" si="13"/>
        <v>0</v>
      </c>
      <c r="V114" s="5">
        <f>Table16[[#This Row],[Enrolment S.Y. 2025-2026 ]]*8</f>
        <v>0</v>
      </c>
      <c r="W114" s="5"/>
      <c r="X114" s="1"/>
      <c r="Y114" s="5"/>
      <c r="Z114" s="5">
        <f t="shared" si="14"/>
        <v>0</v>
      </c>
      <c r="AA114" s="5">
        <f t="shared" si="15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16"/>
        <v>0</v>
      </c>
      <c r="I115" s="5">
        <f t="shared" si="17"/>
        <v>0</v>
      </c>
      <c r="J115" s="5">
        <f>Table16[[#This Row],[Enrolment S.Y. 2025-2026 ]]*8</f>
        <v>0</v>
      </c>
      <c r="K115" s="5"/>
      <c r="L115" s="1"/>
      <c r="M115" s="5"/>
      <c r="N115" s="5">
        <f t="shared" si="10"/>
        <v>0</v>
      </c>
      <c r="O115" s="5">
        <f t="shared" si="11"/>
        <v>0</v>
      </c>
      <c r="P115" s="5">
        <f>Table16[[#This Row],[Enrolment S.Y. 2025-2026 ]]*8</f>
        <v>0</v>
      </c>
      <c r="Q115" s="5"/>
      <c r="R115" s="1"/>
      <c r="S115" s="5"/>
      <c r="T115" s="5">
        <f t="shared" si="12"/>
        <v>0</v>
      </c>
      <c r="U115" s="5">
        <f t="shared" si="13"/>
        <v>0</v>
      </c>
      <c r="V115" s="5">
        <f>Table16[[#This Row],[Enrolment S.Y. 2025-2026 ]]*8</f>
        <v>0</v>
      </c>
      <c r="W115" s="5"/>
      <c r="X115" s="1"/>
      <c r="Y115" s="5"/>
      <c r="Z115" s="5">
        <f t="shared" si="14"/>
        <v>0</v>
      </c>
      <c r="AA115" s="5">
        <f t="shared" si="15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16"/>
        <v>0</v>
      </c>
      <c r="I116" s="5">
        <f t="shared" si="17"/>
        <v>0</v>
      </c>
      <c r="J116" s="5">
        <f>Table16[[#This Row],[Enrolment S.Y. 2025-2026 ]]*8</f>
        <v>0</v>
      </c>
      <c r="K116" s="5"/>
      <c r="L116" s="1"/>
      <c r="M116" s="5"/>
      <c r="N116" s="5">
        <f t="shared" si="10"/>
        <v>0</v>
      </c>
      <c r="O116" s="5">
        <f t="shared" si="11"/>
        <v>0</v>
      </c>
      <c r="P116" s="5">
        <f>Table16[[#This Row],[Enrolment S.Y. 2025-2026 ]]*8</f>
        <v>0</v>
      </c>
      <c r="Q116" s="5"/>
      <c r="R116" s="1"/>
      <c r="S116" s="5"/>
      <c r="T116" s="5">
        <f t="shared" si="12"/>
        <v>0</v>
      </c>
      <c r="U116" s="5">
        <f t="shared" si="13"/>
        <v>0</v>
      </c>
      <c r="V116" s="5">
        <f>Table16[[#This Row],[Enrolment S.Y. 2025-2026 ]]*8</f>
        <v>0</v>
      </c>
      <c r="W116" s="5"/>
      <c r="X116" s="1"/>
      <c r="Y116" s="5"/>
      <c r="Z116" s="5">
        <f t="shared" si="14"/>
        <v>0</v>
      </c>
      <c r="AA116" s="5">
        <f t="shared" si="15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16"/>
        <v>0</v>
      </c>
      <c r="I117" s="5">
        <f t="shared" si="17"/>
        <v>0</v>
      </c>
      <c r="J117" s="5">
        <f>Table16[[#This Row],[Enrolment S.Y. 2025-2026 ]]*8</f>
        <v>0</v>
      </c>
      <c r="K117" s="5"/>
      <c r="L117" s="1"/>
      <c r="M117" s="5"/>
      <c r="N117" s="5">
        <f t="shared" si="10"/>
        <v>0</v>
      </c>
      <c r="O117" s="5">
        <f t="shared" si="11"/>
        <v>0</v>
      </c>
      <c r="P117" s="5">
        <f>Table16[[#This Row],[Enrolment S.Y. 2025-2026 ]]*8</f>
        <v>0</v>
      </c>
      <c r="Q117" s="5"/>
      <c r="R117" s="1"/>
      <c r="S117" s="5"/>
      <c r="T117" s="5">
        <f t="shared" si="12"/>
        <v>0</v>
      </c>
      <c r="U117" s="5">
        <f t="shared" si="13"/>
        <v>0</v>
      </c>
      <c r="V117" s="5">
        <f>Table16[[#This Row],[Enrolment S.Y. 2025-2026 ]]*8</f>
        <v>0</v>
      </c>
      <c r="W117" s="5"/>
      <c r="X117" s="1"/>
      <c r="Y117" s="5"/>
      <c r="Z117" s="5">
        <f t="shared" si="14"/>
        <v>0</v>
      </c>
      <c r="AA117" s="5">
        <f t="shared" si="15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16"/>
        <v>0</v>
      </c>
      <c r="I118" s="5">
        <f t="shared" si="17"/>
        <v>0</v>
      </c>
      <c r="J118" s="5">
        <f>Table16[[#This Row],[Enrolment S.Y. 2025-2026 ]]*8</f>
        <v>0</v>
      </c>
      <c r="K118" s="5"/>
      <c r="L118" s="1"/>
      <c r="M118" s="5"/>
      <c r="N118" s="5">
        <f t="shared" si="10"/>
        <v>0</v>
      </c>
      <c r="O118" s="5">
        <f t="shared" si="11"/>
        <v>0</v>
      </c>
      <c r="P118" s="5">
        <f>Table16[[#This Row],[Enrolment S.Y. 2025-2026 ]]*8</f>
        <v>0</v>
      </c>
      <c r="Q118" s="5"/>
      <c r="R118" s="1"/>
      <c r="S118" s="5"/>
      <c r="T118" s="5">
        <f t="shared" si="12"/>
        <v>0</v>
      </c>
      <c r="U118" s="5">
        <f t="shared" si="13"/>
        <v>0</v>
      </c>
      <c r="V118" s="5">
        <f>Table16[[#This Row],[Enrolment S.Y. 2025-2026 ]]*8</f>
        <v>0</v>
      </c>
      <c r="W118" s="5"/>
      <c r="X118" s="1"/>
      <c r="Y118" s="5"/>
      <c r="Z118" s="5">
        <f t="shared" si="14"/>
        <v>0</v>
      </c>
      <c r="AA118" s="5">
        <f t="shared" si="15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16"/>
        <v>0</v>
      </c>
      <c r="I119" s="5">
        <f t="shared" si="17"/>
        <v>0</v>
      </c>
      <c r="J119" s="5">
        <f>Table16[[#This Row],[Enrolment S.Y. 2025-2026 ]]*8</f>
        <v>0</v>
      </c>
      <c r="K119" s="5"/>
      <c r="L119" s="1"/>
      <c r="M119" s="5"/>
      <c r="N119" s="5">
        <f t="shared" si="10"/>
        <v>0</v>
      </c>
      <c r="O119" s="5">
        <f t="shared" si="11"/>
        <v>0</v>
      </c>
      <c r="P119" s="5">
        <f>Table16[[#This Row],[Enrolment S.Y. 2025-2026 ]]*8</f>
        <v>0</v>
      </c>
      <c r="Q119" s="5"/>
      <c r="R119" s="1"/>
      <c r="S119" s="5"/>
      <c r="T119" s="5">
        <f t="shared" si="12"/>
        <v>0</v>
      </c>
      <c r="U119" s="5">
        <f t="shared" si="13"/>
        <v>0</v>
      </c>
      <c r="V119" s="5">
        <f>Table16[[#This Row],[Enrolment S.Y. 2025-2026 ]]*8</f>
        <v>0</v>
      </c>
      <c r="W119" s="5"/>
      <c r="X119" s="1"/>
      <c r="Y119" s="5"/>
      <c r="Z119" s="5">
        <f t="shared" si="14"/>
        <v>0</v>
      </c>
      <c r="AA119" s="5">
        <f t="shared" si="15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16"/>
        <v>0</v>
      </c>
      <c r="I120" s="5">
        <f t="shared" si="17"/>
        <v>0</v>
      </c>
      <c r="J120" s="5">
        <f>Table16[[#This Row],[Enrolment S.Y. 2025-2026 ]]*8</f>
        <v>0</v>
      </c>
      <c r="K120" s="5"/>
      <c r="L120" s="1"/>
      <c r="M120" s="5"/>
      <c r="N120" s="5">
        <f t="shared" si="10"/>
        <v>0</v>
      </c>
      <c r="O120" s="5">
        <f t="shared" si="11"/>
        <v>0</v>
      </c>
      <c r="P120" s="5">
        <f>Table16[[#This Row],[Enrolment S.Y. 2025-2026 ]]*8</f>
        <v>0</v>
      </c>
      <c r="Q120" s="5"/>
      <c r="R120" s="1"/>
      <c r="S120" s="5"/>
      <c r="T120" s="5">
        <f t="shared" si="12"/>
        <v>0</v>
      </c>
      <c r="U120" s="5">
        <f t="shared" si="13"/>
        <v>0</v>
      </c>
      <c r="V120" s="5">
        <f>Table16[[#This Row],[Enrolment S.Y. 2025-2026 ]]*8</f>
        <v>0</v>
      </c>
      <c r="W120" s="5"/>
      <c r="X120" s="1"/>
      <c r="Y120" s="5"/>
      <c r="Z120" s="5">
        <f t="shared" si="14"/>
        <v>0</v>
      </c>
      <c r="AA120" s="5">
        <f t="shared" si="15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16"/>
        <v>0</v>
      </c>
      <c r="I121" s="5">
        <f t="shared" si="17"/>
        <v>0</v>
      </c>
      <c r="J121" s="5">
        <f>Table16[[#This Row],[Enrolment S.Y. 2025-2026 ]]*8</f>
        <v>0</v>
      </c>
      <c r="K121" s="5"/>
      <c r="L121" s="1"/>
      <c r="M121" s="5"/>
      <c r="N121" s="5">
        <f t="shared" si="10"/>
        <v>0</v>
      </c>
      <c r="O121" s="5">
        <f t="shared" si="11"/>
        <v>0</v>
      </c>
      <c r="P121" s="5">
        <f>Table16[[#This Row],[Enrolment S.Y. 2025-2026 ]]*8</f>
        <v>0</v>
      </c>
      <c r="Q121" s="5"/>
      <c r="R121" s="1"/>
      <c r="S121" s="5"/>
      <c r="T121" s="5">
        <f t="shared" si="12"/>
        <v>0</v>
      </c>
      <c r="U121" s="5">
        <f t="shared" si="13"/>
        <v>0</v>
      </c>
      <c r="V121" s="5">
        <f>Table16[[#This Row],[Enrolment S.Y. 2025-2026 ]]*8</f>
        <v>0</v>
      </c>
      <c r="W121" s="5"/>
      <c r="X121" s="1"/>
      <c r="Y121" s="5"/>
      <c r="Z121" s="5">
        <f t="shared" si="14"/>
        <v>0</v>
      </c>
      <c r="AA121" s="5">
        <f t="shared" si="15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16"/>
        <v>0</v>
      </c>
      <c r="I122" s="5">
        <f t="shared" si="17"/>
        <v>0</v>
      </c>
      <c r="J122" s="5">
        <f>Table16[[#This Row],[Enrolment S.Y. 2025-2026 ]]*8</f>
        <v>0</v>
      </c>
      <c r="K122" s="5"/>
      <c r="L122" s="1"/>
      <c r="M122" s="5"/>
      <c r="N122" s="5">
        <f t="shared" si="10"/>
        <v>0</v>
      </c>
      <c r="O122" s="5">
        <f t="shared" si="11"/>
        <v>0</v>
      </c>
      <c r="P122" s="5">
        <f>Table16[[#This Row],[Enrolment S.Y. 2025-2026 ]]*8</f>
        <v>0</v>
      </c>
      <c r="Q122" s="5"/>
      <c r="R122" s="1"/>
      <c r="S122" s="5"/>
      <c r="T122" s="5">
        <f t="shared" si="12"/>
        <v>0</v>
      </c>
      <c r="U122" s="5">
        <f t="shared" si="13"/>
        <v>0</v>
      </c>
      <c r="V122" s="5">
        <f>Table16[[#This Row],[Enrolment S.Y. 2025-2026 ]]*8</f>
        <v>0</v>
      </c>
      <c r="W122" s="5"/>
      <c r="X122" s="1"/>
      <c r="Y122" s="5"/>
      <c r="Z122" s="5">
        <f t="shared" si="14"/>
        <v>0</v>
      </c>
      <c r="AA122" s="5">
        <f t="shared" si="15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16"/>
        <v>0</v>
      </c>
      <c r="I123" s="5">
        <f t="shared" si="17"/>
        <v>0</v>
      </c>
      <c r="J123" s="5">
        <f>Table16[[#This Row],[Enrolment S.Y. 2025-2026 ]]*8</f>
        <v>0</v>
      </c>
      <c r="K123" s="5"/>
      <c r="L123" s="1"/>
      <c r="M123" s="5"/>
      <c r="N123" s="5">
        <f t="shared" si="10"/>
        <v>0</v>
      </c>
      <c r="O123" s="5">
        <f t="shared" si="11"/>
        <v>0</v>
      </c>
      <c r="P123" s="5">
        <f>Table16[[#This Row],[Enrolment S.Y. 2025-2026 ]]*8</f>
        <v>0</v>
      </c>
      <c r="Q123" s="5"/>
      <c r="R123" s="1"/>
      <c r="S123" s="5"/>
      <c r="T123" s="5">
        <f t="shared" si="12"/>
        <v>0</v>
      </c>
      <c r="U123" s="5">
        <f t="shared" si="13"/>
        <v>0</v>
      </c>
      <c r="V123" s="5">
        <f>Table16[[#This Row],[Enrolment S.Y. 2025-2026 ]]*8</f>
        <v>0</v>
      </c>
      <c r="W123" s="5"/>
      <c r="X123" s="1"/>
      <c r="Y123" s="5"/>
      <c r="Z123" s="5">
        <f t="shared" si="14"/>
        <v>0</v>
      </c>
      <c r="AA123" s="5">
        <f t="shared" si="15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16"/>
        <v>0</v>
      </c>
      <c r="I124" s="5">
        <f t="shared" si="17"/>
        <v>0</v>
      </c>
      <c r="J124" s="5">
        <f>Table16[[#This Row],[Enrolment S.Y. 2025-2026 ]]*8</f>
        <v>0</v>
      </c>
      <c r="K124" s="5"/>
      <c r="L124" s="1"/>
      <c r="M124" s="5"/>
      <c r="N124" s="5">
        <f t="shared" si="10"/>
        <v>0</v>
      </c>
      <c r="O124" s="5">
        <f t="shared" si="11"/>
        <v>0</v>
      </c>
      <c r="P124" s="5">
        <f>Table16[[#This Row],[Enrolment S.Y. 2025-2026 ]]*8</f>
        <v>0</v>
      </c>
      <c r="Q124" s="5"/>
      <c r="R124" s="1"/>
      <c r="S124" s="5"/>
      <c r="T124" s="5">
        <f t="shared" si="12"/>
        <v>0</v>
      </c>
      <c r="U124" s="5">
        <f t="shared" si="13"/>
        <v>0</v>
      </c>
      <c r="V124" s="5">
        <f>Table16[[#This Row],[Enrolment S.Y. 2025-2026 ]]*8</f>
        <v>0</v>
      </c>
      <c r="W124" s="5"/>
      <c r="X124" s="1"/>
      <c r="Y124" s="5"/>
      <c r="Z124" s="5">
        <f t="shared" si="14"/>
        <v>0</v>
      </c>
      <c r="AA124" s="5">
        <f t="shared" si="15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16"/>
        <v>0</v>
      </c>
      <c r="I125" s="5">
        <f t="shared" si="17"/>
        <v>0</v>
      </c>
      <c r="J125" s="5">
        <f>Table16[[#This Row],[Enrolment S.Y. 2025-2026 ]]*8</f>
        <v>0</v>
      </c>
      <c r="K125" s="5"/>
      <c r="L125" s="1"/>
      <c r="M125" s="5"/>
      <c r="N125" s="5">
        <f t="shared" si="10"/>
        <v>0</v>
      </c>
      <c r="O125" s="5">
        <f t="shared" si="11"/>
        <v>0</v>
      </c>
      <c r="P125" s="5">
        <f>Table16[[#This Row],[Enrolment S.Y. 2025-2026 ]]*8</f>
        <v>0</v>
      </c>
      <c r="Q125" s="5"/>
      <c r="R125" s="1"/>
      <c r="S125" s="5"/>
      <c r="T125" s="5">
        <f t="shared" si="12"/>
        <v>0</v>
      </c>
      <c r="U125" s="5">
        <f t="shared" si="13"/>
        <v>0</v>
      </c>
      <c r="V125" s="5">
        <f>Table16[[#This Row],[Enrolment S.Y. 2025-2026 ]]*8</f>
        <v>0</v>
      </c>
      <c r="W125" s="5"/>
      <c r="X125" s="1"/>
      <c r="Y125" s="5"/>
      <c r="Z125" s="5">
        <f t="shared" si="14"/>
        <v>0</v>
      </c>
      <c r="AA125" s="5">
        <f t="shared" si="15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16"/>
        <v>0</v>
      </c>
      <c r="I126" s="5">
        <f t="shared" si="17"/>
        <v>0</v>
      </c>
      <c r="J126" s="5">
        <f>Table16[[#This Row],[Enrolment S.Y. 2025-2026 ]]*8</f>
        <v>0</v>
      </c>
      <c r="K126" s="5"/>
      <c r="L126" s="1"/>
      <c r="M126" s="5"/>
      <c r="N126" s="5">
        <f t="shared" si="10"/>
        <v>0</v>
      </c>
      <c r="O126" s="5">
        <f t="shared" si="11"/>
        <v>0</v>
      </c>
      <c r="P126" s="5">
        <f>Table16[[#This Row],[Enrolment S.Y. 2025-2026 ]]*8</f>
        <v>0</v>
      </c>
      <c r="Q126" s="5"/>
      <c r="R126" s="1"/>
      <c r="S126" s="5"/>
      <c r="T126" s="5">
        <f t="shared" si="12"/>
        <v>0</v>
      </c>
      <c r="U126" s="5">
        <f t="shared" si="13"/>
        <v>0</v>
      </c>
      <c r="V126" s="5">
        <f>Table16[[#This Row],[Enrolment S.Y. 2025-2026 ]]*8</f>
        <v>0</v>
      </c>
      <c r="W126" s="5"/>
      <c r="X126" s="1"/>
      <c r="Y126" s="5"/>
      <c r="Z126" s="5">
        <f t="shared" si="14"/>
        <v>0</v>
      </c>
      <c r="AA126" s="5">
        <f t="shared" si="15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16"/>
        <v>0</v>
      </c>
      <c r="I127" s="5">
        <f t="shared" si="17"/>
        <v>0</v>
      </c>
      <c r="J127" s="5">
        <f>Table16[[#This Row],[Enrolment S.Y. 2025-2026 ]]*8</f>
        <v>0</v>
      </c>
      <c r="K127" s="31"/>
      <c r="L127" s="29"/>
      <c r="M127" s="31"/>
      <c r="N127" s="5">
        <f t="shared" si="10"/>
        <v>0</v>
      </c>
      <c r="O127" s="5">
        <f t="shared" si="11"/>
        <v>0</v>
      </c>
      <c r="P127" s="5"/>
      <c r="Q127" s="31"/>
      <c r="R127" s="29"/>
      <c r="S127" s="31"/>
      <c r="T127" s="5">
        <f t="shared" si="12"/>
        <v>0</v>
      </c>
      <c r="U127" s="5">
        <f t="shared" si="13"/>
        <v>0</v>
      </c>
      <c r="V127" s="5">
        <f>Table16[[#This Row],[Enrolment S.Y. 2025-2026 ]]*8</f>
        <v>0</v>
      </c>
      <c r="W127" s="31"/>
      <c r="X127" s="29"/>
      <c r="Y127" s="31"/>
      <c r="Z127" s="5">
        <f t="shared" si="14"/>
        <v>0</v>
      </c>
      <c r="AA127" s="5">
        <f t="shared" si="15"/>
        <v>0</v>
      </c>
    </row>
    <row r="128" spans="1:27" ht="13.9">
      <c r="J128" t="e">
        <f>#REF!*8</f>
        <v>#REF!</v>
      </c>
    </row>
    <row r="129" spans="10:10" ht="13.9">
      <c r="J129" t="e">
        <f>#REF!*8</f>
        <v>#REF!</v>
      </c>
    </row>
    <row r="130" spans="10:10" ht="13.9">
      <c r="J130" t="e">
        <f>#REF!*8</f>
        <v>#REF!</v>
      </c>
    </row>
    <row r="131" spans="10:10" ht="13.9">
      <c r="J131" t="e">
        <f>#REF!*8</f>
        <v>#REF!</v>
      </c>
    </row>
    <row r="132" spans="10:10" ht="13.9">
      <c r="J132" t="e">
        <f>#REF!*8</f>
        <v>#REF!</v>
      </c>
    </row>
    <row r="133" spans="10:10" ht="13.9">
      <c r="J133" t="e">
        <f>#REF!*8</f>
        <v>#REF!</v>
      </c>
    </row>
    <row r="134" spans="10:10" ht="13.9">
      <c r="J134" t="e">
        <f>#REF!*8</f>
        <v>#REF!</v>
      </c>
    </row>
    <row r="135" spans="10:10" ht="13.9">
      <c r="J135" t="e">
        <f>#REF!*8</f>
        <v>#REF!</v>
      </c>
    </row>
    <row r="136" spans="10:10" ht="13.9">
      <c r="J136" t="e">
        <f>#REF!*8</f>
        <v>#REF!</v>
      </c>
    </row>
    <row r="137" spans="10:10" ht="13.9">
      <c r="J137" t="e">
        <f>#REF!*8</f>
        <v>#REF!</v>
      </c>
    </row>
    <row r="138" spans="10:10" ht="13.9">
      <c r="J138" t="e">
        <f>#REF!*8</f>
        <v>#REF!</v>
      </c>
    </row>
    <row r="139" spans="10:10" ht="13.9">
      <c r="J139" t="e">
        <f>#REF!*8</f>
        <v>#REF!</v>
      </c>
    </row>
    <row r="140" spans="10:10" ht="13.9">
      <c r="J140" t="e">
        <f>#REF!*8</f>
        <v>#REF!</v>
      </c>
    </row>
    <row r="141" spans="10:10" ht="13.9">
      <c r="J141" t="e">
        <f>#REF!*8</f>
        <v>#REF!</v>
      </c>
    </row>
    <row r="142" spans="10:10" ht="13.9">
      <c r="J142" t="e">
        <f>#REF!*8</f>
        <v>#REF!</v>
      </c>
    </row>
    <row r="143" spans="10:10" ht="13.9">
      <c r="J143" t="e">
        <f>#REF!*8</f>
        <v>#REF!</v>
      </c>
    </row>
    <row r="144" spans="10:10" ht="13.9">
      <c r="J144" t="e">
        <f>#REF!*8</f>
        <v>#REF!</v>
      </c>
    </row>
    <row r="145" spans="10:10" ht="13.9">
      <c r="J145" t="e">
        <f>#REF!*8</f>
        <v>#REF!</v>
      </c>
    </row>
    <row r="146" spans="10:10" ht="13.9">
      <c r="J146" t="e">
        <f>#REF!*8</f>
        <v>#REF!</v>
      </c>
    </row>
    <row r="147" spans="10:10" ht="13.9">
      <c r="J147" t="e">
        <f>#REF!*8</f>
        <v>#REF!</v>
      </c>
    </row>
    <row r="148" spans="10:10" ht="13.9">
      <c r="J148" t="e">
        <f>#REF!*8</f>
        <v>#REF!</v>
      </c>
    </row>
    <row r="149" spans="10:10" ht="13.9">
      <c r="J149" t="e">
        <f>#REF!*8</f>
        <v>#REF!</v>
      </c>
    </row>
    <row r="150" spans="10:10" ht="13.9">
      <c r="J150" t="e">
        <f>#REF!*8</f>
        <v>#REF!</v>
      </c>
    </row>
    <row r="151" spans="10:10" ht="13.9">
      <c r="J151" t="e">
        <f>#REF!*8</f>
        <v>#REF!</v>
      </c>
    </row>
    <row r="152" spans="10:10" ht="13.9">
      <c r="J152" t="e">
        <f>#REF!*8</f>
        <v>#REF!</v>
      </c>
    </row>
    <row r="153" spans="10:10" ht="13.9">
      <c r="J153" t="e">
        <f>#REF!*8</f>
        <v>#REF!</v>
      </c>
    </row>
    <row r="154" spans="10:10" ht="13.9">
      <c r="J154" t="e">
        <f>#REF!*8</f>
        <v>#REF!</v>
      </c>
    </row>
    <row r="155" spans="10:10" ht="13.9">
      <c r="J155" t="e">
        <f>#REF!*8</f>
        <v>#REF!</v>
      </c>
    </row>
    <row r="156" spans="10:10" ht="13.9">
      <c r="J156" t="e">
        <f>#REF!*8</f>
        <v>#REF!</v>
      </c>
    </row>
    <row r="157" spans="10:10" ht="13.9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M14:M110 Y14:Y110 S4:S110 G5:G12 M5:M12 Y5:Y12 G14:G21 G23:G31 G33:G41 G43:G51 G53:G61 G63:G71 G73:G81 G83:G91 G93:G101 G103:G110" xr:uid="{B56EF6EB-68FB-4D47-A0BB-A78A0023CC1A}">
      <formula1>"CO,RO,SDO,LGU,SCHOOL"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8FCAF7AC-31B6-42CA-8BCF-0B0505D5BEC1}">
      <formula1>"2024,2025"</formula1>
    </dataValidation>
    <dataValidation type="list" allowBlank="1" showInputMessage="1" showErrorMessage="1" sqref="S112:S127 M112:M127 Y112:Y127 G112:G127" xr:uid="{54E9EE76-5B5E-46CA-BD6C-0CD645B834BF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opLeftCell="A29" zoomScale="70" zoomScaleNormal="70" workbookViewId="0">
      <selection activeCell="F41" sqref="F4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0" t="s">
        <v>45</v>
      </c>
      <c r="N2" s="40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1" t="s">
        <v>57</v>
      </c>
      <c r="Z2" s="41" t="s">
        <v>58</v>
      </c>
      <c r="AA2" s="26" t="s">
        <v>59</v>
      </c>
    </row>
    <row r="3" spans="1:27" ht="30.6" customHeight="1">
      <c r="A3" s="39" t="s">
        <v>60</v>
      </c>
      <c r="B3" s="33"/>
      <c r="C3" s="32">
        <v>273</v>
      </c>
      <c r="D3" s="34">
        <f>Table1[[#This Row],[Enrolment S.Y. 2025-2026 ]]*8</f>
        <v>2184</v>
      </c>
      <c r="E3" s="34"/>
      <c r="F3" s="32"/>
      <c r="G3" s="34"/>
      <c r="H3" s="34">
        <f>IF((D3-E3)&lt;0,0,(D3-E3))</f>
        <v>2184</v>
      </c>
      <c r="I3" s="34">
        <f>IF((E3-D3)&lt;0,0,(E3-D3))</f>
        <v>0</v>
      </c>
      <c r="J3" s="34">
        <f>Table1[[#This Row],[Enrolment S.Y. 2025-2026 ]]*8</f>
        <v>2184</v>
      </c>
      <c r="K3" s="34"/>
      <c r="L3" s="32"/>
      <c r="M3" s="34"/>
      <c r="N3" s="5">
        <f t="shared" ref="N3" si="0">IF((J3-K3)&lt;0,0,(J3-K3))</f>
        <v>2184</v>
      </c>
      <c r="O3" s="5">
        <f t="shared" ref="O3" si="1">IF((K3-J3)&lt;0,0,(K3-J3))</f>
        <v>0</v>
      </c>
      <c r="P3" s="5">
        <f>Table1[[#This Row],[Enrolment S.Y. 2025-2026 ]]*8</f>
        <v>2184</v>
      </c>
      <c r="Q3" s="34"/>
      <c r="R3" s="32"/>
      <c r="S3" s="34"/>
      <c r="T3" s="34">
        <f>IF((P3-Q3)&lt;0,0,(P3-Q3))</f>
        <v>2184</v>
      </c>
      <c r="U3" s="34">
        <f>IF((Q3-P3)&lt;0,0,(Q3-P3))</f>
        <v>0</v>
      </c>
      <c r="V3" s="34">
        <f>Table1[[#This Row],[Enrolment S.Y. 2025-2026 ]]*8</f>
        <v>2184</v>
      </c>
      <c r="W3" s="34"/>
      <c r="X3" s="32"/>
      <c r="Y3" s="34"/>
      <c r="Z3" s="34">
        <f>IF((V3-W3)&lt;0,0,(V3-W3))</f>
        <v>2184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226</v>
      </c>
      <c r="D5" s="5">
        <f>Table1[[#This Row],[Enrolment S.Y. 2025-2026 ]]*8</f>
        <v>1808</v>
      </c>
      <c r="E5" s="5">
        <v>43</v>
      </c>
      <c r="F5" s="1">
        <v>2024</v>
      </c>
      <c r="G5" s="5" t="s">
        <v>62</v>
      </c>
      <c r="H5" s="5">
        <f t="shared" ref="H5:H77" si="2">IF((D5-E5)&lt;0,0,(D5-E5))</f>
        <v>1765</v>
      </c>
      <c r="I5" s="5">
        <f t="shared" ref="I5:I77" si="3">IF((E5-D5)&lt;0,0,(E5-D5))</f>
        <v>0</v>
      </c>
      <c r="J5" s="5">
        <f>Table1[[#This Row],[Enrolment S.Y. 2025-2026 ]]*8</f>
        <v>1808</v>
      </c>
      <c r="K5" s="5"/>
      <c r="L5" s="1"/>
      <c r="M5" s="5"/>
      <c r="N5" s="5">
        <f t="shared" ref="N5" si="4">IF((J5-K5)&lt;0,0,(J5-K5))</f>
        <v>1808</v>
      </c>
      <c r="O5" s="5">
        <f t="shared" ref="O5" si="5">IF((K5-J5)&lt;0,0,(K5-J5))</f>
        <v>0</v>
      </c>
      <c r="P5" s="5">
        <f>Table1[[#This Row],[Enrolment S.Y. 2025-2026 ]]*8</f>
        <v>1808</v>
      </c>
      <c r="Q5" s="5"/>
      <c r="R5" s="1"/>
      <c r="S5" s="5"/>
      <c r="T5" s="5">
        <f t="shared" ref="T5" si="6">IF((P5-Q5)&lt;0,0,(P5-Q5))</f>
        <v>1808</v>
      </c>
      <c r="U5" s="5">
        <f t="shared" ref="U5" si="7">IF((Q5-P5)&lt;0,0,(Q5-P5))</f>
        <v>0</v>
      </c>
      <c r="V5" s="5">
        <f>Table1[[#This Row],[Enrolment S.Y. 2025-2026 ]]*8</f>
        <v>1808</v>
      </c>
      <c r="W5" s="5"/>
      <c r="X5" s="1"/>
      <c r="Y5" s="5"/>
      <c r="Z5" s="5">
        <f t="shared" ref="Z5" si="8">IF((V5-W5)&lt;0,0,(V5-W5))</f>
        <v>1808</v>
      </c>
      <c r="AA5" s="5">
        <f t="shared" ref="AA5" si="9">IF((W5-V5)&lt;0,0,(W5-V5))</f>
        <v>0</v>
      </c>
    </row>
    <row r="6" spans="1:27" ht="19.5">
      <c r="A6" s="1">
        <v>1</v>
      </c>
      <c r="B6" s="2" t="s">
        <v>9</v>
      </c>
      <c r="C6" s="1">
        <v>226</v>
      </c>
      <c r="D6" s="5">
        <f>Table1[[#This Row],[Enrolment S.Y. 2025-2026 ]]*8</f>
        <v>1808</v>
      </c>
      <c r="E6" s="5">
        <v>43</v>
      </c>
      <c r="F6" s="1">
        <v>2024</v>
      </c>
      <c r="G6" s="5" t="s">
        <v>62</v>
      </c>
      <c r="H6" s="5">
        <f t="shared" si="2"/>
        <v>1765</v>
      </c>
      <c r="I6" s="5">
        <f t="shared" si="3"/>
        <v>0</v>
      </c>
      <c r="J6" s="5">
        <f>Table1[[#This Row],[Enrolment S.Y. 2025-2026 ]]*8</f>
        <v>1808</v>
      </c>
      <c r="K6" s="5"/>
      <c r="L6" s="1"/>
      <c r="M6" s="5"/>
      <c r="N6" s="5">
        <f t="shared" ref="N6:N69" si="10">IF((J6-K6)&lt;0,0,(J6-K6))</f>
        <v>1808</v>
      </c>
      <c r="O6" s="5">
        <f t="shared" ref="O6:O69" si="11">IF((K6-J6)&lt;0,0,(K6-J6))</f>
        <v>0</v>
      </c>
      <c r="P6" s="5">
        <f>Table1[[#This Row],[Enrolment S.Y. 2025-2026 ]]*8</f>
        <v>1808</v>
      </c>
      <c r="Q6" s="5"/>
      <c r="R6" s="1"/>
      <c r="S6" s="5"/>
      <c r="T6" s="5">
        <f t="shared" ref="T6:T69" si="12">IF((P6-Q6)&lt;0,0,(P6-Q6))</f>
        <v>1808</v>
      </c>
      <c r="U6" s="5">
        <f t="shared" ref="U6:U69" si="13">IF((Q6-P6)&lt;0,0,(Q6-P6))</f>
        <v>0</v>
      </c>
      <c r="V6" s="5">
        <f>Table1[[#This Row],[Enrolment S.Y. 2025-2026 ]]*8</f>
        <v>1808</v>
      </c>
      <c r="W6" s="5"/>
      <c r="X6" s="1"/>
      <c r="Y6" s="5"/>
      <c r="Z6" s="5">
        <f t="shared" ref="Z6:Z69" si="14">IF((V6-W6)&lt;0,0,(V6-W6))</f>
        <v>1808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10</v>
      </c>
      <c r="C7" s="1">
        <v>226</v>
      </c>
      <c r="D7" s="5">
        <f>Table1[[#This Row],[Enrolment S.Y. 2025-2026 ]]*8</f>
        <v>1808</v>
      </c>
      <c r="E7" s="5"/>
      <c r="F7" s="1"/>
      <c r="G7" s="5"/>
      <c r="H7" s="5">
        <f t="shared" si="2"/>
        <v>1808</v>
      </c>
      <c r="I7" s="5">
        <f t="shared" si="3"/>
        <v>0</v>
      </c>
      <c r="J7" s="5">
        <f>Table1[[#This Row],[Enrolment S.Y. 2025-2026 ]]*8</f>
        <v>1808</v>
      </c>
      <c r="K7" s="5"/>
      <c r="L7" s="1"/>
      <c r="M7" s="5"/>
      <c r="N7" s="5">
        <f t="shared" si="10"/>
        <v>1808</v>
      </c>
      <c r="O7" s="5">
        <f t="shared" si="11"/>
        <v>0</v>
      </c>
      <c r="P7" s="5">
        <f>Table1[[#This Row],[Enrolment S.Y. 2025-2026 ]]*8</f>
        <v>1808</v>
      </c>
      <c r="Q7" s="5"/>
      <c r="R7" s="1"/>
      <c r="S7" s="5"/>
      <c r="T7" s="5">
        <f t="shared" si="12"/>
        <v>1808</v>
      </c>
      <c r="U7" s="5">
        <f t="shared" si="13"/>
        <v>0</v>
      </c>
      <c r="V7" s="5">
        <f>Table1[[#This Row],[Enrolment S.Y. 2025-2026 ]]*8</f>
        <v>1808</v>
      </c>
      <c r="W7" s="5"/>
      <c r="X7" s="1"/>
      <c r="Y7" s="5"/>
      <c r="Z7" s="5">
        <f t="shared" si="14"/>
        <v>1808</v>
      </c>
      <c r="AA7" s="5">
        <f t="shared" si="15"/>
        <v>0</v>
      </c>
    </row>
    <row r="8" spans="1:27" ht="19.5">
      <c r="A8" s="1">
        <v>1</v>
      </c>
      <c r="B8" s="2" t="s">
        <v>11</v>
      </c>
      <c r="C8" s="1">
        <v>226</v>
      </c>
      <c r="D8" s="5">
        <f>Table1[[#This Row],[Enrolment S.Y. 2025-2026 ]]*8</f>
        <v>1808</v>
      </c>
      <c r="E8" s="5"/>
      <c r="F8" s="1"/>
      <c r="G8" s="5"/>
      <c r="H8" s="5">
        <f t="shared" si="2"/>
        <v>1808</v>
      </c>
      <c r="I8" s="5">
        <f t="shared" si="3"/>
        <v>0</v>
      </c>
      <c r="J8" s="5">
        <f>Table1[[#This Row],[Enrolment S.Y. 2025-2026 ]]*8</f>
        <v>1808</v>
      </c>
      <c r="K8" s="5"/>
      <c r="L8" s="1"/>
      <c r="M8" s="5"/>
      <c r="N8" s="5">
        <f t="shared" si="10"/>
        <v>1808</v>
      </c>
      <c r="O8" s="5">
        <f t="shared" si="11"/>
        <v>0</v>
      </c>
      <c r="P8" s="5">
        <f>Table1[[#This Row],[Enrolment S.Y. 2025-2026 ]]*8</f>
        <v>1808</v>
      </c>
      <c r="Q8" s="5"/>
      <c r="R8" s="1"/>
      <c r="S8" s="5"/>
      <c r="T8" s="5">
        <f t="shared" si="12"/>
        <v>1808</v>
      </c>
      <c r="U8" s="5">
        <f t="shared" si="13"/>
        <v>0</v>
      </c>
      <c r="V8" s="5">
        <f>Table1[[#This Row],[Enrolment S.Y. 2025-2026 ]]*8</f>
        <v>1808</v>
      </c>
      <c r="W8" s="5"/>
      <c r="X8" s="1"/>
      <c r="Y8" s="5"/>
      <c r="Z8" s="5">
        <f t="shared" si="14"/>
        <v>1808</v>
      </c>
      <c r="AA8" s="5">
        <f t="shared" si="15"/>
        <v>0</v>
      </c>
    </row>
    <row r="9" spans="1:27" ht="19.5">
      <c r="A9" s="1">
        <v>1</v>
      </c>
      <c r="B9" s="2" t="s">
        <v>12</v>
      </c>
      <c r="C9" s="1">
        <v>226</v>
      </c>
      <c r="D9" s="5">
        <f>Table1[[#This Row],[Enrolment S.Y. 2025-2026 ]]*8</f>
        <v>1808</v>
      </c>
      <c r="E9" s="5"/>
      <c r="F9" s="1"/>
      <c r="G9" s="5"/>
      <c r="H9" s="5">
        <f t="shared" si="2"/>
        <v>1808</v>
      </c>
      <c r="I9" s="5">
        <f t="shared" si="3"/>
        <v>0</v>
      </c>
      <c r="J9" s="5">
        <f>Table1[[#This Row],[Enrolment S.Y. 2025-2026 ]]*8</f>
        <v>1808</v>
      </c>
      <c r="K9" s="5"/>
      <c r="L9" s="1"/>
      <c r="M9" s="5"/>
      <c r="N9" s="5">
        <f t="shared" si="10"/>
        <v>1808</v>
      </c>
      <c r="O9" s="5">
        <f t="shared" si="11"/>
        <v>0</v>
      </c>
      <c r="P9" s="5">
        <f>Table1[[#This Row],[Enrolment S.Y. 2025-2026 ]]*8</f>
        <v>1808</v>
      </c>
      <c r="Q9" s="5"/>
      <c r="R9" s="1"/>
      <c r="S9" s="5"/>
      <c r="T9" s="5">
        <f t="shared" si="12"/>
        <v>1808</v>
      </c>
      <c r="U9" s="5">
        <f t="shared" si="13"/>
        <v>0</v>
      </c>
      <c r="V9" s="5">
        <f>Table1[[#This Row],[Enrolment S.Y. 2025-2026 ]]*8</f>
        <v>1808</v>
      </c>
      <c r="W9" s="5"/>
      <c r="X9" s="1"/>
      <c r="Y9" s="5"/>
      <c r="Z9" s="5">
        <f t="shared" si="14"/>
        <v>1808</v>
      </c>
      <c r="AA9" s="5">
        <f t="shared" si="15"/>
        <v>0</v>
      </c>
    </row>
    <row r="10" spans="1:27" ht="19.5">
      <c r="A10" s="1">
        <v>1</v>
      </c>
      <c r="B10" s="9" t="s">
        <v>14</v>
      </c>
      <c r="C10" s="1">
        <v>226</v>
      </c>
      <c r="D10" s="5">
        <f>Table1[[#This Row],[Enrolment S.Y. 2025-2026 ]]*8</f>
        <v>1808</v>
      </c>
      <c r="E10" s="5"/>
      <c r="F10" s="1"/>
      <c r="G10" s="5"/>
      <c r="H10" s="5">
        <f>IF((D10-E10)&lt;0,0,(D10-E10))</f>
        <v>1808</v>
      </c>
      <c r="I10" s="5">
        <f>IF((E10-D10)&lt;0,0,(E10-D10))</f>
        <v>0</v>
      </c>
      <c r="J10" s="5">
        <f>Table1[[#This Row],[Enrolment S.Y. 2025-2026 ]]*8</f>
        <v>1808</v>
      </c>
      <c r="K10" s="5"/>
      <c r="L10" s="1"/>
      <c r="M10" s="5"/>
      <c r="N10" s="5">
        <f t="shared" si="10"/>
        <v>1808</v>
      </c>
      <c r="O10" s="5">
        <f t="shared" si="11"/>
        <v>0</v>
      </c>
      <c r="P10" s="5">
        <f>Table1[[#This Row],[Enrolment S.Y. 2025-2026 ]]*8</f>
        <v>1808</v>
      </c>
      <c r="Q10" s="5"/>
      <c r="R10" s="1"/>
      <c r="S10" s="5"/>
      <c r="T10" s="5">
        <f t="shared" si="12"/>
        <v>1808</v>
      </c>
      <c r="U10" s="5">
        <f t="shared" si="13"/>
        <v>0</v>
      </c>
      <c r="V10" s="5">
        <f>Table1[[#This Row],[Enrolment S.Y. 2025-2026 ]]*8</f>
        <v>1808</v>
      </c>
      <c r="W10" s="5"/>
      <c r="X10" s="1"/>
      <c r="Y10" s="5"/>
      <c r="Z10" s="5">
        <f t="shared" si="14"/>
        <v>1808</v>
      </c>
      <c r="AA10" s="5">
        <f t="shared" si="15"/>
        <v>0</v>
      </c>
    </row>
    <row r="11" spans="1:27" ht="19.5">
      <c r="A11" s="1">
        <v>1</v>
      </c>
      <c r="B11" s="9" t="s">
        <v>15</v>
      </c>
      <c r="C11" s="1">
        <v>226</v>
      </c>
      <c r="D11" s="5">
        <f>Table1[[#This Row],[Enrolment S.Y. 2025-2026 ]]*8</f>
        <v>1808</v>
      </c>
      <c r="E11" s="5"/>
      <c r="F11" s="1"/>
      <c r="G11" s="5"/>
      <c r="H11" s="5">
        <f>IF((D11-E11)&lt;0,0,(D11-E11))</f>
        <v>1808</v>
      </c>
      <c r="I11" s="5">
        <f>IF((E11-D11)&lt;0,0,(E11-D11))</f>
        <v>0</v>
      </c>
      <c r="J11" s="5">
        <f>Table1[[#This Row],[Enrolment S.Y. 2025-2026 ]]*8</f>
        <v>1808</v>
      </c>
      <c r="K11" s="5"/>
      <c r="L11" s="1"/>
      <c r="M11" s="5"/>
      <c r="N11" s="5">
        <f t="shared" si="10"/>
        <v>1808</v>
      </c>
      <c r="O11" s="5">
        <f t="shared" si="11"/>
        <v>0</v>
      </c>
      <c r="P11" s="5">
        <f>Table1[[#This Row],[Enrolment S.Y. 2025-2026 ]]*8</f>
        <v>1808</v>
      </c>
      <c r="Q11" s="5"/>
      <c r="R11" s="1"/>
      <c r="S11" s="5"/>
      <c r="T11" s="5">
        <f t="shared" si="12"/>
        <v>1808</v>
      </c>
      <c r="U11" s="5">
        <f t="shared" si="13"/>
        <v>0</v>
      </c>
      <c r="V11" s="5">
        <f>Table1[[#This Row],[Enrolment S.Y. 2025-2026 ]]*8</f>
        <v>1808</v>
      </c>
      <c r="W11" s="5"/>
      <c r="X11" s="1"/>
      <c r="Y11" s="5"/>
      <c r="Z11" s="5">
        <f t="shared" si="14"/>
        <v>1808</v>
      </c>
      <c r="AA11" s="5">
        <f t="shared" si="15"/>
        <v>0</v>
      </c>
    </row>
    <row r="12" spans="1:27" ht="19.5">
      <c r="A12" s="1">
        <v>1</v>
      </c>
      <c r="B12" s="9" t="s">
        <v>61</v>
      </c>
      <c r="C12" s="1">
        <v>226</v>
      </c>
      <c r="D12" s="5">
        <f>Table1[[#This Row],[Enrolment S.Y. 2025-2026 ]]*8</f>
        <v>1808</v>
      </c>
      <c r="E12" s="5"/>
      <c r="F12" s="1"/>
      <c r="G12" s="5"/>
      <c r="H12" s="5">
        <f>IF((D12-E12)&lt;0,0,(D12-E12))</f>
        <v>1808</v>
      </c>
      <c r="I12" s="5">
        <f>IF((E12-D12)&lt;0,0,(E12-D12))</f>
        <v>0</v>
      </c>
      <c r="J12" s="5">
        <f>Table1[[#This Row],[Enrolment S.Y. 2025-2026 ]]*8</f>
        <v>1808</v>
      </c>
      <c r="K12" s="5"/>
      <c r="L12" s="1"/>
      <c r="M12" s="5"/>
      <c r="N12" s="5">
        <f t="shared" si="10"/>
        <v>1808</v>
      </c>
      <c r="O12" s="5">
        <f t="shared" si="11"/>
        <v>0</v>
      </c>
      <c r="P12" s="5">
        <f>Table1[[#This Row],[Enrolment S.Y. 2025-2026 ]]*8</f>
        <v>1808</v>
      </c>
      <c r="Q12" s="5"/>
      <c r="R12" s="1"/>
      <c r="S12" s="5"/>
      <c r="T12" s="5">
        <f t="shared" si="12"/>
        <v>1808</v>
      </c>
      <c r="U12" s="5">
        <f t="shared" si="13"/>
        <v>0</v>
      </c>
      <c r="V12" s="5">
        <f>Table1[[#This Row],[Enrolment S.Y. 2025-2026 ]]*8</f>
        <v>1808</v>
      </c>
      <c r="W12" s="5"/>
      <c r="X12" s="1"/>
      <c r="Y12" s="5"/>
      <c r="Z12" s="5">
        <f t="shared" si="14"/>
        <v>1808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266</v>
      </c>
      <c r="D14" s="5">
        <f>Table1[[#This Row],[Enrolment S.Y. 2025-2026 ]]*8</f>
        <v>2128</v>
      </c>
      <c r="E14" s="5"/>
      <c r="F14" s="1"/>
      <c r="G14" s="5"/>
      <c r="H14" s="5">
        <f t="shared" si="2"/>
        <v>2128</v>
      </c>
      <c r="I14" s="5">
        <f t="shared" si="3"/>
        <v>0</v>
      </c>
      <c r="J14" s="5">
        <f>Table1[[#This Row],[Enrolment S.Y. 2025-2026 ]]*8</f>
        <v>2128</v>
      </c>
      <c r="K14" s="5"/>
      <c r="L14" s="1"/>
      <c r="M14" s="5"/>
      <c r="N14" s="5">
        <f t="shared" si="10"/>
        <v>2128</v>
      </c>
      <c r="O14" s="5">
        <f t="shared" si="11"/>
        <v>0</v>
      </c>
      <c r="P14" s="5">
        <f>Table1[[#This Row],[Enrolment S.Y. 2025-2026 ]]*8</f>
        <v>2128</v>
      </c>
      <c r="Q14" s="5"/>
      <c r="R14" s="1"/>
      <c r="S14" s="5"/>
      <c r="T14" s="5">
        <f t="shared" si="12"/>
        <v>2128</v>
      </c>
      <c r="U14" s="5">
        <f t="shared" si="13"/>
        <v>0</v>
      </c>
      <c r="V14" s="5">
        <f>Table1[[#This Row],[Enrolment S.Y. 2025-2026 ]]*8</f>
        <v>2128</v>
      </c>
      <c r="W14" s="5"/>
      <c r="X14" s="1"/>
      <c r="Y14" s="5"/>
      <c r="Z14" s="5">
        <f t="shared" si="14"/>
        <v>2128</v>
      </c>
      <c r="AA14" s="5">
        <f t="shared" si="15"/>
        <v>0</v>
      </c>
    </row>
    <row r="15" spans="1:27" ht="19.5">
      <c r="A15" s="1">
        <v>2</v>
      </c>
      <c r="B15" s="2" t="s">
        <v>9</v>
      </c>
      <c r="C15" s="1">
        <v>266</v>
      </c>
      <c r="D15" s="5">
        <f>Table1[[#This Row],[Enrolment S.Y. 2025-2026 ]]*8</f>
        <v>2128</v>
      </c>
      <c r="E15" s="5">
        <v>317</v>
      </c>
      <c r="F15" s="1">
        <v>2024</v>
      </c>
      <c r="G15" s="5" t="s">
        <v>62</v>
      </c>
      <c r="H15" s="5">
        <f t="shared" si="2"/>
        <v>1811</v>
      </c>
      <c r="I15" s="5">
        <f t="shared" si="3"/>
        <v>0</v>
      </c>
      <c r="J15" s="5">
        <f>Table1[[#This Row],[Enrolment S.Y. 2025-2026 ]]*8</f>
        <v>2128</v>
      </c>
      <c r="K15" s="5"/>
      <c r="L15" s="1"/>
      <c r="M15" s="5"/>
      <c r="N15" s="5">
        <f t="shared" si="10"/>
        <v>2128</v>
      </c>
      <c r="O15" s="5">
        <f t="shared" si="11"/>
        <v>0</v>
      </c>
      <c r="P15" s="5">
        <f>Table1[[#This Row],[Enrolment S.Y. 2025-2026 ]]*8</f>
        <v>2128</v>
      </c>
      <c r="Q15" s="5"/>
      <c r="R15" s="1"/>
      <c r="S15" s="5"/>
      <c r="T15" s="5">
        <f t="shared" si="12"/>
        <v>2128</v>
      </c>
      <c r="U15" s="5">
        <f t="shared" si="13"/>
        <v>0</v>
      </c>
      <c r="V15" s="5">
        <f>Table1[[#This Row],[Enrolment S.Y. 2025-2026 ]]*8</f>
        <v>2128</v>
      </c>
      <c r="W15" s="5"/>
      <c r="X15" s="1"/>
      <c r="Y15" s="5"/>
      <c r="Z15" s="5">
        <f t="shared" si="14"/>
        <v>2128</v>
      </c>
      <c r="AA15" s="5">
        <f t="shared" si="15"/>
        <v>0</v>
      </c>
    </row>
    <row r="16" spans="1:27" ht="19.5">
      <c r="A16" s="1">
        <v>2</v>
      </c>
      <c r="B16" s="2" t="s">
        <v>10</v>
      </c>
      <c r="C16" s="1">
        <v>266</v>
      </c>
      <c r="D16" s="5">
        <f>Table1[[#This Row],[Enrolment S.Y. 2025-2026 ]]*8</f>
        <v>2128</v>
      </c>
      <c r="E16" s="5"/>
      <c r="F16" s="1"/>
      <c r="G16" s="5"/>
      <c r="H16" s="5">
        <f t="shared" si="2"/>
        <v>2128</v>
      </c>
      <c r="I16" s="5">
        <f t="shared" si="3"/>
        <v>0</v>
      </c>
      <c r="J16" s="5">
        <f>Table1[[#This Row],[Enrolment S.Y. 2025-2026 ]]*8</f>
        <v>2128</v>
      </c>
      <c r="K16" s="5"/>
      <c r="L16" s="1"/>
      <c r="M16" s="5"/>
      <c r="N16" s="5">
        <f t="shared" si="10"/>
        <v>2128</v>
      </c>
      <c r="O16" s="5">
        <f t="shared" si="11"/>
        <v>0</v>
      </c>
      <c r="P16" s="5">
        <f>Table1[[#This Row],[Enrolment S.Y. 2025-2026 ]]*8</f>
        <v>2128</v>
      </c>
      <c r="Q16" s="5"/>
      <c r="R16" s="1"/>
      <c r="S16" s="5"/>
      <c r="T16" s="5">
        <f t="shared" si="12"/>
        <v>2128</v>
      </c>
      <c r="U16" s="5">
        <f t="shared" si="13"/>
        <v>0</v>
      </c>
      <c r="V16" s="5">
        <f>Table1[[#This Row],[Enrolment S.Y. 2025-2026 ]]*8</f>
        <v>2128</v>
      </c>
      <c r="W16" s="5"/>
      <c r="X16" s="1"/>
      <c r="Y16" s="5"/>
      <c r="Z16" s="5">
        <f t="shared" si="14"/>
        <v>2128</v>
      </c>
      <c r="AA16" s="5">
        <f t="shared" si="15"/>
        <v>0</v>
      </c>
    </row>
    <row r="17" spans="1:27" ht="19.5">
      <c r="A17" s="1">
        <v>2</v>
      </c>
      <c r="B17" s="2" t="s">
        <v>11</v>
      </c>
      <c r="C17" s="1">
        <v>266</v>
      </c>
      <c r="D17" s="5">
        <f>Table1[[#This Row],[Enrolment S.Y. 2025-2026 ]]*8</f>
        <v>2128</v>
      </c>
      <c r="E17" s="5"/>
      <c r="F17" s="1"/>
      <c r="G17" s="5"/>
      <c r="H17" s="5">
        <f t="shared" si="2"/>
        <v>2128</v>
      </c>
      <c r="I17" s="5">
        <f t="shared" si="3"/>
        <v>0</v>
      </c>
      <c r="J17" s="5">
        <f>Table1[[#This Row],[Enrolment S.Y. 2025-2026 ]]*8</f>
        <v>2128</v>
      </c>
      <c r="K17" s="5"/>
      <c r="L17" s="1"/>
      <c r="M17" s="5"/>
      <c r="N17" s="5">
        <f t="shared" si="10"/>
        <v>2128</v>
      </c>
      <c r="O17" s="5">
        <f t="shared" si="11"/>
        <v>0</v>
      </c>
      <c r="P17" s="5">
        <f>Table1[[#This Row],[Enrolment S.Y. 2025-2026 ]]*8</f>
        <v>2128</v>
      </c>
      <c r="Q17" s="5"/>
      <c r="R17" s="1"/>
      <c r="S17" s="5"/>
      <c r="T17" s="5">
        <f t="shared" si="12"/>
        <v>2128</v>
      </c>
      <c r="U17" s="5">
        <f t="shared" si="13"/>
        <v>0</v>
      </c>
      <c r="V17" s="5">
        <f>Table1[[#This Row],[Enrolment S.Y. 2025-2026 ]]*8</f>
        <v>2128</v>
      </c>
      <c r="W17" s="5"/>
      <c r="X17" s="1"/>
      <c r="Y17" s="5"/>
      <c r="Z17" s="5">
        <f t="shared" si="14"/>
        <v>2128</v>
      </c>
      <c r="AA17" s="5">
        <f t="shared" si="15"/>
        <v>0</v>
      </c>
    </row>
    <row r="18" spans="1:27" ht="19.5">
      <c r="A18" s="1">
        <v>2</v>
      </c>
      <c r="B18" s="2" t="s">
        <v>12</v>
      </c>
      <c r="C18" s="1">
        <v>266</v>
      </c>
      <c r="D18" s="5">
        <f>Table1[[#This Row],[Enrolment S.Y. 2025-2026 ]]*8</f>
        <v>2128</v>
      </c>
      <c r="E18" s="5">
        <v>2212</v>
      </c>
      <c r="F18" s="1">
        <v>2024</v>
      </c>
      <c r="G18" s="5" t="s">
        <v>62</v>
      </c>
      <c r="H18" s="5">
        <f t="shared" si="2"/>
        <v>0</v>
      </c>
      <c r="I18" s="5">
        <f t="shared" si="3"/>
        <v>84</v>
      </c>
      <c r="J18" s="5">
        <f>Table1[[#This Row],[Enrolment S.Y. 2025-2026 ]]*8</f>
        <v>2128</v>
      </c>
      <c r="K18" s="5"/>
      <c r="L18" s="1"/>
      <c r="M18" s="5"/>
      <c r="N18" s="5">
        <f t="shared" si="10"/>
        <v>2128</v>
      </c>
      <c r="O18" s="5">
        <f t="shared" si="11"/>
        <v>0</v>
      </c>
      <c r="P18" s="5">
        <f>Table1[[#This Row],[Enrolment S.Y. 2025-2026 ]]*8</f>
        <v>2128</v>
      </c>
      <c r="Q18" s="5"/>
      <c r="R18" s="1"/>
      <c r="S18" s="5"/>
      <c r="T18" s="5">
        <f t="shared" si="12"/>
        <v>2128</v>
      </c>
      <c r="U18" s="5">
        <f t="shared" si="13"/>
        <v>0</v>
      </c>
      <c r="V18" s="5">
        <f>Table1[[#This Row],[Enrolment S.Y. 2025-2026 ]]*8</f>
        <v>2128</v>
      </c>
      <c r="W18" s="5"/>
      <c r="X18" s="1"/>
      <c r="Y18" s="5"/>
      <c r="Z18" s="5">
        <f t="shared" si="14"/>
        <v>2128</v>
      </c>
      <c r="AA18" s="5">
        <f t="shared" si="15"/>
        <v>0</v>
      </c>
    </row>
    <row r="19" spans="1:27" ht="19.5">
      <c r="A19" s="1">
        <v>2</v>
      </c>
      <c r="B19" s="9" t="s">
        <v>15</v>
      </c>
      <c r="C19" s="1">
        <v>266</v>
      </c>
      <c r="D19" s="5">
        <f>Table1[[#This Row],[Enrolment S.Y. 2025-2026 ]]*8</f>
        <v>2128</v>
      </c>
      <c r="E19" s="5"/>
      <c r="F19" s="1"/>
      <c r="G19" s="5"/>
      <c r="H19" s="5">
        <f>IF((D19-E19)&lt;0,0,(D19-E19))</f>
        <v>2128</v>
      </c>
      <c r="I19" s="5">
        <f>IF((E19-D19)&lt;0,0,(E19-D19))</f>
        <v>0</v>
      </c>
      <c r="J19" s="5">
        <f>Table1[[#This Row],[Enrolment S.Y. 2025-2026 ]]*8</f>
        <v>2128</v>
      </c>
      <c r="K19" s="5"/>
      <c r="L19" s="1"/>
      <c r="M19" s="5"/>
      <c r="N19" s="5">
        <f t="shared" si="10"/>
        <v>2128</v>
      </c>
      <c r="O19" s="5">
        <f t="shared" si="11"/>
        <v>0</v>
      </c>
      <c r="P19" s="5">
        <f>Table1[[#This Row],[Enrolment S.Y. 2025-2026 ]]*8</f>
        <v>2128</v>
      </c>
      <c r="Q19" s="5"/>
      <c r="R19" s="1"/>
      <c r="S19" s="5"/>
      <c r="T19" s="5">
        <f t="shared" si="12"/>
        <v>2128</v>
      </c>
      <c r="U19" s="5">
        <f t="shared" si="13"/>
        <v>0</v>
      </c>
      <c r="V19" s="5">
        <f>Table1[[#This Row],[Enrolment S.Y. 2025-2026 ]]*8</f>
        <v>2128</v>
      </c>
      <c r="W19" s="5"/>
      <c r="X19" s="1"/>
      <c r="Y19" s="5"/>
      <c r="Z19" s="5">
        <f t="shared" si="14"/>
        <v>2128</v>
      </c>
      <c r="AA19" s="5">
        <f t="shared" si="15"/>
        <v>0</v>
      </c>
    </row>
    <row r="20" spans="1:27" ht="19.5">
      <c r="A20" s="1">
        <v>2</v>
      </c>
      <c r="B20" s="9" t="s">
        <v>14</v>
      </c>
      <c r="C20" s="1">
        <v>266</v>
      </c>
      <c r="D20" s="5">
        <f>Table1[[#This Row],[Enrolment S.Y. 2025-2026 ]]*8</f>
        <v>2128</v>
      </c>
      <c r="E20" s="5"/>
      <c r="F20" s="1"/>
      <c r="G20" s="5"/>
      <c r="H20" s="5">
        <f>IF((D20-E20)&lt;0,0,(D20-E20))</f>
        <v>2128</v>
      </c>
      <c r="I20" s="5">
        <f>IF((E20-D20)&lt;0,0,(E20-D20))</f>
        <v>0</v>
      </c>
      <c r="J20" s="5">
        <f>Table1[[#This Row],[Enrolment S.Y. 2025-2026 ]]*8</f>
        <v>2128</v>
      </c>
      <c r="K20" s="5"/>
      <c r="L20" s="1"/>
      <c r="M20" s="5"/>
      <c r="N20" s="5">
        <f t="shared" si="10"/>
        <v>2128</v>
      </c>
      <c r="O20" s="5">
        <f t="shared" si="11"/>
        <v>0</v>
      </c>
      <c r="P20" s="5">
        <f>Table1[[#This Row],[Enrolment S.Y. 2025-2026 ]]*8</f>
        <v>2128</v>
      </c>
      <c r="Q20" s="5"/>
      <c r="R20" s="1"/>
      <c r="S20" s="5"/>
      <c r="T20" s="5">
        <f t="shared" si="12"/>
        <v>2128</v>
      </c>
      <c r="U20" s="5">
        <f t="shared" si="13"/>
        <v>0</v>
      </c>
      <c r="V20" s="5">
        <f>Table1[[#This Row],[Enrolment S.Y. 2025-2026 ]]*8</f>
        <v>2128</v>
      </c>
      <c r="W20" s="5"/>
      <c r="X20" s="1"/>
      <c r="Y20" s="5"/>
      <c r="Z20" s="5">
        <f t="shared" si="14"/>
        <v>2128</v>
      </c>
      <c r="AA20" s="5">
        <f t="shared" si="15"/>
        <v>0</v>
      </c>
    </row>
    <row r="21" spans="1:27" ht="19.5">
      <c r="A21" s="1">
        <v>2</v>
      </c>
      <c r="B21" s="9" t="s">
        <v>61</v>
      </c>
      <c r="C21" s="1">
        <v>266</v>
      </c>
      <c r="D21" s="5">
        <f>Table1[[#This Row],[Enrolment S.Y. 2025-2026 ]]*8</f>
        <v>2128</v>
      </c>
      <c r="E21" s="5"/>
      <c r="F21" s="1"/>
      <c r="G21" s="5"/>
      <c r="H21" s="5">
        <f>IF((D21-E21)&lt;0,0,(D21-E21))</f>
        <v>2128</v>
      </c>
      <c r="I21" s="5">
        <f>IF((E21-D21)&lt;0,0,(E21-D21))</f>
        <v>0</v>
      </c>
      <c r="J21" s="5">
        <f>Table1[[#This Row],[Enrolment S.Y. 2025-2026 ]]*8</f>
        <v>2128</v>
      </c>
      <c r="K21" s="5"/>
      <c r="L21" s="1"/>
      <c r="M21" s="5"/>
      <c r="N21" s="5">
        <f t="shared" si="10"/>
        <v>2128</v>
      </c>
      <c r="O21" s="5">
        <f t="shared" si="11"/>
        <v>0</v>
      </c>
      <c r="P21" s="5">
        <f>Table1[[#This Row],[Enrolment S.Y. 2025-2026 ]]*8</f>
        <v>2128</v>
      </c>
      <c r="Q21" s="5"/>
      <c r="R21" s="1"/>
      <c r="S21" s="5"/>
      <c r="T21" s="5">
        <f t="shared" si="12"/>
        <v>2128</v>
      </c>
      <c r="U21" s="5">
        <f t="shared" si="13"/>
        <v>0</v>
      </c>
      <c r="V21" s="5">
        <f>Table1[[#This Row],[Enrolment S.Y. 2025-2026 ]]*8</f>
        <v>2128</v>
      </c>
      <c r="W21" s="5"/>
      <c r="X21" s="1"/>
      <c r="Y21" s="5"/>
      <c r="Z21" s="5">
        <f t="shared" si="14"/>
        <v>2128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293</v>
      </c>
      <c r="D23" s="5">
        <f>Table1[[#This Row],[Enrolment S.Y. 2025-2026 ]]*8</f>
        <v>2344</v>
      </c>
      <c r="E23" s="5">
        <v>1268</v>
      </c>
      <c r="F23" s="1">
        <v>2024</v>
      </c>
      <c r="G23" s="5" t="s">
        <v>62</v>
      </c>
      <c r="H23" s="5">
        <f t="shared" si="2"/>
        <v>1076</v>
      </c>
      <c r="I23" s="5">
        <f t="shared" si="3"/>
        <v>0</v>
      </c>
      <c r="J23" s="5">
        <f>Table1[[#This Row],[Enrolment S.Y. 2025-2026 ]]*8</f>
        <v>2344</v>
      </c>
      <c r="K23" s="5"/>
      <c r="L23" s="1"/>
      <c r="M23" s="5"/>
      <c r="N23" s="5">
        <f t="shared" si="10"/>
        <v>2344</v>
      </c>
      <c r="O23" s="5">
        <f t="shared" si="11"/>
        <v>0</v>
      </c>
      <c r="P23" s="5">
        <f>Table1[[#This Row],[Enrolment S.Y. 2025-2026 ]]*8</f>
        <v>2344</v>
      </c>
      <c r="Q23" s="5"/>
      <c r="R23" s="1"/>
      <c r="S23" s="5"/>
      <c r="T23" s="5">
        <f t="shared" si="12"/>
        <v>2344</v>
      </c>
      <c r="U23" s="5">
        <f t="shared" si="13"/>
        <v>0</v>
      </c>
      <c r="V23" s="5">
        <f>Table1[[#This Row],[Enrolment S.Y. 2025-2026 ]]*8</f>
        <v>2344</v>
      </c>
      <c r="W23" s="5"/>
      <c r="X23" s="1"/>
      <c r="Y23" s="5"/>
      <c r="Z23" s="5">
        <f t="shared" si="14"/>
        <v>2344</v>
      </c>
      <c r="AA23" s="5">
        <f t="shared" si="15"/>
        <v>0</v>
      </c>
    </row>
    <row r="24" spans="1:27" ht="19.5">
      <c r="A24" s="1">
        <v>3</v>
      </c>
      <c r="B24" s="2" t="s">
        <v>9</v>
      </c>
      <c r="C24" s="1">
        <v>293</v>
      </c>
      <c r="D24" s="5">
        <f>Table1[[#This Row],[Enrolment S.Y. 2025-2026 ]]*8</f>
        <v>2344</v>
      </c>
      <c r="E24" s="5">
        <v>634</v>
      </c>
      <c r="F24" s="1">
        <v>2024</v>
      </c>
      <c r="G24" s="5" t="s">
        <v>62</v>
      </c>
      <c r="H24" s="5">
        <f t="shared" si="2"/>
        <v>1710</v>
      </c>
      <c r="I24" s="5">
        <f t="shared" si="3"/>
        <v>0</v>
      </c>
      <c r="J24" s="5">
        <f>Table1[[#This Row],[Enrolment S.Y. 2025-2026 ]]*8</f>
        <v>2344</v>
      </c>
      <c r="K24" s="5"/>
      <c r="L24" s="1"/>
      <c r="M24" s="5"/>
      <c r="N24" s="5">
        <f t="shared" si="10"/>
        <v>2344</v>
      </c>
      <c r="O24" s="5">
        <f t="shared" si="11"/>
        <v>0</v>
      </c>
      <c r="P24" s="5">
        <f>Table1[[#This Row],[Enrolment S.Y. 2025-2026 ]]*8</f>
        <v>2344</v>
      </c>
      <c r="Q24" s="5"/>
      <c r="R24" s="1"/>
      <c r="S24" s="5"/>
      <c r="T24" s="5">
        <f t="shared" si="12"/>
        <v>2344</v>
      </c>
      <c r="U24" s="5">
        <f t="shared" si="13"/>
        <v>0</v>
      </c>
      <c r="V24" s="5">
        <f>Table1[[#This Row],[Enrolment S.Y. 2025-2026 ]]*8</f>
        <v>2344</v>
      </c>
      <c r="W24" s="5"/>
      <c r="X24" s="1"/>
      <c r="Y24" s="5"/>
      <c r="Z24" s="5">
        <f t="shared" si="14"/>
        <v>2344</v>
      </c>
      <c r="AA24" s="5">
        <f t="shared" si="15"/>
        <v>0</v>
      </c>
    </row>
    <row r="25" spans="1:27" ht="19.5">
      <c r="A25" s="1">
        <v>3</v>
      </c>
      <c r="B25" s="2" t="s">
        <v>10</v>
      </c>
      <c r="C25" s="1">
        <v>293</v>
      </c>
      <c r="D25" s="5">
        <f>Table1[[#This Row],[Enrolment S.Y. 2025-2026 ]]*8</f>
        <v>2344</v>
      </c>
      <c r="E25" s="5"/>
      <c r="F25" s="1"/>
      <c r="G25" s="5"/>
      <c r="H25" s="5">
        <f t="shared" si="2"/>
        <v>2344</v>
      </c>
      <c r="I25" s="5">
        <f t="shared" si="3"/>
        <v>0</v>
      </c>
      <c r="J25" s="5">
        <f>Table1[[#This Row],[Enrolment S.Y. 2025-2026 ]]*8</f>
        <v>2344</v>
      </c>
      <c r="K25" s="5"/>
      <c r="L25" s="1"/>
      <c r="M25" s="5"/>
      <c r="N25" s="5">
        <f t="shared" si="10"/>
        <v>2344</v>
      </c>
      <c r="O25" s="5">
        <f t="shared" si="11"/>
        <v>0</v>
      </c>
      <c r="P25" s="5">
        <f>Table1[[#This Row],[Enrolment S.Y. 2025-2026 ]]*8</f>
        <v>2344</v>
      </c>
      <c r="Q25" s="5"/>
      <c r="R25" s="1"/>
      <c r="S25" s="5"/>
      <c r="T25" s="5">
        <f t="shared" si="12"/>
        <v>2344</v>
      </c>
      <c r="U25" s="5">
        <f t="shared" si="13"/>
        <v>0</v>
      </c>
      <c r="V25" s="5">
        <f>Table1[[#This Row],[Enrolment S.Y. 2025-2026 ]]*8</f>
        <v>2344</v>
      </c>
      <c r="W25" s="5"/>
      <c r="X25" s="1"/>
      <c r="Y25" s="5"/>
      <c r="Z25" s="5">
        <f t="shared" si="14"/>
        <v>2344</v>
      </c>
      <c r="AA25" s="5">
        <f t="shared" si="15"/>
        <v>0</v>
      </c>
    </row>
    <row r="26" spans="1:27" ht="19.5">
      <c r="A26" s="1">
        <v>3</v>
      </c>
      <c r="B26" s="2" t="s">
        <v>13</v>
      </c>
      <c r="C26" s="1">
        <v>293</v>
      </c>
      <c r="D26" s="5">
        <f>Table1[[#This Row],[Enrolment S.Y. 2025-2026 ]]*8</f>
        <v>2344</v>
      </c>
      <c r="E26" s="5"/>
      <c r="F26" s="1"/>
      <c r="G26" s="5"/>
      <c r="H26" s="5">
        <f t="shared" si="2"/>
        <v>2344</v>
      </c>
      <c r="I26" s="5">
        <f t="shared" si="3"/>
        <v>0</v>
      </c>
      <c r="J26" s="5">
        <f>Table1[[#This Row],[Enrolment S.Y. 2025-2026 ]]*8</f>
        <v>2344</v>
      </c>
      <c r="K26" s="5"/>
      <c r="L26" s="1"/>
      <c r="M26" s="5"/>
      <c r="N26" s="5">
        <f t="shared" si="10"/>
        <v>2344</v>
      </c>
      <c r="O26" s="5">
        <f t="shared" si="11"/>
        <v>0</v>
      </c>
      <c r="P26" s="5">
        <f>Table1[[#This Row],[Enrolment S.Y. 2025-2026 ]]*8</f>
        <v>2344</v>
      </c>
      <c r="Q26" s="5"/>
      <c r="R26" s="1"/>
      <c r="S26" s="5"/>
      <c r="T26" s="5">
        <f t="shared" si="12"/>
        <v>2344</v>
      </c>
      <c r="U26" s="5">
        <f t="shared" si="13"/>
        <v>0</v>
      </c>
      <c r="V26" s="5">
        <f>Table1[[#This Row],[Enrolment S.Y. 2025-2026 ]]*8</f>
        <v>2344</v>
      </c>
      <c r="W26" s="5"/>
      <c r="X26" s="1"/>
      <c r="Y26" s="5"/>
      <c r="Z26" s="5">
        <f t="shared" si="14"/>
        <v>2344</v>
      </c>
      <c r="AA26" s="5">
        <f t="shared" si="15"/>
        <v>0</v>
      </c>
    </row>
    <row r="27" spans="1:27" ht="19.5">
      <c r="A27" s="1">
        <v>3</v>
      </c>
      <c r="B27" s="2" t="s">
        <v>11</v>
      </c>
      <c r="C27" s="1">
        <v>293</v>
      </c>
      <c r="D27" s="5">
        <f>Table1[[#This Row],[Enrolment S.Y. 2025-2026 ]]*8</f>
        <v>2344</v>
      </c>
      <c r="E27" s="5">
        <v>951</v>
      </c>
      <c r="F27" s="1">
        <v>2024</v>
      </c>
      <c r="G27" s="5" t="s">
        <v>62</v>
      </c>
      <c r="H27" s="5">
        <f t="shared" si="2"/>
        <v>1393</v>
      </c>
      <c r="I27" s="5">
        <f t="shared" si="3"/>
        <v>0</v>
      </c>
      <c r="J27" s="5">
        <f>Table1[[#This Row],[Enrolment S.Y. 2025-2026 ]]*8</f>
        <v>2344</v>
      </c>
      <c r="K27" s="5"/>
      <c r="L27" s="1"/>
      <c r="M27" s="5"/>
      <c r="N27" s="5">
        <f t="shared" si="10"/>
        <v>2344</v>
      </c>
      <c r="O27" s="5">
        <f t="shared" si="11"/>
        <v>0</v>
      </c>
      <c r="P27" s="5">
        <f>Table1[[#This Row],[Enrolment S.Y. 2025-2026 ]]*8</f>
        <v>2344</v>
      </c>
      <c r="Q27" s="5"/>
      <c r="R27" s="1"/>
      <c r="S27" s="5"/>
      <c r="T27" s="5">
        <f t="shared" si="12"/>
        <v>2344</v>
      </c>
      <c r="U27" s="5">
        <f t="shared" si="13"/>
        <v>0</v>
      </c>
      <c r="V27" s="5">
        <f>Table1[[#This Row],[Enrolment S.Y. 2025-2026 ]]*8</f>
        <v>2344</v>
      </c>
      <c r="W27" s="5"/>
      <c r="X27" s="1"/>
      <c r="Y27" s="5"/>
      <c r="Z27" s="5">
        <f t="shared" si="14"/>
        <v>2344</v>
      </c>
      <c r="AA27" s="5">
        <f t="shared" si="15"/>
        <v>0</v>
      </c>
    </row>
    <row r="28" spans="1:27" ht="19.5">
      <c r="A28" s="1">
        <v>3</v>
      </c>
      <c r="B28" s="2" t="s">
        <v>12</v>
      </c>
      <c r="C28" s="1">
        <v>293</v>
      </c>
      <c r="D28" s="5">
        <f>Table1[[#This Row],[Enrolment S.Y. 2025-2026 ]]*8</f>
        <v>2344</v>
      </c>
      <c r="E28" s="5">
        <v>3804</v>
      </c>
      <c r="F28" s="1">
        <v>2024</v>
      </c>
      <c r="G28" s="5" t="s">
        <v>62</v>
      </c>
      <c r="H28" s="5">
        <f t="shared" si="2"/>
        <v>0</v>
      </c>
      <c r="I28" s="5">
        <f t="shared" si="3"/>
        <v>1460</v>
      </c>
      <c r="J28" s="5">
        <f>Table1[[#This Row],[Enrolment S.Y. 2025-2026 ]]*8</f>
        <v>2344</v>
      </c>
      <c r="K28" s="5"/>
      <c r="L28" s="1"/>
      <c r="M28" s="5"/>
      <c r="N28" s="5">
        <f t="shared" si="10"/>
        <v>2344</v>
      </c>
      <c r="O28" s="5">
        <f t="shared" si="11"/>
        <v>0</v>
      </c>
      <c r="P28" s="5">
        <f>Table1[[#This Row],[Enrolment S.Y. 2025-2026 ]]*8</f>
        <v>2344</v>
      </c>
      <c r="Q28" s="5"/>
      <c r="R28" s="1"/>
      <c r="S28" s="5"/>
      <c r="T28" s="5">
        <f t="shared" si="12"/>
        <v>2344</v>
      </c>
      <c r="U28" s="5">
        <f t="shared" si="13"/>
        <v>0</v>
      </c>
      <c r="V28" s="5">
        <f>Table1[[#This Row],[Enrolment S.Y. 2025-2026 ]]*8</f>
        <v>2344</v>
      </c>
      <c r="W28" s="5"/>
      <c r="X28" s="1"/>
      <c r="Y28" s="5"/>
      <c r="Z28" s="5">
        <f t="shared" si="14"/>
        <v>2344</v>
      </c>
      <c r="AA28" s="5">
        <f t="shared" si="15"/>
        <v>0</v>
      </c>
    </row>
    <row r="29" spans="1:27" ht="19.5">
      <c r="A29" s="1">
        <v>3</v>
      </c>
      <c r="B29" s="9" t="s">
        <v>14</v>
      </c>
      <c r="C29" s="1">
        <v>293</v>
      </c>
      <c r="D29" s="5">
        <f>Table1[[#This Row],[Enrolment S.Y. 2025-2026 ]]*8</f>
        <v>2344</v>
      </c>
      <c r="E29" s="5"/>
      <c r="F29" s="1"/>
      <c r="G29" s="5"/>
      <c r="H29" s="5">
        <f>IF((D29-E29)&lt;0,0,(D29-E29))</f>
        <v>2344</v>
      </c>
      <c r="I29" s="5">
        <f>IF((E29-D29)&lt;0,0,(E29-D29))</f>
        <v>0</v>
      </c>
      <c r="J29" s="5">
        <f>Table1[[#This Row],[Enrolment S.Y. 2025-2026 ]]*8</f>
        <v>2344</v>
      </c>
      <c r="K29" s="5"/>
      <c r="L29" s="1"/>
      <c r="M29" s="5"/>
      <c r="N29" s="5">
        <f t="shared" si="10"/>
        <v>2344</v>
      </c>
      <c r="O29" s="5">
        <f t="shared" si="11"/>
        <v>0</v>
      </c>
      <c r="P29" s="5">
        <f>Table1[[#This Row],[Enrolment S.Y. 2025-2026 ]]*8</f>
        <v>2344</v>
      </c>
      <c r="Q29" s="5"/>
      <c r="R29" s="1"/>
      <c r="S29" s="5"/>
      <c r="T29" s="5">
        <f t="shared" si="12"/>
        <v>2344</v>
      </c>
      <c r="U29" s="5">
        <f t="shared" si="13"/>
        <v>0</v>
      </c>
      <c r="V29" s="5">
        <f>Table1[[#This Row],[Enrolment S.Y. 2025-2026 ]]*8</f>
        <v>2344</v>
      </c>
      <c r="W29" s="5"/>
      <c r="X29" s="1"/>
      <c r="Y29" s="5"/>
      <c r="Z29" s="5">
        <f t="shared" si="14"/>
        <v>2344</v>
      </c>
      <c r="AA29" s="5">
        <f t="shared" si="15"/>
        <v>0</v>
      </c>
    </row>
    <row r="30" spans="1:27" ht="19.5">
      <c r="A30" s="1">
        <v>3</v>
      </c>
      <c r="B30" s="9" t="s">
        <v>15</v>
      </c>
      <c r="C30" s="1">
        <v>293</v>
      </c>
      <c r="D30" s="5">
        <f>Table1[[#This Row],[Enrolment S.Y. 2025-2026 ]]*8</f>
        <v>2344</v>
      </c>
      <c r="E30" s="5">
        <v>1268</v>
      </c>
      <c r="F30" s="1">
        <v>2024</v>
      </c>
      <c r="G30" s="5" t="s">
        <v>62</v>
      </c>
      <c r="H30" s="5">
        <f>IF((D30-E30)&lt;0,0,(D30-E30))</f>
        <v>1076</v>
      </c>
      <c r="I30" s="5">
        <f>IF((E30-D30)&lt;0,0,(E30-D30))</f>
        <v>0</v>
      </c>
      <c r="J30" s="5">
        <f>Table1[[#This Row],[Enrolment S.Y. 2025-2026 ]]*8</f>
        <v>2344</v>
      </c>
      <c r="K30" s="5"/>
      <c r="L30" s="1"/>
      <c r="M30" s="5"/>
      <c r="N30" s="5">
        <f t="shared" si="10"/>
        <v>2344</v>
      </c>
      <c r="O30" s="5">
        <f t="shared" si="11"/>
        <v>0</v>
      </c>
      <c r="P30" s="5">
        <f>Table1[[#This Row],[Enrolment S.Y. 2025-2026 ]]*8</f>
        <v>2344</v>
      </c>
      <c r="Q30" s="5"/>
      <c r="R30" s="1"/>
      <c r="S30" s="5"/>
      <c r="T30" s="5">
        <f t="shared" si="12"/>
        <v>2344</v>
      </c>
      <c r="U30" s="5">
        <f t="shared" si="13"/>
        <v>0</v>
      </c>
      <c r="V30" s="5">
        <f>Table1[[#This Row],[Enrolment S.Y. 2025-2026 ]]*8</f>
        <v>2344</v>
      </c>
      <c r="W30" s="5"/>
      <c r="X30" s="1"/>
      <c r="Y30" s="5"/>
      <c r="Z30" s="5">
        <f t="shared" si="14"/>
        <v>2344</v>
      </c>
      <c r="AA30" s="5">
        <f t="shared" si="15"/>
        <v>0</v>
      </c>
    </row>
    <row r="31" spans="1:27" ht="19.5">
      <c r="A31" s="1">
        <v>3</v>
      </c>
      <c r="B31" s="9" t="s">
        <v>61</v>
      </c>
      <c r="C31" s="1">
        <v>293</v>
      </c>
      <c r="D31" s="5">
        <f>Table1[[#This Row],[Enrolment S.Y. 2025-2026 ]]*8</f>
        <v>2344</v>
      </c>
      <c r="E31" s="5"/>
      <c r="F31" s="1"/>
      <c r="G31" s="5"/>
      <c r="H31" s="5">
        <f>IF((D31-E31)&lt;0,0,(D31-E31))</f>
        <v>2344</v>
      </c>
      <c r="I31" s="5">
        <f>IF((E31-D31)&lt;0,0,(E31-D31))</f>
        <v>0</v>
      </c>
      <c r="J31" s="5">
        <f>Table1[[#This Row],[Enrolment S.Y. 2025-2026 ]]*8</f>
        <v>2344</v>
      </c>
      <c r="K31" s="5"/>
      <c r="L31" s="1"/>
      <c r="M31" s="5"/>
      <c r="N31" s="5">
        <f t="shared" si="10"/>
        <v>2344</v>
      </c>
      <c r="O31" s="5">
        <f t="shared" si="11"/>
        <v>0</v>
      </c>
      <c r="P31" s="5">
        <f>Table1[[#This Row],[Enrolment S.Y. 2025-2026 ]]*8</f>
        <v>2344</v>
      </c>
      <c r="Q31" s="5"/>
      <c r="R31" s="1"/>
      <c r="S31" s="5"/>
      <c r="T31" s="5">
        <f t="shared" si="12"/>
        <v>2344</v>
      </c>
      <c r="U31" s="5">
        <f t="shared" si="13"/>
        <v>0</v>
      </c>
      <c r="V31" s="5">
        <f>Table1[[#This Row],[Enrolment S.Y. 2025-2026 ]]*8</f>
        <v>2344</v>
      </c>
      <c r="W31" s="5"/>
      <c r="X31" s="1"/>
      <c r="Y31" s="5"/>
      <c r="Z31" s="5">
        <f t="shared" si="14"/>
        <v>2344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14</v>
      </c>
      <c r="C33" s="1">
        <v>309</v>
      </c>
      <c r="D33" s="5">
        <f>Table1[[#This Row],[Enrolment S.Y. 2025-2026 ]]*8</f>
        <v>2472</v>
      </c>
      <c r="E33" s="5"/>
      <c r="F33" s="1"/>
      <c r="G33" s="5"/>
      <c r="H33" s="5">
        <f t="shared" si="2"/>
        <v>2472</v>
      </c>
      <c r="I33" s="5">
        <f t="shared" si="3"/>
        <v>0</v>
      </c>
      <c r="J33" s="5">
        <f>Table1[[#This Row],[Enrolment S.Y. 2025-2026 ]]*8</f>
        <v>2472</v>
      </c>
      <c r="K33" s="5"/>
      <c r="L33" s="1"/>
      <c r="M33" s="5"/>
      <c r="N33" s="5">
        <f t="shared" si="10"/>
        <v>2472</v>
      </c>
      <c r="O33" s="5">
        <f t="shared" si="11"/>
        <v>0</v>
      </c>
      <c r="P33" s="5">
        <f>Table1[[#This Row],[Enrolment S.Y. 2025-2026 ]]*8</f>
        <v>2472</v>
      </c>
      <c r="Q33" s="5"/>
      <c r="R33" s="1"/>
      <c r="S33" s="5"/>
      <c r="T33" s="5">
        <f t="shared" si="12"/>
        <v>2472</v>
      </c>
      <c r="U33" s="5">
        <f t="shared" si="13"/>
        <v>0</v>
      </c>
      <c r="V33" s="5">
        <f>Table1[[#This Row],[Enrolment S.Y. 2025-2026 ]]*8</f>
        <v>2472</v>
      </c>
      <c r="W33" s="5"/>
      <c r="X33" s="1"/>
      <c r="Y33" s="5"/>
      <c r="Z33" s="5">
        <f t="shared" si="14"/>
        <v>2472</v>
      </c>
      <c r="AA33" s="5">
        <f t="shared" si="15"/>
        <v>0</v>
      </c>
    </row>
    <row r="34" spans="1:27" ht="19.5">
      <c r="A34" s="1">
        <v>4</v>
      </c>
      <c r="B34" s="9" t="s">
        <v>15</v>
      </c>
      <c r="C34" s="1">
        <v>309</v>
      </c>
      <c r="D34" s="5">
        <f>Table1[[#This Row],[Enrolment S.Y. 2025-2026 ]]*8</f>
        <v>2472</v>
      </c>
      <c r="E34" s="5">
        <v>43</v>
      </c>
      <c r="F34" s="1">
        <v>2024</v>
      </c>
      <c r="G34" s="5" t="s">
        <v>62</v>
      </c>
      <c r="H34" s="5">
        <f t="shared" si="2"/>
        <v>2429</v>
      </c>
      <c r="I34" s="5">
        <f t="shared" si="3"/>
        <v>0</v>
      </c>
      <c r="J34" s="5">
        <f>Table1[[#This Row],[Enrolment S.Y. 2025-2026 ]]*8</f>
        <v>2472</v>
      </c>
      <c r="K34" s="5"/>
      <c r="L34" s="1"/>
      <c r="M34" s="5"/>
      <c r="N34" s="5">
        <f t="shared" si="10"/>
        <v>2472</v>
      </c>
      <c r="O34" s="5">
        <f t="shared" si="11"/>
        <v>0</v>
      </c>
      <c r="P34" s="5">
        <f>Table1[[#This Row],[Enrolment S.Y. 2025-2026 ]]*8</f>
        <v>2472</v>
      </c>
      <c r="Q34" s="5"/>
      <c r="R34" s="1"/>
      <c r="S34" s="5"/>
      <c r="T34" s="5">
        <f t="shared" si="12"/>
        <v>2472</v>
      </c>
      <c r="U34" s="5">
        <f t="shared" si="13"/>
        <v>0</v>
      </c>
      <c r="V34" s="5">
        <f>Table1[[#This Row],[Enrolment S.Y. 2025-2026 ]]*8</f>
        <v>2472</v>
      </c>
      <c r="W34" s="5"/>
      <c r="X34" s="1"/>
      <c r="Y34" s="5"/>
      <c r="Z34" s="5">
        <f t="shared" si="14"/>
        <v>2472</v>
      </c>
      <c r="AA34" s="5">
        <f t="shared" si="15"/>
        <v>0</v>
      </c>
    </row>
    <row r="35" spans="1:27" ht="19.5">
      <c r="A35" s="1">
        <v>4</v>
      </c>
      <c r="B35" s="9" t="s">
        <v>12</v>
      </c>
      <c r="C35" s="1">
        <v>309</v>
      </c>
      <c r="D35" s="5">
        <f>Table1[[#This Row],[Enrolment S.Y. 2025-2026 ]]*8</f>
        <v>2472</v>
      </c>
      <c r="E35" s="5"/>
      <c r="F35" s="1"/>
      <c r="G35" s="5"/>
      <c r="H35" s="5">
        <f t="shared" si="2"/>
        <v>2472</v>
      </c>
      <c r="I35" s="5">
        <f t="shared" si="3"/>
        <v>0</v>
      </c>
      <c r="J35" s="5">
        <f>Table1[[#This Row],[Enrolment S.Y. 2025-2026 ]]*8</f>
        <v>2472</v>
      </c>
      <c r="K35" s="5"/>
      <c r="L35" s="1"/>
      <c r="M35" s="5"/>
      <c r="N35" s="5">
        <f t="shared" si="10"/>
        <v>2472</v>
      </c>
      <c r="O35" s="5">
        <f t="shared" si="11"/>
        <v>0</v>
      </c>
      <c r="P35" s="5">
        <f>Table1[[#This Row],[Enrolment S.Y. 2025-2026 ]]*8</f>
        <v>2472</v>
      </c>
      <c r="Q35" s="5"/>
      <c r="R35" s="1"/>
      <c r="S35" s="5"/>
      <c r="T35" s="5">
        <f t="shared" si="12"/>
        <v>2472</v>
      </c>
      <c r="U35" s="5">
        <f t="shared" si="13"/>
        <v>0</v>
      </c>
      <c r="V35" s="5">
        <f>Table1[[#This Row],[Enrolment S.Y. 2025-2026 ]]*8</f>
        <v>2472</v>
      </c>
      <c r="W35" s="5"/>
      <c r="X35" s="1"/>
      <c r="Y35" s="5"/>
      <c r="Z35" s="5">
        <f t="shared" si="14"/>
        <v>2472</v>
      </c>
      <c r="AA35" s="5">
        <f t="shared" si="15"/>
        <v>0</v>
      </c>
    </row>
    <row r="36" spans="1:27" ht="19.5">
      <c r="A36" s="1">
        <v>4</v>
      </c>
      <c r="B36" s="9" t="s">
        <v>10</v>
      </c>
      <c r="C36" s="1">
        <v>309</v>
      </c>
      <c r="D36" s="5">
        <f>Table1[[#This Row],[Enrolment S.Y. 2025-2026 ]]*8</f>
        <v>2472</v>
      </c>
      <c r="E36" s="5"/>
      <c r="F36" s="1"/>
      <c r="G36" s="5"/>
      <c r="H36" s="5">
        <f t="shared" si="2"/>
        <v>2472</v>
      </c>
      <c r="I36" s="5">
        <f t="shared" si="3"/>
        <v>0</v>
      </c>
      <c r="J36" s="5">
        <f>Table1[[#This Row],[Enrolment S.Y. 2025-2026 ]]*8</f>
        <v>2472</v>
      </c>
      <c r="K36" s="5"/>
      <c r="L36" s="1"/>
      <c r="M36" s="5"/>
      <c r="N36" s="5">
        <f t="shared" si="10"/>
        <v>2472</v>
      </c>
      <c r="O36" s="5">
        <f t="shared" si="11"/>
        <v>0</v>
      </c>
      <c r="P36" s="5">
        <f>Table1[[#This Row],[Enrolment S.Y. 2025-2026 ]]*8</f>
        <v>2472</v>
      </c>
      <c r="Q36" s="5"/>
      <c r="R36" s="1"/>
      <c r="S36" s="5"/>
      <c r="T36" s="5">
        <f t="shared" si="12"/>
        <v>2472</v>
      </c>
      <c r="U36" s="5">
        <f t="shared" si="13"/>
        <v>0</v>
      </c>
      <c r="V36" s="5">
        <f>Table1[[#This Row],[Enrolment S.Y. 2025-2026 ]]*8</f>
        <v>2472</v>
      </c>
      <c r="W36" s="5"/>
      <c r="X36" s="1"/>
      <c r="Y36" s="5"/>
      <c r="Z36" s="5">
        <f t="shared" si="14"/>
        <v>2472</v>
      </c>
      <c r="AA36" s="5">
        <f t="shared" si="15"/>
        <v>0</v>
      </c>
    </row>
    <row r="37" spans="1:27" ht="38.25">
      <c r="A37" s="1">
        <v>4</v>
      </c>
      <c r="B37" s="9" t="s">
        <v>16</v>
      </c>
      <c r="C37" s="1">
        <v>309</v>
      </c>
      <c r="D37" s="5">
        <f>Table1[[#This Row],[Enrolment S.Y. 2025-2026 ]]*8</f>
        <v>2472</v>
      </c>
      <c r="E37" s="5"/>
      <c r="F37" s="1"/>
      <c r="G37" s="5"/>
      <c r="H37" s="5">
        <f t="shared" si="2"/>
        <v>2472</v>
      </c>
      <c r="I37" s="5">
        <f t="shared" si="3"/>
        <v>0</v>
      </c>
      <c r="J37" s="5">
        <f>Table1[[#This Row],[Enrolment S.Y. 2025-2026 ]]*8</f>
        <v>2472</v>
      </c>
      <c r="K37" s="5"/>
      <c r="L37" s="1"/>
      <c r="M37" s="5"/>
      <c r="N37" s="5">
        <f t="shared" si="10"/>
        <v>2472</v>
      </c>
      <c r="O37" s="5">
        <f t="shared" si="11"/>
        <v>0</v>
      </c>
      <c r="P37" s="5">
        <f>Table1[[#This Row],[Enrolment S.Y. 2025-2026 ]]*8</f>
        <v>2472</v>
      </c>
      <c r="Q37" s="5"/>
      <c r="R37" s="1"/>
      <c r="S37" s="5"/>
      <c r="T37" s="5">
        <f t="shared" si="12"/>
        <v>2472</v>
      </c>
      <c r="U37" s="5">
        <f t="shared" si="13"/>
        <v>0</v>
      </c>
      <c r="V37" s="5">
        <f>Table1[[#This Row],[Enrolment S.Y. 2025-2026 ]]*8</f>
        <v>2472</v>
      </c>
      <c r="W37" s="5"/>
      <c r="X37" s="1"/>
      <c r="Y37" s="5"/>
      <c r="Z37" s="5">
        <f t="shared" si="14"/>
        <v>2472</v>
      </c>
      <c r="AA37" s="5">
        <f t="shared" si="15"/>
        <v>0</v>
      </c>
    </row>
    <row r="38" spans="1:27" ht="19.5">
      <c r="A38" s="1">
        <v>4</v>
      </c>
      <c r="B38" s="9" t="s">
        <v>13</v>
      </c>
      <c r="C38" s="1">
        <v>309</v>
      </c>
      <c r="D38" s="5">
        <f>Table1[[#This Row],[Enrolment S.Y. 2025-2026 ]]*8</f>
        <v>2472</v>
      </c>
      <c r="E38" s="5"/>
      <c r="F38" s="1"/>
      <c r="G38" s="5"/>
      <c r="H38" s="5">
        <f t="shared" si="2"/>
        <v>2472</v>
      </c>
      <c r="I38" s="5">
        <f t="shared" si="3"/>
        <v>0</v>
      </c>
      <c r="J38" s="5">
        <f>Table1[[#This Row],[Enrolment S.Y. 2025-2026 ]]*8</f>
        <v>2472</v>
      </c>
      <c r="K38" s="5"/>
      <c r="L38" s="1"/>
      <c r="M38" s="5"/>
      <c r="N38" s="5">
        <f t="shared" si="10"/>
        <v>2472</v>
      </c>
      <c r="O38" s="5">
        <f t="shared" si="11"/>
        <v>0</v>
      </c>
      <c r="P38" s="5">
        <f>Table1[[#This Row],[Enrolment S.Y. 2025-2026 ]]*8</f>
        <v>2472</v>
      </c>
      <c r="Q38" s="5"/>
      <c r="R38" s="1"/>
      <c r="S38" s="5"/>
      <c r="T38" s="5">
        <f t="shared" si="12"/>
        <v>2472</v>
      </c>
      <c r="U38" s="5">
        <f t="shared" si="13"/>
        <v>0</v>
      </c>
      <c r="V38" s="5">
        <f>Table1[[#This Row],[Enrolment S.Y. 2025-2026 ]]*8</f>
        <v>2472</v>
      </c>
      <c r="W38" s="5"/>
      <c r="X38" s="1"/>
      <c r="Y38" s="5"/>
      <c r="Z38" s="5">
        <f t="shared" si="14"/>
        <v>2472</v>
      </c>
      <c r="AA38" s="5">
        <f t="shared" si="15"/>
        <v>0</v>
      </c>
    </row>
    <row r="39" spans="1:27" ht="19.5">
      <c r="A39" s="1">
        <v>4</v>
      </c>
      <c r="B39" s="9" t="s">
        <v>17</v>
      </c>
      <c r="C39" s="1">
        <v>309</v>
      </c>
      <c r="D39" s="5">
        <f>Table1[[#This Row],[Enrolment S.Y. 2025-2026 ]]*8</f>
        <v>2472</v>
      </c>
      <c r="E39" s="5">
        <v>43</v>
      </c>
      <c r="F39" s="1">
        <v>2024</v>
      </c>
      <c r="G39" s="5" t="s">
        <v>62</v>
      </c>
      <c r="H39" s="5">
        <f t="shared" si="2"/>
        <v>2429</v>
      </c>
      <c r="I39" s="5">
        <f t="shared" si="3"/>
        <v>0</v>
      </c>
      <c r="J39" s="5">
        <f>Table1[[#This Row],[Enrolment S.Y. 2025-2026 ]]*8</f>
        <v>2472</v>
      </c>
      <c r="K39" s="5"/>
      <c r="L39" s="1"/>
      <c r="M39" s="5"/>
      <c r="N39" s="5">
        <f t="shared" si="10"/>
        <v>2472</v>
      </c>
      <c r="O39" s="5">
        <f t="shared" si="11"/>
        <v>0</v>
      </c>
      <c r="P39" s="5">
        <f>Table1[[#This Row],[Enrolment S.Y. 2025-2026 ]]*8</f>
        <v>2472</v>
      </c>
      <c r="Q39" s="5"/>
      <c r="R39" s="1"/>
      <c r="S39" s="5"/>
      <c r="T39" s="5">
        <f t="shared" si="12"/>
        <v>2472</v>
      </c>
      <c r="U39" s="5">
        <f t="shared" si="13"/>
        <v>0</v>
      </c>
      <c r="V39" s="5">
        <f>Table1[[#This Row],[Enrolment S.Y. 2025-2026 ]]*8</f>
        <v>2472</v>
      </c>
      <c r="W39" s="5"/>
      <c r="X39" s="1"/>
      <c r="Y39" s="5"/>
      <c r="Z39" s="5">
        <f t="shared" si="14"/>
        <v>2472</v>
      </c>
      <c r="AA39" s="5">
        <f t="shared" si="15"/>
        <v>0</v>
      </c>
    </row>
    <row r="40" spans="1:27" ht="19.5">
      <c r="A40" s="1">
        <v>4</v>
      </c>
      <c r="B40" s="9" t="s">
        <v>18</v>
      </c>
      <c r="C40" s="1">
        <v>309</v>
      </c>
      <c r="D40" s="5">
        <f>Table1[[#This Row],[Enrolment S.Y. 2025-2026 ]]*8</f>
        <v>2472</v>
      </c>
      <c r="E40" s="5"/>
      <c r="F40" s="1"/>
      <c r="G40" s="5"/>
      <c r="H40" s="5">
        <f t="shared" si="2"/>
        <v>2472</v>
      </c>
      <c r="I40" s="5">
        <f t="shared" si="3"/>
        <v>0</v>
      </c>
      <c r="J40" s="5">
        <f>Table1[[#This Row],[Enrolment S.Y. 2025-2026 ]]*8</f>
        <v>2472</v>
      </c>
      <c r="K40" s="5"/>
      <c r="L40" s="1"/>
      <c r="M40" s="5"/>
      <c r="N40" s="5">
        <f t="shared" si="10"/>
        <v>2472</v>
      </c>
      <c r="O40" s="5">
        <f t="shared" si="11"/>
        <v>0</v>
      </c>
      <c r="P40" s="5">
        <f>Table1[[#This Row],[Enrolment S.Y. 2025-2026 ]]*8</f>
        <v>2472</v>
      </c>
      <c r="Q40" s="5"/>
      <c r="R40" s="1"/>
      <c r="S40" s="5"/>
      <c r="T40" s="5">
        <f t="shared" si="12"/>
        <v>2472</v>
      </c>
      <c r="U40" s="5">
        <f t="shared" si="13"/>
        <v>0</v>
      </c>
      <c r="V40" s="5">
        <f>Table1[[#This Row],[Enrolment S.Y. 2025-2026 ]]*8</f>
        <v>2472</v>
      </c>
      <c r="W40" s="5"/>
      <c r="X40" s="1"/>
      <c r="Y40" s="5"/>
      <c r="Z40" s="5">
        <f t="shared" si="14"/>
        <v>2472</v>
      </c>
      <c r="AA40" s="5">
        <f t="shared" si="15"/>
        <v>0</v>
      </c>
    </row>
    <row r="41" spans="1:27" ht="19.5">
      <c r="A41" s="1">
        <v>4</v>
      </c>
      <c r="B41" s="9" t="s">
        <v>19</v>
      </c>
      <c r="C41" s="1">
        <v>309</v>
      </c>
      <c r="D41" s="5">
        <f>Table1[[#This Row],[Enrolment S.Y. 2025-2026 ]]*8</f>
        <v>2472</v>
      </c>
      <c r="E41" s="5"/>
      <c r="F41" s="1"/>
      <c r="G41" s="5"/>
      <c r="H41" s="5">
        <f t="shared" si="2"/>
        <v>2472</v>
      </c>
      <c r="I41" s="5">
        <f t="shared" si="3"/>
        <v>0</v>
      </c>
      <c r="J41" s="5">
        <f>Table1[[#This Row],[Enrolment S.Y. 2025-2026 ]]*8</f>
        <v>2472</v>
      </c>
      <c r="K41" s="5"/>
      <c r="L41" s="1"/>
      <c r="M41" s="5"/>
      <c r="N41" s="5">
        <f t="shared" si="10"/>
        <v>2472</v>
      </c>
      <c r="O41" s="5">
        <f t="shared" si="11"/>
        <v>0</v>
      </c>
      <c r="P41" s="5">
        <f>Table1[[#This Row],[Enrolment S.Y. 2025-2026 ]]*8</f>
        <v>2472</v>
      </c>
      <c r="Q41" s="5"/>
      <c r="R41" s="1"/>
      <c r="S41" s="5"/>
      <c r="T41" s="5">
        <f t="shared" si="12"/>
        <v>2472</v>
      </c>
      <c r="U41" s="5">
        <f t="shared" si="13"/>
        <v>0</v>
      </c>
      <c r="V41" s="5">
        <f>Table1[[#This Row],[Enrolment S.Y. 2025-2026 ]]*8</f>
        <v>2472</v>
      </c>
      <c r="W41" s="5"/>
      <c r="X41" s="1"/>
      <c r="Y41" s="5"/>
      <c r="Z41" s="5">
        <f t="shared" si="14"/>
        <v>2472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14</v>
      </c>
      <c r="C43" s="1">
        <v>285</v>
      </c>
      <c r="D43" s="5">
        <f>Table1[[#This Row],[Enrolment S.Y. 2025-2026 ]]*8</f>
        <v>2280</v>
      </c>
      <c r="E43" s="5"/>
      <c r="F43" s="1"/>
      <c r="G43" s="5"/>
      <c r="H43" s="5">
        <f t="shared" si="2"/>
        <v>2280</v>
      </c>
      <c r="I43" s="5">
        <f t="shared" si="3"/>
        <v>0</v>
      </c>
      <c r="J43" s="5">
        <f>Table1[[#This Row],[Enrolment S.Y. 2025-2026 ]]*8</f>
        <v>2280</v>
      </c>
      <c r="K43" s="5"/>
      <c r="L43" s="1"/>
      <c r="M43" s="5"/>
      <c r="N43" s="5">
        <f t="shared" si="10"/>
        <v>2280</v>
      </c>
      <c r="O43" s="5">
        <f t="shared" si="11"/>
        <v>0</v>
      </c>
      <c r="P43" s="5">
        <f>Table1[[#This Row],[Enrolment S.Y. 2025-2026 ]]*8</f>
        <v>2280</v>
      </c>
      <c r="Q43" s="5"/>
      <c r="R43" s="1"/>
      <c r="S43" s="5"/>
      <c r="T43" s="5">
        <f t="shared" si="12"/>
        <v>2280</v>
      </c>
      <c r="U43" s="5">
        <f t="shared" si="13"/>
        <v>0</v>
      </c>
      <c r="V43" s="5">
        <f>Table1[[#This Row],[Enrolment S.Y. 2025-2026 ]]*8</f>
        <v>2280</v>
      </c>
      <c r="W43" s="5"/>
      <c r="X43" s="1"/>
      <c r="Y43" s="5"/>
      <c r="Z43" s="5">
        <f t="shared" si="14"/>
        <v>2280</v>
      </c>
      <c r="AA43" s="5">
        <f t="shared" si="15"/>
        <v>0</v>
      </c>
    </row>
    <row r="44" spans="1:27" ht="19.5">
      <c r="A44" s="1">
        <v>5</v>
      </c>
      <c r="B44" s="9" t="s">
        <v>15</v>
      </c>
      <c r="C44" s="1">
        <v>285</v>
      </c>
      <c r="D44" s="5">
        <f>Table1[[#This Row],[Enrolment S.Y. 2025-2026 ]]*8</f>
        <v>2280</v>
      </c>
      <c r="E44" s="5"/>
      <c r="F44" s="1"/>
      <c r="G44" s="5"/>
      <c r="H44" s="5">
        <f t="shared" si="2"/>
        <v>2280</v>
      </c>
      <c r="I44" s="5">
        <f t="shared" si="3"/>
        <v>0</v>
      </c>
      <c r="J44" s="5">
        <f>Table1[[#This Row],[Enrolment S.Y. 2025-2026 ]]*8</f>
        <v>2280</v>
      </c>
      <c r="K44" s="5"/>
      <c r="L44" s="1"/>
      <c r="M44" s="5"/>
      <c r="N44" s="5">
        <f t="shared" si="10"/>
        <v>2280</v>
      </c>
      <c r="O44" s="5">
        <f t="shared" si="11"/>
        <v>0</v>
      </c>
      <c r="P44" s="5">
        <f>Table1[[#This Row],[Enrolment S.Y. 2025-2026 ]]*8</f>
        <v>2280</v>
      </c>
      <c r="Q44" s="5"/>
      <c r="R44" s="1"/>
      <c r="S44" s="5"/>
      <c r="T44" s="5">
        <f t="shared" si="12"/>
        <v>2280</v>
      </c>
      <c r="U44" s="5">
        <f t="shared" si="13"/>
        <v>0</v>
      </c>
      <c r="V44" s="5">
        <f>Table1[[#This Row],[Enrolment S.Y. 2025-2026 ]]*8</f>
        <v>2280</v>
      </c>
      <c r="W44" s="5"/>
      <c r="X44" s="1"/>
      <c r="Y44" s="5"/>
      <c r="Z44" s="5">
        <f t="shared" si="14"/>
        <v>2280</v>
      </c>
      <c r="AA44" s="5">
        <f t="shared" si="15"/>
        <v>0</v>
      </c>
    </row>
    <row r="45" spans="1:27" ht="19.5">
      <c r="A45" s="1">
        <v>5</v>
      </c>
      <c r="B45" s="9" t="s">
        <v>12</v>
      </c>
      <c r="C45" s="1">
        <v>285</v>
      </c>
      <c r="D45" s="5">
        <f>Table1[[#This Row],[Enrolment S.Y. 2025-2026 ]]*8</f>
        <v>2280</v>
      </c>
      <c r="E45" s="5"/>
      <c r="F45" s="1"/>
      <c r="G45" s="5"/>
      <c r="H45" s="5">
        <f t="shared" si="2"/>
        <v>2280</v>
      </c>
      <c r="I45" s="5">
        <f t="shared" si="3"/>
        <v>0</v>
      </c>
      <c r="J45" s="5">
        <f>Table1[[#This Row],[Enrolment S.Y. 2025-2026 ]]*8</f>
        <v>2280</v>
      </c>
      <c r="K45" s="5"/>
      <c r="L45" s="1"/>
      <c r="M45" s="5"/>
      <c r="N45" s="5">
        <f t="shared" si="10"/>
        <v>2280</v>
      </c>
      <c r="O45" s="5">
        <f t="shared" si="11"/>
        <v>0</v>
      </c>
      <c r="P45" s="5">
        <f>Table1[[#This Row],[Enrolment S.Y. 2025-2026 ]]*8</f>
        <v>2280</v>
      </c>
      <c r="Q45" s="5"/>
      <c r="R45" s="1"/>
      <c r="S45" s="5"/>
      <c r="T45" s="5">
        <f t="shared" si="12"/>
        <v>2280</v>
      </c>
      <c r="U45" s="5">
        <f t="shared" si="13"/>
        <v>0</v>
      </c>
      <c r="V45" s="5">
        <f>Table1[[#This Row],[Enrolment S.Y. 2025-2026 ]]*8</f>
        <v>2280</v>
      </c>
      <c r="W45" s="5"/>
      <c r="X45" s="1"/>
      <c r="Y45" s="5"/>
      <c r="Z45" s="5">
        <f t="shared" si="14"/>
        <v>2280</v>
      </c>
      <c r="AA45" s="5">
        <f t="shared" si="15"/>
        <v>0</v>
      </c>
    </row>
    <row r="46" spans="1:27" ht="19.5">
      <c r="A46" s="1">
        <v>5</v>
      </c>
      <c r="B46" s="9" t="s">
        <v>10</v>
      </c>
      <c r="C46" s="1">
        <v>285</v>
      </c>
      <c r="D46" s="5">
        <f>Table1[[#This Row],[Enrolment S.Y. 2025-2026 ]]*8</f>
        <v>2280</v>
      </c>
      <c r="E46" s="5"/>
      <c r="F46" s="1"/>
      <c r="G46" s="5"/>
      <c r="H46" s="5">
        <f t="shared" si="2"/>
        <v>2280</v>
      </c>
      <c r="I46" s="5">
        <f t="shared" si="3"/>
        <v>0</v>
      </c>
      <c r="J46" s="5">
        <f>Table1[[#This Row],[Enrolment S.Y. 2025-2026 ]]*8</f>
        <v>2280</v>
      </c>
      <c r="K46" s="5"/>
      <c r="L46" s="1"/>
      <c r="M46" s="5"/>
      <c r="N46" s="5">
        <f t="shared" si="10"/>
        <v>2280</v>
      </c>
      <c r="O46" s="5">
        <f t="shared" si="11"/>
        <v>0</v>
      </c>
      <c r="P46" s="5">
        <f>Table1[[#This Row],[Enrolment S.Y. 2025-2026 ]]*8</f>
        <v>2280</v>
      </c>
      <c r="Q46" s="5"/>
      <c r="R46" s="1"/>
      <c r="S46" s="5"/>
      <c r="T46" s="5">
        <f t="shared" si="12"/>
        <v>2280</v>
      </c>
      <c r="U46" s="5">
        <f t="shared" si="13"/>
        <v>0</v>
      </c>
      <c r="V46" s="5">
        <f>Table1[[#This Row],[Enrolment S.Y. 2025-2026 ]]*8</f>
        <v>2280</v>
      </c>
      <c r="W46" s="5"/>
      <c r="X46" s="1"/>
      <c r="Y46" s="5"/>
      <c r="Z46" s="5">
        <f t="shared" si="14"/>
        <v>2280</v>
      </c>
      <c r="AA46" s="5">
        <f t="shared" si="15"/>
        <v>0</v>
      </c>
    </row>
    <row r="47" spans="1:27" ht="38.25">
      <c r="A47" s="1">
        <v>5</v>
      </c>
      <c r="B47" s="9" t="s">
        <v>16</v>
      </c>
      <c r="C47" s="1">
        <v>285</v>
      </c>
      <c r="D47" s="5">
        <f>Table1[[#This Row],[Enrolment S.Y. 2025-2026 ]]*8</f>
        <v>2280</v>
      </c>
      <c r="E47" s="5"/>
      <c r="F47" s="1"/>
      <c r="G47" s="5"/>
      <c r="H47" s="5">
        <f t="shared" si="2"/>
        <v>2280</v>
      </c>
      <c r="I47" s="5">
        <f t="shared" si="3"/>
        <v>0</v>
      </c>
      <c r="J47" s="5">
        <f>Table1[[#This Row],[Enrolment S.Y. 2025-2026 ]]*8</f>
        <v>2280</v>
      </c>
      <c r="K47" s="5"/>
      <c r="L47" s="1"/>
      <c r="M47" s="5"/>
      <c r="N47" s="5">
        <f t="shared" si="10"/>
        <v>2280</v>
      </c>
      <c r="O47" s="5">
        <f t="shared" si="11"/>
        <v>0</v>
      </c>
      <c r="P47" s="5">
        <f>Table1[[#This Row],[Enrolment S.Y. 2025-2026 ]]*8</f>
        <v>2280</v>
      </c>
      <c r="Q47" s="5"/>
      <c r="R47" s="1"/>
      <c r="S47" s="5"/>
      <c r="T47" s="5">
        <f t="shared" si="12"/>
        <v>2280</v>
      </c>
      <c r="U47" s="5">
        <f t="shared" si="13"/>
        <v>0</v>
      </c>
      <c r="V47" s="5">
        <f>Table1[[#This Row],[Enrolment S.Y. 2025-2026 ]]*8</f>
        <v>2280</v>
      </c>
      <c r="W47" s="5"/>
      <c r="X47" s="1"/>
      <c r="Y47" s="5"/>
      <c r="Z47" s="5">
        <f t="shared" si="14"/>
        <v>2280</v>
      </c>
      <c r="AA47" s="5">
        <f t="shared" si="15"/>
        <v>0</v>
      </c>
    </row>
    <row r="48" spans="1:27" ht="19.5">
      <c r="A48" s="1">
        <v>5</v>
      </c>
      <c r="B48" s="9" t="s">
        <v>13</v>
      </c>
      <c r="C48" s="1">
        <v>285</v>
      </c>
      <c r="D48" s="5">
        <f>Table1[[#This Row],[Enrolment S.Y. 2025-2026 ]]*8</f>
        <v>2280</v>
      </c>
      <c r="E48" s="5"/>
      <c r="F48" s="1"/>
      <c r="G48" s="5"/>
      <c r="H48" s="5">
        <f t="shared" si="2"/>
        <v>2280</v>
      </c>
      <c r="I48" s="5">
        <f t="shared" si="3"/>
        <v>0</v>
      </c>
      <c r="J48" s="5">
        <f>Table1[[#This Row],[Enrolment S.Y. 2025-2026 ]]*8</f>
        <v>2280</v>
      </c>
      <c r="K48" s="5"/>
      <c r="L48" s="1"/>
      <c r="M48" s="5"/>
      <c r="N48" s="5">
        <f t="shared" si="10"/>
        <v>2280</v>
      </c>
      <c r="O48" s="5">
        <f t="shared" si="11"/>
        <v>0</v>
      </c>
      <c r="P48" s="5">
        <f>Table1[[#This Row],[Enrolment S.Y. 2025-2026 ]]*8</f>
        <v>2280</v>
      </c>
      <c r="Q48" s="5"/>
      <c r="R48" s="1"/>
      <c r="S48" s="5"/>
      <c r="T48" s="5">
        <f t="shared" si="12"/>
        <v>2280</v>
      </c>
      <c r="U48" s="5">
        <f t="shared" si="13"/>
        <v>0</v>
      </c>
      <c r="V48" s="5">
        <f>Table1[[#This Row],[Enrolment S.Y. 2025-2026 ]]*8</f>
        <v>2280</v>
      </c>
      <c r="W48" s="5"/>
      <c r="X48" s="1"/>
      <c r="Y48" s="5"/>
      <c r="Z48" s="5">
        <f t="shared" si="14"/>
        <v>2280</v>
      </c>
      <c r="AA48" s="5">
        <f t="shared" si="15"/>
        <v>0</v>
      </c>
    </row>
    <row r="49" spans="1:27" ht="19.5">
      <c r="A49" s="1">
        <v>5</v>
      </c>
      <c r="B49" s="9" t="s">
        <v>17</v>
      </c>
      <c r="C49" s="1">
        <v>285</v>
      </c>
      <c r="D49" s="5">
        <f>Table1[[#This Row],[Enrolment S.Y. 2025-2026 ]]*8</f>
        <v>2280</v>
      </c>
      <c r="E49" s="5"/>
      <c r="F49" s="1"/>
      <c r="G49" s="5"/>
      <c r="H49" s="5">
        <f t="shared" si="2"/>
        <v>2280</v>
      </c>
      <c r="I49" s="5">
        <f t="shared" si="3"/>
        <v>0</v>
      </c>
      <c r="J49" s="5">
        <f>Table1[[#This Row],[Enrolment S.Y. 2025-2026 ]]*8</f>
        <v>2280</v>
      </c>
      <c r="K49" s="5"/>
      <c r="L49" s="1"/>
      <c r="M49" s="5"/>
      <c r="N49" s="5">
        <f t="shared" si="10"/>
        <v>2280</v>
      </c>
      <c r="O49" s="5">
        <f t="shared" si="11"/>
        <v>0</v>
      </c>
      <c r="P49" s="5">
        <f>Table1[[#This Row],[Enrolment S.Y. 2025-2026 ]]*8</f>
        <v>2280</v>
      </c>
      <c r="Q49" s="5"/>
      <c r="R49" s="1"/>
      <c r="S49" s="5"/>
      <c r="T49" s="5">
        <f t="shared" si="12"/>
        <v>2280</v>
      </c>
      <c r="U49" s="5">
        <f t="shared" si="13"/>
        <v>0</v>
      </c>
      <c r="V49" s="5">
        <f>Table1[[#This Row],[Enrolment S.Y. 2025-2026 ]]*8</f>
        <v>2280</v>
      </c>
      <c r="W49" s="5"/>
      <c r="X49" s="1"/>
      <c r="Y49" s="5"/>
      <c r="Z49" s="5">
        <f t="shared" si="14"/>
        <v>2280</v>
      </c>
      <c r="AA49" s="5">
        <f t="shared" si="15"/>
        <v>0</v>
      </c>
    </row>
    <row r="50" spans="1:27" ht="19.5">
      <c r="A50" s="1">
        <v>5</v>
      </c>
      <c r="B50" s="9" t="s">
        <v>18</v>
      </c>
      <c r="C50" s="1">
        <v>285</v>
      </c>
      <c r="D50" s="5">
        <f>Table1[[#This Row],[Enrolment S.Y. 2025-2026 ]]*8</f>
        <v>2280</v>
      </c>
      <c r="E50" s="5"/>
      <c r="F50" s="1"/>
      <c r="G50" s="5"/>
      <c r="H50" s="5">
        <f t="shared" si="2"/>
        <v>2280</v>
      </c>
      <c r="I50" s="5">
        <f t="shared" si="3"/>
        <v>0</v>
      </c>
      <c r="J50" s="5">
        <f>Table1[[#This Row],[Enrolment S.Y. 2025-2026 ]]*8</f>
        <v>2280</v>
      </c>
      <c r="K50" s="5"/>
      <c r="L50" s="1"/>
      <c r="M50" s="5"/>
      <c r="N50" s="5">
        <f t="shared" si="10"/>
        <v>2280</v>
      </c>
      <c r="O50" s="5">
        <f t="shared" si="11"/>
        <v>0</v>
      </c>
      <c r="P50" s="5">
        <f>Table1[[#This Row],[Enrolment S.Y. 2025-2026 ]]*8</f>
        <v>2280</v>
      </c>
      <c r="Q50" s="5"/>
      <c r="R50" s="1"/>
      <c r="S50" s="5"/>
      <c r="T50" s="5">
        <f t="shared" si="12"/>
        <v>2280</v>
      </c>
      <c r="U50" s="5">
        <f t="shared" si="13"/>
        <v>0</v>
      </c>
      <c r="V50" s="5">
        <f>Table1[[#This Row],[Enrolment S.Y. 2025-2026 ]]*8</f>
        <v>2280</v>
      </c>
      <c r="W50" s="5"/>
      <c r="X50" s="1"/>
      <c r="Y50" s="5"/>
      <c r="Z50" s="5">
        <f t="shared" si="14"/>
        <v>2280</v>
      </c>
      <c r="AA50" s="5">
        <f t="shared" si="15"/>
        <v>0</v>
      </c>
    </row>
    <row r="51" spans="1:27" ht="19.5">
      <c r="A51" s="1">
        <v>5</v>
      </c>
      <c r="B51" s="9" t="s">
        <v>19</v>
      </c>
      <c r="C51" s="1">
        <v>285</v>
      </c>
      <c r="D51" s="5">
        <f>Table1[[#This Row],[Enrolment S.Y. 2025-2026 ]]*8</f>
        <v>2280</v>
      </c>
      <c r="E51" s="5"/>
      <c r="F51" s="1"/>
      <c r="G51" s="5"/>
      <c r="H51" s="5">
        <f t="shared" si="2"/>
        <v>2280</v>
      </c>
      <c r="I51" s="5">
        <f t="shared" si="3"/>
        <v>0</v>
      </c>
      <c r="J51" s="5">
        <f>Table1[[#This Row],[Enrolment S.Y. 2025-2026 ]]*8</f>
        <v>2280</v>
      </c>
      <c r="K51" s="5"/>
      <c r="L51" s="1"/>
      <c r="M51" s="5"/>
      <c r="N51" s="5">
        <f t="shared" si="10"/>
        <v>2280</v>
      </c>
      <c r="O51" s="5">
        <f t="shared" si="11"/>
        <v>0</v>
      </c>
      <c r="P51" s="5">
        <f>Table1[[#This Row],[Enrolment S.Y. 2025-2026 ]]*8</f>
        <v>2280</v>
      </c>
      <c r="Q51" s="5"/>
      <c r="R51" s="1"/>
      <c r="S51" s="5"/>
      <c r="T51" s="5">
        <f t="shared" si="12"/>
        <v>2280</v>
      </c>
      <c r="U51" s="5">
        <f t="shared" si="13"/>
        <v>0</v>
      </c>
      <c r="V51" s="5">
        <f>Table1[[#This Row],[Enrolment S.Y. 2025-2026 ]]*8</f>
        <v>2280</v>
      </c>
      <c r="W51" s="5"/>
      <c r="X51" s="1"/>
      <c r="Y51" s="5"/>
      <c r="Z51" s="5">
        <f t="shared" si="14"/>
        <v>2280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14</v>
      </c>
      <c r="C53" s="1">
        <v>252</v>
      </c>
      <c r="D53" s="5">
        <f>Table1[[#This Row],[Enrolment S.Y. 2025-2026 ]]*8</f>
        <v>2016</v>
      </c>
      <c r="E53" s="5"/>
      <c r="F53" s="1"/>
      <c r="G53" s="5"/>
      <c r="H53" s="5">
        <f t="shared" si="2"/>
        <v>2016</v>
      </c>
      <c r="I53" s="5">
        <f t="shared" si="3"/>
        <v>0</v>
      </c>
      <c r="J53" s="5">
        <f>Table1[[#This Row],[Enrolment S.Y. 2025-2026 ]]*8</f>
        <v>2016</v>
      </c>
      <c r="K53" s="5"/>
      <c r="L53" s="1"/>
      <c r="M53" s="5"/>
      <c r="N53" s="5">
        <f t="shared" si="10"/>
        <v>2016</v>
      </c>
      <c r="O53" s="5">
        <f t="shared" si="11"/>
        <v>0</v>
      </c>
      <c r="P53" s="5">
        <f>Table1[[#This Row],[Enrolment S.Y. 2025-2026 ]]*8</f>
        <v>2016</v>
      </c>
      <c r="Q53" s="5"/>
      <c r="R53" s="1"/>
      <c r="S53" s="5"/>
      <c r="T53" s="5">
        <f t="shared" si="12"/>
        <v>2016</v>
      </c>
      <c r="U53" s="5">
        <f t="shared" si="13"/>
        <v>0</v>
      </c>
      <c r="V53" s="5">
        <f>Table1[[#This Row],[Enrolment S.Y. 2025-2026 ]]*8</f>
        <v>2016</v>
      </c>
      <c r="W53" s="5"/>
      <c r="X53" s="1"/>
      <c r="Y53" s="5"/>
      <c r="Z53" s="5">
        <f t="shared" si="14"/>
        <v>2016</v>
      </c>
      <c r="AA53" s="5">
        <f t="shared" si="15"/>
        <v>0</v>
      </c>
    </row>
    <row r="54" spans="1:27" ht="19.5">
      <c r="A54" s="1">
        <v>6</v>
      </c>
      <c r="B54" s="9" t="s">
        <v>15</v>
      </c>
      <c r="C54" s="1">
        <v>252</v>
      </c>
      <c r="D54" s="5">
        <f>Table1[[#This Row],[Enrolment S.Y. 2025-2026 ]]*8</f>
        <v>2016</v>
      </c>
      <c r="E54" s="5"/>
      <c r="F54" s="1"/>
      <c r="G54" s="5"/>
      <c r="H54" s="5">
        <f t="shared" si="2"/>
        <v>2016</v>
      </c>
      <c r="I54" s="5">
        <f t="shared" si="3"/>
        <v>0</v>
      </c>
      <c r="J54" s="5">
        <f>Table1[[#This Row],[Enrolment S.Y. 2025-2026 ]]*8</f>
        <v>2016</v>
      </c>
      <c r="K54" s="5"/>
      <c r="L54" s="1"/>
      <c r="M54" s="5"/>
      <c r="N54" s="5">
        <f t="shared" si="10"/>
        <v>2016</v>
      </c>
      <c r="O54" s="5">
        <f t="shared" si="11"/>
        <v>0</v>
      </c>
      <c r="P54" s="5">
        <f>Table1[[#This Row],[Enrolment S.Y. 2025-2026 ]]*8</f>
        <v>2016</v>
      </c>
      <c r="Q54" s="5"/>
      <c r="R54" s="1"/>
      <c r="S54" s="5"/>
      <c r="T54" s="5">
        <f t="shared" si="12"/>
        <v>2016</v>
      </c>
      <c r="U54" s="5">
        <f t="shared" si="13"/>
        <v>0</v>
      </c>
      <c r="V54" s="5">
        <f>Table1[[#This Row],[Enrolment S.Y. 2025-2026 ]]*8</f>
        <v>2016</v>
      </c>
      <c r="W54" s="5"/>
      <c r="X54" s="1"/>
      <c r="Y54" s="5"/>
      <c r="Z54" s="5">
        <f t="shared" si="14"/>
        <v>2016</v>
      </c>
      <c r="AA54" s="5">
        <f t="shared" si="15"/>
        <v>0</v>
      </c>
    </row>
    <row r="55" spans="1:27" ht="19.5">
      <c r="A55" s="1">
        <v>6</v>
      </c>
      <c r="B55" s="9" t="s">
        <v>12</v>
      </c>
      <c r="C55" s="1">
        <v>252</v>
      </c>
      <c r="D55" s="5">
        <f>Table1[[#This Row],[Enrolment S.Y. 2025-2026 ]]*8</f>
        <v>2016</v>
      </c>
      <c r="E55" s="5"/>
      <c r="F55" s="1"/>
      <c r="G55" s="5"/>
      <c r="H55" s="5">
        <f t="shared" si="2"/>
        <v>2016</v>
      </c>
      <c r="I55" s="5">
        <f t="shared" si="3"/>
        <v>0</v>
      </c>
      <c r="J55" s="5">
        <f>Table1[[#This Row],[Enrolment S.Y. 2025-2026 ]]*8</f>
        <v>2016</v>
      </c>
      <c r="K55" s="5"/>
      <c r="L55" s="1"/>
      <c r="M55" s="5"/>
      <c r="N55" s="5">
        <f t="shared" si="10"/>
        <v>2016</v>
      </c>
      <c r="O55" s="5">
        <f t="shared" si="11"/>
        <v>0</v>
      </c>
      <c r="P55" s="5">
        <f>Table1[[#This Row],[Enrolment S.Y. 2025-2026 ]]*8</f>
        <v>2016</v>
      </c>
      <c r="Q55" s="5"/>
      <c r="R55" s="1"/>
      <c r="S55" s="5"/>
      <c r="T55" s="5">
        <f t="shared" si="12"/>
        <v>2016</v>
      </c>
      <c r="U55" s="5">
        <f t="shared" si="13"/>
        <v>0</v>
      </c>
      <c r="V55" s="5">
        <f>Table1[[#This Row],[Enrolment S.Y. 2025-2026 ]]*8</f>
        <v>2016</v>
      </c>
      <c r="W55" s="5"/>
      <c r="X55" s="1"/>
      <c r="Y55" s="5"/>
      <c r="Z55" s="5">
        <f t="shared" si="14"/>
        <v>2016</v>
      </c>
      <c r="AA55" s="5">
        <f t="shared" si="15"/>
        <v>0</v>
      </c>
    </row>
    <row r="56" spans="1:27" ht="19.5">
      <c r="A56" s="1">
        <v>6</v>
      </c>
      <c r="B56" s="9" t="s">
        <v>10</v>
      </c>
      <c r="C56" s="1">
        <v>252</v>
      </c>
      <c r="D56" s="5">
        <f>Table1[[#This Row],[Enrolment S.Y. 2025-2026 ]]*8</f>
        <v>2016</v>
      </c>
      <c r="E56" s="5"/>
      <c r="F56" s="1"/>
      <c r="G56" s="5"/>
      <c r="H56" s="5">
        <f t="shared" si="2"/>
        <v>2016</v>
      </c>
      <c r="I56" s="5">
        <f t="shared" si="3"/>
        <v>0</v>
      </c>
      <c r="J56" s="5">
        <f>Table1[[#This Row],[Enrolment S.Y. 2025-2026 ]]*8</f>
        <v>2016</v>
      </c>
      <c r="K56" s="5"/>
      <c r="L56" s="1"/>
      <c r="M56" s="5"/>
      <c r="N56" s="5">
        <f t="shared" si="10"/>
        <v>2016</v>
      </c>
      <c r="O56" s="5">
        <f t="shared" si="11"/>
        <v>0</v>
      </c>
      <c r="P56" s="5">
        <f>Table1[[#This Row],[Enrolment S.Y. 2025-2026 ]]*8</f>
        <v>2016</v>
      </c>
      <c r="Q56" s="5"/>
      <c r="R56" s="1"/>
      <c r="S56" s="5"/>
      <c r="T56" s="5">
        <f t="shared" si="12"/>
        <v>2016</v>
      </c>
      <c r="U56" s="5">
        <f t="shared" si="13"/>
        <v>0</v>
      </c>
      <c r="V56" s="5">
        <f>Table1[[#This Row],[Enrolment S.Y. 2025-2026 ]]*8</f>
        <v>2016</v>
      </c>
      <c r="W56" s="5"/>
      <c r="X56" s="1"/>
      <c r="Y56" s="5"/>
      <c r="Z56" s="5">
        <f t="shared" si="14"/>
        <v>2016</v>
      </c>
      <c r="AA56" s="5">
        <f t="shared" si="15"/>
        <v>0</v>
      </c>
    </row>
    <row r="57" spans="1:27" ht="38.25">
      <c r="A57" s="1">
        <v>6</v>
      </c>
      <c r="B57" s="9" t="s">
        <v>16</v>
      </c>
      <c r="C57" s="1">
        <v>252</v>
      </c>
      <c r="D57" s="5">
        <f>Table1[[#This Row],[Enrolment S.Y. 2025-2026 ]]*8</f>
        <v>2016</v>
      </c>
      <c r="E57" s="5"/>
      <c r="F57" s="1"/>
      <c r="G57" s="5"/>
      <c r="H57" s="5">
        <f t="shared" si="2"/>
        <v>2016</v>
      </c>
      <c r="I57" s="5">
        <f t="shared" si="3"/>
        <v>0</v>
      </c>
      <c r="J57" s="5">
        <f>Table1[[#This Row],[Enrolment S.Y. 2025-2026 ]]*8</f>
        <v>2016</v>
      </c>
      <c r="K57" s="5"/>
      <c r="L57" s="1"/>
      <c r="M57" s="5"/>
      <c r="N57" s="5">
        <f t="shared" si="10"/>
        <v>2016</v>
      </c>
      <c r="O57" s="5">
        <f t="shared" si="11"/>
        <v>0</v>
      </c>
      <c r="P57" s="5">
        <f>Table1[[#This Row],[Enrolment S.Y. 2025-2026 ]]*8</f>
        <v>2016</v>
      </c>
      <c r="Q57" s="5"/>
      <c r="R57" s="1"/>
      <c r="S57" s="5"/>
      <c r="T57" s="5">
        <f t="shared" si="12"/>
        <v>2016</v>
      </c>
      <c r="U57" s="5">
        <f t="shared" si="13"/>
        <v>0</v>
      </c>
      <c r="V57" s="5">
        <f>Table1[[#This Row],[Enrolment S.Y. 2025-2026 ]]*8</f>
        <v>2016</v>
      </c>
      <c r="W57" s="5"/>
      <c r="X57" s="1"/>
      <c r="Y57" s="5"/>
      <c r="Z57" s="5">
        <f t="shared" si="14"/>
        <v>2016</v>
      </c>
      <c r="AA57" s="5">
        <f t="shared" si="15"/>
        <v>0</v>
      </c>
    </row>
    <row r="58" spans="1:27" ht="19.5">
      <c r="A58" s="1">
        <v>6</v>
      </c>
      <c r="B58" s="9" t="s">
        <v>13</v>
      </c>
      <c r="C58" s="1">
        <v>252</v>
      </c>
      <c r="D58" s="5">
        <f>Table1[[#This Row],[Enrolment S.Y. 2025-2026 ]]*8</f>
        <v>2016</v>
      </c>
      <c r="E58" s="5"/>
      <c r="F58" s="1"/>
      <c r="G58" s="5"/>
      <c r="H58" s="5">
        <f t="shared" si="2"/>
        <v>2016</v>
      </c>
      <c r="I58" s="5">
        <f t="shared" si="3"/>
        <v>0</v>
      </c>
      <c r="J58" s="5">
        <f>Table1[[#This Row],[Enrolment S.Y. 2025-2026 ]]*8</f>
        <v>2016</v>
      </c>
      <c r="K58" s="5"/>
      <c r="L58" s="1"/>
      <c r="M58" s="5"/>
      <c r="N58" s="5">
        <f t="shared" si="10"/>
        <v>2016</v>
      </c>
      <c r="O58" s="5">
        <f t="shared" si="11"/>
        <v>0</v>
      </c>
      <c r="P58" s="5">
        <f>Table1[[#This Row],[Enrolment S.Y. 2025-2026 ]]*8</f>
        <v>2016</v>
      </c>
      <c r="Q58" s="5"/>
      <c r="R58" s="1"/>
      <c r="S58" s="5"/>
      <c r="T58" s="5">
        <f t="shared" si="12"/>
        <v>2016</v>
      </c>
      <c r="U58" s="5">
        <f t="shared" si="13"/>
        <v>0</v>
      </c>
      <c r="V58" s="5">
        <f>Table1[[#This Row],[Enrolment S.Y. 2025-2026 ]]*8</f>
        <v>2016</v>
      </c>
      <c r="W58" s="5"/>
      <c r="X58" s="1"/>
      <c r="Y58" s="5"/>
      <c r="Z58" s="5">
        <f t="shared" si="14"/>
        <v>2016</v>
      </c>
      <c r="AA58" s="5">
        <f t="shared" si="15"/>
        <v>0</v>
      </c>
    </row>
    <row r="59" spans="1:27" ht="19.5">
      <c r="A59" s="1">
        <v>6</v>
      </c>
      <c r="B59" s="9" t="s">
        <v>17</v>
      </c>
      <c r="C59" s="1">
        <v>252</v>
      </c>
      <c r="D59" s="5">
        <f>Table1[[#This Row],[Enrolment S.Y. 2025-2026 ]]*8</f>
        <v>2016</v>
      </c>
      <c r="E59" s="5"/>
      <c r="F59" s="1"/>
      <c r="G59" s="5"/>
      <c r="H59" s="5">
        <f t="shared" si="2"/>
        <v>2016</v>
      </c>
      <c r="I59" s="5">
        <f t="shared" si="3"/>
        <v>0</v>
      </c>
      <c r="J59" s="5">
        <f>Table1[[#This Row],[Enrolment S.Y. 2025-2026 ]]*8</f>
        <v>2016</v>
      </c>
      <c r="K59" s="5"/>
      <c r="L59" s="1"/>
      <c r="M59" s="5"/>
      <c r="N59" s="5">
        <f t="shared" si="10"/>
        <v>2016</v>
      </c>
      <c r="O59" s="5">
        <f t="shared" si="11"/>
        <v>0</v>
      </c>
      <c r="P59" s="5">
        <f>Table1[[#This Row],[Enrolment S.Y. 2025-2026 ]]*8</f>
        <v>2016</v>
      </c>
      <c r="Q59" s="5"/>
      <c r="R59" s="1"/>
      <c r="S59" s="5"/>
      <c r="T59" s="5">
        <f t="shared" si="12"/>
        <v>2016</v>
      </c>
      <c r="U59" s="5">
        <f t="shared" si="13"/>
        <v>0</v>
      </c>
      <c r="V59" s="5">
        <f>Table1[[#This Row],[Enrolment S.Y. 2025-2026 ]]*8</f>
        <v>2016</v>
      </c>
      <c r="W59" s="5"/>
      <c r="X59" s="1"/>
      <c r="Y59" s="5"/>
      <c r="Z59" s="5">
        <f t="shared" si="14"/>
        <v>2016</v>
      </c>
      <c r="AA59" s="5">
        <f t="shared" si="15"/>
        <v>0</v>
      </c>
    </row>
    <row r="60" spans="1:27" ht="19.5">
      <c r="A60" s="1">
        <v>6</v>
      </c>
      <c r="B60" s="9" t="s">
        <v>18</v>
      </c>
      <c r="C60" s="1">
        <v>252</v>
      </c>
      <c r="D60" s="5">
        <f>Table1[[#This Row],[Enrolment S.Y. 2025-2026 ]]*8</f>
        <v>2016</v>
      </c>
      <c r="E60" s="5"/>
      <c r="F60" s="1"/>
      <c r="G60" s="5"/>
      <c r="H60" s="5">
        <f t="shared" si="2"/>
        <v>2016</v>
      </c>
      <c r="I60" s="5">
        <f t="shared" si="3"/>
        <v>0</v>
      </c>
      <c r="J60" s="5">
        <f>Table1[[#This Row],[Enrolment S.Y. 2025-2026 ]]*8</f>
        <v>2016</v>
      </c>
      <c r="K60" s="5"/>
      <c r="L60" s="1"/>
      <c r="M60" s="5"/>
      <c r="N60" s="5">
        <f t="shared" si="10"/>
        <v>2016</v>
      </c>
      <c r="O60" s="5">
        <f t="shared" si="11"/>
        <v>0</v>
      </c>
      <c r="P60" s="5">
        <f>Table1[[#This Row],[Enrolment S.Y. 2025-2026 ]]*8</f>
        <v>2016</v>
      </c>
      <c r="Q60" s="5"/>
      <c r="R60" s="1"/>
      <c r="S60" s="5"/>
      <c r="T60" s="5">
        <f t="shared" si="12"/>
        <v>2016</v>
      </c>
      <c r="U60" s="5">
        <f t="shared" si="13"/>
        <v>0</v>
      </c>
      <c r="V60" s="5">
        <f>Table1[[#This Row],[Enrolment S.Y. 2025-2026 ]]*8</f>
        <v>2016</v>
      </c>
      <c r="W60" s="5"/>
      <c r="X60" s="1"/>
      <c r="Y60" s="5"/>
      <c r="Z60" s="5">
        <f t="shared" si="14"/>
        <v>2016</v>
      </c>
      <c r="AA60" s="5">
        <f t="shared" si="15"/>
        <v>0</v>
      </c>
    </row>
    <row r="61" spans="1:27" ht="19.5">
      <c r="A61" s="1">
        <v>6</v>
      </c>
      <c r="B61" s="9" t="s">
        <v>19</v>
      </c>
      <c r="C61" s="1">
        <v>252</v>
      </c>
      <c r="D61" s="5">
        <f>Table1[[#This Row],[Enrolment S.Y. 2025-2026 ]]*8</f>
        <v>2016</v>
      </c>
      <c r="E61" s="5"/>
      <c r="F61" s="1"/>
      <c r="G61" s="5"/>
      <c r="H61" s="5">
        <f t="shared" si="2"/>
        <v>2016</v>
      </c>
      <c r="I61" s="5">
        <f t="shared" si="3"/>
        <v>0</v>
      </c>
      <c r="J61" s="5">
        <f>Table1[[#This Row],[Enrolment S.Y. 2025-2026 ]]*8</f>
        <v>2016</v>
      </c>
      <c r="K61" s="5"/>
      <c r="L61" s="1"/>
      <c r="M61" s="5"/>
      <c r="N61" s="5">
        <f t="shared" si="10"/>
        <v>2016</v>
      </c>
      <c r="O61" s="5">
        <f t="shared" si="11"/>
        <v>0</v>
      </c>
      <c r="P61" s="5">
        <f>Table1[[#This Row],[Enrolment S.Y. 2025-2026 ]]*8</f>
        <v>2016</v>
      </c>
      <c r="Q61" s="5"/>
      <c r="R61" s="1"/>
      <c r="S61" s="5"/>
      <c r="T61" s="5">
        <f t="shared" si="12"/>
        <v>2016</v>
      </c>
      <c r="U61" s="5">
        <f t="shared" si="13"/>
        <v>0</v>
      </c>
      <c r="V61" s="5">
        <f>Table1[[#This Row],[Enrolment S.Y. 2025-2026 ]]*8</f>
        <v>2016</v>
      </c>
      <c r="W61" s="5"/>
      <c r="X61" s="1"/>
      <c r="Y61" s="5"/>
      <c r="Z61" s="5">
        <f t="shared" si="14"/>
        <v>2016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opLeftCell="A15" zoomScale="55" zoomScaleNormal="55" workbookViewId="0">
      <selection activeCell="E27" sqref="E2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0" t="s">
        <v>72</v>
      </c>
      <c r="N2" s="40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41" t="s">
        <v>84</v>
      </c>
      <c r="Z2" s="41" t="s">
        <v>85</v>
      </c>
      <c r="AA2" s="26" t="s">
        <v>86</v>
      </c>
    </row>
    <row r="3" spans="1:27" ht="38.25">
      <c r="A3" s="1">
        <v>1</v>
      </c>
      <c r="B3" s="2" t="s">
        <v>8</v>
      </c>
      <c r="C3" s="1">
        <v>226</v>
      </c>
      <c r="D3" s="5">
        <f>Table14[[#This Row],[Enrolment S.Y. 2025-2026 ]]*8</f>
        <v>1808</v>
      </c>
      <c r="E3" s="5"/>
      <c r="F3" s="1"/>
      <c r="G3" s="5"/>
      <c r="H3" s="5">
        <f t="shared" ref="H3:H83" si="0">IF((D3-E3)&lt;0,0,(D3-E3))</f>
        <v>1808</v>
      </c>
      <c r="I3" s="5">
        <f t="shared" ref="I3:I83" si="1">IF((E3-D3)&lt;0,0,(E3-D3))</f>
        <v>0</v>
      </c>
      <c r="J3" s="5">
        <f>Table14[[#This Row],[Enrolment S.Y. 2025-2026 ]]*8</f>
        <v>1808</v>
      </c>
      <c r="K3" s="5"/>
      <c r="L3" s="1"/>
      <c r="M3" s="5"/>
      <c r="N3" s="5">
        <f t="shared" ref="N3:N72" si="2">IF((J3-K3)&lt;0,0,(J3-K3))</f>
        <v>1808</v>
      </c>
      <c r="O3" s="5">
        <f t="shared" ref="O3:O72" si="3">IF((K3-J3)&lt;0,0,(K3-J3))</f>
        <v>0</v>
      </c>
      <c r="P3" s="5">
        <f>Table14[[#This Row],[Enrolment S.Y. 2025-2026 ]]*8</f>
        <v>1808</v>
      </c>
      <c r="Q3" s="5"/>
      <c r="R3" s="1"/>
      <c r="S3" s="5"/>
      <c r="T3" s="5">
        <f t="shared" ref="T3:T72" si="4">IF((P3-Q3)&lt;0,0,(P3-Q3))</f>
        <v>1808</v>
      </c>
      <c r="U3" s="5">
        <f t="shared" ref="U3:U72" si="5">IF((Q3-P3)&lt;0,0,(Q3-P3))</f>
        <v>0</v>
      </c>
      <c r="V3" s="5">
        <f>Table14[[#This Row],[Enrolment S.Y. 2025-2026 ]]*8</f>
        <v>1808</v>
      </c>
      <c r="W3" s="5"/>
      <c r="X3" s="1"/>
      <c r="Y3" s="5"/>
      <c r="Z3" s="5">
        <f t="shared" ref="Z3:Z72" si="6">IF((V3-W3)&lt;0,0,(V3-W3))</f>
        <v>1808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9</v>
      </c>
      <c r="C4" s="1">
        <v>226</v>
      </c>
      <c r="D4" s="5">
        <f>Table14[[#This Row],[Enrolment S.Y. 2025-2026 ]]*8</f>
        <v>1808</v>
      </c>
      <c r="E4" s="5"/>
      <c r="F4" s="1"/>
      <c r="G4" s="5"/>
      <c r="H4" s="5">
        <f t="shared" si="0"/>
        <v>1808</v>
      </c>
      <c r="I4" s="5">
        <f t="shared" si="1"/>
        <v>0</v>
      </c>
      <c r="J4" s="5">
        <f>Table14[[#This Row],[Enrolment S.Y. 2025-2026 ]]*8</f>
        <v>1808</v>
      </c>
      <c r="K4" s="5"/>
      <c r="L4" s="1"/>
      <c r="M4" s="5"/>
      <c r="N4" s="5">
        <f t="shared" si="2"/>
        <v>1808</v>
      </c>
      <c r="O4" s="5">
        <f t="shared" si="3"/>
        <v>0</v>
      </c>
      <c r="P4" s="5">
        <f>Table14[[#This Row],[Enrolment S.Y. 2025-2026 ]]*8</f>
        <v>1808</v>
      </c>
      <c r="Q4" s="5"/>
      <c r="R4" s="1"/>
      <c r="S4" s="5"/>
      <c r="T4" s="5">
        <f t="shared" si="4"/>
        <v>1808</v>
      </c>
      <c r="U4" s="5">
        <f t="shared" si="5"/>
        <v>0</v>
      </c>
      <c r="V4" s="5">
        <f>Table14[[#This Row],[Enrolment S.Y. 2025-2026 ]]*8</f>
        <v>1808</v>
      </c>
      <c r="W4" s="5"/>
      <c r="X4" s="1"/>
      <c r="Y4" s="5"/>
      <c r="Z4" s="5">
        <f t="shared" si="6"/>
        <v>1808</v>
      </c>
      <c r="AA4" s="5">
        <f t="shared" si="7"/>
        <v>0</v>
      </c>
    </row>
    <row r="5" spans="1:27" ht="19.5">
      <c r="A5" s="1">
        <v>1</v>
      </c>
      <c r="B5" s="2" t="s">
        <v>10</v>
      </c>
      <c r="C5" s="1">
        <v>226</v>
      </c>
      <c r="D5" s="5">
        <f>Table14[[#This Row],[Enrolment S.Y. 2025-2026 ]]*8</f>
        <v>1808</v>
      </c>
      <c r="E5" s="5"/>
      <c r="F5" s="1"/>
      <c r="G5" s="5"/>
      <c r="H5" s="5">
        <f t="shared" si="0"/>
        <v>1808</v>
      </c>
      <c r="I5" s="5">
        <f t="shared" si="1"/>
        <v>0</v>
      </c>
      <c r="J5" s="5">
        <f>Table14[[#This Row],[Enrolment S.Y. 2025-2026 ]]*8</f>
        <v>1808</v>
      </c>
      <c r="K5" s="5"/>
      <c r="L5" s="1"/>
      <c r="M5" s="5"/>
      <c r="N5" s="5">
        <f t="shared" si="2"/>
        <v>1808</v>
      </c>
      <c r="O5" s="5">
        <f t="shared" si="3"/>
        <v>0</v>
      </c>
      <c r="P5" s="5">
        <f>Table14[[#This Row],[Enrolment S.Y. 2025-2026 ]]*8</f>
        <v>1808</v>
      </c>
      <c r="Q5" s="5"/>
      <c r="R5" s="1"/>
      <c r="S5" s="5"/>
      <c r="T5" s="5">
        <f t="shared" si="4"/>
        <v>1808</v>
      </c>
      <c r="U5" s="5">
        <f t="shared" si="5"/>
        <v>0</v>
      </c>
      <c r="V5" s="5">
        <f>Table14[[#This Row],[Enrolment S.Y. 2025-2026 ]]*8</f>
        <v>1808</v>
      </c>
      <c r="W5" s="5"/>
      <c r="X5" s="1"/>
      <c r="Y5" s="5"/>
      <c r="Z5" s="5">
        <f t="shared" si="6"/>
        <v>1808</v>
      </c>
      <c r="AA5" s="5">
        <f t="shared" si="7"/>
        <v>0</v>
      </c>
    </row>
    <row r="6" spans="1:27" ht="19.5">
      <c r="A6" s="1">
        <v>1</v>
      </c>
      <c r="B6" s="2" t="s">
        <v>11</v>
      </c>
      <c r="C6" s="1">
        <v>226</v>
      </c>
      <c r="D6" s="5">
        <f>Table14[[#This Row],[Enrolment S.Y. 2025-2026 ]]*8</f>
        <v>1808</v>
      </c>
      <c r="E6" s="5"/>
      <c r="F6" s="1"/>
      <c r="G6" s="5"/>
      <c r="H6" s="5">
        <f t="shared" si="0"/>
        <v>1808</v>
      </c>
      <c r="I6" s="5">
        <f t="shared" si="1"/>
        <v>0</v>
      </c>
      <c r="J6" s="5">
        <f>Table14[[#This Row],[Enrolment S.Y. 2025-2026 ]]*8</f>
        <v>1808</v>
      </c>
      <c r="K6" s="5"/>
      <c r="L6" s="1"/>
      <c r="M6" s="5"/>
      <c r="N6" s="5">
        <f t="shared" si="2"/>
        <v>1808</v>
      </c>
      <c r="O6" s="5">
        <f t="shared" si="3"/>
        <v>0</v>
      </c>
      <c r="P6" s="5">
        <f>Table14[[#This Row],[Enrolment S.Y. 2025-2026 ]]*8</f>
        <v>1808</v>
      </c>
      <c r="Q6" s="5"/>
      <c r="R6" s="1"/>
      <c r="S6" s="5"/>
      <c r="T6" s="5">
        <f t="shared" si="4"/>
        <v>1808</v>
      </c>
      <c r="U6" s="5">
        <f t="shared" si="5"/>
        <v>0</v>
      </c>
      <c r="V6" s="5">
        <f>Table14[[#This Row],[Enrolment S.Y. 2025-2026 ]]*8</f>
        <v>1808</v>
      </c>
      <c r="W6" s="5"/>
      <c r="X6" s="1"/>
      <c r="Y6" s="5"/>
      <c r="Z6" s="5">
        <f t="shared" si="6"/>
        <v>1808</v>
      </c>
      <c r="AA6" s="5">
        <f t="shared" si="7"/>
        <v>0</v>
      </c>
    </row>
    <row r="7" spans="1:27" ht="19.5">
      <c r="A7" s="1">
        <v>1</v>
      </c>
      <c r="B7" s="2" t="s">
        <v>12</v>
      </c>
      <c r="C7" s="1">
        <v>226</v>
      </c>
      <c r="D7" s="5">
        <f>Table14[[#This Row],[Enrolment S.Y. 2025-2026 ]]*8</f>
        <v>1808</v>
      </c>
      <c r="E7" s="5"/>
      <c r="F7" s="1"/>
      <c r="G7" s="5"/>
      <c r="H7" s="5">
        <f t="shared" si="0"/>
        <v>1808</v>
      </c>
      <c r="I7" s="5">
        <f t="shared" si="1"/>
        <v>0</v>
      </c>
      <c r="J7" s="5">
        <f>Table14[[#This Row],[Enrolment S.Y. 2025-2026 ]]*8</f>
        <v>1808</v>
      </c>
      <c r="K7" s="5"/>
      <c r="L7" s="1"/>
      <c r="M7" s="5"/>
      <c r="N7" s="5">
        <f t="shared" si="2"/>
        <v>1808</v>
      </c>
      <c r="O7" s="5">
        <f t="shared" si="3"/>
        <v>0</v>
      </c>
      <c r="P7" s="5">
        <f>Table14[[#This Row],[Enrolment S.Y. 2025-2026 ]]*8</f>
        <v>1808</v>
      </c>
      <c r="Q7" s="5"/>
      <c r="R7" s="1"/>
      <c r="S7" s="5"/>
      <c r="T7" s="5">
        <f t="shared" si="4"/>
        <v>1808</v>
      </c>
      <c r="U7" s="5">
        <f t="shared" si="5"/>
        <v>0</v>
      </c>
      <c r="V7" s="5">
        <f>Table14[[#This Row],[Enrolment S.Y. 2025-2026 ]]*8</f>
        <v>1808</v>
      </c>
      <c r="W7" s="5"/>
      <c r="X7" s="1"/>
      <c r="Y7" s="5"/>
      <c r="Z7" s="5">
        <f t="shared" si="6"/>
        <v>1808</v>
      </c>
      <c r="AA7" s="5">
        <f t="shared" si="7"/>
        <v>0</v>
      </c>
    </row>
    <row r="8" spans="1:27" ht="19.5">
      <c r="A8" s="1">
        <v>1</v>
      </c>
      <c r="B8" s="9" t="s">
        <v>14</v>
      </c>
      <c r="C8" s="1">
        <v>226</v>
      </c>
      <c r="D8" s="5">
        <f>Table14[[#This Row],[Enrolment S.Y. 2025-2026 ]]*8</f>
        <v>1808</v>
      </c>
      <c r="E8" s="5"/>
      <c r="F8" s="1"/>
      <c r="G8" s="5"/>
      <c r="H8" s="5">
        <f>IF((D8-E8)&lt;0,0,(D8-E8))</f>
        <v>1808</v>
      </c>
      <c r="I8" s="5">
        <f>IF((E8-D8)&lt;0,0,(E8-D8))</f>
        <v>0</v>
      </c>
      <c r="J8" s="5">
        <f>Table14[[#This Row],[Enrolment S.Y. 2025-2026 ]]*8</f>
        <v>1808</v>
      </c>
      <c r="K8" s="5"/>
      <c r="L8" s="1"/>
      <c r="M8" s="5"/>
      <c r="N8" s="5">
        <f t="shared" si="2"/>
        <v>1808</v>
      </c>
      <c r="O8" s="5">
        <f t="shared" si="3"/>
        <v>0</v>
      </c>
      <c r="P8" s="5">
        <f>Table14[[#This Row],[Enrolment S.Y. 2025-2026 ]]*8</f>
        <v>1808</v>
      </c>
      <c r="Q8" s="5"/>
      <c r="R8" s="1"/>
      <c r="S8" s="5"/>
      <c r="T8" s="5">
        <f t="shared" si="4"/>
        <v>1808</v>
      </c>
      <c r="U8" s="5">
        <f t="shared" si="5"/>
        <v>0</v>
      </c>
      <c r="V8" s="5">
        <f>Table14[[#This Row],[Enrolment S.Y. 2025-2026 ]]*8</f>
        <v>1808</v>
      </c>
      <c r="W8" s="5"/>
      <c r="X8" s="1"/>
      <c r="Y8" s="5"/>
      <c r="Z8" s="5">
        <f t="shared" si="6"/>
        <v>1808</v>
      </c>
      <c r="AA8" s="5">
        <f t="shared" si="7"/>
        <v>0</v>
      </c>
    </row>
    <row r="9" spans="1:27" ht="19.5">
      <c r="A9" s="1">
        <v>1</v>
      </c>
      <c r="B9" s="9" t="s">
        <v>15</v>
      </c>
      <c r="C9" s="1">
        <v>226</v>
      </c>
      <c r="D9" s="5">
        <f>Table14[[#This Row],[Enrolment S.Y. 2025-2026 ]]*8</f>
        <v>1808</v>
      </c>
      <c r="E9" s="5"/>
      <c r="F9" s="1"/>
      <c r="G9" s="5"/>
      <c r="H9" s="5">
        <f>IF((D9-E9)&lt;0,0,(D9-E9))</f>
        <v>1808</v>
      </c>
      <c r="I9" s="5">
        <f>IF((E9-D9)&lt;0,0,(E9-D9))</f>
        <v>0</v>
      </c>
      <c r="J9" s="5">
        <f>Table14[[#This Row],[Enrolment S.Y. 2025-2026 ]]*8</f>
        <v>1808</v>
      </c>
      <c r="K9" s="5"/>
      <c r="L9" s="1"/>
      <c r="M9" s="5"/>
      <c r="N9" s="5">
        <f t="shared" si="2"/>
        <v>1808</v>
      </c>
      <c r="O9" s="5">
        <f t="shared" si="3"/>
        <v>0</v>
      </c>
      <c r="P9" s="5">
        <f>Table14[[#This Row],[Enrolment S.Y. 2025-2026 ]]*8</f>
        <v>1808</v>
      </c>
      <c r="Q9" s="5"/>
      <c r="R9" s="1"/>
      <c r="S9" s="5"/>
      <c r="T9" s="5">
        <f t="shared" si="4"/>
        <v>1808</v>
      </c>
      <c r="U9" s="5">
        <f t="shared" si="5"/>
        <v>0</v>
      </c>
      <c r="V9" s="5">
        <f>Table14[[#This Row],[Enrolment S.Y. 2025-2026 ]]*8</f>
        <v>1808</v>
      </c>
      <c r="W9" s="5"/>
      <c r="X9" s="1"/>
      <c r="Y9" s="5"/>
      <c r="Z9" s="5">
        <f t="shared" si="6"/>
        <v>1808</v>
      </c>
      <c r="AA9" s="5">
        <f t="shared" si="7"/>
        <v>0</v>
      </c>
    </row>
    <row r="10" spans="1:27" ht="19.5">
      <c r="A10" s="1">
        <v>1</v>
      </c>
      <c r="B10" s="9" t="s">
        <v>61</v>
      </c>
      <c r="C10" s="1">
        <v>226</v>
      </c>
      <c r="D10" s="5">
        <f>Table14[[#This Row],[Enrolment S.Y. 2025-2026 ]]*8</f>
        <v>1808</v>
      </c>
      <c r="E10" s="5"/>
      <c r="F10" s="1"/>
      <c r="G10" s="5"/>
      <c r="H10" s="5">
        <f>IF((D10-E10)&lt;0,0,(D10-E10))</f>
        <v>1808</v>
      </c>
      <c r="I10" s="5">
        <f>IF((E10-D10)&lt;0,0,(E10-D10))</f>
        <v>0</v>
      </c>
      <c r="J10" s="5">
        <f>Table14[[#This Row],[Enrolment S.Y. 2025-2026 ]]*8</f>
        <v>1808</v>
      </c>
      <c r="K10" s="5"/>
      <c r="L10" s="1"/>
      <c r="M10" s="5"/>
      <c r="N10" s="5">
        <f t="shared" si="2"/>
        <v>1808</v>
      </c>
      <c r="O10" s="5">
        <f t="shared" si="3"/>
        <v>0</v>
      </c>
      <c r="P10" s="5">
        <f>Table14[[#This Row],[Enrolment S.Y. 2025-2026 ]]*8</f>
        <v>1808</v>
      </c>
      <c r="Q10" s="5"/>
      <c r="R10" s="1"/>
      <c r="S10" s="5"/>
      <c r="T10" s="5">
        <f t="shared" si="4"/>
        <v>1808</v>
      </c>
      <c r="U10" s="5">
        <f t="shared" si="5"/>
        <v>0</v>
      </c>
      <c r="V10" s="5">
        <f>Table14[[#This Row],[Enrolment S.Y. 2025-2026 ]]*8</f>
        <v>1808</v>
      </c>
      <c r="W10" s="5"/>
      <c r="X10" s="1"/>
      <c r="Y10" s="5"/>
      <c r="Z10" s="5">
        <f t="shared" si="6"/>
        <v>1808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266</v>
      </c>
      <c r="D12" s="5">
        <f>Table14[[#This Row],[Enrolment S.Y. 2025-2026 ]]*8</f>
        <v>2128</v>
      </c>
      <c r="E12" s="5">
        <v>632</v>
      </c>
      <c r="F12" s="1">
        <v>2024</v>
      </c>
      <c r="G12" s="5" t="s">
        <v>62</v>
      </c>
      <c r="H12" s="5">
        <f t="shared" si="0"/>
        <v>1496</v>
      </c>
      <c r="I12" s="5">
        <f t="shared" si="1"/>
        <v>0</v>
      </c>
      <c r="J12" s="5">
        <f>Table14[[#This Row],[Enrolment S.Y. 2025-2026 ]]*8</f>
        <v>2128</v>
      </c>
      <c r="K12" s="5"/>
      <c r="L12" s="1"/>
      <c r="M12" s="5"/>
      <c r="N12" s="5">
        <f t="shared" si="2"/>
        <v>2128</v>
      </c>
      <c r="O12" s="5">
        <f t="shared" si="3"/>
        <v>0</v>
      </c>
      <c r="P12" s="5">
        <f>Table14[[#This Row],[Enrolment S.Y. 2025-2026 ]]*8</f>
        <v>2128</v>
      </c>
      <c r="Q12" s="5"/>
      <c r="R12" s="1"/>
      <c r="S12" s="5"/>
      <c r="T12" s="5">
        <f t="shared" si="4"/>
        <v>2128</v>
      </c>
      <c r="U12" s="5">
        <f t="shared" si="5"/>
        <v>0</v>
      </c>
      <c r="V12" s="5">
        <f>Table14[[#This Row],[Enrolment S.Y. 2025-2026 ]]*8</f>
        <v>2128</v>
      </c>
      <c r="W12" s="5"/>
      <c r="X12" s="1"/>
      <c r="Y12" s="5"/>
      <c r="Z12" s="5">
        <f t="shared" si="6"/>
        <v>2128</v>
      </c>
      <c r="AA12" s="5">
        <f t="shared" si="7"/>
        <v>0</v>
      </c>
    </row>
    <row r="13" spans="1:27" ht="19.5">
      <c r="A13" s="1">
        <v>2</v>
      </c>
      <c r="B13" s="2" t="s">
        <v>9</v>
      </c>
      <c r="C13" s="1">
        <v>266</v>
      </c>
      <c r="D13" s="5">
        <f>Table14[[#This Row],[Enrolment S.Y. 2025-2026 ]]*8</f>
        <v>2128</v>
      </c>
      <c r="E13" s="5"/>
      <c r="F13" s="1"/>
      <c r="G13" s="5"/>
      <c r="H13" s="5">
        <f t="shared" si="0"/>
        <v>2128</v>
      </c>
      <c r="I13" s="5">
        <f t="shared" si="1"/>
        <v>0</v>
      </c>
      <c r="J13" s="5">
        <f>Table14[[#This Row],[Enrolment S.Y. 2025-2026 ]]*8</f>
        <v>2128</v>
      </c>
      <c r="K13" s="5"/>
      <c r="L13" s="1"/>
      <c r="M13" s="5"/>
      <c r="N13" s="5">
        <f t="shared" si="2"/>
        <v>2128</v>
      </c>
      <c r="O13" s="5">
        <f t="shared" si="3"/>
        <v>0</v>
      </c>
      <c r="P13" s="5">
        <f>Table14[[#This Row],[Enrolment S.Y. 2025-2026 ]]*8</f>
        <v>2128</v>
      </c>
      <c r="Q13" s="5"/>
      <c r="R13" s="1"/>
      <c r="S13" s="5"/>
      <c r="T13" s="5">
        <f t="shared" si="4"/>
        <v>2128</v>
      </c>
      <c r="U13" s="5">
        <f t="shared" si="5"/>
        <v>0</v>
      </c>
      <c r="V13" s="5">
        <f>Table14[[#This Row],[Enrolment S.Y. 2025-2026 ]]*8</f>
        <v>2128</v>
      </c>
      <c r="W13" s="5"/>
      <c r="X13" s="1"/>
      <c r="Y13" s="5"/>
      <c r="Z13" s="5">
        <f t="shared" si="6"/>
        <v>2128</v>
      </c>
      <c r="AA13" s="5">
        <f t="shared" si="7"/>
        <v>0</v>
      </c>
    </row>
    <row r="14" spans="1:27" ht="19.5">
      <c r="A14" s="1">
        <v>2</v>
      </c>
      <c r="B14" s="2" t="s">
        <v>10</v>
      </c>
      <c r="C14" s="1">
        <v>266</v>
      </c>
      <c r="D14" s="5">
        <f>Table14[[#This Row],[Enrolment S.Y. 2025-2026 ]]*8</f>
        <v>2128</v>
      </c>
      <c r="E14" s="5"/>
      <c r="F14" s="1"/>
      <c r="G14" s="5"/>
      <c r="H14" s="5">
        <f t="shared" si="0"/>
        <v>2128</v>
      </c>
      <c r="I14" s="5">
        <f t="shared" si="1"/>
        <v>0</v>
      </c>
      <c r="J14" s="5">
        <f>Table14[[#This Row],[Enrolment S.Y. 2025-2026 ]]*8</f>
        <v>2128</v>
      </c>
      <c r="K14" s="5"/>
      <c r="L14" s="1"/>
      <c r="M14" s="5"/>
      <c r="N14" s="5">
        <f t="shared" si="2"/>
        <v>2128</v>
      </c>
      <c r="O14" s="5">
        <f t="shared" si="3"/>
        <v>0</v>
      </c>
      <c r="P14" s="5">
        <f>Table14[[#This Row],[Enrolment S.Y. 2025-2026 ]]*8</f>
        <v>2128</v>
      </c>
      <c r="Q14" s="5"/>
      <c r="R14" s="1"/>
      <c r="S14" s="5"/>
      <c r="T14" s="5">
        <f t="shared" si="4"/>
        <v>2128</v>
      </c>
      <c r="U14" s="5">
        <f t="shared" si="5"/>
        <v>0</v>
      </c>
      <c r="V14" s="5">
        <f>Table14[[#This Row],[Enrolment S.Y. 2025-2026 ]]*8</f>
        <v>2128</v>
      </c>
      <c r="W14" s="5"/>
      <c r="X14" s="1"/>
      <c r="Y14" s="5"/>
      <c r="Z14" s="5">
        <f t="shared" si="6"/>
        <v>2128</v>
      </c>
      <c r="AA14" s="5">
        <f t="shared" si="7"/>
        <v>0</v>
      </c>
    </row>
    <row r="15" spans="1:27" ht="19.5">
      <c r="A15" s="1">
        <v>2</v>
      </c>
      <c r="B15" s="2" t="s">
        <v>11</v>
      </c>
      <c r="C15" s="1">
        <v>266</v>
      </c>
      <c r="D15" s="5">
        <f>Table14[[#This Row],[Enrolment S.Y. 2025-2026 ]]*8</f>
        <v>2128</v>
      </c>
      <c r="E15" s="5"/>
      <c r="F15" s="1"/>
      <c r="G15" s="5"/>
      <c r="H15" s="5">
        <f t="shared" si="0"/>
        <v>2128</v>
      </c>
      <c r="I15" s="5">
        <f t="shared" si="1"/>
        <v>0</v>
      </c>
      <c r="J15" s="5">
        <f>Table14[[#This Row],[Enrolment S.Y. 2025-2026 ]]*8</f>
        <v>2128</v>
      </c>
      <c r="K15" s="5"/>
      <c r="L15" s="1"/>
      <c r="M15" s="5"/>
      <c r="N15" s="5">
        <f t="shared" si="2"/>
        <v>2128</v>
      </c>
      <c r="O15" s="5">
        <f t="shared" si="3"/>
        <v>0</v>
      </c>
      <c r="P15" s="5">
        <f>Table14[[#This Row],[Enrolment S.Y. 2025-2026 ]]*8</f>
        <v>2128</v>
      </c>
      <c r="Q15" s="5"/>
      <c r="R15" s="1"/>
      <c r="S15" s="5"/>
      <c r="T15" s="5">
        <f t="shared" si="4"/>
        <v>2128</v>
      </c>
      <c r="U15" s="5">
        <f t="shared" si="5"/>
        <v>0</v>
      </c>
      <c r="V15" s="5">
        <f>Table14[[#This Row],[Enrolment S.Y. 2025-2026 ]]*8</f>
        <v>2128</v>
      </c>
      <c r="W15" s="5"/>
      <c r="X15" s="1"/>
      <c r="Y15" s="5"/>
      <c r="Z15" s="5">
        <f t="shared" si="6"/>
        <v>2128</v>
      </c>
      <c r="AA15" s="5">
        <f t="shared" si="7"/>
        <v>0</v>
      </c>
    </row>
    <row r="16" spans="1:27" ht="19.5">
      <c r="A16" s="1">
        <v>2</v>
      </c>
      <c r="B16" s="2" t="s">
        <v>12</v>
      </c>
      <c r="C16" s="1">
        <v>266</v>
      </c>
      <c r="D16" s="5">
        <f>Table14[[#This Row],[Enrolment S.Y. 2025-2026 ]]*8</f>
        <v>2128</v>
      </c>
      <c r="E16" s="5">
        <v>4424</v>
      </c>
      <c r="F16" s="1">
        <v>2024</v>
      </c>
      <c r="G16" s="5" t="s">
        <v>62</v>
      </c>
      <c r="H16" s="5">
        <f t="shared" si="0"/>
        <v>0</v>
      </c>
      <c r="I16" s="5">
        <f t="shared" si="1"/>
        <v>2296</v>
      </c>
      <c r="J16" s="5">
        <f>Table14[[#This Row],[Enrolment S.Y. 2025-2026 ]]*8</f>
        <v>2128</v>
      </c>
      <c r="K16" s="5"/>
      <c r="L16" s="1"/>
      <c r="M16" s="5"/>
      <c r="N16" s="5">
        <f t="shared" si="2"/>
        <v>2128</v>
      </c>
      <c r="O16" s="5">
        <f t="shared" si="3"/>
        <v>0</v>
      </c>
      <c r="P16" s="5">
        <f>Table14[[#This Row],[Enrolment S.Y. 2025-2026 ]]*8</f>
        <v>2128</v>
      </c>
      <c r="Q16" s="5"/>
      <c r="R16" s="1"/>
      <c r="S16" s="5"/>
      <c r="T16" s="5">
        <f t="shared" si="4"/>
        <v>2128</v>
      </c>
      <c r="U16" s="5">
        <f t="shared" si="5"/>
        <v>0</v>
      </c>
      <c r="V16" s="5">
        <f>Table14[[#This Row],[Enrolment S.Y. 2025-2026 ]]*8</f>
        <v>2128</v>
      </c>
      <c r="W16" s="5"/>
      <c r="X16" s="1"/>
      <c r="Y16" s="5"/>
      <c r="Z16" s="5">
        <f t="shared" si="6"/>
        <v>2128</v>
      </c>
      <c r="AA16" s="5">
        <f t="shared" si="7"/>
        <v>0</v>
      </c>
    </row>
    <row r="17" spans="1:27" ht="19.5">
      <c r="A17" s="1">
        <v>2</v>
      </c>
      <c r="B17" s="9" t="s">
        <v>15</v>
      </c>
      <c r="C17" s="1">
        <v>266</v>
      </c>
      <c r="D17" s="5">
        <f>Table14[[#This Row],[Enrolment S.Y. 2025-2026 ]]*8</f>
        <v>2128</v>
      </c>
      <c r="E17" s="5"/>
      <c r="F17" s="1"/>
      <c r="G17" s="5"/>
      <c r="H17" s="5">
        <f>IF((D17-E17)&lt;0,0,(D17-E17))</f>
        <v>2128</v>
      </c>
      <c r="I17" s="5">
        <f>IF((E17-D17)&lt;0,0,(E17-D17))</f>
        <v>0</v>
      </c>
      <c r="J17" s="5">
        <f>Table14[[#This Row],[Enrolment S.Y. 2025-2026 ]]*8</f>
        <v>2128</v>
      </c>
      <c r="K17" s="5"/>
      <c r="L17" s="1"/>
      <c r="M17" s="5"/>
      <c r="N17" s="5">
        <f t="shared" si="2"/>
        <v>2128</v>
      </c>
      <c r="O17" s="5">
        <f t="shared" si="3"/>
        <v>0</v>
      </c>
      <c r="P17" s="5">
        <f>Table14[[#This Row],[Enrolment S.Y. 2025-2026 ]]*8</f>
        <v>2128</v>
      </c>
      <c r="Q17" s="5"/>
      <c r="R17" s="1"/>
      <c r="S17" s="5"/>
      <c r="T17" s="5">
        <f t="shared" si="4"/>
        <v>2128</v>
      </c>
      <c r="U17" s="5">
        <f t="shared" si="5"/>
        <v>0</v>
      </c>
      <c r="V17" s="5">
        <f>Table14[[#This Row],[Enrolment S.Y. 2025-2026 ]]*8</f>
        <v>2128</v>
      </c>
      <c r="W17" s="5"/>
      <c r="X17" s="1"/>
      <c r="Y17" s="5"/>
      <c r="Z17" s="5">
        <f t="shared" si="6"/>
        <v>2128</v>
      </c>
      <c r="AA17" s="5">
        <f t="shared" si="7"/>
        <v>0</v>
      </c>
    </row>
    <row r="18" spans="1:27" ht="19.5">
      <c r="A18" s="1">
        <v>2</v>
      </c>
      <c r="B18" s="9" t="s">
        <v>14</v>
      </c>
      <c r="C18" s="1">
        <v>266</v>
      </c>
      <c r="D18" s="5">
        <f>Table14[[#This Row],[Enrolment S.Y. 2025-2026 ]]*8</f>
        <v>2128</v>
      </c>
      <c r="E18" s="5">
        <v>632</v>
      </c>
      <c r="F18" s="1">
        <v>2024</v>
      </c>
      <c r="G18" s="5" t="s">
        <v>62</v>
      </c>
      <c r="H18" s="5">
        <f>IF((D18-E18)&lt;0,0,(D18-E18))</f>
        <v>1496</v>
      </c>
      <c r="I18" s="5">
        <f>IF((E18-D18)&lt;0,0,(E18-D18))</f>
        <v>0</v>
      </c>
      <c r="J18" s="5">
        <f>Table14[[#This Row],[Enrolment S.Y. 2025-2026 ]]*8</f>
        <v>2128</v>
      </c>
      <c r="K18" s="5"/>
      <c r="L18" s="1"/>
      <c r="M18" s="5"/>
      <c r="N18" s="5">
        <f t="shared" si="2"/>
        <v>2128</v>
      </c>
      <c r="O18" s="5">
        <f t="shared" si="3"/>
        <v>0</v>
      </c>
      <c r="P18" s="5">
        <f>Table14[[#This Row],[Enrolment S.Y. 2025-2026 ]]*8</f>
        <v>2128</v>
      </c>
      <c r="Q18" s="5"/>
      <c r="R18" s="1"/>
      <c r="S18" s="5"/>
      <c r="T18" s="5">
        <f t="shared" si="4"/>
        <v>2128</v>
      </c>
      <c r="U18" s="5">
        <f t="shared" si="5"/>
        <v>0</v>
      </c>
      <c r="V18" s="5">
        <f>Table14[[#This Row],[Enrolment S.Y. 2025-2026 ]]*8</f>
        <v>2128</v>
      </c>
      <c r="W18" s="5"/>
      <c r="X18" s="1"/>
      <c r="Y18" s="5"/>
      <c r="Z18" s="5">
        <f t="shared" si="6"/>
        <v>2128</v>
      </c>
      <c r="AA18" s="5">
        <f t="shared" si="7"/>
        <v>0</v>
      </c>
    </row>
    <row r="19" spans="1:27" ht="19.5">
      <c r="A19" s="1">
        <v>2</v>
      </c>
      <c r="B19" s="9" t="s">
        <v>61</v>
      </c>
      <c r="C19" s="1">
        <v>266</v>
      </c>
      <c r="D19" s="5">
        <f>Table14[[#This Row],[Enrolment S.Y. 2025-2026 ]]*8</f>
        <v>2128</v>
      </c>
      <c r="E19" s="5"/>
      <c r="F19" s="1"/>
      <c r="G19" s="5"/>
      <c r="H19" s="5">
        <f>IF((D19-E19)&lt;0,0,(D19-E19))</f>
        <v>2128</v>
      </c>
      <c r="I19" s="5">
        <f>IF((E19-D19)&lt;0,0,(E19-D19))</f>
        <v>0</v>
      </c>
      <c r="J19" s="5">
        <f>Table14[[#This Row],[Enrolment S.Y. 2025-2026 ]]*8</f>
        <v>2128</v>
      </c>
      <c r="K19" s="5"/>
      <c r="L19" s="1"/>
      <c r="M19" s="5"/>
      <c r="N19" s="5">
        <f t="shared" si="2"/>
        <v>2128</v>
      </c>
      <c r="O19" s="5">
        <f t="shared" si="3"/>
        <v>0</v>
      </c>
      <c r="P19" s="5">
        <f>Table14[[#This Row],[Enrolment S.Y. 2025-2026 ]]*8</f>
        <v>2128</v>
      </c>
      <c r="Q19" s="5"/>
      <c r="R19" s="1"/>
      <c r="S19" s="5"/>
      <c r="T19" s="5">
        <f t="shared" si="4"/>
        <v>2128</v>
      </c>
      <c r="U19" s="5">
        <f t="shared" si="5"/>
        <v>0</v>
      </c>
      <c r="V19" s="5">
        <f>Table14[[#This Row],[Enrolment S.Y. 2025-2026 ]]*8</f>
        <v>2128</v>
      </c>
      <c r="W19" s="5"/>
      <c r="X19" s="1"/>
      <c r="Y19" s="5"/>
      <c r="Z19" s="5">
        <f t="shared" si="6"/>
        <v>2128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293</v>
      </c>
      <c r="D21" s="5">
        <f>Table14[[#This Row],[Enrolment S.Y. 2025-2026 ]]*8</f>
        <v>2344</v>
      </c>
      <c r="E21" s="5"/>
      <c r="F21" s="1"/>
      <c r="G21" s="5"/>
      <c r="H21" s="5">
        <f t="shared" si="0"/>
        <v>2344</v>
      </c>
      <c r="I21" s="5">
        <f t="shared" si="1"/>
        <v>0</v>
      </c>
      <c r="J21" s="5">
        <f>Table14[[#This Row],[Enrolment S.Y. 2025-2026 ]]*8</f>
        <v>2344</v>
      </c>
      <c r="K21" s="5"/>
      <c r="L21" s="1"/>
      <c r="M21" s="5"/>
      <c r="N21" s="5">
        <f t="shared" si="2"/>
        <v>2344</v>
      </c>
      <c r="O21" s="5">
        <f t="shared" si="3"/>
        <v>0</v>
      </c>
      <c r="P21" s="5">
        <f>Table14[[#This Row],[Enrolment S.Y. 2025-2026 ]]*8</f>
        <v>2344</v>
      </c>
      <c r="Q21" s="5"/>
      <c r="R21" s="1"/>
      <c r="S21" s="5"/>
      <c r="T21" s="5">
        <f t="shared" si="4"/>
        <v>2344</v>
      </c>
      <c r="U21" s="5">
        <f t="shared" si="5"/>
        <v>0</v>
      </c>
      <c r="V21" s="5">
        <f>Table14[[#This Row],[Enrolment S.Y. 2025-2026 ]]*8</f>
        <v>2344</v>
      </c>
      <c r="W21" s="5"/>
      <c r="X21" s="1"/>
      <c r="Y21" s="5"/>
      <c r="Z21" s="5">
        <f t="shared" si="6"/>
        <v>2344</v>
      </c>
      <c r="AA21" s="5">
        <f t="shared" si="7"/>
        <v>0</v>
      </c>
    </row>
    <row r="22" spans="1:27" ht="19.5">
      <c r="A22" s="1">
        <v>3</v>
      </c>
      <c r="B22" s="2" t="s">
        <v>9</v>
      </c>
      <c r="C22" s="1">
        <v>293</v>
      </c>
      <c r="D22" s="5">
        <f>Table14[[#This Row],[Enrolment S.Y. 2025-2026 ]]*8</f>
        <v>2344</v>
      </c>
      <c r="E22" s="5"/>
      <c r="F22" s="1"/>
      <c r="G22" s="5"/>
      <c r="H22" s="5">
        <f t="shared" si="0"/>
        <v>2344</v>
      </c>
      <c r="I22" s="5">
        <f t="shared" si="1"/>
        <v>0</v>
      </c>
      <c r="J22" s="5">
        <f>Table14[[#This Row],[Enrolment S.Y. 2025-2026 ]]*8</f>
        <v>2344</v>
      </c>
      <c r="K22" s="5"/>
      <c r="L22" s="1"/>
      <c r="M22" s="5"/>
      <c r="N22" s="5">
        <f t="shared" si="2"/>
        <v>2344</v>
      </c>
      <c r="O22" s="5">
        <f t="shared" si="3"/>
        <v>0</v>
      </c>
      <c r="P22" s="5">
        <f>Table14[[#This Row],[Enrolment S.Y. 2025-2026 ]]*8</f>
        <v>2344</v>
      </c>
      <c r="Q22" s="5"/>
      <c r="R22" s="1"/>
      <c r="S22" s="5"/>
      <c r="T22" s="5">
        <f t="shared" si="4"/>
        <v>2344</v>
      </c>
      <c r="U22" s="5">
        <f t="shared" si="5"/>
        <v>0</v>
      </c>
      <c r="V22" s="5">
        <f>Table14[[#This Row],[Enrolment S.Y. 2025-2026 ]]*8</f>
        <v>2344</v>
      </c>
      <c r="W22" s="5"/>
      <c r="X22" s="1"/>
      <c r="Y22" s="5"/>
      <c r="Z22" s="5">
        <f t="shared" si="6"/>
        <v>2344</v>
      </c>
      <c r="AA22" s="5">
        <f t="shared" si="7"/>
        <v>0</v>
      </c>
    </row>
    <row r="23" spans="1:27" ht="19.5">
      <c r="A23" s="1">
        <v>3</v>
      </c>
      <c r="B23" s="2" t="s">
        <v>10</v>
      </c>
      <c r="C23" s="1">
        <v>293</v>
      </c>
      <c r="D23" s="5">
        <f>Table14[[#This Row],[Enrolment S.Y. 2025-2026 ]]*8</f>
        <v>2344</v>
      </c>
      <c r="E23" s="5"/>
      <c r="F23" s="1"/>
      <c r="G23" s="5"/>
      <c r="H23" s="5">
        <f t="shared" si="0"/>
        <v>2344</v>
      </c>
      <c r="I23" s="5">
        <f t="shared" si="1"/>
        <v>0</v>
      </c>
      <c r="J23" s="5">
        <f>Table14[[#This Row],[Enrolment S.Y. 2025-2026 ]]*8</f>
        <v>2344</v>
      </c>
      <c r="K23" s="5"/>
      <c r="L23" s="1"/>
      <c r="M23" s="5"/>
      <c r="N23" s="5">
        <f t="shared" si="2"/>
        <v>2344</v>
      </c>
      <c r="O23" s="5">
        <f t="shared" si="3"/>
        <v>0</v>
      </c>
      <c r="P23" s="5">
        <f>Table14[[#This Row],[Enrolment S.Y. 2025-2026 ]]*8</f>
        <v>2344</v>
      </c>
      <c r="Q23" s="5"/>
      <c r="R23" s="1"/>
      <c r="S23" s="5"/>
      <c r="T23" s="5">
        <f t="shared" si="4"/>
        <v>2344</v>
      </c>
      <c r="U23" s="5">
        <f t="shared" si="5"/>
        <v>0</v>
      </c>
      <c r="V23" s="5">
        <f>Table14[[#This Row],[Enrolment S.Y. 2025-2026 ]]*8</f>
        <v>2344</v>
      </c>
      <c r="W23" s="5"/>
      <c r="X23" s="1"/>
      <c r="Y23" s="5"/>
      <c r="Z23" s="5">
        <f t="shared" si="6"/>
        <v>2344</v>
      </c>
      <c r="AA23" s="5">
        <f t="shared" si="7"/>
        <v>0</v>
      </c>
    </row>
    <row r="24" spans="1:27" ht="19.5">
      <c r="A24" s="1">
        <v>3</v>
      </c>
      <c r="B24" s="2" t="s">
        <v>13</v>
      </c>
      <c r="C24" s="1">
        <v>293</v>
      </c>
      <c r="D24" s="5">
        <f>Table14[[#This Row],[Enrolment S.Y. 2025-2026 ]]*8</f>
        <v>2344</v>
      </c>
      <c r="E24" s="5"/>
      <c r="F24" s="1"/>
      <c r="G24" s="5"/>
      <c r="H24" s="5">
        <f t="shared" si="0"/>
        <v>2344</v>
      </c>
      <c r="I24" s="5">
        <f t="shared" si="1"/>
        <v>0</v>
      </c>
      <c r="J24" s="5">
        <f>Table14[[#This Row],[Enrolment S.Y. 2025-2026 ]]*8</f>
        <v>2344</v>
      </c>
      <c r="K24" s="5"/>
      <c r="L24" s="1"/>
      <c r="M24" s="5"/>
      <c r="N24" s="5">
        <f t="shared" si="2"/>
        <v>2344</v>
      </c>
      <c r="O24" s="5">
        <f t="shared" si="3"/>
        <v>0</v>
      </c>
      <c r="P24" s="5">
        <f>Table14[[#This Row],[Enrolment S.Y. 2025-2026 ]]*8</f>
        <v>2344</v>
      </c>
      <c r="Q24" s="5"/>
      <c r="R24" s="1"/>
      <c r="S24" s="5"/>
      <c r="T24" s="5">
        <f t="shared" si="4"/>
        <v>2344</v>
      </c>
      <c r="U24" s="5">
        <f t="shared" si="5"/>
        <v>0</v>
      </c>
      <c r="V24" s="5">
        <f>Table14[[#This Row],[Enrolment S.Y. 2025-2026 ]]*8</f>
        <v>2344</v>
      </c>
      <c r="W24" s="5"/>
      <c r="X24" s="1"/>
      <c r="Y24" s="5"/>
      <c r="Z24" s="5">
        <f t="shared" si="6"/>
        <v>2344</v>
      </c>
      <c r="AA24" s="5">
        <f t="shared" si="7"/>
        <v>0</v>
      </c>
    </row>
    <row r="25" spans="1:27" ht="19.5">
      <c r="A25" s="1">
        <v>3</v>
      </c>
      <c r="B25" s="2" t="s">
        <v>11</v>
      </c>
      <c r="C25" s="1">
        <v>293</v>
      </c>
      <c r="D25" s="5">
        <f>Table14[[#This Row],[Enrolment S.Y. 2025-2026 ]]*8</f>
        <v>2344</v>
      </c>
      <c r="E25" s="5">
        <v>1268</v>
      </c>
      <c r="F25" s="1">
        <v>2024</v>
      </c>
      <c r="G25" s="5" t="s">
        <v>87</v>
      </c>
      <c r="H25" s="5">
        <f t="shared" si="0"/>
        <v>1076</v>
      </c>
      <c r="I25" s="5">
        <f t="shared" si="1"/>
        <v>0</v>
      </c>
      <c r="J25" s="5">
        <f>Table14[[#This Row],[Enrolment S.Y. 2025-2026 ]]*8</f>
        <v>2344</v>
      </c>
      <c r="K25" s="5"/>
      <c r="L25" s="1"/>
      <c r="M25" s="5"/>
      <c r="N25" s="5">
        <f t="shared" si="2"/>
        <v>2344</v>
      </c>
      <c r="O25" s="5">
        <f t="shared" si="3"/>
        <v>0</v>
      </c>
      <c r="P25" s="5">
        <f>Table14[[#This Row],[Enrolment S.Y. 2025-2026 ]]*8</f>
        <v>2344</v>
      </c>
      <c r="Q25" s="5"/>
      <c r="R25" s="1"/>
      <c r="S25" s="5"/>
      <c r="T25" s="5">
        <f t="shared" si="4"/>
        <v>2344</v>
      </c>
      <c r="U25" s="5">
        <f t="shared" si="5"/>
        <v>0</v>
      </c>
      <c r="V25" s="5">
        <f>Table14[[#This Row],[Enrolment S.Y. 2025-2026 ]]*8</f>
        <v>2344</v>
      </c>
      <c r="W25" s="5"/>
      <c r="X25" s="1"/>
      <c r="Y25" s="5"/>
      <c r="Z25" s="5">
        <f t="shared" si="6"/>
        <v>2344</v>
      </c>
      <c r="AA25" s="5">
        <f t="shared" si="7"/>
        <v>0</v>
      </c>
    </row>
    <row r="26" spans="1:27" ht="19.5">
      <c r="A26" s="1">
        <v>3</v>
      </c>
      <c r="B26" s="2" t="s">
        <v>12</v>
      </c>
      <c r="C26" s="1">
        <v>293</v>
      </c>
      <c r="D26" s="5">
        <f>Table14[[#This Row],[Enrolment S.Y. 2025-2026 ]]*8</f>
        <v>2344</v>
      </c>
      <c r="E26" s="5">
        <v>2853</v>
      </c>
      <c r="F26" s="1">
        <v>2024</v>
      </c>
      <c r="G26" s="5" t="s">
        <v>62</v>
      </c>
      <c r="H26" s="5">
        <f t="shared" si="0"/>
        <v>0</v>
      </c>
      <c r="I26" s="5">
        <f t="shared" si="1"/>
        <v>509</v>
      </c>
      <c r="J26" s="5">
        <f>Table14[[#This Row],[Enrolment S.Y. 2025-2026 ]]*8</f>
        <v>2344</v>
      </c>
      <c r="K26" s="5"/>
      <c r="L26" s="1"/>
      <c r="M26" s="5"/>
      <c r="N26" s="5">
        <f t="shared" si="2"/>
        <v>2344</v>
      </c>
      <c r="O26" s="5">
        <f t="shared" si="3"/>
        <v>0</v>
      </c>
      <c r="P26" s="5">
        <f>Table14[[#This Row],[Enrolment S.Y. 2025-2026 ]]*8</f>
        <v>2344</v>
      </c>
      <c r="Q26" s="5"/>
      <c r="R26" s="1"/>
      <c r="S26" s="5"/>
      <c r="T26" s="5">
        <f t="shared" si="4"/>
        <v>2344</v>
      </c>
      <c r="U26" s="5">
        <f t="shared" si="5"/>
        <v>0</v>
      </c>
      <c r="V26" s="5">
        <f>Table14[[#This Row],[Enrolment S.Y. 2025-2026 ]]*8</f>
        <v>2344</v>
      </c>
      <c r="W26" s="5"/>
      <c r="X26" s="1"/>
      <c r="Y26" s="5"/>
      <c r="Z26" s="5">
        <f t="shared" si="6"/>
        <v>2344</v>
      </c>
      <c r="AA26" s="5">
        <f t="shared" si="7"/>
        <v>0</v>
      </c>
    </row>
    <row r="27" spans="1:27" ht="19.5">
      <c r="A27" s="1">
        <v>3</v>
      </c>
      <c r="B27" s="9" t="s">
        <v>14</v>
      </c>
      <c r="C27" s="1">
        <v>293</v>
      </c>
      <c r="D27" s="5">
        <f>Table14[[#This Row],[Enrolment S.Y. 2025-2026 ]]*8</f>
        <v>2344</v>
      </c>
      <c r="E27" s="5"/>
      <c r="F27" s="1"/>
      <c r="G27" s="5"/>
      <c r="H27" s="5">
        <f>IF((D27-E27)&lt;0,0,(D27-E27))</f>
        <v>2344</v>
      </c>
      <c r="I27" s="5">
        <f>IF((E27-D27)&lt;0,0,(E27-D27))</f>
        <v>0</v>
      </c>
      <c r="J27" s="5">
        <f>Table14[[#This Row],[Enrolment S.Y. 2025-2026 ]]*8</f>
        <v>2344</v>
      </c>
      <c r="K27" s="5"/>
      <c r="L27" s="1"/>
      <c r="M27" s="5"/>
      <c r="N27" s="5">
        <f t="shared" si="2"/>
        <v>2344</v>
      </c>
      <c r="O27" s="5">
        <f t="shared" si="3"/>
        <v>0</v>
      </c>
      <c r="P27" s="5">
        <f>Table14[[#This Row],[Enrolment S.Y. 2025-2026 ]]*8</f>
        <v>2344</v>
      </c>
      <c r="Q27" s="5"/>
      <c r="R27" s="1"/>
      <c r="S27" s="5"/>
      <c r="T27" s="5">
        <f t="shared" si="4"/>
        <v>2344</v>
      </c>
      <c r="U27" s="5">
        <f t="shared" si="5"/>
        <v>0</v>
      </c>
      <c r="V27" s="5">
        <f>Table14[[#This Row],[Enrolment S.Y. 2025-2026 ]]*8</f>
        <v>2344</v>
      </c>
      <c r="W27" s="5"/>
      <c r="X27" s="1"/>
      <c r="Y27" s="5"/>
      <c r="Z27" s="5">
        <f t="shared" si="6"/>
        <v>2344</v>
      </c>
      <c r="AA27" s="5">
        <f t="shared" si="7"/>
        <v>0</v>
      </c>
    </row>
    <row r="28" spans="1:27" ht="19.5">
      <c r="A28" s="1">
        <v>3</v>
      </c>
      <c r="B28" s="9" t="s">
        <v>15</v>
      </c>
      <c r="C28" s="1">
        <v>293</v>
      </c>
      <c r="D28" s="5">
        <f>Table14[[#This Row],[Enrolment S.Y. 2025-2026 ]]*8</f>
        <v>2344</v>
      </c>
      <c r="E28" s="5">
        <v>1268</v>
      </c>
      <c r="F28" s="1">
        <v>2024</v>
      </c>
      <c r="G28" s="5" t="s">
        <v>62</v>
      </c>
      <c r="H28" s="5">
        <f>IF((D28-E28)&lt;0,0,(D28-E28))</f>
        <v>1076</v>
      </c>
      <c r="I28" s="5">
        <f>IF((E28-D28)&lt;0,0,(E28-D28))</f>
        <v>0</v>
      </c>
      <c r="J28" s="5">
        <f>Table14[[#This Row],[Enrolment S.Y. 2025-2026 ]]*8</f>
        <v>2344</v>
      </c>
      <c r="K28" s="5"/>
      <c r="L28" s="1"/>
      <c r="M28" s="5"/>
      <c r="N28" s="5">
        <f t="shared" si="2"/>
        <v>2344</v>
      </c>
      <c r="O28" s="5">
        <f t="shared" si="3"/>
        <v>0</v>
      </c>
      <c r="P28" s="5">
        <f>Table14[[#This Row],[Enrolment S.Y. 2025-2026 ]]*8</f>
        <v>2344</v>
      </c>
      <c r="Q28" s="5"/>
      <c r="R28" s="1"/>
      <c r="S28" s="5"/>
      <c r="T28" s="5">
        <f t="shared" si="4"/>
        <v>2344</v>
      </c>
      <c r="U28" s="5">
        <f t="shared" si="5"/>
        <v>0</v>
      </c>
      <c r="V28" s="5">
        <f>Table14[[#This Row],[Enrolment S.Y. 2025-2026 ]]*8</f>
        <v>2344</v>
      </c>
      <c r="W28" s="5"/>
      <c r="X28" s="1"/>
      <c r="Y28" s="5"/>
      <c r="Z28" s="5">
        <f t="shared" si="6"/>
        <v>2344</v>
      </c>
      <c r="AA28" s="5">
        <f t="shared" si="7"/>
        <v>0</v>
      </c>
    </row>
    <row r="29" spans="1:27" ht="19.5">
      <c r="A29" s="1">
        <v>3</v>
      </c>
      <c r="B29" s="9" t="s">
        <v>61</v>
      </c>
      <c r="C29" s="1">
        <v>293</v>
      </c>
      <c r="D29" s="5">
        <f>Table14[[#This Row],[Enrolment S.Y. 2025-2026 ]]*8</f>
        <v>2344</v>
      </c>
      <c r="E29" s="5">
        <v>1585</v>
      </c>
      <c r="F29" s="1">
        <v>2024</v>
      </c>
      <c r="G29" s="5" t="s">
        <v>62</v>
      </c>
      <c r="H29" s="5">
        <f>IF((D29-E29)&lt;0,0,(D29-E29))</f>
        <v>759</v>
      </c>
      <c r="I29" s="5">
        <f>IF((E29-D29)&lt;0,0,(E29-D29))</f>
        <v>0</v>
      </c>
      <c r="J29" s="5">
        <f>Table14[[#This Row],[Enrolment S.Y. 2025-2026 ]]*8</f>
        <v>2344</v>
      </c>
      <c r="K29" s="5"/>
      <c r="L29" s="1"/>
      <c r="M29" s="5"/>
      <c r="N29" s="5">
        <f t="shared" si="2"/>
        <v>2344</v>
      </c>
      <c r="O29" s="5">
        <f t="shared" si="3"/>
        <v>0</v>
      </c>
      <c r="P29" s="5">
        <f>Table14[[#This Row],[Enrolment S.Y. 2025-2026 ]]*8</f>
        <v>2344</v>
      </c>
      <c r="Q29" s="5"/>
      <c r="R29" s="1"/>
      <c r="S29" s="5"/>
      <c r="T29" s="5">
        <f t="shared" si="4"/>
        <v>2344</v>
      </c>
      <c r="U29" s="5">
        <f t="shared" si="5"/>
        <v>0</v>
      </c>
      <c r="V29" s="5">
        <f>Table14[[#This Row],[Enrolment S.Y. 2025-2026 ]]*8</f>
        <v>2344</v>
      </c>
      <c r="W29" s="5"/>
      <c r="X29" s="1"/>
      <c r="Y29" s="5"/>
      <c r="Z29" s="5">
        <f t="shared" si="6"/>
        <v>2344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14</v>
      </c>
      <c r="C31" s="1">
        <v>305</v>
      </c>
      <c r="D31" s="5">
        <f>Table14[[#This Row],[Enrolment S.Y. 2025-2026 ]]*8</f>
        <v>2440</v>
      </c>
      <c r="E31" s="5"/>
      <c r="F31" s="1"/>
      <c r="G31" s="5"/>
      <c r="H31" s="5">
        <f t="shared" si="0"/>
        <v>2440</v>
      </c>
      <c r="I31" s="5">
        <f t="shared" si="1"/>
        <v>0</v>
      </c>
      <c r="J31" s="5">
        <f>Table14[[#This Row],[Enrolment S.Y. 2025-2026 ]]*8</f>
        <v>2440</v>
      </c>
      <c r="K31" s="5"/>
      <c r="L31" s="1"/>
      <c r="M31" s="5"/>
      <c r="N31" s="5">
        <f t="shared" si="2"/>
        <v>2440</v>
      </c>
      <c r="O31" s="5">
        <f t="shared" si="3"/>
        <v>0</v>
      </c>
      <c r="P31" s="5">
        <f>Table14[[#This Row],[Enrolment S.Y. 2025-2026 ]]*8</f>
        <v>2440</v>
      </c>
      <c r="Q31" s="5"/>
      <c r="R31" s="1"/>
      <c r="S31" s="5"/>
      <c r="T31" s="5">
        <f t="shared" si="4"/>
        <v>2440</v>
      </c>
      <c r="U31" s="5">
        <f t="shared" si="5"/>
        <v>0</v>
      </c>
      <c r="V31" s="5">
        <f>Table14[[#This Row],[Enrolment S.Y. 2025-2026 ]]*8</f>
        <v>2440</v>
      </c>
      <c r="W31" s="5"/>
      <c r="X31" s="1"/>
      <c r="Y31" s="5"/>
      <c r="Z31" s="5">
        <f t="shared" si="6"/>
        <v>2440</v>
      </c>
      <c r="AA31" s="5">
        <f t="shared" si="7"/>
        <v>0</v>
      </c>
    </row>
    <row r="32" spans="1:27" ht="19.5">
      <c r="A32" s="1">
        <v>4</v>
      </c>
      <c r="B32" s="9" t="s">
        <v>15</v>
      </c>
      <c r="C32" s="1">
        <v>305</v>
      </c>
      <c r="D32" s="5">
        <f>Table14[[#This Row],[Enrolment S.Y. 2025-2026 ]]*8</f>
        <v>2440</v>
      </c>
      <c r="E32" s="5"/>
      <c r="F32" s="1"/>
      <c r="G32" s="5"/>
      <c r="H32" s="5">
        <f t="shared" si="0"/>
        <v>2440</v>
      </c>
      <c r="I32" s="5">
        <f t="shared" si="1"/>
        <v>0</v>
      </c>
      <c r="J32" s="5">
        <f>Table14[[#This Row],[Enrolment S.Y. 2025-2026 ]]*8</f>
        <v>2440</v>
      </c>
      <c r="K32" s="5"/>
      <c r="L32" s="1"/>
      <c r="M32" s="5"/>
      <c r="N32" s="5">
        <f t="shared" si="2"/>
        <v>2440</v>
      </c>
      <c r="O32" s="5">
        <f t="shared" si="3"/>
        <v>0</v>
      </c>
      <c r="P32" s="5">
        <f>Table14[[#This Row],[Enrolment S.Y. 2025-2026 ]]*8</f>
        <v>2440</v>
      </c>
      <c r="Q32" s="5"/>
      <c r="R32" s="1"/>
      <c r="S32" s="5"/>
      <c r="T32" s="5">
        <f t="shared" si="4"/>
        <v>2440</v>
      </c>
      <c r="U32" s="5">
        <f t="shared" si="5"/>
        <v>0</v>
      </c>
      <c r="V32" s="5">
        <f>Table14[[#This Row],[Enrolment S.Y. 2025-2026 ]]*8</f>
        <v>2440</v>
      </c>
      <c r="W32" s="5"/>
      <c r="X32" s="1"/>
      <c r="Y32" s="5"/>
      <c r="Z32" s="5">
        <f t="shared" si="6"/>
        <v>2440</v>
      </c>
      <c r="AA32" s="5">
        <f t="shared" si="7"/>
        <v>0</v>
      </c>
    </row>
    <row r="33" spans="1:27" ht="19.5">
      <c r="A33" s="1">
        <v>4</v>
      </c>
      <c r="B33" s="9" t="s">
        <v>12</v>
      </c>
      <c r="C33" s="1">
        <v>305</v>
      </c>
      <c r="D33" s="5">
        <f>Table14[[#This Row],[Enrolment S.Y. 2025-2026 ]]*8</f>
        <v>2440</v>
      </c>
      <c r="E33" s="5"/>
      <c r="F33" s="1"/>
      <c r="G33" s="5"/>
      <c r="H33" s="5">
        <f t="shared" si="0"/>
        <v>2440</v>
      </c>
      <c r="I33" s="5">
        <f t="shared" si="1"/>
        <v>0</v>
      </c>
      <c r="J33" s="5">
        <f>Table14[[#This Row],[Enrolment S.Y. 2025-2026 ]]*8</f>
        <v>2440</v>
      </c>
      <c r="K33" s="5"/>
      <c r="L33" s="1"/>
      <c r="M33" s="5"/>
      <c r="N33" s="5">
        <f t="shared" si="2"/>
        <v>2440</v>
      </c>
      <c r="O33" s="5">
        <f t="shared" si="3"/>
        <v>0</v>
      </c>
      <c r="P33" s="5">
        <f>Table14[[#This Row],[Enrolment S.Y. 2025-2026 ]]*8</f>
        <v>2440</v>
      </c>
      <c r="Q33" s="5"/>
      <c r="R33" s="1"/>
      <c r="S33" s="5"/>
      <c r="T33" s="5">
        <f t="shared" si="4"/>
        <v>2440</v>
      </c>
      <c r="U33" s="5">
        <f t="shared" si="5"/>
        <v>0</v>
      </c>
      <c r="V33" s="5">
        <f>Table14[[#This Row],[Enrolment S.Y. 2025-2026 ]]*8</f>
        <v>2440</v>
      </c>
      <c r="W33" s="5"/>
      <c r="X33" s="1"/>
      <c r="Y33" s="5"/>
      <c r="Z33" s="5">
        <f t="shared" si="6"/>
        <v>2440</v>
      </c>
      <c r="AA33" s="5">
        <f t="shared" si="7"/>
        <v>0</v>
      </c>
    </row>
    <row r="34" spans="1:27" ht="19.5">
      <c r="A34" s="1">
        <v>4</v>
      </c>
      <c r="B34" s="9" t="s">
        <v>10</v>
      </c>
      <c r="C34" s="1">
        <v>305</v>
      </c>
      <c r="D34" s="5">
        <f>Table14[[#This Row],[Enrolment S.Y. 2025-2026 ]]*8</f>
        <v>2440</v>
      </c>
      <c r="E34" s="5"/>
      <c r="F34" s="1"/>
      <c r="G34" s="5"/>
      <c r="H34" s="5">
        <f t="shared" si="0"/>
        <v>2440</v>
      </c>
      <c r="I34" s="5">
        <f t="shared" si="1"/>
        <v>0</v>
      </c>
      <c r="J34" s="5">
        <f>Table14[[#This Row],[Enrolment S.Y. 2025-2026 ]]*8</f>
        <v>2440</v>
      </c>
      <c r="K34" s="5"/>
      <c r="L34" s="1"/>
      <c r="M34" s="5"/>
      <c r="N34" s="5">
        <f t="shared" si="2"/>
        <v>2440</v>
      </c>
      <c r="O34" s="5">
        <f t="shared" si="3"/>
        <v>0</v>
      </c>
      <c r="P34" s="5">
        <f>Table14[[#This Row],[Enrolment S.Y. 2025-2026 ]]*8</f>
        <v>2440</v>
      </c>
      <c r="Q34" s="5"/>
      <c r="R34" s="1"/>
      <c r="S34" s="5"/>
      <c r="T34" s="5">
        <f t="shared" si="4"/>
        <v>2440</v>
      </c>
      <c r="U34" s="5">
        <f t="shared" si="5"/>
        <v>0</v>
      </c>
      <c r="V34" s="5">
        <f>Table14[[#This Row],[Enrolment S.Y. 2025-2026 ]]*8</f>
        <v>2440</v>
      </c>
      <c r="W34" s="5"/>
      <c r="X34" s="1"/>
      <c r="Y34" s="5"/>
      <c r="Z34" s="5">
        <f t="shared" si="6"/>
        <v>2440</v>
      </c>
      <c r="AA34" s="5">
        <f t="shared" si="7"/>
        <v>0</v>
      </c>
    </row>
    <row r="35" spans="1:27" ht="38.25">
      <c r="A35" s="1">
        <v>4</v>
      </c>
      <c r="B35" s="9" t="s">
        <v>16</v>
      </c>
      <c r="C35" s="1">
        <v>305</v>
      </c>
      <c r="D35" s="5">
        <f>Table14[[#This Row],[Enrolment S.Y. 2025-2026 ]]*8</f>
        <v>2440</v>
      </c>
      <c r="E35" s="5"/>
      <c r="F35" s="1"/>
      <c r="G35" s="5"/>
      <c r="H35" s="5">
        <f t="shared" si="0"/>
        <v>2440</v>
      </c>
      <c r="I35" s="5">
        <f t="shared" si="1"/>
        <v>0</v>
      </c>
      <c r="J35" s="5">
        <f>Table14[[#This Row],[Enrolment S.Y. 2025-2026 ]]*8</f>
        <v>2440</v>
      </c>
      <c r="K35" s="5"/>
      <c r="L35" s="1"/>
      <c r="M35" s="5"/>
      <c r="N35" s="5">
        <f t="shared" si="2"/>
        <v>2440</v>
      </c>
      <c r="O35" s="5">
        <f t="shared" si="3"/>
        <v>0</v>
      </c>
      <c r="P35" s="5">
        <f>Table14[[#This Row],[Enrolment S.Y. 2025-2026 ]]*8</f>
        <v>2440</v>
      </c>
      <c r="Q35" s="5"/>
      <c r="R35" s="1"/>
      <c r="S35" s="5"/>
      <c r="T35" s="5">
        <f t="shared" si="4"/>
        <v>2440</v>
      </c>
      <c r="U35" s="5">
        <f t="shared" si="5"/>
        <v>0</v>
      </c>
      <c r="V35" s="5">
        <f>Table14[[#This Row],[Enrolment S.Y. 2025-2026 ]]*8</f>
        <v>2440</v>
      </c>
      <c r="W35" s="5"/>
      <c r="X35" s="1"/>
      <c r="Y35" s="5"/>
      <c r="Z35" s="5">
        <f t="shared" si="6"/>
        <v>2440</v>
      </c>
      <c r="AA35" s="5">
        <f t="shared" si="7"/>
        <v>0</v>
      </c>
    </row>
    <row r="36" spans="1:27" ht="19.5">
      <c r="A36" s="1">
        <v>4</v>
      </c>
      <c r="B36" s="9" t="s">
        <v>13</v>
      </c>
      <c r="C36" s="1">
        <v>305</v>
      </c>
      <c r="D36" s="5">
        <f>Table14[[#This Row],[Enrolment S.Y. 2025-2026 ]]*8</f>
        <v>2440</v>
      </c>
      <c r="E36" s="5"/>
      <c r="F36" s="1"/>
      <c r="G36" s="5"/>
      <c r="H36" s="5">
        <f t="shared" si="0"/>
        <v>2440</v>
      </c>
      <c r="I36" s="5">
        <f t="shared" si="1"/>
        <v>0</v>
      </c>
      <c r="J36" s="5">
        <f>Table14[[#This Row],[Enrolment S.Y. 2025-2026 ]]*8</f>
        <v>2440</v>
      </c>
      <c r="K36" s="5"/>
      <c r="L36" s="1"/>
      <c r="M36" s="5"/>
      <c r="N36" s="5">
        <f t="shared" ref="N36:N41" si="8">IF((J36-K36)&lt;0,0,(J36-K36))</f>
        <v>2440</v>
      </c>
      <c r="O36" s="5">
        <f t="shared" ref="O36:O41" si="9">IF((K36-J36)&lt;0,0,(K36-J36))</f>
        <v>0</v>
      </c>
      <c r="P36" s="5">
        <f>Table14[[#This Row],[Enrolment S.Y. 2025-2026 ]]*8</f>
        <v>2440</v>
      </c>
      <c r="Q36" s="5"/>
      <c r="R36" s="1"/>
      <c r="S36" s="5"/>
      <c r="T36" s="5">
        <f t="shared" si="4"/>
        <v>2440</v>
      </c>
      <c r="U36" s="5">
        <f t="shared" si="5"/>
        <v>0</v>
      </c>
      <c r="V36" s="5">
        <f>Table14[[#This Row],[Enrolment S.Y. 2025-2026 ]]*8</f>
        <v>2440</v>
      </c>
      <c r="W36" s="5"/>
      <c r="X36" s="1"/>
      <c r="Y36" s="5"/>
      <c r="Z36" s="5">
        <f t="shared" si="6"/>
        <v>2440</v>
      </c>
      <c r="AA36" s="5">
        <f t="shared" si="7"/>
        <v>0</v>
      </c>
    </row>
    <row r="37" spans="1:27" ht="19.5">
      <c r="A37" s="37">
        <v>4</v>
      </c>
      <c r="B37" s="9" t="s">
        <v>88</v>
      </c>
      <c r="C37" s="5">
        <v>305</v>
      </c>
      <c r="D37" s="5">
        <f>Table14[[#This Row],[Enrolment S.Y. 2025-2026 ]]*8</f>
        <v>2440</v>
      </c>
      <c r="E37" s="5"/>
      <c r="F37" s="1"/>
      <c r="G37" s="5"/>
      <c r="H37" s="5">
        <f>IF((D37-E37)&lt;0,0,(D37-E37))</f>
        <v>2440</v>
      </c>
      <c r="I37" s="5">
        <f>IF((E37-D37)&lt;0,0,(E37-D37))</f>
        <v>0</v>
      </c>
      <c r="J37" s="5">
        <f>Table14[[#This Row],[Enrolment S.Y. 2025-2026 ]]*8</f>
        <v>2440</v>
      </c>
      <c r="K37" s="5"/>
      <c r="L37" s="1"/>
      <c r="M37" s="5"/>
      <c r="N37" s="5">
        <f t="shared" si="8"/>
        <v>2440</v>
      </c>
      <c r="O37" s="5">
        <f t="shared" si="9"/>
        <v>0</v>
      </c>
      <c r="P37" s="5">
        <f>Table14[[#This Row],[Enrolment S.Y. 2025-2026 ]]*8</f>
        <v>2440</v>
      </c>
      <c r="Q37" s="5"/>
      <c r="R37" s="1"/>
      <c r="S37" s="5"/>
      <c r="T37" s="5">
        <f>IF((P37-Q37)&lt;0,0,(P37-Q37))</f>
        <v>2440</v>
      </c>
      <c r="U37" s="5">
        <f>IF((Q37-P37)&lt;0,0,(Q37-P37))</f>
        <v>0</v>
      </c>
      <c r="V37" s="5">
        <f>Table14[[#This Row],[Enrolment S.Y. 2025-2026 ]]*8</f>
        <v>2440</v>
      </c>
      <c r="W37" s="5"/>
      <c r="X37" s="1"/>
      <c r="Y37" s="5"/>
      <c r="Z37" s="5">
        <f>IF((V37-W37)&lt;0,0,(V37-W37))</f>
        <v>2440</v>
      </c>
      <c r="AA37" s="5">
        <f>IF((W37-V37)&lt;0,0,(W37-V37))</f>
        <v>0</v>
      </c>
    </row>
    <row r="38" spans="1:27" ht="19.5">
      <c r="A38" s="1">
        <v>4</v>
      </c>
      <c r="B38" s="9" t="s">
        <v>89</v>
      </c>
      <c r="C38" s="1">
        <v>305</v>
      </c>
      <c r="D38" s="5">
        <f>Table14[[#This Row],[Enrolment S.Y. 2025-2026 ]]*8</f>
        <v>2440</v>
      </c>
      <c r="E38" s="5"/>
      <c r="F38" s="1"/>
      <c r="G38" s="5"/>
      <c r="H38" s="5">
        <f t="shared" si="0"/>
        <v>2440</v>
      </c>
      <c r="I38" s="5">
        <f t="shared" si="1"/>
        <v>0</v>
      </c>
      <c r="J38" s="5">
        <f>Table14[[#This Row],[Enrolment S.Y. 2025-2026 ]]*8</f>
        <v>2440</v>
      </c>
      <c r="K38" s="5"/>
      <c r="L38" s="1"/>
      <c r="M38" s="5"/>
      <c r="N38" s="5">
        <f t="shared" si="8"/>
        <v>2440</v>
      </c>
      <c r="O38" s="5">
        <f t="shared" si="9"/>
        <v>0</v>
      </c>
      <c r="P38" s="5">
        <f>Table14[[#This Row],[Enrolment S.Y. 2025-2026 ]]*8</f>
        <v>2440</v>
      </c>
      <c r="Q38" s="5"/>
      <c r="R38" s="1"/>
      <c r="S38" s="5"/>
      <c r="T38" s="5">
        <f t="shared" si="4"/>
        <v>2440</v>
      </c>
      <c r="U38" s="5">
        <f t="shared" si="5"/>
        <v>0</v>
      </c>
      <c r="V38" s="5">
        <f>Table14[[#This Row],[Enrolment S.Y. 2025-2026 ]]*8</f>
        <v>2440</v>
      </c>
      <c r="W38" s="5"/>
      <c r="X38" s="1"/>
      <c r="Y38" s="5"/>
      <c r="Z38" s="5">
        <f t="shared" si="6"/>
        <v>2440</v>
      </c>
      <c r="AA38" s="5">
        <f t="shared" si="7"/>
        <v>0</v>
      </c>
    </row>
    <row r="39" spans="1:27" ht="19.5">
      <c r="A39" s="1">
        <v>4</v>
      </c>
      <c r="B39" s="9" t="s">
        <v>18</v>
      </c>
      <c r="C39" s="1">
        <v>305</v>
      </c>
      <c r="D39" s="5">
        <f>Table14[[#This Row],[Enrolment S.Y. 2025-2026 ]]*8</f>
        <v>2440</v>
      </c>
      <c r="E39" s="5"/>
      <c r="F39" s="1"/>
      <c r="G39" s="5"/>
      <c r="H39" s="5">
        <f t="shared" si="0"/>
        <v>2440</v>
      </c>
      <c r="I39" s="5">
        <f t="shared" si="1"/>
        <v>0</v>
      </c>
      <c r="J39" s="5">
        <f>Table14[[#This Row],[Enrolment S.Y. 2025-2026 ]]*8</f>
        <v>2440</v>
      </c>
      <c r="K39" s="5"/>
      <c r="L39" s="1"/>
      <c r="M39" s="5"/>
      <c r="N39" s="5">
        <f t="shared" si="8"/>
        <v>2440</v>
      </c>
      <c r="O39" s="5">
        <f t="shared" si="9"/>
        <v>0</v>
      </c>
      <c r="P39" s="5">
        <f>Table14[[#This Row],[Enrolment S.Y. 2025-2026 ]]*8</f>
        <v>2440</v>
      </c>
      <c r="Q39" s="5"/>
      <c r="R39" s="1"/>
      <c r="S39" s="5"/>
      <c r="T39" s="5">
        <f t="shared" si="4"/>
        <v>2440</v>
      </c>
      <c r="U39" s="5">
        <f t="shared" si="5"/>
        <v>0</v>
      </c>
      <c r="V39" s="5">
        <f>Table14[[#This Row],[Enrolment S.Y. 2025-2026 ]]*8</f>
        <v>2440</v>
      </c>
      <c r="W39" s="5"/>
      <c r="X39" s="1"/>
      <c r="Y39" s="5"/>
      <c r="Z39" s="5">
        <f t="shared" si="6"/>
        <v>2440</v>
      </c>
      <c r="AA39" s="5">
        <f t="shared" si="7"/>
        <v>0</v>
      </c>
    </row>
    <row r="40" spans="1:27" ht="19.5">
      <c r="A40" s="37">
        <v>4</v>
      </c>
      <c r="B40" s="9" t="s">
        <v>90</v>
      </c>
      <c r="C40" s="5">
        <v>305</v>
      </c>
      <c r="D40" s="5">
        <f>Table14[[#This Row],[Enrolment S.Y. 2025-2026 ]]*8</f>
        <v>2440</v>
      </c>
      <c r="E40" s="5"/>
      <c r="F40" s="1"/>
      <c r="G40" s="5"/>
      <c r="H40" s="5">
        <f>IF((D40-E40)&lt;0,0,(D40-E40))</f>
        <v>2440</v>
      </c>
      <c r="I40" s="5">
        <f>IF((E40-D40)&lt;0,0,(E40-D40))</f>
        <v>0</v>
      </c>
      <c r="J40" s="5">
        <f>Table14[[#This Row],[Enrolment S.Y. 2025-2026 ]]*8</f>
        <v>2440</v>
      </c>
      <c r="K40" s="5"/>
      <c r="L40" s="1"/>
      <c r="M40" s="5"/>
      <c r="N40" s="5">
        <f t="shared" si="8"/>
        <v>2440</v>
      </c>
      <c r="O40" s="5">
        <f t="shared" si="9"/>
        <v>0</v>
      </c>
      <c r="P40" s="5">
        <f>Table14[[#This Row],[Enrolment S.Y. 2025-2026 ]]*8</f>
        <v>2440</v>
      </c>
      <c r="Q40" s="5"/>
      <c r="R40" s="1"/>
      <c r="S40" s="5"/>
      <c r="T40" s="5">
        <f>IF((P40-Q40)&lt;0,0,(P40-Q40))</f>
        <v>2440</v>
      </c>
      <c r="U40" s="5">
        <f>IF((Q40-P40)&lt;0,0,(Q40-P40))</f>
        <v>0</v>
      </c>
      <c r="V40" s="5">
        <f>Table14[[#This Row],[Enrolment S.Y. 2025-2026 ]]*8</f>
        <v>2440</v>
      </c>
      <c r="W40" s="5"/>
      <c r="X40" s="1"/>
      <c r="Y40" s="5"/>
      <c r="Z40" s="5">
        <f>IF((V40-W40)&lt;0,0,(V40-W40))</f>
        <v>2440</v>
      </c>
      <c r="AA40" s="5">
        <f>IF((W40-V40)&lt;0,0,(W40-V40))</f>
        <v>0</v>
      </c>
    </row>
    <row r="41" spans="1:27" ht="19.5">
      <c r="A41" s="1">
        <v>4</v>
      </c>
      <c r="B41" s="9" t="s">
        <v>91</v>
      </c>
      <c r="C41" s="1">
        <v>305</v>
      </c>
      <c r="D41" s="5">
        <f>Table14[[#This Row],[Enrolment S.Y. 2025-2026 ]]*8</f>
        <v>2440</v>
      </c>
      <c r="E41" s="5"/>
      <c r="F41" s="1"/>
      <c r="G41" s="5"/>
      <c r="H41" s="5">
        <f t="shared" si="0"/>
        <v>2440</v>
      </c>
      <c r="I41" s="5">
        <f t="shared" si="1"/>
        <v>0</v>
      </c>
      <c r="J41" s="5">
        <f>Table14[[#This Row],[Enrolment S.Y. 2025-2026 ]]*8</f>
        <v>2440</v>
      </c>
      <c r="K41" s="5"/>
      <c r="L41" s="1"/>
      <c r="M41" s="5"/>
      <c r="N41" s="5">
        <f t="shared" si="8"/>
        <v>2440</v>
      </c>
      <c r="O41" s="5">
        <f t="shared" si="9"/>
        <v>0</v>
      </c>
      <c r="P41" s="5">
        <f>Table14[[#This Row],[Enrolment S.Y. 2025-2026 ]]*8</f>
        <v>2440</v>
      </c>
      <c r="Q41" s="5"/>
      <c r="R41" s="1"/>
      <c r="S41" s="5"/>
      <c r="T41" s="5">
        <f t="shared" si="4"/>
        <v>2440</v>
      </c>
      <c r="U41" s="5">
        <f t="shared" si="5"/>
        <v>0</v>
      </c>
      <c r="V41" s="5">
        <f>Table14[[#This Row],[Enrolment S.Y. 2025-2026 ]]*8</f>
        <v>2440</v>
      </c>
      <c r="W41" s="5"/>
      <c r="X41" s="1"/>
      <c r="Y41" s="5"/>
      <c r="Z41" s="5">
        <f t="shared" si="6"/>
        <v>2440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14</v>
      </c>
      <c r="C43" s="1">
        <v>285</v>
      </c>
      <c r="D43" s="5">
        <f>Table14[[#This Row],[Enrolment S.Y. 2025-2026 ]]*8</f>
        <v>2280</v>
      </c>
      <c r="E43" s="5"/>
      <c r="F43" s="1"/>
      <c r="G43" s="5"/>
      <c r="H43" s="5">
        <f t="shared" si="0"/>
        <v>2280</v>
      </c>
      <c r="I43" s="5">
        <f t="shared" si="1"/>
        <v>0</v>
      </c>
      <c r="J43" s="5">
        <f>Table14[[#This Row],[Enrolment S.Y. 2025-2026 ]]*8</f>
        <v>2280</v>
      </c>
      <c r="K43" s="5"/>
      <c r="L43" s="1"/>
      <c r="M43" s="5"/>
      <c r="N43" s="5">
        <f t="shared" si="2"/>
        <v>2280</v>
      </c>
      <c r="O43" s="5">
        <f t="shared" si="3"/>
        <v>0</v>
      </c>
      <c r="P43" s="5">
        <f>Table14[[#This Row],[Enrolment S.Y. 2025-2026 ]]*8</f>
        <v>2280</v>
      </c>
      <c r="Q43" s="5"/>
      <c r="R43" s="1"/>
      <c r="S43" s="5"/>
      <c r="T43" s="5">
        <f t="shared" si="4"/>
        <v>2280</v>
      </c>
      <c r="U43" s="5">
        <f t="shared" si="5"/>
        <v>0</v>
      </c>
      <c r="V43" s="5">
        <f>Table14[[#This Row],[Enrolment S.Y. 2025-2026 ]]*8</f>
        <v>2280</v>
      </c>
      <c r="W43" s="5"/>
      <c r="X43" s="1"/>
      <c r="Y43" s="5"/>
      <c r="Z43" s="5">
        <f t="shared" si="6"/>
        <v>2280</v>
      </c>
      <c r="AA43" s="5">
        <f t="shared" si="7"/>
        <v>0</v>
      </c>
    </row>
    <row r="44" spans="1:27" ht="19.5">
      <c r="A44" s="1">
        <v>5</v>
      </c>
      <c r="B44" s="9" t="s">
        <v>15</v>
      </c>
      <c r="C44" s="1">
        <v>285</v>
      </c>
      <c r="D44" s="5">
        <f>Table14[[#This Row],[Enrolment S.Y. 2025-2026 ]]*8</f>
        <v>2280</v>
      </c>
      <c r="E44" s="5"/>
      <c r="F44" s="1"/>
      <c r="G44" s="5"/>
      <c r="H44" s="5">
        <f t="shared" si="0"/>
        <v>2280</v>
      </c>
      <c r="I44" s="5">
        <f t="shared" si="1"/>
        <v>0</v>
      </c>
      <c r="J44" s="5">
        <f>Table14[[#This Row],[Enrolment S.Y. 2025-2026 ]]*8</f>
        <v>2280</v>
      </c>
      <c r="K44" s="5"/>
      <c r="L44" s="1"/>
      <c r="M44" s="5"/>
      <c r="N44" s="5">
        <f t="shared" si="2"/>
        <v>2280</v>
      </c>
      <c r="O44" s="5">
        <f t="shared" si="3"/>
        <v>0</v>
      </c>
      <c r="P44" s="5">
        <f>Table14[[#This Row],[Enrolment S.Y. 2025-2026 ]]*8</f>
        <v>2280</v>
      </c>
      <c r="Q44" s="5"/>
      <c r="R44" s="1"/>
      <c r="S44" s="5"/>
      <c r="T44" s="5">
        <f t="shared" si="4"/>
        <v>2280</v>
      </c>
      <c r="U44" s="5">
        <f t="shared" si="5"/>
        <v>0</v>
      </c>
      <c r="V44" s="5">
        <f>Table14[[#This Row],[Enrolment S.Y. 2025-2026 ]]*8</f>
        <v>2280</v>
      </c>
      <c r="W44" s="5"/>
      <c r="X44" s="1"/>
      <c r="Y44" s="5"/>
      <c r="Z44" s="5">
        <f t="shared" si="6"/>
        <v>2280</v>
      </c>
      <c r="AA44" s="5">
        <f t="shared" si="7"/>
        <v>0</v>
      </c>
    </row>
    <row r="45" spans="1:27" ht="19.5">
      <c r="A45" s="1">
        <v>5</v>
      </c>
      <c r="B45" s="9" t="s">
        <v>12</v>
      </c>
      <c r="C45" s="1">
        <v>285</v>
      </c>
      <c r="D45" s="5">
        <f>Table14[[#This Row],[Enrolment S.Y. 2025-2026 ]]*8</f>
        <v>2280</v>
      </c>
      <c r="E45" s="5"/>
      <c r="F45" s="1"/>
      <c r="G45" s="5"/>
      <c r="H45" s="5">
        <f t="shared" si="0"/>
        <v>2280</v>
      </c>
      <c r="I45" s="5">
        <f t="shared" si="1"/>
        <v>0</v>
      </c>
      <c r="J45" s="5">
        <f>Table14[[#This Row],[Enrolment S.Y. 2025-2026 ]]*8</f>
        <v>2280</v>
      </c>
      <c r="K45" s="5"/>
      <c r="L45" s="1"/>
      <c r="M45" s="5"/>
      <c r="N45" s="5">
        <f t="shared" si="2"/>
        <v>2280</v>
      </c>
      <c r="O45" s="5">
        <f t="shared" si="3"/>
        <v>0</v>
      </c>
      <c r="P45" s="5">
        <f>Table14[[#This Row],[Enrolment S.Y. 2025-2026 ]]*8</f>
        <v>2280</v>
      </c>
      <c r="Q45" s="5"/>
      <c r="R45" s="1"/>
      <c r="S45" s="5"/>
      <c r="T45" s="5">
        <f t="shared" si="4"/>
        <v>2280</v>
      </c>
      <c r="U45" s="5">
        <f t="shared" si="5"/>
        <v>0</v>
      </c>
      <c r="V45" s="5">
        <f>Table14[[#This Row],[Enrolment S.Y. 2025-2026 ]]*8</f>
        <v>2280</v>
      </c>
      <c r="W45" s="5"/>
      <c r="X45" s="1"/>
      <c r="Y45" s="5"/>
      <c r="Z45" s="5">
        <f t="shared" si="6"/>
        <v>2280</v>
      </c>
      <c r="AA45" s="5">
        <f t="shared" si="7"/>
        <v>0</v>
      </c>
    </row>
    <row r="46" spans="1:27" ht="19.5">
      <c r="A46" s="1">
        <v>5</v>
      </c>
      <c r="B46" s="9" t="s">
        <v>10</v>
      </c>
      <c r="C46" s="1">
        <v>285</v>
      </c>
      <c r="D46" s="5">
        <f>Table14[[#This Row],[Enrolment S.Y. 2025-2026 ]]*8</f>
        <v>2280</v>
      </c>
      <c r="E46" s="5"/>
      <c r="F46" s="1"/>
      <c r="G46" s="5"/>
      <c r="H46" s="5">
        <f t="shared" si="0"/>
        <v>2280</v>
      </c>
      <c r="I46" s="5">
        <f t="shared" si="1"/>
        <v>0</v>
      </c>
      <c r="J46" s="5">
        <f>Table14[[#This Row],[Enrolment S.Y. 2025-2026 ]]*8</f>
        <v>2280</v>
      </c>
      <c r="K46" s="5"/>
      <c r="L46" s="1"/>
      <c r="M46" s="5"/>
      <c r="N46" s="5">
        <f t="shared" si="2"/>
        <v>2280</v>
      </c>
      <c r="O46" s="5">
        <f t="shared" si="3"/>
        <v>0</v>
      </c>
      <c r="P46" s="5">
        <f>Table14[[#This Row],[Enrolment S.Y. 2025-2026 ]]*8</f>
        <v>2280</v>
      </c>
      <c r="Q46" s="5"/>
      <c r="R46" s="1"/>
      <c r="S46" s="5"/>
      <c r="T46" s="5">
        <f t="shared" si="4"/>
        <v>2280</v>
      </c>
      <c r="U46" s="5">
        <f t="shared" si="5"/>
        <v>0</v>
      </c>
      <c r="V46" s="5">
        <f>Table14[[#This Row],[Enrolment S.Y. 2025-2026 ]]*8</f>
        <v>2280</v>
      </c>
      <c r="W46" s="5"/>
      <c r="X46" s="1"/>
      <c r="Y46" s="5"/>
      <c r="Z46" s="5">
        <f t="shared" si="6"/>
        <v>2280</v>
      </c>
      <c r="AA46" s="5">
        <f t="shared" si="7"/>
        <v>0</v>
      </c>
    </row>
    <row r="47" spans="1:27" ht="38.25">
      <c r="A47" s="1">
        <v>5</v>
      </c>
      <c r="B47" s="9" t="s">
        <v>16</v>
      </c>
      <c r="C47" s="1">
        <v>285</v>
      </c>
      <c r="D47" s="5">
        <f>Table14[[#This Row],[Enrolment S.Y. 2025-2026 ]]*8</f>
        <v>2280</v>
      </c>
      <c r="E47" s="5"/>
      <c r="F47" s="1"/>
      <c r="G47" s="5"/>
      <c r="H47" s="5">
        <f t="shared" si="0"/>
        <v>2280</v>
      </c>
      <c r="I47" s="5">
        <f t="shared" si="1"/>
        <v>0</v>
      </c>
      <c r="J47" s="5">
        <f>Table14[[#This Row],[Enrolment S.Y. 2025-2026 ]]*8</f>
        <v>2280</v>
      </c>
      <c r="K47" s="5"/>
      <c r="L47" s="1"/>
      <c r="M47" s="5"/>
      <c r="N47" s="5">
        <f t="shared" si="2"/>
        <v>2280</v>
      </c>
      <c r="O47" s="5">
        <f t="shared" si="3"/>
        <v>0</v>
      </c>
      <c r="P47" s="5">
        <f>Table14[[#This Row],[Enrolment S.Y. 2025-2026 ]]*8</f>
        <v>2280</v>
      </c>
      <c r="Q47" s="5"/>
      <c r="R47" s="1"/>
      <c r="S47" s="5"/>
      <c r="T47" s="5">
        <f t="shared" si="4"/>
        <v>2280</v>
      </c>
      <c r="U47" s="5">
        <f t="shared" si="5"/>
        <v>0</v>
      </c>
      <c r="V47" s="5">
        <f>Table14[[#This Row],[Enrolment S.Y. 2025-2026 ]]*8</f>
        <v>2280</v>
      </c>
      <c r="W47" s="5"/>
      <c r="X47" s="1"/>
      <c r="Y47" s="5"/>
      <c r="Z47" s="5">
        <f t="shared" si="6"/>
        <v>2280</v>
      </c>
      <c r="AA47" s="5">
        <f t="shared" si="7"/>
        <v>0</v>
      </c>
    </row>
    <row r="48" spans="1:27" ht="19.5">
      <c r="A48" s="1">
        <v>5</v>
      </c>
      <c r="B48" s="9" t="s">
        <v>13</v>
      </c>
      <c r="C48" s="1">
        <v>285</v>
      </c>
      <c r="D48" s="5">
        <f>Table14[[#This Row],[Enrolment S.Y. 2025-2026 ]]*8</f>
        <v>2280</v>
      </c>
      <c r="E48" s="5"/>
      <c r="F48" s="1"/>
      <c r="G48" s="5"/>
      <c r="H48" s="5">
        <f t="shared" si="0"/>
        <v>2280</v>
      </c>
      <c r="I48" s="5">
        <f t="shared" si="1"/>
        <v>0</v>
      </c>
      <c r="J48" s="5">
        <f>Table14[[#This Row],[Enrolment S.Y. 2025-2026 ]]*8</f>
        <v>2280</v>
      </c>
      <c r="K48" s="5"/>
      <c r="L48" s="1"/>
      <c r="M48" s="5"/>
      <c r="N48" s="5">
        <f t="shared" ref="N48:N53" si="10">IF((J48-K48)&lt;0,0,(J48-K48))</f>
        <v>2280</v>
      </c>
      <c r="O48" s="5">
        <f t="shared" ref="O48:O53" si="11">IF((K48-J48)&lt;0,0,(K48-J48))</f>
        <v>0</v>
      </c>
      <c r="P48" s="5">
        <f>Table14[[#This Row],[Enrolment S.Y. 2025-2026 ]]*8</f>
        <v>2280</v>
      </c>
      <c r="Q48" s="5"/>
      <c r="R48" s="1"/>
      <c r="S48" s="5"/>
      <c r="T48" s="5">
        <f t="shared" si="4"/>
        <v>2280</v>
      </c>
      <c r="U48" s="5">
        <f t="shared" si="5"/>
        <v>0</v>
      </c>
      <c r="V48" s="5">
        <f>Table14[[#This Row],[Enrolment S.Y. 2025-2026 ]]*8</f>
        <v>2280</v>
      </c>
      <c r="W48" s="5"/>
      <c r="X48" s="1"/>
      <c r="Y48" s="5"/>
      <c r="Z48" s="5">
        <f t="shared" si="6"/>
        <v>2280</v>
      </c>
      <c r="AA48" s="5">
        <f t="shared" si="7"/>
        <v>0</v>
      </c>
    </row>
    <row r="49" spans="1:27" ht="19.5">
      <c r="A49" s="37">
        <v>5</v>
      </c>
      <c r="B49" s="9" t="s">
        <v>88</v>
      </c>
      <c r="C49" s="5">
        <v>285</v>
      </c>
      <c r="D49" s="5">
        <f>Table14[[#This Row],[Enrolment S.Y. 2025-2026 ]]*8</f>
        <v>2280</v>
      </c>
      <c r="E49" s="5"/>
      <c r="F49" s="1"/>
      <c r="G49" s="5"/>
      <c r="H49" s="5">
        <f>IF((D49-E49)&lt;0,0,(D49-E49))</f>
        <v>2280</v>
      </c>
      <c r="I49" s="5">
        <f>IF((E49-D49)&lt;0,0,(E49-D49))</f>
        <v>0</v>
      </c>
      <c r="J49" s="5">
        <f>Table14[[#This Row],[Enrolment S.Y. 2025-2026 ]]*8</f>
        <v>2280</v>
      </c>
      <c r="K49" s="5"/>
      <c r="L49" s="1"/>
      <c r="M49" s="5"/>
      <c r="N49" s="5">
        <f t="shared" si="10"/>
        <v>2280</v>
      </c>
      <c r="O49" s="5">
        <f t="shared" si="11"/>
        <v>0</v>
      </c>
      <c r="P49" s="5">
        <f>Table14[[#This Row],[Enrolment S.Y. 2025-2026 ]]*8</f>
        <v>2280</v>
      </c>
      <c r="Q49" s="5"/>
      <c r="R49" s="1"/>
      <c r="S49" s="5"/>
      <c r="T49" s="5">
        <f>IF((P49-Q49)&lt;0,0,(P49-Q49))</f>
        <v>2280</v>
      </c>
      <c r="U49" s="5">
        <f>IF((Q49-P49)&lt;0,0,(Q49-P49))</f>
        <v>0</v>
      </c>
      <c r="V49" s="5">
        <f>Table14[[#This Row],[Enrolment S.Y. 2025-2026 ]]*8</f>
        <v>2280</v>
      </c>
      <c r="W49" s="5"/>
      <c r="X49" s="1"/>
      <c r="Y49" s="5"/>
      <c r="Z49" s="5">
        <f>IF((V49-W49)&lt;0,0,(V49-W49))</f>
        <v>2280</v>
      </c>
      <c r="AA49" s="5">
        <f>IF((W49-V49)&lt;0,0,(W49-V49))</f>
        <v>0</v>
      </c>
    </row>
    <row r="50" spans="1:27" ht="19.5">
      <c r="A50" s="1">
        <v>5</v>
      </c>
      <c r="B50" s="9" t="s">
        <v>89</v>
      </c>
      <c r="C50" s="1">
        <v>285</v>
      </c>
      <c r="D50" s="5">
        <f>Table14[[#This Row],[Enrolment S.Y. 2025-2026 ]]*8</f>
        <v>2280</v>
      </c>
      <c r="E50" s="5"/>
      <c r="F50" s="1"/>
      <c r="G50" s="5"/>
      <c r="H50" s="5">
        <f t="shared" si="0"/>
        <v>2280</v>
      </c>
      <c r="I50" s="5">
        <f t="shared" si="1"/>
        <v>0</v>
      </c>
      <c r="J50" s="5">
        <f>Table14[[#This Row],[Enrolment S.Y. 2025-2026 ]]*8</f>
        <v>2280</v>
      </c>
      <c r="K50" s="5"/>
      <c r="L50" s="1"/>
      <c r="M50" s="5"/>
      <c r="N50" s="5">
        <f t="shared" si="10"/>
        <v>2280</v>
      </c>
      <c r="O50" s="5">
        <f t="shared" si="11"/>
        <v>0</v>
      </c>
      <c r="P50" s="5">
        <f>Table14[[#This Row],[Enrolment S.Y. 2025-2026 ]]*8</f>
        <v>2280</v>
      </c>
      <c r="Q50" s="5"/>
      <c r="R50" s="1"/>
      <c r="S50" s="5"/>
      <c r="T50" s="5">
        <f t="shared" si="4"/>
        <v>2280</v>
      </c>
      <c r="U50" s="5">
        <f t="shared" si="5"/>
        <v>0</v>
      </c>
      <c r="V50" s="5">
        <f>Table14[[#This Row],[Enrolment S.Y. 2025-2026 ]]*8</f>
        <v>2280</v>
      </c>
      <c r="W50" s="5"/>
      <c r="X50" s="1"/>
      <c r="Y50" s="5"/>
      <c r="Z50" s="5">
        <f t="shared" si="6"/>
        <v>2280</v>
      </c>
      <c r="AA50" s="5">
        <f t="shared" si="7"/>
        <v>0</v>
      </c>
    </row>
    <row r="51" spans="1:27" ht="19.5">
      <c r="A51" s="1">
        <v>5</v>
      </c>
      <c r="B51" s="9" t="s">
        <v>18</v>
      </c>
      <c r="C51" s="1">
        <v>285</v>
      </c>
      <c r="D51" s="5">
        <f>Table14[[#This Row],[Enrolment S.Y. 2025-2026 ]]*8</f>
        <v>2280</v>
      </c>
      <c r="E51" s="5"/>
      <c r="F51" s="1"/>
      <c r="G51" s="5"/>
      <c r="H51" s="5">
        <f t="shared" si="0"/>
        <v>2280</v>
      </c>
      <c r="I51" s="5">
        <f t="shared" si="1"/>
        <v>0</v>
      </c>
      <c r="J51" s="5">
        <f>Table14[[#This Row],[Enrolment S.Y. 2025-2026 ]]*8</f>
        <v>2280</v>
      </c>
      <c r="K51" s="5"/>
      <c r="L51" s="1"/>
      <c r="M51" s="5"/>
      <c r="N51" s="5">
        <f t="shared" si="10"/>
        <v>2280</v>
      </c>
      <c r="O51" s="5">
        <f t="shared" si="11"/>
        <v>0</v>
      </c>
      <c r="P51" s="5">
        <f>Table14[[#This Row],[Enrolment S.Y. 2025-2026 ]]*8</f>
        <v>2280</v>
      </c>
      <c r="Q51" s="5"/>
      <c r="R51" s="1"/>
      <c r="S51" s="5"/>
      <c r="T51" s="5">
        <f t="shared" si="4"/>
        <v>2280</v>
      </c>
      <c r="U51" s="5">
        <f t="shared" si="5"/>
        <v>0</v>
      </c>
      <c r="V51" s="5">
        <f>Table14[[#This Row],[Enrolment S.Y. 2025-2026 ]]*8</f>
        <v>2280</v>
      </c>
      <c r="W51" s="5"/>
      <c r="X51" s="1"/>
      <c r="Y51" s="5"/>
      <c r="Z51" s="5">
        <f t="shared" si="6"/>
        <v>2280</v>
      </c>
      <c r="AA51" s="5">
        <f t="shared" si="7"/>
        <v>0</v>
      </c>
    </row>
    <row r="52" spans="1:27" ht="19.5">
      <c r="A52" s="37">
        <v>5</v>
      </c>
      <c r="B52" s="9" t="s">
        <v>90</v>
      </c>
      <c r="C52" s="5">
        <v>285</v>
      </c>
      <c r="D52" s="5">
        <f>Table14[[#This Row],[Enrolment S.Y. 2025-2026 ]]*8</f>
        <v>2280</v>
      </c>
      <c r="E52" s="5"/>
      <c r="F52" s="1"/>
      <c r="G52" s="5"/>
      <c r="H52" s="5">
        <f>IF((D52-E52)&lt;0,0,(D52-E52))</f>
        <v>2280</v>
      </c>
      <c r="I52" s="5">
        <f>IF((E52-D52)&lt;0,0,(E52-D52))</f>
        <v>0</v>
      </c>
      <c r="J52" s="5">
        <f>Table14[[#This Row],[Enrolment S.Y. 2025-2026 ]]*8</f>
        <v>2280</v>
      </c>
      <c r="K52" s="5"/>
      <c r="L52" s="1"/>
      <c r="M52" s="5"/>
      <c r="N52" s="5">
        <f t="shared" si="10"/>
        <v>2280</v>
      </c>
      <c r="O52" s="5">
        <f t="shared" si="11"/>
        <v>0</v>
      </c>
      <c r="P52" s="5">
        <f>Table14[[#This Row],[Enrolment S.Y. 2025-2026 ]]*8</f>
        <v>2280</v>
      </c>
      <c r="Q52" s="5"/>
      <c r="R52" s="1"/>
      <c r="S52" s="5"/>
      <c r="T52" s="5">
        <f>IF((P52-Q52)&lt;0,0,(P52-Q52))</f>
        <v>2280</v>
      </c>
      <c r="U52" s="5">
        <f>IF((Q52-P52)&lt;0,0,(Q52-P52))</f>
        <v>0</v>
      </c>
      <c r="V52" s="5">
        <f>Table14[[#This Row],[Enrolment S.Y. 2025-2026 ]]*8</f>
        <v>2280</v>
      </c>
      <c r="W52" s="5"/>
      <c r="X52" s="1"/>
      <c r="Y52" s="5"/>
      <c r="Z52" s="5">
        <f>IF((V52-W52)&lt;0,0,(V52-W52))</f>
        <v>2280</v>
      </c>
      <c r="AA52" s="5">
        <f>IF((W52-V52)&lt;0,0,(W52-V52))</f>
        <v>0</v>
      </c>
    </row>
    <row r="53" spans="1:27" ht="19.5">
      <c r="A53" s="1">
        <v>5</v>
      </c>
      <c r="B53" s="9" t="s">
        <v>91</v>
      </c>
      <c r="C53" s="1">
        <v>285</v>
      </c>
      <c r="D53" s="5">
        <f>Table14[[#This Row],[Enrolment S.Y. 2025-2026 ]]*8</f>
        <v>2280</v>
      </c>
      <c r="E53" s="5"/>
      <c r="F53" s="1"/>
      <c r="G53" s="5"/>
      <c r="H53" s="5">
        <f t="shared" si="0"/>
        <v>2280</v>
      </c>
      <c r="I53" s="5">
        <f t="shared" si="1"/>
        <v>0</v>
      </c>
      <c r="J53" s="5">
        <f>Table14[[#This Row],[Enrolment S.Y. 2025-2026 ]]*8</f>
        <v>2280</v>
      </c>
      <c r="K53" s="5"/>
      <c r="L53" s="1"/>
      <c r="M53" s="5"/>
      <c r="N53" s="5">
        <f t="shared" si="10"/>
        <v>2280</v>
      </c>
      <c r="O53" s="5">
        <f t="shared" si="11"/>
        <v>0</v>
      </c>
      <c r="P53" s="5">
        <f>Table14[[#This Row],[Enrolment S.Y. 2025-2026 ]]*8</f>
        <v>2280</v>
      </c>
      <c r="Q53" s="5"/>
      <c r="R53" s="1"/>
      <c r="S53" s="5"/>
      <c r="T53" s="5">
        <f t="shared" si="4"/>
        <v>2280</v>
      </c>
      <c r="U53" s="5">
        <f t="shared" si="5"/>
        <v>0</v>
      </c>
      <c r="V53" s="5">
        <f>Table14[[#This Row],[Enrolment S.Y. 2025-2026 ]]*8</f>
        <v>2280</v>
      </c>
      <c r="W53" s="5"/>
      <c r="X53" s="1"/>
      <c r="Y53" s="5"/>
      <c r="Z53" s="5">
        <f t="shared" si="6"/>
        <v>2280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14</v>
      </c>
      <c r="C55" s="1">
        <v>252</v>
      </c>
      <c r="D55" s="5">
        <f>Table14[[#This Row],[Enrolment S.Y. 2025-2026 ]]*8</f>
        <v>2016</v>
      </c>
      <c r="E55" s="5"/>
      <c r="F55" s="1"/>
      <c r="G55" s="5"/>
      <c r="H55" s="5">
        <f t="shared" si="0"/>
        <v>2016</v>
      </c>
      <c r="I55" s="5">
        <f t="shared" si="1"/>
        <v>0</v>
      </c>
      <c r="J55" s="5">
        <f>Table14[[#This Row],[Enrolment S.Y. 2025-2026 ]]*8</f>
        <v>2016</v>
      </c>
      <c r="K55" s="5"/>
      <c r="L55" s="1"/>
      <c r="M55" s="5"/>
      <c r="N55" s="5">
        <f t="shared" si="2"/>
        <v>2016</v>
      </c>
      <c r="O55" s="5">
        <f t="shared" si="3"/>
        <v>0</v>
      </c>
      <c r="P55" s="5">
        <f>Table14[[#This Row],[Enrolment S.Y. 2025-2026 ]]*8</f>
        <v>2016</v>
      </c>
      <c r="Q55" s="5"/>
      <c r="R55" s="1"/>
      <c r="S55" s="5"/>
      <c r="T55" s="5">
        <f t="shared" si="4"/>
        <v>2016</v>
      </c>
      <c r="U55" s="5">
        <f t="shared" si="5"/>
        <v>0</v>
      </c>
      <c r="V55" s="5">
        <f>Table14[[#This Row],[Enrolment S.Y. 2025-2026 ]]*8</f>
        <v>2016</v>
      </c>
      <c r="W55" s="5"/>
      <c r="X55" s="1"/>
      <c r="Y55" s="5"/>
      <c r="Z55" s="5">
        <f t="shared" si="6"/>
        <v>2016</v>
      </c>
      <c r="AA55" s="5">
        <f t="shared" si="7"/>
        <v>0</v>
      </c>
    </row>
    <row r="56" spans="1:27" ht="19.5">
      <c r="A56" s="1">
        <v>6</v>
      </c>
      <c r="B56" s="9" t="s">
        <v>15</v>
      </c>
      <c r="C56" s="1">
        <v>252</v>
      </c>
      <c r="D56" s="5">
        <f>Table14[[#This Row],[Enrolment S.Y. 2025-2026 ]]*8</f>
        <v>2016</v>
      </c>
      <c r="E56" s="5"/>
      <c r="F56" s="1"/>
      <c r="G56" s="5"/>
      <c r="H56" s="5">
        <f t="shared" si="0"/>
        <v>2016</v>
      </c>
      <c r="I56" s="5">
        <f t="shared" si="1"/>
        <v>0</v>
      </c>
      <c r="J56" s="5">
        <f>Table14[[#This Row],[Enrolment S.Y. 2025-2026 ]]*8</f>
        <v>2016</v>
      </c>
      <c r="K56" s="5"/>
      <c r="L56" s="1"/>
      <c r="M56" s="5"/>
      <c r="N56" s="5">
        <f t="shared" si="2"/>
        <v>2016</v>
      </c>
      <c r="O56" s="5">
        <f t="shared" si="3"/>
        <v>0</v>
      </c>
      <c r="P56" s="5">
        <f>Table14[[#This Row],[Enrolment S.Y. 2025-2026 ]]*8</f>
        <v>2016</v>
      </c>
      <c r="Q56" s="5"/>
      <c r="R56" s="1"/>
      <c r="S56" s="5"/>
      <c r="T56" s="5">
        <f t="shared" si="4"/>
        <v>2016</v>
      </c>
      <c r="U56" s="5">
        <f t="shared" si="5"/>
        <v>0</v>
      </c>
      <c r="V56" s="5">
        <f>Table14[[#This Row],[Enrolment S.Y. 2025-2026 ]]*8</f>
        <v>2016</v>
      </c>
      <c r="W56" s="5"/>
      <c r="X56" s="1"/>
      <c r="Y56" s="5"/>
      <c r="Z56" s="5">
        <f t="shared" si="6"/>
        <v>2016</v>
      </c>
      <c r="AA56" s="5">
        <f t="shared" si="7"/>
        <v>0</v>
      </c>
    </row>
    <row r="57" spans="1:27" ht="19.5">
      <c r="A57" s="1">
        <v>6</v>
      </c>
      <c r="B57" s="9" t="s">
        <v>12</v>
      </c>
      <c r="C57" s="1">
        <v>252</v>
      </c>
      <c r="D57" s="5">
        <f>Table14[[#This Row],[Enrolment S.Y. 2025-2026 ]]*8</f>
        <v>2016</v>
      </c>
      <c r="E57" s="5"/>
      <c r="F57" s="1"/>
      <c r="G57" s="5"/>
      <c r="H57" s="5">
        <f t="shared" si="0"/>
        <v>2016</v>
      </c>
      <c r="I57" s="5">
        <f t="shared" si="1"/>
        <v>0</v>
      </c>
      <c r="J57" s="5">
        <f>Table14[[#This Row],[Enrolment S.Y. 2025-2026 ]]*8</f>
        <v>2016</v>
      </c>
      <c r="K57" s="5"/>
      <c r="L57" s="1"/>
      <c r="M57" s="5"/>
      <c r="N57" s="5">
        <f t="shared" si="2"/>
        <v>2016</v>
      </c>
      <c r="O57" s="5">
        <f t="shared" si="3"/>
        <v>0</v>
      </c>
      <c r="P57" s="5">
        <f>Table14[[#This Row],[Enrolment S.Y. 2025-2026 ]]*8</f>
        <v>2016</v>
      </c>
      <c r="Q57" s="5"/>
      <c r="R57" s="1"/>
      <c r="S57" s="5"/>
      <c r="T57" s="5">
        <f t="shared" si="4"/>
        <v>2016</v>
      </c>
      <c r="U57" s="5">
        <f t="shared" si="5"/>
        <v>0</v>
      </c>
      <c r="V57" s="5">
        <f>Table14[[#This Row],[Enrolment S.Y. 2025-2026 ]]*8</f>
        <v>2016</v>
      </c>
      <c r="W57" s="5"/>
      <c r="X57" s="1"/>
      <c r="Y57" s="5"/>
      <c r="Z57" s="5">
        <f t="shared" si="6"/>
        <v>2016</v>
      </c>
      <c r="AA57" s="5">
        <f t="shared" si="7"/>
        <v>0</v>
      </c>
    </row>
    <row r="58" spans="1:27" ht="19.5">
      <c r="A58" s="1">
        <v>6</v>
      </c>
      <c r="B58" s="9" t="s">
        <v>10</v>
      </c>
      <c r="C58" s="1">
        <v>252</v>
      </c>
      <c r="D58" s="5">
        <f>Table14[[#This Row],[Enrolment S.Y. 2025-2026 ]]*8</f>
        <v>2016</v>
      </c>
      <c r="E58" s="5"/>
      <c r="F58" s="1"/>
      <c r="G58" s="5"/>
      <c r="H58" s="5">
        <f t="shared" si="0"/>
        <v>2016</v>
      </c>
      <c r="I58" s="5">
        <f t="shared" si="1"/>
        <v>0</v>
      </c>
      <c r="J58" s="5">
        <f>Table14[[#This Row],[Enrolment S.Y. 2025-2026 ]]*8</f>
        <v>2016</v>
      </c>
      <c r="K58" s="5"/>
      <c r="L58" s="1"/>
      <c r="M58" s="5"/>
      <c r="N58" s="5">
        <f t="shared" si="2"/>
        <v>2016</v>
      </c>
      <c r="O58" s="5">
        <f t="shared" si="3"/>
        <v>0</v>
      </c>
      <c r="P58" s="5">
        <f>Table14[[#This Row],[Enrolment S.Y. 2025-2026 ]]*8</f>
        <v>2016</v>
      </c>
      <c r="Q58" s="5"/>
      <c r="R58" s="1"/>
      <c r="S58" s="5"/>
      <c r="T58" s="5">
        <f t="shared" si="4"/>
        <v>2016</v>
      </c>
      <c r="U58" s="5">
        <f t="shared" si="5"/>
        <v>0</v>
      </c>
      <c r="V58" s="5">
        <f>Table14[[#This Row],[Enrolment S.Y. 2025-2026 ]]*8</f>
        <v>2016</v>
      </c>
      <c r="W58" s="5"/>
      <c r="X58" s="1"/>
      <c r="Y58" s="5"/>
      <c r="Z58" s="5">
        <f t="shared" si="6"/>
        <v>2016</v>
      </c>
      <c r="AA58" s="5">
        <f t="shared" si="7"/>
        <v>0</v>
      </c>
    </row>
    <row r="59" spans="1:27" ht="38.25">
      <c r="A59" s="1">
        <v>6</v>
      </c>
      <c r="B59" s="9" t="s">
        <v>16</v>
      </c>
      <c r="C59" s="1">
        <v>252</v>
      </c>
      <c r="D59" s="5">
        <f>Table14[[#This Row],[Enrolment S.Y. 2025-2026 ]]*8</f>
        <v>2016</v>
      </c>
      <c r="E59" s="5"/>
      <c r="F59" s="1"/>
      <c r="G59" s="5"/>
      <c r="H59" s="5">
        <f t="shared" si="0"/>
        <v>2016</v>
      </c>
      <c r="I59" s="5">
        <f t="shared" si="1"/>
        <v>0</v>
      </c>
      <c r="J59" s="5">
        <f>Table14[[#This Row],[Enrolment S.Y. 2025-2026 ]]*8</f>
        <v>2016</v>
      </c>
      <c r="K59" s="5"/>
      <c r="L59" s="1"/>
      <c r="M59" s="5"/>
      <c r="N59" s="5">
        <f t="shared" si="2"/>
        <v>2016</v>
      </c>
      <c r="O59" s="5">
        <f t="shared" si="3"/>
        <v>0</v>
      </c>
      <c r="P59" s="5">
        <f>Table14[[#This Row],[Enrolment S.Y. 2025-2026 ]]*8</f>
        <v>2016</v>
      </c>
      <c r="Q59" s="5"/>
      <c r="R59" s="1"/>
      <c r="S59" s="5"/>
      <c r="T59" s="5">
        <f t="shared" si="4"/>
        <v>2016</v>
      </c>
      <c r="U59" s="5">
        <f t="shared" si="5"/>
        <v>0</v>
      </c>
      <c r="V59" s="5">
        <f>Table14[[#This Row],[Enrolment S.Y. 2025-2026 ]]*8</f>
        <v>2016</v>
      </c>
      <c r="W59" s="5"/>
      <c r="X59" s="1"/>
      <c r="Y59" s="5"/>
      <c r="Z59" s="5">
        <f t="shared" si="6"/>
        <v>2016</v>
      </c>
      <c r="AA59" s="5">
        <f t="shared" si="7"/>
        <v>0</v>
      </c>
    </row>
    <row r="60" spans="1:27" ht="19.5">
      <c r="A60" s="1">
        <v>6</v>
      </c>
      <c r="B60" s="9" t="s">
        <v>13</v>
      </c>
      <c r="C60" s="1">
        <v>252</v>
      </c>
      <c r="D60" s="5">
        <f>Table14[[#This Row],[Enrolment S.Y. 2025-2026 ]]*8</f>
        <v>2016</v>
      </c>
      <c r="E60" s="5"/>
      <c r="F60" s="1"/>
      <c r="G60" s="5"/>
      <c r="H60" s="5">
        <f t="shared" si="0"/>
        <v>2016</v>
      </c>
      <c r="I60" s="5">
        <f t="shared" si="1"/>
        <v>0</v>
      </c>
      <c r="J60" s="5">
        <f>Table14[[#This Row],[Enrolment S.Y. 2025-2026 ]]*8</f>
        <v>2016</v>
      </c>
      <c r="K60" s="5"/>
      <c r="L60" s="1"/>
      <c r="M60" s="5"/>
      <c r="N60" s="5">
        <f t="shared" si="2"/>
        <v>2016</v>
      </c>
      <c r="O60" s="5">
        <f t="shared" si="3"/>
        <v>0</v>
      </c>
      <c r="P60" s="5">
        <f>Table14[[#This Row],[Enrolment S.Y. 2025-2026 ]]*8</f>
        <v>2016</v>
      </c>
      <c r="Q60" s="5"/>
      <c r="R60" s="1"/>
      <c r="S60" s="5"/>
      <c r="T60" s="5">
        <f t="shared" si="4"/>
        <v>2016</v>
      </c>
      <c r="U60" s="5">
        <f t="shared" si="5"/>
        <v>0</v>
      </c>
      <c r="V60" s="5">
        <f>Table14[[#This Row],[Enrolment S.Y. 2025-2026 ]]*8</f>
        <v>2016</v>
      </c>
      <c r="W60" s="5"/>
      <c r="X60" s="1"/>
      <c r="Y60" s="5"/>
      <c r="Z60" s="5">
        <f t="shared" si="6"/>
        <v>2016</v>
      </c>
      <c r="AA60" s="5">
        <f t="shared" si="7"/>
        <v>0</v>
      </c>
    </row>
    <row r="61" spans="1:27" ht="19.5">
      <c r="A61" s="37">
        <v>6</v>
      </c>
      <c r="B61" s="9" t="s">
        <v>88</v>
      </c>
      <c r="C61" s="5">
        <v>252</v>
      </c>
      <c r="D61" s="5">
        <f>Table14[[#This Row],[Enrolment S.Y. 2025-2026 ]]*8</f>
        <v>2016</v>
      </c>
      <c r="E61" s="5"/>
      <c r="F61" s="1"/>
      <c r="G61" s="5"/>
      <c r="H61" s="5">
        <f>IF((D61-E61)&lt;0,0,(D61-E61))</f>
        <v>2016</v>
      </c>
      <c r="I61" s="5">
        <f>IF((E61-D61)&lt;0,0,(E61-D61))</f>
        <v>0</v>
      </c>
      <c r="J61" s="5">
        <f>Table14[[#This Row],[Enrolment S.Y. 2025-2026 ]]*8</f>
        <v>2016</v>
      </c>
      <c r="K61" s="5"/>
      <c r="L61" s="1"/>
      <c r="M61" s="5"/>
      <c r="N61" s="5">
        <f t="shared" ref="N61:N65" si="12">IF((J61-K61)&lt;0,0,(J61-K61))</f>
        <v>2016</v>
      </c>
      <c r="O61" s="5">
        <f t="shared" ref="O61:O65" si="13">IF((K61-J61)&lt;0,0,(K61-J61))</f>
        <v>0</v>
      </c>
      <c r="P61" s="5">
        <f>Table14[[#This Row],[Enrolment S.Y. 2025-2026 ]]*8</f>
        <v>2016</v>
      </c>
      <c r="Q61" s="5"/>
      <c r="R61" s="1"/>
      <c r="S61" s="5"/>
      <c r="T61" s="5">
        <f>IF((P61-Q61)&lt;0,0,(P61-Q61))</f>
        <v>2016</v>
      </c>
      <c r="U61" s="5">
        <f>IF((Q61-P61)&lt;0,0,(Q61-P61))</f>
        <v>0</v>
      </c>
      <c r="V61" s="5">
        <f>Table14[[#This Row],[Enrolment S.Y. 2025-2026 ]]*8</f>
        <v>2016</v>
      </c>
      <c r="W61" s="5"/>
      <c r="X61" s="1"/>
      <c r="Y61" s="5"/>
      <c r="Z61" s="5">
        <f>IF((V61-W61)&lt;0,0,(V61-W61))</f>
        <v>2016</v>
      </c>
      <c r="AA61" s="5">
        <f>IF((W61-V61)&lt;0,0,(W61-V61))</f>
        <v>0</v>
      </c>
    </row>
    <row r="62" spans="1:27" ht="19.5">
      <c r="A62" s="1">
        <v>6</v>
      </c>
      <c r="B62" s="9" t="s">
        <v>89</v>
      </c>
      <c r="C62" s="1">
        <v>252</v>
      </c>
      <c r="D62" s="5">
        <f>Table14[[#This Row],[Enrolment S.Y. 2025-2026 ]]*8</f>
        <v>2016</v>
      </c>
      <c r="E62" s="5"/>
      <c r="F62" s="1"/>
      <c r="G62" s="5"/>
      <c r="H62" s="5">
        <f t="shared" si="0"/>
        <v>2016</v>
      </c>
      <c r="I62" s="5">
        <f t="shared" si="1"/>
        <v>0</v>
      </c>
      <c r="J62" s="5">
        <f>Table14[[#This Row],[Enrolment S.Y. 2025-2026 ]]*8</f>
        <v>2016</v>
      </c>
      <c r="K62" s="5"/>
      <c r="L62" s="1"/>
      <c r="M62" s="5"/>
      <c r="N62" s="5">
        <f t="shared" si="12"/>
        <v>2016</v>
      </c>
      <c r="O62" s="5">
        <f t="shared" si="13"/>
        <v>0</v>
      </c>
      <c r="P62" s="5">
        <f>Table14[[#This Row],[Enrolment S.Y. 2025-2026 ]]*8</f>
        <v>2016</v>
      </c>
      <c r="Q62" s="5"/>
      <c r="R62" s="1"/>
      <c r="S62" s="5"/>
      <c r="T62" s="5">
        <f t="shared" si="4"/>
        <v>2016</v>
      </c>
      <c r="U62" s="5">
        <f t="shared" si="5"/>
        <v>0</v>
      </c>
      <c r="V62" s="5">
        <f>Table14[[#This Row],[Enrolment S.Y. 2025-2026 ]]*8</f>
        <v>2016</v>
      </c>
      <c r="W62" s="5"/>
      <c r="X62" s="1"/>
      <c r="Y62" s="5"/>
      <c r="Z62" s="5">
        <f t="shared" si="6"/>
        <v>2016</v>
      </c>
      <c r="AA62" s="5">
        <f t="shared" si="7"/>
        <v>0</v>
      </c>
    </row>
    <row r="63" spans="1:27" ht="19.5">
      <c r="A63" s="1">
        <v>6</v>
      </c>
      <c r="B63" s="9" t="s">
        <v>18</v>
      </c>
      <c r="C63" s="1">
        <v>252</v>
      </c>
      <c r="D63" s="5">
        <f>Table14[[#This Row],[Enrolment S.Y. 2025-2026 ]]*8</f>
        <v>2016</v>
      </c>
      <c r="E63" s="5"/>
      <c r="F63" s="1"/>
      <c r="G63" s="5"/>
      <c r="H63" s="5">
        <f t="shared" si="0"/>
        <v>2016</v>
      </c>
      <c r="I63" s="5">
        <f t="shared" si="1"/>
        <v>0</v>
      </c>
      <c r="J63" s="5">
        <f>Table14[[#This Row],[Enrolment S.Y. 2025-2026 ]]*8</f>
        <v>2016</v>
      </c>
      <c r="K63" s="5"/>
      <c r="L63" s="1"/>
      <c r="M63" s="5"/>
      <c r="N63" s="5">
        <f t="shared" si="12"/>
        <v>2016</v>
      </c>
      <c r="O63" s="5">
        <f t="shared" si="13"/>
        <v>0</v>
      </c>
      <c r="P63" s="5">
        <f>Table14[[#This Row],[Enrolment S.Y. 2025-2026 ]]*8</f>
        <v>2016</v>
      </c>
      <c r="Q63" s="5"/>
      <c r="R63" s="1"/>
      <c r="S63" s="5"/>
      <c r="T63" s="5">
        <f t="shared" si="4"/>
        <v>2016</v>
      </c>
      <c r="U63" s="5">
        <f t="shared" si="5"/>
        <v>0</v>
      </c>
      <c r="V63" s="5">
        <f>Table14[[#This Row],[Enrolment S.Y. 2025-2026 ]]*8</f>
        <v>2016</v>
      </c>
      <c r="W63" s="5"/>
      <c r="X63" s="1"/>
      <c r="Y63" s="5"/>
      <c r="Z63" s="5">
        <f t="shared" si="6"/>
        <v>2016</v>
      </c>
      <c r="AA63" s="5">
        <f t="shared" si="7"/>
        <v>0</v>
      </c>
    </row>
    <row r="64" spans="1:27" ht="19.5">
      <c r="A64" s="37">
        <v>6</v>
      </c>
      <c r="B64" s="9" t="s">
        <v>90</v>
      </c>
      <c r="C64" s="5">
        <v>252</v>
      </c>
      <c r="D64" s="5">
        <f>Table14[[#This Row],[Enrolment S.Y. 2025-2026 ]]*8</f>
        <v>2016</v>
      </c>
      <c r="E64" s="5"/>
      <c r="F64" s="1"/>
      <c r="G64" s="5"/>
      <c r="H64" s="5">
        <f>IF((D64-E64)&lt;0,0,(D64-E64))</f>
        <v>2016</v>
      </c>
      <c r="I64" s="5">
        <f>IF((E64-D64)&lt;0,0,(E64-D64))</f>
        <v>0</v>
      </c>
      <c r="J64" s="5">
        <f>Table14[[#This Row],[Enrolment S.Y. 2025-2026 ]]*8</f>
        <v>2016</v>
      </c>
      <c r="K64" s="5"/>
      <c r="L64" s="1"/>
      <c r="M64" s="5"/>
      <c r="N64" s="5">
        <f t="shared" si="12"/>
        <v>2016</v>
      </c>
      <c r="O64" s="5">
        <f t="shared" si="13"/>
        <v>0</v>
      </c>
      <c r="P64" s="5">
        <f>Table14[[#This Row],[Enrolment S.Y. 2025-2026 ]]*8</f>
        <v>2016</v>
      </c>
      <c r="Q64" s="5"/>
      <c r="R64" s="1"/>
      <c r="S64" s="5"/>
      <c r="T64" s="5">
        <f>IF((P64-Q64)&lt;0,0,(P64-Q64))</f>
        <v>2016</v>
      </c>
      <c r="U64" s="5">
        <f>IF((Q64-P64)&lt;0,0,(Q64-P64))</f>
        <v>0</v>
      </c>
      <c r="V64" s="5">
        <f>Table14[[#This Row],[Enrolment S.Y. 2025-2026 ]]*8</f>
        <v>2016</v>
      </c>
      <c r="W64" s="5"/>
      <c r="X64" s="1"/>
      <c r="Y64" s="5"/>
      <c r="Z64" s="5">
        <f>IF((V64-W64)&lt;0,0,(V64-W64))</f>
        <v>2016</v>
      </c>
      <c r="AA64" s="5">
        <f>IF((W64-V64)&lt;0,0,(W64-V64))</f>
        <v>0</v>
      </c>
    </row>
    <row r="65" spans="1:27" ht="19.5">
      <c r="A65" s="1">
        <v>6</v>
      </c>
      <c r="B65" s="9" t="s">
        <v>91</v>
      </c>
      <c r="C65" s="1">
        <v>252</v>
      </c>
      <c r="D65" s="5">
        <f>Table14[[#This Row],[Enrolment S.Y. 2025-2026 ]]*8</f>
        <v>2016</v>
      </c>
      <c r="E65" s="5"/>
      <c r="F65" s="1"/>
      <c r="G65" s="5"/>
      <c r="H65" s="5">
        <f t="shared" si="0"/>
        <v>2016</v>
      </c>
      <c r="I65" s="5">
        <f t="shared" si="1"/>
        <v>0</v>
      </c>
      <c r="J65" s="5">
        <f>Table14[[#This Row],[Enrolment S.Y. 2025-2026 ]]*8</f>
        <v>2016</v>
      </c>
      <c r="K65" s="5"/>
      <c r="L65" s="1"/>
      <c r="M65" s="5"/>
      <c r="N65" s="5">
        <f t="shared" si="12"/>
        <v>2016</v>
      </c>
      <c r="O65" s="5">
        <f t="shared" si="13"/>
        <v>0</v>
      </c>
      <c r="P65" s="5">
        <f>Table14[[#This Row],[Enrolment S.Y. 2025-2026 ]]*8</f>
        <v>2016</v>
      </c>
      <c r="Q65" s="5"/>
      <c r="R65" s="1"/>
      <c r="S65" s="5"/>
      <c r="T65" s="5">
        <f t="shared" si="4"/>
        <v>2016</v>
      </c>
      <c r="U65" s="5">
        <f t="shared" si="5"/>
        <v>0</v>
      </c>
      <c r="V65" s="5">
        <f>Table14[[#This Row],[Enrolment S.Y. 2025-2026 ]]*8</f>
        <v>2016</v>
      </c>
      <c r="W65" s="5"/>
      <c r="X65" s="1"/>
      <c r="Y65" s="5"/>
      <c r="Z65" s="5">
        <f t="shared" si="6"/>
        <v>2016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2025-12-16T00:48:00Z</dcterms:modified>
  <cp:category/>
  <cp:contentStatus/>
</cp:coreProperties>
</file>