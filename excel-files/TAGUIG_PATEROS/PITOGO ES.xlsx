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4" documentId="13_ncr:1_{BFB59F67-F0DC-4675-A682-EB0734A8026A}" xr6:coauthVersionLast="47" xr6:coauthVersionMax="47" xr10:uidLastSave="{85837576-FAD4-49B7-812A-7A0B9778CD8C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<sst xmlns="http://schemas.openxmlformats.org/spreadsheetml/2006/main" count="452" uniqueCount="92">
  <si>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</si>
  <si>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</si>
  <si>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</si>
  <si>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</si>
  <si>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</si>
  <si>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</si>
  <si>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</si>
  <si>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</si>
  <si>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</si>
  <si>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</si>
  <si>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</si>
  <si>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</si>
  <si>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SDO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</si>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</sst>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2" sqref="F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110</v>
      </c>
      <c r="D2" s="1">
        <v>552</v>
      </c>
      <c r="E2" s="1">
        <v>2024</v>
      </c>
      <c r="F2" s="5" t="s">
        <v>9</v>
      </c>
      <c r="G2" s="3">
        <v>0</v>
      </c>
      <c r="H2" s="4">
        <f>IF((D2-C2)&lt;0,0,D2-C2)</f>
        <v>442</v>
      </c>
    </row>
    <row r="3" spans="1:8" ht="29.25" customHeight="1">
      <c r="A3" s="1">
        <v>1</v>
      </c>
      <c r="B3" s="2" t="s">
        <v>10</v>
      </c>
      <c r="C3" s="1">
        <v>110</v>
      </c>
      <c r="D3" s="1">
        <v>276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166</v>
      </c>
    </row>
    <row r="4" spans="1:8" ht="21" customHeight="1">
      <c r="A4" s="1">
        <v>1</v>
      </c>
      <c r="B4" s="2" t="s">
        <v>11</v>
      </c>
      <c r="C4" s="1">
        <v>110</v>
      </c>
      <c r="D4" s="1">
        <v>554</v>
      </c>
      <c r="E4" s="1">
        <v>2024</v>
      </c>
      <c r="F4" s="5" t="s">
        <v>12</v>
      </c>
      <c r="G4" s="3">
        <f>IF((C4-D4)&lt;0,0,C4-D4)</f>
        <v>0</v>
      </c>
      <c r="H4" s="4">
        <f>IF((D4-C4)&lt;0,0,D4-C4)</f>
        <v>444</v>
      </c>
    </row>
    <row r="5" spans="1:8" ht="25.5" customHeight="1">
      <c r="A5" s="1">
        <v>1</v>
      </c>
      <c r="B5" s="2" t="s">
        <v>13</v>
      </c>
      <c r="C5" s="1">
        <v>110</v>
      </c>
      <c r="D5" s="1">
        <v>276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166</v>
      </c>
    </row>
    <row r="6" spans="1:8" ht="19.5">
      <c r="A6" s="1">
        <v>1</v>
      </c>
      <c r="B6" s="2" t="s">
        <v>14</v>
      </c>
      <c r="C6" s="1"/>
      <c r="D6" s="1">
        <v>0</v>
      </c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>
        <v>0</v>
      </c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>
        <v>0</v>
      </c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>
        <v>0</v>
      </c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>
        <v>0</v>
      </c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14</v>
      </c>
      <c r="C12" s="1"/>
      <c r="D12" s="1">
        <v>0</v>
      </c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>
        <v>0</v>
      </c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>
        <v>0</v>
      </c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>
        <v>0</v>
      </c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>
        <v>0</v>
      </c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>
        <v>0</v>
      </c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"/>
      <c r="D19" s="1">
        <v>0</v>
      </c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175</v>
      </c>
      <c r="D21" s="1">
        <v>424</v>
      </c>
      <c r="E21" s="1">
        <v>2024</v>
      </c>
      <c r="F21" s="5" t="s">
        <v>12</v>
      </c>
      <c r="G21" s="3">
        <f t="shared" ref="G21:G29" si="4">IF((C21-D21)&lt;0,0,C21-D21)</f>
        <v>0</v>
      </c>
      <c r="H21" s="4">
        <f t="shared" ref="H21:H29" si="5">IF((D21-C21)&lt;0,0,D21-C21)</f>
        <v>249</v>
      </c>
    </row>
    <row r="22" spans="1:8" ht="24" customHeight="1">
      <c r="A22" s="1">
        <v>4</v>
      </c>
      <c r="B22" s="9" t="s">
        <v>17</v>
      </c>
      <c r="C22" s="1">
        <v>175</v>
      </c>
      <c r="D22" s="1">
        <v>424</v>
      </c>
      <c r="E22" s="1">
        <v>2025</v>
      </c>
      <c r="F22" s="5" t="s">
        <v>12</v>
      </c>
      <c r="G22" s="3">
        <f t="shared" si="4"/>
        <v>0</v>
      </c>
      <c r="H22" s="4">
        <f t="shared" si="5"/>
        <v>249</v>
      </c>
    </row>
    <row r="23" spans="1:8" ht="19.5">
      <c r="A23" s="1">
        <v>4</v>
      </c>
      <c r="B23" s="9" t="s">
        <v>14</v>
      </c>
      <c r="C23" s="1">
        <v>175</v>
      </c>
      <c r="D23" s="1">
        <v>250</v>
      </c>
      <c r="E23" s="1">
        <v>2025</v>
      </c>
      <c r="F23" s="5" t="s">
        <v>12</v>
      </c>
      <c r="G23" s="3">
        <f t="shared" si="4"/>
        <v>0</v>
      </c>
      <c r="H23" s="4">
        <f t="shared" si="5"/>
        <v>75</v>
      </c>
    </row>
    <row r="24" spans="1:8" ht="27" customHeight="1">
      <c r="A24" s="1">
        <v>4</v>
      </c>
      <c r="B24" s="9" t="s">
        <v>11</v>
      </c>
      <c r="C24" s="1">
        <v>175</v>
      </c>
      <c r="D24" s="1">
        <v>420</v>
      </c>
      <c r="E24" s="1">
        <v>2024</v>
      </c>
      <c r="F24" s="5" t="s">
        <v>12</v>
      </c>
      <c r="G24" s="3">
        <f t="shared" si="4"/>
        <v>0</v>
      </c>
      <c r="H24" s="4">
        <f t="shared" si="5"/>
        <v>245</v>
      </c>
    </row>
    <row r="25" spans="1:8" ht="33.75" customHeight="1">
      <c r="A25" s="1">
        <v>4</v>
      </c>
      <c r="B25" s="9" t="s">
        <v>18</v>
      </c>
      <c r="C25" s="1">
        <v>175</v>
      </c>
      <c r="D25" s="1">
        <v>359</v>
      </c>
      <c r="E25" s="1">
        <v>2024</v>
      </c>
      <c r="F25" s="5" t="s">
        <v>12</v>
      </c>
      <c r="G25" s="3">
        <f t="shared" si="4"/>
        <v>0</v>
      </c>
      <c r="H25" s="4">
        <f t="shared" si="5"/>
        <v>184</v>
      </c>
    </row>
    <row r="26" spans="1:8" ht="33.75" customHeight="1">
      <c r="A26" s="1">
        <v>4</v>
      </c>
      <c r="B26" s="9" t="s">
        <v>15</v>
      </c>
      <c r="C26" s="1">
        <v>175</v>
      </c>
      <c r="D26" s="1">
        <v>359</v>
      </c>
      <c r="E26" s="1">
        <v>2024</v>
      </c>
      <c r="F26" s="5" t="s">
        <v>12</v>
      </c>
      <c r="G26" s="3">
        <f t="shared" si="4"/>
        <v>0</v>
      </c>
      <c r="H26" s="4">
        <f t="shared" si="5"/>
        <v>184</v>
      </c>
    </row>
    <row r="27" spans="1:8" ht="33.75" customHeight="1">
      <c r="A27" s="1">
        <v>4</v>
      </c>
      <c r="B27" s="9" t="s">
        <v>19</v>
      </c>
      <c r="C27" s="1"/>
      <c r="D27" s="1">
        <v>0</v>
      </c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>
        <v>0</v>
      </c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>
        <v>0</v>
      </c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/>
      <c r="D31" s="1">
        <v>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>
        <v>0</v>
      </c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>
        <v>0</v>
      </c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>
        <v>0</v>
      </c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0</v>
      </c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/>
      <c r="D36" s="1">
        <v>0</v>
      </c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>
        <v>0</v>
      </c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>
        <v>0</v>
      </c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>
        <v>0</v>
      </c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>
        <v>0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>
        <v>0</v>
      </c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>
        <v>0</v>
      </c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>
        <v>0</v>
      </c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>
        <v>0</v>
      </c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>
        <v>0</v>
      </c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>
        <v>0</v>
      </c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>
        <v>0</v>
      </c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>
        <v>0</v>
      </c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C7" sqref="C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41.25" customHeight="1">
      <c r="A5" s="1">
        <v>1</v>
      </c>
      <c r="B5" s="2" t="s">
        <v>8</v>
      </c>
      <c r="C5" s="1">
        <v>110</v>
      </c>
      <c r="D5" s="5">
        <f>Table1[[#This Row],[Enrolment S.Y. 2025-2026 ]]*8</f>
        <v>880</v>
      </c>
      <c r="E5" s="5">
        <v>17</v>
      </c>
      <c r="F5" s="1">
        <v>2024</v>
      </c>
      <c r="G5" s="5" t="s">
        <v>12</v>
      </c>
      <c r="H5" s="5">
        <f t="shared" ref="H5:H77" si="2">IF((D5-E5)&lt;0,0,(D5-E5))</f>
        <v>863</v>
      </c>
      <c r="I5" s="5">
        <f t="shared" ref="I5:I77" si="3">IF((E5-D5)&lt;0,0,(E5-D5))</f>
        <v>0</v>
      </c>
      <c r="J5" s="5">
        <f>Table1[[#This Row],[Enrolment S.Y. 2025-2026 ]]*8</f>
        <v>880</v>
      </c>
      <c r="K5" s="5"/>
      <c r="L5" s="1"/>
      <c r="M5" s="5"/>
      <c r="N5" s="5">
        <f t="shared" ref="N5" si="4">IF((J5-K5)&lt;0,0,(J5-K5))</f>
        <v>880</v>
      </c>
      <c r="O5" s="5">
        <f t="shared" ref="O5" si="5">IF((K5-J5)&lt;0,0,(K5-J5))</f>
        <v>0</v>
      </c>
      <c r="P5" s="5">
        <f>Table1[[#This Row],[Enrolment S.Y. 2025-2026 ]]*8</f>
        <v>880</v>
      </c>
      <c r="Q5" s="5"/>
      <c r="R5" s="1"/>
      <c r="S5" s="5"/>
      <c r="T5" s="5">
        <f t="shared" ref="T5" si="6">IF((P5-Q5)&lt;0,0,(P5-Q5))</f>
        <v>880</v>
      </c>
      <c r="U5" s="5">
        <f t="shared" ref="U5" si="7">IF((Q5-P5)&lt;0,0,(Q5-P5))</f>
        <v>0</v>
      </c>
      <c r="V5" s="5">
        <f>Table1[[#This Row],[Enrolment S.Y. 2025-2026 ]]*8</f>
        <v>880</v>
      </c>
      <c r="W5" s="5"/>
      <c r="X5" s="1"/>
      <c r="Y5" s="5"/>
      <c r="Z5" s="5">
        <f t="shared" ref="Z5" si="8">IF((V5-W5)&lt;0,0,(V5-W5))</f>
        <v>880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110</v>
      </c>
      <c r="D6" s="5">
        <f>Table1[[#This Row],[Enrolment S.Y. 2025-2026 ]]*8</f>
        <v>880</v>
      </c>
      <c r="E6" s="5">
        <v>17</v>
      </c>
      <c r="F6" s="1">
        <v>2024</v>
      </c>
      <c r="G6" s="5" t="s">
        <v>12</v>
      </c>
      <c r="H6" s="5">
        <f t="shared" si="2"/>
        <v>863</v>
      </c>
      <c r="I6" s="5">
        <f t="shared" si="3"/>
        <v>0</v>
      </c>
      <c r="J6" s="5">
        <f>Table1[[#This Row],[Enrolment S.Y. 2025-2026 ]]*8</f>
        <v>880</v>
      </c>
      <c r="K6" s="5"/>
      <c r="L6" s="1"/>
      <c r="M6" s="5"/>
      <c r="N6" s="5">
        <f t="shared" ref="N6:N69" si="10">IF((J6-K6)&lt;0,0,(J6-K6))</f>
        <v>880</v>
      </c>
      <c r="O6" s="5">
        <f t="shared" ref="O6:O69" si="11">IF((K6-J6)&lt;0,0,(K6-J6))</f>
        <v>0</v>
      </c>
      <c r="P6" s="5">
        <f>Table1[[#This Row],[Enrolment S.Y. 2025-2026 ]]*8</f>
        <v>880</v>
      </c>
      <c r="Q6" s="5"/>
      <c r="R6" s="1"/>
      <c r="S6" s="5"/>
      <c r="T6" s="5">
        <f t="shared" ref="T6:T69" si="12">IF((P6-Q6)&lt;0,0,(P6-Q6))</f>
        <v>880</v>
      </c>
      <c r="U6" s="5">
        <f t="shared" ref="U6:U69" si="13">IF((Q6-P6)&lt;0,0,(Q6-P6))</f>
        <v>0</v>
      </c>
      <c r="V6" s="5">
        <f>Table1[[#This Row],[Enrolment S.Y. 2025-2026 ]]*8</f>
        <v>880</v>
      </c>
      <c r="W6" s="5"/>
      <c r="X6" s="1"/>
      <c r="Y6" s="5"/>
      <c r="Z6" s="5">
        <f t="shared" ref="Z6:Z69" si="14">IF((V6-W6)&lt;0,0,(V6-W6))</f>
        <v>880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5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132</v>
      </c>
      <c r="D16" s="5">
        <f>Table1[[#This Row],[Enrolment S.Y. 2025-2026 ]]*8</f>
        <v>1056</v>
      </c>
      <c r="E16" s="5">
        <v>111</v>
      </c>
      <c r="F16" s="1">
        <v>2025</v>
      </c>
      <c r="G16" s="5" t="s">
        <v>12</v>
      </c>
      <c r="H16" s="5">
        <f t="shared" si="2"/>
        <v>945</v>
      </c>
      <c r="I16" s="5">
        <f t="shared" si="3"/>
        <v>0</v>
      </c>
      <c r="J16" s="5">
        <f>Table1[[#This Row],[Enrolment S.Y. 2025-2026 ]]*8</f>
        <v>1056</v>
      </c>
      <c r="K16" s="5"/>
      <c r="L16" s="1"/>
      <c r="M16" s="5"/>
      <c r="N16" s="5">
        <f t="shared" si="10"/>
        <v>1056</v>
      </c>
      <c r="O16" s="5">
        <f t="shared" si="11"/>
        <v>0</v>
      </c>
      <c r="P16" s="5">
        <f>Table1[[#This Row],[Enrolment S.Y. 2025-2026 ]]*8</f>
        <v>1056</v>
      </c>
      <c r="Q16" s="5"/>
      <c r="R16" s="1"/>
      <c r="S16" s="5"/>
      <c r="T16" s="5">
        <f t="shared" si="12"/>
        <v>1056</v>
      </c>
      <c r="U16" s="5">
        <f t="shared" si="13"/>
        <v>0</v>
      </c>
      <c r="V16" s="5">
        <f>Table1[[#This Row],[Enrolment S.Y. 2025-2026 ]]*8</f>
        <v>1056</v>
      </c>
      <c r="W16" s="5"/>
      <c r="X16" s="1"/>
      <c r="Y16" s="5"/>
      <c r="Z16" s="5">
        <f t="shared" si="14"/>
        <v>1056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132</v>
      </c>
      <c r="D17" s="5">
        <f>Table1[[#This Row],[Enrolment S.Y. 2025-2026 ]]*8</f>
        <v>1056</v>
      </c>
      <c r="E17" s="5">
        <v>111</v>
      </c>
      <c r="F17" s="1">
        <v>2025</v>
      </c>
      <c r="G17" s="5" t="s">
        <v>12</v>
      </c>
      <c r="H17" s="5">
        <f t="shared" si="2"/>
        <v>945</v>
      </c>
      <c r="I17" s="5">
        <f t="shared" si="3"/>
        <v>0</v>
      </c>
      <c r="J17" s="5">
        <f>Table1[[#This Row],[Enrolment S.Y. 2025-2026 ]]*8</f>
        <v>1056</v>
      </c>
      <c r="K17" s="5"/>
      <c r="L17" s="1"/>
      <c r="M17" s="5"/>
      <c r="N17" s="5">
        <f t="shared" si="10"/>
        <v>1056</v>
      </c>
      <c r="O17" s="5">
        <f t="shared" si="11"/>
        <v>0</v>
      </c>
      <c r="P17" s="5">
        <f>Table1[[#This Row],[Enrolment S.Y. 2025-2026 ]]*8</f>
        <v>1056</v>
      </c>
      <c r="Q17" s="5"/>
      <c r="R17" s="1"/>
      <c r="S17" s="5"/>
      <c r="T17" s="5">
        <f t="shared" si="12"/>
        <v>1056</v>
      </c>
      <c r="U17" s="5">
        <f t="shared" si="13"/>
        <v>0</v>
      </c>
      <c r="V17" s="5">
        <f>Table1[[#This Row],[Enrolment S.Y. 2025-2026 ]]*8</f>
        <v>1056</v>
      </c>
      <c r="W17" s="5"/>
      <c r="X17" s="1"/>
      <c r="Y17" s="5"/>
      <c r="Z17" s="5">
        <f t="shared" si="14"/>
        <v>1056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132</v>
      </c>
      <c r="D18" s="5">
        <f>Table1[[#This Row],[Enrolment S.Y. 2025-2026 ]]*8</f>
        <v>1056</v>
      </c>
      <c r="E18" s="5">
        <v>111</v>
      </c>
      <c r="F18" s="1">
        <v>2025</v>
      </c>
      <c r="G18" s="5" t="s">
        <v>12</v>
      </c>
      <c r="H18" s="5">
        <f t="shared" si="2"/>
        <v>945</v>
      </c>
      <c r="I18" s="5">
        <f t="shared" si="3"/>
        <v>0</v>
      </c>
      <c r="J18" s="5">
        <f>Table1[[#This Row],[Enrolment S.Y. 2025-2026 ]]*8</f>
        <v>1056</v>
      </c>
      <c r="K18" s="5"/>
      <c r="L18" s="1"/>
      <c r="M18" s="5"/>
      <c r="N18" s="5">
        <f t="shared" si="10"/>
        <v>1056</v>
      </c>
      <c r="O18" s="5">
        <f t="shared" si="11"/>
        <v>0</v>
      </c>
      <c r="P18" s="5">
        <f>Table1[[#This Row],[Enrolment S.Y. 2025-2026 ]]*8</f>
        <v>1056</v>
      </c>
      <c r="Q18" s="5"/>
      <c r="R18" s="1"/>
      <c r="S18" s="5"/>
      <c r="T18" s="5">
        <f t="shared" si="12"/>
        <v>1056</v>
      </c>
      <c r="U18" s="5">
        <f t="shared" si="13"/>
        <v>0</v>
      </c>
      <c r="V18" s="5">
        <f>Table1[[#This Row],[Enrolment S.Y. 2025-2026 ]]*8</f>
        <v>1056</v>
      </c>
      <c r="W18" s="5"/>
      <c r="X18" s="1"/>
      <c r="Y18" s="5"/>
      <c r="Z18" s="5">
        <f t="shared" si="14"/>
        <v>1056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132</v>
      </c>
      <c r="D19" s="5">
        <f>Table1[[#This Row],[Enrolment S.Y. 2025-2026 ]]*8</f>
        <v>1056</v>
      </c>
      <c r="E19" s="5">
        <v>111</v>
      </c>
      <c r="F19" s="1">
        <v>2025</v>
      </c>
      <c r="G19" s="5" t="s">
        <v>12</v>
      </c>
      <c r="H19" s="5">
        <f>IF((D19-E19)&lt;0,0,(D19-E19))</f>
        <v>945</v>
      </c>
      <c r="I19" s="5">
        <f>IF((E19-D19)&lt;0,0,(E19-D19))</f>
        <v>0</v>
      </c>
      <c r="J19" s="5">
        <f>Table1[[#This Row],[Enrolment S.Y. 2025-2026 ]]*8</f>
        <v>1056</v>
      </c>
      <c r="K19" s="5"/>
      <c r="L19" s="1"/>
      <c r="M19" s="5"/>
      <c r="N19" s="5">
        <f t="shared" si="10"/>
        <v>1056</v>
      </c>
      <c r="O19" s="5">
        <f t="shared" si="11"/>
        <v>0</v>
      </c>
      <c r="P19" s="5">
        <f>Table1[[#This Row],[Enrolment S.Y. 2025-2026 ]]*8</f>
        <v>1056</v>
      </c>
      <c r="Q19" s="5"/>
      <c r="R19" s="1"/>
      <c r="S19" s="5"/>
      <c r="T19" s="5">
        <f t="shared" si="12"/>
        <v>1056</v>
      </c>
      <c r="U19" s="5">
        <f t="shared" si="13"/>
        <v>0</v>
      </c>
      <c r="V19" s="5">
        <f>Table1[[#This Row],[Enrolment S.Y. 2025-2026 ]]*8</f>
        <v>1056</v>
      </c>
      <c r="W19" s="5"/>
      <c r="X19" s="1"/>
      <c r="Y19" s="5"/>
      <c r="Z19" s="5">
        <f t="shared" si="14"/>
        <v>1056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132</v>
      </c>
      <c r="D20" s="5">
        <f>Table1[[#This Row],[Enrolment S.Y. 2025-2026 ]]*8</f>
        <v>1056</v>
      </c>
      <c r="E20" s="5">
        <v>111</v>
      </c>
      <c r="F20" s="1">
        <v>2025</v>
      </c>
      <c r="G20" s="5" t="s">
        <v>12</v>
      </c>
      <c r="H20" s="5">
        <f>IF((D20-E20)&lt;0,0,(D20-E20))</f>
        <v>945</v>
      </c>
      <c r="I20" s="5">
        <f>IF((E20-D20)&lt;0,0,(E20-D20))</f>
        <v>0</v>
      </c>
      <c r="J20" s="5">
        <f>Table1[[#This Row],[Enrolment S.Y. 2025-2026 ]]*8</f>
        <v>1056</v>
      </c>
      <c r="K20" s="5"/>
      <c r="L20" s="1"/>
      <c r="M20" s="5"/>
      <c r="N20" s="5">
        <f t="shared" si="10"/>
        <v>1056</v>
      </c>
      <c r="O20" s="5">
        <f t="shared" si="11"/>
        <v>0</v>
      </c>
      <c r="P20" s="5">
        <f>Table1[[#This Row],[Enrolment S.Y. 2025-2026 ]]*8</f>
        <v>1056</v>
      </c>
      <c r="Q20" s="5"/>
      <c r="R20" s="1"/>
      <c r="S20" s="5"/>
      <c r="T20" s="5">
        <f t="shared" si="12"/>
        <v>1056</v>
      </c>
      <c r="U20" s="5">
        <f t="shared" si="13"/>
        <v>0</v>
      </c>
      <c r="V20" s="5">
        <f>Table1[[#This Row],[Enrolment S.Y. 2025-2026 ]]*8</f>
        <v>1056</v>
      </c>
      <c r="W20" s="5"/>
      <c r="X20" s="1"/>
      <c r="Y20" s="5"/>
      <c r="Z20" s="5">
        <f t="shared" si="14"/>
        <v>1056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7.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112</v>
      </c>
      <c r="D25" s="5">
        <f>Table1[[#This Row],[Enrolment S.Y. 2025-2026 ]]*8</f>
        <v>896</v>
      </c>
      <c r="E25" s="5">
        <v>160</v>
      </c>
      <c r="F25" s="1">
        <v>2025</v>
      </c>
      <c r="G25" s="5" t="s">
        <v>12</v>
      </c>
      <c r="H25" s="5">
        <f t="shared" si="2"/>
        <v>736</v>
      </c>
      <c r="I25" s="5">
        <f t="shared" si="3"/>
        <v>0</v>
      </c>
      <c r="J25" s="5">
        <f>Table1[[#This Row],[Enrolment S.Y. 2025-2026 ]]*8</f>
        <v>896</v>
      </c>
      <c r="K25" s="5"/>
      <c r="L25" s="1"/>
      <c r="M25" s="5"/>
      <c r="N25" s="5">
        <f t="shared" si="10"/>
        <v>896</v>
      </c>
      <c r="O25" s="5">
        <f t="shared" si="11"/>
        <v>0</v>
      </c>
      <c r="P25" s="5">
        <f>Table1[[#This Row],[Enrolment S.Y. 2025-2026 ]]*8</f>
        <v>896</v>
      </c>
      <c r="Q25" s="5"/>
      <c r="R25" s="1"/>
      <c r="S25" s="5"/>
      <c r="T25" s="5">
        <f t="shared" si="12"/>
        <v>896</v>
      </c>
      <c r="U25" s="5">
        <f t="shared" si="13"/>
        <v>0</v>
      </c>
      <c r="V25" s="5">
        <f>Table1[[#This Row],[Enrolment S.Y. 2025-2026 ]]*8</f>
        <v>896</v>
      </c>
      <c r="W25" s="5"/>
      <c r="X25" s="1"/>
      <c r="Y25" s="5"/>
      <c r="Z25" s="5">
        <f t="shared" si="14"/>
        <v>896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112</v>
      </c>
      <c r="D26" s="5">
        <f>Table1[[#This Row],[Enrolment S.Y. 2025-2026 ]]*8</f>
        <v>896</v>
      </c>
      <c r="E26" s="5">
        <v>160</v>
      </c>
      <c r="F26" s="1">
        <v>2025</v>
      </c>
      <c r="G26" s="5" t="s">
        <v>12</v>
      </c>
      <c r="H26" s="5">
        <f t="shared" si="2"/>
        <v>736</v>
      </c>
      <c r="I26" s="5">
        <f t="shared" si="3"/>
        <v>0</v>
      </c>
      <c r="J26" s="5">
        <f>Table1[[#This Row],[Enrolment S.Y. 2025-2026 ]]*8</f>
        <v>896</v>
      </c>
      <c r="K26" s="5"/>
      <c r="L26" s="1"/>
      <c r="M26" s="5"/>
      <c r="N26" s="5">
        <f t="shared" si="10"/>
        <v>896</v>
      </c>
      <c r="O26" s="5">
        <f t="shared" si="11"/>
        <v>0</v>
      </c>
      <c r="P26" s="5">
        <f>Table1[[#This Row],[Enrolment S.Y. 2025-2026 ]]*8</f>
        <v>896</v>
      </c>
      <c r="Q26" s="5"/>
      <c r="R26" s="1"/>
      <c r="S26" s="5"/>
      <c r="T26" s="5">
        <f t="shared" si="12"/>
        <v>896</v>
      </c>
      <c r="U26" s="5">
        <f t="shared" si="13"/>
        <v>0</v>
      </c>
      <c r="V26" s="5">
        <f>Table1[[#This Row],[Enrolment S.Y. 2025-2026 ]]*8</f>
        <v>896</v>
      </c>
      <c r="W26" s="5"/>
      <c r="X26" s="1"/>
      <c r="Y26" s="5"/>
      <c r="Z26" s="5">
        <f t="shared" si="14"/>
        <v>896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112</v>
      </c>
      <c r="D27" s="5">
        <f>Table1[[#This Row],[Enrolment S.Y. 2025-2026 ]]*8</f>
        <v>896</v>
      </c>
      <c r="E27" s="5">
        <v>160</v>
      </c>
      <c r="F27" s="1">
        <v>2025</v>
      </c>
      <c r="G27" s="5" t="s">
        <v>12</v>
      </c>
      <c r="H27" s="5">
        <f t="shared" si="2"/>
        <v>736</v>
      </c>
      <c r="I27" s="5">
        <f t="shared" si="3"/>
        <v>0</v>
      </c>
      <c r="J27" s="5">
        <f>Table1[[#This Row],[Enrolment S.Y. 2025-2026 ]]*8</f>
        <v>896</v>
      </c>
      <c r="K27" s="5"/>
      <c r="L27" s="1"/>
      <c r="M27" s="5"/>
      <c r="N27" s="5">
        <f t="shared" si="10"/>
        <v>896</v>
      </c>
      <c r="O27" s="5">
        <f t="shared" si="11"/>
        <v>0</v>
      </c>
      <c r="P27" s="5">
        <f>Table1[[#This Row],[Enrolment S.Y. 2025-2026 ]]*8</f>
        <v>896</v>
      </c>
      <c r="Q27" s="5"/>
      <c r="R27" s="1"/>
      <c r="S27" s="5"/>
      <c r="T27" s="5">
        <f t="shared" si="12"/>
        <v>896</v>
      </c>
      <c r="U27" s="5">
        <f t="shared" si="13"/>
        <v>0</v>
      </c>
      <c r="V27" s="5">
        <f>Table1[[#This Row],[Enrolment S.Y. 2025-2026 ]]*8</f>
        <v>896</v>
      </c>
      <c r="W27" s="5"/>
      <c r="X27" s="1"/>
      <c r="Y27" s="5"/>
      <c r="Z27" s="5">
        <f t="shared" si="14"/>
        <v>896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112</v>
      </c>
      <c r="D28" s="5">
        <f>Table1[[#This Row],[Enrolment S.Y. 2025-2026 ]]*8</f>
        <v>896</v>
      </c>
      <c r="E28" s="5">
        <v>160</v>
      </c>
      <c r="F28" s="1">
        <v>2025</v>
      </c>
      <c r="G28" s="5" t="s">
        <v>12</v>
      </c>
      <c r="H28" s="5">
        <f t="shared" si="2"/>
        <v>736</v>
      </c>
      <c r="I28" s="5">
        <f t="shared" si="3"/>
        <v>0</v>
      </c>
      <c r="J28" s="5">
        <f>Table1[[#This Row],[Enrolment S.Y. 2025-2026 ]]*8</f>
        <v>896</v>
      </c>
      <c r="K28" s="5"/>
      <c r="L28" s="1"/>
      <c r="M28" s="5"/>
      <c r="N28" s="5">
        <f t="shared" si="10"/>
        <v>896</v>
      </c>
      <c r="O28" s="5">
        <f t="shared" si="11"/>
        <v>0</v>
      </c>
      <c r="P28" s="5">
        <f>Table1[[#This Row],[Enrolment S.Y. 2025-2026 ]]*8</f>
        <v>896</v>
      </c>
      <c r="Q28" s="5"/>
      <c r="R28" s="1"/>
      <c r="S28" s="5"/>
      <c r="T28" s="5">
        <f t="shared" si="12"/>
        <v>896</v>
      </c>
      <c r="U28" s="5">
        <f t="shared" si="13"/>
        <v>0</v>
      </c>
      <c r="V28" s="5">
        <f>Table1[[#This Row],[Enrolment S.Y. 2025-2026 ]]*8</f>
        <v>896</v>
      </c>
      <c r="W28" s="5"/>
      <c r="X28" s="1"/>
      <c r="Y28" s="5"/>
      <c r="Z28" s="5">
        <f t="shared" si="14"/>
        <v>896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112</v>
      </c>
      <c r="D29" s="5">
        <f>Table1[[#This Row],[Enrolment S.Y. 2025-2026 ]]*8</f>
        <v>896</v>
      </c>
      <c r="E29" s="5">
        <v>160</v>
      </c>
      <c r="F29" s="1">
        <v>2025</v>
      </c>
      <c r="G29" s="5" t="s">
        <v>12</v>
      </c>
      <c r="H29" s="5">
        <f>IF((D29-E29)&lt;0,0,(D29-E29))</f>
        <v>736</v>
      </c>
      <c r="I29" s="5">
        <f>IF((E29-D29)&lt;0,0,(E29-D29))</f>
        <v>0</v>
      </c>
      <c r="J29" s="5">
        <f>Table1[[#This Row],[Enrolment S.Y. 2025-2026 ]]*8</f>
        <v>896</v>
      </c>
      <c r="K29" s="5"/>
      <c r="L29" s="1"/>
      <c r="M29" s="5"/>
      <c r="N29" s="5">
        <f t="shared" si="10"/>
        <v>896</v>
      </c>
      <c r="O29" s="5">
        <f t="shared" si="11"/>
        <v>0</v>
      </c>
      <c r="P29" s="5">
        <f>Table1[[#This Row],[Enrolment S.Y. 2025-2026 ]]*8</f>
        <v>896</v>
      </c>
      <c r="Q29" s="5"/>
      <c r="R29" s="1"/>
      <c r="S29" s="5"/>
      <c r="T29" s="5">
        <f t="shared" si="12"/>
        <v>896</v>
      </c>
      <c r="U29" s="5">
        <f t="shared" si="13"/>
        <v>0</v>
      </c>
      <c r="V29" s="5">
        <f>Table1[[#This Row],[Enrolment S.Y. 2025-2026 ]]*8</f>
        <v>896</v>
      </c>
      <c r="W29" s="5"/>
      <c r="X29" s="1"/>
      <c r="Y29" s="5"/>
      <c r="Z29" s="5">
        <f t="shared" si="14"/>
        <v>896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112</v>
      </c>
      <c r="D30" s="5">
        <f>Table1[[#This Row],[Enrolment S.Y. 2025-2026 ]]*8</f>
        <v>896</v>
      </c>
      <c r="E30" s="5">
        <v>160</v>
      </c>
      <c r="F30" s="1">
        <v>2025</v>
      </c>
      <c r="G30" s="5" t="s">
        <v>12</v>
      </c>
      <c r="H30" s="5">
        <f>IF((D30-E30)&lt;0,0,(D30-E30))</f>
        <v>736</v>
      </c>
      <c r="I30" s="5">
        <f>IF((E30-D30)&lt;0,0,(E30-D30))</f>
        <v>0</v>
      </c>
      <c r="J30" s="5">
        <f>Table1[[#This Row],[Enrolment S.Y. 2025-2026 ]]*8</f>
        <v>896</v>
      </c>
      <c r="K30" s="5"/>
      <c r="L30" s="1"/>
      <c r="M30" s="5"/>
      <c r="N30" s="5">
        <f t="shared" si="10"/>
        <v>896</v>
      </c>
      <c r="O30" s="5">
        <f t="shared" si="11"/>
        <v>0</v>
      </c>
      <c r="P30" s="5">
        <f>Table1[[#This Row],[Enrolment S.Y. 2025-2026 ]]*8</f>
        <v>896</v>
      </c>
      <c r="Q30" s="5"/>
      <c r="R30" s="1"/>
      <c r="S30" s="5"/>
      <c r="T30" s="5">
        <f t="shared" si="12"/>
        <v>896</v>
      </c>
      <c r="U30" s="5">
        <f t="shared" si="13"/>
        <v>0</v>
      </c>
      <c r="V30" s="5">
        <f>Table1[[#This Row],[Enrolment S.Y. 2025-2026 ]]*8</f>
        <v>896</v>
      </c>
      <c r="W30" s="5"/>
      <c r="X30" s="1"/>
      <c r="Y30" s="5"/>
      <c r="Z30" s="5">
        <f t="shared" si="14"/>
        <v>896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175</v>
      </c>
      <c r="D34" s="5">
        <f>Table1[[#This Row],[Enrolment S.Y. 2025-2026 ]]*8</f>
        <v>1400</v>
      </c>
      <c r="E34" s="5">
        <v>29</v>
      </c>
      <c r="F34" s="1">
        <v>2024</v>
      </c>
      <c r="G34" s="5" t="s">
        <v>12</v>
      </c>
      <c r="H34" s="5">
        <f t="shared" si="2"/>
        <v>1371</v>
      </c>
      <c r="I34" s="5">
        <f t="shared" si="3"/>
        <v>0</v>
      </c>
      <c r="J34" s="5">
        <f>Table1[[#This Row],[Enrolment S.Y. 2025-2026 ]]*8</f>
        <v>1400</v>
      </c>
      <c r="K34" s="5"/>
      <c r="L34" s="1"/>
      <c r="M34" s="5"/>
      <c r="N34" s="5">
        <f t="shared" si="10"/>
        <v>1400</v>
      </c>
      <c r="O34" s="5">
        <f t="shared" si="11"/>
        <v>0</v>
      </c>
      <c r="P34" s="5">
        <f>Table1[[#This Row],[Enrolment S.Y. 2025-2026 ]]*8</f>
        <v>1400</v>
      </c>
      <c r="Q34" s="5"/>
      <c r="R34" s="1"/>
      <c r="S34" s="5"/>
      <c r="T34" s="5">
        <f t="shared" si="12"/>
        <v>1400</v>
      </c>
      <c r="U34" s="5">
        <f t="shared" si="13"/>
        <v>0</v>
      </c>
      <c r="V34" s="5">
        <f>Table1[[#This Row],[Enrolment S.Y. 2025-2026 ]]*8</f>
        <v>1400</v>
      </c>
      <c r="W34" s="5"/>
      <c r="X34" s="1"/>
      <c r="Y34" s="5"/>
      <c r="Z34" s="5">
        <f t="shared" si="14"/>
        <v>1400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3.75" customHeight="1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175</v>
      </c>
      <c r="D39" s="5">
        <f>Table1[[#This Row],[Enrolment S.Y. 2025-2026 ]]*8</f>
        <v>1400</v>
      </c>
      <c r="E39" s="5">
        <v>29</v>
      </c>
      <c r="F39" s="1">
        <v>2024</v>
      </c>
      <c r="G39" s="5" t="s">
        <v>12</v>
      </c>
      <c r="H39" s="5">
        <f t="shared" si="2"/>
        <v>1371</v>
      </c>
      <c r="I39" s="5">
        <f t="shared" si="3"/>
        <v>0</v>
      </c>
      <c r="J39" s="5">
        <f>Table1[[#This Row],[Enrolment S.Y. 2025-2026 ]]*8</f>
        <v>1400</v>
      </c>
      <c r="K39" s="5"/>
      <c r="L39" s="1"/>
      <c r="M39" s="5"/>
      <c r="N39" s="5">
        <f t="shared" si="10"/>
        <v>1400</v>
      </c>
      <c r="O39" s="5">
        <f t="shared" si="11"/>
        <v>0</v>
      </c>
      <c r="P39" s="5">
        <f>Table1[[#This Row],[Enrolment S.Y. 2025-2026 ]]*8</f>
        <v>1400</v>
      </c>
      <c r="Q39" s="5"/>
      <c r="R39" s="1"/>
      <c r="S39" s="5"/>
      <c r="T39" s="5">
        <f t="shared" si="12"/>
        <v>1400</v>
      </c>
      <c r="U39" s="5">
        <f t="shared" si="13"/>
        <v>0</v>
      </c>
      <c r="V39" s="5">
        <f>Table1[[#This Row],[Enrolment S.Y. 2025-2026 ]]*8</f>
        <v>1400</v>
      </c>
      <c r="W39" s="5"/>
      <c r="X39" s="1"/>
      <c r="Y39" s="5"/>
      <c r="Z39" s="5">
        <f t="shared" si="14"/>
        <v>1400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178</v>
      </c>
      <c r="D43" s="5">
        <f>Table1[[#This Row],[Enrolment S.Y. 2025-2026 ]]*8</f>
        <v>1424</v>
      </c>
      <c r="E43" s="5">
        <v>83</v>
      </c>
      <c r="F43" s="1">
        <v>2025</v>
      </c>
      <c r="G43" s="5" t="s">
        <v>12</v>
      </c>
      <c r="H43" s="5">
        <f t="shared" si="2"/>
        <v>1341</v>
      </c>
      <c r="I43" s="5">
        <f t="shared" si="3"/>
        <v>0</v>
      </c>
      <c r="J43" s="5">
        <f>Table1[[#This Row],[Enrolment S.Y. 2025-2026 ]]*8</f>
        <v>1424</v>
      </c>
      <c r="K43" s="5"/>
      <c r="L43" s="1"/>
      <c r="M43" s="5"/>
      <c r="N43" s="5">
        <f t="shared" si="10"/>
        <v>1424</v>
      </c>
      <c r="O43" s="5">
        <f t="shared" si="11"/>
        <v>0</v>
      </c>
      <c r="P43" s="5">
        <f>Table1[[#This Row],[Enrolment S.Y. 2025-2026 ]]*8</f>
        <v>1424</v>
      </c>
      <c r="Q43" s="5"/>
      <c r="R43" s="1"/>
      <c r="S43" s="5"/>
      <c r="T43" s="5">
        <f t="shared" si="12"/>
        <v>1424</v>
      </c>
      <c r="U43" s="5">
        <f t="shared" si="13"/>
        <v>0</v>
      </c>
      <c r="V43" s="5">
        <f>Table1[[#This Row],[Enrolment S.Y. 2025-2026 ]]*8</f>
        <v>1424</v>
      </c>
      <c r="W43" s="5"/>
      <c r="X43" s="1"/>
      <c r="Y43" s="5"/>
      <c r="Z43" s="5">
        <f t="shared" si="14"/>
        <v>1424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178</v>
      </c>
      <c r="D45" s="5">
        <f>Table1[[#This Row],[Enrolment S.Y. 2025-2026 ]]*8</f>
        <v>1424</v>
      </c>
      <c r="E45" s="5">
        <v>83</v>
      </c>
      <c r="F45" s="1">
        <v>2025</v>
      </c>
      <c r="G45" s="5" t="s">
        <v>12</v>
      </c>
      <c r="H45" s="5">
        <f t="shared" si="2"/>
        <v>1341</v>
      </c>
      <c r="I45" s="5">
        <f t="shared" si="3"/>
        <v>0</v>
      </c>
      <c r="J45" s="5">
        <f>Table1[[#This Row],[Enrolment S.Y. 2025-2026 ]]*8</f>
        <v>1424</v>
      </c>
      <c r="K45" s="5"/>
      <c r="L45" s="1"/>
      <c r="M45" s="5"/>
      <c r="N45" s="5">
        <f t="shared" si="10"/>
        <v>1424</v>
      </c>
      <c r="O45" s="5">
        <f t="shared" si="11"/>
        <v>0</v>
      </c>
      <c r="P45" s="5">
        <f>Table1[[#This Row],[Enrolment S.Y. 2025-2026 ]]*8</f>
        <v>1424</v>
      </c>
      <c r="Q45" s="5"/>
      <c r="R45" s="1"/>
      <c r="S45" s="5"/>
      <c r="T45" s="5">
        <f t="shared" si="12"/>
        <v>1424</v>
      </c>
      <c r="U45" s="5">
        <f t="shared" si="13"/>
        <v>0</v>
      </c>
      <c r="V45" s="5">
        <f>Table1[[#This Row],[Enrolment S.Y. 2025-2026 ]]*8</f>
        <v>1424</v>
      </c>
      <c r="W45" s="5"/>
      <c r="X45" s="1"/>
      <c r="Y45" s="5"/>
      <c r="Z45" s="5">
        <f t="shared" si="14"/>
        <v>1424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178</v>
      </c>
      <c r="D46" s="5">
        <f>Table1[[#This Row],[Enrolment S.Y. 2025-2026 ]]*8</f>
        <v>1424</v>
      </c>
      <c r="E46" s="5">
        <v>83</v>
      </c>
      <c r="F46" s="1">
        <v>2025</v>
      </c>
      <c r="G46" s="5" t="s">
        <v>12</v>
      </c>
      <c r="H46" s="5">
        <f t="shared" si="2"/>
        <v>1341</v>
      </c>
      <c r="I46" s="5">
        <f t="shared" si="3"/>
        <v>0</v>
      </c>
      <c r="J46" s="5">
        <f>Table1[[#This Row],[Enrolment S.Y. 2025-2026 ]]*8</f>
        <v>1424</v>
      </c>
      <c r="K46" s="5"/>
      <c r="L46" s="1"/>
      <c r="M46" s="5"/>
      <c r="N46" s="5">
        <f t="shared" si="10"/>
        <v>1424</v>
      </c>
      <c r="O46" s="5">
        <f t="shared" si="11"/>
        <v>0</v>
      </c>
      <c r="P46" s="5">
        <f>Table1[[#This Row],[Enrolment S.Y. 2025-2026 ]]*8</f>
        <v>1424</v>
      </c>
      <c r="Q46" s="5"/>
      <c r="R46" s="1"/>
      <c r="S46" s="5"/>
      <c r="T46" s="5">
        <f t="shared" si="12"/>
        <v>1424</v>
      </c>
      <c r="U46" s="5">
        <f t="shared" si="13"/>
        <v>0</v>
      </c>
      <c r="V46" s="5">
        <f>Table1[[#This Row],[Enrolment S.Y. 2025-2026 ]]*8</f>
        <v>1424</v>
      </c>
      <c r="W46" s="5"/>
      <c r="X46" s="1"/>
      <c r="Y46" s="5"/>
      <c r="Z46" s="5">
        <f t="shared" si="14"/>
        <v>1424</v>
      </c>
      <c r="AA46" s="5">
        <f t="shared" si="15"/>
        <v>0</v>
      </c>
    </row>
    <row r="47" spans="1:27" ht="34.5" customHeight="1">
      <c r="A47" s="1">
        <v>5</v>
      </c>
      <c r="B47" s="9" t="s">
        <v>18</v>
      </c>
      <c r="C47" s="1">
        <v>178</v>
      </c>
      <c r="D47" s="5">
        <f>Table1[[#This Row],[Enrolment S.Y. 2025-2026 ]]*8</f>
        <v>1424</v>
      </c>
      <c r="E47" s="5">
        <v>83</v>
      </c>
      <c r="F47" s="1">
        <v>2025</v>
      </c>
      <c r="G47" s="5" t="s">
        <v>12</v>
      </c>
      <c r="H47" s="5">
        <f t="shared" si="2"/>
        <v>1341</v>
      </c>
      <c r="I47" s="5">
        <f t="shared" si="3"/>
        <v>0</v>
      </c>
      <c r="J47" s="5">
        <f>Table1[[#This Row],[Enrolment S.Y. 2025-2026 ]]*8</f>
        <v>1424</v>
      </c>
      <c r="K47" s="5"/>
      <c r="L47" s="1"/>
      <c r="M47" s="5"/>
      <c r="N47" s="5">
        <f t="shared" si="10"/>
        <v>1424</v>
      </c>
      <c r="O47" s="5">
        <f t="shared" si="11"/>
        <v>0</v>
      </c>
      <c r="P47" s="5">
        <f>Table1[[#This Row],[Enrolment S.Y. 2025-2026 ]]*8</f>
        <v>1424</v>
      </c>
      <c r="Q47" s="5"/>
      <c r="R47" s="1"/>
      <c r="S47" s="5"/>
      <c r="T47" s="5">
        <f t="shared" si="12"/>
        <v>1424</v>
      </c>
      <c r="U47" s="5">
        <f t="shared" si="13"/>
        <v>0</v>
      </c>
      <c r="V47" s="5">
        <f>Table1[[#This Row],[Enrolment S.Y. 2025-2026 ]]*8</f>
        <v>1424</v>
      </c>
      <c r="W47" s="5"/>
      <c r="X47" s="1"/>
      <c r="Y47" s="5"/>
      <c r="Z47" s="5">
        <f t="shared" si="14"/>
        <v>1424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178</v>
      </c>
      <c r="D48" s="5">
        <f>Table1[[#This Row],[Enrolment S.Y. 2025-2026 ]]*8</f>
        <v>1424</v>
      </c>
      <c r="E48" s="5">
        <v>83</v>
      </c>
      <c r="F48" s="1">
        <v>2025</v>
      </c>
      <c r="G48" s="5" t="s">
        <v>12</v>
      </c>
      <c r="H48" s="5">
        <f t="shared" si="2"/>
        <v>1341</v>
      </c>
      <c r="I48" s="5">
        <f t="shared" si="3"/>
        <v>0</v>
      </c>
      <c r="J48" s="5">
        <f>Table1[[#This Row],[Enrolment S.Y. 2025-2026 ]]*8</f>
        <v>1424</v>
      </c>
      <c r="K48" s="5"/>
      <c r="L48" s="1"/>
      <c r="M48" s="5"/>
      <c r="N48" s="5">
        <f t="shared" si="10"/>
        <v>1424</v>
      </c>
      <c r="O48" s="5">
        <f t="shared" si="11"/>
        <v>0</v>
      </c>
      <c r="P48" s="5">
        <f>Table1[[#This Row],[Enrolment S.Y. 2025-2026 ]]*8</f>
        <v>1424</v>
      </c>
      <c r="Q48" s="5"/>
      <c r="R48" s="1"/>
      <c r="S48" s="5"/>
      <c r="T48" s="5">
        <f t="shared" si="12"/>
        <v>1424</v>
      </c>
      <c r="U48" s="5">
        <f t="shared" si="13"/>
        <v>0</v>
      </c>
      <c r="V48" s="5">
        <f>Table1[[#This Row],[Enrolment S.Y. 2025-2026 ]]*8</f>
        <v>1424</v>
      </c>
      <c r="W48" s="5"/>
      <c r="X48" s="1"/>
      <c r="Y48" s="5"/>
      <c r="Z48" s="5">
        <f t="shared" si="14"/>
        <v>1424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178</v>
      </c>
      <c r="D49" s="5">
        <f>Table1[[#This Row],[Enrolment S.Y. 2025-2026 ]]*8</f>
        <v>1424</v>
      </c>
      <c r="E49" s="5">
        <v>83</v>
      </c>
      <c r="F49" s="1">
        <v>2025</v>
      </c>
      <c r="G49" s="5" t="s">
        <v>12</v>
      </c>
      <c r="H49" s="5">
        <f t="shared" si="2"/>
        <v>1341</v>
      </c>
      <c r="I49" s="5">
        <f t="shared" si="3"/>
        <v>0</v>
      </c>
      <c r="J49" s="5">
        <f>Table1[[#This Row],[Enrolment S.Y. 2025-2026 ]]*8</f>
        <v>1424</v>
      </c>
      <c r="K49" s="5"/>
      <c r="L49" s="1"/>
      <c r="M49" s="5"/>
      <c r="N49" s="5">
        <f t="shared" si="10"/>
        <v>1424</v>
      </c>
      <c r="O49" s="5">
        <f t="shared" si="11"/>
        <v>0</v>
      </c>
      <c r="P49" s="5">
        <f>Table1[[#This Row],[Enrolment S.Y. 2025-2026 ]]*8</f>
        <v>1424</v>
      </c>
      <c r="Q49" s="5"/>
      <c r="R49" s="1"/>
      <c r="S49" s="5"/>
      <c r="T49" s="5">
        <f t="shared" si="12"/>
        <v>1424</v>
      </c>
      <c r="U49" s="5">
        <f t="shared" si="13"/>
        <v>0</v>
      </c>
      <c r="V49" s="5">
        <f>Table1[[#This Row],[Enrolment S.Y. 2025-2026 ]]*8</f>
        <v>1424</v>
      </c>
      <c r="W49" s="5"/>
      <c r="X49" s="1"/>
      <c r="Y49" s="5"/>
      <c r="Z49" s="5">
        <f t="shared" si="14"/>
        <v>1424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178</v>
      </c>
      <c r="D50" s="5">
        <f>Table1[[#This Row],[Enrolment S.Y. 2025-2026 ]]*8</f>
        <v>1424</v>
      </c>
      <c r="E50" s="5">
        <v>83</v>
      </c>
      <c r="F50" s="1">
        <v>2025</v>
      </c>
      <c r="G50" s="5" t="s">
        <v>12</v>
      </c>
      <c r="H50" s="5">
        <f t="shared" si="2"/>
        <v>1341</v>
      </c>
      <c r="I50" s="5">
        <f t="shared" si="3"/>
        <v>0</v>
      </c>
      <c r="J50" s="5">
        <f>Table1[[#This Row],[Enrolment S.Y. 2025-2026 ]]*8</f>
        <v>1424</v>
      </c>
      <c r="K50" s="5"/>
      <c r="L50" s="1"/>
      <c r="M50" s="5"/>
      <c r="N50" s="5">
        <f t="shared" si="10"/>
        <v>1424</v>
      </c>
      <c r="O50" s="5">
        <f t="shared" si="11"/>
        <v>0</v>
      </c>
      <c r="P50" s="5">
        <f>Table1[[#This Row],[Enrolment S.Y. 2025-2026 ]]*8</f>
        <v>1424</v>
      </c>
      <c r="Q50" s="5"/>
      <c r="R50" s="1"/>
      <c r="S50" s="5"/>
      <c r="T50" s="5">
        <f t="shared" si="12"/>
        <v>1424</v>
      </c>
      <c r="U50" s="5">
        <f t="shared" si="13"/>
        <v>0</v>
      </c>
      <c r="V50" s="5">
        <f>Table1[[#This Row],[Enrolment S.Y. 2025-2026 ]]*8</f>
        <v>1424</v>
      </c>
      <c r="W50" s="5"/>
      <c r="X50" s="1"/>
      <c r="Y50" s="5"/>
      <c r="Z50" s="5">
        <f t="shared" si="14"/>
        <v>1424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178</v>
      </c>
      <c r="D51" s="5">
        <f>Table1[[#This Row],[Enrolment S.Y. 2025-2026 ]]*8</f>
        <v>1424</v>
      </c>
      <c r="E51" s="5">
        <v>83</v>
      </c>
      <c r="F51" s="1">
        <v>2025</v>
      </c>
      <c r="G51" s="5" t="s">
        <v>12</v>
      </c>
      <c r="H51" s="5">
        <f t="shared" si="2"/>
        <v>1341</v>
      </c>
      <c r="I51" s="5">
        <f t="shared" si="3"/>
        <v>0</v>
      </c>
      <c r="J51" s="5">
        <f>Table1[[#This Row],[Enrolment S.Y. 2025-2026 ]]*8</f>
        <v>1424</v>
      </c>
      <c r="K51" s="5"/>
      <c r="L51" s="1"/>
      <c r="M51" s="5"/>
      <c r="N51" s="5">
        <f t="shared" si="10"/>
        <v>1424</v>
      </c>
      <c r="O51" s="5">
        <f t="shared" si="11"/>
        <v>0</v>
      </c>
      <c r="P51" s="5">
        <f>Table1[[#This Row],[Enrolment S.Y. 2025-2026 ]]*8</f>
        <v>1424</v>
      </c>
      <c r="Q51" s="5"/>
      <c r="R51" s="1"/>
      <c r="S51" s="5"/>
      <c r="T51" s="5">
        <f t="shared" si="12"/>
        <v>1424</v>
      </c>
      <c r="U51" s="5">
        <f t="shared" si="13"/>
        <v>0</v>
      </c>
      <c r="V51" s="5">
        <f>Table1[[#This Row],[Enrolment S.Y. 2025-2026 ]]*8</f>
        <v>1424</v>
      </c>
      <c r="W51" s="5"/>
      <c r="X51" s="1"/>
      <c r="Y51" s="5"/>
      <c r="Z51" s="5">
        <f t="shared" si="14"/>
        <v>1424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183</v>
      </c>
      <c r="D53" s="5">
        <f>Table1[[#This Row],[Enrolment S.Y. 2025-2026 ]]*8</f>
        <v>1464</v>
      </c>
      <c r="E53" s="5"/>
      <c r="F53" s="1"/>
      <c r="G53" s="5"/>
      <c r="H53" s="5">
        <f t="shared" si="2"/>
        <v>1464</v>
      </c>
      <c r="I53" s="5">
        <f t="shared" si="3"/>
        <v>0</v>
      </c>
      <c r="J53" s="5">
        <f>Table1[[#This Row],[Enrolment S.Y. 2025-2026 ]]*8</f>
        <v>1464</v>
      </c>
      <c r="K53" s="5"/>
      <c r="L53" s="1"/>
      <c r="M53" s="5"/>
      <c r="N53" s="5">
        <f t="shared" si="10"/>
        <v>1464</v>
      </c>
      <c r="O53" s="5">
        <f t="shared" si="11"/>
        <v>0</v>
      </c>
      <c r="P53" s="5">
        <f>Table1[[#This Row],[Enrolment S.Y. 2025-2026 ]]*8</f>
        <v>1464</v>
      </c>
      <c r="Q53" s="5"/>
      <c r="R53" s="1"/>
      <c r="S53" s="5"/>
      <c r="T53" s="5">
        <f t="shared" si="12"/>
        <v>1464</v>
      </c>
      <c r="U53" s="5">
        <f t="shared" si="13"/>
        <v>0</v>
      </c>
      <c r="V53" s="5">
        <f>Table1[[#This Row],[Enrolment S.Y. 2025-2026 ]]*8</f>
        <v>1464</v>
      </c>
      <c r="W53" s="5"/>
      <c r="X53" s="1"/>
      <c r="Y53" s="5"/>
      <c r="Z53" s="5">
        <f t="shared" si="14"/>
        <v>1464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 customHeight="1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.75" customHeight="1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3" customHeight="1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" customHeight="1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" name="LAS"/>
    <protectedRange sqref="G2:I3 M2:O2 S2:U3 Y2:AA3 G112:G127 M112:M127 S112:S127 Y112:Y127 G5:G12 M5:M12 S4:S110 Y5:Y12 G14:G21 M14:M110 M3 Y14:Y110 G33:G41 G53:G61 G63:G71 G73:G81 G83:G91 G93:G101 G103:G110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X112:X127 F63:F71 F73:F81 F53:F61 F5:F12 F83:F91 F93:F101 F14:F21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4:G21 G33:G41 G23:G31 G53:G61 G63:G71 G73:G81 G83:G91 G93:G101 G103:G110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R47" activePane="bottomRight" state="frozen"/>
      <selection pane="bottomRight" activeCell="K24" sqref="K2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4.5" customHeight="1">
      <c r="A3" s="1">
        <v>1</v>
      </c>
      <c r="B3" s="2" t="s">
        <v>8</v>
      </c>
      <c r="C3" s="1">
        <v>110</v>
      </c>
      <c r="D3" s="5">
        <f>Table14[[#This Row],[Enrolment S.Y. 2025-2026 ]]*8</f>
        <v>880</v>
      </c>
      <c r="E3" s="5"/>
      <c r="F3" s="1"/>
      <c r="G3" s="5"/>
      <c r="H3" s="5">
        <f t="shared" ref="H3:H83" si="0">IF((D3-E3)&lt;0,0,(D3-E3))</f>
        <v>880</v>
      </c>
      <c r="I3" s="5">
        <f t="shared" ref="I3:I83" si="1">IF((E3-D3)&lt;0,0,(E3-D3))</f>
        <v>0</v>
      </c>
      <c r="J3" s="5">
        <f>Table14[[#This Row],[Enrolment S.Y. 2025-2026 ]]*8</f>
        <v>880</v>
      </c>
      <c r="K3" s="5"/>
      <c r="L3" s="1"/>
      <c r="M3" s="5"/>
      <c r="N3" s="5">
        <f t="shared" ref="N3:N72" si="2">IF((J3-K3)&lt;0,0,(J3-K3))</f>
        <v>880</v>
      </c>
      <c r="O3" s="5">
        <f t="shared" ref="O3:O72" si="3">IF((K3-J3)&lt;0,0,(K3-J3))</f>
        <v>0</v>
      </c>
      <c r="P3" s="5">
        <f>Table14[[#This Row],[Enrolment S.Y. 2025-2026 ]]*8</f>
        <v>880</v>
      </c>
      <c r="Q3" s="5"/>
      <c r="R3" s="1"/>
      <c r="S3" s="5"/>
      <c r="T3" s="5">
        <f t="shared" ref="T3:T72" si="4">IF((P3-Q3)&lt;0,0,(P3-Q3))</f>
        <v>880</v>
      </c>
      <c r="U3" s="5">
        <f t="shared" ref="U3:U72" si="5">IF((Q3-P3)&lt;0,0,(Q3-P3))</f>
        <v>0</v>
      </c>
      <c r="V3" s="5">
        <f>Table14[[#This Row],[Enrolment S.Y. 2025-2026 ]]*8</f>
        <v>880</v>
      </c>
      <c r="W3" s="5"/>
      <c r="X3" s="1"/>
      <c r="Y3" s="5"/>
      <c r="Z3" s="5">
        <f t="shared" ref="Z3:Z72" si="6">IF((V3-W3)&lt;0,0,(V3-W3))</f>
        <v>880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3" customHeight="1">
      <c r="A12" s="1">
        <v>2</v>
      </c>
      <c r="B12" s="2" t="s">
        <v>8</v>
      </c>
      <c r="C12" s="1">
        <v>132</v>
      </c>
      <c r="D12" s="5">
        <f>Table14[[#This Row],[Enrolment S.Y. 2025-2026 ]]*8</f>
        <v>1056</v>
      </c>
      <c r="E12" s="5"/>
      <c r="F12" s="1"/>
      <c r="G12" s="5"/>
      <c r="H12" s="5">
        <f t="shared" si="0"/>
        <v>1056</v>
      </c>
      <c r="I12" s="5">
        <f t="shared" si="1"/>
        <v>0</v>
      </c>
      <c r="J12" s="5">
        <f>Table14[[#This Row],[Enrolment S.Y. 2025-2026 ]]*8</f>
        <v>1056</v>
      </c>
      <c r="K12" s="5"/>
      <c r="L12" s="1"/>
      <c r="M12" s="5"/>
      <c r="N12" s="5">
        <f t="shared" si="2"/>
        <v>1056</v>
      </c>
      <c r="O12" s="5">
        <f t="shared" si="3"/>
        <v>0</v>
      </c>
      <c r="P12" s="5">
        <f>Table14[[#This Row],[Enrolment S.Y. 2025-2026 ]]*8</f>
        <v>1056</v>
      </c>
      <c r="Q12" s="5"/>
      <c r="R12" s="1"/>
      <c r="S12" s="5"/>
      <c r="T12" s="5">
        <f t="shared" si="4"/>
        <v>1056</v>
      </c>
      <c r="U12" s="5">
        <f t="shared" si="5"/>
        <v>0</v>
      </c>
      <c r="V12" s="5">
        <f>Table14[[#This Row],[Enrolment S.Y. 2025-2026 ]]*8</f>
        <v>1056</v>
      </c>
      <c r="W12" s="5"/>
      <c r="X12" s="1"/>
      <c r="Y12" s="5"/>
      <c r="Z12" s="5">
        <f t="shared" si="6"/>
        <v>1056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.7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112</v>
      </c>
      <c r="D23" s="5">
        <f>Table14[[#This Row],[Enrolment S.Y. 2025-2026 ]]*8</f>
        <v>896</v>
      </c>
      <c r="E23" s="5">
        <v>160</v>
      </c>
      <c r="F23" s="1">
        <v>2025</v>
      </c>
      <c r="G23" s="5" t="s">
        <v>12</v>
      </c>
      <c r="H23" s="5">
        <f t="shared" si="0"/>
        <v>736</v>
      </c>
      <c r="I23" s="5">
        <f t="shared" si="1"/>
        <v>0</v>
      </c>
      <c r="J23" s="5">
        <f>Table14[[#This Row],[Enrolment S.Y. 2025-2026 ]]*8</f>
        <v>896</v>
      </c>
      <c r="K23" s="5"/>
      <c r="L23" s="1"/>
      <c r="M23" s="5"/>
      <c r="N23" s="5">
        <f t="shared" si="2"/>
        <v>896</v>
      </c>
      <c r="O23" s="5">
        <f t="shared" si="3"/>
        <v>0</v>
      </c>
      <c r="P23" s="5">
        <f>Table14[[#This Row],[Enrolment S.Y. 2025-2026 ]]*8</f>
        <v>896</v>
      </c>
      <c r="Q23" s="5"/>
      <c r="R23" s="1"/>
      <c r="S23" s="5"/>
      <c r="T23" s="5">
        <f t="shared" si="4"/>
        <v>896</v>
      </c>
      <c r="U23" s="5">
        <f t="shared" si="5"/>
        <v>0</v>
      </c>
      <c r="V23" s="5">
        <f>Table14[[#This Row],[Enrolment S.Y. 2025-2026 ]]*8</f>
        <v>896</v>
      </c>
      <c r="W23" s="5"/>
      <c r="X23" s="1"/>
      <c r="Y23" s="5"/>
      <c r="Z23" s="5">
        <f t="shared" si="6"/>
        <v>896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112</v>
      </c>
      <c r="D28" s="5">
        <f>Table14[[#This Row],[Enrolment S.Y. 2025-2026 ]]*8</f>
        <v>896</v>
      </c>
      <c r="E28" s="5">
        <v>160</v>
      </c>
      <c r="F28" s="1">
        <v>2025</v>
      </c>
      <c r="G28" s="5" t="s">
        <v>12</v>
      </c>
      <c r="H28" s="5">
        <f>IF((D28-E28)&lt;0,0,(D28-E28))</f>
        <v>736</v>
      </c>
      <c r="I28" s="5">
        <f>IF((E28-D28)&lt;0,0,(E28-D28))</f>
        <v>0</v>
      </c>
      <c r="J28" s="5">
        <f>Table14[[#This Row],[Enrolment S.Y. 2025-2026 ]]*8</f>
        <v>896</v>
      </c>
      <c r="K28" s="5"/>
      <c r="L28" s="1"/>
      <c r="M28" s="5"/>
      <c r="N28" s="5">
        <f t="shared" si="2"/>
        <v>896</v>
      </c>
      <c r="O28" s="5">
        <f t="shared" si="3"/>
        <v>0</v>
      </c>
      <c r="P28" s="5">
        <f>Table14[[#This Row],[Enrolment S.Y. 2025-2026 ]]*8</f>
        <v>896</v>
      </c>
      <c r="Q28" s="5"/>
      <c r="R28" s="1"/>
      <c r="S28" s="5"/>
      <c r="T28" s="5">
        <f t="shared" si="4"/>
        <v>896</v>
      </c>
      <c r="U28" s="5">
        <f t="shared" si="5"/>
        <v>0</v>
      </c>
      <c r="V28" s="5">
        <f>Table14[[#This Row],[Enrolment S.Y. 2025-2026 ]]*8</f>
        <v>896</v>
      </c>
      <c r="W28" s="5"/>
      <c r="X28" s="1"/>
      <c r="Y28" s="5"/>
      <c r="Z28" s="5">
        <f t="shared" si="6"/>
        <v>896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175</v>
      </c>
      <c r="D31" s="5">
        <f>Table14[[#This Row],[Enrolment S.Y. 2025-2026 ]]*8</f>
        <v>1400</v>
      </c>
      <c r="E31" s="5"/>
      <c r="F31" s="1"/>
      <c r="G31" s="5"/>
      <c r="H31" s="5">
        <f t="shared" si="0"/>
        <v>1400</v>
      </c>
      <c r="I31" s="5">
        <f t="shared" si="1"/>
        <v>0</v>
      </c>
      <c r="J31" s="5">
        <f>Table14[[#This Row],[Enrolment S.Y. 2025-2026 ]]*8</f>
        <v>1400</v>
      </c>
      <c r="K31" s="5"/>
      <c r="L31" s="1"/>
      <c r="M31" s="5"/>
      <c r="N31" s="5">
        <f t="shared" si="2"/>
        <v>1400</v>
      </c>
      <c r="O31" s="5">
        <f t="shared" si="3"/>
        <v>0</v>
      </c>
      <c r="P31" s="5">
        <f>Table14[[#This Row],[Enrolment S.Y. 2025-2026 ]]*8</f>
        <v>1400</v>
      </c>
      <c r="Q31" s="5"/>
      <c r="R31" s="1"/>
      <c r="S31" s="5"/>
      <c r="T31" s="5">
        <f t="shared" si="4"/>
        <v>1400</v>
      </c>
      <c r="U31" s="5">
        <f t="shared" si="5"/>
        <v>0</v>
      </c>
      <c r="V31" s="5">
        <f>Table14[[#This Row],[Enrolment S.Y. 2025-2026 ]]*8</f>
        <v>1400</v>
      </c>
      <c r="W31" s="5"/>
      <c r="X31" s="1"/>
      <c r="Y31" s="5"/>
      <c r="Z31" s="5">
        <f t="shared" si="6"/>
        <v>1400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42.75" customHeight="1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178</v>
      </c>
      <c r="D43" s="5">
        <f>Table14[[#This Row],[Enrolment S.Y. 2025-2026 ]]*8</f>
        <v>1424</v>
      </c>
      <c r="E43" s="5">
        <v>83</v>
      </c>
      <c r="F43" s="1">
        <v>2025</v>
      </c>
      <c r="G43" s="5" t="s">
        <v>12</v>
      </c>
      <c r="H43" s="5">
        <f t="shared" si="0"/>
        <v>1341</v>
      </c>
      <c r="I43" s="5">
        <f t="shared" si="1"/>
        <v>0</v>
      </c>
      <c r="J43" s="5">
        <f>Table14[[#This Row],[Enrolment S.Y. 2025-2026 ]]*8</f>
        <v>1424</v>
      </c>
      <c r="K43" s="5"/>
      <c r="L43" s="1"/>
      <c r="M43" s="5"/>
      <c r="N43" s="5">
        <f t="shared" si="2"/>
        <v>1424</v>
      </c>
      <c r="O43" s="5">
        <f t="shared" si="3"/>
        <v>0</v>
      </c>
      <c r="P43" s="5">
        <f>Table14[[#This Row],[Enrolment S.Y. 2025-2026 ]]*8</f>
        <v>1424</v>
      </c>
      <c r="Q43" s="5"/>
      <c r="R43" s="1"/>
      <c r="S43" s="5"/>
      <c r="T43" s="5">
        <f t="shared" si="4"/>
        <v>1424</v>
      </c>
      <c r="U43" s="5">
        <f t="shared" si="5"/>
        <v>0</v>
      </c>
      <c r="V43" s="5">
        <f>Table14[[#This Row],[Enrolment S.Y. 2025-2026 ]]*8</f>
        <v>1424</v>
      </c>
      <c r="W43" s="5"/>
      <c r="X43" s="1"/>
      <c r="Y43" s="5"/>
      <c r="Z43" s="5">
        <f t="shared" si="6"/>
        <v>1424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178</v>
      </c>
      <c r="D45" s="5">
        <f>Table14[[#This Row],[Enrolment S.Y. 2025-2026 ]]*8</f>
        <v>1424</v>
      </c>
      <c r="E45" s="5">
        <v>83</v>
      </c>
      <c r="F45" s="1">
        <v>2025</v>
      </c>
      <c r="G45" s="5" t="s">
        <v>12</v>
      </c>
      <c r="H45" s="5">
        <f t="shared" si="0"/>
        <v>1341</v>
      </c>
      <c r="I45" s="5">
        <f t="shared" si="1"/>
        <v>0</v>
      </c>
      <c r="J45" s="5">
        <f>Table14[[#This Row],[Enrolment S.Y. 2025-2026 ]]*8</f>
        <v>1424</v>
      </c>
      <c r="K45" s="5"/>
      <c r="L45" s="1"/>
      <c r="M45" s="5"/>
      <c r="N45" s="5">
        <f t="shared" si="2"/>
        <v>1424</v>
      </c>
      <c r="O45" s="5">
        <f t="shared" si="3"/>
        <v>0</v>
      </c>
      <c r="P45" s="5">
        <f>Table14[[#This Row],[Enrolment S.Y. 2025-2026 ]]*8</f>
        <v>1424</v>
      </c>
      <c r="Q45" s="5"/>
      <c r="R45" s="1"/>
      <c r="S45" s="5"/>
      <c r="T45" s="5">
        <f t="shared" si="4"/>
        <v>1424</v>
      </c>
      <c r="U45" s="5">
        <f t="shared" si="5"/>
        <v>0</v>
      </c>
      <c r="V45" s="5">
        <f>Table14[[#This Row],[Enrolment S.Y. 2025-2026 ]]*8</f>
        <v>1424</v>
      </c>
      <c r="W45" s="5"/>
      <c r="X45" s="1"/>
      <c r="Y45" s="5"/>
      <c r="Z45" s="5">
        <f t="shared" si="6"/>
        <v>1424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45.75" customHeight="1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178</v>
      </c>
      <c r="D51" s="5">
        <f>Table14[[#This Row],[Enrolment S.Y. 2025-2026 ]]*8</f>
        <v>1424</v>
      </c>
      <c r="E51" s="5">
        <v>83</v>
      </c>
      <c r="F51" s="1">
        <v>2025</v>
      </c>
      <c r="G51" s="5" t="s">
        <v>12</v>
      </c>
      <c r="H51" s="5">
        <f t="shared" si="0"/>
        <v>1341</v>
      </c>
      <c r="I51" s="5">
        <f t="shared" si="1"/>
        <v>0</v>
      </c>
      <c r="J51" s="5">
        <f>Table14[[#This Row],[Enrolment S.Y. 2025-2026 ]]*8</f>
        <v>1424</v>
      </c>
      <c r="K51" s="5"/>
      <c r="L51" s="1"/>
      <c r="M51" s="5"/>
      <c r="N51" s="5">
        <f t="shared" si="10"/>
        <v>1424</v>
      </c>
      <c r="O51" s="5">
        <f t="shared" si="11"/>
        <v>0</v>
      </c>
      <c r="P51" s="5">
        <f>Table14[[#This Row],[Enrolment S.Y. 2025-2026 ]]*8</f>
        <v>1424</v>
      </c>
      <c r="Q51" s="5"/>
      <c r="R51" s="1"/>
      <c r="S51" s="5"/>
      <c r="T51" s="5">
        <f t="shared" si="4"/>
        <v>1424</v>
      </c>
      <c r="U51" s="5">
        <f t="shared" si="5"/>
        <v>0</v>
      </c>
      <c r="V51" s="5">
        <f>Table14[[#This Row],[Enrolment S.Y. 2025-2026 ]]*8</f>
        <v>1424</v>
      </c>
      <c r="W51" s="5"/>
      <c r="X51" s="1"/>
      <c r="Y51" s="5"/>
      <c r="Z51" s="5">
        <f t="shared" si="6"/>
        <v>1424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183</v>
      </c>
      <c r="D55" s="5">
        <f>Table14[[#This Row],[Enrolment S.Y. 2025-2026 ]]*8</f>
        <v>1464</v>
      </c>
      <c r="E55" s="5">
        <v>165</v>
      </c>
      <c r="F55" s="1">
        <v>2025</v>
      </c>
      <c r="G55" s="5" t="s">
        <v>12</v>
      </c>
      <c r="H55" s="5">
        <f t="shared" si="0"/>
        <v>1299</v>
      </c>
      <c r="I55" s="5">
        <f t="shared" si="1"/>
        <v>0</v>
      </c>
      <c r="J55" s="5">
        <f>Table14[[#This Row],[Enrolment S.Y. 2025-2026 ]]*8</f>
        <v>1464</v>
      </c>
      <c r="K55" s="5">
        <v>150</v>
      </c>
      <c r="L55" s="1">
        <v>2025</v>
      </c>
      <c r="M55" s="5" t="s">
        <v>12</v>
      </c>
      <c r="N55" s="5">
        <f t="shared" si="2"/>
        <v>1314</v>
      </c>
      <c r="O55" s="5">
        <f t="shared" si="3"/>
        <v>0</v>
      </c>
      <c r="P55" s="5">
        <f>Table14[[#This Row],[Enrolment S.Y. 2025-2026 ]]*8</f>
        <v>1464</v>
      </c>
      <c r="Q55" s="5">
        <v>100</v>
      </c>
      <c r="R55" s="1">
        <v>2025</v>
      </c>
      <c r="S55" s="5" t="s">
        <v>12</v>
      </c>
      <c r="T55" s="5">
        <f t="shared" si="4"/>
        <v>1364</v>
      </c>
      <c r="U55" s="5">
        <f t="shared" si="5"/>
        <v>0</v>
      </c>
      <c r="V55" s="5">
        <f>Table14[[#This Row],[Enrolment S.Y. 2025-2026 ]]*8</f>
        <v>1464</v>
      </c>
      <c r="W55" s="5">
        <v>350</v>
      </c>
      <c r="X55" s="1">
        <v>2025</v>
      </c>
      <c r="Y55" s="5" t="s">
        <v>12</v>
      </c>
      <c r="Z55" s="5">
        <f t="shared" si="6"/>
        <v>1114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183</v>
      </c>
      <c r="D56" s="5">
        <f>Table14[[#This Row],[Enrolment S.Y. 2025-2026 ]]*8</f>
        <v>1464</v>
      </c>
      <c r="E56" s="5">
        <v>770</v>
      </c>
      <c r="F56" s="1">
        <v>2025</v>
      </c>
      <c r="G56" s="5" t="s">
        <v>12</v>
      </c>
      <c r="H56" s="5">
        <f t="shared" si="0"/>
        <v>694</v>
      </c>
      <c r="I56" s="5">
        <f t="shared" si="1"/>
        <v>0</v>
      </c>
      <c r="J56" s="5">
        <f>Table14[[#This Row],[Enrolment S.Y. 2025-2026 ]]*8</f>
        <v>1464</v>
      </c>
      <c r="K56" s="5">
        <v>700</v>
      </c>
      <c r="L56" s="1">
        <v>2025</v>
      </c>
      <c r="M56" s="5" t="s">
        <v>12</v>
      </c>
      <c r="N56" s="5">
        <f t="shared" si="2"/>
        <v>764</v>
      </c>
      <c r="O56" s="5">
        <f t="shared" si="3"/>
        <v>0</v>
      </c>
      <c r="P56" s="5">
        <f>Table14[[#This Row],[Enrolment S.Y. 2025-2026 ]]*8</f>
        <v>1464</v>
      </c>
      <c r="Q56" s="5">
        <v>300</v>
      </c>
      <c r="R56" s="1">
        <v>2025</v>
      </c>
      <c r="S56" s="5" t="s">
        <v>12</v>
      </c>
      <c r="T56" s="5">
        <f t="shared" si="4"/>
        <v>1164</v>
      </c>
      <c r="U56" s="5">
        <f t="shared" si="5"/>
        <v>0</v>
      </c>
      <c r="V56" s="5">
        <f>Table14[[#This Row],[Enrolment S.Y. 2025-2026 ]]*8</f>
        <v>1464</v>
      </c>
      <c r="W56" s="5">
        <v>250</v>
      </c>
      <c r="X56" s="1">
        <v>2025</v>
      </c>
      <c r="Y56" s="5" t="s">
        <v>12</v>
      </c>
      <c r="Z56" s="5">
        <f t="shared" si="6"/>
        <v>1214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183</v>
      </c>
      <c r="D57" s="5">
        <f>Table14[[#This Row],[Enrolment S.Y. 2025-2026 ]]*8</f>
        <v>1464</v>
      </c>
      <c r="E57" s="5">
        <v>605</v>
      </c>
      <c r="F57" s="1">
        <v>2025</v>
      </c>
      <c r="G57" s="5" t="s">
        <v>12</v>
      </c>
      <c r="H57" s="5">
        <f t="shared" si="0"/>
        <v>859</v>
      </c>
      <c r="I57" s="5">
        <f t="shared" si="1"/>
        <v>0</v>
      </c>
      <c r="J57" s="5">
        <f>Table14[[#This Row],[Enrolment S.Y. 2025-2026 ]]*8</f>
        <v>1464</v>
      </c>
      <c r="K57" s="5">
        <v>700</v>
      </c>
      <c r="L57" s="1">
        <v>2025</v>
      </c>
      <c r="M57" s="5" t="s">
        <v>12</v>
      </c>
      <c r="N57" s="5">
        <f t="shared" si="2"/>
        <v>764</v>
      </c>
      <c r="O57" s="5">
        <f t="shared" si="3"/>
        <v>0</v>
      </c>
      <c r="P57" s="5">
        <f>Table14[[#This Row],[Enrolment S.Y. 2025-2026 ]]*8</f>
        <v>1464</v>
      </c>
      <c r="Q57" s="5">
        <v>450</v>
      </c>
      <c r="R57" s="1">
        <v>2025</v>
      </c>
      <c r="S57" s="5" t="s">
        <v>12</v>
      </c>
      <c r="T57" s="5">
        <f t="shared" si="4"/>
        <v>1014</v>
      </c>
      <c r="U57" s="5">
        <f t="shared" si="5"/>
        <v>0</v>
      </c>
      <c r="V57" s="5">
        <f>Table14[[#This Row],[Enrolment S.Y. 2025-2026 ]]*8</f>
        <v>1464</v>
      </c>
      <c r="W57" s="5">
        <v>450</v>
      </c>
      <c r="X57" s="1">
        <v>2025</v>
      </c>
      <c r="Y57" s="5" t="s">
        <v>12</v>
      </c>
      <c r="Z57" s="5">
        <f t="shared" si="6"/>
        <v>1014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183</v>
      </c>
      <c r="D58" s="5">
        <f>Table14[[#This Row],[Enrolment S.Y. 2025-2026 ]]*8</f>
        <v>1464</v>
      </c>
      <c r="E58" s="5"/>
      <c r="F58" s="1"/>
      <c r="G58" s="5"/>
      <c r="H58" s="5">
        <f t="shared" si="0"/>
        <v>1464</v>
      </c>
      <c r="I58" s="5">
        <f t="shared" si="1"/>
        <v>0</v>
      </c>
      <c r="J58" s="5">
        <f>Table14[[#This Row],[Enrolment S.Y. 2025-2026 ]]*8</f>
        <v>1464</v>
      </c>
      <c r="K58" s="5">
        <v>0</v>
      </c>
      <c r="L58" s="1"/>
      <c r="M58" s="5"/>
      <c r="N58" s="5">
        <f t="shared" si="2"/>
        <v>1464</v>
      </c>
      <c r="O58" s="5">
        <f t="shared" si="3"/>
        <v>0</v>
      </c>
      <c r="P58" s="5">
        <f>Table14[[#This Row],[Enrolment S.Y. 2025-2026 ]]*8</f>
        <v>1464</v>
      </c>
      <c r="Q58" s="5">
        <v>200</v>
      </c>
      <c r="R58" s="1">
        <v>2025</v>
      </c>
      <c r="S58" s="5" t="s">
        <v>12</v>
      </c>
      <c r="T58" s="5">
        <f t="shared" si="4"/>
        <v>1264</v>
      </c>
      <c r="U58" s="5">
        <f t="shared" si="5"/>
        <v>0</v>
      </c>
      <c r="V58" s="5">
        <f>Table14[[#This Row],[Enrolment S.Y. 2025-2026 ]]*8</f>
        <v>1464</v>
      </c>
      <c r="W58" s="5">
        <v>100</v>
      </c>
      <c r="X58" s="1">
        <v>2025</v>
      </c>
      <c r="Y58" s="5" t="s">
        <v>12</v>
      </c>
      <c r="Z58" s="5">
        <f t="shared" si="6"/>
        <v>1364</v>
      </c>
      <c r="AA58" s="5">
        <f t="shared" si="7"/>
        <v>0</v>
      </c>
    </row>
    <row r="59" spans="1:27" ht="37.5" customHeight="1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>
        <v>0</v>
      </c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300</v>
      </c>
      <c r="R59" s="1">
        <v>2025</v>
      </c>
      <c r="S59" s="5" t="s">
        <v>12</v>
      </c>
      <c r="T59" s="5">
        <f t="shared" si="4"/>
        <v>0</v>
      </c>
      <c r="U59" s="5">
        <f t="shared" si="5"/>
        <v>300</v>
      </c>
      <c r="V59" s="5">
        <f>Table14[[#This Row],[Enrolment S.Y. 2025-2026 ]]*8</f>
        <v>0</v>
      </c>
      <c r="W59" s="5">
        <v>350</v>
      </c>
      <c r="X59" s="1">
        <v>2025</v>
      </c>
      <c r="Y59" s="5" t="s">
        <v>12</v>
      </c>
      <c r="Z59" s="5">
        <f t="shared" si="6"/>
        <v>0</v>
      </c>
      <c r="AA59" s="5">
        <f t="shared" si="7"/>
        <v>350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>
        <v>0</v>
      </c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200</v>
      </c>
      <c r="R60" s="1">
        <v>2025</v>
      </c>
      <c r="S60" s="5" t="s">
        <v>12</v>
      </c>
      <c r="T60" s="5">
        <f t="shared" si="4"/>
        <v>0</v>
      </c>
      <c r="U60" s="5">
        <f t="shared" si="5"/>
        <v>200</v>
      </c>
      <c r="V60" s="5">
        <f>Table14[[#This Row],[Enrolment S.Y. 2025-2026 ]]*8</f>
        <v>0</v>
      </c>
      <c r="W60" s="5">
        <v>400</v>
      </c>
      <c r="X60" s="1">
        <v>2025</v>
      </c>
      <c r="Y60" s="5" t="s">
        <v>12</v>
      </c>
      <c r="Z60" s="5">
        <f t="shared" si="6"/>
        <v>0</v>
      </c>
      <c r="AA60" s="5">
        <f t="shared" si="7"/>
        <v>400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>
        <v>0</v>
      </c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200</v>
      </c>
      <c r="R61" s="1">
        <v>2025</v>
      </c>
      <c r="S61" s="5" t="s">
        <v>12</v>
      </c>
      <c r="T61" s="5">
        <f>IF((P61-Q61)&lt;0,0,(P61-Q61))</f>
        <v>0</v>
      </c>
      <c r="U61" s="5">
        <f>IF((Q61-P61)&lt;0,0,(Q61-P61))</f>
        <v>200</v>
      </c>
      <c r="V61" s="5">
        <f>Table14[[#This Row],[Enrolment S.Y. 2025-2026 ]]*8</f>
        <v>0</v>
      </c>
      <c r="W61" s="5">
        <v>150</v>
      </c>
      <c r="X61" s="1">
        <v>2025</v>
      </c>
      <c r="Y61" s="5" t="s">
        <v>12</v>
      </c>
      <c r="Z61" s="5">
        <f>IF((V61-W61)&lt;0,0,(V61-W61))</f>
        <v>0</v>
      </c>
      <c r="AA61" s="5">
        <f>IF((W61-V61)&lt;0,0,(W61-V61))</f>
        <v>150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>
        <v>0</v>
      </c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350</v>
      </c>
      <c r="R62" s="1">
        <v>2025</v>
      </c>
      <c r="S62" s="5" t="s">
        <v>12</v>
      </c>
      <c r="T62" s="5">
        <f t="shared" si="4"/>
        <v>0</v>
      </c>
      <c r="U62" s="5">
        <f t="shared" si="5"/>
        <v>350</v>
      </c>
      <c r="V62" s="5">
        <f>Table14[[#This Row],[Enrolment S.Y. 2025-2026 ]]*8</f>
        <v>0</v>
      </c>
      <c r="W62" s="5">
        <v>450</v>
      </c>
      <c r="X62" s="1">
        <v>2025</v>
      </c>
      <c r="Y62" s="5" t="s">
        <v>12</v>
      </c>
      <c r="Z62" s="5">
        <f t="shared" si="6"/>
        <v>0</v>
      </c>
      <c r="AA62" s="5">
        <f t="shared" si="7"/>
        <v>450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>
        <v>0</v>
      </c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>
        <v>0</v>
      </c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150</v>
      </c>
      <c r="R64" s="1">
        <v>2025</v>
      </c>
      <c r="S64" s="5" t="s">
        <v>12</v>
      </c>
      <c r="T64" s="5">
        <f>IF((P64-Q64)&lt;0,0,(P64-Q64))</f>
        <v>0</v>
      </c>
      <c r="U64" s="5">
        <f>IF((Q64-P64)&lt;0,0,(Q64-P64))</f>
        <v>150</v>
      </c>
      <c r="V64" s="5">
        <f>Table14[[#This Row],[Enrolment S.Y. 2025-2026 ]]*8</f>
        <v>0</v>
      </c>
      <c r="W64" s="5">
        <v>150</v>
      </c>
      <c r="X64" s="1">
        <v>2025</v>
      </c>
      <c r="Y64" s="5" t="s">
        <v>12</v>
      </c>
      <c r="Z64" s="5">
        <f>IF((V64-W64)&lt;0,0,(V64-W64))</f>
        <v>0</v>
      </c>
      <c r="AA64" s="5">
        <f>IF((W64-V64)&lt;0,0,(W64-V64))</f>
        <v>150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>
        <v>0</v>
      </c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150</v>
      </c>
      <c r="R65" s="1">
        <v>2025</v>
      </c>
      <c r="S65" s="5" t="s">
        <v>12</v>
      </c>
      <c r="T65" s="5">
        <f t="shared" si="4"/>
        <v>0</v>
      </c>
      <c r="U65" s="5">
        <f t="shared" si="5"/>
        <v>150</v>
      </c>
      <c r="V65" s="5">
        <f>Table14[[#This Row],[Enrolment S.Y. 2025-2026 ]]*8</f>
        <v>0</v>
      </c>
      <c r="W65" s="5">
        <v>400</v>
      </c>
      <c r="X65" s="1">
        <v>2025</v>
      </c>
      <c r="Y65" s="5" t="s">
        <v>12</v>
      </c>
      <c r="Z65" s="5">
        <f t="shared" si="6"/>
        <v>0</v>
      </c>
      <c r="AA65" s="5">
        <f t="shared" si="7"/>
        <v>400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4.5" customHeight="1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55:R65 N67:R77 N79:R89 N91:R101 N103:R113 T55:X65" name="LAS"/>
    <protectedRange sqref="G2:I2 M2:O2 S2:U2 Y2:AA2 G3:G10 M3:M10 S3:S10 Y3:Y10 Y12:Y19 G12:G19 M12:M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M115:M122 M55:M65 M67:M77 G67:G77 Y67:Y77 S67:S77 S79:S89 M79:M89 G79:G89 Y79:Y89 Y91:Y101 S91:S101 M91:M101 G91:G101 G103:G113 Y103:Y113 S103:S113 M103:M113 S55:S65 Y55:Y65" xr:uid="{CBD486C7-A5DB-48F1-B496-5027CC51E830}">
      <formula1>"CO,RO,SDO,LGU,SCHOOL"</formula1>
    </dataValidation>
    <dataValidation type="list" allowBlank="1" showInputMessage="1" showErrorMessage="1" sqref="X21:X29 X31:X41 X43:X53 X67:X77 X79:X89 F103:F113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CHERRY ANNE SOTOMAYOR</cp:lastModifiedBy>
  <cp:revision/>
  <dcterms:created xsi:type="dcterms:W3CDTF">2025-11-19T20:48:15Z</dcterms:created>
  <dcterms:modified xsi:type="dcterms:W3CDTF">2025-12-11T07:04:55Z</dcterms:modified>
  <cp:category/>
  <cp:contentStatus/>
</cp:coreProperties>
</file>