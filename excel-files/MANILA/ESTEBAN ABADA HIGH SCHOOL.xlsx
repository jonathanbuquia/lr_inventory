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5" documentId="13_ncr:1_{BFB59F67-F0DC-4675-A682-EB0734A8026A}" xr6:coauthVersionLast="47" xr6:coauthVersionMax="47" xr10:uidLastSave="{1206428C-A00B-4D54-AF85-E35E136A9D76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T21" i="4"/>
  <c r="U5" i="4"/>
  <c r="O28" i="4"/>
  <c r="AA43" i="4"/>
  <c r="Z20" i="4"/>
  <c r="AA7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29" i="4"/>
  <c r="Z18" i="4"/>
  <c r="N39" i="4"/>
  <c r="O33" i="4"/>
  <c r="U36" i="4"/>
  <c r="T4" i="4"/>
  <c r="Z40" i="4"/>
  <c r="AA16" i="4"/>
  <c r="Z5" i="4"/>
  <c r="N21" i="4"/>
  <c r="O50" i="4"/>
  <c r="N45" i="4"/>
  <c r="O19" i="4"/>
  <c r="T30" i="4"/>
  <c r="U14" i="4"/>
  <c r="U8" i="4"/>
  <c r="AA38" i="4"/>
  <c r="Z27" i="4"/>
  <c r="AA3" i="4"/>
  <c r="Z31" i="4"/>
  <c r="N13" i="4"/>
  <c r="O6" i="4"/>
  <c r="U40" i="4"/>
  <c r="U35" i="4"/>
  <c r="U18" i="4"/>
  <c r="Z49" i="4"/>
  <c r="AA25" i="4"/>
  <c r="Z14" i="4"/>
  <c r="O37" i="4"/>
  <c r="N30" i="4"/>
  <c r="O24" i="4"/>
  <c r="N18" i="4"/>
  <c r="U45" i="4"/>
  <c r="T13" i="4"/>
  <c r="AA47" i="4"/>
  <c r="Z36" i="4"/>
  <c r="AA11" i="4"/>
  <c r="N48" i="4"/>
  <c r="T39" i="4"/>
  <c r="U23" i="4"/>
  <c r="U17" i="4"/>
  <c r="AA34" i="4"/>
  <c r="Z23" i="4"/>
  <c r="O41" i="4"/>
  <c r="O10" i="4"/>
  <c r="N4" i="4"/>
  <c r="U49" i="4"/>
  <c r="U27" i="4"/>
  <c r="Z45" i="4"/>
  <c r="Z9" i="4"/>
  <c r="T11" i="4"/>
  <c r="U11" i="4"/>
  <c r="N36" i="4"/>
  <c r="N14" i="4"/>
  <c r="T3" i="4"/>
  <c r="U3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34" i="4"/>
  <c r="U34" i="4"/>
  <c r="T43" i="4"/>
  <c r="U43" i="4"/>
  <c r="N27" i="4"/>
  <c r="N5" i="4"/>
  <c r="N31" i="4"/>
  <c r="T20" i="4"/>
  <c r="U20" i="4"/>
  <c r="T47" i="4"/>
  <c r="U47" i="4"/>
  <c r="T25" i="4"/>
  <c r="U25" i="4"/>
  <c r="N9" i="4"/>
  <c r="Z50" i="4"/>
  <c r="AA50" i="4"/>
  <c r="O47" i="4"/>
  <c r="O38" i="4"/>
  <c r="O29" i="4"/>
  <c r="O20" i="4"/>
  <c r="O11" i="4"/>
  <c r="O3" i="4"/>
  <c r="U46" i="4"/>
  <c r="U37" i="4"/>
  <c r="U28" i="4"/>
  <c r="U19" i="4"/>
  <c r="U10" i="4"/>
  <c r="AA46" i="4"/>
  <c r="AA37" i="4"/>
  <c r="AA28" i="4"/>
  <c r="AA24" i="4"/>
  <c r="AA19" i="4"/>
  <c r="AA15" i="4"/>
  <c r="AA10" i="4"/>
  <c r="AA6" i="4"/>
  <c r="O44" i="4"/>
  <c r="O35" i="4"/>
  <c r="O26" i="4"/>
  <c r="O17" i="4"/>
  <c r="O8" i="4"/>
  <c r="O43" i="4"/>
  <c r="O34" i="4"/>
  <c r="O25" i="4"/>
  <c r="O16" i="4"/>
  <c r="O7" i="4"/>
  <c r="U50" i="4"/>
  <c r="U41" i="4"/>
  <c r="U33" i="4"/>
  <c r="U24" i="4"/>
  <c r="U15" i="4"/>
  <c r="U6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<sst xmlns="http://schemas.openxmlformats.org/spreadsheetml/2006/main" count="234" uniqueCount="83">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</sst>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59" headerRowBorderDxfId="57" tableBorderDxfId="58">
  <autoFilter ref="A2:AA5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D1" activePane="topRight" state="frozen"/>
      <selection pane="topRight" activeCell="E55" sqref="E5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>
        <v>534</v>
      </c>
      <c r="E2" s="8">
        <v>2024</v>
      </c>
      <c r="F2" s="10"/>
      <c r="G2" s="2">
        <f t="shared" ref="G2:G10" si="0">IF((C2-D2)&lt;0,0,C2-D2)</f>
        <v>0</v>
      </c>
      <c r="H2" s="3">
        <f t="shared" ref="H2:H10" si="1">IF((D2-C2)&lt;0,0,D2-C2)</f>
        <v>534</v>
      </c>
    </row>
    <row r="3" spans="1:8" ht="29.25" customHeight="1">
      <c r="A3" s="8">
        <v>7</v>
      </c>
      <c r="B3" s="9" t="s">
        <v>9</v>
      </c>
      <c r="C3" s="8"/>
      <c r="D3" s="8">
        <v>534</v>
      </c>
      <c r="E3" s="8">
        <v>2024</v>
      </c>
      <c r="F3" s="10"/>
      <c r="G3" s="2">
        <f t="shared" si="0"/>
        <v>0</v>
      </c>
      <c r="H3" s="3">
        <f t="shared" si="1"/>
        <v>534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>
        <v>424</v>
      </c>
      <c r="E15" s="8">
        <v>2025</v>
      </c>
      <c r="F15" s="10"/>
      <c r="G15" s="2">
        <f t="shared" si="2"/>
        <v>0</v>
      </c>
      <c r="H15" s="3">
        <f t="shared" si="3"/>
        <v>424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18</v>
      </c>
      <c r="B43" s="7" t="s">
        <v>20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18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F2:F10 F12:F20 F22:F30 F32:F40 F42:F49" xr:uid="{2F7388E0-D1A1-4571-8C10-96CB9A727EB3}">
      <formula1>"CO,RO,SDO"</formula1>
    </dataValidation>
    <dataValidation type="list" allowBlank="1" showInputMessage="1" showErrorMessage="1" sqref="E2:E49" xr:uid="{EE9B09DB-3A8E-4DCF-849A-FA958DA3B3CE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3" topLeftCell="E1" activePane="topRight" state="frozen"/>
      <selection pane="topRight" activeCell="AE69" sqref="AE6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2" t="s">
        <v>27</v>
      </c>
      <c r="E1" s="32"/>
      <c r="F1" s="32"/>
      <c r="G1" s="32"/>
      <c r="H1" s="32"/>
      <c r="I1" s="32"/>
      <c r="J1" s="33" t="s">
        <v>28</v>
      </c>
      <c r="K1" s="33"/>
      <c r="L1" s="33"/>
      <c r="M1" s="33"/>
      <c r="N1" s="33"/>
      <c r="O1" s="33"/>
      <c r="P1" s="34" t="s">
        <v>29</v>
      </c>
      <c r="Q1" s="34"/>
      <c r="R1" s="34"/>
      <c r="S1" s="34"/>
      <c r="T1" s="34"/>
      <c r="U1" s="34"/>
      <c r="V1" s="35" t="s">
        <v>30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0" t="s">
        <v>40</v>
      </c>
      <c r="N2" s="30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1" t="s">
        <v>52</v>
      </c>
      <c r="Z2" s="31" t="s">
        <v>53</v>
      </c>
      <c r="AA2" s="24" t="s">
        <v>54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50" si="8">IF((J10-K10)&lt;0,0,(J10-K10))</f>
        <v>0</v>
      </c>
      <c r="O10" s="10">
        <f t="shared" ref="O10:O50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50" si="10">IF((P10-Q10)&lt;0,0,(P10-Q10))</f>
        <v>0</v>
      </c>
      <c r="U10" s="10">
        <f t="shared" ref="U10:U50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50" si="12">IF((V10-W10)&lt;0,0,(V10-W10))</f>
        <v>0</v>
      </c>
      <c r="AA10" s="10">
        <f t="shared" ref="AA10:AA50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50" si="14">IF((D18-E18)&lt;0,0,(D18-E18))</f>
        <v>0</v>
      </c>
      <c r="I18" s="10">
        <f t="shared" ref="I18:I50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18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18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18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18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18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18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18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5"/>
    <row r="52" spans="1:27" s="5" customFormat="1" ht="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ht="15"/>
    <row r="62" spans="1:27" s="5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43:C50 C13:C21 C23:C31 C33:C41 C2:C11" name="Textbooks"/>
    <protectedRange sqref="W23:X31 D33:F41 H33:I41 Q33:R41 W33:X41 D43:F50 H43:I50 Q43:R50 W43:X50 K3:L11 K13:L21 K23:L31 K33:L41 K43:L50 T3:V50 J3:J50 V2:X2 N3:P50 P2:R2 Z3:AA50 D2:F11 H3:I11 Q3:R11 W3:X11 D13:F21 H13:I21 Q13:R21 W13:X21 D23:F31 H23:I31 Q23:R31 J2:L2" name="LAS"/>
    <protectedRange sqref="S2:U2 M2:O2 Y2:AA2 G3:G11 G13:G21 G23:G31 G33:G41 G43:G50 Y3:Y50 M3:M50 S3:S50 G2:I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  <dataValidation type="list" allowBlank="1" showInputMessage="1" showErrorMessage="1" sqref="L3:L41 L43:L50 R3:R41 R43:R50 X3:X50 F3:F50" xr:uid="{D2ACEFEE-B279-445E-A237-DC333D76A19E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3" topLeftCell="Z55" activePane="topRight" state="frozen"/>
      <selection pane="topRight" activeCell="A3" sqref="A3:AA66"/>
    </sheetView>
  </sheetViews>
  <sheetFormatPr defaultRowHeight="13.9"/>
  <cols>
    <col min="1" max="1" width="9.42578125" customWidth="1"/>
    <col min="2" max="2" width="21.570312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27"/>
      <c r="D1" s="32" t="s">
        <v>27</v>
      </c>
      <c r="E1" s="32"/>
      <c r="F1" s="32"/>
      <c r="G1" s="32"/>
      <c r="H1" s="32"/>
      <c r="I1" s="32"/>
      <c r="J1" s="33" t="s">
        <v>28</v>
      </c>
      <c r="K1" s="33"/>
      <c r="L1" s="33"/>
      <c r="M1" s="33"/>
      <c r="N1" s="33"/>
      <c r="O1" s="33"/>
      <c r="P1" s="34" t="s">
        <v>29</v>
      </c>
      <c r="Q1" s="34"/>
      <c r="R1" s="34"/>
      <c r="S1" s="34"/>
      <c r="T1" s="34"/>
      <c r="U1" s="34"/>
      <c r="V1" s="35" t="s">
        <v>30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28" t="s">
        <v>1</v>
      </c>
      <c r="C2" s="14" t="s">
        <v>2</v>
      </c>
      <c r="D2" s="18" t="s">
        <v>55</v>
      </c>
      <c r="E2" s="18" t="s">
        <v>56</v>
      </c>
      <c r="F2" s="19" t="s">
        <v>57</v>
      </c>
      <c r="G2" s="22" t="s">
        <v>58</v>
      </c>
      <c r="H2" s="15" t="s">
        <v>59</v>
      </c>
      <c r="I2" s="22" t="s">
        <v>60</v>
      </c>
      <c r="J2" s="20" t="s">
        <v>61</v>
      </c>
      <c r="K2" s="20" t="s">
        <v>62</v>
      </c>
      <c r="L2" s="21" t="s">
        <v>63</v>
      </c>
      <c r="M2" s="30" t="s">
        <v>64</v>
      </c>
      <c r="N2" s="30" t="s">
        <v>65</v>
      </c>
      <c r="O2" s="20" t="s">
        <v>66</v>
      </c>
      <c r="P2" s="22" t="s">
        <v>67</v>
      </c>
      <c r="Q2" s="22" t="s">
        <v>68</v>
      </c>
      <c r="R2" s="23" t="s">
        <v>69</v>
      </c>
      <c r="S2" s="15" t="s">
        <v>70</v>
      </c>
      <c r="T2" s="15" t="s">
        <v>71</v>
      </c>
      <c r="U2" s="22" t="s">
        <v>72</v>
      </c>
      <c r="V2" s="24" t="s">
        <v>73</v>
      </c>
      <c r="W2" s="24" t="s">
        <v>74</v>
      </c>
      <c r="X2" s="25" t="s">
        <v>75</v>
      </c>
      <c r="Y2" s="31" t="s">
        <v>76</v>
      </c>
      <c r="Z2" s="31" t="s">
        <v>77</v>
      </c>
      <c r="AA2" s="24" t="s">
        <v>78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29">
        <v>7</v>
      </c>
      <c r="B9" s="9" t="s">
        <v>79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80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29">
        <v>7</v>
      </c>
      <c r="B12" s="9" t="s">
        <v>81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82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29">
        <v>8</v>
      </c>
      <c r="B21" s="9" t="s">
        <v>79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80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29">
        <v>8</v>
      </c>
      <c r="B24" s="9" t="s">
        <v>81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82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29">
        <v>9</v>
      </c>
      <c r="B33" s="9" t="s">
        <v>79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29">
        <v>9</v>
      </c>
      <c r="B36" s="9" t="s">
        <v>81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29">
        <v>10</v>
      </c>
      <c r="B45" s="9" t="s">
        <v>79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29">
        <v>10</v>
      </c>
      <c r="B48" s="9" t="s">
        <v>81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18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38.25">
      <c r="A54" s="1" t="s">
        <v>18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57.75">
      <c r="A55" s="1" t="s">
        <v>18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18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18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ht="15"/>
    <row r="66" spans="1:27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F3:F49 F51:F58 X3:X58 R3:R58 L3:L58" xr:uid="{89BBDEAA-0385-4EF5-B7C8-2DABD27AA9BE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2026-04-07T08:50:35Z</dcterms:modified>
  <cp:category/>
  <cp:contentStatus/>
</cp:coreProperties>
</file>