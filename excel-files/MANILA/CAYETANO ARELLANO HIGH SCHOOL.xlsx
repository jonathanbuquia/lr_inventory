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5" documentId="13_ncr:1_{BFB59F67-F0DC-4675-A682-EB0734A8026A}" xr6:coauthVersionLast="47" xr6:coauthVersionMax="47" xr10:uidLastSave="{C409F375-F2DD-4F6F-818F-0E06571F4EC6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<sst xmlns="http://schemas.openxmlformats.org/spreadsheetml/2006/main" count="404" uniqueCount="91">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</sst>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7" activePane="topRight" state="frozen"/>
      <selection pane="topRight" activeCell="E52" sqref="E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992</v>
      </c>
      <c r="D51" s="10">
        <v>1270</v>
      </c>
      <c r="E51" s="10">
        <v>2024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278</v>
      </c>
    </row>
    <row r="52" spans="1:8" ht="27.75" customHeight="1">
      <c r="A52" s="10">
        <v>7</v>
      </c>
      <c r="B52" s="11" t="s">
        <v>15</v>
      </c>
      <c r="C52" s="10">
        <v>992</v>
      </c>
      <c r="D52" s="10"/>
      <c r="E52" s="10"/>
      <c r="F52" s="12"/>
      <c r="G52" s="3">
        <f t="shared" si="10"/>
        <v>992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992</v>
      </c>
      <c r="D53" s="10">
        <v>1270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278</v>
      </c>
    </row>
    <row r="54" spans="1:8" ht="27.75" customHeight="1">
      <c r="A54" s="10">
        <v>7</v>
      </c>
      <c r="B54" s="11" t="s">
        <v>21</v>
      </c>
      <c r="C54" s="10">
        <v>992</v>
      </c>
      <c r="D54" s="10"/>
      <c r="E54" s="10"/>
      <c r="F54" s="12"/>
      <c r="G54" s="3">
        <f t="shared" si="10"/>
        <v>992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992</v>
      </c>
      <c r="D55" s="10">
        <v>1270</v>
      </c>
      <c r="E55" s="10">
        <v>2024</v>
      </c>
      <c r="F55" s="12" t="s">
        <v>20</v>
      </c>
      <c r="G55" s="3">
        <f t="shared" si="10"/>
        <v>0</v>
      </c>
      <c r="H55" s="4">
        <f t="shared" si="11"/>
        <v>278</v>
      </c>
    </row>
    <row r="56" spans="1:8" ht="27.75" customHeight="1">
      <c r="A56" s="10">
        <v>7</v>
      </c>
      <c r="B56" s="11" t="s">
        <v>13</v>
      </c>
      <c r="C56" s="10">
        <v>992</v>
      </c>
      <c r="D56" s="10">
        <v>1270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278</v>
      </c>
    </row>
    <row r="57" spans="1:8" ht="27.75" customHeight="1">
      <c r="A57" s="10">
        <v>7</v>
      </c>
      <c r="B57" s="11" t="s">
        <v>17</v>
      </c>
      <c r="C57" s="10">
        <v>992</v>
      </c>
      <c r="D57" s="10">
        <v>1270</v>
      </c>
      <c r="E57" s="10">
        <v>2024</v>
      </c>
      <c r="F57" s="12" t="s">
        <v>20</v>
      </c>
      <c r="G57" s="3">
        <f t="shared" si="10"/>
        <v>0</v>
      </c>
      <c r="H57" s="4">
        <f t="shared" si="11"/>
        <v>278</v>
      </c>
    </row>
    <row r="58" spans="1:8" ht="27.75" customHeight="1">
      <c r="A58" s="10">
        <v>7</v>
      </c>
      <c r="B58" s="11" t="s">
        <v>22</v>
      </c>
      <c r="C58" s="10">
        <v>992</v>
      </c>
      <c r="D58" s="10">
        <v>1270</v>
      </c>
      <c r="E58" s="10">
        <v>2024</v>
      </c>
      <c r="F58" s="12" t="s">
        <v>20</v>
      </c>
      <c r="G58" s="3">
        <f t="shared" si="10"/>
        <v>0</v>
      </c>
      <c r="H58" s="4">
        <f t="shared" si="11"/>
        <v>278</v>
      </c>
    </row>
    <row r="59" spans="1:8" ht="27.75" customHeight="1">
      <c r="A59" s="10">
        <v>7</v>
      </c>
      <c r="B59" s="11" t="s">
        <v>19</v>
      </c>
      <c r="C59" s="10">
        <v>992</v>
      </c>
      <c r="D59" s="10">
        <v>1270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278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976</v>
      </c>
      <c r="D61" s="10"/>
      <c r="E61" s="10"/>
      <c r="F61" s="12"/>
      <c r="G61" s="3">
        <f t="shared" ref="G61:G69" si="12">IF((C61-D61)&lt;0,0,C61-D61)</f>
        <v>976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976</v>
      </c>
      <c r="D62" s="10"/>
      <c r="E62" s="10"/>
      <c r="F62" s="12"/>
      <c r="G62" s="3">
        <f t="shared" si="12"/>
        <v>976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976</v>
      </c>
      <c r="D63" s="10">
        <v>1162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186</v>
      </c>
    </row>
    <row r="64" spans="1:8" ht="27.75" customHeight="1">
      <c r="A64" s="10">
        <v>8</v>
      </c>
      <c r="B64" s="11" t="s">
        <v>21</v>
      </c>
      <c r="C64" s="10">
        <v>976</v>
      </c>
      <c r="D64" s="10">
        <v>1162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186</v>
      </c>
    </row>
    <row r="65" spans="1:8" ht="27.75" customHeight="1">
      <c r="A65" s="10">
        <v>8</v>
      </c>
      <c r="B65" s="11" t="s">
        <v>23</v>
      </c>
      <c r="C65" s="10">
        <v>976</v>
      </c>
      <c r="D65" s="10"/>
      <c r="E65" s="10"/>
      <c r="F65" s="12"/>
      <c r="G65" s="3">
        <f t="shared" si="12"/>
        <v>976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976</v>
      </c>
      <c r="D66" s="10"/>
      <c r="E66" s="10"/>
      <c r="F66" s="12"/>
      <c r="G66" s="3">
        <f t="shared" si="12"/>
        <v>976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976</v>
      </c>
      <c r="D67" s="10"/>
      <c r="E67" s="10"/>
      <c r="F67" s="12"/>
      <c r="G67" s="3">
        <f t="shared" si="12"/>
        <v>976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976</v>
      </c>
      <c r="D68" s="10"/>
      <c r="E68" s="10"/>
      <c r="F68" s="12"/>
      <c r="G68" s="3">
        <f t="shared" si="12"/>
        <v>976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976</v>
      </c>
      <c r="D69" s="10"/>
      <c r="E69" s="10"/>
      <c r="F69" s="12"/>
      <c r="G69" s="3">
        <f t="shared" si="12"/>
        <v>976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953</v>
      </c>
      <c r="D71" s="10"/>
      <c r="E71" s="10"/>
      <c r="F71" s="12"/>
      <c r="G71" s="3">
        <f t="shared" ref="G71:G79" si="14">IF((C71-D71)&lt;0,0,C71-D71)</f>
        <v>953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953</v>
      </c>
      <c r="D72" s="10"/>
      <c r="E72" s="10"/>
      <c r="F72" s="12"/>
      <c r="G72" s="3">
        <f t="shared" si="14"/>
        <v>953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953</v>
      </c>
      <c r="D73" s="10"/>
      <c r="E73" s="10"/>
      <c r="F73" s="12"/>
      <c r="G73" s="3">
        <f t="shared" si="14"/>
        <v>953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953</v>
      </c>
      <c r="D74" s="10"/>
      <c r="E74" s="10"/>
      <c r="F74" s="12"/>
      <c r="G74" s="3">
        <f t="shared" si="14"/>
        <v>953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953</v>
      </c>
      <c r="D75" s="10"/>
      <c r="E75" s="10"/>
      <c r="F75" s="12"/>
      <c r="G75" s="3">
        <f t="shared" si="14"/>
        <v>953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953</v>
      </c>
      <c r="D76" s="10"/>
      <c r="E76" s="10"/>
      <c r="F76" s="12"/>
      <c r="G76" s="3">
        <f t="shared" si="14"/>
        <v>953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953</v>
      </c>
      <c r="D77" s="10"/>
      <c r="E77" s="10"/>
      <c r="F77" s="12"/>
      <c r="G77" s="3">
        <f t="shared" si="14"/>
        <v>953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953</v>
      </c>
      <c r="D78" s="10"/>
      <c r="E78" s="10"/>
      <c r="F78" s="12"/>
      <c r="G78" s="3">
        <f t="shared" si="14"/>
        <v>953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953</v>
      </c>
      <c r="D79" s="10"/>
      <c r="E79" s="10"/>
      <c r="F79" s="12"/>
      <c r="G79" s="3">
        <f t="shared" si="14"/>
        <v>953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917</v>
      </c>
      <c r="D81" s="10"/>
      <c r="E81" s="10"/>
      <c r="F81" s="12"/>
      <c r="G81" s="3">
        <f t="shared" ref="G81:G89" si="16">IF((C81-D81)&lt;0,0,C81-D81)</f>
        <v>917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917</v>
      </c>
      <c r="D82" s="10"/>
      <c r="E82" s="10"/>
      <c r="F82" s="12"/>
      <c r="G82" s="3">
        <f t="shared" si="16"/>
        <v>917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917</v>
      </c>
      <c r="D83" s="10"/>
      <c r="E83" s="10"/>
      <c r="F83" s="12"/>
      <c r="G83" s="3">
        <f t="shared" si="16"/>
        <v>917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917</v>
      </c>
      <c r="D84" s="10"/>
      <c r="E84" s="10"/>
      <c r="F84" s="12"/>
      <c r="G84" s="3">
        <f t="shared" si="16"/>
        <v>917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917</v>
      </c>
      <c r="D85" s="10"/>
      <c r="E85" s="10"/>
      <c r="F85" s="12"/>
      <c r="G85" s="3">
        <f t="shared" si="16"/>
        <v>917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917</v>
      </c>
      <c r="D86" s="10"/>
      <c r="E86" s="10"/>
      <c r="F86" s="12"/>
      <c r="G86" s="3">
        <f t="shared" si="16"/>
        <v>917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917</v>
      </c>
      <c r="D87" s="10"/>
      <c r="E87" s="10"/>
      <c r="F87" s="12"/>
      <c r="G87" s="3">
        <f t="shared" si="16"/>
        <v>917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917</v>
      </c>
      <c r="D88" s="10"/>
      <c r="E88" s="10"/>
      <c r="F88" s="12"/>
      <c r="G88" s="3">
        <f t="shared" si="16"/>
        <v>917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917</v>
      </c>
      <c r="D89" s="10"/>
      <c r="E89" s="10"/>
      <c r="F89" s="12"/>
      <c r="G89" s="3">
        <f t="shared" si="16"/>
        <v>917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145</v>
      </c>
      <c r="D91" s="1">
        <v>152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7</v>
      </c>
    </row>
    <row r="92" spans="1:8" ht="27.75" customHeight="1">
      <c r="A92" s="1" t="s">
        <v>24</v>
      </c>
      <c r="B92" s="9" t="s">
        <v>26</v>
      </c>
      <c r="C92" s="1">
        <v>145</v>
      </c>
      <c r="D92" s="1"/>
      <c r="E92" s="1"/>
      <c r="F92" s="5"/>
      <c r="G92" s="3">
        <f t="shared" si="18"/>
        <v>145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196</v>
      </c>
      <c r="D93" s="1">
        <v>152</v>
      </c>
      <c r="E93" s="1">
        <v>2024</v>
      </c>
      <c r="F93" s="5" t="s">
        <v>20</v>
      </c>
      <c r="G93" s="3">
        <f t="shared" si="18"/>
        <v>44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145</v>
      </c>
      <c r="D94" s="1">
        <v>152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7</v>
      </c>
    </row>
    <row r="95" spans="1:8" ht="40.5" customHeight="1">
      <c r="A95" s="1" t="s">
        <v>24</v>
      </c>
      <c r="B95" s="9" t="s">
        <v>29</v>
      </c>
      <c r="C95" s="1">
        <v>145</v>
      </c>
      <c r="D95" s="1">
        <v>152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7</v>
      </c>
    </row>
    <row r="96" spans="1:8" ht="38.25" customHeight="1">
      <c r="A96" s="1" t="s">
        <v>24</v>
      </c>
      <c r="B96" s="9" t="s">
        <v>30</v>
      </c>
      <c r="C96" s="1">
        <v>196</v>
      </c>
      <c r="D96" s="1">
        <v>152</v>
      </c>
      <c r="E96" s="1">
        <v>2024</v>
      </c>
      <c r="F96" s="5" t="s">
        <v>20</v>
      </c>
      <c r="G96" s="3">
        <f t="shared" si="18"/>
        <v>44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145</v>
      </c>
      <c r="D97" s="1">
        <v>152</v>
      </c>
      <c r="E97" s="1">
        <v>2024</v>
      </c>
      <c r="F97" s="5" t="s">
        <v>20</v>
      </c>
      <c r="G97" s="3">
        <f t="shared" si="18"/>
        <v>0</v>
      </c>
      <c r="H97" s="4">
        <f t="shared" si="19"/>
        <v>7</v>
      </c>
    </row>
    <row r="98" spans="1:8" ht="47.25" customHeight="1">
      <c r="A98" s="1" t="s">
        <v>24</v>
      </c>
      <c r="B98" s="9" t="s">
        <v>32</v>
      </c>
      <c r="C98" s="1">
        <v>145</v>
      </c>
      <c r="D98" s="1">
        <v>152</v>
      </c>
      <c r="E98" s="1">
        <v>2024</v>
      </c>
      <c r="F98" s="5" t="s">
        <v>20</v>
      </c>
      <c r="G98" s="3">
        <f t="shared" si="18"/>
        <v>0</v>
      </c>
      <c r="H98" s="4">
        <f t="shared" si="19"/>
        <v>7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F14:F19 F21:F29 F31:F39 F41:F49 F91:F98 F61:F69 F71:F79 F81:F89 F2:F6 F8:F12 F51:F59" xr:uid="{2F7388E0-D1A1-4571-8C10-96CB9A727EB3}">
      <formula1>"CO,RO,SDO"</formula1>
    </dataValidation>
    <dataValidation type="list" allowBlank="1" showInputMessage="1" showErrorMessage="1" sqref="E7:E98" xr:uid="{0288D25C-A2E9-4554-A3FD-0A852D1BD504}">
      <formula1>"2024,2025,2026"</formula1>
    </dataValidation>
    <dataValidation type="list" allowBlank="1" showInputMessage="1" showErrorMessage="1" sqref="E2:E6" xr:uid="{D2F17165-53F7-44DE-842A-991166B8E12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selection activeCell="F5" sqref="F5:F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H112:I127 N127:Q127 H14:I21 H23:I31 H6:I12 K14:L21 K23:L31 Q112:R112 P2:R2 V2:X3 N13:P126 T13:V127 J6:J127 N4:P4 T4:V4 J4 Z4:AA127 N3:R3 Y13 D5:F12 D14:F21 D23:F31 D33:F41 D43:F51 D53:F61 D63:F71 D73:F81 D83:F91 D93:F101 D103:F110 D112:F127 K6:L12 K33:L41 K43:L51 K53:L61 K63:L71 K73:L81 K83:L91 K93:L101 K103:L110 K112:L127 N5:R12 Q14:R21 Q23:R31 Q33:R41 Q43:R51 Q53:R61 Q63:R71 Q73:R81 Q83:R91 Q93:R101 Q103:R110 Q113:Q126 R113:R127 T5:X12 W14:X21 W23:X31 W33:X41 W43:X51 W53:X61 W63:X71 W73:X81 W83:X91 W93:X101 W103:X110 W112:X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L23:L24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X112:X127 F14:F21 F23:F31 F33:F41 F43:F51 F53:F61 F63:F71 F73:F81 F83:F91 F93:F101 F103:F110 F112:F127 L5:L12 L14:L21 L25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59933518-5580-40BF-9902-A5D77416E0C5}">
      <formula1>"2024,2025,2026"</formula1>
    </dataValidation>
    <dataValidation type="list" allowBlank="1" showInputMessage="1" showErrorMessage="1" sqref="F5:F12" xr:uid="{E076CD0C-68F1-43D1-A73E-22ACC78322D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Q109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3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6" customHeight="1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6.25" customHeight="1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12:F19 D21:F29 D31:F41 D43:F53 D55:F65 D67:F77 D79:F89 D91:F101 D103:F113 D115:F122 H3:L10 H12:L19 H21:L29 H31:L41 H43:L53 H55:L65 H67:L77 H79:L89 H91:L101 H103:L113 H115:L122 P2:R10 N12:R19 N21:R29 N31:R41 N43:R53 N55:R65 N67:R77 N79:R89 N91:R101 N103:R113 N115:R122 V2:X10 T12:X19 T21:X29 T31:X41 T43:X53 T55:X65 T67:X77 T79:X89 T91:X101 T103:X113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F3:F10 F12:F19 F21:F29 F31:F41 F43:F53 F55:F65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"2024,2025,2026"</formula1>
    </dataValidation>
    <dataValidation type="list" allowBlank="1" showInputMessage="1" showErrorMessage="1" sqref="F67:F77" xr:uid="{1B8ACDA4-5AA9-4353-9ADD-B66005EDD449}">
      <formula1>"2024,2025,,2026"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2026-03-09T01:08:36Z</dcterms:modified>
  <cp:category/>
  <cp:contentStatus/>
</cp:coreProperties>
</file>