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6" documentId="13_ncr:1_{BFB59F67-F0DC-4675-A682-EB0734A8026A}" xr6:coauthVersionLast="47" xr6:coauthVersionMax="47" xr10:uidLastSave="{9D1674FD-22C1-4FFD-BD28-C54235A2668A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I53" i="5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<sst xmlns="http://schemas.openxmlformats.org/spreadsheetml/2006/main" count="240" uniqueCount="84">
  <si>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</si>
  <si>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</si>
  <si>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</si>
  <si>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</si>
  <si>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</si>
  <si>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</si>
  <si>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</si>
  <si>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</si>
  <si>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</si>
  <si>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</si>
  <si>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</si>
  <si>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</si>
  <si>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</si>
  <si>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</si>
  <si>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</si>
  <si>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</si>
  <si>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</si>
  <si>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</si>
  <si>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</si>
  <si>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</si>
  <si>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</si>
  <si>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</si>
  <si>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CO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</si>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</sst>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D44" activePane="topRight" state="frozen"/>
      <selection pane="topRight" activeCell="E54" sqref="E54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/>
      <c r="E2" s="8"/>
      <c r="F2" s="10"/>
      <c r="G2" s="2">
        <f t="shared" ref="G2:G10" si="0">IF((C2-D2)&lt;0,0,C2-D2)</f>
        <v>0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9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12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19.5">
      <c r="A7" s="8">
        <v>7</v>
      </c>
      <c r="B7" s="9" t="s">
        <v>13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14</v>
      </c>
      <c r="C8" s="8"/>
      <c r="D8" s="8"/>
      <c r="E8" s="8"/>
      <c r="F8" s="10"/>
      <c r="G8" s="2">
        <f t="shared" si="0"/>
        <v>0</v>
      </c>
      <c r="H8" s="3">
        <f t="shared" si="1"/>
        <v>0</v>
      </c>
    </row>
    <row r="9" spans="1:8" ht="29.25" customHeight="1">
      <c r="A9" s="8">
        <v>7</v>
      </c>
      <c r="B9" s="9" t="s">
        <v>15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16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27" customHeight="1">
      <c r="A16" s="8">
        <v>8</v>
      </c>
      <c r="B16" s="9" t="s">
        <v>17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>
        <v>179</v>
      </c>
      <c r="D42" s="1"/>
      <c r="E42" s="1"/>
      <c r="F42" s="4"/>
      <c r="G42" s="2">
        <f t="shared" ref="G42:G49" si="8">IF((C42-D42)&lt;0,0,C42-D42)</f>
        <v>179</v>
      </c>
      <c r="H42" s="3">
        <f t="shared" ref="H42:H49" si="9">IF((D42-C42)&lt;0,0,D42-C42)</f>
        <v>0</v>
      </c>
    </row>
    <row r="43" spans="1:8" ht="27.75" customHeight="1">
      <c r="A43" s="1" t="s">
        <v>18</v>
      </c>
      <c r="B43" s="7" t="s">
        <v>20</v>
      </c>
      <c r="C43" s="1">
        <v>179</v>
      </c>
      <c r="D43" s="1"/>
      <c r="E43" s="1"/>
      <c r="F43" s="4"/>
      <c r="G43" s="2">
        <f t="shared" si="8"/>
        <v>179</v>
      </c>
      <c r="H43" s="3">
        <f t="shared" si="9"/>
        <v>0</v>
      </c>
    </row>
    <row r="44" spans="1:8" ht="27.75" customHeight="1">
      <c r="A44" s="1" t="s">
        <v>18</v>
      </c>
      <c r="B44" s="7" t="s">
        <v>21</v>
      </c>
      <c r="C44" s="1">
        <v>179</v>
      </c>
      <c r="D44" s="1">
        <v>247</v>
      </c>
      <c r="E44" s="1">
        <v>2024</v>
      </c>
      <c r="F44" s="4" t="s">
        <v>22</v>
      </c>
      <c r="G44" s="2">
        <f t="shared" si="8"/>
        <v>0</v>
      </c>
      <c r="H44" s="3">
        <f t="shared" si="9"/>
        <v>68</v>
      </c>
    </row>
    <row r="45" spans="1:8" ht="36.75" customHeight="1">
      <c r="A45" s="1" t="s">
        <v>18</v>
      </c>
      <c r="B45" s="7" t="s">
        <v>23</v>
      </c>
      <c r="C45" s="1">
        <v>179</v>
      </c>
      <c r="D45" s="1">
        <v>247</v>
      </c>
      <c r="E45" s="1">
        <v>2024</v>
      </c>
      <c r="F45" s="4" t="s">
        <v>22</v>
      </c>
      <c r="G45" s="2">
        <f t="shared" si="8"/>
        <v>0</v>
      </c>
      <c r="H45" s="3">
        <f t="shared" si="9"/>
        <v>68</v>
      </c>
    </row>
    <row r="46" spans="1:8" ht="27.75" customHeight="1">
      <c r="A46" s="1" t="s">
        <v>18</v>
      </c>
      <c r="B46" s="7" t="s">
        <v>24</v>
      </c>
      <c r="C46" s="1">
        <v>179</v>
      </c>
      <c r="D46" s="1">
        <v>247</v>
      </c>
      <c r="E46" s="1">
        <v>2025</v>
      </c>
      <c r="F46" s="4" t="s">
        <v>22</v>
      </c>
      <c r="G46" s="2">
        <f t="shared" si="8"/>
        <v>0</v>
      </c>
      <c r="H46" s="3">
        <f t="shared" si="9"/>
        <v>68</v>
      </c>
    </row>
    <row r="47" spans="1:8" ht="27.75" customHeight="1">
      <c r="A47" s="1" t="s">
        <v>18</v>
      </c>
      <c r="B47" s="7" t="s">
        <v>25</v>
      </c>
      <c r="C47" s="1">
        <v>179</v>
      </c>
      <c r="D47" s="1">
        <v>247</v>
      </c>
      <c r="E47" s="1">
        <v>2025</v>
      </c>
      <c r="F47" s="4" t="s">
        <v>22</v>
      </c>
      <c r="G47" s="2">
        <f t="shared" si="8"/>
        <v>0</v>
      </c>
      <c r="H47" s="3">
        <f t="shared" si="9"/>
        <v>68</v>
      </c>
    </row>
    <row r="48" spans="1:8" ht="27.75" customHeight="1">
      <c r="A48" s="1" t="s">
        <v>18</v>
      </c>
      <c r="B48" s="7" t="s">
        <v>26</v>
      </c>
      <c r="C48" s="1">
        <v>179</v>
      </c>
      <c r="D48" s="1">
        <v>247</v>
      </c>
      <c r="E48" s="1">
        <v>2025</v>
      </c>
      <c r="F48" s="4" t="s">
        <v>22</v>
      </c>
      <c r="G48" s="2">
        <f t="shared" si="8"/>
        <v>0</v>
      </c>
      <c r="H48" s="3">
        <f t="shared" si="9"/>
        <v>68</v>
      </c>
    </row>
    <row r="49" spans="1:8" ht="27.75" customHeight="1">
      <c r="A49" s="1" t="s">
        <v>18</v>
      </c>
      <c r="B49" s="7" t="s">
        <v>27</v>
      </c>
      <c r="C49" s="1">
        <v>179</v>
      </c>
      <c r="D49" s="1">
        <v>247</v>
      </c>
      <c r="E49" s="1">
        <v>2025</v>
      </c>
      <c r="F49" s="4" t="s">
        <v>22</v>
      </c>
      <c r="G49" s="2">
        <f t="shared" si="8"/>
        <v>0</v>
      </c>
      <c r="H49" s="3">
        <f t="shared" si="9"/>
        <v>68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39" customHeight="1"/>
    <row r="55" spans="1:8" ht="27.75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39.75" customHeight="1"/>
    <row r="91" ht="27.75" customHeight="1"/>
    <row r="92" ht="27.75" customHeight="1"/>
    <row r="93" ht="27.75" customHeight="1"/>
    <row r="94" ht="40.5" customHeight="1"/>
    <row r="95" ht="38.25" customHeight="1"/>
    <row r="96" ht="27.75" customHeight="1"/>
    <row r="97" ht="47.25" customHeight="1"/>
    <row r="98" ht="15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32:E40 E22:E30 E12:E20 E2:E10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D69" sqref="AD6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2" t="s">
        <v>28</v>
      </c>
      <c r="E1" s="32"/>
      <c r="F1" s="32"/>
      <c r="G1" s="32"/>
      <c r="H1" s="32"/>
      <c r="I1" s="32"/>
      <c r="J1" s="33" t="s">
        <v>29</v>
      </c>
      <c r="K1" s="33"/>
      <c r="L1" s="33"/>
      <c r="M1" s="33"/>
      <c r="N1" s="33"/>
      <c r="O1" s="33"/>
      <c r="P1" s="34" t="s">
        <v>30</v>
      </c>
      <c r="Q1" s="34"/>
      <c r="R1" s="34"/>
      <c r="S1" s="34"/>
      <c r="T1" s="34"/>
      <c r="U1" s="34"/>
      <c r="V1" s="35" t="s">
        <v>31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0" t="s">
        <v>41</v>
      </c>
      <c r="N2" s="30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1" t="s">
        <v>53</v>
      </c>
      <c r="Z2" s="31" t="s">
        <v>54</v>
      </c>
      <c r="AA2" s="24" t="s">
        <v>55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50" si="8">IF((J10-K10)&lt;0,0,(J10-K10))</f>
        <v>0</v>
      </c>
      <c r="O10" s="10">
        <f t="shared" ref="O10:O50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50" si="10">IF((P10-Q10)&lt;0,0,(P10-Q10))</f>
        <v>0</v>
      </c>
      <c r="U10" s="10">
        <f t="shared" ref="U10:U50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50" si="12">IF((V10-W10)&lt;0,0,(V10-W10))</f>
        <v>0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16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50" si="14">IF((D18-E18)&lt;0,0,(D18-E18))</f>
        <v>0</v>
      </c>
      <c r="I18" s="10">
        <f t="shared" ref="I18:I50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18</v>
      </c>
      <c r="B43" s="7" t="s">
        <v>19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18</v>
      </c>
      <c r="B44" s="7" t="s">
        <v>20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18</v>
      </c>
      <c r="B45" s="7" t="s">
        <v>21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18</v>
      </c>
      <c r="B46" s="7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18</v>
      </c>
      <c r="B47" s="7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18</v>
      </c>
      <c r="B48" s="7" t="s">
        <v>25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18</v>
      </c>
      <c r="B49" s="7" t="s">
        <v>26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18</v>
      </c>
      <c r="B50" s="7" t="s">
        <v>27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43:C50 C13:C21 C23:C31 C33:C41 C2:C11" name="Textbooks"/>
    <protectedRange sqref="W23:X31 D33:F41 H33:I41 Q33:R41 W33:X41 D43:F50 H43:I50 Q43:R50 W43:X50 K3:L11 K13:L21 K23:L31 K33:L41 K43:L50 T3:V50 J3:J50 V2:X2 N3:P50 P2:R2 Z3:AA50 D2:F11 H3:I11 Q3:R11 W3:X11 D13:F21 H13:I21 Q13:R21 W13:X21 D23:F31 H23:I31 Q23:R31 J2:L2" name="LAS"/>
    <protectedRange sqref="S2:U2 M2:O2 Y2:AA2 G3:G11 G13:G21 G23:G31 G33:G41 G43:G50 Y3:Y50 M3:M50 S3:S50 G2:I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43:F50 F33:F41 F23:F31 F13:F21 F3:F11 L43:L50 L33:L41 L23:L31 L13:L21 L3:L11 R43:R50 R33:R41 R23:R31 R13:R21 R3:R11 X43:X50 X33:X41 X23:X31 X13:X21 X3:X11" xr:uid="{4ECCD083-8EC4-42EE-B46C-B614411F330D}">
      <formula1>"2024,2025,2026"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selection activeCell="Z71" sqref="Z7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2" t="s">
        <v>28</v>
      </c>
      <c r="E1" s="32"/>
      <c r="F1" s="32"/>
      <c r="G1" s="32"/>
      <c r="H1" s="32"/>
      <c r="I1" s="32"/>
      <c r="J1" s="33" t="s">
        <v>29</v>
      </c>
      <c r="K1" s="33"/>
      <c r="L1" s="33"/>
      <c r="M1" s="33"/>
      <c r="N1" s="33"/>
      <c r="O1" s="33"/>
      <c r="P1" s="34" t="s">
        <v>30</v>
      </c>
      <c r="Q1" s="34"/>
      <c r="R1" s="34"/>
      <c r="S1" s="34"/>
      <c r="T1" s="34"/>
      <c r="U1" s="34"/>
      <c r="V1" s="35" t="s">
        <v>31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56</v>
      </c>
      <c r="E2" s="18" t="s">
        <v>57</v>
      </c>
      <c r="F2" s="19" t="s">
        <v>58</v>
      </c>
      <c r="G2" s="22" t="s">
        <v>59</v>
      </c>
      <c r="H2" s="15" t="s">
        <v>60</v>
      </c>
      <c r="I2" s="22" t="s">
        <v>61</v>
      </c>
      <c r="J2" s="20" t="s">
        <v>62</v>
      </c>
      <c r="K2" s="20" t="s">
        <v>63</v>
      </c>
      <c r="L2" s="21" t="s">
        <v>64</v>
      </c>
      <c r="M2" s="30" t="s">
        <v>65</v>
      </c>
      <c r="N2" s="30" t="s">
        <v>66</v>
      </c>
      <c r="O2" s="20" t="s">
        <v>67</v>
      </c>
      <c r="P2" s="22" t="s">
        <v>68</v>
      </c>
      <c r="Q2" s="22" t="s">
        <v>69</v>
      </c>
      <c r="R2" s="23" t="s">
        <v>70</v>
      </c>
      <c r="S2" s="15" t="s">
        <v>71</v>
      </c>
      <c r="T2" s="15" t="s">
        <v>72</v>
      </c>
      <c r="U2" s="22" t="s">
        <v>73</v>
      </c>
      <c r="V2" s="24" t="s">
        <v>74</v>
      </c>
      <c r="W2" s="24" t="s">
        <v>75</v>
      </c>
      <c r="X2" s="25" t="s">
        <v>76</v>
      </c>
      <c r="Y2" s="31" t="s">
        <v>77</v>
      </c>
      <c r="Z2" s="31" t="s">
        <v>78</v>
      </c>
      <c r="AA2" s="24" t="s">
        <v>79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29">
        <v>7</v>
      </c>
      <c r="B9" s="9" t="s">
        <v>80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81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29">
        <v>7</v>
      </c>
      <c r="B12" s="9" t="s">
        <v>82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83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29">
        <v>8</v>
      </c>
      <c r="B21" s="9" t="s">
        <v>80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81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29">
        <v>8</v>
      </c>
      <c r="B24" s="9" t="s">
        <v>82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83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29">
        <v>9</v>
      </c>
      <c r="B33" s="9" t="s">
        <v>80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81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29">
        <v>9</v>
      </c>
      <c r="B36" s="9" t="s">
        <v>82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83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29">
        <v>10</v>
      </c>
      <c r="B45" s="9" t="s">
        <v>80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81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29">
        <v>10</v>
      </c>
      <c r="B48" s="9" t="s">
        <v>82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83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18</v>
      </c>
      <c r="B51" s="7" t="s">
        <v>19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18</v>
      </c>
      <c r="B52" s="7" t="s">
        <v>20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18</v>
      </c>
      <c r="B53" s="7" t="s">
        <v>21</v>
      </c>
      <c r="C53" s="1"/>
      <c r="D53" s="4"/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18</v>
      </c>
      <c r="B54" s="7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18</v>
      </c>
      <c r="B55" s="7" t="s">
        <v>24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18</v>
      </c>
      <c r="B56" s="7" t="s">
        <v>25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18</v>
      </c>
      <c r="B57" s="7" t="s">
        <v>26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18</v>
      </c>
      <c r="B58" s="7" t="s">
        <v>27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F51:F58 F39:F49 F27:F37 F15:F25 F3:F13 L51:L58 L39:L49 L27:L37 L15:L25 L3:L13 R51:R58 R39:R49 R27:R37 R15:R25 R3:R13 X51:X58 X39:X49 X27:X37 X15:X25 X3:X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2026-04-07T08:45:41Z</dcterms:modified>
  <cp:category/>
  <cp:contentStatus/>
</cp:coreProperties>
</file>