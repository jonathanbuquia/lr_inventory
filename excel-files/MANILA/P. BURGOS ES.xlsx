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20" documentId="13_ncr:1_{BFB59F67-F0DC-4675-A682-EB0734A8026A}" xr6:coauthVersionLast="47" xr6:coauthVersionMax="47" xr10:uidLastSave="{5061CDDA-7118-410E-B2ED-F951A55F0523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<sst xmlns="http://schemas.openxmlformats.org/spreadsheetml/2006/main" count="406" uniqueCount="91">
  <si>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</si>
  <si>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</si>
  <si>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</si>
  <si>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</si>
  <si>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</si>
  <si>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</si>
  <si>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</si>
  <si>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</si>
  <si>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</si>
  <si>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</si>
  <si>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</si>
  <si>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</si>
  <si>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</si>
  <si>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</si>
  <si>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</si>
  <si>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</si>
  <si>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</si>
  <si>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</si>
  <si>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</si>
  <si>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</si>
  <si>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</si>
  <si>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</si>
  <si>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</si>
  <si>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</si>
  <si>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</si>
  <si>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</si>
  <si>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</si>
  <si>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</si>
  <si>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</si>
  <si>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</si>
  <si>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</si>
  <si>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</si>
  <si>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</si>
  <si>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</si>
  <si>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</si>
  <si>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</si>
  <si>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</si>
  <si>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</si>
  <si>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</si>
  <si>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</si>
  <si>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</si>
  <si>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</si>
  <si>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</si>
  <si>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</si>
  <si>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</si>
  <si>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</si>
  <si>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</si>
  <si>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</si>
  <si>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</si>
  <si>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</si>
  <si>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</si>
  <si>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</si>
  <si>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</si>
  <si>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</si>
  <si>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</si>
  <si>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</si>
  <si>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</si>
  <si>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</si>
  <si>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</si>
  <si>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</si>
  <si>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</si>
  <si>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SDO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</si>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</sst>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E2" sqref="E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361</v>
      </c>
      <c r="D2" s="1">
        <v>555</v>
      </c>
      <c r="E2" s="1">
        <v>2025</v>
      </c>
      <c r="F2" s="5"/>
      <c r="G2" s="3">
        <f>IF((C2-D2)&lt;0,0,C2-D2)</f>
        <v>0</v>
      </c>
      <c r="H2" s="4">
        <f>IF((D2-C2)&lt;0,0,D2-C2)</f>
        <v>194</v>
      </c>
    </row>
    <row r="3" spans="1:8" ht="29.25" customHeight="1">
      <c r="A3" s="1">
        <v>1</v>
      </c>
      <c r="B3" s="2" t="s">
        <v>9</v>
      </c>
      <c r="C3" s="1">
        <v>361</v>
      </c>
      <c r="D3" s="1">
        <v>555</v>
      </c>
      <c r="E3" s="1">
        <v>2025</v>
      </c>
      <c r="F3" s="5"/>
      <c r="G3" s="3">
        <f>IF((C3-D3)&lt;0,0,C3-D3)</f>
        <v>0</v>
      </c>
      <c r="H3" s="4">
        <f>IF((D3-C3)&lt;0,0,D3-C3)</f>
        <v>194</v>
      </c>
    </row>
    <row r="4" spans="1:8" ht="21" customHeight="1">
      <c r="A4" s="1">
        <v>1</v>
      </c>
      <c r="B4" s="2" t="s">
        <v>10</v>
      </c>
      <c r="C4" s="1">
        <v>361</v>
      </c>
      <c r="D4" s="1">
        <v>555</v>
      </c>
      <c r="E4" s="1">
        <v>2024</v>
      </c>
      <c r="F4" s="5"/>
      <c r="G4" s="3">
        <f>IF((C4-D4)&lt;0,0,C4-D4)</f>
        <v>0</v>
      </c>
      <c r="H4" s="4">
        <f>IF((D4-C4)&lt;0,0,D4-C4)</f>
        <v>194</v>
      </c>
    </row>
    <row r="5" spans="1:8" ht="25.5" customHeight="1">
      <c r="A5" s="1">
        <v>1</v>
      </c>
      <c r="B5" s="2" t="s">
        <v>11</v>
      </c>
      <c r="C5" s="1">
        <v>361</v>
      </c>
      <c r="D5" s="1">
        <v>555</v>
      </c>
      <c r="E5" s="1">
        <v>2025</v>
      </c>
      <c r="F5" s="5"/>
      <c r="G5" s="3">
        <f t="shared" ref="G5:G6" si="0">IF((C5-D5)&lt;0,0,C5-D5)</f>
        <v>0</v>
      </c>
      <c r="H5" s="4">
        <f t="shared" ref="H5:H6" si="1">IF((D5-C5)&lt;0,0,D5-C5)</f>
        <v>194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436</v>
      </c>
      <c r="D21" s="1">
        <v>475</v>
      </c>
      <c r="E21" s="1">
        <v>2024</v>
      </c>
      <c r="F21" s="5"/>
      <c r="G21" s="3">
        <f t="shared" ref="G21:G29" si="4">IF((C21-D21)&lt;0,0,C21-D21)</f>
        <v>0</v>
      </c>
      <c r="H21" s="4">
        <f t="shared" ref="H21:H29" si="5">IF((D21-C21)&lt;0,0,D21-C21)</f>
        <v>39</v>
      </c>
    </row>
    <row r="22" spans="1:8" ht="24" customHeight="1">
      <c r="A22" s="1">
        <v>4</v>
      </c>
      <c r="B22" s="9" t="s">
        <v>15</v>
      </c>
      <c r="C22" s="1">
        <v>436</v>
      </c>
      <c r="D22" s="1">
        <v>475</v>
      </c>
      <c r="E22" s="1">
        <v>2024</v>
      </c>
      <c r="F22" s="5"/>
      <c r="G22" s="3">
        <f t="shared" si="4"/>
        <v>0</v>
      </c>
      <c r="H22" s="4">
        <f t="shared" si="5"/>
        <v>39</v>
      </c>
    </row>
    <row r="23" spans="1:8" ht="19.5">
      <c r="A23" s="1">
        <v>4</v>
      </c>
      <c r="B23" s="9" t="s">
        <v>12</v>
      </c>
      <c r="C23" s="1">
        <v>436</v>
      </c>
      <c r="D23" s="1">
        <v>475</v>
      </c>
      <c r="E23" s="1">
        <v>2024</v>
      </c>
      <c r="F23" s="5"/>
      <c r="G23" s="3">
        <f t="shared" si="4"/>
        <v>0</v>
      </c>
      <c r="H23" s="4">
        <f t="shared" si="5"/>
        <v>39</v>
      </c>
    </row>
    <row r="24" spans="1:8" ht="27" customHeight="1">
      <c r="A24" s="1">
        <v>4</v>
      </c>
      <c r="B24" s="9" t="s">
        <v>10</v>
      </c>
      <c r="C24" s="1">
        <v>436</v>
      </c>
      <c r="D24" s="1">
        <v>475</v>
      </c>
      <c r="E24" s="1">
        <v>2024</v>
      </c>
      <c r="F24" s="5"/>
      <c r="G24" s="3">
        <f t="shared" si="4"/>
        <v>0</v>
      </c>
      <c r="H24" s="4">
        <f t="shared" si="5"/>
        <v>39</v>
      </c>
    </row>
    <row r="25" spans="1:8" ht="33.75" customHeight="1">
      <c r="A25" s="1">
        <v>4</v>
      </c>
      <c r="B25" s="9" t="s">
        <v>16</v>
      </c>
      <c r="C25" s="1">
        <v>436</v>
      </c>
      <c r="D25" s="1">
        <v>475</v>
      </c>
      <c r="E25" s="1">
        <v>2024</v>
      </c>
      <c r="F25" s="5"/>
      <c r="G25" s="3">
        <f t="shared" si="4"/>
        <v>0</v>
      </c>
      <c r="H25" s="4">
        <f t="shared" si="5"/>
        <v>39</v>
      </c>
    </row>
    <row r="26" spans="1:8" ht="33.75" customHeight="1">
      <c r="A26" s="1">
        <v>4</v>
      </c>
      <c r="B26" s="9" t="s">
        <v>13</v>
      </c>
      <c r="C26" s="1">
        <v>436</v>
      </c>
      <c r="D26" s="1">
        <v>475</v>
      </c>
      <c r="E26" s="1">
        <v>2024</v>
      </c>
      <c r="F26" s="5"/>
      <c r="G26" s="3">
        <f t="shared" si="4"/>
        <v>0</v>
      </c>
      <c r="H26" s="4">
        <f t="shared" si="5"/>
        <v>39</v>
      </c>
    </row>
    <row r="27" spans="1:8" ht="33.75" customHeight="1">
      <c r="A27" s="1">
        <v>4</v>
      </c>
      <c r="B27" s="9" t="s">
        <v>17</v>
      </c>
      <c r="C27" s="1">
        <v>436</v>
      </c>
      <c r="D27" s="1">
        <v>475</v>
      </c>
      <c r="E27" s="1">
        <v>2024</v>
      </c>
      <c r="F27" s="5"/>
      <c r="G27" s="3">
        <f t="shared" si="4"/>
        <v>0</v>
      </c>
      <c r="H27" s="4">
        <f t="shared" si="5"/>
        <v>39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435</v>
      </c>
      <c r="D31" s="1">
        <v>506</v>
      </c>
      <c r="E31" s="1">
        <v>2025</v>
      </c>
      <c r="F31" s="5"/>
      <c r="G31" s="3">
        <f t="shared" ref="G31:G39" si="6">IF((C31-D31)&lt;0,0,C31-D31)</f>
        <v>0</v>
      </c>
      <c r="H31" s="4">
        <f t="shared" ref="H31:H39" si="7">IF((D31-C31)&lt;0,0,D31-C31)</f>
        <v>71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435</v>
      </c>
      <c r="D35" s="1">
        <v>506</v>
      </c>
      <c r="E35" s="1">
        <v>2025</v>
      </c>
      <c r="F35" s="5"/>
      <c r="G35" s="3">
        <f t="shared" si="6"/>
        <v>0</v>
      </c>
      <c r="H35" s="4">
        <f t="shared" si="7"/>
        <v>71</v>
      </c>
    </row>
    <row r="36" spans="1:8" ht="27.75" customHeight="1">
      <c r="A36" s="1">
        <v>5</v>
      </c>
      <c r="B36" s="9" t="s">
        <v>13</v>
      </c>
      <c r="C36" s="1">
        <v>435</v>
      </c>
      <c r="D36" s="1">
        <v>506</v>
      </c>
      <c r="E36" s="1">
        <v>2025</v>
      </c>
      <c r="F36" s="5"/>
      <c r="G36" s="3">
        <f t="shared" si="6"/>
        <v>0</v>
      </c>
      <c r="H36" s="4">
        <f t="shared" si="7"/>
        <v>71</v>
      </c>
    </row>
    <row r="37" spans="1:8" ht="27.75" customHeight="1">
      <c r="A37" s="1">
        <v>5</v>
      </c>
      <c r="B37" s="9" t="s">
        <v>17</v>
      </c>
      <c r="C37" s="1">
        <v>435</v>
      </c>
      <c r="D37" s="1">
        <v>506</v>
      </c>
      <c r="E37" s="1">
        <v>2025</v>
      </c>
      <c r="F37" s="5"/>
      <c r="G37" s="3">
        <f t="shared" si="6"/>
        <v>0</v>
      </c>
      <c r="H37" s="4">
        <f t="shared" si="7"/>
        <v>71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91:E98 E21:E29 E51:E59 E61:E69 E41:E49 E2:E6 E71:E79 E81:E89 E8:E12 E31:E39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pane xSplit="2" topLeftCell="H38" activePane="topRight" state="frozen"/>
      <selection pane="topRight" activeCell="L45" sqref="L45:M4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>
        <v>535</v>
      </c>
      <c r="F3" s="32">
        <v>2025</v>
      </c>
      <c r="G3" s="34" t="s">
        <v>61</v>
      </c>
      <c r="H3" s="34">
        <f>IF((D3-E3)&lt;0,0,(D3-E3))</f>
        <v>0</v>
      </c>
      <c r="I3" s="34">
        <f>IF((E3-D3)&lt;0,0,(E3-D3))</f>
        <v>535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21">
      <c r="A16" s="1">
        <v>2</v>
      </c>
      <c r="B16" s="2" t="s">
        <v>10</v>
      </c>
      <c r="C16" s="1"/>
      <c r="D16" s="5">
        <f>Table1[[#This Row],[Enrolment S.Y. 2025-2026 ]]*8</f>
        <v>0</v>
      </c>
      <c r="E16" s="5">
        <v>388</v>
      </c>
      <c r="F16" s="32">
        <v>2025</v>
      </c>
      <c r="G16" s="34" t="s">
        <v>61</v>
      </c>
      <c r="H16" s="5">
        <f t="shared" si="2"/>
        <v>0</v>
      </c>
      <c r="I16" s="5">
        <f t="shared" si="3"/>
        <v>388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21">
      <c r="A17" s="1">
        <v>2</v>
      </c>
      <c r="B17" s="2" t="s">
        <v>11</v>
      </c>
      <c r="C17" s="1"/>
      <c r="D17" s="5">
        <f>Table1[[#This Row],[Enrolment S.Y. 2025-2026 ]]*8</f>
        <v>0</v>
      </c>
      <c r="E17" s="5">
        <v>388</v>
      </c>
      <c r="F17" s="32">
        <v>2025</v>
      </c>
      <c r="G17" s="34" t="s">
        <v>61</v>
      </c>
      <c r="H17" s="5">
        <f t="shared" si="2"/>
        <v>0</v>
      </c>
      <c r="I17" s="5">
        <f t="shared" si="3"/>
        <v>388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21">
      <c r="A18" s="1">
        <v>2</v>
      </c>
      <c r="B18" s="2" t="s">
        <v>12</v>
      </c>
      <c r="C18" s="1"/>
      <c r="D18" s="5">
        <f>Table1[[#This Row],[Enrolment S.Y. 2025-2026 ]]*8</f>
        <v>0</v>
      </c>
      <c r="E18" s="5">
        <v>388</v>
      </c>
      <c r="F18" s="32">
        <v>2025</v>
      </c>
      <c r="G18" s="34" t="s">
        <v>61</v>
      </c>
      <c r="H18" s="5">
        <f t="shared" si="2"/>
        <v>0</v>
      </c>
      <c r="I18" s="5">
        <f t="shared" si="3"/>
        <v>388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21">
      <c r="A19" s="1">
        <v>2</v>
      </c>
      <c r="B19" s="9" t="s">
        <v>15</v>
      </c>
      <c r="C19" s="1"/>
      <c r="D19" s="5">
        <f>Table1[[#This Row],[Enrolment S.Y. 2025-2026 ]]*8</f>
        <v>0</v>
      </c>
      <c r="E19" s="5">
        <v>388</v>
      </c>
      <c r="F19" s="1">
        <v>2025</v>
      </c>
      <c r="G19" s="5" t="s">
        <v>61</v>
      </c>
      <c r="H19" s="5">
        <f>IF((D19-E19)&lt;0,0,(D19-E19))</f>
        <v>0</v>
      </c>
      <c r="I19" s="5">
        <f>IF((E19-D19)&lt;0,0,(E19-D19))</f>
        <v>388</v>
      </c>
      <c r="J19" s="5">
        <f>Table1[[#This Row],[Enrolment S.Y. 2025-2026 ]]*8</f>
        <v>0</v>
      </c>
      <c r="K19" s="5">
        <v>413</v>
      </c>
      <c r="L19" s="32">
        <v>2025</v>
      </c>
      <c r="M19" s="34" t="s">
        <v>61</v>
      </c>
      <c r="N19" s="5">
        <f t="shared" si="10"/>
        <v>0</v>
      </c>
      <c r="O19" s="5">
        <f t="shared" si="11"/>
        <v>413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21">
      <c r="A20" s="1">
        <v>2</v>
      </c>
      <c r="B20" s="9" t="s">
        <v>14</v>
      </c>
      <c r="C20" s="1"/>
      <c r="D20" s="5">
        <f>Table1[[#This Row],[Enrolment S.Y. 2025-2026 ]]*8</f>
        <v>0</v>
      </c>
      <c r="E20" s="5">
        <v>388</v>
      </c>
      <c r="F20" s="32">
        <v>2025</v>
      </c>
      <c r="G20" s="34" t="s">
        <v>61</v>
      </c>
      <c r="H20" s="5">
        <f>IF((D20-E20)&lt;0,0,(D20-E20))</f>
        <v>0</v>
      </c>
      <c r="I20" s="5">
        <f>IF((E20-D20)&lt;0,0,(E20-D20))</f>
        <v>388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21">
      <c r="A26" s="1">
        <v>3</v>
      </c>
      <c r="B26" s="2" t="s">
        <v>13</v>
      </c>
      <c r="C26" s="1"/>
      <c r="D26" s="5">
        <f>Table1[[#This Row],[Enrolment S.Y. 2025-2026 ]]*8</f>
        <v>0</v>
      </c>
      <c r="E26" s="5">
        <v>357</v>
      </c>
      <c r="F26" s="32">
        <v>2025</v>
      </c>
      <c r="G26" s="34" t="s">
        <v>61</v>
      </c>
      <c r="H26" s="5">
        <f t="shared" si="2"/>
        <v>0</v>
      </c>
      <c r="I26" s="5">
        <f t="shared" si="3"/>
        <v>357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21">
      <c r="A27" s="1">
        <v>3</v>
      </c>
      <c r="B27" s="2" t="s">
        <v>11</v>
      </c>
      <c r="C27" s="1"/>
      <c r="D27" s="5">
        <f>Table1[[#This Row],[Enrolment S.Y. 2025-2026 ]]*8</f>
        <v>0</v>
      </c>
      <c r="E27" s="5">
        <v>357</v>
      </c>
      <c r="F27" s="32">
        <v>2025</v>
      </c>
      <c r="G27" s="34" t="s">
        <v>61</v>
      </c>
      <c r="H27" s="5">
        <f t="shared" si="2"/>
        <v>0</v>
      </c>
      <c r="I27" s="5">
        <f t="shared" si="3"/>
        <v>357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21">
      <c r="A28" s="1">
        <v>3</v>
      </c>
      <c r="B28" s="2" t="s">
        <v>12</v>
      </c>
      <c r="C28" s="1"/>
      <c r="D28" s="5">
        <f>Table1[[#This Row],[Enrolment S.Y. 2025-2026 ]]*8</f>
        <v>0</v>
      </c>
      <c r="E28" s="5">
        <v>357</v>
      </c>
      <c r="F28" s="32">
        <v>2025</v>
      </c>
      <c r="G28" s="34" t="s">
        <v>61</v>
      </c>
      <c r="H28" s="5">
        <f t="shared" si="2"/>
        <v>0</v>
      </c>
      <c r="I28" s="5">
        <f t="shared" si="3"/>
        <v>357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21">
      <c r="A29" s="1">
        <v>3</v>
      </c>
      <c r="B29" s="9" t="s">
        <v>14</v>
      </c>
      <c r="C29" s="1"/>
      <c r="D29" s="5">
        <f>Table1[[#This Row],[Enrolment S.Y. 2025-2026 ]]*8</f>
        <v>0</v>
      </c>
      <c r="E29" s="5">
        <v>357</v>
      </c>
      <c r="F29" s="32">
        <v>2025</v>
      </c>
      <c r="G29" s="34" t="s">
        <v>61</v>
      </c>
      <c r="H29" s="5">
        <f>IF((D29-E29)&lt;0,0,(D29-E29))</f>
        <v>0</v>
      </c>
      <c r="I29" s="5">
        <f>IF((E29-D29)&lt;0,0,(E29-D29))</f>
        <v>357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21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>
        <v>441</v>
      </c>
      <c r="L43" s="32">
        <v>2025</v>
      </c>
      <c r="M43" s="34" t="s">
        <v>61</v>
      </c>
      <c r="N43" s="5">
        <f t="shared" si="10"/>
        <v>0</v>
      </c>
      <c r="O43" s="5">
        <f t="shared" si="11"/>
        <v>441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21">
      <c r="A44" s="1">
        <v>5</v>
      </c>
      <c r="B44" s="9" t="s">
        <v>15</v>
      </c>
      <c r="C44" s="1"/>
      <c r="D44" s="5">
        <f>Table1[[#This Row],[Enrolment S.Y. 2025-2026 ]]*8</f>
        <v>0</v>
      </c>
      <c r="E44" s="5">
        <v>175</v>
      </c>
      <c r="F44" s="32">
        <v>2025</v>
      </c>
      <c r="G44" s="34" t="s">
        <v>61</v>
      </c>
      <c r="H44" s="5">
        <f t="shared" si="2"/>
        <v>0</v>
      </c>
      <c r="I44" s="5">
        <f t="shared" si="3"/>
        <v>175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21">
      <c r="A45" s="1">
        <v>5</v>
      </c>
      <c r="B45" s="9" t="s">
        <v>12</v>
      </c>
      <c r="C45" s="1"/>
      <c r="D45" s="5">
        <f>Table1[[#This Row],[Enrolment S.Y. 2025-2026 ]]*8</f>
        <v>0</v>
      </c>
      <c r="E45" s="5">
        <v>175</v>
      </c>
      <c r="F45" s="32">
        <v>2025</v>
      </c>
      <c r="G45" s="34" t="s">
        <v>61</v>
      </c>
      <c r="H45" s="5">
        <f t="shared" si="2"/>
        <v>0</v>
      </c>
      <c r="I45" s="5">
        <f t="shared" si="3"/>
        <v>175</v>
      </c>
      <c r="J45" s="5">
        <f>Table1[[#This Row],[Enrolment S.Y. 2025-2026 ]]*8</f>
        <v>0</v>
      </c>
      <c r="K45" s="5">
        <v>441</v>
      </c>
      <c r="L45" s="32">
        <v>2025</v>
      </c>
      <c r="M45" s="34" t="s">
        <v>61</v>
      </c>
      <c r="N45" s="5">
        <f t="shared" si="10"/>
        <v>0</v>
      </c>
      <c r="O45" s="5">
        <f t="shared" si="11"/>
        <v>441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21">
      <c r="A46" s="1">
        <v>5</v>
      </c>
      <c r="B46" s="9" t="s">
        <v>10</v>
      </c>
      <c r="C46" s="1"/>
      <c r="D46" s="5">
        <f>Table1[[#This Row],[Enrolment S.Y. 2025-2026 ]]*8</f>
        <v>0</v>
      </c>
      <c r="E46" s="5">
        <v>175</v>
      </c>
      <c r="F46" s="32">
        <v>2025</v>
      </c>
      <c r="G46" s="34" t="s">
        <v>61</v>
      </c>
      <c r="H46" s="5">
        <f t="shared" si="2"/>
        <v>0</v>
      </c>
      <c r="I46" s="5">
        <f t="shared" si="3"/>
        <v>175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21">
      <c r="A48" s="1">
        <v>5</v>
      </c>
      <c r="B48" s="9" t="s">
        <v>13</v>
      </c>
      <c r="C48" s="1"/>
      <c r="D48" s="5">
        <f>Table1[[#This Row],[Enrolment S.Y. 2025-2026 ]]*8</f>
        <v>0</v>
      </c>
      <c r="E48" s="5">
        <v>175</v>
      </c>
      <c r="F48" s="32">
        <v>2025</v>
      </c>
      <c r="G48" s="34" t="s">
        <v>61</v>
      </c>
      <c r="H48" s="5">
        <f t="shared" si="2"/>
        <v>0</v>
      </c>
      <c r="I48" s="5">
        <f t="shared" si="3"/>
        <v>175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21">
      <c r="A49" s="1">
        <v>5</v>
      </c>
      <c r="B49" s="9" t="s">
        <v>17</v>
      </c>
      <c r="C49" s="1"/>
      <c r="D49" s="5">
        <f>Table1[[#This Row],[Enrolment S.Y. 2025-2026 ]]*8</f>
        <v>0</v>
      </c>
      <c r="E49" s="5">
        <v>175</v>
      </c>
      <c r="F49" s="32">
        <v>2025</v>
      </c>
      <c r="G49" s="34" t="s">
        <v>61</v>
      </c>
      <c r="H49" s="5">
        <f t="shared" si="2"/>
        <v>0</v>
      </c>
      <c r="I49" s="5">
        <f t="shared" si="3"/>
        <v>175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Q14:R21 W14:X21 Q23:R31 W23:X31 D33:F41 H33:I41 Q33:R41 W33:X4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53:L61 K63:L71 K73:L81 K83:L91 K93:L101 K103:L110 K112:L127 K23:L31 Q112:R126 P2:R2 V2:X3 N13:P126 T13:V127 J6:J127 D5:F12 N5:R12 T5:X12 N4:P4 T4:V4 J4 Z4:AA127 N3:R3 Y13 D14:F21 D23:F31 D43:F51 K14:L21 K43:L51" name="LAS"/>
    <protectedRange sqref="G2:I3 M2:O2 S2:U3 Y2:AA3 G112:G127 M112:M127 S112:S127 Y112:Y127 G5:G12 M5:M12 S4:S110 Y5:Y12 M3 Y14:Y110 G33:G41 G53:G61 G63:G71 G73:G81 G83:G91 G93:G101 G103:G110 G14:G21 G23:G31 G43:G51 M14:M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20:L21 L63:L71 L73:L81 L53:L61 R112:R127 L83:L91 L93:L101 F50:F51 L5:L12 R23:R31 R33:R41 R43:R51 R63:R71 R73:R81 R53:R61 F112:F127 R83:R91 R93:R101 R14:R21 R5:R12 F21 F33:F41 F30:F31 F63:F71 F73:F81 F53:F61 F5:F12 F83:F91 F93:F101 X112:X127 F103:F110 R103:R110 L103:L110 X103:X110 F14:F15 F19 F23:F25 F43 F47 L14:L18 L44 L46:L51" xr:uid="{4ECCD083-8EC4-42EE-B46C-B614411F330D}">
      <formula1>"2024,2025"</formula1>
    </dataValidation>
    <dataValidation type="list" allowBlank="1" showInputMessage="1" showErrorMessage="1" sqref="G50:G51 Y14:Y110 S4:S110 G5:G12 M5:M12 Y5:Y12 G103:G110 G21 G33:G41 G30:G31 G53:G61 G63:G71 G73:G81 G83:G91 G93:G101 G14:G15 G19 G23:G25 G43 G47 M14:M18 M20:M42 M44 M46:M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B1" sqref="B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2026-01-21T02:37:04Z</dcterms:modified>
  <cp:category/>
  <cp:contentStatus/>
</cp:coreProperties>
</file>