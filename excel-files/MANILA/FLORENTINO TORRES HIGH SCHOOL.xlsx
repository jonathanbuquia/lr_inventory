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5" documentId="13_ncr:1_{BFB59F67-F0DC-4675-A682-EB0734A8026A}" xr6:coauthVersionLast="47" xr6:coauthVersionMax="47" xr10:uidLastSave="{53C174A4-EC58-4EBE-A449-7E3D6E8A98A8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<sst xmlns="http://schemas.openxmlformats.org/spreadsheetml/2006/main" count="399" uniqueCount="91">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</sst>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6" xfId="0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8"/>
  <sheetViews>
    <sheetView tabSelected="1" zoomScale="85" zoomScaleNormal="85" workbookViewId="0">
      <pane xSplit="2" topLeftCell="C56" activePane="topRight" state="frozen"/>
      <selection pane="topRight" activeCell="E62" sqref="E62"/>
    </sheetView>
  </sheetViews>
  <sheetFormatPr defaultRowHeight="13.9"/>
  <cols>
    <col min="1" max="1" width="10.140625" bestFit="1" customWidth="1"/>
    <col min="2" max="2" width="27.85546875" customWidth="1"/>
    <col min="3" max="4" width="24.85546875" bestFit="1" customWidth="1"/>
    <col min="5" max="5" width="49.42578125" customWidth="1"/>
    <col min="6" max="6" width="19.140625" bestFit="1" customWidth="1"/>
    <col min="7" max="7" width="15.140625" customWidth="1"/>
    <col min="8" max="8" width="16.140625" bestFit="1" customWidth="1"/>
  </cols>
  <sheetData>
    <row r="1" spans="1:15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41" t="s">
        <v>7</v>
      </c>
      <c r="I1" s="6"/>
      <c r="J1" s="6"/>
      <c r="K1" s="6"/>
      <c r="L1" s="6"/>
      <c r="M1" s="6"/>
      <c r="N1" s="6"/>
      <c r="O1" s="6"/>
    </row>
    <row r="2" spans="1:15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15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15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15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15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15">
      <c r="C7" s="6"/>
      <c r="D7" s="6"/>
      <c r="E7" s="6"/>
    </row>
    <row r="8" spans="1:15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15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15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15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15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15">
      <c r="C13" s="6"/>
      <c r="D13" s="6"/>
      <c r="E13" s="6"/>
    </row>
    <row r="14" spans="1:15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15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15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1390</v>
      </c>
      <c r="D51" s="10">
        <v>1244</v>
      </c>
      <c r="E51" s="10">
        <v>2025</v>
      </c>
      <c r="F51" s="12" t="s">
        <v>20</v>
      </c>
      <c r="G51" s="3">
        <f t="shared" ref="G51:G59" si="10">IF((C51-D51)&lt;0,0,C51-D51)</f>
        <v>146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1390</v>
      </c>
      <c r="D52" s="10">
        <v>1244</v>
      </c>
      <c r="E52" s="10">
        <v>2025</v>
      </c>
      <c r="F52" s="12" t="s">
        <v>20</v>
      </c>
      <c r="G52" s="3">
        <f t="shared" si="10"/>
        <v>146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1390</v>
      </c>
      <c r="D53" s="10">
        <v>1244</v>
      </c>
      <c r="E53" s="10">
        <v>2025</v>
      </c>
      <c r="F53" s="12" t="s">
        <v>20</v>
      </c>
      <c r="G53" s="3">
        <f t="shared" si="10"/>
        <v>146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1390</v>
      </c>
      <c r="D55" s="10">
        <v>1244</v>
      </c>
      <c r="E55" s="10">
        <v>2025</v>
      </c>
      <c r="F55" s="12" t="s">
        <v>20</v>
      </c>
      <c r="G55" s="3">
        <f t="shared" si="10"/>
        <v>146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1390</v>
      </c>
      <c r="D56" s="10">
        <v>1244</v>
      </c>
      <c r="E56" s="10">
        <v>2025</v>
      </c>
      <c r="F56" s="12" t="s">
        <v>20</v>
      </c>
      <c r="G56" s="3">
        <f t="shared" si="10"/>
        <v>146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1390</v>
      </c>
      <c r="D57" s="10">
        <v>1244</v>
      </c>
      <c r="E57" s="10">
        <v>2025</v>
      </c>
      <c r="F57" s="12" t="s">
        <v>20</v>
      </c>
      <c r="G57" s="3">
        <f t="shared" si="10"/>
        <v>146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1390</v>
      </c>
      <c r="D58" s="10">
        <v>1244</v>
      </c>
      <c r="E58" s="10">
        <v>2025</v>
      </c>
      <c r="F58" s="12" t="s">
        <v>20</v>
      </c>
      <c r="G58" s="3">
        <f t="shared" si="10"/>
        <v>146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1390</v>
      </c>
      <c r="D59" s="10">
        <v>1244</v>
      </c>
      <c r="E59" s="10">
        <v>2025</v>
      </c>
      <c r="F59" s="12" t="s">
        <v>20</v>
      </c>
      <c r="G59" s="3">
        <f t="shared" si="10"/>
        <v>146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1337</v>
      </c>
      <c r="D63" s="10">
        <v>1244</v>
      </c>
      <c r="E63" s="10">
        <v>2025</v>
      </c>
      <c r="F63" s="12" t="s">
        <v>20</v>
      </c>
      <c r="G63" s="3">
        <f t="shared" si="12"/>
        <v>93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1337</v>
      </c>
      <c r="D64" s="10">
        <v>1244</v>
      </c>
      <c r="E64" s="10">
        <v>2025</v>
      </c>
      <c r="F64" s="12" t="s">
        <v>20</v>
      </c>
      <c r="G64" s="3">
        <f t="shared" si="12"/>
        <v>93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1337</v>
      </c>
      <c r="D66" s="10">
        <v>1244</v>
      </c>
      <c r="E66" s="10"/>
      <c r="F66" s="12" t="s">
        <v>20</v>
      </c>
      <c r="G66" s="3">
        <f t="shared" si="12"/>
        <v>93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91:E98 E51:E59 E41:E49 E2:E6 E71:E79 E81:E89 E8:E12 E61:E6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19" t="s">
        <v>37</v>
      </c>
      <c r="E2" s="19" t="s">
        <v>38</v>
      </c>
      <c r="F2" s="20" t="s">
        <v>39</v>
      </c>
      <c r="G2" s="23" t="s">
        <v>40</v>
      </c>
      <c r="H2" s="17" t="s">
        <v>41</v>
      </c>
      <c r="I2" s="23" t="s">
        <v>42</v>
      </c>
      <c r="J2" s="21" t="s">
        <v>43</v>
      </c>
      <c r="K2" s="21" t="s">
        <v>44</v>
      </c>
      <c r="L2" s="22" t="s">
        <v>45</v>
      </c>
      <c r="M2" s="39" t="s">
        <v>46</v>
      </c>
      <c r="N2" s="39" t="s">
        <v>47</v>
      </c>
      <c r="O2" s="21" t="s">
        <v>48</v>
      </c>
      <c r="P2" s="23" t="s">
        <v>49</v>
      </c>
      <c r="Q2" s="23" t="s">
        <v>50</v>
      </c>
      <c r="R2" s="24" t="s">
        <v>51</v>
      </c>
      <c r="S2" s="17" t="s">
        <v>52</v>
      </c>
      <c r="T2" s="17" t="s">
        <v>53</v>
      </c>
      <c r="U2" s="23" t="s">
        <v>54</v>
      </c>
      <c r="V2" s="25" t="s">
        <v>55</v>
      </c>
      <c r="W2" s="25" t="s">
        <v>56</v>
      </c>
      <c r="X2" s="26" t="s">
        <v>57</v>
      </c>
      <c r="Y2" s="40" t="s">
        <v>58</v>
      </c>
      <c r="Z2" s="40" t="s">
        <v>59</v>
      </c>
      <c r="AA2" s="25" t="s">
        <v>60</v>
      </c>
    </row>
    <row r="3" spans="1:27" ht="30.6" customHeight="1">
      <c r="A3" s="38" t="s">
        <v>61</v>
      </c>
      <c r="B3" s="32"/>
      <c r="C3" s="31"/>
      <c r="D3" s="33">
        <f>Table1[[#This Row],[Enrolment S.Y. 2025-2026 ]]*8</f>
        <v>0</v>
      </c>
      <c r="E3" s="33"/>
      <c r="F3" s="31"/>
      <c r="G3" s="33"/>
      <c r="H3" s="33">
        <f>IF((D3-E3)&lt;0,0,(D3-E3))</f>
        <v>0</v>
      </c>
      <c r="I3" s="33">
        <f>IF((E3-D3)&lt;0,0,(E3-D3))</f>
        <v>0</v>
      </c>
      <c r="J3" s="33">
        <f>Table1[[#This Row],[Enrolment S.Y. 2025-2026 ]]*8</f>
        <v>0</v>
      </c>
      <c r="K3" s="33"/>
      <c r="L3" s="31"/>
      <c r="M3" s="33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3"/>
      <c r="R3" s="31"/>
      <c r="S3" s="33"/>
      <c r="T3" s="33">
        <f>IF((P3-Q3)&lt;0,0,(P3-Q3))</f>
        <v>0</v>
      </c>
      <c r="U3" s="33">
        <f>IF((Q3-P3)&lt;0,0,(Q3-P3))</f>
        <v>0</v>
      </c>
      <c r="V3" s="33">
        <f>Table1[[#This Row],[Enrolment S.Y. 2025-2026 ]]*8</f>
        <v>0</v>
      </c>
      <c r="W3" s="33"/>
      <c r="X3" s="31"/>
      <c r="Y3" s="33"/>
      <c r="Z3" s="33">
        <f>IF((V3-W3)&lt;0,0,(V3-W3))</f>
        <v>0</v>
      </c>
      <c r="AA3" s="33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8"/>
      <c r="B127" s="29"/>
      <c r="C127" s="28"/>
      <c r="D127" s="5"/>
      <c r="E127" s="30"/>
      <c r="F127" s="28"/>
      <c r="G127" s="30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0"/>
      <c r="L127" s="28"/>
      <c r="M127" s="30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0"/>
      <c r="R127" s="28"/>
      <c r="S127" s="30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0"/>
      <c r="X127" s="28"/>
      <c r="Y127" s="30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34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5" t="s">
        <v>1</v>
      </c>
      <c r="C2" s="16" t="s">
        <v>2</v>
      </c>
      <c r="D2" s="19" t="s">
        <v>63</v>
      </c>
      <c r="E2" s="19" t="s">
        <v>64</v>
      </c>
      <c r="F2" s="20" t="s">
        <v>65</v>
      </c>
      <c r="G2" s="23" t="s">
        <v>66</v>
      </c>
      <c r="H2" s="17" t="s">
        <v>67</v>
      </c>
      <c r="I2" s="23" t="s">
        <v>68</v>
      </c>
      <c r="J2" s="21" t="s">
        <v>69</v>
      </c>
      <c r="K2" s="21" t="s">
        <v>70</v>
      </c>
      <c r="L2" s="22" t="s">
        <v>71</v>
      </c>
      <c r="M2" s="39" t="s">
        <v>72</v>
      </c>
      <c r="N2" s="39" t="s">
        <v>73</v>
      </c>
      <c r="O2" s="21" t="s">
        <v>74</v>
      </c>
      <c r="P2" s="23" t="s">
        <v>75</v>
      </c>
      <c r="Q2" s="23" t="s">
        <v>76</v>
      </c>
      <c r="R2" s="24" t="s">
        <v>77</v>
      </c>
      <c r="S2" s="17" t="s">
        <v>78</v>
      </c>
      <c r="T2" s="17" t="s">
        <v>79</v>
      </c>
      <c r="U2" s="23" t="s">
        <v>80</v>
      </c>
      <c r="V2" s="25" t="s">
        <v>81</v>
      </c>
      <c r="W2" s="25" t="s">
        <v>82</v>
      </c>
      <c r="X2" s="26" t="s">
        <v>83</v>
      </c>
      <c r="Y2" s="40" t="s">
        <v>84</v>
      </c>
      <c r="Z2" s="40" t="s">
        <v>85</v>
      </c>
      <c r="AA2" s="25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6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6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6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6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6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6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7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7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7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7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7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7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7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7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2026-02-03T02:33:01Z</dcterms:modified>
  <cp:category/>
  <cp:contentStatus/>
</cp:coreProperties>
</file>