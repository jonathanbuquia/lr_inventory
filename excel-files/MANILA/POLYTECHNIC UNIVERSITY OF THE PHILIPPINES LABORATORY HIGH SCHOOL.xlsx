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14" documentId="13_ncr:1_{BFB59F67-F0DC-4675-A682-EB0734A8026A}" xr6:coauthVersionLast="47" xr6:coauthVersionMax="47" xr10:uidLastSave="{575FBCC6-C4D2-4CBD-A83B-519F9D03E945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<sst xmlns="http://schemas.openxmlformats.org/spreadsheetml/2006/main" count="234" uniqueCount="83">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</sst>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F53" sqref="F53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/>
      <c r="D2" s="8"/>
      <c r="E2" s="8"/>
      <c r="F2" s="10"/>
      <c r="G2" s="2">
        <f t="shared" ref="G2:G10" si="0">IF((C2-D2)&lt;0,0,C2-D2)</f>
        <v>0</v>
      </c>
      <c r="H2" s="3">
        <f t="shared" ref="H2:H10" si="1">IF((D2-C2)&lt;0,0,D2-C2)</f>
        <v>0</v>
      </c>
    </row>
    <row r="3" spans="1:8" ht="29.25" customHeight="1">
      <c r="A3" s="8">
        <v>7</v>
      </c>
      <c r="B3" s="9" t="s">
        <v>9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10</v>
      </c>
      <c r="C4" s="8"/>
      <c r="D4" s="8"/>
      <c r="E4" s="8"/>
      <c r="F4" s="10"/>
      <c r="G4" s="2">
        <f t="shared" si="0"/>
        <v>0</v>
      </c>
      <c r="H4" s="3">
        <f t="shared" si="1"/>
        <v>0</v>
      </c>
    </row>
    <row r="5" spans="1:8" ht="25.5" customHeight="1">
      <c r="A5" s="8">
        <v>7</v>
      </c>
      <c r="B5" s="9" t="s">
        <v>11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12</v>
      </c>
      <c r="C6" s="8"/>
      <c r="D6" s="8"/>
      <c r="E6" s="8"/>
      <c r="F6" s="10"/>
      <c r="G6" s="2">
        <f t="shared" si="0"/>
        <v>0</v>
      </c>
      <c r="H6" s="3">
        <f t="shared" si="1"/>
        <v>0</v>
      </c>
    </row>
    <row r="7" spans="1:8" ht="19.5">
      <c r="A7" s="8">
        <v>7</v>
      </c>
      <c r="B7" s="9" t="s">
        <v>13</v>
      </c>
      <c r="C7" s="8"/>
      <c r="D7" s="8"/>
      <c r="E7" s="8"/>
      <c r="F7" s="10"/>
      <c r="G7" s="2">
        <f t="shared" si="0"/>
        <v>0</v>
      </c>
      <c r="H7" s="3">
        <f t="shared" si="1"/>
        <v>0</v>
      </c>
    </row>
    <row r="8" spans="1:8" ht="39.75" customHeight="1">
      <c r="A8" s="8">
        <v>7</v>
      </c>
      <c r="B8" s="9" t="s">
        <v>14</v>
      </c>
      <c r="C8" s="8"/>
      <c r="D8" s="8"/>
      <c r="E8" s="8"/>
      <c r="F8" s="10"/>
      <c r="G8" s="2">
        <f t="shared" si="0"/>
        <v>0</v>
      </c>
      <c r="H8" s="3">
        <f t="shared" si="1"/>
        <v>0</v>
      </c>
    </row>
    <row r="9" spans="1:8" ht="29.25" customHeight="1">
      <c r="A9" s="8">
        <v>7</v>
      </c>
      <c r="B9" s="9" t="s">
        <v>15</v>
      </c>
      <c r="C9" s="8"/>
      <c r="D9" s="8"/>
      <c r="E9" s="8"/>
      <c r="F9" s="10"/>
      <c r="G9" s="2">
        <f t="shared" si="0"/>
        <v>0</v>
      </c>
      <c r="H9" s="3">
        <f t="shared" si="1"/>
        <v>0</v>
      </c>
    </row>
    <row r="10" spans="1:8" ht="28.5" customHeight="1">
      <c r="A10" s="8">
        <v>7</v>
      </c>
      <c r="B10" s="9" t="s">
        <v>16</v>
      </c>
      <c r="C10" s="8"/>
      <c r="D10" s="8"/>
      <c r="E10" s="8"/>
      <c r="F10" s="10"/>
      <c r="G10" s="2">
        <f t="shared" si="0"/>
        <v>0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9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10</v>
      </c>
      <c r="C14" s="8"/>
      <c r="D14" s="8"/>
      <c r="E14" s="8"/>
      <c r="F14" s="10"/>
      <c r="G14" s="2">
        <f t="shared" si="2"/>
        <v>0</v>
      </c>
      <c r="H14" s="3">
        <f t="shared" si="3"/>
        <v>0</v>
      </c>
    </row>
    <row r="15" spans="1:8" ht="29.25" customHeight="1">
      <c r="A15" s="8">
        <v>8</v>
      </c>
      <c r="B15" s="9" t="s">
        <v>11</v>
      </c>
      <c r="C15" s="8"/>
      <c r="D15" s="8"/>
      <c r="E15" s="8"/>
      <c r="F15" s="10"/>
      <c r="G15" s="2">
        <f t="shared" si="2"/>
        <v>0</v>
      </c>
      <c r="H15" s="3">
        <f t="shared" si="3"/>
        <v>0</v>
      </c>
    </row>
    <row r="16" spans="1:8" ht="27" customHeight="1">
      <c r="A16" s="8">
        <v>8</v>
      </c>
      <c r="B16" s="9" t="s">
        <v>17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13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9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10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17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13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10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17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13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18</v>
      </c>
      <c r="B42" s="7" t="s">
        <v>19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18</v>
      </c>
      <c r="B43" s="7" t="s">
        <v>20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18</v>
      </c>
      <c r="B44" s="7" t="s">
        <v>21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18</v>
      </c>
      <c r="B45" s="7" t="s">
        <v>22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18</v>
      </c>
      <c r="B46" s="7" t="s">
        <v>23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18</v>
      </c>
      <c r="B47" s="7" t="s">
        <v>24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18</v>
      </c>
      <c r="B48" s="7" t="s">
        <v>25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18</v>
      </c>
      <c r="B49" s="7" t="s">
        <v>26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2:E10 E12:E20 E22:E30 E32:E40" xr:uid="{B46E7B13-721E-4D49-837E-C02BF9777D48}">
      <formula1>"2024,2025,2026"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E67" sqref="AE6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2" t="s">
        <v>27</v>
      </c>
      <c r="E1" s="32"/>
      <c r="F1" s="32"/>
      <c r="G1" s="32"/>
      <c r="H1" s="32"/>
      <c r="I1" s="32"/>
      <c r="J1" s="33" t="s">
        <v>28</v>
      </c>
      <c r="K1" s="33"/>
      <c r="L1" s="33"/>
      <c r="M1" s="33"/>
      <c r="N1" s="33"/>
      <c r="O1" s="33"/>
      <c r="P1" s="34" t="s">
        <v>29</v>
      </c>
      <c r="Q1" s="34"/>
      <c r="R1" s="34"/>
      <c r="S1" s="34"/>
      <c r="T1" s="34"/>
      <c r="U1" s="34"/>
      <c r="V1" s="35" t="s">
        <v>30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31</v>
      </c>
      <c r="E2" s="18" t="s">
        <v>32</v>
      </c>
      <c r="F2" s="19" t="s">
        <v>33</v>
      </c>
      <c r="G2" s="22" t="s">
        <v>34</v>
      </c>
      <c r="H2" s="15" t="s">
        <v>35</v>
      </c>
      <c r="I2" s="22" t="s">
        <v>36</v>
      </c>
      <c r="J2" s="20" t="s">
        <v>37</v>
      </c>
      <c r="K2" s="20" t="s">
        <v>38</v>
      </c>
      <c r="L2" s="21" t="s">
        <v>39</v>
      </c>
      <c r="M2" s="30" t="s">
        <v>40</v>
      </c>
      <c r="N2" s="30" t="s">
        <v>41</v>
      </c>
      <c r="O2" s="20" t="s">
        <v>42</v>
      </c>
      <c r="P2" s="22" t="s">
        <v>43</v>
      </c>
      <c r="Q2" s="22" t="s">
        <v>44</v>
      </c>
      <c r="R2" s="23" t="s">
        <v>45</v>
      </c>
      <c r="S2" s="15" t="s">
        <v>46</v>
      </c>
      <c r="T2" s="15" t="s">
        <v>47</v>
      </c>
      <c r="U2" s="22" t="s">
        <v>48</v>
      </c>
      <c r="V2" s="24" t="s">
        <v>49</v>
      </c>
      <c r="W2" s="24" t="s">
        <v>50</v>
      </c>
      <c r="X2" s="25" t="s">
        <v>51</v>
      </c>
      <c r="Y2" s="31" t="s">
        <v>52</v>
      </c>
      <c r="Z2" s="31" t="s">
        <v>53</v>
      </c>
      <c r="AA2" s="24" t="s">
        <v>54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9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15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50" si="8">IF((J10-K10)&lt;0,0,(J10-K10))</f>
        <v>0</v>
      </c>
      <c r="O10" s="10">
        <f t="shared" ref="O10:O50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50" si="10">IF((P10-Q10)&lt;0,0,(P10-Q10))</f>
        <v>0</v>
      </c>
      <c r="U10" s="10">
        <f t="shared" ref="U10:U50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50" si="12">IF((V10-W10)&lt;0,0,(V10-W10))</f>
        <v>0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16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9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11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17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13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50" si="14">IF((D18-E18)&lt;0,0,(D18-E18))</f>
        <v>0</v>
      </c>
      <c r="I18" s="10">
        <f t="shared" ref="I18:I50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14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15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16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9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11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17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13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14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15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16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9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11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17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13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14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15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16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18</v>
      </c>
      <c r="B43" s="7" t="s">
        <v>19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18</v>
      </c>
      <c r="B44" s="7" t="s">
        <v>20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18</v>
      </c>
      <c r="B45" s="7" t="s">
        <v>21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18</v>
      </c>
      <c r="B46" s="7" t="s">
        <v>22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18</v>
      </c>
      <c r="B47" s="7" t="s">
        <v>23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18</v>
      </c>
      <c r="B48" s="7" t="s">
        <v>24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18</v>
      </c>
      <c r="B49" s="7" t="s">
        <v>25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18</v>
      </c>
      <c r="B50" s="7" t="s">
        <v>26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5"/>
    <row r="52" spans="1:27" s="5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5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43:C50 C13:C21 C23:C31 C33:C41 C2:C11" name="Textbooks"/>
    <protectedRange sqref="W23:X31 H33:I41 Q33:R41 W33:X41 D43:F50 H43:I50 Q43:R50 W43:X50 K13:L21 K23:L31 D33:F41 K33:L41 K43:L50 T3:V50 J3:J50 V2:X2 N3:P50 P2:R2 Z3:AA50 K3:L11 D2:F11 H3:I11 Q3:R11 W3:X11 D13:F21 H13:I21 Q13:R21 W13:X21 D23:F31 H23:I31 Q23:R31 J2:L2" name="LAS"/>
    <protectedRange sqref="S2:U2 M2:O2 Y2:AA2 G3:G11 G13:G21 G23:G31 G33:G41 G43:G50 Y3:Y50 M3:M50 S3:S50 G2:I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3:F11 F13:F21 F23:F31 F33:F41 F43:F50 L3:L11 L13:L21 L23:L31 L33:L41 L43:L50 R3:R11 R13:R21 R23:R31 R33:R41 R43:R50 X3:X11 X13:X21 X23:X31 X33:X41 X43:X50" xr:uid="{4ECCD083-8EC4-42EE-B46C-B614411F330D}">
      <formula1>"2024,2025,2026"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selection activeCell="Z78" sqref="Z7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32" t="s">
        <v>27</v>
      </c>
      <c r="E1" s="32"/>
      <c r="F1" s="32"/>
      <c r="G1" s="32"/>
      <c r="H1" s="32"/>
      <c r="I1" s="32"/>
      <c r="J1" s="33" t="s">
        <v>28</v>
      </c>
      <c r="K1" s="33"/>
      <c r="L1" s="33"/>
      <c r="M1" s="33"/>
      <c r="N1" s="33"/>
      <c r="O1" s="33"/>
      <c r="P1" s="34" t="s">
        <v>29</v>
      </c>
      <c r="Q1" s="34"/>
      <c r="R1" s="34"/>
      <c r="S1" s="34"/>
      <c r="T1" s="34"/>
      <c r="U1" s="34"/>
      <c r="V1" s="35" t="s">
        <v>30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55</v>
      </c>
      <c r="E2" s="18" t="s">
        <v>56</v>
      </c>
      <c r="F2" s="19" t="s">
        <v>57</v>
      </c>
      <c r="G2" s="22" t="s">
        <v>58</v>
      </c>
      <c r="H2" s="15" t="s">
        <v>59</v>
      </c>
      <c r="I2" s="22" t="s">
        <v>60</v>
      </c>
      <c r="J2" s="20" t="s">
        <v>61</v>
      </c>
      <c r="K2" s="20" t="s">
        <v>62</v>
      </c>
      <c r="L2" s="21" t="s">
        <v>63</v>
      </c>
      <c r="M2" s="30" t="s">
        <v>64</v>
      </c>
      <c r="N2" s="30" t="s">
        <v>65</v>
      </c>
      <c r="O2" s="20" t="s">
        <v>66</v>
      </c>
      <c r="P2" s="22" t="s">
        <v>67</v>
      </c>
      <c r="Q2" s="22" t="s">
        <v>68</v>
      </c>
      <c r="R2" s="23" t="s">
        <v>69</v>
      </c>
      <c r="S2" s="15" t="s">
        <v>70</v>
      </c>
      <c r="T2" s="15" t="s">
        <v>71</v>
      </c>
      <c r="U2" s="22" t="s">
        <v>72</v>
      </c>
      <c r="V2" s="24" t="s">
        <v>73</v>
      </c>
      <c r="W2" s="24" t="s">
        <v>74</v>
      </c>
      <c r="X2" s="25" t="s">
        <v>75</v>
      </c>
      <c r="Y2" s="31" t="s">
        <v>76</v>
      </c>
      <c r="Z2" s="31" t="s">
        <v>77</v>
      </c>
      <c r="AA2" s="24" t="s">
        <v>78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29">
        <v>7</v>
      </c>
      <c r="B9" s="9" t="s">
        <v>79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80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15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29">
        <v>7</v>
      </c>
      <c r="B12" s="9" t="s">
        <v>81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82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17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13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29">
        <v>8</v>
      </c>
      <c r="B21" s="9" t="s">
        <v>79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80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15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29">
        <v>8</v>
      </c>
      <c r="B24" s="9" t="s">
        <v>81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82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9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13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29">
        <v>9</v>
      </c>
      <c r="B33" s="9" t="s">
        <v>79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80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15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29">
        <v>9</v>
      </c>
      <c r="B36" s="9" t="s">
        <v>81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82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9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17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13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29">
        <v>10</v>
      </c>
      <c r="B45" s="9" t="s">
        <v>79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80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15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29">
        <v>10</v>
      </c>
      <c r="B48" s="9" t="s">
        <v>81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82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18</v>
      </c>
      <c r="B51" s="7" t="s">
        <v>19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18</v>
      </c>
      <c r="B52" s="7" t="s">
        <v>20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18</v>
      </c>
      <c r="B53" s="7" t="s">
        <v>21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18</v>
      </c>
      <c r="B54" s="7" t="s">
        <v>22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18</v>
      </c>
      <c r="B55" s="7" t="s">
        <v>23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18</v>
      </c>
      <c r="B56" s="7" t="s">
        <v>24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18</v>
      </c>
      <c r="B57" s="7" t="s">
        <v>25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18</v>
      </c>
      <c r="B58" s="7" t="s">
        <v>26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X51:X58 F3:F13 F15:F25 F27:F37 F39:F49 F51:F58 L3:L13 L15:L25 L27:L37 L39:L49 L51:L58 R51:R58 R3:R13 R15:R25 R27:R37 R39:R49 X3:X13 X15:X25 X27:X37 X39:X49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2026-04-13T02:37:10Z</dcterms:modified>
  <cp:category/>
  <cp:contentStatus/>
</cp:coreProperties>
</file>