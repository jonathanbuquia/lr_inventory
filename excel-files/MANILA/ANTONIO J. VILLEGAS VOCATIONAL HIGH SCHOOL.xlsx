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8" documentId="13_ncr:1_{BFB59F67-F0DC-4675-A682-EB0734A8026A}" xr6:coauthVersionLast="47" xr6:coauthVersionMax="47" xr10:uidLastSave="{3C3DF690-62CF-4A3A-B244-5987BCEFE545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ADM-SLM" sheetId="5" r:id="rId2"/>
    <sheet name="LA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T21" i="4"/>
  <c r="U5" i="4"/>
  <c r="O28" i="4"/>
  <c r="AA43" i="4"/>
  <c r="Z20" i="4"/>
  <c r="AA7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29" i="4"/>
  <c r="Z18" i="4"/>
  <c r="N39" i="4"/>
  <c r="O33" i="4"/>
  <c r="U36" i="4"/>
  <c r="T4" i="4"/>
  <c r="Z40" i="4"/>
  <c r="AA16" i="4"/>
  <c r="Z5" i="4"/>
  <c r="N21" i="4"/>
  <c r="O50" i="4"/>
  <c r="N45" i="4"/>
  <c r="O19" i="4"/>
  <c r="T30" i="4"/>
  <c r="U14" i="4"/>
  <c r="U8" i="4"/>
  <c r="AA38" i="4"/>
  <c r="Z27" i="4"/>
  <c r="AA3" i="4"/>
  <c r="Z31" i="4"/>
  <c r="N13" i="4"/>
  <c r="O6" i="4"/>
  <c r="U40" i="4"/>
  <c r="U35" i="4"/>
  <c r="U18" i="4"/>
  <c r="Z49" i="4"/>
  <c r="AA25" i="4"/>
  <c r="Z14" i="4"/>
  <c r="O37" i="4"/>
  <c r="N30" i="4"/>
  <c r="O24" i="4"/>
  <c r="N18" i="4"/>
  <c r="U45" i="4"/>
  <c r="T13" i="4"/>
  <c r="AA47" i="4"/>
  <c r="Z36" i="4"/>
  <c r="AA11" i="4"/>
  <c r="N48" i="4"/>
  <c r="T39" i="4"/>
  <c r="U23" i="4"/>
  <c r="U17" i="4"/>
  <c r="AA34" i="4"/>
  <c r="Z23" i="4"/>
  <c r="O41" i="4"/>
  <c r="O10" i="4"/>
  <c r="N4" i="4"/>
  <c r="U49" i="4"/>
  <c r="U27" i="4"/>
  <c r="Z45" i="4"/>
  <c r="Z9" i="4"/>
  <c r="T11" i="4"/>
  <c r="U11" i="4"/>
  <c r="N36" i="4"/>
  <c r="N14" i="4"/>
  <c r="T3" i="4"/>
  <c r="U3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34" i="4"/>
  <c r="U34" i="4"/>
  <c r="T43" i="4"/>
  <c r="U43" i="4"/>
  <c r="N27" i="4"/>
  <c r="N5" i="4"/>
  <c r="N31" i="4"/>
  <c r="T20" i="4"/>
  <c r="U20" i="4"/>
  <c r="T47" i="4"/>
  <c r="U47" i="4"/>
  <c r="T25" i="4"/>
  <c r="U25" i="4"/>
  <c r="N9" i="4"/>
  <c r="Z50" i="4"/>
  <c r="AA50" i="4"/>
  <c r="O47" i="4"/>
  <c r="O38" i="4"/>
  <c r="O29" i="4"/>
  <c r="O20" i="4"/>
  <c r="O11" i="4"/>
  <c r="O3" i="4"/>
  <c r="U46" i="4"/>
  <c r="U37" i="4"/>
  <c r="U28" i="4"/>
  <c r="U19" i="4"/>
  <c r="U10" i="4"/>
  <c r="AA46" i="4"/>
  <c r="AA37" i="4"/>
  <c r="AA28" i="4"/>
  <c r="AA24" i="4"/>
  <c r="AA19" i="4"/>
  <c r="AA15" i="4"/>
  <c r="AA10" i="4"/>
  <c r="AA6" i="4"/>
  <c r="O44" i="4"/>
  <c r="O35" i="4"/>
  <c r="O26" i="4"/>
  <c r="O17" i="4"/>
  <c r="O8" i="4"/>
  <c r="O43" i="4"/>
  <c r="O34" i="4"/>
  <c r="O25" i="4"/>
  <c r="O16" i="4"/>
  <c r="O7" i="4"/>
  <c r="U50" i="4"/>
  <c r="U41" i="4"/>
  <c r="U33" i="4"/>
  <c r="U24" i="4"/>
  <c r="U15" i="4"/>
  <c r="U6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<sst xmlns="http://schemas.openxmlformats.org/spreadsheetml/2006/main" count="242" uniqueCount="84">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</sst>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58" totalsRowShown="0" dataDxfId="59" headerRowBorderDxfId="57" tableBorderDxfId="58">
  <autoFilter ref="A2:AA58" xr:uid="{D7C37D80-F2E1-4395-8B6C-0FD477B4D8F8}"/>
  <tableColumns count="27">
    <tableColumn id="1" xr3:uid="{4B1B9E16-DDB6-464C-9C72-937B3CB9CE66}" name="Grade Level" dataDxfId="56"/>
    <tableColumn id="2" xr3:uid="{73AEA048-228E-40E8-B07A-3A7C30BA0DC7}" name="SUBJECTS" dataDxfId="55"/>
    <tableColumn id="3" xr3:uid="{187AF7E3-9651-4001-B779-AADEF0EAB05A}" name="Enrolment S.Y. 2025-2026 " dataDxfId="54"/>
    <tableColumn id="4" xr3:uid="{41F05D2B-5E6F-433A-B62B-2F1726EA10F2}" name="Quantity based on Target ADM-SLM - Q1 " dataDxfId="5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52"/>
    <tableColumn id="6" xr3:uid="{339CCB0D-A0D6-41EF-9023-6B8DF1A1D211}" name="Year of Delivery - ADM-SLM - Q1" dataDxfId="51"/>
    <tableColumn id="7" xr3:uid="{66966C8F-6B7D-4027-80F0-10F5BEB94C36}" name="SOURCE - ADM-SLM (CO,RO, SDO) - Q1" dataDxfId="50"/>
    <tableColumn id="8" xr3:uid="{F205DFF0-AD23-4608-82A0-E64C38A40A7F}" name="GAP - ADM-SLM - Q1" dataDxfId="49">
      <calculatedColumnFormula>IF((D3-E3)&lt;0,0,(D3-E3))</calculatedColumnFormula>
    </tableColumn>
    <tableColumn id="9" xr3:uid="{A97DBFEB-A833-47C5-A43D-C6E4D77683A6}" name="SURPLUS - ADM-SLM - Q1" dataDxfId="48">
      <calculatedColumnFormula>IF((E3-D3)&lt;0,0,(E3-D3))</calculatedColumnFormula>
    </tableColumn>
    <tableColumn id="10" xr3:uid="{6A093D68-BC9F-46BB-AC8F-CA208309466C}" name="Quantity based on Target ADM-SLM - Q2" dataDxfId="4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46"/>
    <tableColumn id="12" xr3:uid="{35FFB32F-868E-4FBD-946A-0482CC3DE0D4}" name="Year of Delivery - ADM-SLM Q2" dataDxfId="45"/>
    <tableColumn id="13" xr3:uid="{987FB8ED-06DA-4311-80C5-DAF78B602129}" name="SOURCE - ADM-SLM (CO,RO, SDO) Q2" dataDxfId="44"/>
    <tableColumn id="14" xr3:uid="{24CC35CF-2900-4C84-934F-7E29CCFCCEC9}" name="GAP - ADM-SLM - Q2" dataDxfId="43"/>
    <tableColumn id="15" xr3:uid="{0DA82B8D-6A8D-469A-8302-7E7DD0B1BDC4}" name="SURPLUS - ADM-SLM -Q2" dataDxfId="42"/>
    <tableColumn id="16" xr3:uid="{126A7F40-0CC3-4264-A57D-D7C0C9FE4720}" name="Quantity based on Target ADM-SLM - Q3" dataDxfId="41">
      <calculatedColumnFormula>#REF!*8</calculatedColumnFormula>
    </tableColumn>
    <tableColumn id="17" xr3:uid="{711B70A4-2160-43C1-900D-FD892755D7AB}" name="Quantity of ADM-SLM Received (Quantity received x No. of ADM-SLM) - Q3" dataDxfId="40"/>
    <tableColumn id="18" xr3:uid="{D8C99A72-7FED-4E85-8CB4-4A08C56BCB15}" name="Year of Delivery - ADM-SLM - Q3" dataDxfId="39"/>
    <tableColumn id="19" xr3:uid="{D48A881D-138B-4288-AA57-050C0AE3F5F6}" name="SOURCE - ADM-SLM(CO,RO, SDO) - Q3" dataDxfId="38"/>
    <tableColumn id="20" xr3:uid="{B03A44EC-B25E-4D0D-B9E6-71825AC6E51F}" name="GAP - ADM-SLM - Q3" dataDxfId="37">
      <calculatedColumnFormula>IF((P3-Q3)&lt;0,0,(P3-Q3))</calculatedColumnFormula>
    </tableColumn>
    <tableColumn id="21" xr3:uid="{3338E724-88DC-45DA-8F55-7AAE5A560621}" name="SURPLUS - ADM-SLM - Q3" dataDxfId="36">
      <calculatedColumnFormula>IF((Q3-P3)&lt;0,0,(Q3-P3))</calculatedColumnFormula>
    </tableColumn>
    <tableColumn id="22" xr3:uid="{AC55FA3C-A61A-4AB0-8391-EC237845F1BF}" name="Quantity based on Target ADM-SLM - Q4" dataDxfId="3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34"/>
    <tableColumn id="24" xr3:uid="{C66CE0BE-6DCF-4E05-9DBD-D908450B3841}" name="Year of Delivery - ADM-SLM- Q4" dataDxfId="33"/>
    <tableColumn id="25" xr3:uid="{AABA2263-B244-4CBF-87B1-CDAAECF763E4}" name="SOURCE - ADM-SLM - (CO,RO, SDO) - Q4" dataDxfId="32"/>
    <tableColumn id="26" xr3:uid="{21E1F5D8-F09B-453A-90E6-AA7B2E8821D1}" name="GAP - ADM-SLM - Q4" dataDxfId="31">
      <calculatedColumnFormula>IF((V3-W3)&lt;0,0,(V3-W3))</calculatedColumnFormula>
    </tableColumn>
    <tableColumn id="27" xr3:uid="{67725D86-C1DE-4DB2-8FBD-99B8821906AB}" name="SURPLUS - ADM-SLM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50" totalsRowShown="0" dataDxfId="29" headerRowBorderDxfId="27" tableBorderDxfId="28">
  <autoFilter ref="A2:AA50" xr:uid="{D7C37D80-F2E1-4395-8B6C-0FD477B4D8F8}"/>
  <tableColumns count="27">
    <tableColumn id="1" xr3:uid="{451CCD6B-9C4E-44A3-945A-DE807169F46B}" name="Grade Level" dataDxfId="26"/>
    <tableColumn id="2" xr3:uid="{C6CCCB1C-6639-4C28-A4BA-B187B2F73B59}" name="SUBJECTS" dataDxfId="25"/>
    <tableColumn id="3" xr3:uid="{945324E6-140A-476C-A8C3-23A16D4D262F}" name="Enrolment S.Y. 2025-2026 " dataDxfId="24"/>
    <tableColumn id="4" xr3:uid="{A2D4C0AF-3699-4D3C-A791-2D7D8004CC89}" name="Quantity based on Target LAS - Q1 " dataDxfId="2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22"/>
    <tableColumn id="6" xr3:uid="{FCD520AB-D938-4542-9B56-AEC07AB5F1DC}" name="Year of Delivery-LAS - Q1" dataDxfId="21"/>
    <tableColumn id="7" xr3:uid="{674474DE-9D20-41C1-8261-DA9C4A95671C}" name="SOURCE - LAS (CO,RO, SDO) - Q1" dataDxfId="20"/>
    <tableColumn id="8" xr3:uid="{58D9CB98-8F6F-4F61-9103-C27B8FFBDB51}" name="GAP - LAS - Q1" dataDxfId="19">
      <calculatedColumnFormula>IF((D3-E3)&lt;0,0,(D3-E3))</calculatedColumnFormula>
    </tableColumn>
    <tableColumn id="9" xr3:uid="{E6406FC4-4491-4FD6-9EA2-F088E94C44F4}" name="SURPLUS - LAS - Q1" dataDxfId="18">
      <calculatedColumnFormula>IF((E3-D3)&lt;0,0,(E3-D3))</calculatedColumnFormula>
    </tableColumn>
    <tableColumn id="10" xr3:uid="{1E56D889-DC27-4BCB-B61E-06BBBE734949}" name="Quantity based on Target LAS - Q2" dataDxfId="1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16"/>
    <tableColumn id="12" xr3:uid="{F2E2CB95-E0BD-4C6E-ACFE-F201177004A0}" name="Year of Delivery-LAS Q2" dataDxfId="15"/>
    <tableColumn id="13" xr3:uid="{163FBFFB-0AB7-44C8-89C4-72AA64C1EAC7}" name="SOURCE-LAS (CO,RO, SDO) Q2" dataDxfId="14"/>
    <tableColumn id="14" xr3:uid="{EACC05A8-C68D-4495-BC08-73F093C4992F}" name="GAP - LAS -Q2" dataDxfId="13"/>
    <tableColumn id="15" xr3:uid="{28A44E24-3E28-4B7F-BADE-28BB84F0B810}" name="SURPLUS - LAS -Q2" dataDxfId="12"/>
    <tableColumn id="16" xr3:uid="{87878677-5715-46B6-9BA9-9D08DE9A3335}" name="Quantity based on Target LAS - Q3" dataDxfId="11">
      <calculatedColumnFormula>#REF!*8</calculatedColumnFormula>
    </tableColumn>
    <tableColumn id="17" xr3:uid="{48667A1F-77B1-47A6-83F7-61ED15F61DDB}" name="Quantity of Learning Activity Sheets Received (Quantity received x No. of LAS) - Q3" dataDxfId="10"/>
    <tableColumn id="18" xr3:uid="{56F2625D-2CEE-478E-A8DE-42A7191C3835}" name="Year of Delivery-LAS - Q3" dataDxfId="9"/>
    <tableColumn id="19" xr3:uid="{EF0F614F-5FED-4639-8798-840D9677B8DA}" name="SOURCE-LAS (CO,RO, SDO) - Q3" dataDxfId="8"/>
    <tableColumn id="20" xr3:uid="{FD91DDEE-DBA8-4E2C-94B2-23AE9F73CC4A}" name="GAP - LAS - Q3" dataDxfId="7">
      <calculatedColumnFormula>IF((P3-Q3)&lt;0,0,(P3-Q3))</calculatedColumnFormula>
    </tableColumn>
    <tableColumn id="21" xr3:uid="{DB598C6C-E489-4B0F-9BC6-B0981F7D2582}" name="SURPLUS - LAS - Q3" dataDxfId="6">
      <calculatedColumnFormula>IF((Q3-P3)&lt;0,0,(Q3-P3))</calculatedColumnFormula>
    </tableColumn>
    <tableColumn id="22" xr3:uid="{8CD6906A-7980-46E8-80B2-8563AEBC71F7}" name="Quantity based on Target LAS - Q4" dataDxfId="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4"/>
    <tableColumn id="24" xr3:uid="{205BCDBA-0424-492C-B4EF-841B8A3A1521}" name="Year of Delivery - LAS - Q4" dataDxfId="3"/>
    <tableColumn id="25" xr3:uid="{8226E35B-1F3B-4D2A-815B-9D4C0A24EE7E}" name="SOURCE - LAS (CO,RO, SDO) - Q4" dataDxfId="2"/>
    <tableColumn id="26" xr3:uid="{5B37A4B7-CD16-4D9A-8A47-D9EA73F613BC}" name="GAP - LAS - Q4" dataDxfId="1">
      <calculatedColumnFormula>IF((V3-W3)&lt;0,0,(V3-W3))</calculatedColumnFormula>
    </tableColumn>
    <tableColumn id="27" xr3:uid="{38E9C5F3-3FF5-4B13-A9DA-0081A90F35C5}" name="SURPLUS - LAS 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K100" sqref="K10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408</v>
      </c>
      <c r="D2" s="8">
        <v>643</v>
      </c>
      <c r="E2" s="8">
        <v>2025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235</v>
      </c>
    </row>
    <row r="3" spans="1:8" ht="29.25" customHeight="1">
      <c r="A3" s="8">
        <v>7</v>
      </c>
      <c r="B3" s="9" t="s">
        <v>10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11</v>
      </c>
      <c r="C4" s="8">
        <v>408</v>
      </c>
      <c r="D4" s="8">
        <v>643</v>
      </c>
      <c r="E4" s="8">
        <v>2025</v>
      </c>
      <c r="F4" s="10" t="s">
        <v>9</v>
      </c>
      <c r="G4" s="2">
        <f t="shared" si="0"/>
        <v>0</v>
      </c>
      <c r="H4" s="3">
        <f t="shared" si="1"/>
        <v>235</v>
      </c>
    </row>
    <row r="5" spans="1:8" ht="25.5" customHeight="1">
      <c r="A5" s="8">
        <v>7</v>
      </c>
      <c r="B5" s="9" t="s">
        <v>12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v>408</v>
      </c>
      <c r="D6" s="8">
        <v>643</v>
      </c>
      <c r="E6" s="8">
        <v>2025</v>
      </c>
      <c r="F6" s="10" t="s">
        <v>9</v>
      </c>
      <c r="G6" s="2">
        <f t="shared" si="0"/>
        <v>0</v>
      </c>
      <c r="H6" s="3">
        <f t="shared" si="1"/>
        <v>235</v>
      </c>
    </row>
    <row r="7" spans="1:8" ht="19.5">
      <c r="A7" s="8">
        <v>7</v>
      </c>
      <c r="B7" s="9" t="s">
        <v>14</v>
      </c>
      <c r="C7" s="8">
        <v>408</v>
      </c>
      <c r="D7" s="8">
        <v>643</v>
      </c>
      <c r="E7" s="8">
        <v>2025</v>
      </c>
      <c r="F7" s="10" t="s">
        <v>9</v>
      </c>
      <c r="G7" s="2">
        <f t="shared" si="0"/>
        <v>0</v>
      </c>
      <c r="H7" s="3">
        <f t="shared" si="1"/>
        <v>235</v>
      </c>
    </row>
    <row r="8" spans="1:8" ht="39.75" customHeight="1">
      <c r="A8" s="8">
        <v>7</v>
      </c>
      <c r="B8" s="9" t="s">
        <v>15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16</v>
      </c>
      <c r="C9" s="8">
        <v>408</v>
      </c>
      <c r="D9" s="8">
        <v>643</v>
      </c>
      <c r="E9" s="8">
        <v>2025</v>
      </c>
      <c r="F9" s="10" t="s">
        <v>9</v>
      </c>
      <c r="G9" s="2">
        <f t="shared" si="0"/>
        <v>0</v>
      </c>
      <c r="H9" s="3">
        <f t="shared" si="1"/>
        <v>235</v>
      </c>
    </row>
    <row r="10" spans="1:8" ht="28.5" customHeight="1">
      <c r="A10" s="8">
        <v>7</v>
      </c>
      <c r="B10" s="9" t="s">
        <v>17</v>
      </c>
      <c r="C10" s="8">
        <v>408</v>
      </c>
      <c r="D10" s="8">
        <v>643</v>
      </c>
      <c r="E10" s="8">
        <v>2025</v>
      </c>
      <c r="F10" s="10" t="s">
        <v>9</v>
      </c>
      <c r="G10" s="2">
        <f t="shared" si="0"/>
        <v>0</v>
      </c>
      <c r="H10" s="3">
        <f t="shared" si="1"/>
        <v>235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317</v>
      </c>
      <c r="D14" s="8">
        <v>515</v>
      </c>
      <c r="E14" s="8">
        <v>2025</v>
      </c>
      <c r="F14" s="10" t="s">
        <v>9</v>
      </c>
      <c r="G14" s="2">
        <f t="shared" si="2"/>
        <v>0</v>
      </c>
      <c r="H14" s="3">
        <f t="shared" si="3"/>
        <v>198</v>
      </c>
    </row>
    <row r="15" spans="1:8" ht="29.25" customHeight="1">
      <c r="A15" s="8">
        <v>8</v>
      </c>
      <c r="B15" s="9" t="s">
        <v>12</v>
      </c>
      <c r="C15" s="8">
        <v>317</v>
      </c>
      <c r="D15" s="8">
        <v>515</v>
      </c>
      <c r="E15" s="8">
        <v>2025</v>
      </c>
      <c r="F15" s="10" t="s">
        <v>9</v>
      </c>
      <c r="G15" s="2">
        <f t="shared" si="2"/>
        <v>0</v>
      </c>
      <c r="H15" s="3">
        <f t="shared" si="3"/>
        <v>198</v>
      </c>
    </row>
    <row r="16" spans="1:8" ht="27" customHeight="1">
      <c r="A16" s="8">
        <v>8</v>
      </c>
      <c r="B16" s="9" t="s">
        <v>18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10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11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19</v>
      </c>
      <c r="B43" s="7" t="s">
        <v>21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19</v>
      </c>
      <c r="B45" s="7" t="s">
        <v>23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7" t="s">
        <v>24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7" t="s">
        <v>25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7" t="s">
        <v>26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19</v>
      </c>
      <c r="B49" s="7" t="s">
        <v>27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F2:F10 F12:F20 F22:F30 F32:F40 F42:F49" xr:uid="{2F7388E0-D1A1-4571-8C10-96CB9A727EB3}">
      <formula1>"CO,RO,SDO"</formula1>
    </dataValidation>
    <dataValidation type="list" allowBlank="1" showInputMessage="1" showErrorMessage="1" sqref="E2:E49" xr:uid="{6B7334BC-BAE5-4D39-BE85-7FF00203DB89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53"/>
  <sheetViews>
    <sheetView topLeftCell="A50" zoomScale="55" zoomScaleNormal="55" workbookViewId="0">
      <selection activeCell="AC82" sqref="AC8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27"/>
      <c r="D1" s="32" t="s">
        <v>28</v>
      </c>
      <c r="E1" s="32"/>
      <c r="F1" s="32"/>
      <c r="G1" s="32"/>
      <c r="H1" s="32"/>
      <c r="I1" s="32"/>
      <c r="J1" s="33" t="s">
        <v>29</v>
      </c>
      <c r="K1" s="33"/>
      <c r="L1" s="33"/>
      <c r="M1" s="33"/>
      <c r="N1" s="33"/>
      <c r="O1" s="33"/>
      <c r="P1" s="34" t="s">
        <v>30</v>
      </c>
      <c r="Q1" s="34"/>
      <c r="R1" s="34"/>
      <c r="S1" s="34"/>
      <c r="T1" s="34"/>
      <c r="U1" s="34"/>
      <c r="V1" s="35" t="s">
        <v>31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28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0" t="s">
        <v>41</v>
      </c>
      <c r="N2" s="30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1" t="s">
        <v>53</v>
      </c>
      <c r="Z2" s="31" t="s">
        <v>54</v>
      </c>
      <c r="AA2" s="24" t="s">
        <v>55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29">
        <v>7</v>
      </c>
      <c r="B9" s="9" t="s">
        <v>56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57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29">
        <v>7</v>
      </c>
      <c r="B12" s="9" t="s">
        <v>58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59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29">
        <v>8</v>
      </c>
      <c r="B21" s="9" t="s">
        <v>56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57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29">
        <v>8</v>
      </c>
      <c r="B24" s="9" t="s">
        <v>58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59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29">
        <v>9</v>
      </c>
      <c r="B33" s="9" t="s">
        <v>56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57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29">
        <v>9</v>
      </c>
      <c r="B36" s="9" t="s">
        <v>58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59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29">
        <v>10</v>
      </c>
      <c r="B45" s="9" t="s">
        <v>56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57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29">
        <v>10</v>
      </c>
      <c r="B48" s="9" t="s">
        <v>58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59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J59" t="e">
        <f>#REF!*8</f>
        <v>#REF!</v>
      </c>
    </row>
    <row r="60" spans="1:27" ht="15">
      <c r="J60" t="e">
        <f>#REF!*8</f>
        <v>#REF!</v>
      </c>
    </row>
    <row r="61" spans="1:27" ht="15">
      <c r="J61" t="e">
        <f>#REF!*8</f>
        <v>#REF!</v>
      </c>
    </row>
    <row r="62" spans="1:27" ht="15">
      <c r="J62" t="e">
        <f>#REF!*8</f>
        <v>#REF!</v>
      </c>
    </row>
    <row r="63" spans="1:27" ht="15">
      <c r="J63" t="e">
        <f>#REF!*8</f>
        <v>#REF!</v>
      </c>
    </row>
    <row r="64" spans="1:27" ht="15">
      <c r="J64" t="e">
        <f>#REF!*8</f>
        <v>#REF!</v>
      </c>
    </row>
    <row r="65" spans="1:27" ht="15">
      <c r="J65" t="e">
        <f>#REF!*8</f>
        <v>#REF!</v>
      </c>
    </row>
    <row r="66" spans="1:27" s="5" customFormat="1" ht="15">
      <c r="A66"/>
      <c r="B66"/>
      <c r="C66"/>
      <c r="D66"/>
      <c r="E66"/>
      <c r="F66"/>
      <c r="G66"/>
      <c r="H66"/>
      <c r="I66"/>
      <c r="J66" t="e">
        <f>#REF!*8</f>
        <v>#REF!</v>
      </c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>
      <c r="J67" t="e">
        <f>#REF!*8</f>
        <v>#REF!</v>
      </c>
    </row>
    <row r="68" spans="1:27" ht="15">
      <c r="J68" t="e">
        <f>#REF!*8</f>
        <v>#REF!</v>
      </c>
    </row>
    <row r="69" spans="1:27" ht="15">
      <c r="J69" t="e">
        <f>#REF!*8</f>
        <v>#REF!</v>
      </c>
    </row>
    <row r="70" spans="1:27" ht="15">
      <c r="J70" t="e">
        <f>#REF!*8</f>
        <v>#REF!</v>
      </c>
    </row>
    <row r="71" spans="1:27" ht="15">
      <c r="J71" t="e">
        <f>#REF!*8</f>
        <v>#REF!</v>
      </c>
    </row>
    <row r="72" spans="1:27" ht="15">
      <c r="J72" t="e">
        <f>#REF!*8</f>
        <v>#REF!</v>
      </c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s="5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5">
      <c r="AB124" s="5"/>
    </row>
    <row r="125" spans="1:28" ht="15">
      <c r="AB125" s="5"/>
    </row>
    <row r="126" spans="1:28" ht="15">
      <c r="AB126" s="5"/>
    </row>
    <row r="127" spans="1:28" ht="15">
      <c r="AB127" s="5"/>
    </row>
    <row r="128" spans="1:28" ht="15">
      <c r="AB128" s="5"/>
    </row>
    <row r="129" spans="28:28" ht="15">
      <c r="AB129" s="5"/>
    </row>
    <row r="130" spans="28:28" ht="15">
      <c r="AB130" s="5"/>
    </row>
    <row r="131" spans="28:28" ht="15">
      <c r="AB131" s="5"/>
    </row>
    <row r="132" spans="28:28" ht="15">
      <c r="AB132" s="5"/>
    </row>
    <row r="133" spans="28:28" ht="15">
      <c r="AB133" s="5"/>
    </row>
    <row r="134" spans="28:28" ht="15">
      <c r="AB134" s="5"/>
    </row>
    <row r="135" spans="28:28" ht="15">
      <c r="AB135" s="5"/>
    </row>
    <row r="136" spans="28:28" ht="15">
      <c r="AB136" s="5"/>
    </row>
    <row r="137" spans="28:28" ht="15">
      <c r="AB137" s="5"/>
    </row>
    <row r="138" spans="28:28" ht="15">
      <c r="AB138" s="5"/>
    </row>
    <row r="139" spans="28:28" ht="15">
      <c r="AB139" s="5"/>
    </row>
    <row r="140" spans="28:28" ht="15">
      <c r="AB140" s="5"/>
    </row>
    <row r="141" spans="28:28" ht="15"/>
    <row r="142" spans="28:28" ht="15"/>
    <row r="143" spans="28:28" ht="15"/>
    <row r="144" spans="28:28" ht="15"/>
    <row r="145" ht="15"/>
    <row r="146" ht="15"/>
    <row r="147" ht="15"/>
    <row r="148" ht="15"/>
    <row r="149" ht="15"/>
    <row r="150" ht="15"/>
    <row r="151" ht="15"/>
    <row r="152" ht="15"/>
    <row r="153" ht="15"/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3:F58 X3:X58 R3:R58 L3:L58" xr:uid="{BB6CBD94-929A-4B83-B401-BA56B8928833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41"/>
  <sheetViews>
    <sheetView tabSelected="1" topLeftCell="W57" zoomScale="70" zoomScaleNormal="70" workbookViewId="0">
      <selection activeCell="A51" sqref="A51:AA6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2" t="s">
        <v>28</v>
      </c>
      <c r="E1" s="32"/>
      <c r="F1" s="32"/>
      <c r="G1" s="32"/>
      <c r="H1" s="32"/>
      <c r="I1" s="32"/>
      <c r="J1" s="33" t="s">
        <v>29</v>
      </c>
      <c r="K1" s="33"/>
      <c r="L1" s="33"/>
      <c r="M1" s="33"/>
      <c r="N1" s="33"/>
      <c r="O1" s="33"/>
      <c r="P1" s="34" t="s">
        <v>30</v>
      </c>
      <c r="Q1" s="34"/>
      <c r="R1" s="34"/>
      <c r="S1" s="34"/>
      <c r="T1" s="34"/>
      <c r="U1" s="34"/>
      <c r="V1" s="35" t="s">
        <v>31</v>
      </c>
      <c r="W1" s="35"/>
      <c r="X1" s="35"/>
      <c r="Y1" s="35"/>
      <c r="Z1" s="35"/>
      <c r="AA1" s="35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60</v>
      </c>
      <c r="E2" s="18" t="s">
        <v>61</v>
      </c>
      <c r="F2" s="19" t="s">
        <v>62</v>
      </c>
      <c r="G2" s="22" t="s">
        <v>63</v>
      </c>
      <c r="H2" s="15" t="s">
        <v>64</v>
      </c>
      <c r="I2" s="22" t="s">
        <v>65</v>
      </c>
      <c r="J2" s="20" t="s">
        <v>66</v>
      </c>
      <c r="K2" s="20" t="s">
        <v>67</v>
      </c>
      <c r="L2" s="21" t="s">
        <v>68</v>
      </c>
      <c r="M2" s="30" t="s">
        <v>69</v>
      </c>
      <c r="N2" s="30" t="s">
        <v>70</v>
      </c>
      <c r="O2" s="20" t="s">
        <v>71</v>
      </c>
      <c r="P2" s="22" t="s">
        <v>72</v>
      </c>
      <c r="Q2" s="22" t="s">
        <v>73</v>
      </c>
      <c r="R2" s="23" t="s">
        <v>74</v>
      </c>
      <c r="S2" s="15" t="s">
        <v>75</v>
      </c>
      <c r="T2" s="15" t="s">
        <v>76</v>
      </c>
      <c r="U2" s="22" t="s">
        <v>77</v>
      </c>
      <c r="V2" s="24" t="s">
        <v>78</v>
      </c>
      <c r="W2" s="24" t="s">
        <v>79</v>
      </c>
      <c r="X2" s="25" t="s">
        <v>80</v>
      </c>
      <c r="Y2" s="31" t="s">
        <v>81</v>
      </c>
      <c r="Z2" s="31" t="s">
        <v>82</v>
      </c>
      <c r="AA2" s="24" t="s">
        <v>83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50" si="8">IF((J10-K10)&lt;0,0,(J10-K10))</f>
        <v>0</v>
      </c>
      <c r="O10" s="10">
        <f t="shared" ref="O10:O50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50" si="10">IF((P10-Q10)&lt;0,0,(P10-Q10))</f>
        <v>0</v>
      </c>
      <c r="U10" s="10">
        <f t="shared" ref="U10:U50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50" si="12">IF((V10-W10)&lt;0,0,(V10-W10))</f>
        <v>0</v>
      </c>
      <c r="AA10" s="10">
        <f t="shared" ref="AA10:AA50" si="13">IF((W10-V10)&lt;0,0,(W10-V10))</f>
        <v>0</v>
      </c>
    </row>
    <row r="11" spans="1:27" ht="19.5">
      <c r="A11" s="8">
        <v>7</v>
      </c>
      <c r="B11" s="9" t="s">
        <v>17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50" si="14">IF((D18-E18)&lt;0,0,(D18-E18))</f>
        <v>0</v>
      </c>
      <c r="I18" s="10">
        <f t="shared" ref="I18:I50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5">
      <c r="J51" t="e">
        <f>#REF!*8</f>
        <v>#REF!</v>
      </c>
    </row>
    <row r="52" spans="1:27" s="5" customFormat="1" ht="15">
      <c r="A52"/>
      <c r="B52"/>
      <c r="C52"/>
      <c r="D52"/>
      <c r="E52"/>
      <c r="F52"/>
      <c r="G52"/>
      <c r="H52"/>
      <c r="I52"/>
      <c r="J52" t="e">
        <f>#REF!*8</f>
        <v>#REF!</v>
      </c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</row>
    <row r="53" spans="1:27" ht="15">
      <c r="J53" t="e">
        <f>#REF!*8</f>
        <v>#REF!</v>
      </c>
    </row>
    <row r="54" spans="1:27" ht="15">
      <c r="J54" t="e">
        <f>#REF!*8</f>
        <v>#REF!</v>
      </c>
    </row>
    <row r="55" spans="1:27" ht="15">
      <c r="J55" t="e">
        <f>#REF!*8</f>
        <v>#REF!</v>
      </c>
    </row>
    <row r="56" spans="1:27" ht="15">
      <c r="J56" t="e">
        <f>#REF!*8</f>
        <v>#REF!</v>
      </c>
    </row>
    <row r="57" spans="1:27" ht="15">
      <c r="J57" t="e">
        <f>#REF!*8</f>
        <v>#REF!</v>
      </c>
    </row>
    <row r="58" spans="1:27" ht="15">
      <c r="J58" t="e">
        <f>#REF!*8</f>
        <v>#REF!</v>
      </c>
    </row>
    <row r="59" spans="1:27" ht="15">
      <c r="J59" t="e">
        <f>#REF!*8</f>
        <v>#REF!</v>
      </c>
    </row>
    <row r="60" spans="1:27" ht="15">
      <c r="J60" t="e">
        <f>#REF!*8</f>
        <v>#REF!</v>
      </c>
    </row>
    <row r="61" spans="1:27" ht="15">
      <c r="J61" t="e">
        <f>#REF!*8</f>
        <v>#REF!</v>
      </c>
    </row>
    <row r="62" spans="1:27" s="5" customFormat="1" ht="15">
      <c r="A62"/>
      <c r="B62"/>
      <c r="C62"/>
      <c r="D62"/>
      <c r="E62"/>
      <c r="F62"/>
      <c r="G62"/>
      <c r="H62"/>
      <c r="I62"/>
      <c r="J62" t="e">
        <f>#REF!*8</f>
        <v>#REF!</v>
      </c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>
      <c r="J63" t="e">
        <f>#REF!*8</f>
        <v>#REF!</v>
      </c>
    </row>
    <row r="64" spans="1:27" ht="15">
      <c r="J64" t="e">
        <f>#REF!*8</f>
        <v>#REF!</v>
      </c>
    </row>
    <row r="65" spans="1:27" ht="15">
      <c r="J65" t="e">
        <f>#REF!*8</f>
        <v>#REF!</v>
      </c>
    </row>
    <row r="66" spans="1:27" ht="15">
      <c r="J66" t="e">
        <f>#REF!*8</f>
        <v>#REF!</v>
      </c>
    </row>
    <row r="67" spans="1:27" ht="15">
      <c r="J67" t="e">
        <f>#REF!*8</f>
        <v>#REF!</v>
      </c>
    </row>
    <row r="68" spans="1:27" ht="15">
      <c r="J68" t="e">
        <f>#REF!*8</f>
        <v>#REF!</v>
      </c>
    </row>
    <row r="69" spans="1:27" ht="15">
      <c r="J69" t="e">
        <f>#REF!*8</f>
        <v>#REF!</v>
      </c>
    </row>
    <row r="70" spans="1:27" ht="15">
      <c r="J70" t="e">
        <f>#REF!*8</f>
        <v>#REF!</v>
      </c>
    </row>
    <row r="71" spans="1:27" ht="15">
      <c r="J71" t="e">
        <f>#REF!*8</f>
        <v>#REF!</v>
      </c>
    </row>
    <row r="72" spans="1:27" s="5" customFormat="1" ht="15">
      <c r="A72"/>
      <c r="B72"/>
      <c r="C72"/>
      <c r="D72"/>
      <c r="E72"/>
      <c r="F72"/>
      <c r="G72"/>
      <c r="H72"/>
      <c r="I72"/>
      <c r="J72" t="e">
        <f>#REF!*8</f>
        <v>#REF!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ht="15">
      <c r="J78" t="e">
        <f>#REF!*8</f>
        <v>#REF!</v>
      </c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</sheetData>
  <protectedRanges>
    <protectedRange sqref="C13:C21 C23:C31 C33:C41 C43:C50 C2:C11" name="Textbooks"/>
    <protectedRange sqref="H43:I50 Q43:R50 W43:X50 D33:F41 H33:I41 Q33:R41 J3:J50 W33:X41 V2:X2 Z3:AA50 P2:R2 N3:P50 T3:V50 D43:F50 K3:L11 K13:L21 K23:L31 K33:L41 K43:L50 J2:L2 D2:F11 H3:I11 Q3:R11 W3:X11 D13:F21 H13:I21 Q13:R21 W13:X21 D23:F31 H23:I31 Q23:R31 W23:X31" name="LAS"/>
    <protectedRange sqref="S2:U2 M2:O2 Y2:AA2 Y3:Y50 G43:G50 M3:M50 G3:G11 G2:I2 G13:G21 G23:G31 S3:S50 G33:G4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  <dataValidation type="list" allowBlank="1" showInputMessage="1" showErrorMessage="1" sqref="F3:F50 X3:X50 R3:R50 L3:L50" xr:uid="{2DFCEB55-51C5-48A1-AC78-24CF3578F266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2026-04-07T08:09:27Z</dcterms:modified>
  <cp:category/>
  <cp:contentStatus/>
</cp:coreProperties>
</file>