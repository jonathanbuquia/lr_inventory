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83" documentId="13_ncr:1_{BFB59F67-F0DC-4675-A682-EB0734A8026A}" xr6:coauthVersionLast="47" xr6:coauthVersionMax="47" xr10:uidLastSave="{F5B9E6D7-91D3-4524-B887-9DDB0CE345C2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1" i="1" l="1"/>
  <c r="G37" i="1"/>
  <c r="G36" i="1"/>
  <c r="G35" i="1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H36" i="1"/>
  <c r="H35" i="1"/>
  <c r="H34" i="1"/>
  <c r="G34" i="1"/>
  <c r="H33" i="1"/>
  <c r="G33" i="1"/>
  <c r="H32" i="1"/>
  <c r="G32" i="1"/>
  <c r="H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<sst xmlns="http://schemas.openxmlformats.org/spreadsheetml/2006/main" count="233" uniqueCount="79">
  <si>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</si>
  <si>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</si>
  <si>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</si>
  <si>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</si>
  <si>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</si>
  <si>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</si>
  <si>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</si>
  <si>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</si>
  <si>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</si>
  <si>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</si>
  <si>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</si>
  <si>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</si>
  <si>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</si>
  <si>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</si>
  <si>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</si>
  <si>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RO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</si>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</sst>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F1" activePane="topRight" state="frozen"/>
      <selection pane="topRight" activeCell="K48" sqref="K48"/>
    </sheetView>
  </sheetViews>
  <sheetFormatPr defaultRowHeight="13.9"/>
  <cols>
    <col min="1" max="1" width="21.140625" customWidth="1"/>
    <col min="2" max="8" width="31.28515625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220</v>
      </c>
      <c r="D2" s="1">
        <v>280</v>
      </c>
      <c r="E2" s="1"/>
      <c r="F2" s="5"/>
      <c r="G2" s="3">
        <f>IF((C2-D2)&lt;0,0,C2-D2)</f>
        <v>0</v>
      </c>
      <c r="H2" s="4">
        <f>IF((D2-C2)&lt;0,0,D2-C2)</f>
        <v>60</v>
      </c>
    </row>
    <row r="3" spans="1:8" ht="29.25" customHeight="1">
      <c r="A3" s="1">
        <v>1</v>
      </c>
      <c r="B3" s="2" t="s">
        <v>9</v>
      </c>
      <c r="C3" s="1">
        <v>220</v>
      </c>
      <c r="D3" s="1">
        <v>280</v>
      </c>
      <c r="E3" s="1"/>
      <c r="F3" s="5"/>
      <c r="G3" s="3">
        <f>IF((C3-D3)&lt;0,0,C3-D3)</f>
        <v>0</v>
      </c>
      <c r="H3" s="4">
        <f>IF((D3-C3)&lt;0,0,D3-C3)</f>
        <v>60</v>
      </c>
    </row>
    <row r="4" spans="1:8" ht="21" customHeight="1">
      <c r="A4" s="1">
        <v>1</v>
      </c>
      <c r="B4" s="2" t="s">
        <v>10</v>
      </c>
      <c r="C4" s="1">
        <v>220</v>
      </c>
      <c r="D4" s="1">
        <v>280</v>
      </c>
      <c r="E4" s="1"/>
      <c r="F4" s="5"/>
      <c r="G4" s="3">
        <f>IF((C4-D4)&lt;0,0,C4-D4)</f>
        <v>0</v>
      </c>
      <c r="H4" s="4">
        <f>IF((D4-C4)&lt;0,0,D4-C4)</f>
        <v>60</v>
      </c>
    </row>
    <row r="5" spans="1:8" ht="25.5" customHeight="1">
      <c r="A5" s="1">
        <v>1</v>
      </c>
      <c r="B5" s="2" t="s">
        <v>11</v>
      </c>
      <c r="C5" s="1">
        <v>220</v>
      </c>
      <c r="D5" s="1">
        <v>280</v>
      </c>
      <c r="E5" s="1"/>
      <c r="F5" s="5"/>
      <c r="G5" s="3">
        <f t="shared" ref="G5:G6" si="0">IF((C5-D5)&lt;0,0,C5-D5)</f>
        <v>0</v>
      </c>
      <c r="H5" s="4">
        <f t="shared" ref="H5:H6" si="1">IF((D5-C5)&lt;0,0,D5-C5)</f>
        <v>60</v>
      </c>
    </row>
    <row r="6" spans="1:8" ht="19.5">
      <c r="A6" s="1">
        <v>1</v>
      </c>
      <c r="B6" s="2" t="s">
        <v>12</v>
      </c>
      <c r="C6" s="1">
        <v>220</v>
      </c>
      <c r="D6" s="1"/>
      <c r="E6" s="1"/>
      <c r="F6" s="5"/>
      <c r="G6" s="3">
        <f t="shared" si="0"/>
        <v>220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257</v>
      </c>
      <c r="D8" s="1"/>
      <c r="E8" s="1"/>
      <c r="F8" s="5"/>
      <c r="G8" s="3">
        <f>IF((C8-D8)&lt;0,0,C8-D8)</f>
        <v>257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>
        <v>257</v>
      </c>
      <c r="D9" s="1"/>
      <c r="E9" s="1"/>
      <c r="F9" s="5"/>
      <c r="G9" s="3">
        <f>IF((C9-D9)&lt;0,0,C9-D9)</f>
        <v>257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>
        <v>257</v>
      </c>
      <c r="D10" s="1"/>
      <c r="E10" s="1"/>
      <c r="F10" s="5"/>
      <c r="G10" s="3">
        <f>IF((C10-D10)&lt;0,0,C10-D10)</f>
        <v>257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>
        <v>257</v>
      </c>
      <c r="D11" s="1"/>
      <c r="E11" s="1"/>
      <c r="F11" s="5"/>
      <c r="G11" s="3">
        <f>IF((C11-D11)&lt;0,0,C11-D11)</f>
        <v>257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>
        <v>257</v>
      </c>
      <c r="D12" s="1"/>
      <c r="E12" s="1"/>
      <c r="F12" s="5"/>
      <c r="G12" s="3">
        <f>IF((C12-D12)&lt;0,0,C12-D12)</f>
        <v>257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265</v>
      </c>
      <c r="D14" s="1"/>
      <c r="E14" s="1"/>
      <c r="F14" s="5"/>
      <c r="G14" s="3">
        <f t="shared" ref="G14:G19" si="2">IF((C14-D14)&lt;0,0,C14-D14)</f>
        <v>265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>
        <v>265</v>
      </c>
      <c r="D15" s="1"/>
      <c r="E15" s="1"/>
      <c r="F15" s="5"/>
      <c r="G15" s="3">
        <f t="shared" si="2"/>
        <v>265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>
        <v>265</v>
      </c>
      <c r="D16" s="1"/>
      <c r="E16" s="1"/>
      <c r="F16" s="5"/>
      <c r="G16" s="3">
        <f t="shared" si="2"/>
        <v>265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>
        <v>265</v>
      </c>
      <c r="D17" s="1"/>
      <c r="E17" s="1"/>
      <c r="F17" s="5"/>
      <c r="G17" s="3">
        <f t="shared" si="2"/>
        <v>265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>
        <v>265</v>
      </c>
      <c r="D18" s="1"/>
      <c r="E18" s="1"/>
      <c r="F18" s="5"/>
      <c r="G18" s="3">
        <f t="shared" si="2"/>
        <v>265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>
        <v>265</v>
      </c>
      <c r="D19" s="1"/>
      <c r="E19" s="1"/>
      <c r="F19" s="5"/>
      <c r="G19" s="3">
        <f t="shared" si="2"/>
        <v>265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>
        <v>279</v>
      </c>
      <c r="D21" s="1">
        <v>320</v>
      </c>
      <c r="E21" s="1">
        <v>2024</v>
      </c>
      <c r="F21" s="5" t="s">
        <v>15</v>
      </c>
      <c r="G21" s="3">
        <f t="shared" ref="G21:G29" si="4">IF((C21-D21)&lt;0,0,C21-D21)</f>
        <v>0</v>
      </c>
      <c r="H21" s="4">
        <f t="shared" ref="H21:H29" si="5">IF((D21-C21)&lt;0,0,D21-C21)</f>
        <v>41</v>
      </c>
    </row>
    <row r="22" spans="1:8" ht="24" customHeight="1">
      <c r="A22" s="1">
        <v>4</v>
      </c>
      <c r="B22" s="9" t="s">
        <v>16</v>
      </c>
      <c r="C22" s="1">
        <v>279</v>
      </c>
      <c r="D22" s="1">
        <v>320</v>
      </c>
      <c r="E22" s="1">
        <v>2024</v>
      </c>
      <c r="F22" s="5" t="s">
        <v>15</v>
      </c>
      <c r="G22" s="3">
        <f t="shared" si="4"/>
        <v>0</v>
      </c>
      <c r="H22" s="4">
        <f t="shared" si="5"/>
        <v>41</v>
      </c>
    </row>
    <row r="23" spans="1:8" ht="19.5">
      <c r="A23" s="1">
        <v>4</v>
      </c>
      <c r="B23" s="9" t="s">
        <v>12</v>
      </c>
      <c r="C23" s="1">
        <v>279</v>
      </c>
      <c r="D23" s="1">
        <v>320</v>
      </c>
      <c r="E23" s="1">
        <v>2025</v>
      </c>
      <c r="F23" s="5" t="s">
        <v>15</v>
      </c>
      <c r="G23" s="3">
        <f t="shared" si="4"/>
        <v>0</v>
      </c>
      <c r="H23" s="4">
        <f t="shared" si="5"/>
        <v>41</v>
      </c>
    </row>
    <row r="24" spans="1:8" ht="27" customHeight="1">
      <c r="A24" s="1">
        <v>4</v>
      </c>
      <c r="B24" s="9" t="s">
        <v>10</v>
      </c>
      <c r="C24" s="1">
        <v>279</v>
      </c>
      <c r="D24" s="1">
        <v>320</v>
      </c>
      <c r="E24" s="1">
        <v>2025</v>
      </c>
      <c r="F24" s="5" t="s">
        <v>15</v>
      </c>
      <c r="G24" s="3">
        <f t="shared" si="4"/>
        <v>0</v>
      </c>
      <c r="H24" s="4">
        <f t="shared" si="5"/>
        <v>41</v>
      </c>
    </row>
    <row r="25" spans="1:8" ht="33.75" customHeight="1">
      <c r="A25" s="1">
        <v>4</v>
      </c>
      <c r="B25" s="9" t="s">
        <v>17</v>
      </c>
      <c r="C25" s="1">
        <v>279</v>
      </c>
      <c r="D25" s="1">
        <v>320</v>
      </c>
      <c r="E25" s="1">
        <v>2024</v>
      </c>
      <c r="F25" s="5" t="s">
        <v>15</v>
      </c>
      <c r="G25" s="3">
        <f t="shared" si="4"/>
        <v>0</v>
      </c>
      <c r="H25" s="4">
        <f t="shared" si="5"/>
        <v>41</v>
      </c>
    </row>
    <row r="26" spans="1:8" ht="33.75" customHeight="1">
      <c r="A26" s="1">
        <v>4</v>
      </c>
      <c r="B26" s="9" t="s">
        <v>13</v>
      </c>
      <c r="C26" s="1">
        <v>279</v>
      </c>
      <c r="D26" s="1">
        <v>320</v>
      </c>
      <c r="E26" s="1"/>
      <c r="F26" s="5"/>
      <c r="G26" s="3">
        <f t="shared" si="4"/>
        <v>0</v>
      </c>
      <c r="H26" s="4">
        <f t="shared" si="5"/>
        <v>41</v>
      </c>
    </row>
    <row r="27" spans="1:8" ht="33.75" customHeight="1">
      <c r="A27" s="1">
        <v>4</v>
      </c>
      <c r="B27" s="9" t="s">
        <v>18</v>
      </c>
      <c r="C27" s="1">
        <v>279</v>
      </c>
      <c r="D27" s="1">
        <v>320</v>
      </c>
      <c r="E27" s="1">
        <v>2024</v>
      </c>
      <c r="F27" s="5" t="s">
        <v>15</v>
      </c>
      <c r="G27" s="3">
        <f t="shared" si="4"/>
        <v>0</v>
      </c>
      <c r="H27" s="4">
        <f t="shared" si="5"/>
        <v>41</v>
      </c>
    </row>
    <row r="28" spans="1:8" ht="27.75" customHeight="1">
      <c r="A28" s="1">
        <v>4</v>
      </c>
      <c r="B28" s="9" t="s">
        <v>19</v>
      </c>
      <c r="C28" s="1">
        <v>279</v>
      </c>
      <c r="D28" s="1"/>
      <c r="E28" s="1"/>
      <c r="F28" s="5"/>
      <c r="G28" s="3">
        <f t="shared" si="4"/>
        <v>279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279</v>
      </c>
      <c r="D29" s="1"/>
      <c r="E29" s="1"/>
      <c r="F29" s="5"/>
      <c r="G29" s="3">
        <f t="shared" si="4"/>
        <v>279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>
        <v>250</v>
      </c>
      <c r="D31" s="1">
        <v>320</v>
      </c>
      <c r="E31" s="1">
        <v>2025</v>
      </c>
      <c r="F31" s="5" t="s">
        <v>15</v>
      </c>
      <c r="G31" s="3">
        <f t="shared" ref="G31:G39" si="6">IF((C31-D31)&lt;0,0,C31-D31)</f>
        <v>0</v>
      </c>
      <c r="H31" s="4">
        <f t="shared" ref="H31:H39" si="7">IF((D31-C31)&lt;0,0,D31-C31)</f>
        <v>70</v>
      </c>
    </row>
    <row r="32" spans="1:8" ht="27.75" customHeight="1">
      <c r="A32" s="1">
        <v>5</v>
      </c>
      <c r="B32" s="9" t="s">
        <v>16</v>
      </c>
      <c r="C32" s="1">
        <v>250</v>
      </c>
      <c r="D32" s="1"/>
      <c r="E32" s="1"/>
      <c r="F32" s="5"/>
      <c r="G32" s="3">
        <f t="shared" si="6"/>
        <v>250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>
        <v>250</v>
      </c>
      <c r="D33" s="1"/>
      <c r="E33" s="1"/>
      <c r="F33" s="5"/>
      <c r="G33" s="3">
        <f t="shared" si="6"/>
        <v>250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>
        <v>250</v>
      </c>
      <c r="D34" s="1"/>
      <c r="E34" s="1"/>
      <c r="F34" s="5"/>
      <c r="G34" s="3">
        <f t="shared" si="6"/>
        <v>250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250</v>
      </c>
      <c r="D35" s="1">
        <v>320</v>
      </c>
      <c r="E35" s="1">
        <v>2025</v>
      </c>
      <c r="F35" s="5" t="s">
        <v>15</v>
      </c>
      <c r="G35" s="3">
        <f t="shared" si="6"/>
        <v>0</v>
      </c>
      <c r="H35" s="4">
        <f t="shared" si="7"/>
        <v>70</v>
      </c>
    </row>
    <row r="36" spans="1:8" ht="27.75" customHeight="1">
      <c r="A36" s="1">
        <v>5</v>
      </c>
      <c r="B36" s="9" t="s">
        <v>13</v>
      </c>
      <c r="C36" s="1">
        <v>250</v>
      </c>
      <c r="D36" s="1"/>
      <c r="E36" s="1"/>
      <c r="F36" s="5"/>
      <c r="G36" s="3">
        <f t="shared" si="6"/>
        <v>250</v>
      </c>
      <c r="H36" s="4">
        <f t="shared" si="7"/>
        <v>0</v>
      </c>
    </row>
    <row r="37" spans="1:8" ht="27.75" customHeight="1">
      <c r="A37" s="1">
        <v>5</v>
      </c>
      <c r="B37" s="9" t="s">
        <v>18</v>
      </c>
      <c r="C37" s="1">
        <v>250</v>
      </c>
      <c r="D37" s="1">
        <v>320</v>
      </c>
      <c r="E37" s="1">
        <v>2025</v>
      </c>
      <c r="F37" s="5" t="s">
        <v>15</v>
      </c>
      <c r="G37" s="3">
        <f t="shared" si="6"/>
        <v>0</v>
      </c>
      <c r="H37" s="4">
        <f t="shared" si="7"/>
        <v>70</v>
      </c>
    </row>
    <row r="38" spans="1:8" ht="27.75" customHeight="1">
      <c r="A38" s="1">
        <v>5</v>
      </c>
      <c r="B38" s="9" t="s">
        <v>19</v>
      </c>
      <c r="C38" s="1">
        <v>250</v>
      </c>
      <c r="D38" s="1"/>
      <c r="E38" s="1"/>
      <c r="F38" s="5"/>
      <c r="G38" s="3">
        <f t="shared" si="6"/>
        <v>250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250</v>
      </c>
      <c r="D39" s="1"/>
      <c r="E39" s="1"/>
      <c r="F39" s="5"/>
      <c r="G39" s="3">
        <f t="shared" si="6"/>
        <v>250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>
        <v>262</v>
      </c>
      <c r="D41" s="1"/>
      <c r="E41" s="1"/>
      <c r="F41" s="5"/>
      <c r="G41" s="3">
        <f t="shared" ref="G41:G49" si="8">IF((C41-D41)&lt;0,0,C41-D41)</f>
        <v>262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262</v>
      </c>
      <c r="D42" s="1"/>
      <c r="E42" s="1"/>
      <c r="F42" s="5"/>
      <c r="G42" s="3">
        <f t="shared" si="8"/>
        <v>262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>
        <v>262</v>
      </c>
      <c r="D43" s="1"/>
      <c r="E43" s="1"/>
      <c r="F43" s="5"/>
      <c r="G43" s="3">
        <f t="shared" si="8"/>
        <v>262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>
        <v>262</v>
      </c>
      <c r="D44" s="1"/>
      <c r="E44" s="1"/>
      <c r="F44" s="5"/>
      <c r="G44" s="3">
        <f t="shared" si="8"/>
        <v>262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262</v>
      </c>
      <c r="D45" s="1"/>
      <c r="E45" s="1"/>
      <c r="F45" s="5"/>
      <c r="G45" s="3">
        <f t="shared" si="8"/>
        <v>262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>
        <v>262</v>
      </c>
      <c r="D46" s="1"/>
      <c r="E46" s="1"/>
      <c r="F46" s="5"/>
      <c r="G46" s="3">
        <f t="shared" si="8"/>
        <v>262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262</v>
      </c>
      <c r="D47" s="1"/>
      <c r="E47" s="1"/>
      <c r="F47" s="5"/>
      <c r="G47" s="3">
        <f t="shared" si="8"/>
        <v>262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262</v>
      </c>
      <c r="D48" s="1"/>
      <c r="E48" s="1"/>
      <c r="F48" s="5"/>
      <c r="G48" s="3">
        <f t="shared" si="8"/>
        <v>262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262</v>
      </c>
      <c r="D49" s="1"/>
      <c r="E49" s="1"/>
      <c r="F49" s="5"/>
      <c r="G49" s="3">
        <f t="shared" si="8"/>
        <v>262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2:E6 E8:E12 E14:E19 E21:E29 E31:E39 E41:E49" xr:uid="{B46E7B13-721E-4D49-837E-C02BF9777D48}">
      <formula1>"2024,2025,2026"</formula1>
    </dataValidation>
    <dataValidation type="list" allowBlank="1" showInputMessage="1" showErrorMessage="1" sqref="F14:F19 F21:F29 F31:F39 F41:F49 F2:F6 F8:F12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51" zoomScale="70" zoomScaleNormal="70" workbookViewId="0">
      <selection activeCell="AF134" sqref="AF134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21</v>
      </c>
      <c r="E1" s="35"/>
      <c r="F1" s="35"/>
      <c r="G1" s="35"/>
      <c r="H1" s="35"/>
      <c r="I1" s="35"/>
      <c r="J1" s="36" t="s">
        <v>22</v>
      </c>
      <c r="K1" s="36"/>
      <c r="L1" s="36"/>
      <c r="M1" s="36"/>
      <c r="N1" s="36"/>
      <c r="O1" s="36"/>
      <c r="P1" s="37" t="s">
        <v>23</v>
      </c>
      <c r="Q1" s="37"/>
      <c r="R1" s="37"/>
      <c r="S1" s="37"/>
      <c r="T1" s="37"/>
      <c r="U1" s="37"/>
      <c r="V1" s="38" t="s">
        <v>24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25</v>
      </c>
      <c r="E2" s="17" t="s">
        <v>26</v>
      </c>
      <c r="F2" s="18" t="s">
        <v>27</v>
      </c>
      <c r="G2" s="21" t="s">
        <v>28</v>
      </c>
      <c r="H2" s="14" t="s">
        <v>29</v>
      </c>
      <c r="I2" s="21" t="s">
        <v>30</v>
      </c>
      <c r="J2" s="19" t="s">
        <v>31</v>
      </c>
      <c r="K2" s="19" t="s">
        <v>32</v>
      </c>
      <c r="L2" s="20" t="s">
        <v>33</v>
      </c>
      <c r="M2" s="33" t="s">
        <v>34</v>
      </c>
      <c r="N2" s="33" t="s">
        <v>35</v>
      </c>
      <c r="O2" s="19" t="s">
        <v>36</v>
      </c>
      <c r="P2" s="21" t="s">
        <v>37</v>
      </c>
      <c r="Q2" s="21" t="s">
        <v>38</v>
      </c>
      <c r="R2" s="22" t="s">
        <v>39</v>
      </c>
      <c r="S2" s="14" t="s">
        <v>40</v>
      </c>
      <c r="T2" s="14" t="s">
        <v>41</v>
      </c>
      <c r="U2" s="21" t="s">
        <v>42</v>
      </c>
      <c r="V2" s="23" t="s">
        <v>43</v>
      </c>
      <c r="W2" s="23" t="s">
        <v>44</v>
      </c>
      <c r="X2" s="24" t="s">
        <v>45</v>
      </c>
      <c r="Y2" s="34" t="s">
        <v>46</v>
      </c>
      <c r="Z2" s="34" t="s">
        <v>47</v>
      </c>
      <c r="AA2" s="23" t="s">
        <v>48</v>
      </c>
    </row>
    <row r="3" spans="1:27" ht="30.6" customHeight="1">
      <c r="A3" s="32" t="s">
        <v>49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8.25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61" si="2">IF((D5-E5)&lt;0,0,(D5-E5))</f>
        <v>0</v>
      </c>
      <c r="I5" s="5">
        <f t="shared" ref="I5:I61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1" si="10">IF((J6-K6)&lt;0,0,(J6-K6))</f>
        <v>0</v>
      </c>
      <c r="O6" s="5">
        <f t="shared" ref="O6:O61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1" si="12">IF((P6-Q6)&lt;0,0,(P6-Q6))</f>
        <v>0</v>
      </c>
      <c r="U6" s="5">
        <f t="shared" ref="U6:U61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1" si="14">IF((V6-W6)&lt;0,0,(V6-W6))</f>
        <v>0</v>
      </c>
      <c r="AA6" s="5">
        <f t="shared" ref="AA6:AA61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16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50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16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50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16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50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16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17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18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19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20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16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17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18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19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20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16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17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18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19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20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4:C21 C23:C31 C33:C41 C43:C51 C53:C61 C5:C12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N13:P61 P2:R2 V2:X3 T13:V61 J6:J61 Z4:AA61 D5:F12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  <dataValidation type="list" allowBlank="1" showInputMessage="1" showErrorMessage="1" sqref="F5:F12 F14:F21 F23:F31 F33:F41 F43:F51 F53:F61 L5:L12 L14:L21 L23:L31 L33:L41 L43:L51 L53:L61 R5:R12 R14:R21 R23:R31 R33:R41 R43:R51 R53:R61 X5:X12 X14:X21 X23:X31 X33:X41 X43:X51 X53:X61" xr:uid="{0BCEC7A9-CA6A-46A0-A2F4-C764E0ED09FC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F83" zoomScale="55" zoomScaleNormal="55" workbookViewId="0">
      <selection activeCell="H99" sqref="H99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21</v>
      </c>
      <c r="E1" s="35"/>
      <c r="F1" s="35"/>
      <c r="G1" s="35"/>
      <c r="H1" s="35"/>
      <c r="I1" s="35"/>
      <c r="J1" s="36" t="s">
        <v>22</v>
      </c>
      <c r="K1" s="36"/>
      <c r="L1" s="36"/>
      <c r="M1" s="36"/>
      <c r="N1" s="36"/>
      <c r="O1" s="36"/>
      <c r="P1" s="37" t="s">
        <v>23</v>
      </c>
      <c r="Q1" s="37"/>
      <c r="R1" s="37"/>
      <c r="S1" s="37"/>
      <c r="T1" s="37"/>
      <c r="U1" s="37"/>
      <c r="V1" s="38" t="s">
        <v>24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51</v>
      </c>
      <c r="E2" s="17" t="s">
        <v>52</v>
      </c>
      <c r="F2" s="18" t="s">
        <v>53</v>
      </c>
      <c r="G2" s="21" t="s">
        <v>54</v>
      </c>
      <c r="H2" s="14" t="s">
        <v>55</v>
      </c>
      <c r="I2" s="21" t="s">
        <v>56</v>
      </c>
      <c r="J2" s="19" t="s">
        <v>57</v>
      </c>
      <c r="K2" s="19" t="s">
        <v>58</v>
      </c>
      <c r="L2" s="20" t="s">
        <v>59</v>
      </c>
      <c r="M2" s="33" t="s">
        <v>60</v>
      </c>
      <c r="N2" s="33" t="s">
        <v>61</v>
      </c>
      <c r="O2" s="19" t="s">
        <v>62</v>
      </c>
      <c r="P2" s="21" t="s">
        <v>63</v>
      </c>
      <c r="Q2" s="21" t="s">
        <v>64</v>
      </c>
      <c r="R2" s="22" t="s">
        <v>65</v>
      </c>
      <c r="S2" s="14" t="s">
        <v>66</v>
      </c>
      <c r="T2" s="14" t="s">
        <v>67</v>
      </c>
      <c r="U2" s="21" t="s">
        <v>68</v>
      </c>
      <c r="V2" s="23" t="s">
        <v>69</v>
      </c>
      <c r="W2" s="23" t="s">
        <v>70</v>
      </c>
      <c r="X2" s="24" t="s">
        <v>71</v>
      </c>
      <c r="Y2" s="34" t="s">
        <v>72</v>
      </c>
      <c r="Z2" s="34" t="s">
        <v>73</v>
      </c>
      <c r="AA2" s="23" t="s">
        <v>74</v>
      </c>
    </row>
    <row r="3" spans="1:27" ht="38.25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65" si="0">IF((D3-E3)&lt;0,0,(D3-E3))</f>
        <v>0</v>
      </c>
      <c r="I3" s="5">
        <f t="shared" ref="I3:I65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60" si="2">IF((J3-K3)&lt;0,0,(J3-K3))</f>
        <v>0</v>
      </c>
      <c r="O3" s="5">
        <f t="shared" ref="O3:O6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65" si="4">IF((P3-Q3)&lt;0,0,(P3-Q3))</f>
        <v>0</v>
      </c>
      <c r="U3" s="5">
        <f t="shared" ref="U3:U65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65" si="6">IF((V3-W3)&lt;0,0,(V3-W3))</f>
        <v>0</v>
      </c>
      <c r="AA3" s="5">
        <f t="shared" ref="AA3:AA65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16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5">
      <c r="A10" s="1">
        <v>1</v>
      </c>
      <c r="B10" s="9" t="s">
        <v>50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16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5">
      <c r="A19" s="1">
        <v>2</v>
      </c>
      <c r="B19" s="9" t="s">
        <v>50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16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50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16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17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1">
        <v>4</v>
      </c>
      <c r="B37" s="9" t="s">
        <v>75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76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19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1">
        <v>4</v>
      </c>
      <c r="B40" s="9" t="s">
        <v>77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78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16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17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1">
        <v>5</v>
      </c>
      <c r="B49" s="9" t="s">
        <v>75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76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19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1">
        <v>5</v>
      </c>
      <c r="B52" s="9" t="s">
        <v>77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78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16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17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1">
        <v>6</v>
      </c>
      <c r="B61" s="9" t="s">
        <v>75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76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19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1">
        <v>6</v>
      </c>
      <c r="B64" s="9" t="s">
        <v>77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78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X3:X10 X12:X19 X21:X29 F3:F10 F12:F19 F21:F29 F31:F41 F43:F53 F55:F65 L3:L10 L12:L19 L21:L29 L31:L41 L43:L53 L55:L65 R3:R10 R12:R19 R21:R29 R31:R41 R43:R53 R55:R65 X31:X41 X43:X53 X55:X65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2026-04-13T01:44:48Z</dcterms:modified>
  <cp:category/>
  <cp:contentStatus/>
</cp:coreProperties>
</file>