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4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72" documentId="13_ncr:1_{BFB59F67-F0DC-4675-A682-EB0734A8026A}" xr6:coauthVersionLast="47" xr6:coauthVersionMax="47" xr10:uidLastSave="{3315893F-6368-4C66-B01D-761A3ABDF240}"/>
  <bookViews>
    <workbookView xWindow="-108" yWindow="-108" windowWidth="23256" windowHeight="12456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9" i="5" l="1"/>
  <c r="O109" i="5"/>
  <c r="P109" i="5"/>
  <c r="T109" i="5" s="1"/>
  <c r="N110" i="5"/>
  <c r="O110" i="5"/>
  <c r="P110" i="5"/>
  <c r="U110" i="5" s="1"/>
  <c r="N111" i="5"/>
  <c r="O111" i="5"/>
  <c r="P111" i="5"/>
  <c r="N112" i="5"/>
  <c r="O112" i="5"/>
  <c r="P112" i="5"/>
  <c r="N113" i="5"/>
  <c r="O113" i="5"/>
  <c r="P113" i="5"/>
  <c r="N97" i="5"/>
  <c r="O97" i="5"/>
  <c r="P97" i="5"/>
  <c r="T97" i="5" s="1"/>
  <c r="N98" i="5"/>
  <c r="O98" i="5"/>
  <c r="P98" i="5"/>
  <c r="N99" i="5"/>
  <c r="O99" i="5"/>
  <c r="P99" i="5"/>
  <c r="N100" i="5"/>
  <c r="O100" i="5"/>
  <c r="P100" i="5"/>
  <c r="N101" i="5"/>
  <c r="O101" i="5"/>
  <c r="P101" i="5"/>
  <c r="N84" i="5"/>
  <c r="O84" i="5"/>
  <c r="P84" i="5"/>
  <c r="N85" i="5"/>
  <c r="O85" i="5"/>
  <c r="P85" i="5"/>
  <c r="N86" i="5"/>
  <c r="O86" i="5"/>
  <c r="P86" i="5"/>
  <c r="N87" i="5"/>
  <c r="O87" i="5"/>
  <c r="P87" i="5"/>
  <c r="N88" i="5"/>
  <c r="O88" i="5"/>
  <c r="P88" i="5"/>
  <c r="N89" i="5"/>
  <c r="O89" i="5"/>
  <c r="P89" i="5"/>
  <c r="N71" i="5"/>
  <c r="O71" i="5"/>
  <c r="P71" i="5"/>
  <c r="N72" i="5"/>
  <c r="O72" i="5"/>
  <c r="P72" i="5"/>
  <c r="N73" i="5"/>
  <c r="O73" i="5"/>
  <c r="P73" i="5"/>
  <c r="N74" i="5"/>
  <c r="O74" i="5"/>
  <c r="P74" i="5"/>
  <c r="N75" i="5"/>
  <c r="O75" i="5"/>
  <c r="P75" i="5"/>
  <c r="N76" i="5"/>
  <c r="O76" i="5"/>
  <c r="P76" i="5"/>
  <c r="N77" i="5"/>
  <c r="O77" i="5"/>
  <c r="P77" i="5"/>
  <c r="N61" i="5"/>
  <c r="O61" i="5"/>
  <c r="P61" i="5"/>
  <c r="T61" i="5" s="1"/>
  <c r="N62" i="5"/>
  <c r="O62" i="5"/>
  <c r="P62" i="5"/>
  <c r="N63" i="5"/>
  <c r="O63" i="5"/>
  <c r="P63" i="5"/>
  <c r="N64" i="5"/>
  <c r="O64" i="5"/>
  <c r="P64" i="5"/>
  <c r="N65" i="5"/>
  <c r="O65" i="5"/>
  <c r="P65" i="5"/>
  <c r="N48" i="5"/>
  <c r="O48" i="5"/>
  <c r="P48" i="5"/>
  <c r="N49" i="5"/>
  <c r="O49" i="5"/>
  <c r="P49" i="5"/>
  <c r="U49" i="5" s="1"/>
  <c r="N50" i="5"/>
  <c r="O50" i="5"/>
  <c r="P50" i="5"/>
  <c r="N51" i="5"/>
  <c r="O51" i="5"/>
  <c r="P51" i="5"/>
  <c r="N52" i="5"/>
  <c r="O52" i="5"/>
  <c r="P52" i="5"/>
  <c r="U52" i="5" s="1"/>
  <c r="N53" i="5"/>
  <c r="O53" i="5"/>
  <c r="P53" i="5"/>
  <c r="N36" i="5"/>
  <c r="O36" i="5"/>
  <c r="P36" i="5"/>
  <c r="N37" i="5"/>
  <c r="O37" i="5"/>
  <c r="P37" i="5"/>
  <c r="N38" i="5"/>
  <c r="O38" i="5"/>
  <c r="P38" i="5"/>
  <c r="N39" i="5"/>
  <c r="O39" i="5"/>
  <c r="P39" i="5"/>
  <c r="N40" i="5"/>
  <c r="O40" i="5"/>
  <c r="P40" i="5"/>
  <c r="N41" i="5"/>
  <c r="O41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O3" i="4"/>
  <c r="N3" i="4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12" i="4" l="1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<sst xmlns="http://schemas.openxmlformats.org/spreadsheetml/2006/main" count="403" uniqueCount="92">
  <si>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</si>
  <si>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</si>
  <si>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</si>
  <si>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</si>
  <si>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</si>
  <si>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</si>
  <si>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</si>
  <si>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</si>
  <si>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</si>
  <si>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</si>
  <si>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</si>
  <si>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</si>
  <si>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</si>
  <si>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</si>
  <si>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Science</t>
  </si>
  <si>
    <t>English</t>
  </si>
  <si>
    <t>CO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</si>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</sst>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zoomScale="85" zoomScaleNormal="85" workbookViewId="0">
      <pane xSplit="2" topLeftCell="C30" activePane="topRight" state="frozen"/>
      <selection pane="topRight" activeCell="D34" sqref="D34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556</v>
      </c>
      <c r="D2" s="1">
        <v>550</v>
      </c>
      <c r="E2" s="1">
        <v>2025</v>
      </c>
      <c r="F2" s="5" t="s">
        <v>9</v>
      </c>
      <c r="G2" s="3">
        <f>IF((C2-D2)&lt;0,0,C2-D2)</f>
        <v>6</v>
      </c>
      <c r="H2" s="4">
        <f>IF((D2-C2)&lt;0,0,D2-C2)</f>
        <v>0</v>
      </c>
    </row>
    <row r="3" spans="1:8" ht="29.25" customHeight="1">
      <c r="A3" s="1">
        <v>1</v>
      </c>
      <c r="B3" s="2" t="s">
        <v>10</v>
      </c>
      <c r="C3" s="1">
        <v>556</v>
      </c>
      <c r="D3" s="1">
        <v>550</v>
      </c>
      <c r="E3" s="1">
        <v>2025</v>
      </c>
      <c r="F3" s="5" t="s">
        <v>9</v>
      </c>
      <c r="G3" s="3">
        <f>IF((C3-D3)&lt;0,0,C3-D3)</f>
        <v>6</v>
      </c>
      <c r="H3" s="4">
        <f>IF((D3-C3)&lt;0,0,D3-C3)</f>
        <v>0</v>
      </c>
    </row>
    <row r="4" spans="1:8" ht="21" customHeight="1">
      <c r="A4" s="1">
        <v>1</v>
      </c>
      <c r="B4" s="2" t="s">
        <v>11</v>
      </c>
      <c r="C4" s="1">
        <v>556</v>
      </c>
      <c r="D4" s="1">
        <v>550</v>
      </c>
      <c r="E4" s="1">
        <v>2025</v>
      </c>
      <c r="F4" s="5" t="s">
        <v>9</v>
      </c>
      <c r="G4" s="3">
        <f>IF((C4-D4)&lt;0,0,C4-D4)</f>
        <v>6</v>
      </c>
      <c r="H4" s="4">
        <f>IF((D4-C4)&lt;0,0,D4-C4)</f>
        <v>0</v>
      </c>
    </row>
    <row r="5" spans="1:8" ht="25.5" customHeight="1">
      <c r="A5" s="1">
        <v>1</v>
      </c>
      <c r="B5" s="2" t="s">
        <v>12</v>
      </c>
      <c r="C5" s="1">
        <v>556</v>
      </c>
      <c r="D5" s="1">
        <v>550</v>
      </c>
      <c r="E5" s="1">
        <v>2025</v>
      </c>
      <c r="F5" s="5" t="s">
        <v>9</v>
      </c>
      <c r="G5" s="3">
        <f t="shared" ref="G5:G6" si="0">IF((C5-D5)&lt;0,0,C5-D5)</f>
        <v>6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13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13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13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630</v>
      </c>
      <c r="D21" s="1">
        <v>504</v>
      </c>
      <c r="E21" s="1">
        <v>2024</v>
      </c>
      <c r="F21" s="5" t="s">
        <v>16</v>
      </c>
      <c r="G21" s="3">
        <f t="shared" ref="G21:G29" si="4">IF((C21-D21)&lt;0,0,C21-D21)</f>
        <v>126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17</v>
      </c>
      <c r="C22" s="1">
        <v>630</v>
      </c>
      <c r="D22" s="1">
        <v>504</v>
      </c>
      <c r="E22" s="1">
        <v>2024</v>
      </c>
      <c r="F22" s="5" t="s">
        <v>16</v>
      </c>
      <c r="G22" s="3">
        <f t="shared" si="4"/>
        <v>126</v>
      </c>
      <c r="H22" s="4">
        <f t="shared" si="5"/>
        <v>0</v>
      </c>
    </row>
    <row r="23" spans="1:8" ht="19.5">
      <c r="A23" s="1">
        <v>4</v>
      </c>
      <c r="B23" s="9" t="s">
        <v>13</v>
      </c>
      <c r="C23" s="1">
        <v>630</v>
      </c>
      <c r="D23" s="1">
        <v>504</v>
      </c>
      <c r="E23" s="1">
        <v>2025</v>
      </c>
      <c r="F23" s="5" t="s">
        <v>16</v>
      </c>
      <c r="G23" s="3">
        <f t="shared" si="4"/>
        <v>126</v>
      </c>
      <c r="H23" s="4">
        <f t="shared" si="5"/>
        <v>0</v>
      </c>
    </row>
    <row r="24" spans="1:8" ht="27" customHeight="1">
      <c r="A24" s="1">
        <v>4</v>
      </c>
      <c r="B24" s="9" t="s">
        <v>11</v>
      </c>
      <c r="C24" s="1">
        <v>630</v>
      </c>
      <c r="D24" s="1">
        <v>504</v>
      </c>
      <c r="E24" s="1">
        <v>2024</v>
      </c>
      <c r="F24" s="5" t="s">
        <v>16</v>
      </c>
      <c r="G24" s="3">
        <f t="shared" si="4"/>
        <v>126</v>
      </c>
      <c r="H24" s="4">
        <f t="shared" si="5"/>
        <v>0</v>
      </c>
    </row>
    <row r="25" spans="1:8" ht="33.75" customHeight="1">
      <c r="A25" s="1">
        <v>4</v>
      </c>
      <c r="B25" s="9" t="s">
        <v>18</v>
      </c>
      <c r="C25" s="1">
        <v>630</v>
      </c>
      <c r="D25" s="1">
        <v>504</v>
      </c>
      <c r="E25" s="1">
        <v>2024</v>
      </c>
      <c r="F25" s="5" t="s">
        <v>16</v>
      </c>
      <c r="G25" s="3">
        <f t="shared" si="4"/>
        <v>126</v>
      </c>
      <c r="H25" s="4">
        <f t="shared" si="5"/>
        <v>0</v>
      </c>
    </row>
    <row r="26" spans="1:8" ht="33.75" customHeight="1">
      <c r="A26" s="1">
        <v>4</v>
      </c>
      <c r="B26" s="9" t="s">
        <v>14</v>
      </c>
      <c r="C26" s="1">
        <v>630</v>
      </c>
      <c r="D26" s="1">
        <v>504</v>
      </c>
      <c r="E26" s="1">
        <v>2024</v>
      </c>
      <c r="F26" s="5" t="s">
        <v>16</v>
      </c>
      <c r="G26" s="3">
        <f t="shared" si="4"/>
        <v>126</v>
      </c>
      <c r="H26" s="4">
        <f t="shared" si="5"/>
        <v>0</v>
      </c>
    </row>
    <row r="27" spans="1:8" ht="33.75" customHeight="1">
      <c r="A27" s="1">
        <v>4</v>
      </c>
      <c r="B27" s="9" t="s">
        <v>19</v>
      </c>
      <c r="C27" s="1">
        <v>630</v>
      </c>
      <c r="D27" s="1">
        <v>504</v>
      </c>
      <c r="E27" s="1">
        <v>2024</v>
      </c>
      <c r="F27" s="5" t="s">
        <v>16</v>
      </c>
      <c r="G27" s="3">
        <f t="shared" si="4"/>
        <v>126</v>
      </c>
      <c r="H27" s="4">
        <f t="shared" si="5"/>
        <v>0</v>
      </c>
    </row>
    <row r="28" spans="1:8" ht="27.75" customHeight="1">
      <c r="A28" s="1">
        <v>4</v>
      </c>
      <c r="B28" s="9" t="s">
        <v>20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21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553</v>
      </c>
      <c r="D31" s="1">
        <v>600</v>
      </c>
      <c r="E31" s="1">
        <v>2025</v>
      </c>
      <c r="F31" s="5" t="s">
        <v>16</v>
      </c>
      <c r="G31" s="3">
        <f t="shared" ref="G31:G39" si="6">IF((C31-D31)&lt;0,0,C31-D31)</f>
        <v>0</v>
      </c>
      <c r="H31" s="4">
        <f t="shared" ref="H31:H39" si="7">IF((D31-C31)&lt;0,0,D31-C31)</f>
        <v>47</v>
      </c>
    </row>
    <row r="32" spans="1:8" ht="27.75" customHeight="1">
      <c r="A32" s="1">
        <v>5</v>
      </c>
      <c r="B32" s="9" t="s">
        <v>17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18</v>
      </c>
      <c r="C35" s="1">
        <v>553</v>
      </c>
      <c r="D35" s="1">
        <v>600</v>
      </c>
      <c r="E35" s="1">
        <v>2025</v>
      </c>
      <c r="F35" s="5" t="s">
        <v>16</v>
      </c>
      <c r="G35" s="3">
        <f t="shared" si="6"/>
        <v>0</v>
      </c>
      <c r="H35" s="4">
        <f t="shared" si="7"/>
        <v>47</v>
      </c>
    </row>
    <row r="36" spans="1:8" ht="27.75" customHeight="1">
      <c r="A36" s="1">
        <v>5</v>
      </c>
      <c r="B36" s="9" t="s">
        <v>14</v>
      </c>
      <c r="C36" s="1">
        <v>553</v>
      </c>
      <c r="D36" s="1">
        <v>600</v>
      </c>
      <c r="E36" s="1">
        <v>2025</v>
      </c>
      <c r="F36" s="5" t="s">
        <v>16</v>
      </c>
      <c r="G36" s="3">
        <f t="shared" si="6"/>
        <v>0</v>
      </c>
      <c r="H36" s="4">
        <f t="shared" si="7"/>
        <v>47</v>
      </c>
    </row>
    <row r="37" spans="1:8" ht="27.75" customHeight="1">
      <c r="A37" s="1">
        <v>5</v>
      </c>
      <c r="B37" s="9" t="s">
        <v>19</v>
      </c>
      <c r="C37" s="1">
        <v>553</v>
      </c>
      <c r="D37" s="1">
        <v>600</v>
      </c>
      <c r="E37" s="1">
        <v>2025</v>
      </c>
      <c r="F37" s="5" t="s">
        <v>16</v>
      </c>
      <c r="G37" s="3">
        <f t="shared" si="6"/>
        <v>0</v>
      </c>
      <c r="H37" s="4">
        <f t="shared" si="7"/>
        <v>47</v>
      </c>
    </row>
    <row r="38" spans="1:8" ht="27.75" customHeight="1">
      <c r="A38" s="1">
        <v>5</v>
      </c>
      <c r="B38" s="9" t="s">
        <v>20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21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17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18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19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20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21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17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22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18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14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19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23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21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17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22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24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14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19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23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21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17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22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24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14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19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23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21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17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22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24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14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19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23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21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25</v>
      </c>
      <c r="B91" s="9" t="s">
        <v>26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25</v>
      </c>
      <c r="B92" s="9" t="s">
        <v>27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25</v>
      </c>
      <c r="B93" s="9" t="s">
        <v>28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25</v>
      </c>
      <c r="B94" s="9" t="s">
        <v>29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25</v>
      </c>
      <c r="B95" s="9" t="s">
        <v>30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25</v>
      </c>
      <c r="B96" s="9" t="s">
        <v>31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25</v>
      </c>
      <c r="B97" s="9" t="s">
        <v>32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25</v>
      </c>
      <c r="B98" s="9" t="s">
        <v>33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zoomScale="70" zoomScaleNormal="70" workbookViewId="0"/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34</v>
      </c>
      <c r="E1" s="42"/>
      <c r="F1" s="42"/>
      <c r="G1" s="42"/>
      <c r="H1" s="42"/>
      <c r="I1" s="42"/>
      <c r="J1" s="43" t="s">
        <v>35</v>
      </c>
      <c r="K1" s="43"/>
      <c r="L1" s="43"/>
      <c r="M1" s="43"/>
      <c r="N1" s="43"/>
      <c r="O1" s="43"/>
      <c r="P1" s="44" t="s">
        <v>36</v>
      </c>
      <c r="Q1" s="44"/>
      <c r="R1" s="44"/>
      <c r="S1" s="44"/>
      <c r="T1" s="44"/>
      <c r="U1" s="44"/>
      <c r="V1" s="45" t="s">
        <v>37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38</v>
      </c>
      <c r="E2" s="20" t="s">
        <v>39</v>
      </c>
      <c r="F2" s="21" t="s">
        <v>40</v>
      </c>
      <c r="G2" s="24" t="s">
        <v>41</v>
      </c>
      <c r="H2" s="17" t="s">
        <v>42</v>
      </c>
      <c r="I2" s="24" t="s">
        <v>43</v>
      </c>
      <c r="J2" s="22" t="s">
        <v>44</v>
      </c>
      <c r="K2" s="22" t="s">
        <v>45</v>
      </c>
      <c r="L2" s="23" t="s">
        <v>46</v>
      </c>
      <c r="M2" s="40" t="s">
        <v>47</v>
      </c>
      <c r="N2" s="40" t="s">
        <v>48</v>
      </c>
      <c r="O2" s="22" t="s">
        <v>49</v>
      </c>
      <c r="P2" s="24" t="s">
        <v>50</v>
      </c>
      <c r="Q2" s="24" t="s">
        <v>51</v>
      </c>
      <c r="R2" s="25" t="s">
        <v>52</v>
      </c>
      <c r="S2" s="17" t="s">
        <v>53</v>
      </c>
      <c r="T2" s="17" t="s">
        <v>54</v>
      </c>
      <c r="U2" s="24" t="s">
        <v>55</v>
      </c>
      <c r="V2" s="26" t="s">
        <v>56</v>
      </c>
      <c r="W2" s="26" t="s">
        <v>57</v>
      </c>
      <c r="X2" s="27" t="s">
        <v>58</v>
      </c>
      <c r="Y2" s="41" t="s">
        <v>59</v>
      </c>
      <c r="Z2" s="41" t="s">
        <v>60</v>
      </c>
      <c r="AA2" s="26" t="s">
        <v>61</v>
      </c>
    </row>
    <row r="3" spans="1:27" ht="30.6" customHeight="1">
      <c r="A3" s="39" t="s">
        <v>62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10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11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12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13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15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17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63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10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11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12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13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17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15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63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10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11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14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12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13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15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17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63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15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17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13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11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18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14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19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20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21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15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17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13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11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18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14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19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20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21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15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17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13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11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18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14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19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20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21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15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17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22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18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14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19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23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21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15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17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22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24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14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19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23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21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15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17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22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24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14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19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23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21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15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17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22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24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14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19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23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21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25</v>
      </c>
      <c r="B103" s="9" t="s">
        <v>26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25</v>
      </c>
      <c r="B104" s="9" t="s">
        <v>27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25</v>
      </c>
      <c r="B105" s="9" t="s">
        <v>28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25</v>
      </c>
      <c r="B106" s="9" t="s">
        <v>29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25</v>
      </c>
      <c r="B107" s="9" t="s">
        <v>30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25</v>
      </c>
      <c r="B108" s="9" t="s">
        <v>31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25</v>
      </c>
      <c r="B109" s="9" t="s">
        <v>32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25</v>
      </c>
      <c r="B110" s="9" t="s">
        <v>33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zoomScale="55" zoomScaleNormal="55" workbookViewId="0">
      <selection activeCell="B1" sqref="B1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34</v>
      </c>
      <c r="E1" s="42"/>
      <c r="F1" s="42"/>
      <c r="G1" s="42"/>
      <c r="H1" s="42"/>
      <c r="I1" s="42"/>
      <c r="J1" s="43" t="s">
        <v>35</v>
      </c>
      <c r="K1" s="43"/>
      <c r="L1" s="43"/>
      <c r="M1" s="43"/>
      <c r="N1" s="43"/>
      <c r="O1" s="43"/>
      <c r="P1" s="44" t="s">
        <v>36</v>
      </c>
      <c r="Q1" s="44"/>
      <c r="R1" s="44"/>
      <c r="S1" s="44"/>
      <c r="T1" s="44"/>
      <c r="U1" s="44"/>
      <c r="V1" s="45" t="s">
        <v>37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64</v>
      </c>
      <c r="E2" s="20" t="s">
        <v>65</v>
      </c>
      <c r="F2" s="21" t="s">
        <v>66</v>
      </c>
      <c r="G2" s="24" t="s">
        <v>67</v>
      </c>
      <c r="H2" s="17" t="s">
        <v>68</v>
      </c>
      <c r="I2" s="24" t="s">
        <v>69</v>
      </c>
      <c r="J2" s="22" t="s">
        <v>70</v>
      </c>
      <c r="K2" s="22" t="s">
        <v>71</v>
      </c>
      <c r="L2" s="23" t="s">
        <v>72</v>
      </c>
      <c r="M2" s="40" t="s">
        <v>73</v>
      </c>
      <c r="N2" s="40" t="s">
        <v>74</v>
      </c>
      <c r="O2" s="22" t="s">
        <v>75</v>
      </c>
      <c r="P2" s="24" t="s">
        <v>76</v>
      </c>
      <c r="Q2" s="24" t="s">
        <v>77</v>
      </c>
      <c r="R2" s="25" t="s">
        <v>78</v>
      </c>
      <c r="S2" s="17" t="s">
        <v>79</v>
      </c>
      <c r="T2" s="17" t="s">
        <v>80</v>
      </c>
      <c r="U2" s="24" t="s">
        <v>81</v>
      </c>
      <c r="V2" s="26" t="s">
        <v>82</v>
      </c>
      <c r="W2" s="26" t="s">
        <v>83</v>
      </c>
      <c r="X2" s="27" t="s">
        <v>84</v>
      </c>
      <c r="Y2" s="41" t="s">
        <v>85</v>
      </c>
      <c r="Z2" s="41" t="s">
        <v>86</v>
      </c>
      <c r="AA2" s="26" t="s">
        <v>87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10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11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12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13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15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17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63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10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11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12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13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17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15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63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10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11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14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12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13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15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17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63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15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17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13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11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18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14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88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89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20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90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91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15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17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13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11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18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14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88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89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20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90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91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15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17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13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11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18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14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88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89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20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90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91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15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17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22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18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14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88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89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23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90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91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15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17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22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24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14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88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89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23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90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91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15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17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22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24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14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88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89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23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90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91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15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17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22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24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14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88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89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23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90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91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25</v>
      </c>
      <c r="B115" s="9" t="s">
        <v>26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25</v>
      </c>
      <c r="B116" s="9" t="s">
        <v>27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25</v>
      </c>
      <c r="B117" s="9" t="s">
        <v>28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25</v>
      </c>
      <c r="B118" s="9" t="s">
        <v>29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25</v>
      </c>
      <c r="B119" s="9" t="s">
        <v>30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25</v>
      </c>
      <c r="B120" s="9" t="s">
        <v>31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25</v>
      </c>
      <c r="B121" s="9" t="s">
        <v>32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25</v>
      </c>
      <c r="B122" s="9" t="s">
        <v>33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2025-11-19T20:48:15Z</dcterms:created>
  <dcterms:modified xsi:type="dcterms:W3CDTF">2026-01-21T02:18:33Z</dcterms:modified>
  <cp:category/>
  <cp:contentStatus/>
</cp:coreProperties>
</file>