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7" documentId="13_ncr:1_{BFB59F67-F0DC-4675-A682-EB0734A8026A}" xr6:coauthVersionLast="47" xr6:coauthVersionMax="47" xr10:uidLastSave="{0B95EFE0-C928-49E6-945C-1290A781A2B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<sst xmlns="http://schemas.openxmlformats.org/spreadsheetml/2006/main" count="406" uniqueCount="91">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</sst>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1" activePane="topRight" state="frozen"/>
      <selection pane="topRight" activeCell="E20" sqref="E2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361</v>
      </c>
      <c r="D2" s="1">
        <v>555</v>
      </c>
      <c r="E2" s="1">
        <v>2025</v>
      </c>
      <c r="F2" s="5"/>
      <c r="G2" s="3">
        <f>IF((C2-D2)&lt;0,0,C2-D2)</f>
        <v>0</v>
      </c>
      <c r="H2" s="4">
        <f>IF((D2-C2)&lt;0,0,D2-C2)</f>
        <v>194</v>
      </c>
    </row>
    <row r="3" spans="1:8" ht="29.25" customHeight="1">
      <c r="A3" s="1">
        <v>1</v>
      </c>
      <c r="B3" s="2" t="s">
        <v>9</v>
      </c>
      <c r="C3" s="1">
        <v>361</v>
      </c>
      <c r="D3" s="1">
        <v>555</v>
      </c>
      <c r="E3" s="1">
        <v>2025</v>
      </c>
      <c r="F3" s="5"/>
      <c r="G3" s="3">
        <f>IF((C3-D3)&lt;0,0,C3-D3)</f>
        <v>0</v>
      </c>
      <c r="H3" s="4">
        <f>IF((D3-C3)&lt;0,0,D3-C3)</f>
        <v>194</v>
      </c>
    </row>
    <row r="4" spans="1:8" ht="21" customHeight="1">
      <c r="A4" s="1">
        <v>1</v>
      </c>
      <c r="B4" s="2" t="s">
        <v>10</v>
      </c>
      <c r="C4" s="1">
        <v>361</v>
      </c>
      <c r="D4" s="1">
        <v>555</v>
      </c>
      <c r="E4" s="1">
        <v>2024</v>
      </c>
      <c r="F4" s="5"/>
      <c r="G4" s="3">
        <f>IF((C4-D4)&lt;0,0,C4-D4)</f>
        <v>0</v>
      </c>
      <c r="H4" s="4">
        <f>IF((D4-C4)&lt;0,0,D4-C4)</f>
        <v>194</v>
      </c>
    </row>
    <row r="5" spans="1:8" ht="25.5" customHeight="1">
      <c r="A5" s="1">
        <v>1</v>
      </c>
      <c r="B5" s="2" t="s">
        <v>11</v>
      </c>
      <c r="C5" s="1">
        <v>361</v>
      </c>
      <c r="D5" s="1">
        <v>555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194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436</v>
      </c>
      <c r="D21" s="1">
        <v>475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39</v>
      </c>
    </row>
    <row r="22" spans="1:8" ht="24" customHeight="1">
      <c r="A22" s="1">
        <v>4</v>
      </c>
      <c r="B22" s="9" t="s">
        <v>15</v>
      </c>
      <c r="C22" s="1">
        <v>436</v>
      </c>
      <c r="D22" s="1">
        <v>475</v>
      </c>
      <c r="E22" s="1">
        <v>2024</v>
      </c>
      <c r="F22" s="5"/>
      <c r="G22" s="3">
        <f t="shared" si="4"/>
        <v>0</v>
      </c>
      <c r="H22" s="4">
        <f t="shared" si="5"/>
        <v>39</v>
      </c>
    </row>
    <row r="23" spans="1:8" ht="19.5">
      <c r="A23" s="1">
        <v>4</v>
      </c>
      <c r="B23" s="9" t="s">
        <v>12</v>
      </c>
      <c r="C23" s="1">
        <v>436</v>
      </c>
      <c r="D23" s="1">
        <v>475</v>
      </c>
      <c r="E23" s="1">
        <v>2024</v>
      </c>
      <c r="F23" s="5"/>
      <c r="G23" s="3">
        <f t="shared" si="4"/>
        <v>0</v>
      </c>
      <c r="H23" s="4">
        <f t="shared" si="5"/>
        <v>39</v>
      </c>
    </row>
    <row r="24" spans="1:8" ht="27" customHeight="1">
      <c r="A24" s="1">
        <v>4</v>
      </c>
      <c r="B24" s="9" t="s">
        <v>10</v>
      </c>
      <c r="C24" s="1">
        <v>436</v>
      </c>
      <c r="D24" s="1">
        <v>475</v>
      </c>
      <c r="E24" s="1">
        <v>2024</v>
      </c>
      <c r="F24" s="5"/>
      <c r="G24" s="3">
        <f t="shared" si="4"/>
        <v>0</v>
      </c>
      <c r="H24" s="4">
        <f t="shared" si="5"/>
        <v>39</v>
      </c>
    </row>
    <row r="25" spans="1:8" ht="33.75" customHeight="1">
      <c r="A25" s="1">
        <v>4</v>
      </c>
      <c r="B25" s="9" t="s">
        <v>16</v>
      </c>
      <c r="C25" s="1">
        <v>436</v>
      </c>
      <c r="D25" s="1">
        <v>475</v>
      </c>
      <c r="E25" s="1">
        <v>2024</v>
      </c>
      <c r="F25" s="5"/>
      <c r="G25" s="3">
        <f t="shared" si="4"/>
        <v>0</v>
      </c>
      <c r="H25" s="4">
        <f t="shared" si="5"/>
        <v>39</v>
      </c>
    </row>
    <row r="26" spans="1:8" ht="33.75" customHeight="1">
      <c r="A26" s="1">
        <v>4</v>
      </c>
      <c r="B26" s="9" t="s">
        <v>13</v>
      </c>
      <c r="C26" s="1">
        <v>436</v>
      </c>
      <c r="D26" s="1">
        <v>475</v>
      </c>
      <c r="E26" s="1">
        <v>2024</v>
      </c>
      <c r="F26" s="5"/>
      <c r="G26" s="3">
        <f t="shared" si="4"/>
        <v>0</v>
      </c>
      <c r="H26" s="4">
        <f t="shared" si="5"/>
        <v>39</v>
      </c>
    </row>
    <row r="27" spans="1:8" ht="33.75" customHeight="1">
      <c r="A27" s="1">
        <v>4</v>
      </c>
      <c r="B27" s="9" t="s">
        <v>17</v>
      </c>
      <c r="C27" s="1">
        <v>436</v>
      </c>
      <c r="D27" s="1">
        <v>475</v>
      </c>
      <c r="E27" s="1">
        <v>2024</v>
      </c>
      <c r="F27" s="5"/>
      <c r="G27" s="3">
        <f t="shared" si="4"/>
        <v>0</v>
      </c>
      <c r="H27" s="4">
        <f t="shared" si="5"/>
        <v>39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435</v>
      </c>
      <c r="D31" s="1">
        <v>506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71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435</v>
      </c>
      <c r="D35" s="1">
        <v>506</v>
      </c>
      <c r="E35" s="1">
        <v>2025</v>
      </c>
      <c r="F35" s="5"/>
      <c r="G35" s="3">
        <f t="shared" si="6"/>
        <v>0</v>
      </c>
      <c r="H35" s="4">
        <f t="shared" si="7"/>
        <v>71</v>
      </c>
    </row>
    <row r="36" spans="1:8" ht="27.75" customHeight="1">
      <c r="A36" s="1">
        <v>5</v>
      </c>
      <c r="B36" s="9" t="s">
        <v>13</v>
      </c>
      <c r="C36" s="1">
        <v>435</v>
      </c>
      <c r="D36" s="1">
        <v>506</v>
      </c>
      <c r="E36" s="1">
        <v>2025</v>
      </c>
      <c r="F36" s="5"/>
      <c r="G36" s="3">
        <f t="shared" si="6"/>
        <v>0</v>
      </c>
      <c r="H36" s="4">
        <f t="shared" si="7"/>
        <v>71</v>
      </c>
    </row>
    <row r="37" spans="1:8" ht="27.75" customHeight="1">
      <c r="A37" s="1">
        <v>5</v>
      </c>
      <c r="B37" s="9" t="s">
        <v>17</v>
      </c>
      <c r="C37" s="1">
        <v>435</v>
      </c>
      <c r="D37" s="1">
        <v>506</v>
      </c>
      <c r="E37" s="1">
        <v>2025</v>
      </c>
      <c r="F37" s="5"/>
      <c r="G37" s="3">
        <f t="shared" si="6"/>
        <v>0</v>
      </c>
      <c r="H37" s="4">
        <f t="shared" si="7"/>
        <v>71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21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91:E98 E81:E89 E71:E79 E61:E69 E51:E59 E41:E49 E31:E39 E22:E29 E14:E19" xr:uid="{DDA9FC13-DEEE-45C3-9FCE-66430C30D6B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F105" activePane="topRight" state="frozen"/>
      <selection pane="topRight"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>
        <v>535</v>
      </c>
      <c r="F3" s="32">
        <v>2025</v>
      </c>
      <c r="G3" s="34" t="s">
        <v>61</v>
      </c>
      <c r="H3" s="34">
        <f>IF((D3-E3)&lt;0,0,(D3-E3))</f>
        <v>0</v>
      </c>
      <c r="I3" s="34">
        <f>IF((E3-D3)&lt;0,0,(E3-D3))</f>
        <v>535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1">
      <c r="A16" s="1">
        <v>2</v>
      </c>
      <c r="B16" s="2" t="s">
        <v>10</v>
      </c>
      <c r="C16" s="1"/>
      <c r="D16" s="5">
        <f>Table1[[#This Row],[Enrolment S.Y. 2025-2026 ]]*8</f>
        <v>0</v>
      </c>
      <c r="E16" s="5">
        <v>388</v>
      </c>
      <c r="F16" s="32">
        <v>2025</v>
      </c>
      <c r="G16" s="34" t="s">
        <v>61</v>
      </c>
      <c r="H16" s="5">
        <f t="shared" si="2"/>
        <v>0</v>
      </c>
      <c r="I16" s="5">
        <f t="shared" si="3"/>
        <v>388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1">
      <c r="A17" s="1">
        <v>2</v>
      </c>
      <c r="B17" s="2" t="s">
        <v>11</v>
      </c>
      <c r="C17" s="1"/>
      <c r="D17" s="5">
        <f>Table1[[#This Row],[Enrolment S.Y. 2025-2026 ]]*8</f>
        <v>0</v>
      </c>
      <c r="E17" s="5">
        <v>388</v>
      </c>
      <c r="F17" s="32">
        <v>2025</v>
      </c>
      <c r="G17" s="34" t="s">
        <v>61</v>
      </c>
      <c r="H17" s="5">
        <f t="shared" si="2"/>
        <v>0</v>
      </c>
      <c r="I17" s="5">
        <f t="shared" si="3"/>
        <v>388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1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388</v>
      </c>
      <c r="F18" s="32">
        <v>2025</v>
      </c>
      <c r="G18" s="34" t="s">
        <v>61</v>
      </c>
      <c r="H18" s="5">
        <f t="shared" si="2"/>
        <v>0</v>
      </c>
      <c r="I18" s="5">
        <f t="shared" si="3"/>
        <v>388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1">
      <c r="A19" s="1">
        <v>2</v>
      </c>
      <c r="B19" s="9" t="s">
        <v>15</v>
      </c>
      <c r="C19" s="1"/>
      <c r="D19" s="5">
        <f>Table1[[#This Row],[Enrolment S.Y. 2025-2026 ]]*8</f>
        <v>0</v>
      </c>
      <c r="E19" s="5">
        <v>388</v>
      </c>
      <c r="F19" s="1">
        <v>2025</v>
      </c>
      <c r="G19" s="5" t="s">
        <v>61</v>
      </c>
      <c r="H19" s="5">
        <f>IF((D19-E19)&lt;0,0,(D19-E19))</f>
        <v>0</v>
      </c>
      <c r="I19" s="5">
        <f>IF((E19-D19)&lt;0,0,(E19-D19))</f>
        <v>388</v>
      </c>
      <c r="J19" s="5">
        <f>Table1[[#This Row],[Enrolment S.Y. 2025-2026 ]]*8</f>
        <v>0</v>
      </c>
      <c r="K19" s="5">
        <v>413</v>
      </c>
      <c r="L19" s="32">
        <v>2025</v>
      </c>
      <c r="M19" s="34" t="s">
        <v>61</v>
      </c>
      <c r="N19" s="5">
        <f t="shared" si="10"/>
        <v>0</v>
      </c>
      <c r="O19" s="5">
        <f t="shared" si="11"/>
        <v>413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1">
      <c r="A20" s="1">
        <v>2</v>
      </c>
      <c r="B20" s="9" t="s">
        <v>14</v>
      </c>
      <c r="C20" s="1"/>
      <c r="D20" s="5">
        <f>Table1[[#This Row],[Enrolment S.Y. 2025-2026 ]]*8</f>
        <v>0</v>
      </c>
      <c r="E20" s="5">
        <v>388</v>
      </c>
      <c r="F20" s="32">
        <v>2025</v>
      </c>
      <c r="G20" s="34" t="s">
        <v>61</v>
      </c>
      <c r="H20" s="5">
        <f>IF((D20-E20)&lt;0,0,(D20-E20))</f>
        <v>0</v>
      </c>
      <c r="I20" s="5">
        <f>IF((E20-D20)&lt;0,0,(E20-D20))</f>
        <v>388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1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357</v>
      </c>
      <c r="F26" s="32">
        <v>2025</v>
      </c>
      <c r="G26" s="34" t="s">
        <v>61</v>
      </c>
      <c r="H26" s="5">
        <f t="shared" si="2"/>
        <v>0</v>
      </c>
      <c r="I26" s="5">
        <f t="shared" si="3"/>
        <v>357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1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357</v>
      </c>
      <c r="F27" s="32">
        <v>2025</v>
      </c>
      <c r="G27" s="34" t="s">
        <v>61</v>
      </c>
      <c r="H27" s="5">
        <f t="shared" si="2"/>
        <v>0</v>
      </c>
      <c r="I27" s="5">
        <f t="shared" si="3"/>
        <v>357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1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357</v>
      </c>
      <c r="F28" s="32">
        <v>2025</v>
      </c>
      <c r="G28" s="34" t="s">
        <v>61</v>
      </c>
      <c r="H28" s="5">
        <f t="shared" si="2"/>
        <v>0</v>
      </c>
      <c r="I28" s="5">
        <f t="shared" si="3"/>
        <v>357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1">
      <c r="A29" s="1">
        <v>3</v>
      </c>
      <c r="B29" s="9" t="s">
        <v>14</v>
      </c>
      <c r="C29" s="1"/>
      <c r="D29" s="5">
        <f>Table1[[#This Row],[Enrolment S.Y. 2025-2026 ]]*8</f>
        <v>0</v>
      </c>
      <c r="E29" s="5">
        <v>357</v>
      </c>
      <c r="F29" s="32">
        <v>2025</v>
      </c>
      <c r="G29" s="34" t="s">
        <v>61</v>
      </c>
      <c r="H29" s="5">
        <f>IF((D29-E29)&lt;0,0,(D29-E29))</f>
        <v>0</v>
      </c>
      <c r="I29" s="5">
        <f>IF((E29-D29)&lt;0,0,(E29-D29))</f>
        <v>357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>
        <v>441</v>
      </c>
      <c r="L43" s="32">
        <v>2025</v>
      </c>
      <c r="M43" s="34" t="s">
        <v>61</v>
      </c>
      <c r="N43" s="5">
        <f t="shared" si="10"/>
        <v>0</v>
      </c>
      <c r="O43" s="5">
        <f t="shared" si="11"/>
        <v>441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1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175</v>
      </c>
      <c r="F44" s="32">
        <v>2025</v>
      </c>
      <c r="G44" s="34" t="s">
        <v>61</v>
      </c>
      <c r="H44" s="5">
        <f t="shared" si="2"/>
        <v>0</v>
      </c>
      <c r="I44" s="5">
        <f t="shared" si="3"/>
        <v>175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1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175</v>
      </c>
      <c r="F45" s="32">
        <v>2025</v>
      </c>
      <c r="G45" s="34" t="s">
        <v>61</v>
      </c>
      <c r="H45" s="5">
        <f t="shared" si="2"/>
        <v>0</v>
      </c>
      <c r="I45" s="5">
        <f t="shared" si="3"/>
        <v>175</v>
      </c>
      <c r="J45" s="5">
        <f>Table1[[#This Row],[Enrolment S.Y. 2025-2026 ]]*8</f>
        <v>0</v>
      </c>
      <c r="K45" s="5">
        <v>441</v>
      </c>
      <c r="L45" s="32">
        <v>2025</v>
      </c>
      <c r="M45" s="34" t="s">
        <v>61</v>
      </c>
      <c r="N45" s="5">
        <f t="shared" si="10"/>
        <v>0</v>
      </c>
      <c r="O45" s="5">
        <f t="shared" si="11"/>
        <v>441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1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175</v>
      </c>
      <c r="F46" s="32">
        <v>2025</v>
      </c>
      <c r="G46" s="34" t="s">
        <v>61</v>
      </c>
      <c r="H46" s="5">
        <f t="shared" si="2"/>
        <v>0</v>
      </c>
      <c r="I46" s="5">
        <f t="shared" si="3"/>
        <v>175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1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175</v>
      </c>
      <c r="F48" s="32">
        <v>2025</v>
      </c>
      <c r="G48" s="34" t="s">
        <v>61</v>
      </c>
      <c r="H48" s="5">
        <f t="shared" si="2"/>
        <v>0</v>
      </c>
      <c r="I48" s="5">
        <f t="shared" si="3"/>
        <v>175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1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175</v>
      </c>
      <c r="F49" s="32">
        <v>2025</v>
      </c>
      <c r="G49" s="34" t="s">
        <v>61</v>
      </c>
      <c r="H49" s="5">
        <f t="shared" si="2"/>
        <v>0</v>
      </c>
      <c r="I49" s="5">
        <f t="shared" si="3"/>
        <v>175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D14:F21 D23:F31 D43:F51 K14:L21 K43:L51" name="LAS"/>
    <protectedRange sqref="G2:I3 M2:O2 S2:U3 Y2:AA3 G112:G127 M112:M127 S112:S127 Y112:Y127 G5:G12 M5:M12 S4:S110 Y5:Y12 M3 Y14:Y110 G33:G41 G53:G61 G63:G71 G73:G81 G83:G91 G93:G101 G103:G110 G14:G21 G23:G31 G43:G51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G50:G51 Y14:Y110 S4:S110 G5:G12 M5:M12 Y5:Y12 G103:G110 G21 G33:G41 G30:G31 G53:G61 G63:G71 G73:G81 G83:G91 G93:G101 G14:G15 G19 G23:G25 G43 G47 M14:M18 M20:M42 M44 M46:M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21835AD9-D9CF-486C-B5AF-430333EA549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21" zoomScale="55" zoomScaleNormal="55" workbookViewId="0">
      <selection activeCell="M161" sqref="M1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2026-03-17T03:02:57Z</dcterms:modified>
  <cp:category/>
  <cp:contentStatus/>
</cp:coreProperties>
</file>