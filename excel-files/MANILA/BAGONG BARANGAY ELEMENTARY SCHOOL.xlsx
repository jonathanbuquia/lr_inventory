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6" documentId="13_ncr:1_{BFB59F67-F0DC-4675-A682-EB0734A8026A}" xr6:coauthVersionLast="47" xr6:coauthVersionMax="47" xr10:uidLastSave="{769A7A43-C40D-48FC-A1FA-7794F7DD6FF0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G23" i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I4" i="5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<sst xmlns="http://schemas.openxmlformats.org/spreadsheetml/2006/main" count="240" uniqueCount="81">
  <si>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</si>
  <si>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</si>
  <si>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</si>
  <si>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</si>
  <si>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</si>
  <si>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</si>
  <si>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</si>
  <si>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</si>
  <si>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</si>
  <si>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</si>
  <si>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RO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</si>
  <si>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</si>
  <si>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</si>
  <si>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</si>
  <si>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</si>
  <si>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</si>
  <si>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</si>
  <si>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</si>
  <si>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</si>
  <si>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</si>
  <si>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</si>
  <si>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</si>
  <si>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</si>
  <si>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</si>
  <si>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</si>
  <si>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</si>
  <si>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</si>
  <si>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</si>
  <si>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</si>
  <si>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</si>
  <si>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</si>
  <si>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</si>
  <si>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</si>
  <si>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</si>
  <si>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</si>
  <si>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</si>
  <si>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</si>
  <si>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</si>
  <si>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</si>
  <si>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</si>
  <si>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</si>
  <si>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</si>
  <si>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</si>
  <si>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</si>
  <si>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</si>
  <si>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</si>
  <si>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</si>
  <si>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</si>
  <si>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</si>
  <si>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</si>
  <si>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</si>
  <si>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</si>
  <si>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</si>
  <si>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</si>
  <si>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</si>
  <si>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</si>
  <si>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</si>
  <si>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</si>
  <si>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</si>
  <si>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</si>
  <si>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</si>
  <si>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</si>
  <si>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</si>
  <si>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</si>
  <si>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</si>
  <si>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</si>
  <si>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</si>
  <si>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</si>
  <si>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</si>
  <si>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</si>
  <si>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</si>
  <si>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</si>
  <si>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</si>
  <si>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</si>
  <si>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</si>
  <si>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</si>
  <si>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LGU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</si>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</sst>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4" activePane="topRight" state="frozen"/>
      <selection pane="topRight" activeCell="D55" sqref="D5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271</v>
      </c>
      <c r="D3" s="1">
        <v>341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70</v>
      </c>
    </row>
    <row r="4" spans="1:8" ht="21" customHeight="1">
      <c r="A4" s="1">
        <v>1</v>
      </c>
      <c r="B4" s="2" t="s">
        <v>11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271</v>
      </c>
      <c r="D5" s="1">
        <v>341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70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285</v>
      </c>
      <c r="D23" s="1">
        <v>285</v>
      </c>
      <c r="E23" s="1">
        <v>2024</v>
      </c>
      <c r="F23" s="5" t="s">
        <v>17</v>
      </c>
      <c r="G23" s="3">
        <f>IF((C23-D23)&lt;0,0,C23-D23)</f>
        <v>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285</v>
      </c>
      <c r="D24" s="1">
        <v>285</v>
      </c>
      <c r="E24" s="1">
        <v>2024</v>
      </c>
      <c r="F24" s="5" t="s">
        <v>17</v>
      </c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39" customHeight="1"/>
    <row r="55" spans="1:8" ht="27.75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39.75" customHeight="1"/>
    <row r="91" ht="27.75" customHeight="1"/>
    <row r="92" ht="27.75" customHeight="1"/>
    <row r="93" ht="27.75" customHeight="1"/>
    <row r="94" ht="40.5" customHeight="1"/>
    <row r="95" ht="38.25" customHeight="1"/>
    <row r="96" ht="27.75" customHeight="1"/>
    <row r="97" ht="47.25" customHeight="1"/>
    <row r="98" ht="15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49" xr:uid="{DCF6ED6C-D782-4AA1-8A01-0639979578C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2" zoomScale="70" zoomScaleNormal="70" workbookViewId="0">
      <selection activeCell="H81" sqref="H8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A3F5D4C2-4F95-424F-B082-F3EBEAD65664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45" zoomScale="55" zoomScaleNormal="55" workbookViewId="0">
      <selection activeCell="I80" sqref="I8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271</v>
      </c>
      <c r="D3" s="5">
        <f>Table14[[#This Row],[Enrolment S.Y. 2025-2026 ]]*8</f>
        <v>2168</v>
      </c>
      <c r="E3" s="5">
        <v>150</v>
      </c>
      <c r="F3" s="1">
        <v>2025</v>
      </c>
      <c r="G3" s="5" t="s">
        <v>76</v>
      </c>
      <c r="H3" s="5">
        <f t="shared" ref="H3:H65" si="0">IF((D3-E3)&lt;0,0,(D3-E3))</f>
        <v>2018</v>
      </c>
      <c r="I3" s="5">
        <f t="shared" ref="I3:I65" si="1">IF((E3-D3)&lt;0,0,(E3-D3))</f>
        <v>0</v>
      </c>
      <c r="J3" s="5">
        <f>Table14[[#This Row],[Enrolment S.Y. 2025-2026 ]]*8</f>
        <v>2168</v>
      </c>
      <c r="K3" s="5"/>
      <c r="L3" s="1"/>
      <c r="M3" s="5"/>
      <c r="N3" s="5">
        <f t="shared" ref="N3:N60" si="2">IF((J3-K3)&lt;0,0,(J3-K3))</f>
        <v>2168</v>
      </c>
      <c r="O3" s="5">
        <f t="shared" ref="O3:O60" si="3">IF((K3-J3)&lt;0,0,(K3-J3))</f>
        <v>0</v>
      </c>
      <c r="P3" s="5">
        <f>Table14[[#This Row],[Enrolment S.Y. 2025-2026 ]]*8</f>
        <v>2168</v>
      </c>
      <c r="Q3" s="5"/>
      <c r="R3" s="1"/>
      <c r="S3" s="5"/>
      <c r="T3" s="5">
        <f t="shared" ref="T3:T65" si="4">IF((P3-Q3)&lt;0,0,(P3-Q3))</f>
        <v>2168</v>
      </c>
      <c r="U3" s="5">
        <f t="shared" ref="U3:U65" si="5">IF((Q3-P3)&lt;0,0,(Q3-P3))</f>
        <v>0</v>
      </c>
      <c r="V3" s="5">
        <f>Table14[[#This Row],[Enrolment S.Y. 2025-2026 ]]*8</f>
        <v>2168</v>
      </c>
      <c r="W3" s="5"/>
      <c r="X3" s="1"/>
      <c r="Y3" s="5"/>
      <c r="Z3" s="5">
        <f t="shared" ref="Z3:Z65" si="6">IF((V3-W3)&lt;0,0,(V3-W3))</f>
        <v>2168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271</v>
      </c>
      <c r="D4" s="5">
        <f>Table14[[#This Row],[Enrolment S.Y. 2025-2026 ]]*8</f>
        <v>2168</v>
      </c>
      <c r="E4" s="5">
        <v>1</v>
      </c>
      <c r="F4" s="1">
        <v>2025</v>
      </c>
      <c r="G4" s="5" t="s">
        <v>17</v>
      </c>
      <c r="H4" s="5">
        <f t="shared" si="0"/>
        <v>2167</v>
      </c>
      <c r="I4" s="5">
        <f t="shared" si="1"/>
        <v>0</v>
      </c>
      <c r="J4" s="5">
        <f>Table14[[#This Row],[Enrolment S.Y. 2025-2026 ]]*8</f>
        <v>2168</v>
      </c>
      <c r="K4" s="5"/>
      <c r="L4" s="1"/>
      <c r="M4" s="5"/>
      <c r="N4" s="5">
        <f t="shared" si="2"/>
        <v>2168</v>
      </c>
      <c r="O4" s="5">
        <f t="shared" si="3"/>
        <v>0</v>
      </c>
      <c r="P4" s="5">
        <f>Table14[[#This Row],[Enrolment S.Y. 2025-2026 ]]*8</f>
        <v>2168</v>
      </c>
      <c r="Q4" s="5"/>
      <c r="R4" s="1"/>
      <c r="S4" s="5"/>
      <c r="T4" s="5">
        <f t="shared" si="4"/>
        <v>2168</v>
      </c>
      <c r="U4" s="5">
        <f t="shared" si="5"/>
        <v>0</v>
      </c>
      <c r="V4" s="5">
        <f>Table14[[#This Row],[Enrolment S.Y. 2025-2026 ]]*8</f>
        <v>2168</v>
      </c>
      <c r="W4" s="5"/>
      <c r="X4" s="1"/>
      <c r="Y4" s="5"/>
      <c r="Z4" s="5">
        <f t="shared" si="6"/>
        <v>2168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271</v>
      </c>
      <c r="D9" s="5">
        <f>Table14[[#This Row],[Enrolment S.Y. 2025-2026 ]]*8</f>
        <v>2168</v>
      </c>
      <c r="E9" s="5">
        <v>1040</v>
      </c>
      <c r="F9" s="1">
        <v>2024</v>
      </c>
      <c r="G9" s="5" t="s">
        <v>76</v>
      </c>
      <c r="H9" s="5">
        <f>IF((D9-E9)&lt;0,0,(D9-E9))</f>
        <v>1128</v>
      </c>
      <c r="I9" s="5">
        <f>IF((E9-D9)&lt;0,0,(E9-D9))</f>
        <v>0</v>
      </c>
      <c r="J9" s="5">
        <f>Table14[[#This Row],[Enrolment S.Y. 2025-2026 ]]*8</f>
        <v>2168</v>
      </c>
      <c r="K9" s="5"/>
      <c r="L9" s="1"/>
      <c r="M9" s="5"/>
      <c r="N9" s="5">
        <f t="shared" si="2"/>
        <v>2168</v>
      </c>
      <c r="O9" s="5">
        <f t="shared" si="3"/>
        <v>0</v>
      </c>
      <c r="P9" s="5">
        <f>Table14[[#This Row],[Enrolment S.Y. 2025-2026 ]]*8</f>
        <v>2168</v>
      </c>
      <c r="Q9" s="5"/>
      <c r="R9" s="1"/>
      <c r="S9" s="5"/>
      <c r="T9" s="5">
        <f t="shared" si="4"/>
        <v>2168</v>
      </c>
      <c r="U9" s="5">
        <f t="shared" si="5"/>
        <v>0</v>
      </c>
      <c r="V9" s="5">
        <f>Table14[[#This Row],[Enrolment S.Y. 2025-2026 ]]*8</f>
        <v>2168</v>
      </c>
      <c r="W9" s="5"/>
      <c r="X9" s="1"/>
      <c r="Y9" s="5"/>
      <c r="Z9" s="5">
        <f t="shared" si="6"/>
        <v>2168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301</v>
      </c>
      <c r="D12" s="5">
        <f>Table14[[#This Row],[Enrolment S.Y. 2025-2026 ]]*8</f>
        <v>2408</v>
      </c>
      <c r="E12" s="5">
        <v>150</v>
      </c>
      <c r="F12" s="1">
        <v>2025</v>
      </c>
      <c r="G12" s="5" t="s">
        <v>76</v>
      </c>
      <c r="H12" s="5">
        <f t="shared" si="0"/>
        <v>2258</v>
      </c>
      <c r="I12" s="5">
        <f t="shared" si="1"/>
        <v>0</v>
      </c>
      <c r="J12" s="5">
        <f>Table14[[#This Row],[Enrolment S.Y. 2025-2026 ]]*8</f>
        <v>2408</v>
      </c>
      <c r="K12" s="5"/>
      <c r="L12" s="1"/>
      <c r="M12" s="5"/>
      <c r="N12" s="5">
        <f t="shared" si="2"/>
        <v>2408</v>
      </c>
      <c r="O12" s="5">
        <f t="shared" si="3"/>
        <v>0</v>
      </c>
      <c r="P12" s="5">
        <f>Table14[[#This Row],[Enrolment S.Y. 2025-2026 ]]*8</f>
        <v>2408</v>
      </c>
      <c r="Q12" s="5"/>
      <c r="R12" s="1"/>
      <c r="S12" s="5"/>
      <c r="T12" s="5">
        <f t="shared" si="4"/>
        <v>2408</v>
      </c>
      <c r="U12" s="5">
        <f t="shared" si="5"/>
        <v>0</v>
      </c>
      <c r="V12" s="5">
        <f>Table14[[#This Row],[Enrolment S.Y. 2025-2026 ]]*8</f>
        <v>2408</v>
      </c>
      <c r="W12" s="5"/>
      <c r="X12" s="1"/>
      <c r="Y12" s="5"/>
      <c r="Z12" s="5">
        <f t="shared" si="6"/>
        <v>2408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301</v>
      </c>
      <c r="D17" s="5">
        <f>Table14[[#This Row],[Enrolment S.Y. 2025-2026 ]]*8</f>
        <v>2408</v>
      </c>
      <c r="E17" s="5">
        <v>999</v>
      </c>
      <c r="F17" s="1">
        <v>2024</v>
      </c>
      <c r="G17" s="5" t="s">
        <v>76</v>
      </c>
      <c r="H17" s="5">
        <f>IF((D17-E17)&lt;0,0,(D17-E17))</f>
        <v>1409</v>
      </c>
      <c r="I17" s="5">
        <f>IF((E17-D17)&lt;0,0,(E17-D17))</f>
        <v>0</v>
      </c>
      <c r="J17" s="5">
        <f>Table14[[#This Row],[Enrolment S.Y. 2025-2026 ]]*8</f>
        <v>2408</v>
      </c>
      <c r="K17" s="5"/>
      <c r="L17" s="1"/>
      <c r="M17" s="5"/>
      <c r="N17" s="5">
        <f t="shared" si="2"/>
        <v>2408</v>
      </c>
      <c r="O17" s="5">
        <f t="shared" si="3"/>
        <v>0</v>
      </c>
      <c r="P17" s="5">
        <f>Table14[[#This Row],[Enrolment S.Y. 2025-2026 ]]*8</f>
        <v>2408</v>
      </c>
      <c r="Q17" s="5"/>
      <c r="R17" s="1"/>
      <c r="S17" s="5"/>
      <c r="T17" s="5">
        <f t="shared" si="4"/>
        <v>2408</v>
      </c>
      <c r="U17" s="5">
        <f t="shared" si="5"/>
        <v>0</v>
      </c>
      <c r="V17" s="5">
        <f>Table14[[#This Row],[Enrolment S.Y. 2025-2026 ]]*8</f>
        <v>2408</v>
      </c>
      <c r="W17" s="5"/>
      <c r="X17" s="1"/>
      <c r="Y17" s="5"/>
      <c r="Z17" s="5">
        <f t="shared" si="6"/>
        <v>2408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265</v>
      </c>
      <c r="D21" s="5">
        <f>Table14[[#This Row],[Enrolment S.Y. 2025-2026 ]]*8</f>
        <v>2120</v>
      </c>
      <c r="E21" s="5">
        <v>150</v>
      </c>
      <c r="F21" s="1">
        <v>2025</v>
      </c>
      <c r="G21" s="5" t="s">
        <v>76</v>
      </c>
      <c r="H21" s="5">
        <f t="shared" si="0"/>
        <v>1970</v>
      </c>
      <c r="I21" s="5">
        <f t="shared" si="1"/>
        <v>0</v>
      </c>
      <c r="J21" s="5">
        <f>Table14[[#This Row],[Enrolment S.Y. 2025-2026 ]]*8</f>
        <v>2120</v>
      </c>
      <c r="K21" s="5"/>
      <c r="L21" s="1"/>
      <c r="M21" s="5"/>
      <c r="N21" s="5">
        <f t="shared" si="2"/>
        <v>2120</v>
      </c>
      <c r="O21" s="5">
        <f t="shared" si="3"/>
        <v>0</v>
      </c>
      <c r="P21" s="5">
        <f>Table14[[#This Row],[Enrolment S.Y. 2025-2026 ]]*8</f>
        <v>2120</v>
      </c>
      <c r="Q21" s="5"/>
      <c r="R21" s="1"/>
      <c r="S21" s="5"/>
      <c r="T21" s="5">
        <f t="shared" si="4"/>
        <v>2120</v>
      </c>
      <c r="U21" s="5">
        <f t="shared" si="5"/>
        <v>0</v>
      </c>
      <c r="V21" s="5">
        <f>Table14[[#This Row],[Enrolment S.Y. 2025-2026 ]]*8</f>
        <v>2120</v>
      </c>
      <c r="W21" s="5"/>
      <c r="X21" s="1"/>
      <c r="Y21" s="5"/>
      <c r="Z21" s="5">
        <f t="shared" si="6"/>
        <v>2120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265</v>
      </c>
      <c r="D28" s="5">
        <f>Table14[[#This Row],[Enrolment S.Y. 2025-2026 ]]*8</f>
        <v>2120</v>
      </c>
      <c r="E28" s="5">
        <v>336</v>
      </c>
      <c r="F28" s="1">
        <v>2025</v>
      </c>
      <c r="G28" s="5" t="s">
        <v>76</v>
      </c>
      <c r="H28" s="5">
        <f>IF((D28-E28)&lt;0,0,(D28-E28))</f>
        <v>1784</v>
      </c>
      <c r="I28" s="5">
        <f>IF((E28-D28)&lt;0,0,(E28-D28))</f>
        <v>0</v>
      </c>
      <c r="J28" s="5">
        <f>Table14[[#This Row],[Enrolment S.Y. 2025-2026 ]]*8</f>
        <v>2120</v>
      </c>
      <c r="K28" s="5"/>
      <c r="L28" s="1"/>
      <c r="M28" s="5"/>
      <c r="N28" s="5">
        <f t="shared" si="2"/>
        <v>2120</v>
      </c>
      <c r="O28" s="5">
        <f t="shared" si="3"/>
        <v>0</v>
      </c>
      <c r="P28" s="5">
        <f>Table14[[#This Row],[Enrolment S.Y. 2025-2026 ]]*8</f>
        <v>2120</v>
      </c>
      <c r="Q28" s="5"/>
      <c r="R28" s="1"/>
      <c r="S28" s="5"/>
      <c r="T28" s="5">
        <f t="shared" si="4"/>
        <v>2120</v>
      </c>
      <c r="U28" s="5">
        <f t="shared" si="5"/>
        <v>0</v>
      </c>
      <c r="V28" s="5">
        <f>Table14[[#This Row],[Enrolment S.Y. 2025-2026 ]]*8</f>
        <v>2120</v>
      </c>
      <c r="W28" s="5"/>
      <c r="X28" s="1"/>
      <c r="Y28" s="5"/>
      <c r="Z28" s="5">
        <f t="shared" si="6"/>
        <v>2120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285</v>
      </c>
      <c r="D31" s="5">
        <f>Table14[[#This Row],[Enrolment S.Y. 2025-2026 ]]*8</f>
        <v>2280</v>
      </c>
      <c r="E31" s="5">
        <v>83</v>
      </c>
      <c r="F31" s="1">
        <v>2025</v>
      </c>
      <c r="G31" s="5" t="s">
        <v>76</v>
      </c>
      <c r="H31" s="5">
        <f t="shared" si="0"/>
        <v>2197</v>
      </c>
      <c r="I31" s="5">
        <f t="shared" si="1"/>
        <v>0</v>
      </c>
      <c r="J31" s="5">
        <f>Table14[[#This Row],[Enrolment S.Y. 2025-2026 ]]*8</f>
        <v>2280</v>
      </c>
      <c r="K31" s="5"/>
      <c r="L31" s="1"/>
      <c r="M31" s="5"/>
      <c r="N31" s="5">
        <f t="shared" si="2"/>
        <v>2280</v>
      </c>
      <c r="O31" s="5">
        <f t="shared" si="3"/>
        <v>0</v>
      </c>
      <c r="P31" s="5">
        <f>Table14[[#This Row],[Enrolment S.Y. 2025-2026 ]]*8</f>
        <v>2280</v>
      </c>
      <c r="Q31" s="5"/>
      <c r="R31" s="1"/>
      <c r="S31" s="5"/>
      <c r="T31" s="5">
        <f t="shared" si="4"/>
        <v>2280</v>
      </c>
      <c r="U31" s="5">
        <f t="shared" si="5"/>
        <v>0</v>
      </c>
      <c r="V31" s="5">
        <f>Table14[[#This Row],[Enrolment S.Y. 2025-2026 ]]*8</f>
        <v>2280</v>
      </c>
      <c r="W31" s="5"/>
      <c r="X31" s="1"/>
      <c r="Y31" s="5"/>
      <c r="Z31" s="5">
        <f t="shared" si="6"/>
        <v>2280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285</v>
      </c>
      <c r="D33" s="5">
        <f>Table14[[#This Row],[Enrolment S.Y. 2025-2026 ]]*8</f>
        <v>2280</v>
      </c>
      <c r="E33" s="5">
        <v>320</v>
      </c>
      <c r="F33" s="1">
        <v>2025</v>
      </c>
      <c r="G33" s="5" t="s">
        <v>76</v>
      </c>
      <c r="H33" s="5">
        <f t="shared" si="0"/>
        <v>1960</v>
      </c>
      <c r="I33" s="5">
        <f t="shared" si="1"/>
        <v>0</v>
      </c>
      <c r="J33" s="5">
        <f>Table14[[#This Row],[Enrolment S.Y. 2025-2026 ]]*8</f>
        <v>2280</v>
      </c>
      <c r="K33" s="5"/>
      <c r="L33" s="1"/>
      <c r="M33" s="5"/>
      <c r="N33" s="5">
        <f t="shared" si="2"/>
        <v>2280</v>
      </c>
      <c r="O33" s="5">
        <f t="shared" si="3"/>
        <v>0</v>
      </c>
      <c r="P33" s="5">
        <f>Table14[[#This Row],[Enrolment S.Y. 2025-2026 ]]*8</f>
        <v>2280</v>
      </c>
      <c r="Q33" s="5"/>
      <c r="R33" s="1"/>
      <c r="S33" s="5"/>
      <c r="T33" s="5">
        <f t="shared" si="4"/>
        <v>2280</v>
      </c>
      <c r="U33" s="5">
        <f t="shared" si="5"/>
        <v>0</v>
      </c>
      <c r="V33" s="5">
        <f>Table14[[#This Row],[Enrolment S.Y. 2025-2026 ]]*8</f>
        <v>2280</v>
      </c>
      <c r="W33" s="5"/>
      <c r="X33" s="1"/>
      <c r="Y33" s="5"/>
      <c r="Z33" s="5">
        <f t="shared" si="6"/>
        <v>2280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325</v>
      </c>
      <c r="D43" s="5">
        <f>Table14[[#This Row],[Enrolment S.Y. 2025-2026 ]]*8</f>
        <v>2600</v>
      </c>
      <c r="E43" s="5">
        <v>83</v>
      </c>
      <c r="F43" s="1">
        <v>2025</v>
      </c>
      <c r="G43" s="5" t="s">
        <v>76</v>
      </c>
      <c r="H43" s="5">
        <f t="shared" si="0"/>
        <v>2517</v>
      </c>
      <c r="I43" s="5">
        <f t="shared" si="1"/>
        <v>0</v>
      </c>
      <c r="J43" s="5">
        <f>Table14[[#This Row],[Enrolment S.Y. 2025-2026 ]]*8</f>
        <v>2600</v>
      </c>
      <c r="K43" s="5"/>
      <c r="L43" s="1"/>
      <c r="M43" s="5"/>
      <c r="N43" s="5">
        <f t="shared" si="2"/>
        <v>2600</v>
      </c>
      <c r="O43" s="5">
        <f t="shared" si="3"/>
        <v>0</v>
      </c>
      <c r="P43" s="5">
        <f>Table14[[#This Row],[Enrolment S.Y. 2025-2026 ]]*8</f>
        <v>2600</v>
      </c>
      <c r="Q43" s="5"/>
      <c r="R43" s="1"/>
      <c r="S43" s="5"/>
      <c r="T43" s="5">
        <f t="shared" si="4"/>
        <v>2600</v>
      </c>
      <c r="U43" s="5">
        <f t="shared" si="5"/>
        <v>0</v>
      </c>
      <c r="V43" s="5">
        <f>Table14[[#This Row],[Enrolment S.Y. 2025-2026 ]]*8</f>
        <v>2600</v>
      </c>
      <c r="W43" s="5"/>
      <c r="X43" s="1"/>
      <c r="Y43" s="5"/>
      <c r="Z43" s="5">
        <f t="shared" si="6"/>
        <v>2600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325</v>
      </c>
      <c r="D45" s="5">
        <f>Table14[[#This Row],[Enrolment S.Y. 2025-2026 ]]*8</f>
        <v>2600</v>
      </c>
      <c r="E45" s="5">
        <v>192</v>
      </c>
      <c r="F45" s="1">
        <v>2025</v>
      </c>
      <c r="G45" s="5" t="s">
        <v>76</v>
      </c>
      <c r="H45" s="5">
        <f t="shared" si="0"/>
        <v>2408</v>
      </c>
      <c r="I45" s="5">
        <f t="shared" si="1"/>
        <v>0</v>
      </c>
      <c r="J45" s="5">
        <f>Table14[[#This Row],[Enrolment S.Y. 2025-2026 ]]*8</f>
        <v>2600</v>
      </c>
      <c r="K45" s="5"/>
      <c r="L45" s="1"/>
      <c r="M45" s="5"/>
      <c r="N45" s="5">
        <f t="shared" si="2"/>
        <v>2600</v>
      </c>
      <c r="O45" s="5">
        <f t="shared" si="3"/>
        <v>0</v>
      </c>
      <c r="P45" s="5">
        <f>Table14[[#This Row],[Enrolment S.Y. 2025-2026 ]]*8</f>
        <v>2600</v>
      </c>
      <c r="Q45" s="5"/>
      <c r="R45" s="1"/>
      <c r="S45" s="5"/>
      <c r="T45" s="5">
        <f t="shared" si="4"/>
        <v>2600</v>
      </c>
      <c r="U45" s="5">
        <f t="shared" si="5"/>
        <v>0</v>
      </c>
      <c r="V45" s="5">
        <f>Table14[[#This Row],[Enrolment S.Y. 2025-2026 ]]*8</f>
        <v>2600</v>
      </c>
      <c r="W45" s="5"/>
      <c r="X45" s="1"/>
      <c r="Y45" s="5"/>
      <c r="Z45" s="5">
        <f t="shared" si="6"/>
        <v>2600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288</v>
      </c>
      <c r="D55" s="5">
        <f>Table14[[#This Row],[Enrolment S.Y. 2025-2026 ]]*8</f>
        <v>2304</v>
      </c>
      <c r="E55" s="5">
        <v>216</v>
      </c>
      <c r="F55" s="1">
        <v>2024</v>
      </c>
      <c r="G55" s="5" t="s">
        <v>76</v>
      </c>
      <c r="H55" s="5">
        <f t="shared" si="0"/>
        <v>2088</v>
      </c>
      <c r="I55" s="5">
        <f t="shared" si="1"/>
        <v>0</v>
      </c>
      <c r="J55" s="5">
        <f>Table14[[#This Row],[Enrolment S.Y. 2025-2026 ]]*8</f>
        <v>2304</v>
      </c>
      <c r="K55" s="5"/>
      <c r="L55" s="1"/>
      <c r="M55" s="5"/>
      <c r="N55" s="5">
        <f t="shared" si="2"/>
        <v>2304</v>
      </c>
      <c r="O55" s="5">
        <f t="shared" si="3"/>
        <v>0</v>
      </c>
      <c r="P55" s="5">
        <f>Table14[[#This Row],[Enrolment S.Y. 2025-2026 ]]*8</f>
        <v>2304</v>
      </c>
      <c r="Q55" s="5"/>
      <c r="R55" s="1"/>
      <c r="S55" s="5"/>
      <c r="T55" s="5">
        <f t="shared" si="4"/>
        <v>2304</v>
      </c>
      <c r="U55" s="5">
        <f t="shared" si="5"/>
        <v>0</v>
      </c>
      <c r="V55" s="5">
        <f>Table14[[#This Row],[Enrolment S.Y. 2025-2026 ]]*8</f>
        <v>2304</v>
      </c>
      <c r="W55" s="5"/>
      <c r="X55" s="1"/>
      <c r="Y55" s="5"/>
      <c r="Z55" s="5">
        <f t="shared" si="6"/>
        <v>2304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1">
    <dataValidation type="list" allowBlank="1" showInputMessage="1" showErrorMessage="1" sqref="A2:AA65" xr:uid="{56FC7FA2-73BE-485D-952A-826CE294C650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2026-04-07T08:21:15Z</dcterms:modified>
  <cp:category/>
  <cp:contentStatus/>
</cp:coreProperties>
</file>