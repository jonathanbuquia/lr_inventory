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37" documentId="13_ncr:1_{BFB59F67-F0DC-4675-A682-EB0734A8026A}" xr6:coauthVersionLast="47" xr6:coauthVersionMax="47" xr10:uidLastSave="{60D1C4D1-CCE8-40B6-930C-EC29A75980D1}"/>
  <bookViews>
    <workbookView xWindow="-108" yWindow="-108" windowWidth="23256" windowHeight="12456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9" i="1" l="1"/>
  <c r="G59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<sst xmlns="http://schemas.openxmlformats.org/spreadsheetml/2006/main" count="415" uniqueCount="91">
  <si>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</si>
  <si>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</si>
  <si>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</si>
  <si>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</si>
  <si>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</si>
  <si>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</si>
  <si>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</si>
  <si>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</si>
  <si>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</si>
  <si>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</si>
  <si>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CO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</si>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</sst>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75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8554687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>
        <v>2025</v>
      </c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86</v>
      </c>
      <c r="D3" s="1">
        <v>225</v>
      </c>
      <c r="E3" s="1">
        <v>2025</v>
      </c>
      <c r="F3" s="5" t="s">
        <v>10</v>
      </c>
      <c r="G3" s="3">
        <f>IF((C3-D3)&lt;0,0,C3-D3)</f>
        <v>0</v>
      </c>
      <c r="H3" s="4">
        <f>IF((D3-C3)&lt;0,0,D3-C3)</f>
        <v>139</v>
      </c>
    </row>
    <row r="4" spans="1:8" ht="21" customHeight="1">
      <c r="A4" s="1">
        <v>1</v>
      </c>
      <c r="B4" s="2" t="s">
        <v>11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86</v>
      </c>
      <c r="D5" s="1">
        <v>225</v>
      </c>
      <c r="E5" s="1">
        <v>2025</v>
      </c>
      <c r="F5" s="5" t="s">
        <v>10</v>
      </c>
      <c r="G5" s="3">
        <f t="shared" ref="G5:G6" si="0">IF((C5-D5)&lt;0,0,C5-D5)</f>
        <v>0</v>
      </c>
      <c r="H5" s="4">
        <f t="shared" ref="H5:H6" si="1">IF((D5-C5)&lt;0,0,D5-C5)</f>
        <v>139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104</v>
      </c>
      <c r="D21" s="1">
        <v>150</v>
      </c>
      <c r="E21" s="1">
        <v>2025</v>
      </c>
      <c r="F21" s="5" t="s">
        <v>10</v>
      </c>
      <c r="G21" s="3">
        <f t="shared" ref="G21:G29" si="4">IF((C21-D21)&lt;0,0,C21-D21)</f>
        <v>0</v>
      </c>
      <c r="H21" s="4">
        <f t="shared" ref="H21:H29" si="5">IF((D21-C21)&lt;0,0,D21-C21)</f>
        <v>46</v>
      </c>
    </row>
    <row r="22" spans="1:8" ht="24" customHeight="1">
      <c r="A22" s="1">
        <v>4</v>
      </c>
      <c r="B22" s="9" t="s">
        <v>16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104</v>
      </c>
      <c r="D23" s="1">
        <v>150</v>
      </c>
      <c r="E23" s="1">
        <v>2025</v>
      </c>
      <c r="F23" s="5" t="s">
        <v>10</v>
      </c>
      <c r="G23" s="3">
        <f t="shared" si="4"/>
        <v>0</v>
      </c>
      <c r="H23" s="4">
        <f t="shared" si="5"/>
        <v>46</v>
      </c>
    </row>
    <row r="24" spans="1:8" ht="27" customHeight="1">
      <c r="A24" s="1">
        <v>4</v>
      </c>
      <c r="B24" s="9" t="s">
        <v>11</v>
      </c>
      <c r="C24" s="1">
        <v>104</v>
      </c>
      <c r="D24" s="1">
        <v>150</v>
      </c>
      <c r="E24" s="1">
        <v>2025</v>
      </c>
      <c r="F24" s="5" t="s">
        <v>10</v>
      </c>
      <c r="G24" s="3">
        <f t="shared" si="4"/>
        <v>0</v>
      </c>
      <c r="H24" s="4">
        <f t="shared" si="5"/>
        <v>46</v>
      </c>
    </row>
    <row r="25" spans="1:8" ht="33.75" customHeight="1">
      <c r="A25" s="1">
        <v>4</v>
      </c>
      <c r="B25" s="9" t="s">
        <v>17</v>
      </c>
      <c r="C25" s="1">
        <v>104</v>
      </c>
      <c r="D25" s="1">
        <v>150</v>
      </c>
      <c r="E25" s="1">
        <v>2025</v>
      </c>
      <c r="F25" s="5" t="s">
        <v>10</v>
      </c>
      <c r="G25" s="3">
        <f t="shared" si="4"/>
        <v>0</v>
      </c>
      <c r="H25" s="4">
        <f t="shared" si="5"/>
        <v>46</v>
      </c>
    </row>
    <row r="26" spans="1:8" ht="33.75" customHeight="1">
      <c r="A26" s="1">
        <v>4</v>
      </c>
      <c r="B26" s="9" t="s">
        <v>14</v>
      </c>
      <c r="C26" s="1">
        <v>104</v>
      </c>
      <c r="D26" s="1">
        <v>150</v>
      </c>
      <c r="E26" s="1">
        <v>2025</v>
      </c>
      <c r="F26" s="5" t="s">
        <v>10</v>
      </c>
      <c r="G26" s="3">
        <f t="shared" si="4"/>
        <v>0</v>
      </c>
      <c r="H26" s="4">
        <f t="shared" si="5"/>
        <v>46</v>
      </c>
    </row>
    <row r="27" spans="1:8" ht="33.75" customHeight="1">
      <c r="A27" s="1">
        <v>4</v>
      </c>
      <c r="B27" s="9" t="s">
        <v>18</v>
      </c>
      <c r="C27" s="1">
        <v>104</v>
      </c>
      <c r="D27" s="1">
        <v>150</v>
      </c>
      <c r="E27" s="1">
        <v>2025</v>
      </c>
      <c r="F27" s="5" t="s">
        <v>10</v>
      </c>
      <c r="G27" s="3">
        <f t="shared" si="4"/>
        <v>0</v>
      </c>
      <c r="H27" s="4">
        <f t="shared" si="5"/>
        <v>46</v>
      </c>
    </row>
    <row r="28" spans="1:8" ht="27.75" customHeight="1">
      <c r="A28" s="1">
        <v>4</v>
      </c>
      <c r="B28" s="9" t="s">
        <v>19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105</v>
      </c>
      <c r="D31" s="1">
        <v>115</v>
      </c>
      <c r="E31" s="1">
        <v>2025</v>
      </c>
      <c r="F31" s="5" t="s">
        <v>10</v>
      </c>
      <c r="G31" s="3">
        <f t="shared" ref="G31:G39" si="6">IF((C31-D31)&lt;0,0,C31-D31)</f>
        <v>0</v>
      </c>
      <c r="H31" s="4">
        <f t="shared" ref="H31:H39" si="7">IF((D31-C31)&lt;0,0,D31-C31)</f>
        <v>10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105</v>
      </c>
      <c r="D35" s="1">
        <v>115</v>
      </c>
      <c r="E35" s="1">
        <v>2025</v>
      </c>
      <c r="F35" s="5" t="s">
        <v>10</v>
      </c>
      <c r="G35" s="3">
        <f t="shared" si="6"/>
        <v>0</v>
      </c>
      <c r="H35" s="4">
        <f t="shared" si="7"/>
        <v>10</v>
      </c>
    </row>
    <row r="36" spans="1:8" ht="27.75" customHeight="1">
      <c r="A36" s="1">
        <v>5</v>
      </c>
      <c r="B36" s="9" t="s">
        <v>14</v>
      </c>
      <c r="C36" s="1">
        <v>105</v>
      </c>
      <c r="D36" s="1">
        <v>115</v>
      </c>
      <c r="E36" s="1">
        <v>2025</v>
      </c>
      <c r="F36" s="5" t="s">
        <v>10</v>
      </c>
      <c r="G36" s="3">
        <f t="shared" si="6"/>
        <v>0</v>
      </c>
      <c r="H36" s="4">
        <f t="shared" si="7"/>
        <v>10</v>
      </c>
    </row>
    <row r="37" spans="1:8" ht="27.75" customHeight="1">
      <c r="A37" s="1">
        <v>5</v>
      </c>
      <c r="B37" s="9" t="s">
        <v>18</v>
      </c>
      <c r="C37" s="1">
        <v>105</v>
      </c>
      <c r="D37" s="1">
        <v>115</v>
      </c>
      <c r="E37" s="1">
        <v>2025</v>
      </c>
      <c r="F37" s="5" t="s">
        <v>10</v>
      </c>
      <c r="G37" s="3">
        <f t="shared" si="6"/>
        <v>0</v>
      </c>
      <c r="H37" s="4">
        <f t="shared" si="7"/>
        <v>10</v>
      </c>
    </row>
    <row r="38" spans="1:8" ht="27.75" customHeight="1">
      <c r="A38" s="1">
        <v>5</v>
      </c>
      <c r="B38" s="9" t="s">
        <v>19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>
        <v>450</v>
      </c>
      <c r="D51" s="10">
        <v>488</v>
      </c>
      <c r="E51" s="10">
        <v>2025</v>
      </c>
      <c r="F51" s="12" t="s">
        <v>10</v>
      </c>
      <c r="G51" s="3">
        <f t="shared" ref="G51:G59" si="10">IF((C51-D51)&lt;0,0,C51-D51)</f>
        <v>0</v>
      </c>
      <c r="H51" s="4">
        <f t="shared" ref="H51:H59" si="11">IF((D51-C51)&lt;0,0,D51-C51)</f>
        <v>38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>IF((C59-D59)&lt;0,0,C59-D59)</f>
        <v>0</v>
      </c>
      <c r="H54" s="4">
        <f>IF((D59-C59)&lt;0,0,D59-C59)</f>
        <v>114</v>
      </c>
    </row>
    <row r="55" spans="1:8" ht="39" customHeight="1">
      <c r="A55" s="10">
        <v>7</v>
      </c>
      <c r="B55" s="11" t="s">
        <v>17</v>
      </c>
      <c r="C55" s="10">
        <v>374</v>
      </c>
      <c r="D55" s="10">
        <v>488</v>
      </c>
      <c r="E55" s="10">
        <v>2025</v>
      </c>
      <c r="F55" s="12" t="s">
        <v>10</v>
      </c>
      <c r="G55" s="3">
        <f t="shared" si="10"/>
        <v>0</v>
      </c>
      <c r="H55" s="4">
        <f t="shared" si="11"/>
        <v>114</v>
      </c>
    </row>
    <row r="56" spans="1:8" ht="27.75" customHeight="1">
      <c r="A56" s="10">
        <v>7</v>
      </c>
      <c r="B56" s="11" t="s">
        <v>14</v>
      </c>
      <c r="C56" s="10">
        <v>374</v>
      </c>
      <c r="D56" s="10">
        <v>481</v>
      </c>
      <c r="E56" s="10">
        <v>2025</v>
      </c>
      <c r="F56" s="12" t="s">
        <v>10</v>
      </c>
      <c r="G56" s="3">
        <f t="shared" si="10"/>
        <v>0</v>
      </c>
      <c r="H56" s="4">
        <f t="shared" si="11"/>
        <v>107</v>
      </c>
    </row>
    <row r="57" spans="1:8" ht="27.75" customHeight="1">
      <c r="A57" s="10">
        <v>7</v>
      </c>
      <c r="B57" s="11" t="s">
        <v>18</v>
      </c>
      <c r="C57" s="10">
        <v>374</v>
      </c>
      <c r="D57" s="10">
        <v>488</v>
      </c>
      <c r="E57" s="10">
        <v>2025</v>
      </c>
      <c r="F57" s="12" t="s">
        <v>10</v>
      </c>
      <c r="G57" s="3">
        <f t="shared" si="10"/>
        <v>0</v>
      </c>
      <c r="H57" s="4">
        <f t="shared" si="11"/>
        <v>114</v>
      </c>
    </row>
    <row r="58" spans="1:8" ht="27.75" customHeight="1">
      <c r="A58" s="10">
        <v>7</v>
      </c>
      <c r="B58" s="11" t="s">
        <v>22</v>
      </c>
      <c r="C58" s="10">
        <v>374</v>
      </c>
      <c r="D58" s="10">
        <v>488</v>
      </c>
      <c r="E58" s="10">
        <v>2025</v>
      </c>
      <c r="F58" s="12" t="s">
        <v>10</v>
      </c>
      <c r="G58" s="3">
        <f t="shared" si="10"/>
        <v>0</v>
      </c>
      <c r="H58" s="4">
        <f t="shared" si="11"/>
        <v>114</v>
      </c>
    </row>
    <row r="59" spans="1:8" ht="27.75" customHeight="1">
      <c r="A59" s="10">
        <v>7</v>
      </c>
      <c r="B59" s="11" t="s">
        <v>20</v>
      </c>
      <c r="C59" s="10">
        <v>374</v>
      </c>
      <c r="D59" s="10">
        <v>488</v>
      </c>
      <c r="E59" s="10">
        <v>2025</v>
      </c>
      <c r="F59" s="12" t="s">
        <v>10</v>
      </c>
      <c r="G59" s="3">
        <f t="shared" si="10"/>
        <v>0</v>
      </c>
      <c r="H59" s="4">
        <f t="shared" si="11"/>
        <v>114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>
        <v>201</v>
      </c>
      <c r="D63" s="10">
        <v>457</v>
      </c>
      <c r="E63" s="10">
        <v>2025</v>
      </c>
      <c r="F63" s="12" t="s">
        <v>10</v>
      </c>
      <c r="G63" s="3">
        <f t="shared" si="12"/>
        <v>0</v>
      </c>
      <c r="H63" s="4">
        <f t="shared" si="13"/>
        <v>256</v>
      </c>
    </row>
    <row r="64" spans="1:8" ht="27.75" customHeight="1">
      <c r="A64" s="10">
        <v>8</v>
      </c>
      <c r="B64" s="11" t="s">
        <v>21</v>
      </c>
      <c r="C64" s="10">
        <v>201</v>
      </c>
      <c r="D64" s="10">
        <v>457</v>
      </c>
      <c r="E64" s="10">
        <v>2025</v>
      </c>
      <c r="F64" s="12" t="s">
        <v>10</v>
      </c>
      <c r="G64" s="3">
        <f t="shared" si="12"/>
        <v>0</v>
      </c>
      <c r="H64" s="4">
        <f t="shared" si="13"/>
        <v>256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300</v>
      </c>
      <c r="D91" s="1">
        <v>372</v>
      </c>
      <c r="E91" s="1">
        <v>2024</v>
      </c>
      <c r="F91" s="5" t="s">
        <v>10</v>
      </c>
      <c r="G91" s="3">
        <f t="shared" ref="G91:G98" si="18">IF((C91-D91)&lt;0,0,C91-D91)</f>
        <v>0</v>
      </c>
      <c r="H91" s="4">
        <f t="shared" ref="H91:H98" si="19">IF((D91-C91)&lt;0,0,D91-C91)</f>
        <v>72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300</v>
      </c>
      <c r="D93" s="1">
        <v>372</v>
      </c>
      <c r="E93" s="1">
        <v>2024</v>
      </c>
      <c r="F93" s="5" t="s">
        <v>10</v>
      </c>
      <c r="G93" s="3">
        <f t="shared" si="18"/>
        <v>0</v>
      </c>
      <c r="H93" s="4">
        <f t="shared" si="19"/>
        <v>72</v>
      </c>
    </row>
    <row r="94" spans="1:8" ht="27.75" customHeight="1">
      <c r="A94" s="1" t="s">
        <v>24</v>
      </c>
      <c r="B94" s="9" t="s">
        <v>28</v>
      </c>
      <c r="C94" s="1">
        <v>300</v>
      </c>
      <c r="D94" s="1">
        <v>372</v>
      </c>
      <c r="E94" s="1">
        <v>2024</v>
      </c>
      <c r="F94" s="5" t="s">
        <v>10</v>
      </c>
      <c r="G94" s="3">
        <f t="shared" si="18"/>
        <v>0</v>
      </c>
      <c r="H94" s="4">
        <f t="shared" si="19"/>
        <v>72</v>
      </c>
    </row>
    <row r="95" spans="1:8" ht="40.5" customHeight="1">
      <c r="A95" s="1" t="s">
        <v>24</v>
      </c>
      <c r="B95" s="9" t="s">
        <v>29</v>
      </c>
      <c r="C95" s="1">
        <v>250</v>
      </c>
      <c r="D95" s="1">
        <v>372</v>
      </c>
      <c r="E95" s="1">
        <v>2025</v>
      </c>
      <c r="F95" s="5" t="s">
        <v>10</v>
      </c>
      <c r="G95" s="3">
        <f t="shared" si="18"/>
        <v>0</v>
      </c>
      <c r="H95" s="4">
        <f t="shared" si="19"/>
        <v>122</v>
      </c>
    </row>
    <row r="96" spans="1:8" ht="38.25" customHeight="1">
      <c r="A96" s="1" t="s">
        <v>24</v>
      </c>
      <c r="B96" s="9" t="s">
        <v>30</v>
      </c>
      <c r="C96" s="1">
        <v>300</v>
      </c>
      <c r="D96" s="1">
        <v>372</v>
      </c>
      <c r="E96" s="1">
        <v>2024</v>
      </c>
      <c r="F96" s="5" t="s">
        <v>10</v>
      </c>
      <c r="G96" s="3">
        <f t="shared" si="18"/>
        <v>0</v>
      </c>
      <c r="H96" s="4">
        <f t="shared" si="19"/>
        <v>72</v>
      </c>
    </row>
    <row r="97" spans="1:8" ht="27.75" customHeight="1">
      <c r="A97" s="1" t="s">
        <v>24</v>
      </c>
      <c r="B97" s="9" t="s">
        <v>31</v>
      </c>
      <c r="C97" s="1">
        <v>300</v>
      </c>
      <c r="D97" s="1">
        <v>372</v>
      </c>
      <c r="E97" s="1">
        <v>2024</v>
      </c>
      <c r="F97" s="5" t="s">
        <v>10</v>
      </c>
      <c r="G97" s="3">
        <f t="shared" si="18"/>
        <v>0</v>
      </c>
      <c r="H97" s="4">
        <f t="shared" si="19"/>
        <v>72</v>
      </c>
    </row>
    <row r="98" spans="1:8" ht="47.25" customHeight="1">
      <c r="A98" s="1" t="s">
        <v>24</v>
      </c>
      <c r="B98" s="9" t="s">
        <v>32</v>
      </c>
      <c r="C98" s="1">
        <v>300</v>
      </c>
      <c r="D98" s="1">
        <v>372</v>
      </c>
      <c r="E98" s="1">
        <v>2025</v>
      </c>
      <c r="F98" s="5" t="s">
        <v>10</v>
      </c>
      <c r="G98" s="3">
        <f t="shared" si="18"/>
        <v>0</v>
      </c>
      <c r="H98" s="4">
        <f t="shared" si="19"/>
        <v>72</v>
      </c>
    </row>
  </sheetData>
  <protectedRanges>
    <protectedRange sqref="C1:E98" name="Textbooks"/>
    <protectedRange sqref="F1:F98" name="SOURCE"/>
  </protectedRanges>
  <phoneticPr fontId="8" type="noConversion"/>
  <dataValidations count="5">
    <dataValidation type="list" allowBlank="1" showInputMessage="1" showErrorMessage="1" sqref="E91:E98" xr:uid="{B46E7B13-721E-4D49-837E-C02BF9777D48}">
      <formula1>"2024,2025 ,2026"</formula1>
    </dataValidation>
    <dataValidation type="list" allowBlank="1" showInputMessage="1" showErrorMessage="1" sqref="F14:F19 F21:F29 F31:F39 F41:F49 F61:F69 F71:F79 F81:F89 F2:F6 F8:F12 F91:F98 F51:F59" xr:uid="{2F7388E0-D1A1-4571-8C10-96CB9A727EB3}">
      <formula1>"CO,RO,SDO"</formula1>
    </dataValidation>
    <dataValidation type="list" allowBlank="1" showInputMessage="1" showErrorMessage="1" sqref="E3:E6" xr:uid="{B128F765-EFCE-41AB-BEB9-EAE7F44DDE61}">
      <formula1>"2024,2025.2026"</formula1>
    </dataValidation>
    <dataValidation type="list" allowBlank="1" showInputMessage="1" showErrorMessage="1" sqref="E2 E31:E39 E21:E29 E8:E12 E14:E19" xr:uid="{5279E690-6DAD-4BB9-8FA8-3B9554E2B89B}">
      <formula1>"2024,2025,2026"</formula1>
    </dataValidation>
    <dataValidation type="list" allowBlank="1" showInputMessage="1" showErrorMessage="1" sqref="E41:E49 E51:E59 E61:E69 E71:E79 E81:E89" xr:uid="{58CDC378-3A5D-491C-A880-06059A7A94E4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W104" zoomScale="70" zoomScaleNormal="70" workbookViewId="0">
      <selection activeCell="Y113" sqref="Y11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21 L23:L41 L43:L71 L73:L101 L103:L127 R5:R31 R33:R61 R63:R91 R93:R110 R112:R127 X5:X71 X73:X127" xr:uid="{EB7E3915-9EB7-4BA8-9EF2-9AC04E334CFF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U109" zoomScale="55" zoomScaleNormal="55" workbookViewId="0">
      <selection activeCell="X3" sqref="X3:X122"/>
    </sheetView>
  </sheetViews>
  <sheetFormatPr defaultRowHeight="15" customHeight="1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25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3:F122 L3:L122 R3:R122 X3:X122" xr:uid="{1D5D836F-E056-4BE0-8225-8172DA8342D1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2026-03-06T07:31:22Z</dcterms:modified>
  <cp:category/>
  <cp:contentStatus/>
</cp:coreProperties>
</file>