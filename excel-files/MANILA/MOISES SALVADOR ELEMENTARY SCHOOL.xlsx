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46" documentId="13_ncr:1_{BFB59F67-F0DC-4675-A682-EB0734A8026A}" xr6:coauthVersionLast="47" xr6:coauthVersionMax="47" xr10:uidLastSave="{F94087D4-5071-4CFE-94A2-E16210B4D50D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<sst xmlns="http://schemas.openxmlformats.org/spreadsheetml/2006/main" count="395" uniqueCount="93">
  <si>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</si>
  <si>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</si>
  <si>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</si>
  <si>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</si>
  <si>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</si>
  <si>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</si>
  <si>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</si>
  <si>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</si>
  <si>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</si>
  <si>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</si>
  <si>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</si>
  <si>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</si>
  <si>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</si>
  <si>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</si>
  <si>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</si>
  <si>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</si>
  <si>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</si>
  <si>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</si>
  <si>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</si>
  <si>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</si>
  <si>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</si>
  <si>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RO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</si>
  <si>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</si>
  <si>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</si>
  <si>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</si>
  <si>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</si>
  <si>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</si>
  <si>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</si>
  <si>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</si>
  <si>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</si>
  <si>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</si>
  <si>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</si>
  <si>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</si>
  <si>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</si>
  <si>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</si>
  <si>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</si>
  <si>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</si>
  <si>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</si>
  <si>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</si>
  <si>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</si>
  <si>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</si>
  <si>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</si>
  <si>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</si>
  <si>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</si>
  <si>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</si>
  <si>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</si>
  <si>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</si>
  <si>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</si>
  <si>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</si>
  <si>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</si>
  <si>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</si>
  <si>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</si>
  <si>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</si>
  <si>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</si>
  <si>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</si>
  <si>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</si>
  <si>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</si>
  <si>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</si>
  <si>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</si>
  <si>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</si>
  <si>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</si>
  <si>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</si>
  <si>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</si>
  <si>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</si>
  <si>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</si>
  <si>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</si>
  <si>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</si>
  <si>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</si>
  <si>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</si>
  <si>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</si>
  <si>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</si>
  <si>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</si>
  <si>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</si>
  <si>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</si>
  <si>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</si>
  <si>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</si>
  <si>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</si>
  <si>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</si>
  <si>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</si>
  <si>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</si>
  <si>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</si>
  <si>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</si>
  <si>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</si>
  <si>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</si>
  <si>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</si>
  <si>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</si>
  <si>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</si>
  <si>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</si>
  <si>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 xml:space="preserve"> 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</si>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</sst>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30" activePane="topRight" state="frozen"/>
      <selection pane="topRight" activeCell="D39" sqref="D3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122</v>
      </c>
      <c r="D2" s="1">
        <v>215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93</v>
      </c>
    </row>
    <row r="3" spans="1:8" ht="29.25" customHeight="1">
      <c r="A3" s="1">
        <v>1</v>
      </c>
      <c r="B3" s="2" t="s">
        <v>10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122</v>
      </c>
      <c r="D4" s="1">
        <v>215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93</v>
      </c>
    </row>
    <row r="5" spans="1:8" ht="25.5" customHeight="1">
      <c r="A5" s="1">
        <v>1</v>
      </c>
      <c r="B5" s="2" t="s">
        <v>12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173</v>
      </c>
      <c r="D21" s="1">
        <v>204</v>
      </c>
      <c r="E21" s="1">
        <v>2025</v>
      </c>
      <c r="F21" s="5"/>
      <c r="G21" s="3">
        <f t="shared" ref="G21:G29" si="4">IF((C21-D21)&lt;0,0,C21-D21)</f>
        <v>0</v>
      </c>
      <c r="H21" s="4">
        <f t="shared" ref="H21:H29" si="5">IF((D21-C21)&lt;0,0,D21-C21)</f>
        <v>31</v>
      </c>
    </row>
    <row r="22" spans="1:8" ht="24" customHeight="1">
      <c r="A22" s="1">
        <v>4</v>
      </c>
      <c r="B22" s="9" t="s">
        <v>16</v>
      </c>
      <c r="C22" s="1">
        <v>173</v>
      </c>
      <c r="D22" s="1">
        <v>204</v>
      </c>
      <c r="E22" s="1">
        <v>2025</v>
      </c>
      <c r="F22" s="5"/>
      <c r="G22" s="3">
        <f t="shared" si="4"/>
        <v>0</v>
      </c>
      <c r="H22" s="4">
        <f t="shared" si="5"/>
        <v>31</v>
      </c>
    </row>
    <row r="23" spans="1:8" ht="19.5">
      <c r="A23" s="1">
        <v>4</v>
      </c>
      <c r="B23" s="9" t="s">
        <v>13</v>
      </c>
      <c r="C23" s="1">
        <v>173</v>
      </c>
      <c r="D23" s="1">
        <v>204</v>
      </c>
      <c r="E23" s="1">
        <v>2025</v>
      </c>
      <c r="F23" s="5"/>
      <c r="G23" s="3">
        <f t="shared" si="4"/>
        <v>0</v>
      </c>
      <c r="H23" s="4">
        <f t="shared" si="5"/>
        <v>31</v>
      </c>
    </row>
    <row r="24" spans="1:8" ht="27" customHeight="1">
      <c r="A24" s="1">
        <v>4</v>
      </c>
      <c r="B24" s="9" t="s">
        <v>11</v>
      </c>
      <c r="C24" s="1">
        <v>173</v>
      </c>
      <c r="D24" s="1">
        <v>204</v>
      </c>
      <c r="E24" s="1">
        <v>2025</v>
      </c>
      <c r="F24" s="5"/>
      <c r="G24" s="3">
        <f t="shared" si="4"/>
        <v>0</v>
      </c>
      <c r="H24" s="4">
        <f t="shared" si="5"/>
        <v>31</v>
      </c>
    </row>
    <row r="25" spans="1:8" ht="33.75" customHeight="1">
      <c r="A25" s="1">
        <v>4</v>
      </c>
      <c r="B25" s="9" t="s">
        <v>17</v>
      </c>
      <c r="C25" s="1">
        <v>173</v>
      </c>
      <c r="D25" s="1">
        <v>204</v>
      </c>
      <c r="E25" s="1">
        <v>2025</v>
      </c>
      <c r="F25" s="5"/>
      <c r="G25" s="3">
        <f t="shared" si="4"/>
        <v>0</v>
      </c>
      <c r="H25" s="4">
        <f t="shared" si="5"/>
        <v>31</v>
      </c>
    </row>
    <row r="26" spans="1:8" ht="33.75" customHeight="1">
      <c r="A26" s="1">
        <v>4</v>
      </c>
      <c r="B26" s="9" t="s">
        <v>14</v>
      </c>
      <c r="C26" s="1">
        <v>173</v>
      </c>
      <c r="D26" s="1">
        <v>204</v>
      </c>
      <c r="E26" s="1">
        <v>2025</v>
      </c>
      <c r="F26" s="5"/>
      <c r="G26" s="3">
        <f t="shared" si="4"/>
        <v>0</v>
      </c>
      <c r="H26" s="4">
        <f t="shared" si="5"/>
        <v>31</v>
      </c>
    </row>
    <row r="27" spans="1:8" ht="33.75" customHeight="1">
      <c r="A27" s="1">
        <v>4</v>
      </c>
      <c r="B27" s="9" t="s">
        <v>18</v>
      </c>
      <c r="C27" s="1">
        <v>173</v>
      </c>
      <c r="D27" s="1">
        <v>204</v>
      </c>
      <c r="E27" s="1">
        <v>2025</v>
      </c>
      <c r="F27" s="5"/>
      <c r="G27" s="3">
        <f t="shared" si="4"/>
        <v>0</v>
      </c>
      <c r="H27" s="4">
        <f t="shared" si="5"/>
        <v>31</v>
      </c>
    </row>
    <row r="28" spans="1:8" ht="27.75" customHeight="1">
      <c r="A28" s="1">
        <v>4</v>
      </c>
      <c r="B28" s="9" t="s">
        <v>19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148</v>
      </c>
      <c r="D31" s="1">
        <v>171</v>
      </c>
      <c r="E31" s="1">
        <v>2025</v>
      </c>
      <c r="F31" s="5" t="s">
        <v>21</v>
      </c>
      <c r="G31" s="3">
        <f t="shared" ref="G31:G39" si="6">IF((C31-D31)&lt;0,0,C31-D31)</f>
        <v>0</v>
      </c>
      <c r="H31" s="4">
        <f t="shared" ref="H31:H39" si="7">IF((D31-C31)&lt;0,0,D31-C31)</f>
        <v>23</v>
      </c>
    </row>
    <row r="32" spans="1:8" ht="27.75" customHeight="1">
      <c r="A32" s="1">
        <v>5</v>
      </c>
      <c r="B32" s="9" t="s">
        <v>16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148</v>
      </c>
      <c r="D35" s="1">
        <v>171</v>
      </c>
      <c r="E35" s="1">
        <v>2025</v>
      </c>
      <c r="F35" s="5" t="s">
        <v>21</v>
      </c>
      <c r="G35" s="3">
        <f t="shared" si="6"/>
        <v>0</v>
      </c>
      <c r="H35" s="4">
        <f t="shared" si="7"/>
        <v>23</v>
      </c>
    </row>
    <row r="36" spans="1:8" ht="27.75" customHeight="1">
      <c r="A36" s="1">
        <v>5</v>
      </c>
      <c r="B36" s="9" t="s">
        <v>14</v>
      </c>
      <c r="C36" s="1">
        <v>148</v>
      </c>
      <c r="D36" s="1">
        <v>171</v>
      </c>
      <c r="E36" s="1">
        <v>2025</v>
      </c>
      <c r="F36" s="5" t="s">
        <v>21</v>
      </c>
      <c r="G36" s="3">
        <f t="shared" si="6"/>
        <v>0</v>
      </c>
      <c r="H36" s="4">
        <f t="shared" si="7"/>
        <v>23</v>
      </c>
    </row>
    <row r="37" spans="1:8" ht="27.75" customHeight="1">
      <c r="A37" s="1">
        <v>5</v>
      </c>
      <c r="B37" s="9" t="s">
        <v>18</v>
      </c>
      <c r="C37" s="1">
        <v>148</v>
      </c>
      <c r="D37" s="1">
        <v>171</v>
      </c>
      <c r="E37" s="1">
        <v>2025</v>
      </c>
      <c r="F37" s="5" t="s">
        <v>21</v>
      </c>
      <c r="G37" s="3">
        <f t="shared" si="6"/>
        <v>0</v>
      </c>
      <c r="H37" s="4">
        <f t="shared" si="7"/>
        <v>23</v>
      </c>
    </row>
    <row r="38" spans="1:8" ht="27.75" customHeight="1">
      <c r="A38" s="1">
        <v>5</v>
      </c>
      <c r="B38" s="9" t="s">
        <v>19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:E6 E31:E39 E51:E59 E61:E69 E41:E49 E91:E98 E71:E79 E81:E89 E8:E12 E21:E29" xr:uid="{B46E7B13-721E-4D49-837E-C02BF9777D48}">
      <formula1>"2024,2025"</formula1>
    </dataValidation>
    <dataValidation type="list" allowBlank="1" showInputMessage="1" showErrorMessage="1" sqref="F14:F19 F21:F29 F31:F39 F41:F49 F51:F59 F61:F69 F71:F79 F81:F89 F91:F98 F8:F12 F2:F6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/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16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16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16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16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17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18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19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20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16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17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18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19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20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16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17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18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19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20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selection activeCell="E5" sqref="E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/>
      <c r="D5" s="5">
        <f>Table14[[#This Row],[Enrolment S.Y. 2025-2026 ]]*8</f>
        <v>0</v>
      </c>
      <c r="E5" s="5" t="s">
        <v>88</v>
      </c>
      <c r="F5" s="1"/>
      <c r="G5" s="5"/>
      <c r="H5" s="5" t="e">
        <f t="shared" si="0"/>
        <v>#VALUE!</v>
      </c>
      <c r="I5" s="5" t="e">
        <f t="shared" si="1"/>
        <v>#VALUE!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16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16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63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16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63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16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17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89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90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19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91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92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16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17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89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90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19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91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92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16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17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89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90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19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91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92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89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90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91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92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89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90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91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92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89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90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91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92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89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90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91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92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2026-01-21T02:20:54Z</dcterms:modified>
  <cp:category/>
  <cp:contentStatus/>
</cp:coreProperties>
</file>