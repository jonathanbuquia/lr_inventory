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0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0" documentId="13_ncr:1_{BFB59F67-F0DC-4675-A682-EB0734A8026A}" xr6:coauthVersionLast="47" xr6:coauthVersionMax="47" xr10:uidLastSave="{1766E100-317B-4A17-A413-DA1A456D3A49}"/>
  <bookViews>
    <workbookView xWindow="-108" yWindow="-108" windowWidth="23256" windowHeight="12456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61" i="5" l="1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5" i="4"/>
  <c r="I5" i="4" s="1"/>
  <c r="G5" i="1"/>
  <c r="H5" i="1"/>
  <c r="G6" i="1"/>
  <c r="H6" i="1"/>
  <c r="G2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37" i="5"/>
  <c r="O37" i="5"/>
  <c r="N40" i="5"/>
  <c r="O40" i="5"/>
  <c r="N49" i="5"/>
  <c r="O49" i="5"/>
  <c r="N52" i="5"/>
  <c r="O52" i="5"/>
  <c r="N61" i="5"/>
  <c r="O61" i="5"/>
  <c r="N64" i="5"/>
  <c r="O64" i="5"/>
  <c r="O12" i="4"/>
  <c r="Z9" i="4"/>
  <c r="T33" i="4"/>
  <c r="Z45" i="4"/>
  <c r="AA31" i="4"/>
  <c r="U3" i="4"/>
  <c r="O26" i="4"/>
  <c r="T10" i="4"/>
  <c r="U59" i="4"/>
  <c r="U43" i="4"/>
  <c r="Z56" i="4"/>
  <c r="U61" i="5"/>
  <c r="U64" i="5"/>
  <c r="T52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H60" i="5"/>
  <c r="I44" i="5"/>
  <c r="N27" i="5"/>
  <c r="Z60" i="5"/>
  <c r="H62" i="5"/>
  <c r="O13" i="5"/>
  <c r="AA36" i="5"/>
  <c r="T39" i="5"/>
  <c r="O43" i="5"/>
  <c r="N9" i="5"/>
  <c r="H12" i="5"/>
  <c r="U19" i="5"/>
  <c r="AA34" i="5"/>
  <c r="H46" i="5"/>
  <c r="T22" i="5"/>
  <c r="O32" i="5"/>
  <c r="AA33" i="5"/>
  <c r="Z47" i="5"/>
  <c r="T53" i="5"/>
  <c r="H21" i="5"/>
  <c r="Z29" i="5"/>
  <c r="I45" i="5"/>
  <c r="T28" i="5"/>
  <c r="AA32" i="5"/>
  <c r="O34" i="5"/>
  <c r="Z46" i="5"/>
  <c r="Z20" i="4"/>
  <c r="N56" i="4"/>
  <c r="O44" i="4"/>
  <c r="N37" i="4"/>
  <c r="T37" i="4"/>
  <c r="U20" i="4"/>
  <c r="U15" i="4"/>
  <c r="AA54" i="4"/>
  <c r="Z43" i="4"/>
  <c r="AA18" i="4"/>
  <c r="Z7" i="4"/>
  <c r="O61" i="4"/>
  <c r="O30" i="4"/>
  <c r="U47" i="4"/>
  <c r="U41" i="4"/>
  <c r="U25" i="4"/>
  <c r="AA40" i="4"/>
  <c r="Z29" i="4"/>
  <c r="N55" i="4"/>
  <c r="O48" i="4"/>
  <c r="O17" i="4"/>
  <c r="N10" i="4"/>
  <c r="U51" i="4"/>
  <c r="T19" i="4"/>
  <c r="Z51" i="4"/>
  <c r="AA27" i="4"/>
  <c r="Z16" i="4"/>
  <c r="N19" i="4"/>
  <c r="I31" i="4"/>
  <c r="O35" i="4"/>
  <c r="T46" i="4"/>
  <c r="U29" i="4"/>
  <c r="U24" i="4"/>
  <c r="U7" i="4"/>
  <c r="AA49" i="4"/>
  <c r="Z38" i="4"/>
  <c r="AA14" i="4"/>
  <c r="N28" i="4"/>
  <c r="O21" i="4"/>
  <c r="U56" i="4"/>
  <c r="U50" i="4"/>
  <c r="U34" i="4"/>
  <c r="Z60" i="4"/>
  <c r="AA36" i="4"/>
  <c r="Z25" i="4"/>
  <c r="I3" i="4"/>
  <c r="O53" i="4"/>
  <c r="N46" i="4"/>
  <c r="O39" i="4"/>
  <c r="N34" i="4"/>
  <c r="O8" i="4"/>
  <c r="U60" i="4"/>
  <c r="T28" i="4"/>
  <c r="U11" i="4"/>
  <c r="U6" i="4"/>
  <c r="AA58" i="4"/>
  <c r="Z47" i="4"/>
  <c r="AA23" i="4"/>
  <c r="Z11" i="4"/>
  <c r="AA3" i="4"/>
  <c r="O57" i="4"/>
  <c r="T55" i="4"/>
  <c r="U38" i="4"/>
  <c r="U16" i="4"/>
  <c r="Z34" i="4"/>
  <c r="T40" i="4"/>
  <c r="U40" i="4"/>
  <c r="N25" i="4"/>
  <c r="N51" i="4"/>
  <c r="N29" i="4"/>
  <c r="T18" i="4"/>
  <c r="U18" i="4"/>
  <c r="N60" i="4"/>
  <c r="N38" i="4"/>
  <c r="T27" i="4"/>
  <c r="U27" i="4"/>
  <c r="T23" i="4"/>
  <c r="U23" i="4"/>
  <c r="T49" i="4"/>
  <c r="U49" i="4"/>
  <c r="N11" i="4"/>
  <c r="T54" i="4"/>
  <c r="U54" i="4"/>
  <c r="T31" i="4"/>
  <c r="U31" i="4"/>
  <c r="N16" i="4"/>
  <c r="T58" i="4"/>
  <c r="U58" i="4"/>
  <c r="N43" i="4"/>
  <c r="N20" i="4"/>
  <c r="T45" i="4"/>
  <c r="U45" i="4"/>
  <c r="O7" i="4"/>
  <c r="N7" i="4"/>
  <c r="N47" i="4"/>
  <c r="T36" i="4"/>
  <c r="U36" i="4"/>
  <c r="T14" i="4"/>
  <c r="U14" i="4"/>
  <c r="O54" i="4"/>
  <c r="O45" i="4"/>
  <c r="O36" i="4"/>
  <c r="O27" i="4"/>
  <c r="O18" i="4"/>
  <c r="O9" i="4"/>
  <c r="U61" i="4"/>
  <c r="U53" i="4"/>
  <c r="U44" i="4"/>
  <c r="U35" i="4"/>
  <c r="U26" i="4"/>
  <c r="U17" i="4"/>
  <c r="U8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59" i="4"/>
  <c r="O50" i="4"/>
  <c r="O41" i="4"/>
  <c r="O33" i="4"/>
  <c r="O24" i="4"/>
  <c r="O15" i="4"/>
  <c r="O6" i="4"/>
  <c r="O58" i="4"/>
  <c r="O49" i="4"/>
  <c r="O40" i="4"/>
  <c r="O31" i="4"/>
  <c r="O23" i="4"/>
  <c r="O14" i="4"/>
  <c r="U57" i="4"/>
  <c r="U48" i="4"/>
  <c r="U39" i="4"/>
  <c r="U30" i="4"/>
  <c r="U21" i="4"/>
  <c r="U12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H3" i="5"/>
  <c r="T4" i="5"/>
  <c r="T10" i="5"/>
  <c r="N12" i="5"/>
  <c r="O22" i="5"/>
  <c r="AA27" i="5"/>
  <c r="N29" i="5"/>
  <c r="H31" i="5"/>
  <c r="H48" i="5"/>
  <c r="I57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H5" i="5"/>
  <c r="O6" i="5"/>
  <c r="Z10" i="5"/>
  <c r="H16" i="5"/>
  <c r="T17" i="5"/>
  <c r="T29" i="5"/>
  <c r="Z35" i="5"/>
  <c r="T46" i="5"/>
  <c r="T47" i="5"/>
  <c r="T50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N3" i="5"/>
  <c r="Z8" i="5"/>
  <c r="O15" i="5"/>
  <c r="N21" i="5"/>
  <c r="Z26" i="5"/>
  <c r="Z28" i="5"/>
  <c r="I43" i="5"/>
  <c r="T48" i="5"/>
  <c r="T62" i="5"/>
  <c r="T65" i="5"/>
  <c r="Z4" i="5"/>
  <c r="H9" i="5"/>
  <c r="O10" i="5"/>
  <c r="T15" i="5"/>
  <c r="N16" i="5"/>
  <c r="Z22" i="5"/>
  <c r="H27" i="5"/>
  <c r="I29" i="5"/>
  <c r="I32" i="5"/>
  <c r="H47" i="5"/>
  <c r="Z48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59" i="5"/>
  <c r="N59" i="5"/>
  <c r="T34" i="5"/>
  <c r="T45" i="5"/>
  <c r="O55" i="5"/>
  <c r="N55" i="5"/>
  <c r="T59" i="5"/>
  <c r="O60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31" i="5"/>
  <c r="N31" i="5"/>
  <c r="O57" i="5"/>
  <c r="N57" i="5"/>
  <c r="I21" i="4"/>
  <c r="I12" i="4"/>
  <c r="I29" i="4"/>
  <c r="I30" i="4"/>
  <c r="I19" i="4"/>
  <c r="I10" i="4"/>
  <c r="I11" i="4"/>
  <c r="I20" i="4"/>
  <c r="H9" i="4"/>
  <c r="H8" i="4"/>
  <c r="H7" i="4"/>
  <c r="I51" i="4"/>
  <c r="I50" i="4"/>
  <c r="I45" i="4"/>
  <c r="Z5" i="4"/>
  <c r="I34" i="4"/>
  <c r="H61" i="4"/>
  <c r="I33" i="4"/>
  <c r="U5" i="4"/>
  <c r="H43" i="4"/>
  <c r="I24" i="4"/>
  <c r="H18" i="4"/>
  <c r="H49" i="4"/>
  <c r="O5" i="4"/>
  <c r="N5" i="4"/>
  <c r="I14" i="4"/>
  <c r="H14" i="4"/>
  <c r="I46" i="4"/>
  <c r="H46" i="4"/>
  <c r="I37" i="4"/>
  <c r="H37" i="4"/>
  <c r="I25" i="4"/>
  <c r="H25" i="4"/>
  <c r="H6" i="4"/>
  <c r="H60" i="4"/>
  <c r="H41" i="4"/>
  <c r="H17" i="4"/>
  <c r="I44" i="4"/>
  <c r="I23" i="4"/>
  <c r="H28" i="4"/>
  <c r="I38" i="4"/>
  <c r="H38" i="4"/>
  <c r="H5" i="4"/>
  <c r="H59" i="4"/>
  <c r="H40" i="4"/>
  <c r="H16" i="4"/>
  <c r="H48" i="4"/>
  <c r="I47" i="4"/>
  <c r="H47" i="4"/>
  <c r="H58" i="4"/>
  <c r="H39" i="4"/>
  <c r="H15" i="4"/>
  <c r="H27" i="4"/>
  <c r="I26" i="4"/>
  <c r="H26" i="4"/>
  <c r="I55" i="4"/>
  <c r="I36" i="4"/>
  <c r="I57" i="4"/>
  <c r="H57" i="4"/>
  <c r="I56" i="4"/>
  <c r="H56" i="4"/>
  <c r="I53" i="4"/>
  <c r="I35" i="4"/>
  <c r="I54" i="4"/>
</calcChain>
</file>

<file path=xl/sharedStrings.xml><?xml version="1.0" encoding="utf-8"?>
<sst xmlns="http://schemas.openxmlformats.org/spreadsheetml/2006/main" count="229" uniqueCount="81">
  <si>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</si>
  <si>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</si>
  <si>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</si>
  <si>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</si>
  <si>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</si>
  <si>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</si>
  <si>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</si>
  <si>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</si>
  <si>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</si>
  <si>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CO</t>
  </si>
  <si>
    <t>Language</t>
  </si>
  <si>
    <t>RO</t>
  </si>
  <si>
    <t>GMRC</t>
  </si>
  <si>
    <t>Makabansa</t>
  </si>
  <si>
    <t>Math</t>
  </si>
  <si>
    <t>SDO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</si>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</sst>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2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6" fillId="9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9" borderId="4" xfId="0" applyFont="1" applyFill="1" applyBorder="1" applyAlignment="1">
      <alignment horizontal="center" vertical="center" wrapText="1"/>
    </xf>
    <xf numFmtId="0" fontId="9" fillId="10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1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49" totalsRowShown="0" headerRowDxfId="62" headerRowBorderDxfId="60" tableBorderDxfId="61">
  <autoFilter ref="A1:H49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1" totalsRowShown="0" dataDxfId="59" headerRowBorderDxfId="57" tableBorderDxfId="58">
  <autoFilter ref="A2:AA61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65" totalsRowShown="0" dataDxfId="29" headerRowBorderDxfId="27" tableBorderDxfId="28">
  <autoFilter ref="A2:AA65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31" activePane="topRight" state="frozen"/>
      <selection pane="topRight" activeCell="E149" sqref="E14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1" customFormat="1" ht="64.900000000000006" customHeight="1">
      <c r="A1" s="12" t="s">
        <v>0</v>
      </c>
      <c r="B1" s="12" t="s">
        <v>1</v>
      </c>
      <c r="C1" s="13" t="s">
        <v>2</v>
      </c>
      <c r="D1" s="13" t="s">
        <v>3</v>
      </c>
      <c r="E1" s="13" t="s">
        <v>4</v>
      </c>
      <c r="F1" s="14" t="s">
        <v>5</v>
      </c>
      <c r="G1" s="15" t="s">
        <v>6</v>
      </c>
      <c r="H1" s="16" t="s">
        <v>7</v>
      </c>
    </row>
    <row r="2" spans="1:8" ht="42.75" customHeight="1">
      <c r="A2" s="1">
        <v>1</v>
      </c>
      <c r="B2" s="2" t="s">
        <v>8</v>
      </c>
      <c r="C2" s="1">
        <v>194</v>
      </c>
      <c r="D2" s="1">
        <v>31</v>
      </c>
      <c r="E2" s="1">
        <v>2024</v>
      </c>
      <c r="F2" s="5" t="s">
        <v>9</v>
      </c>
      <c r="G2" s="3">
        <f>IF((C2-D2)&lt;0,0,C2-D2)</f>
        <v>163</v>
      </c>
      <c r="H2" s="4">
        <f>IF((D2-C2)&lt;0,0,D2-C2)</f>
        <v>0</v>
      </c>
    </row>
    <row r="3" spans="1:8" ht="29.25" customHeight="1">
      <c r="A3" s="1">
        <v>1</v>
      </c>
      <c r="B3" s="2" t="s">
        <v>10</v>
      </c>
      <c r="C3" s="1">
        <v>194</v>
      </c>
      <c r="D3" s="1">
        <v>31</v>
      </c>
      <c r="E3" s="1">
        <v>2025</v>
      </c>
      <c r="F3" s="5" t="s">
        <v>11</v>
      </c>
      <c r="G3" s="3">
        <f>IF((C3-D3)&lt;0,0,C3-D3)</f>
        <v>163</v>
      </c>
      <c r="H3" s="4">
        <f>IF((D3-C3)&lt;0,0,D3-C3)</f>
        <v>0</v>
      </c>
    </row>
    <row r="4" spans="1:8" ht="21" customHeight="1">
      <c r="A4" s="1">
        <v>1</v>
      </c>
      <c r="B4" s="2" t="s">
        <v>12</v>
      </c>
      <c r="C4" s="1">
        <v>194</v>
      </c>
      <c r="D4" s="1">
        <v>31</v>
      </c>
      <c r="E4" s="1">
        <v>2024</v>
      </c>
      <c r="F4" s="5" t="s">
        <v>9</v>
      </c>
      <c r="G4" s="3">
        <f>IF((C4-D4)&lt;0,0,C4-D4)</f>
        <v>163</v>
      </c>
      <c r="H4" s="4">
        <f>IF((D4-C4)&lt;0,0,D4-C4)</f>
        <v>0</v>
      </c>
    </row>
    <row r="5" spans="1:8" ht="25.5" customHeight="1">
      <c r="A5" s="1">
        <v>1</v>
      </c>
      <c r="B5" s="2" t="s">
        <v>13</v>
      </c>
      <c r="C5" s="1">
        <v>194</v>
      </c>
      <c r="D5" s="1">
        <v>31</v>
      </c>
      <c r="E5" s="1">
        <v>2025</v>
      </c>
      <c r="F5" s="5" t="s">
        <v>11</v>
      </c>
      <c r="G5" s="3">
        <f t="shared" ref="G5:G6" si="0">IF((C5-D5)&lt;0,0,C5-D5)</f>
        <v>163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14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10</v>
      </c>
      <c r="C9" s="1">
        <v>169</v>
      </c>
      <c r="D9" s="1">
        <v>163</v>
      </c>
      <c r="E9" s="1">
        <v>2025</v>
      </c>
      <c r="F9" s="5" t="s">
        <v>15</v>
      </c>
      <c r="G9" s="3">
        <f>IF((C9-D9)&lt;0,0,C9-D9)</f>
        <v>6</v>
      </c>
      <c r="H9" s="4">
        <f>IF((D9-C9)&lt;0,0,D9-C9)</f>
        <v>0</v>
      </c>
    </row>
    <row r="10" spans="1:8" ht="28.5" customHeight="1">
      <c r="A10" s="1">
        <v>2</v>
      </c>
      <c r="B10" s="2" t="s">
        <v>12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13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14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10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12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16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13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14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17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18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14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12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19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16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20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21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22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17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18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14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12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19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16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20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21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22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17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18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14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12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19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16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20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21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22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C1:E49" name="Textbooks"/>
    <protectedRange sqref="F1:F49" name="SOURCE"/>
  </protectedRanges>
  <phoneticPr fontId="8" type="noConversion"/>
  <dataValidations count="2">
    <dataValidation type="list" allowBlank="1" showInputMessage="1" showErrorMessage="1" sqref="E14:E19 E21:E29 E31:E39 E41:E49 E2:E6 E8:E12" xr:uid="{B46E7B13-721E-4D49-837E-C02BF9777D48}">
      <formula1>"2024,2025"</formula1>
    </dataValidation>
    <dataValidation type="list" allowBlank="1" showInputMessage="1" showErrorMessage="1" sqref="F14:F19 F21:F29 F31:F39 F41:F49 F2:F6 F8:F12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A53" zoomScale="70" zoomScaleNormal="70" workbookViewId="0">
      <selection activeCell="H92" sqref="H9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12" t="s">
        <v>1</v>
      </c>
      <c r="C2" s="13" t="s">
        <v>2</v>
      </c>
      <c r="D2" s="17" t="s">
        <v>27</v>
      </c>
      <c r="E2" s="17" t="s">
        <v>28</v>
      </c>
      <c r="F2" s="18" t="s">
        <v>29</v>
      </c>
      <c r="G2" s="21" t="s">
        <v>30</v>
      </c>
      <c r="H2" s="14" t="s">
        <v>31</v>
      </c>
      <c r="I2" s="21" t="s">
        <v>32</v>
      </c>
      <c r="J2" s="19" t="s">
        <v>33</v>
      </c>
      <c r="K2" s="19" t="s">
        <v>34</v>
      </c>
      <c r="L2" s="20" t="s">
        <v>35</v>
      </c>
      <c r="M2" s="33" t="s">
        <v>36</v>
      </c>
      <c r="N2" s="33" t="s">
        <v>37</v>
      </c>
      <c r="O2" s="19" t="s">
        <v>38</v>
      </c>
      <c r="P2" s="21" t="s">
        <v>39</v>
      </c>
      <c r="Q2" s="21" t="s">
        <v>40</v>
      </c>
      <c r="R2" s="22" t="s">
        <v>41</v>
      </c>
      <c r="S2" s="14" t="s">
        <v>42</v>
      </c>
      <c r="T2" s="14" t="s">
        <v>43</v>
      </c>
      <c r="U2" s="21" t="s">
        <v>44</v>
      </c>
      <c r="V2" s="23" t="s">
        <v>45</v>
      </c>
      <c r="W2" s="23" t="s">
        <v>46</v>
      </c>
      <c r="X2" s="24" t="s">
        <v>47</v>
      </c>
      <c r="Y2" s="34" t="s">
        <v>48</v>
      </c>
      <c r="Z2" s="34" t="s">
        <v>49</v>
      </c>
      <c r="AA2" s="23" t="s">
        <v>50</v>
      </c>
    </row>
    <row r="3" spans="1:27" ht="30.6" customHeight="1">
      <c r="A3" s="32" t="s">
        <v>51</v>
      </c>
      <c r="B3" s="27"/>
      <c r="C3" s="26"/>
      <c r="D3" s="28">
        <f>Table1[[#This Row],[Enrolment S.Y. 2025-2026 ]]*8</f>
        <v>0</v>
      </c>
      <c r="E3" s="28"/>
      <c r="F3" s="26"/>
      <c r="G3" s="28"/>
      <c r="H3" s="28">
        <f>IF((D3-E3)&lt;0,0,(D3-E3))</f>
        <v>0</v>
      </c>
      <c r="I3" s="28">
        <f>IF((E3-D3)&lt;0,0,(E3-D3))</f>
        <v>0</v>
      </c>
      <c r="J3" s="28">
        <f>Table1[[#This Row],[Enrolment S.Y. 2025-2026 ]]*8</f>
        <v>0</v>
      </c>
      <c r="K3" s="28"/>
      <c r="L3" s="26"/>
      <c r="M3" s="28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28"/>
      <c r="R3" s="26"/>
      <c r="S3" s="28"/>
      <c r="T3" s="28">
        <f>IF((P3-Q3)&lt;0,0,(P3-Q3))</f>
        <v>0</v>
      </c>
      <c r="U3" s="28">
        <f>IF((Q3-P3)&lt;0,0,(Q3-P3))</f>
        <v>0</v>
      </c>
      <c r="V3" s="28">
        <f>Table1[[#This Row],[Enrolment S.Y. 2025-2026 ]]*8</f>
        <v>0</v>
      </c>
      <c r="W3" s="28"/>
      <c r="X3" s="26"/>
      <c r="Y3" s="28"/>
      <c r="Z3" s="28">
        <f>IF((V3-W3)&lt;0,0,(V3-W3))</f>
        <v>0</v>
      </c>
      <c r="AA3" s="28">
        <f>IF((W3-V3)&lt;0,0,(W3-V3))</f>
        <v>0</v>
      </c>
    </row>
    <row r="4" spans="1:27" s="7" customFormat="1" ht="19.149999999999999">
      <c r="J4" s="10"/>
      <c r="N4" s="10"/>
      <c r="O4" s="10"/>
      <c r="P4" s="10"/>
      <c r="S4" s="5"/>
      <c r="T4" s="10"/>
      <c r="U4" s="10"/>
      <c r="V4" s="10"/>
      <c r="Z4" s="10"/>
      <c r="AA4" s="10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61" si="2">IF((D5-E5)&lt;0,0,(D5-E5))</f>
        <v>0</v>
      </c>
      <c r="I5" s="5">
        <f t="shared" ref="I5:I61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10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1" si="10">IF((J6-K6)&lt;0,0,(J6-K6))</f>
        <v>0</v>
      </c>
      <c r="O6" s="5">
        <f t="shared" ref="O6:O61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1" si="12">IF((P6-Q6)&lt;0,0,(P6-Q6))</f>
        <v>0</v>
      </c>
      <c r="U6" s="5">
        <f t="shared" ref="U6:U61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1" si="14">IF((V6-W6)&lt;0,0,(V6-W6))</f>
        <v>0</v>
      </c>
      <c r="AA6" s="5">
        <f t="shared" ref="AA6:AA61" si="15">IF((W6-V6)&lt;0,0,(W6-V6))</f>
        <v>0</v>
      </c>
    </row>
    <row r="7" spans="1:27" ht="19.149999999999999">
      <c r="A7" s="1">
        <v>1</v>
      </c>
      <c r="B7" s="2" t="s">
        <v>12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13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14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17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18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52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0"/>
      <c r="N13" s="10"/>
      <c r="O13" s="10"/>
      <c r="P13" s="10"/>
      <c r="S13" s="5"/>
      <c r="T13" s="10"/>
      <c r="U13" s="10"/>
      <c r="V13" s="10"/>
      <c r="Y13" s="10"/>
      <c r="Z13" s="10"/>
      <c r="AA13" s="10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10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12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13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14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18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17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52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0"/>
      <c r="M22" s="5"/>
      <c r="N22" s="10"/>
      <c r="O22" s="10"/>
      <c r="P22" s="10"/>
      <c r="S22" s="5"/>
      <c r="T22" s="10"/>
      <c r="U22" s="10"/>
      <c r="V22" s="10"/>
      <c r="Y22" s="5"/>
      <c r="Z22" s="10"/>
      <c r="AA22" s="10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10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12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16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13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14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17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18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52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0"/>
      <c r="M32" s="5"/>
      <c r="N32" s="10"/>
      <c r="O32" s="10"/>
      <c r="P32" s="10"/>
      <c r="S32" s="5"/>
      <c r="T32" s="10"/>
      <c r="U32" s="10"/>
      <c r="V32" s="10"/>
      <c r="Y32" s="5"/>
      <c r="Z32" s="10"/>
      <c r="AA32" s="10"/>
    </row>
    <row r="33" spans="1:27" ht="19.149999999999999">
      <c r="A33" s="1">
        <v>4</v>
      </c>
      <c r="B33" s="9" t="s">
        <v>17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18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14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12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19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16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20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21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22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0"/>
      <c r="M42" s="5"/>
      <c r="N42" s="10"/>
      <c r="O42" s="10"/>
      <c r="P42" s="10"/>
      <c r="S42" s="5"/>
      <c r="T42" s="10"/>
      <c r="U42" s="10"/>
      <c r="V42" s="10"/>
      <c r="Y42" s="5"/>
      <c r="Z42" s="10"/>
      <c r="AA42" s="10"/>
    </row>
    <row r="43" spans="1:27" ht="19.149999999999999">
      <c r="A43" s="1">
        <v>5</v>
      </c>
      <c r="B43" s="9" t="s">
        <v>17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18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14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12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19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16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20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21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22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0"/>
      <c r="M52" s="5"/>
      <c r="N52" s="10"/>
      <c r="O52" s="10"/>
      <c r="P52" s="10"/>
      <c r="S52" s="5"/>
      <c r="T52" s="10"/>
      <c r="U52" s="10"/>
      <c r="V52" s="10"/>
      <c r="Y52" s="5"/>
      <c r="Z52" s="10"/>
      <c r="AA52" s="10"/>
    </row>
    <row r="53" spans="1:27" ht="19.149999999999999">
      <c r="A53" s="1">
        <v>6</v>
      </c>
      <c r="B53" s="9" t="s">
        <v>17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18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14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12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19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16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20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21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22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5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</row>
    <row r="63" spans="1:27" ht="15"/>
    <row r="64" spans="1:27" ht="15"/>
    <row r="65" spans="1:27" ht="15"/>
    <row r="66" spans="1:27" ht="15"/>
    <row r="67" spans="1:27" ht="15"/>
    <row r="68" spans="1:27" ht="15"/>
    <row r="69" spans="1:27" ht="15"/>
    <row r="70" spans="1:27" ht="15"/>
    <row r="71" spans="1:27" ht="15"/>
    <row r="72" spans="1:27" s="7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7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7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7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2:C3 C14:C21 C23:C31 C33:C41 C43:C51 C53:C61 C5:C12" name="Textbooks"/>
    <protectedRange sqref="J2:L3 D2:F3 H5:L5 D14:F21 Q14:R21 W14:X21 D23:F31 Q23:R31 W23:X31 D33:F41 H33:I41 Q33:R41 W33:X41 D43:F51 H43:I51 Q43:R51 W43:X51 D53:F61 H53:I61 Q53:R61 W53:X61 N5:R12 H14:I21 H23:I31 H6:I12 K6:L12 K33:L41 K43:L51 K53:L61 T5:X12 N4:P4 T4:V4 J4 Y13 N3:R3 K14:L21 K23:L31 N13:P61 P2:R2 V2:X3 T13:V61 J6:J61 Z4:AA61 D5:F12" name="LAS"/>
    <protectedRange sqref="G2:I3 M2:O2 S2:U3 Y2:AA3 G23:G31 G33:G41 G43:G51 S4:S61 G5:G12 M5:M12 M14:M61 Y5:Y12 G14:G21 Y14:Y61 M3 G53:G61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X23:X31 X33:X41 X43:X51 X53:X61 X14:X21 X5:X12 L23:L31 L33:L41 L43:L51 L53:L61 L14:L21 L5:L12 R23:R31 R33:R41 R43:R51 R53:R61 R14:R21 R5:R12 F23:F31 F33:F41 F43:F51 F53:F61 F5:F12 F14:F21" xr:uid="{4ECCD083-8EC4-42EE-B46C-B614411F330D}">
      <formula1>"2024,2025"</formula1>
    </dataValidation>
    <dataValidation type="list" allowBlank="1" showInputMessage="1" showErrorMessage="1" sqref="M14:M61 Y14:Y61 S4:S61 G5:G12 M5:M12 Y5:Y12 G14:G21 G23:G31 G33:G41 G43:G51 G53:G6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A60" zoomScale="55" zoomScaleNormal="55" workbookViewId="0">
      <selection activeCell="K91" sqref="K9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5" customFormat="1" ht="34.15" customHeight="1">
      <c r="B1" s="29"/>
      <c r="D1" s="35" t="s">
        <v>23</v>
      </c>
      <c r="E1" s="35"/>
      <c r="F1" s="35"/>
      <c r="G1" s="35"/>
      <c r="H1" s="35"/>
      <c r="I1" s="35"/>
      <c r="J1" s="36" t="s">
        <v>24</v>
      </c>
      <c r="K1" s="36"/>
      <c r="L1" s="36"/>
      <c r="M1" s="36"/>
      <c r="N1" s="36"/>
      <c r="O1" s="36"/>
      <c r="P1" s="37" t="s">
        <v>25</v>
      </c>
      <c r="Q1" s="37"/>
      <c r="R1" s="37"/>
      <c r="S1" s="37"/>
      <c r="T1" s="37"/>
      <c r="U1" s="37"/>
      <c r="V1" s="38" t="s">
        <v>26</v>
      </c>
      <c r="W1" s="38"/>
      <c r="X1" s="38"/>
      <c r="Y1" s="38"/>
      <c r="Z1" s="38"/>
      <c r="AA1" s="38"/>
    </row>
    <row r="2" spans="1:27" ht="69.599999999999994" customHeight="1">
      <c r="A2" s="12" t="s">
        <v>0</v>
      </c>
      <c r="B2" s="30" t="s">
        <v>1</v>
      </c>
      <c r="C2" s="13" t="s">
        <v>2</v>
      </c>
      <c r="D2" s="17" t="s">
        <v>53</v>
      </c>
      <c r="E2" s="17" t="s">
        <v>54</v>
      </c>
      <c r="F2" s="18" t="s">
        <v>55</v>
      </c>
      <c r="G2" s="21" t="s">
        <v>56</v>
      </c>
      <c r="H2" s="14" t="s">
        <v>57</v>
      </c>
      <c r="I2" s="21" t="s">
        <v>58</v>
      </c>
      <c r="J2" s="19" t="s">
        <v>59</v>
      </c>
      <c r="K2" s="19" t="s">
        <v>60</v>
      </c>
      <c r="L2" s="20" t="s">
        <v>61</v>
      </c>
      <c r="M2" s="33" t="s">
        <v>62</v>
      </c>
      <c r="N2" s="33" t="s">
        <v>63</v>
      </c>
      <c r="O2" s="19" t="s">
        <v>64</v>
      </c>
      <c r="P2" s="21" t="s">
        <v>65</v>
      </c>
      <c r="Q2" s="21" t="s">
        <v>66</v>
      </c>
      <c r="R2" s="22" t="s">
        <v>67</v>
      </c>
      <c r="S2" s="14" t="s">
        <v>68</v>
      </c>
      <c r="T2" s="14" t="s">
        <v>69</v>
      </c>
      <c r="U2" s="21" t="s">
        <v>70</v>
      </c>
      <c r="V2" s="23" t="s">
        <v>71</v>
      </c>
      <c r="W2" s="23" t="s">
        <v>72</v>
      </c>
      <c r="X2" s="24" t="s">
        <v>73</v>
      </c>
      <c r="Y2" s="34" t="s">
        <v>74</v>
      </c>
      <c r="Z2" s="34" t="s">
        <v>75</v>
      </c>
      <c r="AA2" s="23" t="s">
        <v>76</v>
      </c>
    </row>
    <row r="3" spans="1:27" ht="38.25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65" si="0">IF((D3-E3)&lt;0,0,(D3-E3))</f>
        <v>0</v>
      </c>
      <c r="I3" s="5">
        <f t="shared" ref="I3:I65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60" si="2">IF((J3-K3)&lt;0,0,(J3-K3))</f>
        <v>0</v>
      </c>
      <c r="O3" s="5">
        <f t="shared" ref="O3:O60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65" si="4">IF((P3-Q3)&lt;0,0,(P3-Q3))</f>
        <v>0</v>
      </c>
      <c r="U3" s="5">
        <f t="shared" ref="U3:U65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65" si="6">IF((V3-W3)&lt;0,0,(V3-W3))</f>
        <v>0</v>
      </c>
      <c r="AA3" s="5">
        <f t="shared" ref="AA3:AA65" si="7">IF((W3-V3)&lt;0,0,(W3-V3))</f>
        <v>0</v>
      </c>
    </row>
    <row r="4" spans="1:27" ht="19.149999999999999">
      <c r="A4" s="1">
        <v>1</v>
      </c>
      <c r="B4" s="2" t="s">
        <v>10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12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13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14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17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18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52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10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12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13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14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18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17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52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10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12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16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13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14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17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18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52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17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18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14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12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19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16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1">
        <v>4</v>
      </c>
      <c r="B37" s="9" t="s">
        <v>77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78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21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1">
        <v>4</v>
      </c>
      <c r="B40" s="9" t="s">
        <v>79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80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17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18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14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12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19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16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1">
        <v>5</v>
      </c>
      <c r="B49" s="9" t="s">
        <v>77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78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21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1">
        <v>5</v>
      </c>
      <c r="B52" s="9" t="s">
        <v>79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80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17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18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14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12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19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16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1">
        <v>6</v>
      </c>
      <c r="B61" s="9" t="s">
        <v>77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78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21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1">
        <v>6</v>
      </c>
      <c r="B64" s="9" t="s">
        <v>79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80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 ht="1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</row>
    <row r="67" spans="1:27" ht="15"/>
    <row r="68" spans="1:27" ht="15"/>
    <row r="69" spans="1:27" ht="15"/>
    <row r="70" spans="1:27" ht="15"/>
    <row r="71" spans="1:27" ht="15"/>
    <row r="72" spans="1:27" ht="15"/>
    <row r="73" spans="1:27" ht="15"/>
    <row r="74" spans="1:27" ht="15"/>
    <row r="75" spans="1:27" ht="15"/>
    <row r="76" spans="1:27" ht="15"/>
    <row r="77" spans="1:27" ht="15"/>
    <row r="78" spans="1:27" s="7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7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7" customFormat="1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7" customFormat="1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7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7"/>
    </row>
    <row r="125" spans="1:28">
      <c r="AB125" s="7"/>
    </row>
    <row r="126" spans="1:28">
      <c r="AB126" s="7"/>
    </row>
    <row r="127" spans="1:28">
      <c r="AB127" s="7"/>
    </row>
    <row r="128" spans="1:28">
      <c r="AB128" s="7"/>
    </row>
    <row r="129" spans="28:28">
      <c r="AB129" s="7"/>
    </row>
    <row r="130" spans="28:28">
      <c r="AB130" s="7"/>
    </row>
    <row r="131" spans="28:28">
      <c r="AB131" s="7"/>
    </row>
    <row r="132" spans="28:28">
      <c r="AB132" s="7"/>
    </row>
    <row r="133" spans="28:28">
      <c r="AB133" s="7"/>
    </row>
    <row r="134" spans="28:28">
      <c r="AB134" s="7"/>
    </row>
    <row r="135" spans="28:28">
      <c r="AB135" s="7"/>
    </row>
    <row r="136" spans="28:28">
      <c r="AB136" s="7"/>
    </row>
    <row r="137" spans="28:28">
      <c r="AB137" s="7"/>
    </row>
    <row r="138" spans="28:28">
      <c r="AB138" s="7"/>
    </row>
    <row r="139" spans="28:28">
      <c r="AB139" s="7"/>
    </row>
    <row r="140" spans="28:28">
      <c r="AB140" s="7"/>
    </row>
  </sheetData>
  <protectedRanges>
    <protectedRange sqref="C2:C10 C12:C19 C21:C29 C31:C41 C43:C53 C55:C65" name="Textbooks"/>
    <protectedRange sqref="J2:L2 D2:F10 D12:F19 D21:F29 D31:F41 D43:F53 D55:F65 H55:L65 N43:R53 N55:R65 N31:R41 P2:R10 N3:O10 V2:X10 T3:U10 N12:R19 T12:X19 H3:L10 Z3:AA10 Z12:AA19 H12:L19 N21:R29 T21:X29 Z21:AA29 H21:L29 T31:X41 Z31:AA41 H31:L41 T43:X53 Z43:AA53 H43:L53 T55:X65 Z55:AA65" name="LAS"/>
    <protectedRange sqref="G2:I2 M2:O2 S2:U2 Y2:AA2 G3:G10 M3:M10 S3:S10 Y3:Y10 Y12:Y19 G12:G19 M12:M19 S12:S19 Y21:Y29 G21:G29 M21:M29 S21:S29 Y31:Y41 G31:G41 M31:M41 S31:S41 Y43:Y53 G43:G53 M43:M53 S43:S53 Y55:Y65 G55:G65 M55:M65 S55:S65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Y3:Y10 S3:S10 M3:M10 G3:G10 G12:G19 Y12:Y19 S12:S19 M12:M19 M21:M29 G21:G29 Y21:Y29 S21:S29 S31:S41 M31:M41 G31:G41 Y31:Y41 Y43:Y53 S43:S53 M43:M53 G43:G53 G55:G65 Y55:Y65 S55:S65 M55:M65" xr:uid="{CBD486C7-A5DB-48F1-B496-5027CC51E830}">
      <formula1>"CO,RO,SDO,LGU,SCHOOL"</formula1>
    </dataValidation>
    <dataValidation type="list" allowBlank="1" showInputMessage="1" showErrorMessage="1" sqref="X21:X29 X31:X41 X43:X53 X55:X65 X12:X19 X3:X10 L21:L29 L31:L41 L43:L53 L55:L65 L12:L19 L3:L10 R21:R29 R31:R41 R43:R53 R55:R65 R12:R19 R3:R10 F21:F29 F31:F41 F43:F53 F55:F65 F3:F10 F12:F19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2026-04-13T02:51:11Z</dcterms:modified>
  <cp:category/>
  <cp:contentStatus/>
</cp:coreProperties>
</file>