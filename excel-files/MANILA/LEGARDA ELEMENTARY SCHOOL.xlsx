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8" documentId="13_ncr:1_{BFB59F67-F0DC-4675-A682-EB0734A8026A}" xr6:coauthVersionLast="47" xr6:coauthVersionMax="47" xr10:uidLastSave="{CDA32F5D-46AA-4878-A559-93C2409F5B6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<sst xmlns="http://schemas.openxmlformats.org/spreadsheetml/2006/main" count="225" uniqueCount="79">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</sst>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E150" sqref="E1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505</v>
      </c>
      <c r="D2" s="1">
        <v>770</v>
      </c>
      <c r="E2" s="1">
        <v>2024</v>
      </c>
      <c r="F2" s="5"/>
      <c r="G2" s="3">
        <f>IF((C2-D2)&lt;0,0,C2-D2)</f>
        <v>0</v>
      </c>
      <c r="H2" s="4">
        <f>IF((D2-C2)&lt;0,0,D2-C2)</f>
        <v>265</v>
      </c>
    </row>
    <row r="3" spans="1:8" ht="29.25" customHeight="1">
      <c r="A3" s="1">
        <v>1</v>
      </c>
      <c r="B3" s="2" t="s">
        <v>9</v>
      </c>
      <c r="C3" s="1">
        <v>505</v>
      </c>
      <c r="D3" s="1">
        <v>770</v>
      </c>
      <c r="E3" s="1">
        <v>2025</v>
      </c>
      <c r="F3" s="5"/>
      <c r="G3" s="3">
        <f>IF((C3-D3)&lt;0,0,C3-D3)</f>
        <v>0</v>
      </c>
      <c r="H3" s="4">
        <f>IF((D3-C3)&lt;0,0,D3-C3)</f>
        <v>265</v>
      </c>
    </row>
    <row r="4" spans="1:8" ht="21" customHeight="1">
      <c r="A4" s="1">
        <v>1</v>
      </c>
      <c r="B4" s="2" t="s">
        <v>10</v>
      </c>
      <c r="C4" s="1">
        <v>505</v>
      </c>
      <c r="D4" s="1">
        <v>770</v>
      </c>
      <c r="E4" s="1">
        <v>2024</v>
      </c>
      <c r="F4" s="5"/>
      <c r="G4" s="3">
        <f>IF((C4-D4)&lt;0,0,C4-D4)</f>
        <v>0</v>
      </c>
      <c r="H4" s="4">
        <f>IF((D4-C4)&lt;0,0,D4-C4)</f>
        <v>265</v>
      </c>
    </row>
    <row r="5" spans="1:8" ht="25.5" customHeight="1">
      <c r="A5" s="1">
        <v>1</v>
      </c>
      <c r="B5" s="2" t="s">
        <v>11</v>
      </c>
      <c r="C5" s="1">
        <v>505</v>
      </c>
      <c r="D5" s="1">
        <v>770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265</v>
      </c>
    </row>
    <row r="6" spans="1:8" ht="19.5">
      <c r="A6" s="1">
        <v>1</v>
      </c>
      <c r="B6" s="2" t="s">
        <v>12</v>
      </c>
      <c r="C6" s="1">
        <v>505</v>
      </c>
      <c r="D6" s="1"/>
      <c r="E6" s="1"/>
      <c r="F6" s="5"/>
      <c r="G6" s="3">
        <f t="shared" si="0"/>
        <v>505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628</v>
      </c>
      <c r="D8" s="1"/>
      <c r="E8" s="1"/>
      <c r="F8" s="5"/>
      <c r="G8" s="3">
        <f>IF((C8-D8)&lt;0,0,C8-D8)</f>
        <v>628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628</v>
      </c>
      <c r="D9" s="1"/>
      <c r="E9" s="1"/>
      <c r="F9" s="5"/>
      <c r="G9" s="3">
        <f>IF((C9-D9)&lt;0,0,C9-D9)</f>
        <v>628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628</v>
      </c>
      <c r="D10" s="1"/>
      <c r="E10" s="1"/>
      <c r="F10" s="5"/>
      <c r="G10" s="3">
        <f>IF((C10-D10)&lt;0,0,C10-D10)</f>
        <v>628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628</v>
      </c>
      <c r="D11" s="1"/>
      <c r="E11" s="1"/>
      <c r="F11" s="5"/>
      <c r="G11" s="3">
        <f>IF((C11-D11)&lt;0,0,C11-D11)</f>
        <v>628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628</v>
      </c>
      <c r="D12" s="1"/>
      <c r="E12" s="1"/>
      <c r="F12" s="5"/>
      <c r="G12" s="3">
        <f>IF((C12-D12)&lt;0,0,C12-D12)</f>
        <v>628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703</v>
      </c>
      <c r="D14" s="1"/>
      <c r="E14" s="1"/>
      <c r="F14" s="5"/>
      <c r="G14" s="3">
        <f t="shared" ref="G14:G19" si="2">IF((C14-D14)&lt;0,0,C14-D14)</f>
        <v>703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703</v>
      </c>
      <c r="D15" s="1"/>
      <c r="E15" s="1"/>
      <c r="F15" s="5"/>
      <c r="G15" s="3">
        <f t="shared" si="2"/>
        <v>703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703</v>
      </c>
      <c r="D16" s="1"/>
      <c r="E16" s="1"/>
      <c r="F16" s="5"/>
      <c r="G16" s="3">
        <f t="shared" si="2"/>
        <v>703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703</v>
      </c>
      <c r="D17" s="1"/>
      <c r="E17" s="1"/>
      <c r="F17" s="5"/>
      <c r="G17" s="3">
        <f t="shared" si="2"/>
        <v>703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703</v>
      </c>
      <c r="D18" s="1"/>
      <c r="E18" s="1"/>
      <c r="F18" s="5"/>
      <c r="G18" s="3">
        <f t="shared" si="2"/>
        <v>703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703</v>
      </c>
      <c r="D19" s="1"/>
      <c r="E19" s="1"/>
      <c r="F19" s="5"/>
      <c r="G19" s="3">
        <f t="shared" si="2"/>
        <v>703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680</v>
      </c>
      <c r="D21" s="1">
        <v>693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13</v>
      </c>
    </row>
    <row r="22" spans="1:8" ht="24" customHeight="1">
      <c r="A22" s="1">
        <v>4</v>
      </c>
      <c r="B22" s="9" t="s">
        <v>15</v>
      </c>
      <c r="C22" s="1">
        <v>680</v>
      </c>
      <c r="D22" s="1">
        <v>693</v>
      </c>
      <c r="E22" s="1">
        <v>2024</v>
      </c>
      <c r="F22" s="5"/>
      <c r="G22" s="3">
        <f t="shared" si="4"/>
        <v>0</v>
      </c>
      <c r="H22" s="4">
        <f t="shared" si="5"/>
        <v>13</v>
      </c>
    </row>
    <row r="23" spans="1:8" ht="19.5">
      <c r="A23" s="1">
        <v>4</v>
      </c>
      <c r="B23" s="9" t="s">
        <v>12</v>
      </c>
      <c r="C23" s="1">
        <v>680</v>
      </c>
      <c r="D23" s="1">
        <v>693</v>
      </c>
      <c r="E23" s="1">
        <v>2024</v>
      </c>
      <c r="F23" s="5"/>
      <c r="G23" s="3">
        <f t="shared" si="4"/>
        <v>0</v>
      </c>
      <c r="H23" s="4">
        <f t="shared" si="5"/>
        <v>13</v>
      </c>
    </row>
    <row r="24" spans="1:8" ht="27" customHeight="1">
      <c r="A24" s="1">
        <v>4</v>
      </c>
      <c r="B24" s="9" t="s">
        <v>10</v>
      </c>
      <c r="C24" s="1">
        <v>680</v>
      </c>
      <c r="D24" s="1">
        <v>693</v>
      </c>
      <c r="E24" s="1">
        <v>2025</v>
      </c>
      <c r="F24" s="5"/>
      <c r="G24" s="3">
        <f t="shared" si="4"/>
        <v>0</v>
      </c>
      <c r="H24" s="4">
        <f t="shared" si="5"/>
        <v>13</v>
      </c>
    </row>
    <row r="25" spans="1:8" ht="33.75" customHeight="1">
      <c r="A25" s="1">
        <v>4</v>
      </c>
      <c r="B25" s="9" t="s">
        <v>16</v>
      </c>
      <c r="C25" s="1">
        <v>680</v>
      </c>
      <c r="D25" s="1">
        <v>693</v>
      </c>
      <c r="E25" s="1">
        <v>2024</v>
      </c>
      <c r="F25" s="5"/>
      <c r="G25" s="3">
        <f t="shared" si="4"/>
        <v>0</v>
      </c>
      <c r="H25" s="4">
        <f t="shared" si="5"/>
        <v>13</v>
      </c>
    </row>
    <row r="26" spans="1:8" ht="33.75" customHeight="1">
      <c r="A26" s="1">
        <v>4</v>
      </c>
      <c r="B26" s="9" t="s">
        <v>13</v>
      </c>
      <c r="C26" s="1">
        <v>680</v>
      </c>
      <c r="D26" s="1">
        <v>693</v>
      </c>
      <c r="E26" s="1">
        <v>2024</v>
      </c>
      <c r="F26" s="5"/>
      <c r="G26" s="3">
        <f t="shared" si="4"/>
        <v>0</v>
      </c>
      <c r="H26" s="4">
        <f t="shared" si="5"/>
        <v>13</v>
      </c>
    </row>
    <row r="27" spans="1:8" ht="33.75" customHeight="1">
      <c r="A27" s="1">
        <v>4</v>
      </c>
      <c r="B27" s="9" t="s">
        <v>17</v>
      </c>
      <c r="C27" s="1">
        <v>680</v>
      </c>
      <c r="D27" s="1">
        <v>693</v>
      </c>
      <c r="E27" s="1">
        <v>2024</v>
      </c>
      <c r="F27" s="5"/>
      <c r="G27" s="3">
        <f t="shared" si="4"/>
        <v>0</v>
      </c>
      <c r="H27" s="4">
        <f t="shared" si="5"/>
        <v>13</v>
      </c>
    </row>
    <row r="28" spans="1:8" ht="27.75" customHeight="1">
      <c r="A28" s="1">
        <v>4</v>
      </c>
      <c r="B28" s="9" t="s">
        <v>18</v>
      </c>
      <c r="C28" s="1">
        <v>680</v>
      </c>
      <c r="D28" s="1"/>
      <c r="E28" s="1"/>
      <c r="F28" s="5"/>
      <c r="G28" s="3">
        <f t="shared" si="4"/>
        <v>680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680</v>
      </c>
      <c r="D29" s="1"/>
      <c r="E29" s="1"/>
      <c r="F29" s="5"/>
      <c r="G29" s="3">
        <f t="shared" si="4"/>
        <v>680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616</v>
      </c>
      <c r="D31" s="1">
        <v>722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106</v>
      </c>
    </row>
    <row r="32" spans="1:8" ht="27.75" customHeight="1">
      <c r="A32" s="1">
        <v>5</v>
      </c>
      <c r="B32" s="9" t="s">
        <v>15</v>
      </c>
      <c r="C32" s="1">
        <v>616</v>
      </c>
      <c r="D32" s="1"/>
      <c r="E32" s="1"/>
      <c r="F32" s="5"/>
      <c r="G32" s="3">
        <f t="shared" si="6"/>
        <v>616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616</v>
      </c>
      <c r="D33" s="1"/>
      <c r="E33" s="1"/>
      <c r="F33" s="5"/>
      <c r="G33" s="3">
        <f t="shared" si="6"/>
        <v>616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616</v>
      </c>
      <c r="D34" s="1"/>
      <c r="E34" s="1"/>
      <c r="F34" s="5"/>
      <c r="G34" s="3">
        <f t="shared" si="6"/>
        <v>616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616</v>
      </c>
      <c r="D35" s="1">
        <v>722</v>
      </c>
      <c r="E35" s="1">
        <v>2025</v>
      </c>
      <c r="F35" s="5"/>
      <c r="G35" s="3">
        <f t="shared" si="6"/>
        <v>0</v>
      </c>
      <c r="H35" s="4">
        <f t="shared" si="7"/>
        <v>106</v>
      </c>
    </row>
    <row r="36" spans="1:8" ht="27.75" customHeight="1">
      <c r="A36" s="1">
        <v>5</v>
      </c>
      <c r="B36" s="9" t="s">
        <v>13</v>
      </c>
      <c r="C36" s="1">
        <v>616</v>
      </c>
      <c r="D36" s="1">
        <v>722</v>
      </c>
      <c r="E36" s="1">
        <v>2025</v>
      </c>
      <c r="F36" s="5"/>
      <c r="G36" s="3">
        <f t="shared" si="6"/>
        <v>0</v>
      </c>
      <c r="H36" s="4">
        <f t="shared" si="7"/>
        <v>106</v>
      </c>
    </row>
    <row r="37" spans="1:8" ht="27.75" customHeight="1">
      <c r="A37" s="1">
        <v>5</v>
      </c>
      <c r="B37" s="9" t="s">
        <v>17</v>
      </c>
      <c r="C37" s="1">
        <v>616</v>
      </c>
      <c r="D37" s="1">
        <v>722</v>
      </c>
      <c r="E37" s="1">
        <v>2025</v>
      </c>
      <c r="F37" s="5"/>
      <c r="G37" s="3">
        <f t="shared" si="6"/>
        <v>0</v>
      </c>
      <c r="H37" s="4">
        <f t="shared" si="7"/>
        <v>106</v>
      </c>
    </row>
    <row r="38" spans="1:8" ht="27.75" customHeight="1">
      <c r="A38" s="1">
        <v>5</v>
      </c>
      <c r="B38" s="9" t="s">
        <v>18</v>
      </c>
      <c r="C38" s="1">
        <v>616</v>
      </c>
      <c r="D38" s="1"/>
      <c r="E38" s="1"/>
      <c r="F38" s="5"/>
      <c r="G38" s="3">
        <f t="shared" si="6"/>
        <v>616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616</v>
      </c>
      <c r="D39" s="1"/>
      <c r="E39" s="1"/>
      <c r="F39" s="5"/>
      <c r="G39" s="3">
        <f t="shared" si="6"/>
        <v>616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640</v>
      </c>
      <c r="D41" s="1"/>
      <c r="E41" s="1"/>
      <c r="F41" s="5"/>
      <c r="G41" s="3">
        <f t="shared" ref="G41:G49" si="8">IF((C41-D41)&lt;0,0,C41-D41)</f>
        <v>640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640</v>
      </c>
      <c r="D42" s="1"/>
      <c r="E42" s="1"/>
      <c r="F42" s="5"/>
      <c r="G42" s="3">
        <f t="shared" si="8"/>
        <v>640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640</v>
      </c>
      <c r="D43" s="1"/>
      <c r="E43" s="1"/>
      <c r="F43" s="5"/>
      <c r="G43" s="3">
        <f t="shared" si="8"/>
        <v>640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640</v>
      </c>
      <c r="D44" s="1"/>
      <c r="E44" s="1"/>
      <c r="F44" s="5"/>
      <c r="G44" s="3">
        <f t="shared" si="8"/>
        <v>640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640</v>
      </c>
      <c r="D45" s="1"/>
      <c r="E45" s="1"/>
      <c r="F45" s="5"/>
      <c r="G45" s="3">
        <f t="shared" si="8"/>
        <v>640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640</v>
      </c>
      <c r="D46" s="1"/>
      <c r="E46" s="1"/>
      <c r="F46" s="5"/>
      <c r="G46" s="3">
        <f t="shared" si="8"/>
        <v>640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640</v>
      </c>
      <c r="D47" s="1"/>
      <c r="E47" s="1"/>
      <c r="F47" s="5"/>
      <c r="G47" s="3">
        <f t="shared" si="8"/>
        <v>640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640</v>
      </c>
      <c r="D48" s="1"/>
      <c r="E48" s="1"/>
      <c r="F48" s="5"/>
      <c r="G48" s="3">
        <f t="shared" si="8"/>
        <v>640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640</v>
      </c>
      <c r="D49" s="1"/>
      <c r="E49" s="1"/>
      <c r="F49" s="5"/>
      <c r="G49" s="3">
        <f t="shared" si="8"/>
        <v>640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14:E19 E21:E29 E31:E39 E41:E49 E2:E6 E8:E12" xr:uid="{B46E7B13-721E-4D49-837E-C02BF9777D48}">
      <formula1>"2024,2025"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1" zoomScale="70" zoomScaleNormal="70" workbookViewId="0">
      <selection activeCell="J62" sqref="J62:J9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6" t="s">
        <v>20</v>
      </c>
      <c r="E1" s="36"/>
      <c r="F1" s="36"/>
      <c r="G1" s="36"/>
      <c r="H1" s="36"/>
      <c r="I1" s="36"/>
      <c r="J1" s="37" t="s">
        <v>21</v>
      </c>
      <c r="K1" s="37"/>
      <c r="L1" s="37"/>
      <c r="M1" s="37"/>
      <c r="N1" s="37"/>
      <c r="O1" s="37"/>
      <c r="P1" s="38" t="s">
        <v>22</v>
      </c>
      <c r="Q1" s="38"/>
      <c r="R1" s="38"/>
      <c r="S1" s="38"/>
      <c r="T1" s="38"/>
      <c r="U1" s="38"/>
      <c r="V1" s="39" t="s">
        <v>23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>
        <v>493</v>
      </c>
      <c r="D3" s="28">
        <f>Table1[[#This Row],[Enrolment S.Y. 2025-2026 ]]*8</f>
        <v>3944</v>
      </c>
      <c r="E3" s="28">
        <v>781</v>
      </c>
      <c r="F3" s="26">
        <v>2025</v>
      </c>
      <c r="G3" s="28" t="s">
        <v>49</v>
      </c>
      <c r="H3" s="28">
        <f>IF((D3-E3)&lt;0,0,(D3-E3))</f>
        <v>3163</v>
      </c>
      <c r="I3" s="28">
        <f>IF((E3-D3)&lt;0,0,(E3-D3))</f>
        <v>0</v>
      </c>
      <c r="J3" s="28">
        <f>Table1[[#This Row],[Enrolment S.Y. 2025-2026 ]]*8</f>
        <v>3944</v>
      </c>
      <c r="K3" s="28"/>
      <c r="L3" s="26"/>
      <c r="M3" s="28"/>
      <c r="N3" s="5">
        <f t="shared" ref="N3" si="0">IF((J3-K3)&lt;0,0,(J3-K3))</f>
        <v>3944</v>
      </c>
      <c r="O3" s="5">
        <f t="shared" ref="O3" si="1">IF((K3-J3)&lt;0,0,(K3-J3))</f>
        <v>0</v>
      </c>
      <c r="P3" s="5">
        <f>Table1[[#This Row],[Enrolment S.Y. 2025-2026 ]]*8</f>
        <v>3944</v>
      </c>
      <c r="Q3" s="28"/>
      <c r="R3" s="26"/>
      <c r="S3" s="28"/>
      <c r="T3" s="28">
        <f>IF((P3-Q3)&lt;0,0,(P3-Q3))</f>
        <v>3944</v>
      </c>
      <c r="U3" s="28">
        <f>IF((Q3-P3)&lt;0,0,(Q3-P3))</f>
        <v>0</v>
      </c>
      <c r="V3" s="28">
        <f>Table1[[#This Row],[Enrolment S.Y. 2025-2026 ]]*8</f>
        <v>3944</v>
      </c>
      <c r="W3" s="28"/>
      <c r="X3" s="26"/>
      <c r="Y3" s="28"/>
      <c r="Z3" s="28">
        <f>IF((V3-W3)&lt;0,0,(V3-W3))</f>
        <v>3944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628</v>
      </c>
      <c r="D16" s="5">
        <f>Table1[[#This Row],[Enrolment S.Y. 2025-2026 ]]*8</f>
        <v>5024</v>
      </c>
      <c r="E16" s="5">
        <v>628</v>
      </c>
      <c r="F16" s="1">
        <v>2025</v>
      </c>
      <c r="G16" s="5"/>
      <c r="H16" s="5">
        <f t="shared" si="2"/>
        <v>4396</v>
      </c>
      <c r="I16" s="5">
        <f t="shared" si="3"/>
        <v>0</v>
      </c>
      <c r="J16" s="5">
        <f>Table1[[#This Row],[Enrolment S.Y. 2025-2026 ]]*8</f>
        <v>5024</v>
      </c>
      <c r="K16" s="5"/>
      <c r="L16" s="1"/>
      <c r="M16" s="5"/>
      <c r="N16" s="5">
        <f t="shared" si="10"/>
        <v>5024</v>
      </c>
      <c r="O16" s="5">
        <f t="shared" si="11"/>
        <v>0</v>
      </c>
      <c r="P16" s="5">
        <f>Table1[[#This Row],[Enrolment S.Y. 2025-2026 ]]*8</f>
        <v>5024</v>
      </c>
      <c r="Q16" s="5"/>
      <c r="R16" s="1"/>
      <c r="S16" s="5"/>
      <c r="T16" s="5">
        <f t="shared" si="12"/>
        <v>5024</v>
      </c>
      <c r="U16" s="5">
        <f t="shared" si="13"/>
        <v>0</v>
      </c>
      <c r="V16" s="5">
        <f>Table1[[#This Row],[Enrolment S.Y. 2025-2026 ]]*8</f>
        <v>5024</v>
      </c>
      <c r="W16" s="5"/>
      <c r="X16" s="1"/>
      <c r="Y16" s="5"/>
      <c r="Z16" s="5">
        <f t="shared" si="14"/>
        <v>5024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628</v>
      </c>
      <c r="D17" s="5">
        <f>Table1[[#This Row],[Enrolment S.Y. 2025-2026 ]]*8</f>
        <v>5024</v>
      </c>
      <c r="E17" s="5">
        <v>628</v>
      </c>
      <c r="F17" s="1">
        <v>2025</v>
      </c>
      <c r="G17" s="5"/>
      <c r="H17" s="5">
        <f t="shared" si="2"/>
        <v>4396</v>
      </c>
      <c r="I17" s="5">
        <f t="shared" si="3"/>
        <v>0</v>
      </c>
      <c r="J17" s="5">
        <f>Table1[[#This Row],[Enrolment S.Y. 2025-2026 ]]*8</f>
        <v>5024</v>
      </c>
      <c r="K17" s="5"/>
      <c r="L17" s="1"/>
      <c r="M17" s="5"/>
      <c r="N17" s="5">
        <f t="shared" si="10"/>
        <v>5024</v>
      </c>
      <c r="O17" s="5">
        <f t="shared" si="11"/>
        <v>0</v>
      </c>
      <c r="P17" s="5">
        <f>Table1[[#This Row],[Enrolment S.Y. 2025-2026 ]]*8</f>
        <v>5024</v>
      </c>
      <c r="Q17" s="5">
        <v>629</v>
      </c>
      <c r="R17" s="1">
        <v>2025</v>
      </c>
      <c r="S17" s="5"/>
      <c r="T17" s="5">
        <f t="shared" si="12"/>
        <v>4395</v>
      </c>
      <c r="U17" s="5">
        <f t="shared" si="13"/>
        <v>0</v>
      </c>
      <c r="V17" s="5">
        <f>Table1[[#This Row],[Enrolment S.Y. 2025-2026 ]]*8</f>
        <v>5024</v>
      </c>
      <c r="W17" s="5"/>
      <c r="X17" s="1"/>
      <c r="Y17" s="5"/>
      <c r="Z17" s="5">
        <f t="shared" si="14"/>
        <v>5024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628</v>
      </c>
      <c r="D18" s="5">
        <f>Table1[[#This Row],[Enrolment S.Y. 2025-2026 ]]*8</f>
        <v>5024</v>
      </c>
      <c r="E18" s="5">
        <v>628</v>
      </c>
      <c r="F18" s="1">
        <v>2025</v>
      </c>
      <c r="G18" s="5"/>
      <c r="H18" s="5">
        <f t="shared" si="2"/>
        <v>4396</v>
      </c>
      <c r="I18" s="5">
        <f t="shared" si="3"/>
        <v>0</v>
      </c>
      <c r="J18" s="5">
        <f>Table1[[#This Row],[Enrolment S.Y. 2025-2026 ]]*8</f>
        <v>5024</v>
      </c>
      <c r="K18" s="5"/>
      <c r="L18" s="1"/>
      <c r="M18" s="5"/>
      <c r="N18" s="5">
        <f t="shared" si="10"/>
        <v>5024</v>
      </c>
      <c r="O18" s="5">
        <f t="shared" si="11"/>
        <v>0</v>
      </c>
      <c r="P18" s="5">
        <f>Table1[[#This Row],[Enrolment S.Y. 2025-2026 ]]*8</f>
        <v>5024</v>
      </c>
      <c r="Q18" s="5"/>
      <c r="R18" s="1"/>
      <c r="S18" s="5"/>
      <c r="T18" s="5">
        <f t="shared" si="12"/>
        <v>5024</v>
      </c>
      <c r="U18" s="5">
        <f t="shared" si="13"/>
        <v>0</v>
      </c>
      <c r="V18" s="5">
        <f>Table1[[#This Row],[Enrolment S.Y. 2025-2026 ]]*8</f>
        <v>5024</v>
      </c>
      <c r="W18" s="5"/>
      <c r="X18" s="1"/>
      <c r="Y18" s="5"/>
      <c r="Z18" s="5">
        <f t="shared" si="14"/>
        <v>5024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628</v>
      </c>
      <c r="D19" s="5">
        <f>Table1[[#This Row],[Enrolment S.Y. 2025-2026 ]]*8</f>
        <v>5024</v>
      </c>
      <c r="E19" s="5">
        <v>628</v>
      </c>
      <c r="F19" s="1">
        <v>2025</v>
      </c>
      <c r="G19" s="5"/>
      <c r="H19" s="5">
        <f>IF((D19-E19)&lt;0,0,(D19-E19))</f>
        <v>4396</v>
      </c>
      <c r="I19" s="5">
        <f>IF((E19-D19)&lt;0,0,(E19-D19))</f>
        <v>0</v>
      </c>
      <c r="J19" s="5">
        <f>Table1[[#This Row],[Enrolment S.Y. 2025-2026 ]]*8</f>
        <v>5024</v>
      </c>
      <c r="K19" s="5"/>
      <c r="L19" s="1"/>
      <c r="M19" s="5"/>
      <c r="N19" s="5">
        <f t="shared" si="10"/>
        <v>5024</v>
      </c>
      <c r="O19" s="5">
        <f t="shared" si="11"/>
        <v>0</v>
      </c>
      <c r="P19" s="5">
        <f>Table1[[#This Row],[Enrolment S.Y. 2025-2026 ]]*8</f>
        <v>5024</v>
      </c>
      <c r="Q19" s="5">
        <v>629</v>
      </c>
      <c r="R19" s="1">
        <v>2025</v>
      </c>
      <c r="S19" s="5"/>
      <c r="T19" s="5">
        <f t="shared" si="12"/>
        <v>4395</v>
      </c>
      <c r="U19" s="5">
        <f t="shared" si="13"/>
        <v>0</v>
      </c>
      <c r="V19" s="5">
        <f>Table1[[#This Row],[Enrolment S.Y. 2025-2026 ]]*8</f>
        <v>5024</v>
      </c>
      <c r="W19" s="5"/>
      <c r="X19" s="1"/>
      <c r="Y19" s="5"/>
      <c r="Z19" s="5">
        <f t="shared" si="14"/>
        <v>5024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628</v>
      </c>
      <c r="D20" s="5">
        <f>Table1[[#This Row],[Enrolment S.Y. 2025-2026 ]]*8</f>
        <v>5024</v>
      </c>
      <c r="E20" s="5">
        <v>628</v>
      </c>
      <c r="F20" s="1">
        <v>2025</v>
      </c>
      <c r="G20" s="5"/>
      <c r="H20" s="5">
        <f>IF((D20-E20)&lt;0,0,(D20-E20))</f>
        <v>4396</v>
      </c>
      <c r="I20" s="5">
        <f>IF((E20-D20)&lt;0,0,(E20-D20))</f>
        <v>0</v>
      </c>
      <c r="J20" s="5">
        <f>Table1[[#This Row],[Enrolment S.Y. 2025-2026 ]]*8</f>
        <v>5024</v>
      </c>
      <c r="K20" s="5"/>
      <c r="L20" s="1"/>
      <c r="M20" s="5"/>
      <c r="N20" s="5">
        <f t="shared" si="10"/>
        <v>5024</v>
      </c>
      <c r="O20" s="5">
        <f t="shared" si="11"/>
        <v>0</v>
      </c>
      <c r="P20" s="5">
        <f>Table1[[#This Row],[Enrolment S.Y. 2025-2026 ]]*8</f>
        <v>5024</v>
      </c>
      <c r="Q20" s="5"/>
      <c r="R20" s="1"/>
      <c r="S20" s="5"/>
      <c r="T20" s="5">
        <f t="shared" si="12"/>
        <v>5024</v>
      </c>
      <c r="U20" s="5">
        <f t="shared" si="13"/>
        <v>0</v>
      </c>
      <c r="V20" s="5">
        <f>Table1[[#This Row],[Enrolment S.Y. 2025-2026 ]]*8</f>
        <v>5024</v>
      </c>
      <c r="W20" s="5"/>
      <c r="X20" s="1"/>
      <c r="Y20" s="5"/>
      <c r="Z20" s="5">
        <f t="shared" si="14"/>
        <v>5024</v>
      </c>
      <c r="AA20" s="5">
        <f t="shared" si="15"/>
        <v>0</v>
      </c>
    </row>
    <row r="21" spans="1:27" ht="19.149999999999999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703</v>
      </c>
      <c r="D25" s="5">
        <f>Table1[[#This Row],[Enrolment S.Y. 2025-2026 ]]*8</f>
        <v>5624</v>
      </c>
      <c r="E25" s="5">
        <v>603</v>
      </c>
      <c r="F25" s="1">
        <v>2025</v>
      </c>
      <c r="G25" s="5"/>
      <c r="H25" s="5">
        <f t="shared" si="2"/>
        <v>5021</v>
      </c>
      <c r="I25" s="5">
        <f t="shared" si="3"/>
        <v>0</v>
      </c>
      <c r="J25" s="5">
        <f>Table1[[#This Row],[Enrolment S.Y. 2025-2026 ]]*8</f>
        <v>5624</v>
      </c>
      <c r="K25" s="5"/>
      <c r="L25" s="1"/>
      <c r="M25" s="5"/>
      <c r="N25" s="5">
        <f t="shared" si="10"/>
        <v>5624</v>
      </c>
      <c r="O25" s="5">
        <f t="shared" si="11"/>
        <v>0</v>
      </c>
      <c r="P25" s="5">
        <f>Table1[[#This Row],[Enrolment S.Y. 2025-2026 ]]*8</f>
        <v>5624</v>
      </c>
      <c r="Q25" s="5"/>
      <c r="R25" s="1"/>
      <c r="S25" s="5"/>
      <c r="T25" s="5">
        <f t="shared" si="12"/>
        <v>5624</v>
      </c>
      <c r="U25" s="5">
        <f t="shared" si="13"/>
        <v>0</v>
      </c>
      <c r="V25" s="5">
        <f>Table1[[#This Row],[Enrolment S.Y. 2025-2026 ]]*8</f>
        <v>5624</v>
      </c>
      <c r="W25" s="5"/>
      <c r="X25" s="1"/>
      <c r="Y25" s="5"/>
      <c r="Z25" s="5">
        <f t="shared" si="14"/>
        <v>5624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703</v>
      </c>
      <c r="D26" s="5">
        <f>Table1[[#This Row],[Enrolment S.Y. 2025-2026 ]]*8</f>
        <v>5624</v>
      </c>
      <c r="E26" s="5">
        <v>603</v>
      </c>
      <c r="F26" s="1">
        <v>2025</v>
      </c>
      <c r="G26" s="5"/>
      <c r="H26" s="5">
        <f t="shared" si="2"/>
        <v>5021</v>
      </c>
      <c r="I26" s="5">
        <f t="shared" si="3"/>
        <v>0</v>
      </c>
      <c r="J26" s="5">
        <f>Table1[[#This Row],[Enrolment S.Y. 2025-2026 ]]*8</f>
        <v>5624</v>
      </c>
      <c r="K26" s="5"/>
      <c r="L26" s="1"/>
      <c r="M26" s="5"/>
      <c r="N26" s="5">
        <f t="shared" si="10"/>
        <v>5624</v>
      </c>
      <c r="O26" s="5">
        <f t="shared" si="11"/>
        <v>0</v>
      </c>
      <c r="P26" s="5">
        <f>Table1[[#This Row],[Enrolment S.Y. 2025-2026 ]]*8</f>
        <v>5624</v>
      </c>
      <c r="Q26" s="5"/>
      <c r="R26" s="1"/>
      <c r="S26" s="5"/>
      <c r="T26" s="5">
        <f t="shared" si="12"/>
        <v>5624</v>
      </c>
      <c r="U26" s="5">
        <f t="shared" si="13"/>
        <v>0</v>
      </c>
      <c r="V26" s="5">
        <f>Table1[[#This Row],[Enrolment S.Y. 2025-2026 ]]*8</f>
        <v>5624</v>
      </c>
      <c r="W26" s="5"/>
      <c r="X26" s="1"/>
      <c r="Y26" s="5"/>
      <c r="Z26" s="5">
        <f t="shared" si="14"/>
        <v>5624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703</v>
      </c>
      <c r="D27" s="5">
        <f>Table1[[#This Row],[Enrolment S.Y. 2025-2026 ]]*8</f>
        <v>5624</v>
      </c>
      <c r="E27" s="5">
        <v>603</v>
      </c>
      <c r="F27" s="1">
        <v>2025</v>
      </c>
      <c r="G27" s="5"/>
      <c r="H27" s="5">
        <f t="shared" si="2"/>
        <v>5021</v>
      </c>
      <c r="I27" s="5">
        <f t="shared" si="3"/>
        <v>0</v>
      </c>
      <c r="J27" s="5">
        <f>Table1[[#This Row],[Enrolment S.Y. 2025-2026 ]]*8</f>
        <v>5624</v>
      </c>
      <c r="K27" s="5"/>
      <c r="L27" s="1"/>
      <c r="M27" s="5"/>
      <c r="N27" s="5">
        <f t="shared" si="10"/>
        <v>5624</v>
      </c>
      <c r="O27" s="5">
        <f t="shared" si="11"/>
        <v>0</v>
      </c>
      <c r="P27" s="5">
        <f>Table1[[#This Row],[Enrolment S.Y. 2025-2026 ]]*8</f>
        <v>5624</v>
      </c>
      <c r="Q27" s="5"/>
      <c r="R27" s="1"/>
      <c r="S27" s="5"/>
      <c r="T27" s="5">
        <f t="shared" si="12"/>
        <v>5624</v>
      </c>
      <c r="U27" s="5">
        <f t="shared" si="13"/>
        <v>0</v>
      </c>
      <c r="V27" s="5">
        <f>Table1[[#This Row],[Enrolment S.Y. 2025-2026 ]]*8</f>
        <v>5624</v>
      </c>
      <c r="W27" s="5"/>
      <c r="X27" s="1"/>
      <c r="Y27" s="5"/>
      <c r="Z27" s="5">
        <f t="shared" si="14"/>
        <v>5624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703</v>
      </c>
      <c r="D28" s="5">
        <f>Table1[[#This Row],[Enrolment S.Y. 2025-2026 ]]*8</f>
        <v>5624</v>
      </c>
      <c r="E28" s="5">
        <v>603</v>
      </c>
      <c r="F28" s="1">
        <v>2025</v>
      </c>
      <c r="G28" s="5"/>
      <c r="H28" s="5">
        <f t="shared" si="2"/>
        <v>5021</v>
      </c>
      <c r="I28" s="5">
        <f t="shared" si="3"/>
        <v>0</v>
      </c>
      <c r="J28" s="5">
        <f>Table1[[#This Row],[Enrolment S.Y. 2025-2026 ]]*8</f>
        <v>5624</v>
      </c>
      <c r="K28" s="5"/>
      <c r="L28" s="1"/>
      <c r="M28" s="5"/>
      <c r="N28" s="5">
        <f t="shared" si="10"/>
        <v>5624</v>
      </c>
      <c r="O28" s="5">
        <f t="shared" si="11"/>
        <v>0</v>
      </c>
      <c r="P28" s="5">
        <f>Table1[[#This Row],[Enrolment S.Y. 2025-2026 ]]*8</f>
        <v>5624</v>
      </c>
      <c r="Q28" s="5"/>
      <c r="R28" s="1"/>
      <c r="S28" s="5"/>
      <c r="T28" s="5">
        <f t="shared" si="12"/>
        <v>5624</v>
      </c>
      <c r="U28" s="5">
        <f t="shared" si="13"/>
        <v>0</v>
      </c>
      <c r="V28" s="5">
        <f>Table1[[#This Row],[Enrolment S.Y. 2025-2026 ]]*8</f>
        <v>5624</v>
      </c>
      <c r="W28" s="5"/>
      <c r="X28" s="1"/>
      <c r="Y28" s="5"/>
      <c r="Z28" s="5">
        <f t="shared" si="14"/>
        <v>5624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703</v>
      </c>
      <c r="D29" s="5">
        <f>Table1[[#This Row],[Enrolment S.Y. 2025-2026 ]]*8</f>
        <v>5624</v>
      </c>
      <c r="E29" s="5">
        <v>603</v>
      </c>
      <c r="F29" s="35">
        <v>2025</v>
      </c>
      <c r="G29" s="5"/>
      <c r="H29" s="5">
        <f>IF((D29-E29)&lt;0,0,(D29-E29))</f>
        <v>5021</v>
      </c>
      <c r="I29" s="5">
        <f>IF((E29-D29)&lt;0,0,(E29-D29))</f>
        <v>0</v>
      </c>
      <c r="J29" s="5">
        <f>Table1[[#This Row],[Enrolment S.Y. 2025-2026 ]]*8</f>
        <v>5624</v>
      </c>
      <c r="K29" s="5"/>
      <c r="L29" s="1"/>
      <c r="M29" s="5"/>
      <c r="N29" s="5">
        <f t="shared" si="10"/>
        <v>5624</v>
      </c>
      <c r="O29" s="5">
        <f t="shared" si="11"/>
        <v>0</v>
      </c>
      <c r="P29" s="5">
        <f>Table1[[#This Row],[Enrolment S.Y. 2025-2026 ]]*8</f>
        <v>5624</v>
      </c>
      <c r="Q29" s="5"/>
      <c r="R29" s="1"/>
      <c r="S29" s="5"/>
      <c r="T29" s="5">
        <f t="shared" si="12"/>
        <v>5624</v>
      </c>
      <c r="U29" s="5">
        <f t="shared" si="13"/>
        <v>0</v>
      </c>
      <c r="V29" s="5">
        <f>Table1[[#This Row],[Enrolment S.Y. 2025-2026 ]]*8</f>
        <v>5624</v>
      </c>
      <c r="W29" s="5"/>
      <c r="X29" s="1"/>
      <c r="Y29" s="5"/>
      <c r="Z29" s="5">
        <f t="shared" si="14"/>
        <v>5624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703</v>
      </c>
      <c r="D30" s="5">
        <f>Table1[[#This Row],[Enrolment S.Y. 2025-2026 ]]*8</f>
        <v>5624</v>
      </c>
      <c r="E30" s="5">
        <v>603</v>
      </c>
      <c r="F30" s="1">
        <v>2025</v>
      </c>
      <c r="G30" s="5"/>
      <c r="H30" s="5">
        <f>IF((D30-E30)&lt;0,0,(D30-E30))</f>
        <v>5021</v>
      </c>
      <c r="I30" s="5">
        <f>IF((E30-D30)&lt;0,0,(E30-D30))</f>
        <v>0</v>
      </c>
      <c r="J30" s="5">
        <f>Table1[[#This Row],[Enrolment S.Y. 2025-2026 ]]*8</f>
        <v>5624</v>
      </c>
      <c r="K30" s="5"/>
      <c r="L30" s="1"/>
      <c r="M30" s="5"/>
      <c r="N30" s="5">
        <f t="shared" si="10"/>
        <v>5624</v>
      </c>
      <c r="O30" s="5">
        <f t="shared" si="11"/>
        <v>0</v>
      </c>
      <c r="P30" s="5">
        <f>Table1[[#This Row],[Enrolment S.Y. 2025-2026 ]]*8</f>
        <v>5624</v>
      </c>
      <c r="Q30" s="5"/>
      <c r="R30" s="1"/>
      <c r="S30" s="5"/>
      <c r="T30" s="5">
        <f t="shared" si="12"/>
        <v>5624</v>
      </c>
      <c r="U30" s="5">
        <f t="shared" si="13"/>
        <v>0</v>
      </c>
      <c r="V30" s="5">
        <f>Table1[[#This Row],[Enrolment S.Y. 2025-2026 ]]*8</f>
        <v>5624</v>
      </c>
      <c r="W30" s="5"/>
      <c r="X30" s="1"/>
      <c r="Y30" s="5"/>
      <c r="Z30" s="5">
        <f t="shared" si="14"/>
        <v>5624</v>
      </c>
      <c r="AA30" s="5">
        <f t="shared" si="15"/>
        <v>0</v>
      </c>
    </row>
    <row r="31" spans="1:27" ht="19.149999999999999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616</v>
      </c>
      <c r="D43" s="5">
        <f>Table1[[#This Row],[Enrolment S.Y. 2025-2026 ]]*8</f>
        <v>4928</v>
      </c>
      <c r="E43" s="5">
        <v>267</v>
      </c>
      <c r="F43" s="1">
        <v>2025</v>
      </c>
      <c r="G43" s="5"/>
      <c r="H43" s="5">
        <f t="shared" si="2"/>
        <v>4661</v>
      </c>
      <c r="I43" s="5">
        <f t="shared" si="3"/>
        <v>0</v>
      </c>
      <c r="J43" s="5">
        <f>Table1[[#This Row],[Enrolment S.Y. 2025-2026 ]]*8</f>
        <v>4928</v>
      </c>
      <c r="K43" s="5">
        <v>618</v>
      </c>
      <c r="L43" s="1">
        <v>2025</v>
      </c>
      <c r="M43" s="5"/>
      <c r="N43" s="5">
        <f t="shared" si="10"/>
        <v>4310</v>
      </c>
      <c r="O43" s="5">
        <f t="shared" si="11"/>
        <v>0</v>
      </c>
      <c r="P43" s="5">
        <f>Table1[[#This Row],[Enrolment S.Y. 2025-2026 ]]*8</f>
        <v>4928</v>
      </c>
      <c r="Q43" s="5"/>
      <c r="R43" s="1"/>
      <c r="S43" s="5"/>
      <c r="T43" s="5">
        <f t="shared" si="12"/>
        <v>4928</v>
      </c>
      <c r="U43" s="5">
        <f t="shared" si="13"/>
        <v>0</v>
      </c>
      <c r="V43" s="5">
        <f>Table1[[#This Row],[Enrolment S.Y. 2025-2026 ]]*8</f>
        <v>4928</v>
      </c>
      <c r="W43" s="5"/>
      <c r="X43" s="1"/>
      <c r="Y43" s="5"/>
      <c r="Z43" s="5">
        <f t="shared" si="14"/>
        <v>4928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616</v>
      </c>
      <c r="D44" s="5">
        <f>Table1[[#This Row],[Enrolment S.Y. 2025-2026 ]]*8</f>
        <v>4928</v>
      </c>
      <c r="E44" s="5">
        <v>267</v>
      </c>
      <c r="F44" s="1">
        <v>2025</v>
      </c>
      <c r="G44" s="5"/>
      <c r="H44" s="5">
        <f t="shared" si="2"/>
        <v>4661</v>
      </c>
      <c r="I44" s="5">
        <f t="shared" si="3"/>
        <v>0</v>
      </c>
      <c r="J44" s="5">
        <f>Table1[[#This Row],[Enrolment S.Y. 2025-2026 ]]*8</f>
        <v>4928</v>
      </c>
      <c r="K44" s="5"/>
      <c r="L44" s="1"/>
      <c r="M44" s="5"/>
      <c r="N44" s="5">
        <f t="shared" si="10"/>
        <v>4928</v>
      </c>
      <c r="O44" s="5">
        <f t="shared" si="11"/>
        <v>0</v>
      </c>
      <c r="P44" s="5">
        <f>Table1[[#This Row],[Enrolment S.Y. 2025-2026 ]]*8</f>
        <v>4928</v>
      </c>
      <c r="Q44" s="5"/>
      <c r="R44" s="1"/>
      <c r="S44" s="5"/>
      <c r="T44" s="5">
        <f t="shared" si="12"/>
        <v>4928</v>
      </c>
      <c r="U44" s="5">
        <f t="shared" si="13"/>
        <v>0</v>
      </c>
      <c r="V44" s="5">
        <f>Table1[[#This Row],[Enrolment S.Y. 2025-2026 ]]*8</f>
        <v>4928</v>
      </c>
      <c r="W44" s="5"/>
      <c r="X44" s="1"/>
      <c r="Y44" s="5"/>
      <c r="Z44" s="5">
        <f t="shared" si="14"/>
        <v>4928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616</v>
      </c>
      <c r="D45" s="5">
        <f>Table1[[#This Row],[Enrolment S.Y. 2025-2026 ]]*8</f>
        <v>4928</v>
      </c>
      <c r="E45" s="5">
        <v>267</v>
      </c>
      <c r="F45" s="1">
        <v>2025</v>
      </c>
      <c r="G45" s="5"/>
      <c r="H45" s="5">
        <f t="shared" si="2"/>
        <v>4661</v>
      </c>
      <c r="I45" s="5">
        <f t="shared" si="3"/>
        <v>0</v>
      </c>
      <c r="J45" s="5">
        <f>Table1[[#This Row],[Enrolment S.Y. 2025-2026 ]]*8</f>
        <v>4928</v>
      </c>
      <c r="K45" s="5">
        <v>618</v>
      </c>
      <c r="L45" s="1">
        <v>2025</v>
      </c>
      <c r="M45" s="5"/>
      <c r="N45" s="5">
        <f t="shared" si="10"/>
        <v>4310</v>
      </c>
      <c r="O45" s="5">
        <f t="shared" si="11"/>
        <v>0</v>
      </c>
      <c r="P45" s="5">
        <f>Table1[[#This Row],[Enrolment S.Y. 2025-2026 ]]*8</f>
        <v>4928</v>
      </c>
      <c r="Q45" s="5"/>
      <c r="R45" s="1"/>
      <c r="S45" s="5"/>
      <c r="T45" s="5">
        <f t="shared" si="12"/>
        <v>4928</v>
      </c>
      <c r="U45" s="5">
        <f t="shared" si="13"/>
        <v>0</v>
      </c>
      <c r="V45" s="5">
        <f>Table1[[#This Row],[Enrolment S.Y. 2025-2026 ]]*8</f>
        <v>4928</v>
      </c>
      <c r="W45" s="5"/>
      <c r="X45" s="1"/>
      <c r="Y45" s="5"/>
      <c r="Z45" s="5">
        <f t="shared" si="14"/>
        <v>4928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616</v>
      </c>
      <c r="D46" s="5">
        <f>Table1[[#This Row],[Enrolment S.Y. 2025-2026 ]]*8</f>
        <v>4928</v>
      </c>
      <c r="E46" s="5">
        <v>267</v>
      </c>
      <c r="F46" s="1">
        <v>2025</v>
      </c>
      <c r="G46" s="5"/>
      <c r="H46" s="5">
        <f t="shared" si="2"/>
        <v>4661</v>
      </c>
      <c r="I46" s="5">
        <f t="shared" si="3"/>
        <v>0</v>
      </c>
      <c r="J46" s="5">
        <f>Table1[[#This Row],[Enrolment S.Y. 2025-2026 ]]*8</f>
        <v>4928</v>
      </c>
      <c r="K46" s="5"/>
      <c r="L46" s="1"/>
      <c r="M46" s="5"/>
      <c r="N46" s="5">
        <f t="shared" si="10"/>
        <v>4928</v>
      </c>
      <c r="O46" s="5">
        <f t="shared" si="11"/>
        <v>0</v>
      </c>
      <c r="P46" s="5">
        <f>Table1[[#This Row],[Enrolment S.Y. 2025-2026 ]]*8</f>
        <v>4928</v>
      </c>
      <c r="Q46" s="5"/>
      <c r="R46" s="1"/>
      <c r="S46" s="5"/>
      <c r="T46" s="5">
        <f t="shared" si="12"/>
        <v>4928</v>
      </c>
      <c r="U46" s="5">
        <f t="shared" si="13"/>
        <v>0</v>
      </c>
      <c r="V46" s="5">
        <f>Table1[[#This Row],[Enrolment S.Y. 2025-2026 ]]*8</f>
        <v>4928</v>
      </c>
      <c r="W46" s="5"/>
      <c r="X46" s="1"/>
      <c r="Y46" s="5"/>
      <c r="Z46" s="5">
        <f t="shared" si="14"/>
        <v>4928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616</v>
      </c>
      <c r="D47" s="5">
        <f>Table1[[#This Row],[Enrolment S.Y. 2025-2026 ]]*8</f>
        <v>4928</v>
      </c>
      <c r="E47" s="5">
        <v>267</v>
      </c>
      <c r="F47" s="1">
        <v>2025</v>
      </c>
      <c r="G47" s="5"/>
      <c r="H47" s="5">
        <f t="shared" si="2"/>
        <v>4661</v>
      </c>
      <c r="I47" s="5">
        <f t="shared" si="3"/>
        <v>0</v>
      </c>
      <c r="J47" s="5">
        <f>Table1[[#This Row],[Enrolment S.Y. 2025-2026 ]]*8</f>
        <v>4928</v>
      </c>
      <c r="K47" s="5"/>
      <c r="L47" s="1"/>
      <c r="M47" s="5"/>
      <c r="N47" s="5">
        <f t="shared" si="10"/>
        <v>4928</v>
      </c>
      <c r="O47" s="5">
        <f t="shared" si="11"/>
        <v>0</v>
      </c>
      <c r="P47" s="5">
        <f>Table1[[#This Row],[Enrolment S.Y. 2025-2026 ]]*8</f>
        <v>4928</v>
      </c>
      <c r="Q47" s="5"/>
      <c r="R47" s="1"/>
      <c r="S47" s="5"/>
      <c r="T47" s="5">
        <f t="shared" si="12"/>
        <v>4928</v>
      </c>
      <c r="U47" s="5">
        <f t="shared" si="13"/>
        <v>0</v>
      </c>
      <c r="V47" s="5">
        <f>Table1[[#This Row],[Enrolment S.Y. 2025-2026 ]]*8</f>
        <v>4928</v>
      </c>
      <c r="W47" s="5"/>
      <c r="X47" s="1"/>
      <c r="Y47" s="5"/>
      <c r="Z47" s="5">
        <f t="shared" si="14"/>
        <v>4928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616</v>
      </c>
      <c r="D48" s="5">
        <f>Table1[[#This Row],[Enrolment S.Y. 2025-2026 ]]*8</f>
        <v>4928</v>
      </c>
      <c r="E48" s="5">
        <v>267</v>
      </c>
      <c r="F48" s="1">
        <v>2025</v>
      </c>
      <c r="G48" s="5"/>
      <c r="H48" s="5">
        <f t="shared" si="2"/>
        <v>4661</v>
      </c>
      <c r="I48" s="5">
        <f t="shared" si="3"/>
        <v>0</v>
      </c>
      <c r="J48" s="5">
        <f>Table1[[#This Row],[Enrolment S.Y. 2025-2026 ]]*8</f>
        <v>4928</v>
      </c>
      <c r="K48" s="5"/>
      <c r="L48" s="1"/>
      <c r="M48" s="5"/>
      <c r="N48" s="5">
        <f t="shared" si="10"/>
        <v>4928</v>
      </c>
      <c r="O48" s="5">
        <f t="shared" si="11"/>
        <v>0</v>
      </c>
      <c r="P48" s="5">
        <f>Table1[[#This Row],[Enrolment S.Y. 2025-2026 ]]*8</f>
        <v>4928</v>
      </c>
      <c r="Q48" s="5"/>
      <c r="R48" s="1"/>
      <c r="S48" s="5"/>
      <c r="T48" s="5">
        <f t="shared" si="12"/>
        <v>4928</v>
      </c>
      <c r="U48" s="5">
        <f t="shared" si="13"/>
        <v>0</v>
      </c>
      <c r="V48" s="5">
        <f>Table1[[#This Row],[Enrolment S.Y. 2025-2026 ]]*8</f>
        <v>4928</v>
      </c>
      <c r="W48" s="5"/>
      <c r="X48" s="1"/>
      <c r="Y48" s="5"/>
      <c r="Z48" s="5">
        <f t="shared" si="14"/>
        <v>4928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616</v>
      </c>
      <c r="D49" s="5">
        <f>Table1[[#This Row],[Enrolment S.Y. 2025-2026 ]]*8</f>
        <v>4928</v>
      </c>
      <c r="E49" s="5">
        <v>267</v>
      </c>
      <c r="F49" s="1">
        <v>2025</v>
      </c>
      <c r="G49" s="5"/>
      <c r="H49" s="5">
        <f t="shared" si="2"/>
        <v>4661</v>
      </c>
      <c r="I49" s="5">
        <f t="shared" si="3"/>
        <v>0</v>
      </c>
      <c r="J49" s="5">
        <f>Table1[[#This Row],[Enrolment S.Y. 2025-2026 ]]*8</f>
        <v>4928</v>
      </c>
      <c r="K49" s="5"/>
      <c r="L49" s="1"/>
      <c r="M49" s="5"/>
      <c r="N49" s="5">
        <f t="shared" si="10"/>
        <v>4928</v>
      </c>
      <c r="O49" s="5">
        <f t="shared" si="11"/>
        <v>0</v>
      </c>
      <c r="P49" s="5">
        <f>Table1[[#This Row],[Enrolment S.Y. 2025-2026 ]]*8</f>
        <v>4928</v>
      </c>
      <c r="Q49" s="5"/>
      <c r="R49" s="1"/>
      <c r="S49" s="5"/>
      <c r="T49" s="5">
        <f t="shared" si="12"/>
        <v>4928</v>
      </c>
      <c r="U49" s="5">
        <f t="shared" si="13"/>
        <v>0</v>
      </c>
      <c r="V49" s="5">
        <f>Table1[[#This Row],[Enrolment S.Y. 2025-2026 ]]*8</f>
        <v>4928</v>
      </c>
      <c r="W49" s="5"/>
      <c r="X49" s="1"/>
      <c r="Y49" s="5"/>
      <c r="Z49" s="5">
        <f t="shared" si="14"/>
        <v>4928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616</v>
      </c>
      <c r="D50" s="5">
        <f>Table1[[#This Row],[Enrolment S.Y. 2025-2026 ]]*8</f>
        <v>4928</v>
      </c>
      <c r="E50" s="5">
        <v>267</v>
      </c>
      <c r="F50" s="1">
        <v>2025</v>
      </c>
      <c r="G50" s="5"/>
      <c r="H50" s="5">
        <f t="shared" si="2"/>
        <v>4661</v>
      </c>
      <c r="I50" s="5">
        <f t="shared" si="3"/>
        <v>0</v>
      </c>
      <c r="J50" s="5">
        <f>Table1[[#This Row],[Enrolment S.Y. 2025-2026 ]]*8</f>
        <v>4928</v>
      </c>
      <c r="K50" s="5"/>
      <c r="L50" s="1"/>
      <c r="M50" s="5"/>
      <c r="N50" s="5">
        <f t="shared" si="10"/>
        <v>4928</v>
      </c>
      <c r="O50" s="5">
        <f t="shared" si="11"/>
        <v>0</v>
      </c>
      <c r="P50" s="5">
        <f>Table1[[#This Row],[Enrolment S.Y. 2025-2026 ]]*8</f>
        <v>4928</v>
      </c>
      <c r="Q50" s="5"/>
      <c r="R50" s="1"/>
      <c r="S50" s="5"/>
      <c r="T50" s="5">
        <f t="shared" si="12"/>
        <v>4928</v>
      </c>
      <c r="U50" s="5">
        <f t="shared" si="13"/>
        <v>0</v>
      </c>
      <c r="V50" s="5">
        <f>Table1[[#This Row],[Enrolment S.Y. 2025-2026 ]]*8</f>
        <v>4928</v>
      </c>
      <c r="W50" s="5"/>
      <c r="X50" s="1"/>
      <c r="Y50" s="5"/>
      <c r="Z50" s="5">
        <f t="shared" si="14"/>
        <v>4928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616</v>
      </c>
      <c r="D51" s="5">
        <f>Table1[[#This Row],[Enrolment S.Y. 2025-2026 ]]*8</f>
        <v>4928</v>
      </c>
      <c r="E51" s="5">
        <v>267</v>
      </c>
      <c r="F51" s="1">
        <v>2025</v>
      </c>
      <c r="G51" s="5"/>
      <c r="H51" s="5">
        <f t="shared" si="2"/>
        <v>4661</v>
      </c>
      <c r="I51" s="5">
        <f t="shared" si="3"/>
        <v>0</v>
      </c>
      <c r="J51" s="5">
        <f>Table1[[#This Row],[Enrolment S.Y. 2025-2026 ]]*8</f>
        <v>4928</v>
      </c>
      <c r="K51" s="5"/>
      <c r="L51" s="1"/>
      <c r="M51" s="5"/>
      <c r="N51" s="5">
        <f t="shared" si="10"/>
        <v>4928</v>
      </c>
      <c r="O51" s="5">
        <f t="shared" si="11"/>
        <v>0</v>
      </c>
      <c r="P51" s="5">
        <f>Table1[[#This Row],[Enrolment S.Y. 2025-2026 ]]*8</f>
        <v>4928</v>
      </c>
      <c r="Q51" s="5"/>
      <c r="R51" s="1"/>
      <c r="S51" s="5"/>
      <c r="T51" s="5">
        <f t="shared" si="12"/>
        <v>4928</v>
      </c>
      <c r="U51" s="5">
        <f t="shared" si="13"/>
        <v>0</v>
      </c>
      <c r="V51" s="5">
        <f>Table1[[#This Row],[Enrolment S.Y. 2025-2026 ]]*8</f>
        <v>4928</v>
      </c>
      <c r="W51" s="5"/>
      <c r="X51" s="1"/>
      <c r="Y51" s="5"/>
      <c r="Z51" s="5">
        <f t="shared" si="14"/>
        <v>4928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23:X31 X33:X41 X43:X51 X53:X61 X14:X21 X5:X12 L23:L31 L33:L41 L43:L51 L53:L61 L14:L21 L5:L12 R23:R31 R33:R41 R43:R51 R53:R61 R14:R21 R5:R12 F23:F31 F33:F41 F43:F51 F53:F61 F5:F12 F14:F21" xr:uid="{4ECCD083-8EC4-42EE-B46C-B614411F330D}">
      <formula1>"2024,2025"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5" zoomScale="55" zoomScaleNormal="55" workbookViewId="0">
      <selection activeCell="AF143" sqref="AF14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6" t="s">
        <v>20</v>
      </c>
      <c r="E1" s="36"/>
      <c r="F1" s="36"/>
      <c r="G1" s="36"/>
      <c r="H1" s="36"/>
      <c r="I1" s="36"/>
      <c r="J1" s="37" t="s">
        <v>21</v>
      </c>
      <c r="K1" s="37"/>
      <c r="L1" s="37"/>
      <c r="M1" s="37"/>
      <c r="N1" s="37"/>
      <c r="O1" s="37"/>
      <c r="P1" s="38" t="s">
        <v>22</v>
      </c>
      <c r="Q1" s="38"/>
      <c r="R1" s="38"/>
      <c r="S1" s="38"/>
      <c r="T1" s="38"/>
      <c r="U1" s="38"/>
      <c r="V1" s="39" t="s">
        <v>23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640</v>
      </c>
      <c r="D55" s="5">
        <f>Table14[[#This Row],[Enrolment S.Y. 2025-2026 ]]*8</f>
        <v>5120</v>
      </c>
      <c r="E55" s="5">
        <v>89</v>
      </c>
      <c r="F55" s="1"/>
      <c r="G55" s="5"/>
      <c r="H55" s="5">
        <f t="shared" si="0"/>
        <v>5031</v>
      </c>
      <c r="I55" s="5">
        <f t="shared" si="1"/>
        <v>0</v>
      </c>
      <c r="J55" s="5">
        <f>Table14[[#This Row],[Enrolment S.Y. 2025-2026 ]]*8</f>
        <v>5120</v>
      </c>
      <c r="K55" s="5">
        <v>120</v>
      </c>
      <c r="L55" s="1"/>
      <c r="M55" s="5"/>
      <c r="N55" s="5">
        <f t="shared" si="2"/>
        <v>5000</v>
      </c>
      <c r="O55" s="5">
        <f t="shared" si="3"/>
        <v>0</v>
      </c>
      <c r="P55" s="5">
        <f>Table14[[#This Row],[Enrolment S.Y. 2025-2026 ]]*8</f>
        <v>5120</v>
      </c>
      <c r="Q55" s="5">
        <v>124</v>
      </c>
      <c r="R55" s="1"/>
      <c r="S55" s="5"/>
      <c r="T55" s="5">
        <f t="shared" si="4"/>
        <v>4996</v>
      </c>
      <c r="U55" s="5">
        <f t="shared" si="5"/>
        <v>0</v>
      </c>
      <c r="V55" s="5">
        <f>Table14[[#This Row],[Enrolment S.Y. 2025-2026 ]]*8</f>
        <v>5120</v>
      </c>
      <c r="W55" s="5"/>
      <c r="X55" s="1"/>
      <c r="Y55" s="5"/>
      <c r="Z55" s="5">
        <f t="shared" si="6"/>
        <v>5120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640</v>
      </c>
      <c r="D56" s="5">
        <f>Table14[[#This Row],[Enrolment S.Y. 2025-2026 ]]*8</f>
        <v>5120</v>
      </c>
      <c r="E56" s="5">
        <v>89</v>
      </c>
      <c r="F56" s="1"/>
      <c r="G56" s="5"/>
      <c r="H56" s="5">
        <f t="shared" si="0"/>
        <v>5031</v>
      </c>
      <c r="I56" s="5">
        <f t="shared" si="1"/>
        <v>0</v>
      </c>
      <c r="J56" s="5">
        <f>Table14[[#This Row],[Enrolment S.Y. 2025-2026 ]]*8</f>
        <v>5120</v>
      </c>
      <c r="K56" s="5">
        <v>120</v>
      </c>
      <c r="L56" s="1"/>
      <c r="M56" s="5"/>
      <c r="N56" s="5">
        <f t="shared" si="2"/>
        <v>5000</v>
      </c>
      <c r="O56" s="5">
        <f t="shared" si="3"/>
        <v>0</v>
      </c>
      <c r="P56" s="5">
        <f>Table14[[#This Row],[Enrolment S.Y. 2025-2026 ]]*8</f>
        <v>5120</v>
      </c>
      <c r="Q56" s="5"/>
      <c r="R56" s="1"/>
      <c r="S56" s="5"/>
      <c r="T56" s="5">
        <f t="shared" si="4"/>
        <v>5120</v>
      </c>
      <c r="U56" s="5">
        <f t="shared" si="5"/>
        <v>0</v>
      </c>
      <c r="V56" s="5">
        <f>Table14[[#This Row],[Enrolment S.Y. 2025-2026 ]]*8</f>
        <v>5120</v>
      </c>
      <c r="W56" s="5"/>
      <c r="X56" s="1"/>
      <c r="Y56" s="5"/>
      <c r="Z56" s="5">
        <f t="shared" si="6"/>
        <v>5120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640</v>
      </c>
      <c r="D57" s="5">
        <f>Table14[[#This Row],[Enrolment S.Y. 2025-2026 ]]*8</f>
        <v>5120</v>
      </c>
      <c r="E57" s="5">
        <v>89</v>
      </c>
      <c r="F57" s="1"/>
      <c r="G57" s="5"/>
      <c r="H57" s="5">
        <f t="shared" si="0"/>
        <v>5031</v>
      </c>
      <c r="I57" s="5">
        <f t="shared" si="1"/>
        <v>0</v>
      </c>
      <c r="J57" s="5">
        <f>Table14[[#This Row],[Enrolment S.Y. 2025-2026 ]]*8</f>
        <v>5120</v>
      </c>
      <c r="K57" s="5">
        <v>120</v>
      </c>
      <c r="L57" s="1"/>
      <c r="M57" s="5"/>
      <c r="N57" s="5">
        <f t="shared" si="2"/>
        <v>5000</v>
      </c>
      <c r="O57" s="5">
        <f t="shared" si="3"/>
        <v>0</v>
      </c>
      <c r="P57" s="5">
        <f>Table14[[#This Row],[Enrolment S.Y. 2025-2026 ]]*8</f>
        <v>5120</v>
      </c>
      <c r="Q57" s="5">
        <v>124</v>
      </c>
      <c r="R57" s="1"/>
      <c r="S57" s="5"/>
      <c r="T57" s="5">
        <f t="shared" si="4"/>
        <v>4996</v>
      </c>
      <c r="U57" s="5">
        <f t="shared" si="5"/>
        <v>0</v>
      </c>
      <c r="V57" s="5">
        <f>Table14[[#This Row],[Enrolment S.Y. 2025-2026 ]]*8</f>
        <v>5120</v>
      </c>
      <c r="W57" s="5"/>
      <c r="X57" s="1"/>
      <c r="Y57" s="5"/>
      <c r="Z57" s="5">
        <f t="shared" si="6"/>
        <v>5120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640</v>
      </c>
      <c r="D58" s="5">
        <f>Table14[[#This Row],[Enrolment S.Y. 2025-2026 ]]*8</f>
        <v>5120</v>
      </c>
      <c r="E58" s="5"/>
      <c r="F58" s="1"/>
      <c r="G58" s="5"/>
      <c r="H58" s="5">
        <f t="shared" si="0"/>
        <v>5120</v>
      </c>
      <c r="I58" s="5">
        <f t="shared" si="1"/>
        <v>0</v>
      </c>
      <c r="J58" s="5">
        <f>Table14[[#This Row],[Enrolment S.Y. 2025-2026 ]]*8</f>
        <v>5120</v>
      </c>
      <c r="K58" s="5"/>
      <c r="L58" s="1"/>
      <c r="M58" s="5"/>
      <c r="N58" s="5">
        <f t="shared" si="2"/>
        <v>5120</v>
      </c>
      <c r="O58" s="5">
        <f t="shared" si="3"/>
        <v>0</v>
      </c>
      <c r="P58" s="5">
        <f>Table14[[#This Row],[Enrolment S.Y. 2025-2026 ]]*8</f>
        <v>5120</v>
      </c>
      <c r="Q58" s="5">
        <v>124</v>
      </c>
      <c r="R58" s="1"/>
      <c r="S58" s="5"/>
      <c r="T58" s="5">
        <f t="shared" si="4"/>
        <v>4996</v>
      </c>
      <c r="U58" s="5">
        <f t="shared" si="5"/>
        <v>0</v>
      </c>
      <c r="V58" s="5">
        <f>Table14[[#This Row],[Enrolment S.Y. 2025-2026 ]]*8</f>
        <v>5120</v>
      </c>
      <c r="W58" s="5"/>
      <c r="X58" s="1"/>
      <c r="Y58" s="5"/>
      <c r="Z58" s="5">
        <f t="shared" si="6"/>
        <v>5120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640</v>
      </c>
      <c r="D59" s="5">
        <f>Table14[[#This Row],[Enrolment S.Y. 2025-2026 ]]*8</f>
        <v>5120</v>
      </c>
      <c r="E59" s="5"/>
      <c r="F59" s="1"/>
      <c r="G59" s="5"/>
      <c r="H59" s="5">
        <f t="shared" si="0"/>
        <v>5120</v>
      </c>
      <c r="I59" s="5">
        <f t="shared" si="1"/>
        <v>0</v>
      </c>
      <c r="J59" s="5">
        <f>Table14[[#This Row],[Enrolment S.Y. 2025-2026 ]]*8</f>
        <v>5120</v>
      </c>
      <c r="K59" s="5"/>
      <c r="L59" s="1"/>
      <c r="M59" s="5"/>
      <c r="N59" s="5">
        <f t="shared" si="2"/>
        <v>5120</v>
      </c>
      <c r="O59" s="5">
        <f t="shared" si="3"/>
        <v>0</v>
      </c>
      <c r="P59" s="5">
        <f>Table14[[#This Row],[Enrolment S.Y. 2025-2026 ]]*8</f>
        <v>5120</v>
      </c>
      <c r="Q59" s="5"/>
      <c r="R59" s="1"/>
      <c r="S59" s="5"/>
      <c r="T59" s="5">
        <f t="shared" si="4"/>
        <v>5120</v>
      </c>
      <c r="U59" s="5">
        <f t="shared" si="5"/>
        <v>0</v>
      </c>
      <c r="V59" s="5">
        <f>Table14[[#This Row],[Enrolment S.Y. 2025-2026 ]]*8</f>
        <v>5120</v>
      </c>
      <c r="W59" s="5"/>
      <c r="X59" s="1"/>
      <c r="Y59" s="5"/>
      <c r="Z59" s="5">
        <f t="shared" si="6"/>
        <v>5120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640</v>
      </c>
      <c r="D60" s="5">
        <f>Table14[[#This Row],[Enrolment S.Y. 2025-2026 ]]*8</f>
        <v>5120</v>
      </c>
      <c r="E60" s="5"/>
      <c r="F60" s="1"/>
      <c r="G60" s="5"/>
      <c r="H60" s="5">
        <f t="shared" si="0"/>
        <v>5120</v>
      </c>
      <c r="I60" s="5">
        <f t="shared" si="1"/>
        <v>0</v>
      </c>
      <c r="J60" s="5">
        <f>Table14[[#This Row],[Enrolment S.Y. 2025-2026 ]]*8</f>
        <v>5120</v>
      </c>
      <c r="K60" s="5"/>
      <c r="L60" s="1"/>
      <c r="M60" s="5"/>
      <c r="N60" s="5">
        <f t="shared" si="2"/>
        <v>5120</v>
      </c>
      <c r="O60" s="5">
        <f t="shared" si="3"/>
        <v>0</v>
      </c>
      <c r="P60" s="5">
        <f>Table14[[#This Row],[Enrolment S.Y. 2025-2026 ]]*8</f>
        <v>5120</v>
      </c>
      <c r="Q60" s="5">
        <v>124</v>
      </c>
      <c r="R60" s="1"/>
      <c r="S60" s="5"/>
      <c r="T60" s="5">
        <f t="shared" si="4"/>
        <v>4996</v>
      </c>
      <c r="U60" s="5">
        <f t="shared" si="5"/>
        <v>0</v>
      </c>
      <c r="V60" s="5">
        <f>Table14[[#This Row],[Enrolment S.Y. 2025-2026 ]]*8</f>
        <v>5120</v>
      </c>
      <c r="W60" s="5"/>
      <c r="X60" s="1"/>
      <c r="Y60" s="5"/>
      <c r="Z60" s="5">
        <f t="shared" si="6"/>
        <v>5120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5">
        <v>640</v>
      </c>
      <c r="D61" s="5">
        <f>Table14[[#This Row],[Enrolment S.Y. 2025-2026 ]]*8</f>
        <v>5120</v>
      </c>
      <c r="E61" s="5"/>
      <c r="F61" s="1"/>
      <c r="G61" s="5"/>
      <c r="H61" s="5">
        <f>IF((D61-E61)&lt;0,0,(D61-E61))</f>
        <v>5120</v>
      </c>
      <c r="I61" s="5">
        <f>IF((E61-D61)&lt;0,0,(E61-D61))</f>
        <v>0</v>
      </c>
      <c r="J61" s="5">
        <f>Table14[[#This Row],[Enrolment S.Y. 2025-2026 ]]*8</f>
        <v>5120</v>
      </c>
      <c r="K61" s="5"/>
      <c r="L61" s="1"/>
      <c r="M61" s="5"/>
      <c r="N61" s="5">
        <f t="shared" ref="N61:N65" si="12">IF((J61-K61)&lt;0,0,(J61-K61))</f>
        <v>5120</v>
      </c>
      <c r="O61" s="5">
        <f t="shared" ref="O61:O65" si="13">IF((K61-J61)&lt;0,0,(K61-J61))</f>
        <v>0</v>
      </c>
      <c r="P61" s="5">
        <f>Table14[[#This Row],[Enrolment S.Y. 2025-2026 ]]*8</f>
        <v>5120</v>
      </c>
      <c r="Q61" s="5">
        <v>124</v>
      </c>
      <c r="R61" s="1"/>
      <c r="S61" s="5"/>
      <c r="T61" s="5">
        <f>IF((P61-Q61)&lt;0,0,(P61-Q61))</f>
        <v>4996</v>
      </c>
      <c r="U61" s="5">
        <f>IF((Q61-P61)&lt;0,0,(Q61-P61))</f>
        <v>0</v>
      </c>
      <c r="V61" s="5">
        <f>Table14[[#This Row],[Enrolment S.Y. 2025-2026 ]]*8</f>
        <v>5120</v>
      </c>
      <c r="W61" s="5"/>
      <c r="X61" s="1"/>
      <c r="Y61" s="5"/>
      <c r="Z61" s="5">
        <f>IF((V61-W61)&lt;0,0,(V61-W61))</f>
        <v>5120</v>
      </c>
      <c r="AA61" s="5">
        <f>IF((W61-V61)&lt;0,0,(W61-V61))</f>
        <v>0</v>
      </c>
    </row>
    <row r="62" spans="1:27" ht="19.149999999999999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L12:L19 F21:F29 F31:F41 F43:F53 F55:F65 L3:L10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2026-04-13T01:34:17Z</dcterms:modified>
  <cp:category/>
  <cp:contentStatus/>
</cp:coreProperties>
</file>