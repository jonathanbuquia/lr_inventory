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2" documentId="13_ncr:1_{BFB59F67-F0DC-4675-A682-EB0734A8026A}" xr6:coauthVersionLast="47" xr6:coauthVersionMax="47" xr10:uidLastSave="{7FA16229-BA35-4CF2-8C92-8C41FE185F2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G3" i="1"/>
  <c r="D34" i="4"/>
  <c r="D35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H29" i="4"/>
  <c r="H30" i="4"/>
  <c r="D19" i="4"/>
  <c r="H19" i="4" s="1"/>
  <c r="D10" i="4"/>
  <c r="H10" i="4" s="1"/>
  <c r="H11" i="4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I16" i="4"/>
  <c r="I17" i="4"/>
  <c r="D18" i="4"/>
  <c r="I18" i="4" s="1"/>
  <c r="D23" i="4"/>
  <c r="H23" i="4" s="1"/>
  <c r="D24" i="4"/>
  <c r="H24" i="4" s="1"/>
  <c r="I27" i="4"/>
  <c r="I28" i="4"/>
  <c r="D33" i="4"/>
  <c r="H33" i="4" s="1"/>
  <c r="H34" i="4"/>
  <c r="H35" i="4"/>
  <c r="D36" i="4"/>
  <c r="H36" i="4" s="1"/>
  <c r="D37" i="4"/>
  <c r="D38" i="4"/>
  <c r="D39" i="4"/>
  <c r="I39" i="4" s="1"/>
  <c r="D40" i="4"/>
  <c r="I40" i="4" s="1"/>
  <c r="D41" i="4"/>
  <c r="I41" i="4" s="1"/>
  <c r="I43" i="4"/>
  <c r="H44" i="4"/>
  <c r="H45" i="4"/>
  <c r="I48" i="4"/>
  <c r="I49" i="4"/>
  <c r="H50" i="4"/>
  <c r="H51" i="4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6" i="1"/>
  <c r="H6" i="1"/>
  <c r="G7" i="1"/>
  <c r="H7" i="1"/>
  <c r="G2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2" i="1"/>
  <c r="G12" i="1"/>
  <c r="H11" i="1"/>
  <c r="G11" i="1"/>
  <c r="H10" i="1"/>
  <c r="G10" i="1"/>
  <c r="H9" i="1"/>
  <c r="G9" i="1"/>
  <c r="H5" i="1"/>
  <c r="G5" i="1"/>
  <c r="H4" i="1"/>
  <c r="G4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<sst xmlns="http://schemas.openxmlformats.org/spreadsheetml/2006/main" count="414" uniqueCount="92">
  <si>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</si>
  <si>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</si>
  <si>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</si>
  <si>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</si>
  <si>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</si>
  <si>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</si>
  <si>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</si>
  <si>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</si>
  <si>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</si>
  <si>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 xml:space="preserve">Wika </t>
  </si>
  <si>
    <t>Language</t>
  </si>
  <si>
    <t>GMRC</t>
  </si>
  <si>
    <t>Makabansa</t>
  </si>
  <si>
    <t>Math</t>
  </si>
  <si>
    <t>Science</t>
  </si>
  <si>
    <t>English</t>
  </si>
  <si>
    <t>RO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</si>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</sst>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tabSelected="1" zoomScale="85" zoomScaleNormal="85" workbookViewId="0">
      <pane xSplit="2" topLeftCell="C1" activePane="topRight" state="frozen"/>
      <selection pane="topRight" activeCell="E6" sqref="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60</v>
      </c>
      <c r="D2" s="1">
        <v>102</v>
      </c>
      <c r="E2" s="1">
        <v>2025</v>
      </c>
      <c r="F2" s="5"/>
      <c r="G2" s="3">
        <f>IF((C2-D2)&lt;0,0,C2-D2)</f>
        <v>0</v>
      </c>
      <c r="H2" s="4">
        <f>IF((D2-C2)&lt;0,0,D2-C2)</f>
        <v>42</v>
      </c>
    </row>
    <row r="3" spans="1:8" ht="42.75" customHeight="1">
      <c r="A3" s="1">
        <v>1</v>
      </c>
      <c r="B3" s="2" t="s">
        <v>9</v>
      </c>
      <c r="C3" s="1">
        <v>60</v>
      </c>
      <c r="D3" s="1">
        <v>102</v>
      </c>
      <c r="E3" s="1">
        <v>2025</v>
      </c>
      <c r="F3" s="5"/>
      <c r="G3" s="3">
        <f>IF((C3-D3)&lt;0,0,C3-D3)</f>
        <v>0</v>
      </c>
      <c r="H3" s="4">
        <f>IF((D3-C3)&lt;0,0,D3-C3)</f>
        <v>42</v>
      </c>
    </row>
    <row r="4" spans="1:8" ht="29.25" customHeight="1">
      <c r="A4" s="1">
        <v>1</v>
      </c>
      <c r="B4" s="2" t="s">
        <v>10</v>
      </c>
      <c r="C4" s="1">
        <v>60</v>
      </c>
      <c r="D4" s="1">
        <v>102</v>
      </c>
      <c r="E4" s="1">
        <v>2025</v>
      </c>
      <c r="F4" s="5"/>
      <c r="G4" s="3">
        <f>IF((C4-D4)&lt;0,0,C4-D4)</f>
        <v>0</v>
      </c>
      <c r="H4" s="4">
        <f>IF((D4-C4)&lt;0,0,D4-C4)</f>
        <v>42</v>
      </c>
    </row>
    <row r="5" spans="1:8" ht="21" customHeight="1">
      <c r="A5" s="1">
        <v>1</v>
      </c>
      <c r="B5" s="2" t="s">
        <v>11</v>
      </c>
      <c r="C5" s="1">
        <v>60</v>
      </c>
      <c r="D5" s="1">
        <v>102</v>
      </c>
      <c r="E5" s="1">
        <v>2025</v>
      </c>
      <c r="F5" s="5"/>
      <c r="G5" s="3">
        <f>IF((C5-D5)&lt;0,0,C5-D5)</f>
        <v>0</v>
      </c>
      <c r="H5" s="4">
        <f>IF((D5-C5)&lt;0,0,D5-C5)</f>
        <v>42</v>
      </c>
    </row>
    <row r="6" spans="1:8" ht="25.5" customHeight="1">
      <c r="A6" s="1">
        <v>1</v>
      </c>
      <c r="B6" s="2" t="s">
        <v>12</v>
      </c>
      <c r="C6" s="1">
        <v>60</v>
      </c>
      <c r="D6" s="1">
        <v>102</v>
      </c>
      <c r="E6" s="1">
        <v>2025</v>
      </c>
      <c r="F6" s="5"/>
      <c r="G6" s="3">
        <f t="shared" ref="G6:G7" si="0">IF((C6-D6)&lt;0,0,C6-D6)</f>
        <v>0</v>
      </c>
      <c r="H6" s="4">
        <f t="shared" ref="H6:H7" si="1">IF((D6-C6)&lt;0,0,D6-C6)</f>
        <v>42</v>
      </c>
    </row>
    <row r="7" spans="1:8" ht="19.149999999999999">
      <c r="A7" s="1">
        <v>1</v>
      </c>
      <c r="B7" s="2" t="s">
        <v>13</v>
      </c>
      <c r="C7" s="1"/>
      <c r="D7" s="1"/>
      <c r="E7" s="1"/>
      <c r="F7" s="5"/>
      <c r="G7" s="3">
        <f t="shared" si="0"/>
        <v>0</v>
      </c>
      <c r="H7" s="4">
        <f t="shared" si="1"/>
        <v>0</v>
      </c>
    </row>
    <row r="8" spans="1:8">
      <c r="C8" s="6"/>
      <c r="D8" s="6"/>
      <c r="E8" s="6"/>
    </row>
    <row r="9" spans="1:8" ht="39.75" customHeight="1">
      <c r="A9" s="1">
        <v>2</v>
      </c>
      <c r="B9" s="2" t="s">
        <v>8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9.2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8.5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4" customHeight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9.149999999999999">
      <c r="A13" s="1">
        <v>2</v>
      </c>
      <c r="B13" s="2" t="s">
        <v>13</v>
      </c>
      <c r="C13" s="1"/>
      <c r="D13" s="1"/>
      <c r="E13" s="1"/>
      <c r="F13" s="5"/>
      <c r="G13" s="3">
        <f>IF((C13-D13)&lt;0,0,C13-D13)</f>
        <v>0</v>
      </c>
      <c r="H13" s="4">
        <f>IF((D13-C13)&lt;0,0,D13-C13)</f>
        <v>0</v>
      </c>
    </row>
    <row r="14" spans="1:8">
      <c r="C14" s="6"/>
      <c r="D14" s="6"/>
      <c r="E14" s="6"/>
    </row>
    <row r="15" spans="1:8" ht="49.5" customHeight="1">
      <c r="A15" s="1">
        <v>3</v>
      </c>
      <c r="B15" s="2" t="s">
        <v>8</v>
      </c>
      <c r="C15" s="1"/>
      <c r="D15" s="1"/>
      <c r="E15" s="1"/>
      <c r="F15" s="5"/>
      <c r="G15" s="3">
        <f t="shared" ref="G15:G20" si="2">IF((C15-D15)&lt;0,0,C15-D15)</f>
        <v>0</v>
      </c>
      <c r="H15" s="4">
        <f t="shared" ref="H15:H20" si="3">IF((D15-C15)&lt;0,0,D15-C15)</f>
        <v>0</v>
      </c>
    </row>
    <row r="16" spans="1:8" ht="29.25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7" customHeight="1">
      <c r="A17" s="1">
        <v>3</v>
      </c>
      <c r="B17" s="2" t="s">
        <v>11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3.25" customHeight="1">
      <c r="A18" s="1">
        <v>3</v>
      </c>
      <c r="B18" s="2" t="s">
        <v>14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1" customHeight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9.149999999999999">
      <c r="A20" s="1">
        <v>3</v>
      </c>
      <c r="B20" s="2" t="s">
        <v>13</v>
      </c>
      <c r="C20" s="1"/>
      <c r="D20" s="1"/>
      <c r="E20" s="1"/>
      <c r="F20" s="5"/>
      <c r="G20" s="3">
        <f t="shared" si="2"/>
        <v>0</v>
      </c>
      <c r="H20" s="4">
        <f t="shared" si="3"/>
        <v>0</v>
      </c>
    </row>
    <row r="21" spans="1:8">
      <c r="A21" s="7"/>
      <c r="B21" s="7"/>
      <c r="C21" s="8"/>
      <c r="D21" s="8"/>
      <c r="E21" s="8"/>
      <c r="F21" s="7"/>
      <c r="G21" s="7"/>
      <c r="H21" s="7"/>
    </row>
    <row r="22" spans="1:8" ht="28.5" customHeight="1">
      <c r="A22" s="1">
        <v>4</v>
      </c>
      <c r="B22" s="9" t="s">
        <v>15</v>
      </c>
      <c r="C22" s="1">
        <v>77</v>
      </c>
      <c r="D22" s="1">
        <v>101</v>
      </c>
      <c r="E22" s="1">
        <v>2024</v>
      </c>
      <c r="F22" s="5" t="s">
        <v>16</v>
      </c>
      <c r="G22" s="3">
        <f t="shared" ref="G22:G30" si="4">IF((C22-D22)&lt;0,0,C22-D22)</f>
        <v>0</v>
      </c>
      <c r="H22" s="4">
        <f t="shared" ref="H22:H30" si="5">IF((D22-C22)&lt;0,0,D22-C22)</f>
        <v>24</v>
      </c>
    </row>
    <row r="23" spans="1:8" ht="24" customHeight="1">
      <c r="A23" s="1">
        <v>4</v>
      </c>
      <c r="B23" s="9" t="s">
        <v>17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19.5">
      <c r="A24" s="1">
        <v>4</v>
      </c>
      <c r="B24" s="9" t="s">
        <v>13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27" customHeight="1">
      <c r="A25" s="1">
        <v>4</v>
      </c>
      <c r="B25" s="9" t="s">
        <v>11</v>
      </c>
      <c r="C25" s="1">
        <v>77</v>
      </c>
      <c r="D25" s="1">
        <v>101</v>
      </c>
      <c r="E25" s="1">
        <v>2024</v>
      </c>
      <c r="F25" s="5" t="s">
        <v>16</v>
      </c>
      <c r="G25" s="3">
        <f t="shared" si="4"/>
        <v>0</v>
      </c>
      <c r="H25" s="4">
        <f t="shared" si="5"/>
        <v>24</v>
      </c>
    </row>
    <row r="26" spans="1:8" ht="33.75" customHeight="1">
      <c r="A26" s="1">
        <v>4</v>
      </c>
      <c r="B26" s="9" t="s">
        <v>18</v>
      </c>
      <c r="C26" s="1">
        <v>77</v>
      </c>
      <c r="D26" s="1">
        <v>101</v>
      </c>
      <c r="E26" s="1">
        <v>2024</v>
      </c>
      <c r="F26" s="5" t="s">
        <v>16</v>
      </c>
      <c r="G26" s="3">
        <f t="shared" si="4"/>
        <v>0</v>
      </c>
      <c r="H26" s="4">
        <f t="shared" si="5"/>
        <v>24</v>
      </c>
    </row>
    <row r="27" spans="1:8" ht="33.75" customHeight="1">
      <c r="A27" s="1">
        <v>4</v>
      </c>
      <c r="B27" s="9" t="s">
        <v>14</v>
      </c>
      <c r="C27" s="1">
        <v>77</v>
      </c>
      <c r="D27" s="1">
        <v>101</v>
      </c>
      <c r="E27" s="1">
        <v>2024</v>
      </c>
      <c r="F27" s="5" t="s">
        <v>16</v>
      </c>
      <c r="G27" s="3">
        <f t="shared" si="4"/>
        <v>0</v>
      </c>
      <c r="H27" s="4">
        <f t="shared" si="5"/>
        <v>24</v>
      </c>
    </row>
    <row r="28" spans="1:8" ht="33.75" customHeight="1">
      <c r="A28" s="1">
        <v>4</v>
      </c>
      <c r="B28" s="9" t="s">
        <v>19</v>
      </c>
      <c r="C28" s="1">
        <v>77</v>
      </c>
      <c r="D28" s="1">
        <v>101</v>
      </c>
      <c r="E28" s="1">
        <v>2024</v>
      </c>
      <c r="F28" s="5" t="s">
        <v>16</v>
      </c>
      <c r="G28" s="3">
        <f t="shared" si="4"/>
        <v>0</v>
      </c>
      <c r="H28" s="4">
        <f t="shared" si="5"/>
        <v>24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1">
        <v>4</v>
      </c>
      <c r="B30" s="9" t="s">
        <v>21</v>
      </c>
      <c r="C30" s="1"/>
      <c r="D30" s="1"/>
      <c r="E30" s="1"/>
      <c r="F30" s="5"/>
      <c r="G30" s="3">
        <f t="shared" si="4"/>
        <v>0</v>
      </c>
      <c r="H30" s="4">
        <f t="shared" si="5"/>
        <v>0</v>
      </c>
    </row>
    <row r="31" spans="1:8" ht="27.75" customHeight="1">
      <c r="A31" s="7"/>
      <c r="B31" s="7"/>
      <c r="C31" s="8"/>
      <c r="D31" s="8"/>
      <c r="E31" s="8"/>
      <c r="F31" s="7"/>
      <c r="G31" s="7"/>
      <c r="H31" s="7"/>
    </row>
    <row r="32" spans="1:8" ht="27.75" customHeight="1">
      <c r="A32" s="1">
        <v>5</v>
      </c>
      <c r="B32" s="9" t="s">
        <v>15</v>
      </c>
      <c r="C32" s="1">
        <v>92</v>
      </c>
      <c r="D32" s="1">
        <v>94</v>
      </c>
      <c r="E32" s="1">
        <v>2025</v>
      </c>
      <c r="F32" s="5" t="s">
        <v>16</v>
      </c>
      <c r="G32" s="3">
        <f t="shared" ref="G32:G40" si="6">IF((C32-D32)&lt;0,0,C32-D32)</f>
        <v>0</v>
      </c>
      <c r="H32" s="4">
        <f t="shared" ref="H32:H40" si="7">IF((D32-C32)&lt;0,0,D32-C32)</f>
        <v>2</v>
      </c>
    </row>
    <row r="33" spans="1:8" ht="27.75" customHeight="1">
      <c r="A33" s="1">
        <v>5</v>
      </c>
      <c r="B33" s="9" t="s">
        <v>17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13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27.75" customHeight="1">
      <c r="A35" s="1">
        <v>5</v>
      </c>
      <c r="B35" s="9" t="s">
        <v>11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39" customHeight="1">
      <c r="A36" s="1">
        <v>5</v>
      </c>
      <c r="B36" s="9" t="s">
        <v>18</v>
      </c>
      <c r="C36" s="1">
        <v>92</v>
      </c>
      <c r="D36" s="1">
        <v>94</v>
      </c>
      <c r="E36" s="1">
        <v>2025</v>
      </c>
      <c r="F36" s="5" t="s">
        <v>16</v>
      </c>
      <c r="G36" s="3">
        <f t="shared" si="6"/>
        <v>0</v>
      </c>
      <c r="H36" s="4">
        <f t="shared" si="7"/>
        <v>2</v>
      </c>
    </row>
    <row r="37" spans="1:8" ht="27.75" customHeight="1">
      <c r="A37" s="1">
        <v>5</v>
      </c>
      <c r="B37" s="9" t="s">
        <v>14</v>
      </c>
      <c r="C37" s="1">
        <v>92</v>
      </c>
      <c r="D37" s="1">
        <v>94</v>
      </c>
      <c r="E37" s="1">
        <v>2025</v>
      </c>
      <c r="F37" s="5" t="s">
        <v>16</v>
      </c>
      <c r="G37" s="3">
        <f t="shared" si="6"/>
        <v>0</v>
      </c>
      <c r="H37" s="4">
        <f t="shared" si="7"/>
        <v>2</v>
      </c>
    </row>
    <row r="38" spans="1:8" ht="27.75" customHeight="1">
      <c r="A38" s="1">
        <v>5</v>
      </c>
      <c r="B38" s="9" t="s">
        <v>19</v>
      </c>
      <c r="C38" s="1">
        <v>92</v>
      </c>
      <c r="D38" s="1">
        <v>94</v>
      </c>
      <c r="E38" s="1">
        <v>2025</v>
      </c>
      <c r="F38" s="5" t="s">
        <v>16</v>
      </c>
      <c r="G38" s="3">
        <f t="shared" si="6"/>
        <v>0</v>
      </c>
      <c r="H38" s="4">
        <f t="shared" si="7"/>
        <v>2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1">
        <v>5</v>
      </c>
      <c r="B40" s="9" t="s">
        <v>21</v>
      </c>
      <c r="C40" s="1"/>
      <c r="D40" s="1"/>
      <c r="E40" s="1"/>
      <c r="F40" s="5"/>
      <c r="G40" s="3">
        <f t="shared" si="6"/>
        <v>0</v>
      </c>
      <c r="H40" s="4">
        <f t="shared" si="7"/>
        <v>0</v>
      </c>
    </row>
    <row r="41" spans="1:8" ht="27.75" customHeight="1">
      <c r="A41" s="7"/>
      <c r="B41" s="7"/>
      <c r="C41" s="8"/>
      <c r="D41" s="8"/>
      <c r="E41" s="8"/>
      <c r="F41" s="7"/>
      <c r="G41" s="7"/>
      <c r="H41" s="7"/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ref="G42:G50" si="8">IF((C42-D42)&lt;0,0,C42-D42)</f>
        <v>0</v>
      </c>
      <c r="H42" s="4">
        <f t="shared" ref="H42:H50" si="9">IF((D42-C42)&lt;0,0,D42-C42)</f>
        <v>0</v>
      </c>
    </row>
    <row r="43" spans="1:8" ht="27.75" customHeight="1">
      <c r="A43" s="1">
        <v>6</v>
      </c>
      <c r="B43" s="9" t="s">
        <v>17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13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27.75" customHeight="1">
      <c r="A45" s="1">
        <v>6</v>
      </c>
      <c r="B45" s="9" t="s">
        <v>11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36.75" customHeight="1">
      <c r="A46" s="1">
        <v>6</v>
      </c>
      <c r="B46" s="9" t="s">
        <v>18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14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1">
        <v>6</v>
      </c>
      <c r="B50" s="9" t="s">
        <v>21</v>
      </c>
      <c r="C50" s="1"/>
      <c r="D50" s="1"/>
      <c r="E50" s="1"/>
      <c r="F50" s="5"/>
      <c r="G50" s="3">
        <f t="shared" si="8"/>
        <v>0</v>
      </c>
      <c r="H50" s="4">
        <f t="shared" si="9"/>
        <v>0</v>
      </c>
    </row>
    <row r="51" spans="1:8" ht="27.75" customHeight="1">
      <c r="A51" s="7"/>
      <c r="B51" s="7"/>
      <c r="C51" s="8"/>
      <c r="D51" s="8"/>
      <c r="E51" s="8"/>
      <c r="F51" s="7"/>
      <c r="G51" s="7"/>
      <c r="H51" s="7"/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ref="G52:G60" si="10">IF((C52-D52)&lt;0,0,C52-D52)</f>
        <v>0</v>
      </c>
      <c r="H52" s="4">
        <f t="shared" ref="H52:H60" si="11">IF((D52-C52)&lt;0,0,D52-C52)</f>
        <v>0</v>
      </c>
    </row>
    <row r="53" spans="1:8" ht="27.75" customHeight="1">
      <c r="A53" s="10">
        <v>7</v>
      </c>
      <c r="B53" s="11" t="s">
        <v>17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13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27.75" customHeight="1">
      <c r="A55" s="10">
        <v>7</v>
      </c>
      <c r="B55" s="11" t="s">
        <v>22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39" customHeight="1">
      <c r="A56" s="10">
        <v>7</v>
      </c>
      <c r="B56" s="11" t="s">
        <v>18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14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19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23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10">
        <v>7</v>
      </c>
      <c r="B60" s="11" t="s">
        <v>21</v>
      </c>
      <c r="C60" s="10"/>
      <c r="D60" s="10"/>
      <c r="E60" s="10"/>
      <c r="F60" s="12"/>
      <c r="G60" s="3">
        <f t="shared" si="10"/>
        <v>0</v>
      </c>
      <c r="H60" s="4">
        <f t="shared" si="11"/>
        <v>0</v>
      </c>
    </row>
    <row r="61" spans="1:8" ht="27.75" customHeight="1">
      <c r="A61" s="7"/>
      <c r="B61" s="7"/>
      <c r="C61" s="8"/>
      <c r="D61" s="8"/>
      <c r="E61" s="8"/>
      <c r="F61" s="7"/>
      <c r="G61" s="7"/>
      <c r="H61" s="7"/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ref="G62:G70" si="12">IF((C62-D62)&lt;0,0,C62-D62)</f>
        <v>0</v>
      </c>
      <c r="H62" s="4">
        <f t="shared" ref="H62:H70" si="13">IF((D62-C62)&lt;0,0,D62-C62)</f>
        <v>0</v>
      </c>
    </row>
    <row r="63" spans="1:8" ht="27.75" customHeight="1">
      <c r="A63" s="10">
        <v>8</v>
      </c>
      <c r="B63" s="11" t="s">
        <v>17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13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24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14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19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23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10">
        <v>8</v>
      </c>
      <c r="B70" s="11" t="s">
        <v>21</v>
      </c>
      <c r="C70" s="10"/>
      <c r="D70" s="10"/>
      <c r="E70" s="10"/>
      <c r="F70" s="12"/>
      <c r="G70" s="3">
        <f t="shared" si="12"/>
        <v>0</v>
      </c>
      <c r="H70" s="4">
        <f t="shared" si="13"/>
        <v>0</v>
      </c>
    </row>
    <row r="71" spans="1:8" ht="27.75" customHeight="1">
      <c r="A71" s="7"/>
      <c r="B71" s="7"/>
      <c r="C71" s="8"/>
      <c r="D71" s="8"/>
      <c r="E71" s="8"/>
      <c r="F71" s="7"/>
      <c r="G71" s="7"/>
      <c r="H71" s="7"/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ref="G72:G80" si="14">IF((C72-D72)&lt;0,0,C72-D72)</f>
        <v>0</v>
      </c>
      <c r="H72" s="4">
        <f t="shared" ref="H72:H80" si="15">IF((D72-C72)&lt;0,0,D72-C72)</f>
        <v>0</v>
      </c>
    </row>
    <row r="73" spans="1:8" ht="27.75" customHeight="1">
      <c r="A73" s="10">
        <v>9</v>
      </c>
      <c r="B73" s="11" t="s">
        <v>17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13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24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14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19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23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10">
        <v>9</v>
      </c>
      <c r="B80" s="11" t="s">
        <v>21</v>
      </c>
      <c r="C80" s="10"/>
      <c r="D80" s="10"/>
      <c r="E80" s="10"/>
      <c r="F80" s="12"/>
      <c r="G80" s="3">
        <f t="shared" si="14"/>
        <v>0</v>
      </c>
      <c r="H80" s="4">
        <f t="shared" si="15"/>
        <v>0</v>
      </c>
    </row>
    <row r="81" spans="1:8" ht="27.75" customHeight="1">
      <c r="A81" s="7"/>
      <c r="B81" s="8"/>
      <c r="C81" s="8"/>
      <c r="D81" s="8"/>
      <c r="E81" s="8"/>
      <c r="F81" s="7"/>
      <c r="G81" s="7"/>
      <c r="H81" s="7"/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ref="G82:G90" si="16">IF((C82-D82)&lt;0,0,C82-D82)</f>
        <v>0</v>
      </c>
      <c r="H82" s="4">
        <f t="shared" ref="H82:H90" si="17">IF((D82-C82)&lt;0,0,D82-C82)</f>
        <v>0</v>
      </c>
    </row>
    <row r="83" spans="1:8" ht="27.75" customHeight="1">
      <c r="A83" s="10">
        <v>10</v>
      </c>
      <c r="B83" s="11" t="s">
        <v>17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13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24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14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19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23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10">
        <v>10</v>
      </c>
      <c r="B90" s="11" t="s">
        <v>21</v>
      </c>
      <c r="C90" s="10"/>
      <c r="D90" s="10"/>
      <c r="E90" s="10"/>
      <c r="F90" s="12"/>
      <c r="G90" s="3">
        <f t="shared" si="16"/>
        <v>0</v>
      </c>
      <c r="H90" s="4">
        <f t="shared" si="17"/>
        <v>0</v>
      </c>
    </row>
    <row r="91" spans="1:8" ht="27.75" customHeight="1">
      <c r="A91" s="7"/>
      <c r="B91" s="7"/>
      <c r="C91" s="8"/>
      <c r="D91" s="8"/>
      <c r="E91" s="8"/>
      <c r="F91" s="7"/>
      <c r="G91" s="7"/>
      <c r="H91" s="7"/>
    </row>
    <row r="92" spans="1:8" ht="39.75" customHeight="1">
      <c r="A92" s="1" t="s">
        <v>25</v>
      </c>
      <c r="B92" s="9" t="s">
        <v>26</v>
      </c>
      <c r="C92" s="1"/>
      <c r="D92" s="1"/>
      <c r="E92" s="1"/>
      <c r="F92" s="5"/>
      <c r="G92" s="3">
        <f t="shared" ref="G92:G99" si="18">IF((C92-D92)&lt;0,0,C92-D92)</f>
        <v>0</v>
      </c>
      <c r="H92" s="4">
        <f t="shared" ref="H92:H99" si="19">IF((D92-C92)&lt;0,0,D92-C92)</f>
        <v>0</v>
      </c>
    </row>
    <row r="93" spans="1:8" ht="27.75" customHeight="1">
      <c r="A93" s="1" t="s">
        <v>25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27.75" customHeight="1">
      <c r="A95" s="1" t="s">
        <v>25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40.5" customHeight="1">
      <c r="A96" s="1" t="s">
        <v>25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38.25" customHeight="1">
      <c r="A97" s="1" t="s">
        <v>25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27.75" customHeight="1">
      <c r="A98" s="1" t="s">
        <v>25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47.25" customHeight="1">
      <c r="A99" s="1" t="s">
        <v>25</v>
      </c>
      <c r="B99" s="9" t="s">
        <v>33</v>
      </c>
      <c r="C99" s="1"/>
      <c r="D99" s="1"/>
      <c r="E99" s="1"/>
      <c r="F99" s="5"/>
      <c r="G99" s="3">
        <f t="shared" si="18"/>
        <v>0</v>
      </c>
      <c r="H99" s="4">
        <f t="shared" si="19"/>
        <v>0</v>
      </c>
    </row>
  </sheetData>
  <protectedRanges>
    <protectedRange sqref="C1:E99" name="Textbooks"/>
    <protectedRange sqref="F1:F99" name="SOURCE"/>
  </protectedRanges>
  <phoneticPr fontId="8" type="noConversion"/>
  <dataValidations count="2">
    <dataValidation type="list" allowBlank="1" showInputMessage="1" showErrorMessage="1" sqref="E15:E20 E22:E30 E32:E40 E52:E60 E62:E70 E42:E50 E2:E7 E72:E80 E82:E90 E9:E13 E92:E99" xr:uid="{B46E7B13-721E-4D49-837E-C02BF9777D48}">
      <formula1>"2024,2025"</formula1>
    </dataValidation>
    <dataValidation type="list" allowBlank="1" showInputMessage="1" showErrorMessage="1" sqref="F15:F20 F22:F30 F32:F40 F42:F50 F52:F60 F62:F70 F72:F80 F82:F90 F2:F7 F9:F13 F92:F9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D11" sqref="D1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/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v>72</v>
      </c>
      <c r="E16" s="5"/>
      <c r="F16" s="1"/>
      <c r="G16" s="5"/>
      <c r="H16" s="5">
        <f t="shared" si="2"/>
        <v>72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v>72</v>
      </c>
      <c r="E17" s="5"/>
      <c r="F17" s="1"/>
      <c r="G17" s="5"/>
      <c r="H17" s="5">
        <f t="shared" si="2"/>
        <v>72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v>77</v>
      </c>
      <c r="E25" s="5"/>
      <c r="F25" s="1"/>
      <c r="G25" s="5"/>
      <c r="H25" s="5">
        <f t="shared" si="2"/>
        <v>77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v>81</v>
      </c>
      <c r="E26" s="5"/>
      <c r="F26" s="1"/>
      <c r="G26" s="5"/>
      <c r="H26" s="5">
        <f t="shared" si="2"/>
        <v>81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v>81</v>
      </c>
      <c r="E27" s="5"/>
      <c r="F27" s="1"/>
      <c r="G27" s="5"/>
      <c r="H27" s="5">
        <f t="shared" si="2"/>
        <v>81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v>84</v>
      </c>
      <c r="E28" s="5"/>
      <c r="F28" s="1"/>
      <c r="G28" s="5"/>
      <c r="H28" s="5">
        <f t="shared" si="2"/>
        <v>84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v>81</v>
      </c>
      <c r="E29" s="5"/>
      <c r="F29" s="1"/>
      <c r="G29" s="5"/>
      <c r="H29" s="5">
        <f>IF((D29-E29)&lt;0,0,(D29-E29))</f>
        <v>81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v>81</v>
      </c>
      <c r="E30" s="5"/>
      <c r="F30" s="1"/>
      <c r="G30" s="5"/>
      <c r="H30" s="5">
        <f>IF((D30-E30)&lt;0,0,(D30-E30))</f>
        <v>81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7.75" customHeight="1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v>69</v>
      </c>
      <c r="E43" s="5"/>
      <c r="F43" s="1"/>
      <c r="G43" s="5"/>
      <c r="H43" s="5">
        <f t="shared" si="2"/>
        <v>69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v>50</v>
      </c>
      <c r="E44" s="5"/>
      <c r="F44" s="1"/>
      <c r="G44" s="5"/>
      <c r="H44" s="5">
        <f t="shared" si="2"/>
        <v>50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v>72</v>
      </c>
      <c r="E45" s="5"/>
      <c r="F45" s="1"/>
      <c r="G45" s="5"/>
      <c r="H45" s="5">
        <f t="shared" si="2"/>
        <v>72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v>77</v>
      </c>
      <c r="E46" s="5"/>
      <c r="F46" s="1"/>
      <c r="G46" s="5"/>
      <c r="H46" s="5">
        <f t="shared" si="2"/>
        <v>77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0.75" customHeight="1">
      <c r="A47" s="1">
        <v>5</v>
      </c>
      <c r="B47" s="9" t="s">
        <v>18</v>
      </c>
      <c r="C47" s="1"/>
      <c r="D47" s="5">
        <v>69</v>
      </c>
      <c r="E47" s="5"/>
      <c r="F47" s="1"/>
      <c r="G47" s="5"/>
      <c r="H47" s="5">
        <f t="shared" si="2"/>
        <v>69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v>69</v>
      </c>
      <c r="E48" s="5"/>
      <c r="F48" s="1"/>
      <c r="G48" s="5"/>
      <c r="H48" s="5">
        <f t="shared" si="2"/>
        <v>69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v>69</v>
      </c>
      <c r="E49" s="5"/>
      <c r="F49" s="1"/>
      <c r="G49" s="5"/>
      <c r="H49" s="5">
        <f t="shared" si="2"/>
        <v>69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v>69</v>
      </c>
      <c r="E50" s="5"/>
      <c r="F50" s="1"/>
      <c r="G50" s="5"/>
      <c r="H50" s="5">
        <f t="shared" si="2"/>
        <v>69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v>69</v>
      </c>
      <c r="E51" s="5"/>
      <c r="F51" s="1"/>
      <c r="G51" s="5"/>
      <c r="H51" s="5">
        <f t="shared" si="2"/>
        <v>69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33:F4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Y73" sqref="Y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24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32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>
        <v>30</v>
      </c>
      <c r="F55" s="1">
        <v>2025</v>
      </c>
      <c r="G55" s="5"/>
      <c r="H55" s="5">
        <f t="shared" si="0"/>
        <v>0</v>
      </c>
      <c r="I55" s="5">
        <f t="shared" si="1"/>
        <v>30</v>
      </c>
      <c r="J55" s="5">
        <f>Table14[[#This Row],[Enrolment S.Y. 2025-2026 ]]*8</f>
        <v>0</v>
      </c>
      <c r="K55" s="5">
        <v>75</v>
      </c>
      <c r="L55" s="1">
        <v>2025</v>
      </c>
      <c r="M55" s="5"/>
      <c r="N55" s="5">
        <f t="shared" si="2"/>
        <v>0</v>
      </c>
      <c r="O55" s="5">
        <f t="shared" si="3"/>
        <v>75</v>
      </c>
      <c r="P55" s="5">
        <f>Table14[[#This Row],[Enrolment S.Y. 2025-2026 ]]*8</f>
        <v>0</v>
      </c>
      <c r="Q55" s="5">
        <v>30</v>
      </c>
      <c r="R55" s="1">
        <v>2025</v>
      </c>
      <c r="S55" s="5" t="s">
        <v>16</v>
      </c>
      <c r="T55" s="5">
        <f t="shared" si="4"/>
        <v>0</v>
      </c>
      <c r="U55" s="5">
        <f t="shared" si="5"/>
        <v>30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>
        <v>130</v>
      </c>
      <c r="F56" s="1">
        <v>2025</v>
      </c>
      <c r="G56" s="5"/>
      <c r="H56" s="5">
        <f t="shared" si="0"/>
        <v>0</v>
      </c>
      <c r="I56" s="5">
        <f t="shared" si="1"/>
        <v>130</v>
      </c>
      <c r="J56" s="5">
        <f>Table14[[#This Row],[Enrolment S.Y. 2025-2026 ]]*8</f>
        <v>0</v>
      </c>
      <c r="K56" s="5">
        <v>150</v>
      </c>
      <c r="L56" s="1">
        <v>2025</v>
      </c>
      <c r="M56" s="5"/>
      <c r="N56" s="5">
        <f t="shared" si="2"/>
        <v>0</v>
      </c>
      <c r="O56" s="5">
        <f t="shared" si="3"/>
        <v>150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>
        <v>100</v>
      </c>
      <c r="F57" s="1">
        <v>2025</v>
      </c>
      <c r="G57" s="5"/>
      <c r="H57" s="5">
        <f t="shared" si="0"/>
        <v>0</v>
      </c>
      <c r="I57" s="5">
        <f t="shared" si="1"/>
        <v>100</v>
      </c>
      <c r="J57" s="5">
        <f>Table14[[#This Row],[Enrolment S.Y. 2025-2026 ]]*8</f>
        <v>0</v>
      </c>
      <c r="K57" s="5">
        <v>182</v>
      </c>
      <c r="L57" s="1">
        <v>2025</v>
      </c>
      <c r="M57" s="5"/>
      <c r="N57" s="5">
        <f t="shared" si="2"/>
        <v>0</v>
      </c>
      <c r="O57" s="5">
        <f t="shared" si="3"/>
        <v>182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>
        <v>134</v>
      </c>
      <c r="X57" s="1">
        <v>2025</v>
      </c>
      <c r="Y57" s="5" t="s">
        <v>16</v>
      </c>
      <c r="Z57" s="5">
        <f t="shared" si="6"/>
        <v>0</v>
      </c>
      <c r="AA57" s="5">
        <f t="shared" si="7"/>
        <v>134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90</v>
      </c>
      <c r="R59" s="1">
        <v>2025</v>
      </c>
      <c r="S59" s="5" t="s">
        <v>16</v>
      </c>
      <c r="T59" s="5">
        <f t="shared" si="4"/>
        <v>0</v>
      </c>
      <c r="U59" s="5">
        <f t="shared" si="5"/>
        <v>90</v>
      </c>
      <c r="V59" s="5">
        <f>Table14[[#This Row],[Enrolment S.Y. 2025-2026 ]]*8</f>
        <v>0</v>
      </c>
      <c r="W59" s="5">
        <v>103</v>
      </c>
      <c r="X59" s="1">
        <v>2025</v>
      </c>
      <c r="Y59" s="5" t="s">
        <v>16</v>
      </c>
      <c r="Z59" s="5">
        <f t="shared" si="6"/>
        <v>0</v>
      </c>
      <c r="AA59" s="5">
        <f t="shared" si="7"/>
        <v>103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40</v>
      </c>
      <c r="R60" s="1">
        <v>2025</v>
      </c>
      <c r="S60" s="5" t="s">
        <v>16</v>
      </c>
      <c r="T60" s="5">
        <f t="shared" si="4"/>
        <v>0</v>
      </c>
      <c r="U60" s="5">
        <f t="shared" si="5"/>
        <v>40</v>
      </c>
      <c r="V60" s="5">
        <f>Table14[[#This Row],[Enrolment S.Y. 2025-2026 ]]*8</f>
        <v>0</v>
      </c>
      <c r="W60" s="5">
        <v>61</v>
      </c>
      <c r="X60" s="1">
        <v>2025</v>
      </c>
      <c r="Y60" s="5" t="s">
        <v>16</v>
      </c>
      <c r="Z60" s="5">
        <f t="shared" si="6"/>
        <v>0</v>
      </c>
      <c r="AA60" s="5">
        <f t="shared" si="7"/>
        <v>61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60</v>
      </c>
      <c r="R61" s="1">
        <v>2025</v>
      </c>
      <c r="S61" s="5" t="s">
        <v>16</v>
      </c>
      <c r="T61" s="5">
        <f>IF((P61-Q61)&lt;0,0,(P61-Q61))</f>
        <v>0</v>
      </c>
      <c r="U61" s="5">
        <f>IF((Q61-P61)&lt;0,0,(Q61-P61))</f>
        <v>60</v>
      </c>
      <c r="V61" s="5">
        <f>Table14[[#This Row],[Enrolment S.Y. 2025-2026 ]]*8</f>
        <v>0</v>
      </c>
      <c r="W61" s="5">
        <v>46</v>
      </c>
      <c r="X61" s="1">
        <v>2025</v>
      </c>
      <c r="Y61" s="5" t="s">
        <v>16</v>
      </c>
      <c r="Z61" s="5">
        <f>IF((V61-W61)&lt;0,0,(V61-W61))</f>
        <v>0</v>
      </c>
      <c r="AA61" s="5">
        <f>IF((W61-V61)&lt;0,0,(W61-V61))</f>
        <v>46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95</v>
      </c>
      <c r="R62" s="1">
        <v>2025</v>
      </c>
      <c r="S62" s="5" t="s">
        <v>16</v>
      </c>
      <c r="T62" s="5">
        <f t="shared" si="4"/>
        <v>0</v>
      </c>
      <c r="U62" s="5">
        <f t="shared" si="5"/>
        <v>95</v>
      </c>
      <c r="V62" s="5">
        <f>Table14[[#This Row],[Enrolment S.Y. 2025-2026 ]]*8</f>
        <v>0</v>
      </c>
      <c r="W62" s="5">
        <v>82</v>
      </c>
      <c r="X62" s="1">
        <v>2025</v>
      </c>
      <c r="Y62" s="5" t="s">
        <v>16</v>
      </c>
      <c r="Z62" s="5">
        <f t="shared" si="6"/>
        <v>0</v>
      </c>
      <c r="AA62" s="5">
        <f t="shared" si="7"/>
        <v>82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>
        <v>61</v>
      </c>
      <c r="R63" s="1">
        <v>2025</v>
      </c>
      <c r="S63" s="5" t="s">
        <v>16</v>
      </c>
      <c r="T63" s="5">
        <f t="shared" si="4"/>
        <v>0</v>
      </c>
      <c r="U63" s="5">
        <f t="shared" si="5"/>
        <v>61</v>
      </c>
      <c r="V63" s="5">
        <f>Table14[[#This Row],[Enrolment S.Y. 2025-2026 ]]*8</f>
        <v>0</v>
      </c>
      <c r="W63" s="5">
        <v>66</v>
      </c>
      <c r="X63" s="1">
        <v>2025</v>
      </c>
      <c r="Y63" s="5" t="s">
        <v>16</v>
      </c>
      <c r="Z63" s="5">
        <f t="shared" si="6"/>
        <v>0</v>
      </c>
      <c r="AA63" s="5">
        <f t="shared" si="7"/>
        <v>66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60</v>
      </c>
      <c r="R64" s="1">
        <v>2025</v>
      </c>
      <c r="S64" s="5" t="s">
        <v>16</v>
      </c>
      <c r="T64" s="5">
        <f>IF((P64-Q64)&lt;0,0,(P64-Q64))</f>
        <v>0</v>
      </c>
      <c r="U64" s="5">
        <f>IF((Q64-P64)&lt;0,0,(Q64-P64))</f>
        <v>60</v>
      </c>
      <c r="V64" s="5">
        <f>Table14[[#This Row],[Enrolment S.Y. 2025-2026 ]]*8</f>
        <v>0</v>
      </c>
      <c r="W64" s="5">
        <v>46</v>
      </c>
      <c r="X64" s="1">
        <v>2025</v>
      </c>
      <c r="Y64" s="5" t="s">
        <v>16</v>
      </c>
      <c r="Z64" s="5">
        <f>IF((V64-W64)&lt;0,0,(V64-W64))</f>
        <v>0</v>
      </c>
      <c r="AA64" s="5">
        <f>IF((W64-V64)&lt;0,0,(W64-V64))</f>
        <v>46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60</v>
      </c>
      <c r="R65" s="1">
        <v>2025</v>
      </c>
      <c r="S65" s="5" t="s">
        <v>16</v>
      </c>
      <c r="T65" s="5">
        <f t="shared" si="4"/>
        <v>0</v>
      </c>
      <c r="U65" s="5">
        <f t="shared" si="5"/>
        <v>60</v>
      </c>
      <c r="V65" s="5">
        <f>Table14[[#This Row],[Enrolment S.Y. 2025-2026 ]]*8</f>
        <v>0</v>
      </c>
      <c r="W65" s="5">
        <v>80</v>
      </c>
      <c r="X65" s="1">
        <v>2025</v>
      </c>
      <c r="Y65" s="5" t="s">
        <v>16</v>
      </c>
      <c r="Z65" s="5">
        <f t="shared" si="6"/>
        <v>0</v>
      </c>
      <c r="AA65" s="5">
        <f t="shared" si="7"/>
        <v>80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67:F77 D79:F89 D91:F101 D115:F122 P2:R10 N3:O10 V2:X10 T3:U10 N12:R19 T12:X19 H3:L10 Z3:AA10 Z12:AA19 H12:L19 N21:R29 T21:X29 Z21:AA29 H21:L29 T31:X41 Z31:AA41 H31:L41 T43:X53 Z43:AA53 H43:L53 T55:X65 Z55:AA65 T67:X77 Z67:AA77 H67:L77 T79:X89 Z79:AA89 H79:L89 T91:X101 Z91:AA101 H91:L101 T103:X113 Z103:AA113 H103:L113 N115:R122 T115:X122 Z115:AA122 H115:L122 D103:F113 N31:R41 N43:R53 N67:R77 N79:R89 N91:R101 N103:R113 N55:R65 H55:L65 D55:F65 D43:E53 F43:F45 F47:F5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R55:R65 L91:L101 L103:L113 L12:L19 L3:L10 R21:R29 R31:R41 R43:R53 R67:R77 R79:R89 F103:F113 R91:R101 R103:R113 R12:R19 R3:R10 F21:F29 F31:F41 F67:F77 F79:F89 L55:L65 F3:F10 F91:F101 X115:X122 F12:F19 F115:F122 R115:R122 L115:L122 F55:F65 F43:F45 F47:F5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Jackie Lou Gonzales</cp:lastModifiedBy>
  <cp:revision/>
  <dcterms:created xsi:type="dcterms:W3CDTF">2025-11-19T20:48:15Z</dcterms:created>
  <dcterms:modified xsi:type="dcterms:W3CDTF">2026-01-22T04:06:26Z</dcterms:modified>
  <cp:category/>
  <cp:contentStatus/>
</cp:coreProperties>
</file>