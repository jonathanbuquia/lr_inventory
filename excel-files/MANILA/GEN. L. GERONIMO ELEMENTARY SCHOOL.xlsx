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2" documentId="13_ncr:1_{BFB59F67-F0DC-4675-A682-EB0734A8026A}" xr6:coauthVersionLast="47" xr6:coauthVersionMax="47" xr10:uidLastSave="{055E20FA-D5ED-40B3-AFE3-CCBD0246C766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D34" i="4"/>
  <c r="D35" i="4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H29" i="4"/>
  <c r="H30" i="4"/>
  <c r="D19" i="4"/>
  <c r="H19" i="4" s="1"/>
  <c r="D10" i="4"/>
  <c r="H10" i="4" s="1"/>
  <c r="H11" i="4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I16" i="4"/>
  <c r="I17" i="4"/>
  <c r="D18" i="4"/>
  <c r="I18" i="4" s="1"/>
  <c r="D23" i="4"/>
  <c r="H23" i="4" s="1"/>
  <c r="D24" i="4"/>
  <c r="H24" i="4" s="1"/>
  <c r="I27" i="4"/>
  <c r="I28" i="4"/>
  <c r="D33" i="4"/>
  <c r="H33" i="4" s="1"/>
  <c r="H34" i="4"/>
  <c r="H35" i="4"/>
  <c r="D36" i="4"/>
  <c r="H36" i="4" s="1"/>
  <c r="D37" i="4"/>
  <c r="D38" i="4"/>
  <c r="D39" i="4"/>
  <c r="I39" i="4" s="1"/>
  <c r="D40" i="4"/>
  <c r="I40" i="4" s="1"/>
  <c r="D41" i="4"/>
  <c r="I41" i="4" s="1"/>
  <c r="I43" i="4"/>
  <c r="H44" i="4"/>
  <c r="H45" i="4"/>
  <c r="I48" i="4"/>
  <c r="I49" i="4"/>
  <c r="H50" i="4"/>
  <c r="H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6" i="1"/>
  <c r="H6" i="1"/>
  <c r="G7" i="1"/>
  <c r="H7" i="1"/>
  <c r="G2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3" i="1"/>
  <c r="G13" i="1"/>
  <c r="H12" i="1"/>
  <c r="G12" i="1"/>
  <c r="H11" i="1"/>
  <c r="G11" i="1"/>
  <c r="H10" i="1"/>
  <c r="G10" i="1"/>
  <c r="H9" i="1"/>
  <c r="G9" i="1"/>
  <c r="H5" i="1"/>
  <c r="G5" i="1"/>
  <c r="H4" i="1"/>
  <c r="G4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<sst xmlns="http://schemas.openxmlformats.org/spreadsheetml/2006/main" count="250" uniqueCount="80">
  <si>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</si>
  <si>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</si>
  <si>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</si>
  <si>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</si>
  <si>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</si>
  <si>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</si>
  <si>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</si>
  <si>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</si>
  <si>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</si>
  <si>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 xml:space="preserve">Wika </t>
  </si>
  <si>
    <t>Language</t>
  </si>
  <si>
    <t>GMRC</t>
  </si>
  <si>
    <t>Makabansa</t>
  </si>
  <si>
    <t>Math</t>
  </si>
  <si>
    <t>Science</t>
  </si>
  <si>
    <t>English</t>
  </si>
  <si>
    <t>RO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</si>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</sst>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42" activePane="topRight" state="frozen"/>
      <selection pane="topRight" activeCell="E153" sqref="E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60</v>
      </c>
      <c r="D2" s="1">
        <v>102</v>
      </c>
      <c r="E2" s="1">
        <v>2025</v>
      </c>
      <c r="F2" s="5"/>
      <c r="G2" s="3">
        <f>IF((C2-D2)&lt;0,0,C2-D2)</f>
        <v>0</v>
      </c>
      <c r="H2" s="4">
        <f>IF((D2-C2)&lt;0,0,D2-C2)</f>
        <v>42</v>
      </c>
    </row>
    <row r="3" spans="1:8" ht="42.75" customHeight="1">
      <c r="A3" s="1">
        <v>1</v>
      </c>
      <c r="B3" s="2" t="s">
        <v>9</v>
      </c>
      <c r="C3" s="1">
        <v>60</v>
      </c>
      <c r="D3" s="1">
        <v>102</v>
      </c>
      <c r="E3" s="1">
        <v>2025</v>
      </c>
      <c r="F3" s="5"/>
      <c r="G3" s="3">
        <f>IF((C3-D3)&lt;0,0,C3-D3)</f>
        <v>0</v>
      </c>
      <c r="H3" s="4">
        <f>IF((D3-C3)&lt;0,0,D3-C3)</f>
        <v>42</v>
      </c>
    </row>
    <row r="4" spans="1:8" ht="29.25" customHeight="1">
      <c r="A4" s="1">
        <v>1</v>
      </c>
      <c r="B4" s="2" t="s">
        <v>10</v>
      </c>
      <c r="C4" s="1">
        <v>60</v>
      </c>
      <c r="D4" s="1">
        <v>102</v>
      </c>
      <c r="E4" s="1">
        <v>2025</v>
      </c>
      <c r="F4" s="5"/>
      <c r="G4" s="3">
        <f>IF((C4-D4)&lt;0,0,C4-D4)</f>
        <v>0</v>
      </c>
      <c r="H4" s="4">
        <f>IF((D4-C4)&lt;0,0,D4-C4)</f>
        <v>42</v>
      </c>
    </row>
    <row r="5" spans="1:8" ht="21" customHeight="1">
      <c r="A5" s="1">
        <v>1</v>
      </c>
      <c r="B5" s="2" t="s">
        <v>11</v>
      </c>
      <c r="C5" s="1">
        <v>60</v>
      </c>
      <c r="D5" s="1">
        <v>102</v>
      </c>
      <c r="E5" s="1">
        <v>2025</v>
      </c>
      <c r="F5" s="5"/>
      <c r="G5" s="3">
        <f>IF((C5-D5)&lt;0,0,C5-D5)</f>
        <v>0</v>
      </c>
      <c r="H5" s="4">
        <f>IF((D5-C5)&lt;0,0,D5-C5)</f>
        <v>42</v>
      </c>
    </row>
    <row r="6" spans="1:8" ht="25.5" customHeight="1">
      <c r="A6" s="1">
        <v>1</v>
      </c>
      <c r="B6" s="2" t="s">
        <v>12</v>
      </c>
      <c r="C6" s="1">
        <v>60</v>
      </c>
      <c r="D6" s="1">
        <v>102</v>
      </c>
      <c r="E6" s="1">
        <v>2025</v>
      </c>
      <c r="F6" s="5"/>
      <c r="G6" s="3">
        <f t="shared" ref="G6:G7" si="0">IF((C6-D6)&lt;0,0,C6-D6)</f>
        <v>0</v>
      </c>
      <c r="H6" s="4">
        <f t="shared" ref="H6:H7" si="1">IF((D6-C6)&lt;0,0,D6-C6)</f>
        <v>42</v>
      </c>
    </row>
    <row r="7" spans="1:8" ht="19.149999999999999">
      <c r="A7" s="1">
        <v>1</v>
      </c>
      <c r="B7" s="2" t="s">
        <v>13</v>
      </c>
      <c r="C7" s="1"/>
      <c r="D7" s="1"/>
      <c r="E7" s="1"/>
      <c r="F7" s="5"/>
      <c r="G7" s="3">
        <f t="shared" si="0"/>
        <v>0</v>
      </c>
      <c r="H7" s="4">
        <f t="shared" si="1"/>
        <v>0</v>
      </c>
    </row>
    <row r="8" spans="1:8">
      <c r="C8" s="6"/>
      <c r="D8" s="6"/>
      <c r="E8" s="6"/>
    </row>
    <row r="9" spans="1:8" ht="39.75" customHeight="1">
      <c r="A9" s="1">
        <v>2</v>
      </c>
      <c r="B9" s="2" t="s">
        <v>8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9.2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8.5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24" customHeight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9.149999999999999">
      <c r="A13" s="1">
        <v>2</v>
      </c>
      <c r="B13" s="2" t="s">
        <v>13</v>
      </c>
      <c r="C13" s="1"/>
      <c r="D13" s="1"/>
      <c r="E13" s="1"/>
      <c r="F13" s="5"/>
      <c r="G13" s="3">
        <f>IF((C13-D13)&lt;0,0,C13-D13)</f>
        <v>0</v>
      </c>
      <c r="H13" s="4">
        <f>IF((D13-C13)&lt;0,0,D13-C13)</f>
        <v>0</v>
      </c>
    </row>
    <row r="14" spans="1:8">
      <c r="C14" s="6"/>
      <c r="D14" s="6"/>
      <c r="E14" s="6"/>
    </row>
    <row r="15" spans="1:8" ht="49.5" customHeight="1">
      <c r="A15" s="1">
        <v>3</v>
      </c>
      <c r="B15" s="2" t="s">
        <v>8</v>
      </c>
      <c r="C15" s="1"/>
      <c r="D15" s="1"/>
      <c r="E15" s="1"/>
      <c r="F15" s="5"/>
      <c r="G15" s="3">
        <f t="shared" ref="G15:G20" si="2">IF((C15-D15)&lt;0,0,C15-D15)</f>
        <v>0</v>
      </c>
      <c r="H15" s="4">
        <f t="shared" ref="H15:H20" si="3">IF((D15-C15)&lt;0,0,D15-C15)</f>
        <v>0</v>
      </c>
    </row>
    <row r="16" spans="1:8" ht="29.25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7" customHeight="1">
      <c r="A17" s="1">
        <v>3</v>
      </c>
      <c r="B17" s="2" t="s">
        <v>11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3.25" customHeight="1">
      <c r="A18" s="1">
        <v>3</v>
      </c>
      <c r="B18" s="2" t="s">
        <v>14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21" customHeight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9.149999999999999">
      <c r="A20" s="1">
        <v>3</v>
      </c>
      <c r="B20" s="2" t="s">
        <v>13</v>
      </c>
      <c r="C20" s="1"/>
      <c r="D20" s="1"/>
      <c r="E20" s="1"/>
      <c r="F20" s="5"/>
      <c r="G20" s="3">
        <f t="shared" si="2"/>
        <v>0</v>
      </c>
      <c r="H20" s="4">
        <f t="shared" si="3"/>
        <v>0</v>
      </c>
    </row>
    <row r="21" spans="1:8">
      <c r="A21" s="7"/>
      <c r="B21" s="7"/>
      <c r="C21" s="8"/>
      <c r="D21" s="8"/>
      <c r="E21" s="8"/>
      <c r="F21" s="7"/>
      <c r="G21" s="7"/>
      <c r="H21" s="7"/>
    </row>
    <row r="22" spans="1:8" ht="28.5" customHeight="1">
      <c r="A22" s="1">
        <v>4</v>
      </c>
      <c r="B22" s="9" t="s">
        <v>15</v>
      </c>
      <c r="C22" s="1">
        <v>77</v>
      </c>
      <c r="D22" s="1">
        <v>101</v>
      </c>
      <c r="E22" s="1">
        <v>2024</v>
      </c>
      <c r="F22" s="5" t="s">
        <v>16</v>
      </c>
      <c r="G22" s="3">
        <f t="shared" ref="G22:G30" si="4">IF((C22-D22)&lt;0,0,C22-D22)</f>
        <v>0</v>
      </c>
      <c r="H22" s="4">
        <f t="shared" ref="H22:H30" si="5">IF((D22-C22)&lt;0,0,D22-C22)</f>
        <v>24</v>
      </c>
    </row>
    <row r="23" spans="1:8" ht="24" customHeight="1">
      <c r="A23" s="1">
        <v>4</v>
      </c>
      <c r="B23" s="9" t="s">
        <v>17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19.5">
      <c r="A24" s="1">
        <v>4</v>
      </c>
      <c r="B24" s="9" t="s">
        <v>13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27" customHeight="1">
      <c r="A25" s="1">
        <v>4</v>
      </c>
      <c r="B25" s="9" t="s">
        <v>11</v>
      </c>
      <c r="C25" s="1">
        <v>77</v>
      </c>
      <c r="D25" s="1">
        <v>101</v>
      </c>
      <c r="E25" s="1">
        <v>2024</v>
      </c>
      <c r="F25" s="5" t="s">
        <v>16</v>
      </c>
      <c r="G25" s="3">
        <f t="shared" si="4"/>
        <v>0</v>
      </c>
      <c r="H25" s="4">
        <f t="shared" si="5"/>
        <v>24</v>
      </c>
    </row>
    <row r="26" spans="1:8" ht="33.75" customHeight="1">
      <c r="A26" s="1">
        <v>4</v>
      </c>
      <c r="B26" s="9" t="s">
        <v>18</v>
      </c>
      <c r="C26" s="1">
        <v>77</v>
      </c>
      <c r="D26" s="1">
        <v>101</v>
      </c>
      <c r="E26" s="1">
        <v>2024</v>
      </c>
      <c r="F26" s="5" t="s">
        <v>16</v>
      </c>
      <c r="G26" s="3">
        <f t="shared" si="4"/>
        <v>0</v>
      </c>
      <c r="H26" s="4">
        <f t="shared" si="5"/>
        <v>24</v>
      </c>
    </row>
    <row r="27" spans="1:8" ht="33.75" customHeight="1">
      <c r="A27" s="1">
        <v>4</v>
      </c>
      <c r="B27" s="9" t="s">
        <v>14</v>
      </c>
      <c r="C27" s="1">
        <v>77</v>
      </c>
      <c r="D27" s="1">
        <v>101</v>
      </c>
      <c r="E27" s="1">
        <v>2024</v>
      </c>
      <c r="F27" s="5" t="s">
        <v>16</v>
      </c>
      <c r="G27" s="3">
        <f t="shared" si="4"/>
        <v>0</v>
      </c>
      <c r="H27" s="4">
        <f t="shared" si="5"/>
        <v>24</v>
      </c>
    </row>
    <row r="28" spans="1:8" ht="33.75" customHeight="1">
      <c r="A28" s="1">
        <v>4</v>
      </c>
      <c r="B28" s="9" t="s">
        <v>19</v>
      </c>
      <c r="C28" s="1">
        <v>77</v>
      </c>
      <c r="D28" s="1">
        <v>101</v>
      </c>
      <c r="E28" s="1">
        <v>2024</v>
      </c>
      <c r="F28" s="5" t="s">
        <v>16</v>
      </c>
      <c r="G28" s="3">
        <f t="shared" si="4"/>
        <v>0</v>
      </c>
      <c r="H28" s="4">
        <f t="shared" si="5"/>
        <v>24</v>
      </c>
    </row>
    <row r="29" spans="1:8" ht="27.75" customHeight="1">
      <c r="A29" s="1">
        <v>4</v>
      </c>
      <c r="B29" s="9" t="s">
        <v>20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1">
        <v>4</v>
      </c>
      <c r="B30" s="9" t="s">
        <v>21</v>
      </c>
      <c r="C30" s="1"/>
      <c r="D30" s="1"/>
      <c r="E30" s="1"/>
      <c r="F30" s="5"/>
      <c r="G30" s="3">
        <f t="shared" si="4"/>
        <v>0</v>
      </c>
      <c r="H30" s="4">
        <f t="shared" si="5"/>
        <v>0</v>
      </c>
    </row>
    <row r="31" spans="1:8" ht="27.75" customHeight="1">
      <c r="A31" s="7"/>
      <c r="B31" s="7"/>
      <c r="C31" s="8"/>
      <c r="D31" s="8"/>
      <c r="E31" s="8"/>
      <c r="F31" s="7"/>
      <c r="G31" s="7"/>
      <c r="H31" s="7"/>
    </row>
    <row r="32" spans="1:8" ht="27.75" customHeight="1">
      <c r="A32" s="1">
        <v>5</v>
      </c>
      <c r="B32" s="9" t="s">
        <v>15</v>
      </c>
      <c r="C32" s="1">
        <v>92</v>
      </c>
      <c r="D32" s="1">
        <v>94</v>
      </c>
      <c r="E32" s="1">
        <v>2025</v>
      </c>
      <c r="F32" s="5" t="s">
        <v>16</v>
      </c>
      <c r="G32" s="3">
        <f t="shared" ref="G32:G40" si="6">IF((C32-D32)&lt;0,0,C32-D32)</f>
        <v>0</v>
      </c>
      <c r="H32" s="4">
        <f t="shared" ref="H32:H40" si="7">IF((D32-C32)&lt;0,0,D32-C32)</f>
        <v>2</v>
      </c>
    </row>
    <row r="33" spans="1:8" ht="27.75" customHeight="1">
      <c r="A33" s="1">
        <v>5</v>
      </c>
      <c r="B33" s="9" t="s">
        <v>17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13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27.75" customHeight="1">
      <c r="A35" s="1">
        <v>5</v>
      </c>
      <c r="B35" s="9" t="s">
        <v>11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39" customHeight="1">
      <c r="A36" s="1">
        <v>5</v>
      </c>
      <c r="B36" s="9" t="s">
        <v>18</v>
      </c>
      <c r="C36" s="1">
        <v>92</v>
      </c>
      <c r="D36" s="1">
        <v>94</v>
      </c>
      <c r="E36" s="1">
        <v>2025</v>
      </c>
      <c r="F36" s="5" t="s">
        <v>16</v>
      </c>
      <c r="G36" s="3">
        <f t="shared" si="6"/>
        <v>0</v>
      </c>
      <c r="H36" s="4">
        <f t="shared" si="7"/>
        <v>2</v>
      </c>
    </row>
    <row r="37" spans="1:8" ht="27.75" customHeight="1">
      <c r="A37" s="1">
        <v>5</v>
      </c>
      <c r="B37" s="9" t="s">
        <v>14</v>
      </c>
      <c r="C37" s="1">
        <v>92</v>
      </c>
      <c r="D37" s="1">
        <v>94</v>
      </c>
      <c r="E37" s="1">
        <v>2025</v>
      </c>
      <c r="F37" s="5" t="s">
        <v>16</v>
      </c>
      <c r="G37" s="3">
        <f t="shared" si="6"/>
        <v>0</v>
      </c>
      <c r="H37" s="4">
        <f t="shared" si="7"/>
        <v>2</v>
      </c>
    </row>
    <row r="38" spans="1:8" ht="27.75" customHeight="1">
      <c r="A38" s="1">
        <v>5</v>
      </c>
      <c r="B38" s="9" t="s">
        <v>19</v>
      </c>
      <c r="C38" s="1">
        <v>92</v>
      </c>
      <c r="D38" s="1">
        <v>94</v>
      </c>
      <c r="E38" s="1">
        <v>2025</v>
      </c>
      <c r="F38" s="5" t="s">
        <v>16</v>
      </c>
      <c r="G38" s="3">
        <f t="shared" si="6"/>
        <v>0</v>
      </c>
      <c r="H38" s="4">
        <f t="shared" si="7"/>
        <v>2</v>
      </c>
    </row>
    <row r="39" spans="1:8" ht="27.75" customHeight="1">
      <c r="A39" s="1">
        <v>5</v>
      </c>
      <c r="B39" s="9" t="s">
        <v>20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1">
        <v>5</v>
      </c>
      <c r="B40" s="9" t="s">
        <v>21</v>
      </c>
      <c r="C40" s="1"/>
      <c r="D40" s="1"/>
      <c r="E40" s="1"/>
      <c r="F40" s="5"/>
      <c r="G40" s="3">
        <f t="shared" si="6"/>
        <v>0</v>
      </c>
      <c r="H40" s="4">
        <f t="shared" si="7"/>
        <v>0</v>
      </c>
    </row>
    <row r="41" spans="1:8" ht="27.75" customHeight="1">
      <c r="A41" s="7"/>
      <c r="B41" s="7"/>
      <c r="C41" s="8"/>
      <c r="D41" s="8"/>
      <c r="E41" s="8"/>
      <c r="F41" s="7"/>
      <c r="G41" s="7"/>
      <c r="H41" s="7"/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ref="G42:G50" si="8">IF((C42-D42)&lt;0,0,C42-D42)</f>
        <v>0</v>
      </c>
      <c r="H42" s="4">
        <f t="shared" ref="H42:H50" si="9">IF((D42-C42)&lt;0,0,D42-C42)</f>
        <v>0</v>
      </c>
    </row>
    <row r="43" spans="1:8" ht="27.75" customHeight="1">
      <c r="A43" s="1">
        <v>6</v>
      </c>
      <c r="B43" s="9" t="s">
        <v>17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13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27.75" customHeight="1">
      <c r="A45" s="1">
        <v>6</v>
      </c>
      <c r="B45" s="9" t="s">
        <v>11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36.75" customHeight="1">
      <c r="A46" s="1">
        <v>6</v>
      </c>
      <c r="B46" s="9" t="s">
        <v>18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14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>
        <v>6</v>
      </c>
      <c r="B50" s="9" t="s">
        <v>21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27.75" customHeight="1"/>
    <row r="56" spans="1:8" ht="39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27.75" customHeight="1"/>
    <row r="92" ht="39.75" customHeight="1"/>
    <row r="93" ht="27.75" customHeight="1"/>
    <row r="94" ht="27.75" customHeight="1"/>
    <row r="95" ht="27.75" customHeight="1"/>
    <row r="96" ht="40.5" customHeight="1"/>
    <row r="97" ht="38.25" customHeight="1"/>
    <row r="98" ht="27.75" customHeight="1"/>
    <row r="99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F15:F20 F22:F30 F32:F40 F42:F50 F2:F7 F9:F13" xr:uid="{2F7388E0-D1A1-4571-8C10-96CB9A727EB3}">
      <formula1>"CO,RO,SDO"</formula1>
    </dataValidation>
    <dataValidation type="list" allowBlank="1" showInputMessage="1" showErrorMessage="1" sqref="E2:E13 E15:E50" xr:uid="{5E022394-9966-443D-B3D0-DD034E752E8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2" zoomScale="70" zoomScaleNormal="70" workbookViewId="0">
      <selection activeCell="AD136" sqref="AD13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11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12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13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/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v>72</v>
      </c>
      <c r="E16" s="5"/>
      <c r="F16" s="1"/>
      <c r="G16" s="5"/>
      <c r="H16" s="5">
        <f t="shared" si="2"/>
        <v>72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v>72</v>
      </c>
      <c r="E17" s="5"/>
      <c r="F17" s="1"/>
      <c r="G17" s="5"/>
      <c r="H17" s="5">
        <f t="shared" si="2"/>
        <v>72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v>77</v>
      </c>
      <c r="E25" s="5"/>
      <c r="F25" s="1"/>
      <c r="G25" s="5"/>
      <c r="H25" s="5">
        <f t="shared" si="2"/>
        <v>77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v>81</v>
      </c>
      <c r="E26" s="5"/>
      <c r="F26" s="1"/>
      <c r="G26" s="5"/>
      <c r="H26" s="5">
        <f t="shared" si="2"/>
        <v>81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v>81</v>
      </c>
      <c r="E27" s="5"/>
      <c r="F27" s="1"/>
      <c r="G27" s="5"/>
      <c r="H27" s="5">
        <f t="shared" si="2"/>
        <v>81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v>84</v>
      </c>
      <c r="E28" s="5"/>
      <c r="F28" s="1"/>
      <c r="G28" s="5"/>
      <c r="H28" s="5">
        <f t="shared" si="2"/>
        <v>84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v>81</v>
      </c>
      <c r="E29" s="5"/>
      <c r="F29" s="1"/>
      <c r="G29" s="5"/>
      <c r="H29" s="5">
        <f>IF((D29-E29)&lt;0,0,(D29-E29))</f>
        <v>81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v>81</v>
      </c>
      <c r="E30" s="5"/>
      <c r="F30" s="1"/>
      <c r="G30" s="5"/>
      <c r="H30" s="5">
        <f>IF((D30-E30)&lt;0,0,(D30-E30))</f>
        <v>81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15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11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27.75" customHeight="1">
      <c r="A37" s="1">
        <v>4</v>
      </c>
      <c r="B37" s="9" t="s">
        <v>18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14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19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20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21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v>69</v>
      </c>
      <c r="E43" s="5"/>
      <c r="F43" s="1"/>
      <c r="G43" s="5"/>
      <c r="H43" s="5">
        <f t="shared" si="2"/>
        <v>69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v>50</v>
      </c>
      <c r="E44" s="5"/>
      <c r="F44" s="1"/>
      <c r="G44" s="5"/>
      <c r="H44" s="5">
        <f t="shared" si="2"/>
        <v>50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v>72</v>
      </c>
      <c r="E45" s="5"/>
      <c r="F45" s="1"/>
      <c r="G45" s="5"/>
      <c r="H45" s="5">
        <f t="shared" si="2"/>
        <v>72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v>77</v>
      </c>
      <c r="E46" s="5"/>
      <c r="F46" s="1"/>
      <c r="G46" s="5"/>
      <c r="H46" s="5">
        <f t="shared" si="2"/>
        <v>77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0.75" customHeight="1">
      <c r="A47" s="1">
        <v>5</v>
      </c>
      <c r="B47" s="9" t="s">
        <v>18</v>
      </c>
      <c r="C47" s="1"/>
      <c r="D47" s="5">
        <v>69</v>
      </c>
      <c r="E47" s="5"/>
      <c r="F47" s="1"/>
      <c r="G47" s="5"/>
      <c r="H47" s="5">
        <f t="shared" si="2"/>
        <v>69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v>69</v>
      </c>
      <c r="E48" s="5"/>
      <c r="F48" s="1"/>
      <c r="G48" s="5"/>
      <c r="H48" s="5">
        <f t="shared" si="2"/>
        <v>69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v>69</v>
      </c>
      <c r="E49" s="5"/>
      <c r="F49" s="1"/>
      <c r="G49" s="5"/>
      <c r="H49" s="5">
        <f t="shared" si="2"/>
        <v>69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v>69</v>
      </c>
      <c r="E50" s="5"/>
      <c r="F50" s="1"/>
      <c r="G50" s="5"/>
      <c r="H50" s="5">
        <f t="shared" si="2"/>
        <v>69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v>69</v>
      </c>
      <c r="E51" s="5"/>
      <c r="F51" s="1"/>
      <c r="G51" s="5"/>
      <c r="H51" s="5">
        <f t="shared" si="2"/>
        <v>69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H33:I41 Q33:R41 W33:X41 D43:F51 H43:I51 Q43:R51 W43:X51 D53:F61 H53:I61 Q53:R61 W53:X61 H14:I21 H23:I31 H6:I12 K6:L12 K33:L41 K43:L51 K53:L61 N4:P4 T4:V4 J4 D33:F41 N3:R3 Y13 K14:L21 K23:L31 N13:P61 P2:R2 V2:X3 T13:V61 J6:J61 Z4:AA61 D5:F12 N5:R12 T5:X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  <dataValidation type="list" allowBlank="1" showInputMessage="1" showErrorMessage="1" sqref="F5:F61 L5:L61 R5:R31 X5:X61 R33:R62" xr:uid="{9433372C-09B9-4870-9AEE-A1054790A56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59" zoomScale="55" zoomScaleNormal="55" workbookViewId="0">
      <selection activeCell="L98" sqref="L9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24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17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17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26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>
        <v>30</v>
      </c>
      <c r="F55" s="1">
        <v>2025</v>
      </c>
      <c r="G55" s="5"/>
      <c r="H55" s="5">
        <f t="shared" si="0"/>
        <v>0</v>
      </c>
      <c r="I55" s="5">
        <f t="shared" si="1"/>
        <v>30</v>
      </c>
      <c r="J55" s="5">
        <f>Table14[[#This Row],[Enrolment S.Y. 2025-2026 ]]*8</f>
        <v>0</v>
      </c>
      <c r="K55" s="5">
        <v>75</v>
      </c>
      <c r="L55" s="1">
        <v>2025</v>
      </c>
      <c r="M55" s="5"/>
      <c r="N55" s="5">
        <f t="shared" si="2"/>
        <v>0</v>
      </c>
      <c r="O55" s="5">
        <f t="shared" si="3"/>
        <v>75</v>
      </c>
      <c r="P55" s="5">
        <f>Table14[[#This Row],[Enrolment S.Y. 2025-2026 ]]*8</f>
        <v>0</v>
      </c>
      <c r="Q55" s="5">
        <v>30</v>
      </c>
      <c r="R55" s="1">
        <v>2025</v>
      </c>
      <c r="S55" s="5" t="s">
        <v>16</v>
      </c>
      <c r="T55" s="5">
        <f t="shared" si="4"/>
        <v>0</v>
      </c>
      <c r="U55" s="5">
        <f t="shared" si="5"/>
        <v>30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>
        <v>130</v>
      </c>
      <c r="F56" s="1">
        <v>2025</v>
      </c>
      <c r="G56" s="5"/>
      <c r="H56" s="5">
        <f t="shared" si="0"/>
        <v>0</v>
      </c>
      <c r="I56" s="5">
        <f t="shared" si="1"/>
        <v>130</v>
      </c>
      <c r="J56" s="5">
        <f>Table14[[#This Row],[Enrolment S.Y. 2025-2026 ]]*8</f>
        <v>0</v>
      </c>
      <c r="K56" s="5">
        <v>150</v>
      </c>
      <c r="L56" s="1">
        <v>2025</v>
      </c>
      <c r="M56" s="5"/>
      <c r="N56" s="5">
        <f t="shared" si="2"/>
        <v>0</v>
      </c>
      <c r="O56" s="5">
        <f t="shared" si="3"/>
        <v>150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>
        <v>100</v>
      </c>
      <c r="F57" s="1">
        <v>2025</v>
      </c>
      <c r="G57" s="5"/>
      <c r="H57" s="5">
        <f t="shared" si="0"/>
        <v>0</v>
      </c>
      <c r="I57" s="5">
        <f t="shared" si="1"/>
        <v>100</v>
      </c>
      <c r="J57" s="5">
        <f>Table14[[#This Row],[Enrolment S.Y. 2025-2026 ]]*8</f>
        <v>0</v>
      </c>
      <c r="K57" s="5">
        <v>182</v>
      </c>
      <c r="L57" s="1">
        <v>2025</v>
      </c>
      <c r="M57" s="5"/>
      <c r="N57" s="5">
        <f t="shared" si="2"/>
        <v>0</v>
      </c>
      <c r="O57" s="5">
        <f t="shared" si="3"/>
        <v>182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>
        <v>134</v>
      </c>
      <c r="X57" s="1">
        <v>2025</v>
      </c>
      <c r="Y57" s="5" t="s">
        <v>16</v>
      </c>
      <c r="Z57" s="5">
        <f t="shared" si="6"/>
        <v>0</v>
      </c>
      <c r="AA57" s="5">
        <f t="shared" si="7"/>
        <v>134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>
        <v>90</v>
      </c>
      <c r="R59" s="1">
        <v>2025</v>
      </c>
      <c r="S59" s="5" t="s">
        <v>16</v>
      </c>
      <c r="T59" s="5">
        <f t="shared" si="4"/>
        <v>0</v>
      </c>
      <c r="U59" s="5">
        <f t="shared" si="5"/>
        <v>90</v>
      </c>
      <c r="V59" s="5">
        <f>Table14[[#This Row],[Enrolment S.Y. 2025-2026 ]]*8</f>
        <v>0</v>
      </c>
      <c r="W59" s="5">
        <v>103</v>
      </c>
      <c r="X59" s="1">
        <v>2025</v>
      </c>
      <c r="Y59" s="5" t="s">
        <v>16</v>
      </c>
      <c r="Z59" s="5">
        <f t="shared" si="6"/>
        <v>0</v>
      </c>
      <c r="AA59" s="5">
        <f t="shared" si="7"/>
        <v>103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>
        <v>40</v>
      </c>
      <c r="R60" s="1">
        <v>2025</v>
      </c>
      <c r="S60" s="5" t="s">
        <v>16</v>
      </c>
      <c r="T60" s="5">
        <f t="shared" si="4"/>
        <v>0</v>
      </c>
      <c r="U60" s="5">
        <f t="shared" si="5"/>
        <v>40</v>
      </c>
      <c r="V60" s="5">
        <f>Table14[[#This Row],[Enrolment S.Y. 2025-2026 ]]*8</f>
        <v>0</v>
      </c>
      <c r="W60" s="5">
        <v>61</v>
      </c>
      <c r="X60" s="1">
        <v>2025</v>
      </c>
      <c r="Y60" s="5" t="s">
        <v>16</v>
      </c>
      <c r="Z60" s="5">
        <f t="shared" si="6"/>
        <v>0</v>
      </c>
      <c r="AA60" s="5">
        <f t="shared" si="7"/>
        <v>61</v>
      </c>
    </row>
    <row r="61" spans="1:27" ht="19.5">
      <c r="A61" s="31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>
        <v>60</v>
      </c>
      <c r="R61" s="1">
        <v>2025</v>
      </c>
      <c r="S61" s="5" t="s">
        <v>16</v>
      </c>
      <c r="T61" s="5">
        <f>IF((P61-Q61)&lt;0,0,(P61-Q61))</f>
        <v>0</v>
      </c>
      <c r="U61" s="5">
        <f>IF((Q61-P61)&lt;0,0,(Q61-P61))</f>
        <v>60</v>
      </c>
      <c r="V61" s="5">
        <f>Table14[[#This Row],[Enrolment S.Y. 2025-2026 ]]*8</f>
        <v>0</v>
      </c>
      <c r="W61" s="5">
        <v>46</v>
      </c>
      <c r="X61" s="1">
        <v>2025</v>
      </c>
      <c r="Y61" s="5" t="s">
        <v>16</v>
      </c>
      <c r="Z61" s="5">
        <f>IF((V61-W61)&lt;0,0,(V61-W61))</f>
        <v>0</v>
      </c>
      <c r="AA61" s="5">
        <f>IF((W61-V61)&lt;0,0,(W61-V61))</f>
        <v>46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>
        <v>95</v>
      </c>
      <c r="R62" s="1">
        <v>2025</v>
      </c>
      <c r="S62" s="5" t="s">
        <v>16</v>
      </c>
      <c r="T62" s="5">
        <f t="shared" si="4"/>
        <v>0</v>
      </c>
      <c r="U62" s="5">
        <f t="shared" si="5"/>
        <v>95</v>
      </c>
      <c r="V62" s="5">
        <f>Table14[[#This Row],[Enrolment S.Y. 2025-2026 ]]*8</f>
        <v>0</v>
      </c>
      <c r="W62" s="5">
        <v>82</v>
      </c>
      <c r="X62" s="1">
        <v>2025</v>
      </c>
      <c r="Y62" s="5" t="s">
        <v>16</v>
      </c>
      <c r="Z62" s="5">
        <f t="shared" si="6"/>
        <v>0</v>
      </c>
      <c r="AA62" s="5">
        <f t="shared" si="7"/>
        <v>82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>
        <v>61</v>
      </c>
      <c r="R63" s="1">
        <v>2025</v>
      </c>
      <c r="S63" s="5" t="s">
        <v>16</v>
      </c>
      <c r="T63" s="5">
        <f t="shared" si="4"/>
        <v>0</v>
      </c>
      <c r="U63" s="5">
        <f t="shared" si="5"/>
        <v>61</v>
      </c>
      <c r="V63" s="5">
        <f>Table14[[#This Row],[Enrolment S.Y. 2025-2026 ]]*8</f>
        <v>0</v>
      </c>
      <c r="W63" s="5">
        <v>66</v>
      </c>
      <c r="X63" s="1">
        <v>2025</v>
      </c>
      <c r="Y63" s="5" t="s">
        <v>16</v>
      </c>
      <c r="Z63" s="5">
        <f t="shared" si="6"/>
        <v>0</v>
      </c>
      <c r="AA63" s="5">
        <f t="shared" si="7"/>
        <v>66</v>
      </c>
    </row>
    <row r="64" spans="1:27" ht="19.5">
      <c r="A64" s="31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>
        <v>60</v>
      </c>
      <c r="R64" s="1">
        <v>2025</v>
      </c>
      <c r="S64" s="5" t="s">
        <v>16</v>
      </c>
      <c r="T64" s="5">
        <f>IF((P64-Q64)&lt;0,0,(P64-Q64))</f>
        <v>0</v>
      </c>
      <c r="U64" s="5">
        <f>IF((Q64-P64)&lt;0,0,(Q64-P64))</f>
        <v>60</v>
      </c>
      <c r="V64" s="5">
        <f>Table14[[#This Row],[Enrolment S.Y. 2025-2026 ]]*8</f>
        <v>0</v>
      </c>
      <c r="W64" s="5">
        <v>46</v>
      </c>
      <c r="X64" s="1">
        <v>2025</v>
      </c>
      <c r="Y64" s="5" t="s">
        <v>16</v>
      </c>
      <c r="Z64" s="5">
        <f>IF((V64-W64)&lt;0,0,(V64-W64))</f>
        <v>0</v>
      </c>
      <c r="AA64" s="5">
        <f>IF((W64-V64)&lt;0,0,(W64-V64))</f>
        <v>46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>
        <v>60</v>
      </c>
      <c r="R65" s="1">
        <v>2025</v>
      </c>
      <c r="S65" s="5" t="s">
        <v>16</v>
      </c>
      <c r="T65" s="5">
        <f t="shared" si="4"/>
        <v>0</v>
      </c>
      <c r="U65" s="5">
        <f t="shared" si="5"/>
        <v>60</v>
      </c>
      <c r="V65" s="5">
        <f>Table14[[#This Row],[Enrolment S.Y. 2025-2026 ]]*8</f>
        <v>0</v>
      </c>
      <c r="W65" s="5">
        <v>80</v>
      </c>
      <c r="X65" s="1">
        <v>2025</v>
      </c>
      <c r="Y65" s="5" t="s">
        <v>16</v>
      </c>
      <c r="Z65" s="5">
        <f t="shared" si="6"/>
        <v>0</v>
      </c>
      <c r="AA65" s="5">
        <f t="shared" si="7"/>
        <v>80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E53 F43:F45 F47:F53 N55:R65 P2:R10 N3:O10 V2:X10 T3:U10 N12:R19 T12:X19 H3:L10 Z3:AA10 Z12:AA19 H12:L19 N21:R29 T21:X29 Z21:AA29 H21:L29 T31:X41 Z31:AA41 H31:L41 T43:X53 Z43:AA53 H43:L53 T55:X65 Z55:AA65 H55:L65 N31:R41 N43:R53 D55:F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3:F65 L3:L29 L31:L65 R3:R30 R31:R65 X55:X65 X31:X53 X3:X29" xr:uid="{33F8DD92-886B-43BE-82BE-467A3F4764F6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2026-04-13T00:25:33Z</dcterms:modified>
  <cp:category/>
  <cp:contentStatus/>
</cp:coreProperties>
</file>