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" documentId="13_ncr:1_{BFB59F67-F0DC-4675-A682-EB0734A8026A}" xr6:coauthVersionLast="47" xr6:coauthVersionMax="47" xr10:uidLastSave="{C8FF6D01-3EFF-4615-A383-4593ED7CE6F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<sst xmlns="http://schemas.openxmlformats.org/spreadsheetml/2006/main" count="399" uniqueCount="93">
  <si>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</si>
  <si>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</si>
  <si>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</si>
  <si>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</si>
  <si>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</si>
  <si>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</si>
  <si>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</si>
  <si>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</si>
  <si>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</si>
  <si>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</si>
  <si>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</si>
  <si>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</si>
  <si>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</si>
  <si>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</si>
  <si>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</si>
  <si>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</si>
  <si>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</si>
  <si>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</si>
  <si>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</si>
  <si>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</si>
  <si>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</si>
  <si>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</si>
  <si>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</si>
  <si>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</si>
  <si>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</si>
  <si>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</si>
  <si>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</si>
  <si>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</si>
  <si>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</si>
  <si>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</si>
  <si>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</si>
  <si>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</si>
  <si>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</si>
  <si>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</si>
  <si>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</si>
  <si>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</si>
  <si>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</si>
  <si>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</si>
  <si>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</si>
  <si>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</si>
  <si>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</si>
  <si>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</si>
  <si>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</si>
  <si>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</si>
  <si>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</si>
  <si>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</si>
  <si>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</si>
  <si>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</si>
  <si>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</si>
  <si>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</si>
  <si>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</si>
  <si>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</si>
  <si>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</si>
  <si>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</si>
  <si>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</si>
  <si>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</si>
  <si>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</si>
  <si>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</si>
  <si>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</si>
  <si>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</si>
  <si>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</si>
  <si>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</si>
  <si>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Sheets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</si>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</sst>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205</v>
      </c>
      <c r="D21" s="1">
        <v>269</v>
      </c>
      <c r="E21" s="1">
        <v>2024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64</v>
      </c>
    </row>
    <row r="22" spans="1:8" ht="24" customHeight="1">
      <c r="A22" s="1">
        <v>4</v>
      </c>
      <c r="B22" s="9" t="s">
        <v>16</v>
      </c>
      <c r="C22" s="1">
        <v>205</v>
      </c>
      <c r="D22" s="1">
        <v>269</v>
      </c>
      <c r="E22" s="1">
        <v>2024</v>
      </c>
      <c r="F22" s="5" t="s">
        <v>15</v>
      </c>
      <c r="G22" s="3">
        <f t="shared" si="4"/>
        <v>0</v>
      </c>
      <c r="H22" s="4">
        <f t="shared" si="5"/>
        <v>64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205</v>
      </c>
      <c r="D24" s="1">
        <v>269</v>
      </c>
      <c r="E24" s="1">
        <v>2025</v>
      </c>
      <c r="F24" s="5" t="s">
        <v>15</v>
      </c>
      <c r="G24" s="3">
        <f t="shared" si="4"/>
        <v>0</v>
      </c>
      <c r="H24" s="4">
        <f t="shared" si="5"/>
        <v>64</v>
      </c>
    </row>
    <row r="25" spans="1:8" ht="33.75" customHeight="1">
      <c r="A25" s="1">
        <v>4</v>
      </c>
      <c r="B25" s="9" t="s">
        <v>17</v>
      </c>
      <c r="C25" s="1">
        <v>205</v>
      </c>
      <c r="D25" s="1">
        <v>269</v>
      </c>
      <c r="E25" s="1">
        <v>2024</v>
      </c>
      <c r="F25" s="5" t="s">
        <v>15</v>
      </c>
      <c r="G25" s="3">
        <f t="shared" si="4"/>
        <v>0</v>
      </c>
      <c r="H25" s="4">
        <f t="shared" si="5"/>
        <v>64</v>
      </c>
    </row>
    <row r="26" spans="1:8" ht="33.75" customHeight="1">
      <c r="A26" s="1">
        <v>4</v>
      </c>
      <c r="B26" s="9" t="s">
        <v>13</v>
      </c>
      <c r="C26" s="1">
        <v>205</v>
      </c>
      <c r="D26" s="1">
        <v>269</v>
      </c>
      <c r="E26" s="1">
        <v>2024</v>
      </c>
      <c r="F26" s="5" t="s">
        <v>15</v>
      </c>
      <c r="G26" s="3">
        <f t="shared" si="4"/>
        <v>0</v>
      </c>
      <c r="H26" s="4">
        <f t="shared" si="5"/>
        <v>64</v>
      </c>
    </row>
    <row r="27" spans="1:8" ht="33.75" customHeight="1">
      <c r="A27" s="1">
        <v>4</v>
      </c>
      <c r="B27" s="9" t="s">
        <v>18</v>
      </c>
      <c r="C27" s="1">
        <v>205</v>
      </c>
      <c r="D27" s="1">
        <v>269</v>
      </c>
      <c r="E27" s="1">
        <v>2024</v>
      </c>
      <c r="F27" s="5" t="s">
        <v>15</v>
      </c>
      <c r="G27" s="3">
        <f t="shared" si="4"/>
        <v>0</v>
      </c>
      <c r="H27" s="4">
        <f t="shared" si="5"/>
        <v>64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196</v>
      </c>
      <c r="D31" s="1">
        <v>231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35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196</v>
      </c>
      <c r="D35" s="1">
        <v>231</v>
      </c>
      <c r="E35" s="1">
        <v>2025</v>
      </c>
      <c r="F35" s="5" t="s">
        <v>15</v>
      </c>
      <c r="G35" s="3">
        <f t="shared" si="6"/>
        <v>0</v>
      </c>
      <c r="H35" s="4">
        <f t="shared" si="7"/>
        <v>35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196</v>
      </c>
      <c r="D37" s="1">
        <v>231</v>
      </c>
      <c r="E37" s="1">
        <v>2025</v>
      </c>
      <c r="F37" s="5" t="s">
        <v>15</v>
      </c>
      <c r="G37" s="3">
        <f t="shared" si="6"/>
        <v>0</v>
      </c>
      <c r="H37" s="4">
        <f t="shared" si="7"/>
        <v>35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38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8" t="s">
        <v>61</v>
      </c>
      <c r="B3" s="39" t="s">
        <v>62</v>
      </c>
      <c r="C3" s="32"/>
      <c r="D3" s="33">
        <f>Table1[[#This Row],[Enrolment S.Y. 2025-2026 ]]*8</f>
        <v>0</v>
      </c>
      <c r="E3" s="33">
        <v>229</v>
      </c>
      <c r="F3" s="32">
        <v>2025</v>
      </c>
      <c r="G3" s="33" t="s">
        <v>63</v>
      </c>
      <c r="H3" s="33">
        <f>IF((D3-E3)&lt;0,0,(D3-E3))</f>
        <v>0</v>
      </c>
      <c r="I3" s="33">
        <f>IF((E3-D3)&lt;0,0,(E3-D3))</f>
        <v>229</v>
      </c>
      <c r="J3" s="33">
        <f>Table1[[#This Row],[Enrolment S.Y. 2025-2026 ]]*8</f>
        <v>0</v>
      </c>
      <c r="K3" s="33"/>
      <c r="L3" s="32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2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2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5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4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6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6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2026-03-06T08:26:15Z</dcterms:modified>
  <cp:category/>
  <cp:contentStatus/>
</cp:coreProperties>
</file>