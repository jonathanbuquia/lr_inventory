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6" documentId="13_ncr:1_{BFB59F67-F0DC-4675-A682-EB0734A8026A}" xr6:coauthVersionLast="47" xr6:coauthVersionMax="47" xr10:uidLastSave="{8BD8EFDD-EC7C-471E-92D7-7C8F7FAABC1A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<sst xmlns="http://schemas.openxmlformats.org/spreadsheetml/2006/main" count="399" uniqueCount="93">
  <si>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</si>
  <si>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</si>
  <si>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</si>
  <si>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</si>
  <si>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</si>
  <si>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</si>
  <si>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</si>
  <si>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</si>
  <si>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</si>
  <si>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</si>
  <si>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</si>
  <si>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</si>
  <si>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</si>
  <si>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</si>
  <si>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</si>
  <si>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</si>
  <si>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</si>
  <si>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</si>
  <si>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</si>
  <si>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</si>
  <si>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</si>
  <si>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</si>
  <si>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</si>
  <si>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</si>
  <si>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</si>
  <si>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</si>
  <si>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</si>
  <si>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</si>
  <si>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</si>
  <si>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</si>
  <si>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</si>
  <si>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</si>
  <si>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</si>
  <si>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</si>
  <si>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</si>
  <si>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</si>
  <si>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</si>
  <si>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</si>
  <si>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</si>
  <si>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</si>
  <si>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</si>
  <si>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</si>
  <si>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</si>
  <si>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</si>
  <si>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</si>
  <si>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</si>
  <si>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</si>
  <si>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</si>
  <si>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</si>
  <si>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</si>
  <si>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</si>
  <si>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</si>
  <si>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</si>
  <si>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</si>
  <si>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</si>
  <si>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</si>
  <si>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</si>
  <si>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</si>
  <si>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</si>
  <si>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</si>
  <si>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</si>
  <si>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</si>
  <si>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Kinder Activity Sheets</t>
  </si>
  <si>
    <t>SDO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</si>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</sst>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1"/>
      <color theme="1"/>
      <name val="Bookman Old Style"/>
      <charset val="134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6" activePane="topRight" state="frozen"/>
      <selection pane="topRight" activeCell="C31" sqref="C31:H3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205</v>
      </c>
      <c r="D21" s="1">
        <v>269</v>
      </c>
      <c r="E21" s="1">
        <v>2024</v>
      </c>
      <c r="F21" s="5" t="s">
        <v>15</v>
      </c>
      <c r="G21" s="3">
        <f t="shared" ref="G21:G29" si="4">IF((C21-D21)&lt;0,0,C21-D21)</f>
        <v>0</v>
      </c>
      <c r="H21" s="4">
        <f t="shared" ref="H21:H29" si="5">IF((D21-C21)&lt;0,0,D21-C21)</f>
        <v>64</v>
      </c>
    </row>
    <row r="22" spans="1:8" ht="24" customHeight="1">
      <c r="A22" s="1">
        <v>4</v>
      </c>
      <c r="B22" s="9" t="s">
        <v>16</v>
      </c>
      <c r="C22" s="1">
        <v>205</v>
      </c>
      <c r="D22" s="1">
        <v>269</v>
      </c>
      <c r="E22" s="1">
        <v>2024</v>
      </c>
      <c r="F22" s="5" t="s">
        <v>15</v>
      </c>
      <c r="G22" s="3">
        <f t="shared" si="4"/>
        <v>0</v>
      </c>
      <c r="H22" s="4">
        <f t="shared" si="5"/>
        <v>64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205</v>
      </c>
      <c r="D24" s="1">
        <v>269</v>
      </c>
      <c r="E24" s="1">
        <v>2025</v>
      </c>
      <c r="F24" s="5" t="s">
        <v>15</v>
      </c>
      <c r="G24" s="3">
        <f t="shared" si="4"/>
        <v>0</v>
      </c>
      <c r="H24" s="4">
        <f t="shared" si="5"/>
        <v>64</v>
      </c>
    </row>
    <row r="25" spans="1:8" ht="33.75" customHeight="1">
      <c r="A25" s="1">
        <v>4</v>
      </c>
      <c r="B25" s="9" t="s">
        <v>17</v>
      </c>
      <c r="C25" s="1">
        <v>205</v>
      </c>
      <c r="D25" s="1">
        <v>269</v>
      </c>
      <c r="E25" s="1">
        <v>2024</v>
      </c>
      <c r="F25" s="5" t="s">
        <v>15</v>
      </c>
      <c r="G25" s="3">
        <f t="shared" si="4"/>
        <v>0</v>
      </c>
      <c r="H25" s="4">
        <f t="shared" si="5"/>
        <v>64</v>
      </c>
    </row>
    <row r="26" spans="1:8" ht="33.75" customHeight="1">
      <c r="A26" s="1">
        <v>4</v>
      </c>
      <c r="B26" s="9" t="s">
        <v>13</v>
      </c>
      <c r="C26" s="1">
        <v>205</v>
      </c>
      <c r="D26" s="1">
        <v>269</v>
      </c>
      <c r="E26" s="1">
        <v>2024</v>
      </c>
      <c r="F26" s="5" t="s">
        <v>15</v>
      </c>
      <c r="G26" s="3">
        <f t="shared" si="4"/>
        <v>0</v>
      </c>
      <c r="H26" s="4">
        <f t="shared" si="5"/>
        <v>64</v>
      </c>
    </row>
    <row r="27" spans="1:8" ht="33.75" customHeight="1">
      <c r="A27" s="1">
        <v>4</v>
      </c>
      <c r="B27" s="9" t="s">
        <v>18</v>
      </c>
      <c r="C27" s="1">
        <v>205</v>
      </c>
      <c r="D27" s="1">
        <v>269</v>
      </c>
      <c r="E27" s="1">
        <v>2024</v>
      </c>
      <c r="F27" s="5" t="s">
        <v>15</v>
      </c>
      <c r="G27" s="3">
        <f t="shared" si="4"/>
        <v>0</v>
      </c>
      <c r="H27" s="4">
        <f t="shared" si="5"/>
        <v>64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196</v>
      </c>
      <c r="D31" s="1">
        <v>231</v>
      </c>
      <c r="E31" s="1">
        <v>2025</v>
      </c>
      <c r="F31" s="5" t="s">
        <v>15</v>
      </c>
      <c r="G31" s="3">
        <f t="shared" ref="G31:G39" si="6">IF((C31-D31)&lt;0,0,C31-D31)</f>
        <v>0</v>
      </c>
      <c r="H31" s="4">
        <f t="shared" ref="H31:H39" si="7">IF((D31-C31)&lt;0,0,D31-C31)</f>
        <v>35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196</v>
      </c>
      <c r="D35" s="1">
        <v>231</v>
      </c>
      <c r="E35" s="1">
        <v>2025</v>
      </c>
      <c r="F35" s="5" t="s">
        <v>15</v>
      </c>
      <c r="G35" s="3">
        <f t="shared" si="6"/>
        <v>0</v>
      </c>
      <c r="H35" s="4">
        <f t="shared" si="7"/>
        <v>35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196</v>
      </c>
      <c r="D37" s="1">
        <v>231</v>
      </c>
      <c r="E37" s="1">
        <v>2025</v>
      </c>
      <c r="F37" s="5" t="s">
        <v>15</v>
      </c>
      <c r="G37" s="3">
        <f t="shared" si="6"/>
        <v>0</v>
      </c>
      <c r="H37" s="4">
        <f t="shared" si="7"/>
        <v>35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28" zoomScale="70" zoomScaleNormal="70" workbookViewId="0">
      <selection activeCell="B6" sqref="B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8" t="s">
        <v>61</v>
      </c>
      <c r="B3" s="39" t="s">
        <v>62</v>
      </c>
      <c r="C3" s="32"/>
      <c r="D3" s="33">
        <f>Table1[[#This Row],[Enrolment S.Y. 2025-2026 ]]*8</f>
        <v>0</v>
      </c>
      <c r="E3" s="33">
        <v>229</v>
      </c>
      <c r="F3" s="32">
        <v>2025</v>
      </c>
      <c r="G3" s="33" t="s">
        <v>63</v>
      </c>
      <c r="H3" s="33">
        <f>IF((D3-E3)&lt;0,0,(D3-E3))</f>
        <v>0</v>
      </c>
      <c r="I3" s="33">
        <f>IF((E3-D3)&lt;0,0,(E3-D3))</f>
        <v>229</v>
      </c>
      <c r="J3" s="33">
        <f>Table1[[#This Row],[Enrolment S.Y. 2025-2026 ]]*8</f>
        <v>0</v>
      </c>
      <c r="K3" s="33"/>
      <c r="L3" s="32"/>
      <c r="M3" s="33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3"/>
      <c r="R3" s="32"/>
      <c r="S3" s="33"/>
      <c r="T3" s="33">
        <f>IF((P3-Q3)&lt;0,0,(P3-Q3))</f>
        <v>0</v>
      </c>
      <c r="U3" s="33">
        <f>IF((Q3-P3)&lt;0,0,(Q3-P3))</f>
        <v>0</v>
      </c>
      <c r="V3" s="33">
        <f>Table1[[#This Row],[Enrolment S.Y. 2025-2026 ]]*8</f>
        <v>0</v>
      </c>
      <c r="W3" s="33"/>
      <c r="X3" s="32"/>
      <c r="Y3" s="33"/>
      <c r="Z3" s="33">
        <f>IF((V3-W3)&lt;0,0,(V3-W3))</f>
        <v>0</v>
      </c>
      <c r="AA3" s="33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64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64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64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30" zoomScale="55" zoomScaleNormal="55" workbookViewId="0">
      <selection activeCell="C40" sqref="C4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4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5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64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64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64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6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6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6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6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6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6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7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7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7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7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7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7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7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7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CURRICULUM IMPLEMENTATION DIVISION</cp:lastModifiedBy>
  <cp:revision/>
  <dcterms:created xsi:type="dcterms:W3CDTF">2025-11-19T20:48:15Z</dcterms:created>
  <dcterms:modified xsi:type="dcterms:W3CDTF">2026-01-21T17:10:36Z</dcterms:modified>
  <cp:category/>
  <cp:contentStatus/>
</cp:coreProperties>
</file>