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4" documentId="13_ncr:1_{BFB59F67-F0DC-4675-A682-EB0734A8026A}" xr6:coauthVersionLast="47" xr6:coauthVersionMax="47" xr10:uidLastSave="{BBE2E01B-2C4D-4D52-B343-F33FFC43077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51" i="1"/>
  <c r="G51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<sst xmlns="http://schemas.openxmlformats.org/spreadsheetml/2006/main" count="248" uniqueCount="85">
  <si>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</si>
  <si>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</si>
  <si>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</si>
  <si>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</si>
  <si>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</si>
  <si>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</si>
  <si>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</si>
  <si>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</si>
  <si>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</si>
  <si>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</si>
  <si>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CO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</si>
  <si>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</si>
  <si>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</si>
  <si>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</si>
  <si>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</si>
  <si>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</si>
  <si>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</si>
  <si>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</si>
  <si>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</si>
  <si>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</si>
  <si>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</si>
  <si>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</si>
  <si>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</si>
  <si>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</si>
  <si>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</si>
  <si>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</si>
  <si>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</si>
  <si>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</si>
  <si>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&amp; Life Science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</si>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</sst>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7"/>
  <sheetViews>
    <sheetView zoomScale="85" zoomScaleNormal="85" workbookViewId="0">
      <pane xSplit="3" topLeftCell="D1" activePane="topRight" state="frozen"/>
      <selection pane="topRight" activeCell="G99" sqref="G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72.85546875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165</v>
      </c>
      <c r="D2" s="8"/>
      <c r="E2" s="8"/>
      <c r="F2" s="10"/>
      <c r="G2" s="2">
        <f t="shared" ref="G2:G10" si="0">IF((C2-D2)&lt;0,0,C2-D2)</f>
        <v>165</v>
      </c>
      <c r="H2" s="3">
        <f t="shared" ref="H2:H9" si="1">IF((D2-C2)&lt;0,0,D2-C2)</f>
        <v>0</v>
      </c>
    </row>
    <row r="3" spans="1:8" ht="29.25" customHeight="1">
      <c r="A3" s="8">
        <v>7</v>
      </c>
      <c r="B3" s="9" t="s">
        <v>9</v>
      </c>
      <c r="C3" s="8">
        <v>165</v>
      </c>
      <c r="D3" s="8">
        <v>167</v>
      </c>
      <c r="E3" s="8">
        <v>2024</v>
      </c>
      <c r="F3" s="10" t="s">
        <v>10</v>
      </c>
      <c r="G3" s="2">
        <f t="shared" si="0"/>
        <v>0</v>
      </c>
      <c r="H3" s="3">
        <f t="shared" si="1"/>
        <v>2</v>
      </c>
    </row>
    <row r="4" spans="1:8" ht="21" customHeight="1">
      <c r="A4" s="8">
        <v>7</v>
      </c>
      <c r="B4" s="9" t="s">
        <v>11</v>
      </c>
      <c r="C4" s="8">
        <v>165</v>
      </c>
      <c r="D4" s="8">
        <v>167</v>
      </c>
      <c r="E4" s="8">
        <v>2024</v>
      </c>
      <c r="F4" s="10" t="s">
        <v>10</v>
      </c>
      <c r="G4" s="2">
        <f t="shared" si="0"/>
        <v>0</v>
      </c>
      <c r="H4" s="3">
        <f t="shared" si="1"/>
        <v>2</v>
      </c>
    </row>
    <row r="5" spans="1:8" ht="25.5" customHeight="1">
      <c r="A5" s="8">
        <v>7</v>
      </c>
      <c r="B5" s="9" t="s">
        <v>12</v>
      </c>
      <c r="C5" s="8">
        <v>165</v>
      </c>
      <c r="D5" s="8"/>
      <c r="E5" s="8"/>
      <c r="F5" s="10"/>
      <c r="G5" s="2">
        <f t="shared" si="0"/>
        <v>165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165</v>
      </c>
      <c r="D6" s="8">
        <v>167</v>
      </c>
      <c r="E6" s="8">
        <v>2024</v>
      </c>
      <c r="F6" s="10" t="s">
        <v>10</v>
      </c>
      <c r="G6" s="2">
        <f t="shared" si="0"/>
        <v>0</v>
      </c>
      <c r="H6" s="3">
        <f t="shared" si="1"/>
        <v>2</v>
      </c>
    </row>
    <row r="7" spans="1:8" ht="19.5">
      <c r="A7" s="8">
        <v>7</v>
      </c>
      <c r="B7" s="9" t="s">
        <v>14</v>
      </c>
      <c r="C7" s="8">
        <v>165</v>
      </c>
      <c r="D7" s="8">
        <v>167</v>
      </c>
      <c r="E7" s="8">
        <v>2024</v>
      </c>
      <c r="F7" s="10" t="s">
        <v>10</v>
      </c>
      <c r="G7" s="2">
        <f t="shared" si="0"/>
        <v>0</v>
      </c>
      <c r="H7" s="3">
        <f t="shared" si="1"/>
        <v>2</v>
      </c>
    </row>
    <row r="8" spans="1:8" ht="39.75" customHeight="1">
      <c r="A8" s="8">
        <v>7</v>
      </c>
      <c r="B8" s="9" t="s">
        <v>15</v>
      </c>
      <c r="C8" s="8">
        <v>165</v>
      </c>
      <c r="D8" s="8">
        <v>167</v>
      </c>
      <c r="E8" s="8">
        <v>2024</v>
      </c>
      <c r="F8" s="10" t="s">
        <v>10</v>
      </c>
      <c r="G8" s="2">
        <f t="shared" si="0"/>
        <v>0</v>
      </c>
      <c r="H8" s="3">
        <f t="shared" si="1"/>
        <v>2</v>
      </c>
    </row>
    <row r="9" spans="1:8" ht="29.25" customHeight="1">
      <c r="A9" s="8">
        <v>7</v>
      </c>
      <c r="B9" s="9" t="s">
        <v>16</v>
      </c>
      <c r="C9" s="8">
        <v>165</v>
      </c>
      <c r="D9" s="8"/>
      <c r="E9" s="8"/>
      <c r="F9" s="10"/>
      <c r="G9" s="2">
        <f t="shared" si="0"/>
        <v>165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165</v>
      </c>
      <c r="D10" s="8">
        <v>167</v>
      </c>
      <c r="E10" s="8">
        <v>2025</v>
      </c>
      <c r="F10" s="10" t="s">
        <v>10</v>
      </c>
      <c r="G10" s="2">
        <f t="shared" si="0"/>
        <v>0</v>
      </c>
      <c r="H10" s="3"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195</v>
      </c>
      <c r="D12" s="8"/>
      <c r="E12" s="8"/>
      <c r="F12" s="10"/>
      <c r="G12" s="2">
        <f t="shared" ref="G12:G20" si="2">IF((C12-D12)&lt;0,0,C12-D12)</f>
        <v>195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195</v>
      </c>
      <c r="D13" s="8"/>
      <c r="E13" s="8"/>
      <c r="F13" s="10"/>
      <c r="G13" s="2">
        <f t="shared" si="2"/>
        <v>195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195</v>
      </c>
      <c r="D14" s="8">
        <v>116</v>
      </c>
      <c r="E14" s="8">
        <v>2025</v>
      </c>
      <c r="F14" s="10" t="s">
        <v>10</v>
      </c>
      <c r="G14" s="2">
        <f t="shared" si="2"/>
        <v>79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195</v>
      </c>
      <c r="D15" s="8">
        <v>116</v>
      </c>
      <c r="E15" s="8">
        <v>2025</v>
      </c>
      <c r="F15" s="10" t="s">
        <v>10</v>
      </c>
      <c r="G15" s="2">
        <f t="shared" si="2"/>
        <v>79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195</v>
      </c>
      <c r="D16" s="8"/>
      <c r="E16" s="8"/>
      <c r="F16" s="10"/>
      <c r="G16" s="2">
        <f t="shared" si="2"/>
        <v>195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195</v>
      </c>
      <c r="D17" s="8"/>
      <c r="E17" s="8"/>
      <c r="F17" s="10"/>
      <c r="G17" s="2">
        <f t="shared" si="2"/>
        <v>195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195</v>
      </c>
      <c r="D18" s="8"/>
      <c r="E18" s="8"/>
      <c r="F18" s="10"/>
      <c r="G18" s="2">
        <f t="shared" si="2"/>
        <v>195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195</v>
      </c>
      <c r="D19" s="8"/>
      <c r="E19" s="8"/>
      <c r="F19" s="10"/>
      <c r="G19" s="2">
        <f t="shared" si="2"/>
        <v>195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195</v>
      </c>
      <c r="D20" s="8"/>
      <c r="E20" s="8"/>
      <c r="F20" s="10"/>
      <c r="G20" s="2">
        <f t="shared" si="2"/>
        <v>195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177</v>
      </c>
      <c r="D22" s="8"/>
      <c r="E22" s="8"/>
      <c r="F22" s="10"/>
      <c r="G22" s="2">
        <f t="shared" ref="G22:G30" si="4">IF((C22-D22)&lt;0,0,C22-D22)</f>
        <v>177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177</v>
      </c>
      <c r="D23" s="8"/>
      <c r="E23" s="8"/>
      <c r="F23" s="10"/>
      <c r="G23" s="2">
        <f t="shared" si="4"/>
        <v>177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177</v>
      </c>
      <c r="D24" s="8"/>
      <c r="E24" s="8"/>
      <c r="F24" s="10"/>
      <c r="G24" s="2">
        <f t="shared" si="4"/>
        <v>177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177</v>
      </c>
      <c r="D25" s="8"/>
      <c r="E25" s="8"/>
      <c r="F25" s="10"/>
      <c r="G25" s="2">
        <f t="shared" si="4"/>
        <v>177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177</v>
      </c>
      <c r="D26" s="8"/>
      <c r="E26" s="8"/>
      <c r="F26" s="10"/>
      <c r="G26" s="2">
        <f t="shared" si="4"/>
        <v>177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177</v>
      </c>
      <c r="D27" s="8"/>
      <c r="E27" s="8"/>
      <c r="F27" s="10"/>
      <c r="G27" s="2">
        <f t="shared" si="4"/>
        <v>177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177</v>
      </c>
      <c r="D28" s="8"/>
      <c r="E28" s="8"/>
      <c r="F28" s="10"/>
      <c r="G28" s="2">
        <f t="shared" si="4"/>
        <v>177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177</v>
      </c>
      <c r="D29" s="8"/>
      <c r="E29" s="8"/>
      <c r="F29" s="10"/>
      <c r="G29" s="2">
        <f t="shared" si="4"/>
        <v>177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177</v>
      </c>
      <c r="D30" s="8"/>
      <c r="E30" s="8"/>
      <c r="F30" s="10"/>
      <c r="G30" s="2">
        <f t="shared" si="4"/>
        <v>177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160</v>
      </c>
      <c r="D32" s="8"/>
      <c r="E32" s="8"/>
      <c r="F32" s="10"/>
      <c r="G32" s="2">
        <f t="shared" ref="G32:G40" si="6">IF((C32-D32)&lt;0,0,C32-D32)</f>
        <v>160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160</v>
      </c>
      <c r="D33" s="8"/>
      <c r="E33" s="8"/>
      <c r="F33" s="10"/>
      <c r="G33" s="2">
        <f t="shared" si="6"/>
        <v>160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160</v>
      </c>
      <c r="D34" s="8"/>
      <c r="E34" s="8"/>
      <c r="F34" s="10"/>
      <c r="G34" s="2">
        <f t="shared" si="6"/>
        <v>160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160</v>
      </c>
      <c r="D35" s="8"/>
      <c r="E35" s="8"/>
      <c r="F35" s="10"/>
      <c r="G35" s="2">
        <f t="shared" si="6"/>
        <v>160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160</v>
      </c>
      <c r="D36" s="8"/>
      <c r="E36" s="8"/>
      <c r="F36" s="10"/>
      <c r="G36" s="2">
        <f t="shared" si="6"/>
        <v>160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160</v>
      </c>
      <c r="D37" s="8"/>
      <c r="E37" s="8"/>
      <c r="F37" s="10"/>
      <c r="G37" s="2">
        <f t="shared" si="6"/>
        <v>160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160</v>
      </c>
      <c r="D38" s="8"/>
      <c r="E38" s="8"/>
      <c r="F38" s="10"/>
      <c r="G38" s="2">
        <f t="shared" si="6"/>
        <v>160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160</v>
      </c>
      <c r="D39" s="8"/>
      <c r="E39" s="8"/>
      <c r="F39" s="10"/>
      <c r="G39" s="2">
        <f t="shared" si="6"/>
        <v>160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160</v>
      </c>
      <c r="D40" s="8"/>
      <c r="E40" s="8"/>
      <c r="F40" s="10"/>
      <c r="G40" s="2">
        <f t="shared" si="6"/>
        <v>160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>
        <v>88</v>
      </c>
      <c r="E42" s="1">
        <v>2024</v>
      </c>
      <c r="F42" s="4" t="s">
        <v>10</v>
      </c>
      <c r="G42" s="2">
        <f t="shared" ref="G42:G51" si="8">IF((C42-D42)&lt;0,0,C42-D42)</f>
        <v>0</v>
      </c>
      <c r="H42" s="3">
        <f t="shared" ref="H42:H51" si="9">IF((D42-C42)&lt;0,0,D42-C42)</f>
        <v>88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ref="G49" si="10">IF((C49-D49)&lt;0,0,C49-D49)</f>
        <v>0</v>
      </c>
      <c r="H49" s="3">
        <f t="shared" ref="H49" si="11">IF((D49-C49)&lt;0,0,D49-C49)</f>
        <v>0</v>
      </c>
    </row>
    <row r="50" spans="1:8" ht="27.75" customHeight="1">
      <c r="A50" s="1" t="s">
        <v>19</v>
      </c>
      <c r="B50" s="7" t="s">
        <v>28</v>
      </c>
      <c r="C50" s="1"/>
      <c r="D50" s="1">
        <v>88</v>
      </c>
      <c r="E50" s="1">
        <v>2024</v>
      </c>
      <c r="F50" s="4" t="s">
        <v>10</v>
      </c>
      <c r="G50" s="2"/>
      <c r="H50" s="3"/>
    </row>
    <row r="51" spans="1:8" ht="27.75" customHeight="1">
      <c r="A51" s="1" t="s">
        <v>19</v>
      </c>
      <c r="B51" s="7" t="s">
        <v>27</v>
      </c>
      <c r="C51" s="1"/>
      <c r="D51" s="1"/>
      <c r="E51" s="1"/>
      <c r="F51" s="4"/>
      <c r="G51" s="2">
        <f t="shared" si="8"/>
        <v>0</v>
      </c>
      <c r="H51" s="3">
        <f t="shared" si="9"/>
        <v>0</v>
      </c>
    </row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  <row r="100" ht="15"/>
    <row r="101" ht="15"/>
    <row r="102" ht="15"/>
    <row r="103" ht="15"/>
    <row r="104" ht="15"/>
    <row r="105" ht="15"/>
    <row r="106" ht="15"/>
    <row r="107" ht="15"/>
    <row r="108" ht="15"/>
    <row r="109" ht="15"/>
    <row r="110" ht="15"/>
    <row r="111" ht="15"/>
    <row r="112" ht="15"/>
    <row r="113" ht="15"/>
    <row r="114" ht="15"/>
    <row r="115" ht="15"/>
    <row r="116" ht="15"/>
    <row r="117" ht="15"/>
  </sheetData>
  <protectedRanges>
    <protectedRange sqref="C1:E51" name="Textbooks"/>
    <protectedRange sqref="F1:F51" name="SOURCE"/>
  </protectedRanges>
  <phoneticPr fontId="8" type="noConversion"/>
  <dataValidations count="2">
    <dataValidation type="list" allowBlank="1" showInputMessage="1" showErrorMessage="1" sqref="E32:E40 E22:E30 E12:E20 E2:E10 E42:E51" xr:uid="{B46E7B13-721E-4D49-837E-C02BF9777D48}">
      <formula1>"2024,2025,2026"</formula1>
    </dataValidation>
    <dataValidation type="list" allowBlank="1" showInputMessage="1" showErrorMessage="1" sqref="F2:F10 F12:F20 F22:F30 F32:F40 F42:F5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5" zoomScale="70" zoomScaleNormal="70" workbookViewId="0">
      <selection activeCell="AC74" sqref="AC7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0" t="s">
        <v>42</v>
      </c>
      <c r="N2" s="30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1" t="s">
        <v>54</v>
      </c>
      <c r="Z2" s="31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43:F50 F33:F41 F23:F31 F13:F21 F3:F11 L43:L50 L33:L41 L23:L31 L13:L21 L3:L11 R43:R50 R33:R41 R23:R31 R13:R21 R3:R11 X43:X50 X33:X41 X23:X31 X13:X21 X3:X11" xr:uid="{77E08A90-3FB1-40DF-950B-5A694E5666C9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60" zoomScale="55" zoomScaleNormal="55" workbookViewId="0">
      <selection activeCell="A59" sqref="A59:AA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29</v>
      </c>
      <c r="E1" s="32"/>
      <c r="F1" s="32"/>
      <c r="G1" s="32"/>
      <c r="H1" s="32"/>
      <c r="I1" s="32"/>
      <c r="J1" s="33" t="s">
        <v>30</v>
      </c>
      <c r="K1" s="33"/>
      <c r="L1" s="33"/>
      <c r="M1" s="33"/>
      <c r="N1" s="33"/>
      <c r="O1" s="33"/>
      <c r="P1" s="34" t="s">
        <v>31</v>
      </c>
      <c r="Q1" s="34"/>
      <c r="R1" s="34"/>
      <c r="S1" s="34"/>
      <c r="T1" s="34"/>
      <c r="U1" s="34"/>
      <c r="V1" s="35" t="s">
        <v>32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0" t="s">
        <v>66</v>
      </c>
      <c r="N2" s="30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1" t="s">
        <v>78</v>
      </c>
      <c r="Z2" s="31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15:F25 F3:F13 F51:F58 F39:F49 F27:F37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2026-04-13T02:54:49Z</dcterms:modified>
  <cp:category/>
  <cp:contentStatus/>
</cp:coreProperties>
</file>