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30" documentId="13_ncr:1_{BFB59F67-F0DC-4675-A682-EB0734A8026A}" xr6:coauthVersionLast="47" xr6:coauthVersionMax="47" xr10:uidLastSave="{FD3D25F0-90FD-46D4-A555-AE441FAADEB8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O3" i="4"/>
  <c r="N3" i="4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<sst xmlns="http://schemas.openxmlformats.org/spreadsheetml/2006/main" count="387" uniqueCount="90">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</sst>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2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20" activePane="topRight" state="frozen"/>
      <selection pane="topRight" activeCell="C31" sqref="C31:H3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146</v>
      </c>
      <c r="D2" s="1">
        <v>210</v>
      </c>
      <c r="E2" s="1">
        <v>2024</v>
      </c>
      <c r="F2" s="5"/>
      <c r="G2" s="3">
        <f>IF((C2-D2)&lt;0,0,C2-D2)</f>
        <v>0</v>
      </c>
      <c r="H2" s="4">
        <f>IF((D2-C2)&lt;0,0,D2-C2)</f>
        <v>64</v>
      </c>
    </row>
    <row r="3" spans="1:8" ht="29.25" customHeight="1">
      <c r="A3" s="1">
        <v>1</v>
      </c>
      <c r="B3" s="2" t="s">
        <v>9</v>
      </c>
      <c r="C3" s="1">
        <v>146</v>
      </c>
      <c r="D3" s="1">
        <v>210</v>
      </c>
      <c r="E3" s="1">
        <v>2024</v>
      </c>
      <c r="F3" s="5"/>
      <c r="G3" s="3">
        <f>IF((C3-D3)&lt;0,0,C3-D3)</f>
        <v>0</v>
      </c>
      <c r="H3" s="4">
        <f>IF((D3-C3)&lt;0,0,D3-C3)</f>
        <v>64</v>
      </c>
    </row>
    <row r="4" spans="1:8" ht="21" customHeight="1">
      <c r="A4" s="1">
        <v>1</v>
      </c>
      <c r="B4" s="2" t="s">
        <v>10</v>
      </c>
      <c r="C4" s="1">
        <v>146</v>
      </c>
      <c r="D4" s="1">
        <v>210</v>
      </c>
      <c r="E4" s="1">
        <v>2024</v>
      </c>
      <c r="F4" s="5"/>
      <c r="G4" s="3">
        <f>IF((C4-D4)&lt;0,0,C4-D4)</f>
        <v>0</v>
      </c>
      <c r="H4" s="4">
        <f>IF((D4-C4)&lt;0,0,D4-C4)</f>
        <v>64</v>
      </c>
    </row>
    <row r="5" spans="1:8" ht="25.5" customHeight="1">
      <c r="A5" s="1">
        <v>1</v>
      </c>
      <c r="B5" s="2" t="s">
        <v>11</v>
      </c>
      <c r="C5" s="1">
        <v>146</v>
      </c>
      <c r="D5" s="1">
        <v>207</v>
      </c>
      <c r="E5" s="1">
        <v>2024</v>
      </c>
      <c r="F5" s="5"/>
      <c r="G5" s="3">
        <f t="shared" ref="G5:G6" si="0">IF((C5-D5)&lt;0,0,C5-D5)</f>
        <v>0</v>
      </c>
      <c r="H5" s="4">
        <f t="shared" ref="H5:H6" si="1">IF((D5-C5)&lt;0,0,D5-C5)</f>
        <v>61</v>
      </c>
    </row>
    <row r="6" spans="1:8" ht="19.5">
      <c r="A6" s="1">
        <v>1</v>
      </c>
      <c r="B6" s="2" t="s">
        <v>12</v>
      </c>
      <c r="C6" s="1">
        <v>146</v>
      </c>
      <c r="D6" s="1">
        <v>0</v>
      </c>
      <c r="E6" s="1"/>
      <c r="F6" s="5"/>
      <c r="G6" s="3">
        <f t="shared" si="0"/>
        <v>146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162</v>
      </c>
      <c r="D8" s="1">
        <v>0</v>
      </c>
      <c r="E8" s="1"/>
      <c r="F8" s="5"/>
      <c r="G8" s="3">
        <f>IF((C8-D8)&lt;0,0,C8-D8)</f>
        <v>162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162</v>
      </c>
      <c r="D9" s="1">
        <v>0</v>
      </c>
      <c r="E9" s="1"/>
      <c r="F9" s="5"/>
      <c r="G9" s="3">
        <f>IF((C9-D9)&lt;0,0,C9-D9)</f>
        <v>162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162</v>
      </c>
      <c r="D10" s="1">
        <v>0</v>
      </c>
      <c r="E10" s="1"/>
      <c r="F10" s="5"/>
      <c r="G10" s="3">
        <f>IF((C10-D10)&lt;0,0,C10-D10)</f>
        <v>162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162</v>
      </c>
      <c r="D11" s="1">
        <v>0</v>
      </c>
      <c r="E11" s="1"/>
      <c r="F11" s="5"/>
      <c r="G11" s="3">
        <f>IF((C11-D11)&lt;0,0,C11-D11)</f>
        <v>162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162</v>
      </c>
      <c r="D12" s="1">
        <v>0</v>
      </c>
      <c r="E12" s="1"/>
      <c r="F12" s="5"/>
      <c r="G12" s="3">
        <f>IF((C12-D12)&lt;0,0,C12-D12)</f>
        <v>162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179</v>
      </c>
      <c r="D14" s="1">
        <v>0</v>
      </c>
      <c r="E14" s="1"/>
      <c r="F14" s="5"/>
      <c r="G14" s="3">
        <f t="shared" ref="G14:G19" si="2">IF((C14-D14)&lt;0,0,C14-D14)</f>
        <v>179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179</v>
      </c>
      <c r="D15" s="1">
        <v>0</v>
      </c>
      <c r="E15" s="1"/>
      <c r="F15" s="5"/>
      <c r="G15" s="3">
        <f t="shared" si="2"/>
        <v>179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179</v>
      </c>
      <c r="D16" s="1">
        <v>0</v>
      </c>
      <c r="E16" s="1"/>
      <c r="F16" s="5"/>
      <c r="G16" s="3">
        <f t="shared" si="2"/>
        <v>179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179</v>
      </c>
      <c r="D17" s="1">
        <v>0</v>
      </c>
      <c r="E17" s="1"/>
      <c r="F17" s="5"/>
      <c r="G17" s="3">
        <f t="shared" si="2"/>
        <v>179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179</v>
      </c>
      <c r="D18" s="1">
        <v>0</v>
      </c>
      <c r="E18" s="1"/>
      <c r="F18" s="5"/>
      <c r="G18" s="3">
        <f t="shared" si="2"/>
        <v>179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179</v>
      </c>
      <c r="D19" s="1">
        <v>0</v>
      </c>
      <c r="E19" s="1"/>
      <c r="F19" s="5"/>
      <c r="G19" s="3">
        <f t="shared" si="2"/>
        <v>179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186</v>
      </c>
      <c r="D21" s="1">
        <v>198</v>
      </c>
      <c r="E21" s="1">
        <v>2024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12</v>
      </c>
    </row>
    <row r="22" spans="1:8" ht="24" customHeight="1">
      <c r="A22" s="1">
        <v>4</v>
      </c>
      <c r="B22" s="9" t="s">
        <v>15</v>
      </c>
      <c r="C22" s="1">
        <v>186</v>
      </c>
      <c r="D22" s="1">
        <v>198</v>
      </c>
      <c r="E22" s="1">
        <v>2024</v>
      </c>
      <c r="F22" s="5"/>
      <c r="G22" s="3">
        <f t="shared" si="4"/>
        <v>0</v>
      </c>
      <c r="H22" s="4">
        <f t="shared" si="5"/>
        <v>12</v>
      </c>
    </row>
    <row r="23" spans="1:8" ht="19.5">
      <c r="A23" s="1">
        <v>4</v>
      </c>
      <c r="B23" s="9" t="s">
        <v>12</v>
      </c>
      <c r="C23" s="1">
        <v>186</v>
      </c>
      <c r="D23" s="1">
        <v>198</v>
      </c>
      <c r="E23" s="1">
        <v>2024</v>
      </c>
      <c r="F23" s="5"/>
      <c r="G23" s="3">
        <f t="shared" si="4"/>
        <v>0</v>
      </c>
      <c r="H23" s="4">
        <f t="shared" si="5"/>
        <v>12</v>
      </c>
    </row>
    <row r="24" spans="1:8" ht="27" customHeight="1">
      <c r="A24" s="1">
        <v>4</v>
      </c>
      <c r="B24" s="9" t="s">
        <v>10</v>
      </c>
      <c r="C24" s="1">
        <v>186</v>
      </c>
      <c r="D24" s="1">
        <v>198</v>
      </c>
      <c r="E24" s="1">
        <v>2024</v>
      </c>
      <c r="F24" s="5"/>
      <c r="G24" s="3">
        <f t="shared" si="4"/>
        <v>0</v>
      </c>
      <c r="H24" s="4">
        <f t="shared" si="5"/>
        <v>12</v>
      </c>
    </row>
    <row r="25" spans="1:8" ht="33.75" customHeight="1">
      <c r="A25" s="1">
        <v>4</v>
      </c>
      <c r="B25" s="9" t="s">
        <v>16</v>
      </c>
      <c r="C25" s="1">
        <v>186</v>
      </c>
      <c r="D25" s="1">
        <v>198</v>
      </c>
      <c r="E25" s="1">
        <v>2024</v>
      </c>
      <c r="F25" s="5"/>
      <c r="G25" s="3">
        <f t="shared" si="4"/>
        <v>0</v>
      </c>
      <c r="H25" s="4">
        <f t="shared" si="5"/>
        <v>12</v>
      </c>
    </row>
    <row r="26" spans="1:8" ht="33.75" customHeight="1">
      <c r="A26" s="1">
        <v>4</v>
      </c>
      <c r="B26" s="9" t="s">
        <v>13</v>
      </c>
      <c r="C26" s="1">
        <v>186</v>
      </c>
      <c r="D26" s="1">
        <v>198</v>
      </c>
      <c r="E26" s="1">
        <v>2024</v>
      </c>
      <c r="F26" s="5"/>
      <c r="G26" s="3">
        <f t="shared" si="4"/>
        <v>0</v>
      </c>
      <c r="H26" s="4">
        <f t="shared" si="5"/>
        <v>12</v>
      </c>
    </row>
    <row r="27" spans="1:8" ht="33.75" customHeight="1">
      <c r="A27" s="1">
        <v>4</v>
      </c>
      <c r="B27" s="9" t="s">
        <v>17</v>
      </c>
      <c r="C27" s="1">
        <v>186</v>
      </c>
      <c r="D27" s="1">
        <v>198</v>
      </c>
      <c r="E27" s="1">
        <v>2024</v>
      </c>
      <c r="F27" s="5"/>
      <c r="G27" s="3">
        <f t="shared" si="4"/>
        <v>0</v>
      </c>
      <c r="H27" s="4">
        <f t="shared" si="5"/>
        <v>12</v>
      </c>
    </row>
    <row r="28" spans="1:8" ht="27.75" customHeight="1">
      <c r="A28" s="1">
        <v>4</v>
      </c>
      <c r="B28" s="9" t="s">
        <v>18</v>
      </c>
      <c r="C28" s="1">
        <v>186</v>
      </c>
      <c r="D28" s="1">
        <v>0</v>
      </c>
      <c r="E28" s="1">
        <v>2024</v>
      </c>
      <c r="F28" s="5"/>
      <c r="G28" s="3">
        <f t="shared" si="4"/>
        <v>186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186</v>
      </c>
      <c r="D29" s="1">
        <v>0</v>
      </c>
      <c r="E29" s="1"/>
      <c r="F29" s="5"/>
      <c r="G29" s="3">
        <f t="shared" si="4"/>
        <v>186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178</v>
      </c>
      <c r="D31" s="1">
        <v>0</v>
      </c>
      <c r="E31" s="1"/>
      <c r="F31" s="5"/>
      <c r="G31" s="3">
        <f t="shared" ref="G31:G39" si="6">IF((C31-D31)&lt;0,0,C31-D31)</f>
        <v>178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178</v>
      </c>
      <c r="D32" s="1">
        <v>0</v>
      </c>
      <c r="E32" s="1"/>
      <c r="F32" s="5"/>
      <c r="G32" s="3">
        <f t="shared" si="6"/>
        <v>178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178</v>
      </c>
      <c r="D33" s="1">
        <v>0</v>
      </c>
      <c r="E33" s="1"/>
      <c r="F33" s="5"/>
      <c r="G33" s="3">
        <f t="shared" si="6"/>
        <v>178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178</v>
      </c>
      <c r="D34" s="1">
        <v>0</v>
      </c>
      <c r="E34" s="1"/>
      <c r="F34" s="5"/>
      <c r="G34" s="3">
        <f t="shared" si="6"/>
        <v>178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178</v>
      </c>
      <c r="D35" s="1">
        <v>0</v>
      </c>
      <c r="E35" s="1"/>
      <c r="F35" s="5"/>
      <c r="G35" s="3">
        <f t="shared" si="6"/>
        <v>178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178</v>
      </c>
      <c r="D36" s="1">
        <v>0</v>
      </c>
      <c r="E36" s="1"/>
      <c r="F36" s="5"/>
      <c r="G36" s="3">
        <f t="shared" si="6"/>
        <v>178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178</v>
      </c>
      <c r="D37" s="1">
        <v>0</v>
      </c>
      <c r="E37" s="1"/>
      <c r="F37" s="5"/>
      <c r="G37" s="3">
        <f t="shared" si="6"/>
        <v>178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178</v>
      </c>
      <c r="D38" s="1">
        <v>0</v>
      </c>
      <c r="E38" s="1"/>
      <c r="F38" s="5"/>
      <c r="G38" s="3">
        <f t="shared" si="6"/>
        <v>178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178</v>
      </c>
      <c r="D39" s="1">
        <v>0</v>
      </c>
      <c r="E39" s="1"/>
      <c r="F39" s="5"/>
      <c r="G39" s="3">
        <f t="shared" si="6"/>
        <v>178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141</v>
      </c>
      <c r="D41" s="1">
        <v>0</v>
      </c>
      <c r="E41" s="1"/>
      <c r="F41" s="5"/>
      <c r="G41" s="3">
        <f t="shared" ref="G41:G49" si="8">IF((C41-D41)&lt;0,0,C41-D41)</f>
        <v>141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141</v>
      </c>
      <c r="D42" s="1">
        <v>0</v>
      </c>
      <c r="E42" s="1"/>
      <c r="F42" s="5"/>
      <c r="G42" s="3">
        <f t="shared" si="8"/>
        <v>141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141</v>
      </c>
      <c r="D43" s="1">
        <v>0</v>
      </c>
      <c r="E43" s="1"/>
      <c r="F43" s="5"/>
      <c r="G43" s="3">
        <f t="shared" si="8"/>
        <v>141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141</v>
      </c>
      <c r="D44" s="1">
        <v>0</v>
      </c>
      <c r="E44" s="1"/>
      <c r="F44" s="5"/>
      <c r="G44" s="3">
        <f t="shared" si="8"/>
        <v>141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141</v>
      </c>
      <c r="D45" s="1">
        <v>0</v>
      </c>
      <c r="E45" s="1"/>
      <c r="F45" s="5"/>
      <c r="G45" s="3">
        <f t="shared" si="8"/>
        <v>141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141</v>
      </c>
      <c r="D46" s="1">
        <v>0</v>
      </c>
      <c r="E46" s="1"/>
      <c r="F46" s="5"/>
      <c r="G46" s="3">
        <f t="shared" si="8"/>
        <v>141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141</v>
      </c>
      <c r="D47" s="1">
        <v>0</v>
      </c>
      <c r="E47" s="1"/>
      <c r="F47" s="5"/>
      <c r="G47" s="3">
        <f t="shared" si="8"/>
        <v>141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141</v>
      </c>
      <c r="D48" s="1">
        <v>0</v>
      </c>
      <c r="E48" s="1"/>
      <c r="F48" s="5"/>
      <c r="G48" s="3">
        <f t="shared" si="8"/>
        <v>141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141</v>
      </c>
      <c r="D49" s="1">
        <v>0</v>
      </c>
      <c r="E49" s="1"/>
      <c r="F49" s="5"/>
      <c r="G49" s="3">
        <f t="shared" si="8"/>
        <v>141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57"/>
  <sheetViews>
    <sheetView zoomScale="70" zoomScaleNormal="70" workbookViewId="0">
      <selection activeCell="C7" sqref="C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4" t="s">
        <v>32</v>
      </c>
      <c r="E1" s="44"/>
      <c r="F1" s="44"/>
      <c r="G1" s="44"/>
      <c r="H1" s="44"/>
      <c r="I1" s="44"/>
      <c r="J1" s="45" t="s">
        <v>33</v>
      </c>
      <c r="K1" s="45"/>
      <c r="L1" s="45"/>
      <c r="M1" s="45"/>
      <c r="N1" s="45"/>
      <c r="O1" s="45"/>
      <c r="P1" s="46" t="s">
        <v>34</v>
      </c>
      <c r="Q1" s="46"/>
      <c r="R1" s="46"/>
      <c r="S1" s="46"/>
      <c r="T1" s="46"/>
      <c r="U1" s="46"/>
      <c r="V1" s="47" t="s">
        <v>35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2" t="s">
        <v>45</v>
      </c>
      <c r="N2" s="42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3" t="s">
        <v>57</v>
      </c>
      <c r="Z2" s="43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5">
      <c r="A5" s="1">
        <v>1</v>
      </c>
      <c r="B5" s="40"/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pageSetup paperSize="5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9" zoomScale="55" zoomScaleNormal="55" workbookViewId="0">
      <selection activeCell="D24" sqref="D2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4" t="s">
        <v>32</v>
      </c>
      <c r="E1" s="44"/>
      <c r="F1" s="44"/>
      <c r="G1" s="44"/>
      <c r="H1" s="44"/>
      <c r="I1" s="44"/>
      <c r="J1" s="45" t="s">
        <v>33</v>
      </c>
      <c r="K1" s="45"/>
      <c r="L1" s="45"/>
      <c r="M1" s="45"/>
      <c r="N1" s="45"/>
      <c r="O1" s="45"/>
      <c r="P1" s="46" t="s">
        <v>34</v>
      </c>
      <c r="Q1" s="46"/>
      <c r="R1" s="46"/>
      <c r="S1" s="46"/>
      <c r="T1" s="46"/>
      <c r="U1" s="46"/>
      <c r="V1" s="47" t="s">
        <v>35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2" t="s">
        <v>71</v>
      </c>
      <c r="N2" s="42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3" t="s">
        <v>83</v>
      </c>
      <c r="Z2" s="43" t="s">
        <v>84</v>
      </c>
      <c r="AA2" s="26" t="s">
        <v>85</v>
      </c>
    </row>
    <row r="3" spans="1:27" ht="19.5">
      <c r="A3" s="1">
        <v>1</v>
      </c>
      <c r="B3" s="41" t="s">
        <v>8</v>
      </c>
      <c r="C3" s="1">
        <v>146</v>
      </c>
      <c r="D3" s="5">
        <f>Table14[[#This Row],[Enrolment S.Y. 2025-2026 ]]*8</f>
        <v>1168</v>
      </c>
      <c r="E3" s="5"/>
      <c r="F3" s="1"/>
      <c r="G3" s="5"/>
      <c r="H3" s="5">
        <f t="shared" ref="H3:H83" si="0">IF((D3-E3)&lt;0,0,(D3-E3))</f>
        <v>1168</v>
      </c>
      <c r="I3" s="5">
        <f t="shared" ref="I3:I83" si="1">IF((E3-D3)&lt;0,0,(E3-D3))</f>
        <v>0</v>
      </c>
      <c r="J3" s="5">
        <f>Table14[[#This Row],[Enrolment S.Y. 2025-2026 ]]*8</f>
        <v>1168</v>
      </c>
      <c r="K3" s="5"/>
      <c r="L3" s="1"/>
      <c r="M3" s="5"/>
      <c r="N3" s="5">
        <f t="shared" ref="N3:N72" si="2">IF((J3-K3)&lt;0,0,(J3-K3))</f>
        <v>1168</v>
      </c>
      <c r="O3" s="5">
        <f t="shared" ref="O3:O72" si="3">IF((K3-J3)&lt;0,0,(K3-J3))</f>
        <v>0</v>
      </c>
      <c r="P3" s="5">
        <f>Table14[[#This Row],[Enrolment S.Y. 2025-2026 ]]*8</f>
        <v>1168</v>
      </c>
      <c r="Q3" s="5"/>
      <c r="R3" s="1"/>
      <c r="S3" s="5"/>
      <c r="T3" s="5">
        <f t="shared" ref="T3:T72" si="4">IF((P3-Q3)&lt;0,0,(P3-Q3))</f>
        <v>1168</v>
      </c>
      <c r="U3" s="5">
        <f t="shared" ref="U3:U72" si="5">IF((Q3-P3)&lt;0,0,(Q3-P3))</f>
        <v>0</v>
      </c>
      <c r="V3" s="5">
        <f>Table14[[#This Row],[Enrolment S.Y. 2025-2026 ]]*8</f>
        <v>1168</v>
      </c>
      <c r="W3" s="5"/>
      <c r="X3" s="1"/>
      <c r="Y3" s="5"/>
      <c r="Z3" s="5">
        <f t="shared" ref="Z3:Z72" si="6">IF((V3-W3)&lt;0,0,(V3-W3))</f>
        <v>1168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146</v>
      </c>
      <c r="D4" s="5">
        <f>Table14[[#This Row],[Enrolment S.Y. 2025-2026 ]]*8</f>
        <v>1168</v>
      </c>
      <c r="E4" s="5"/>
      <c r="F4" s="1"/>
      <c r="G4" s="5"/>
      <c r="H4" s="5">
        <f t="shared" si="0"/>
        <v>1168</v>
      </c>
      <c r="I4" s="5">
        <f t="shared" si="1"/>
        <v>0</v>
      </c>
      <c r="J4" s="5">
        <f>Table14[[#This Row],[Enrolment S.Y. 2025-2026 ]]*8</f>
        <v>1168</v>
      </c>
      <c r="K4" s="5"/>
      <c r="L4" s="1"/>
      <c r="M4" s="5"/>
      <c r="N4" s="5">
        <f t="shared" si="2"/>
        <v>1168</v>
      </c>
      <c r="O4" s="5">
        <f t="shared" si="3"/>
        <v>0</v>
      </c>
      <c r="P4" s="5">
        <f>Table14[[#This Row],[Enrolment S.Y. 2025-2026 ]]*8</f>
        <v>1168</v>
      </c>
      <c r="Q4" s="5"/>
      <c r="R4" s="1"/>
      <c r="S4" s="5"/>
      <c r="T4" s="5">
        <f t="shared" si="4"/>
        <v>1168</v>
      </c>
      <c r="U4" s="5">
        <f t="shared" si="5"/>
        <v>0</v>
      </c>
      <c r="V4" s="5">
        <f>Table14[[#This Row],[Enrolment S.Y. 2025-2026 ]]*8</f>
        <v>1168</v>
      </c>
      <c r="W4" s="5"/>
      <c r="X4" s="1"/>
      <c r="Y4" s="5"/>
      <c r="Z4" s="5">
        <f t="shared" si="6"/>
        <v>1168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146</v>
      </c>
      <c r="D5" s="5">
        <f>Table14[[#This Row],[Enrolment S.Y. 2025-2026 ]]*8</f>
        <v>1168</v>
      </c>
      <c r="E5" s="5"/>
      <c r="F5" s="1"/>
      <c r="G5" s="5"/>
      <c r="H5" s="5">
        <f t="shared" si="0"/>
        <v>1168</v>
      </c>
      <c r="I5" s="5">
        <f t="shared" si="1"/>
        <v>0</v>
      </c>
      <c r="J5" s="5">
        <f>Table14[[#This Row],[Enrolment S.Y. 2025-2026 ]]*8</f>
        <v>1168</v>
      </c>
      <c r="K5" s="5"/>
      <c r="L5" s="1"/>
      <c r="M5" s="5"/>
      <c r="N5" s="5">
        <f t="shared" si="2"/>
        <v>1168</v>
      </c>
      <c r="O5" s="5">
        <f t="shared" si="3"/>
        <v>0</v>
      </c>
      <c r="P5" s="5">
        <f>Table14[[#This Row],[Enrolment S.Y. 2025-2026 ]]*8</f>
        <v>1168</v>
      </c>
      <c r="Q5" s="5"/>
      <c r="R5" s="1"/>
      <c r="S5" s="5"/>
      <c r="T5" s="5">
        <f t="shared" si="4"/>
        <v>1168</v>
      </c>
      <c r="U5" s="5">
        <f t="shared" si="5"/>
        <v>0</v>
      </c>
      <c r="V5" s="5">
        <f>Table14[[#This Row],[Enrolment S.Y. 2025-2026 ]]*8</f>
        <v>1168</v>
      </c>
      <c r="W5" s="5"/>
      <c r="X5" s="1"/>
      <c r="Y5" s="5"/>
      <c r="Z5" s="5">
        <f t="shared" si="6"/>
        <v>1168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146</v>
      </c>
      <c r="D6" s="5">
        <f>Table14[[#This Row],[Enrolment S.Y. 2025-2026 ]]*8</f>
        <v>1168</v>
      </c>
      <c r="E6" s="5"/>
      <c r="F6" s="1"/>
      <c r="G6" s="5"/>
      <c r="H6" s="5">
        <f t="shared" si="0"/>
        <v>1168</v>
      </c>
      <c r="I6" s="5">
        <f t="shared" si="1"/>
        <v>0</v>
      </c>
      <c r="J6" s="5">
        <f>Table14[[#This Row],[Enrolment S.Y. 2025-2026 ]]*8</f>
        <v>1168</v>
      </c>
      <c r="K6" s="5"/>
      <c r="L6" s="1"/>
      <c r="M6" s="5"/>
      <c r="N6" s="5">
        <f t="shared" si="2"/>
        <v>1168</v>
      </c>
      <c r="O6" s="5">
        <f t="shared" si="3"/>
        <v>0</v>
      </c>
      <c r="P6" s="5">
        <f>Table14[[#This Row],[Enrolment S.Y. 2025-2026 ]]*8</f>
        <v>1168</v>
      </c>
      <c r="Q6" s="5"/>
      <c r="R6" s="1"/>
      <c r="S6" s="5"/>
      <c r="T6" s="5">
        <f t="shared" si="4"/>
        <v>1168</v>
      </c>
      <c r="U6" s="5">
        <f t="shared" si="5"/>
        <v>0</v>
      </c>
      <c r="V6" s="5">
        <f>Table14[[#This Row],[Enrolment S.Y. 2025-2026 ]]*8</f>
        <v>1168</v>
      </c>
      <c r="W6" s="5"/>
      <c r="X6" s="1"/>
      <c r="Y6" s="5"/>
      <c r="Z6" s="5">
        <f t="shared" si="6"/>
        <v>1168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146</v>
      </c>
      <c r="D7" s="5">
        <f>Table14[[#This Row],[Enrolment S.Y. 2025-2026 ]]*8</f>
        <v>1168</v>
      </c>
      <c r="E7" s="5"/>
      <c r="F7" s="1"/>
      <c r="G7" s="5"/>
      <c r="H7" s="5">
        <f t="shared" si="0"/>
        <v>1168</v>
      </c>
      <c r="I7" s="5">
        <f t="shared" si="1"/>
        <v>0</v>
      </c>
      <c r="J7" s="5">
        <f>Table14[[#This Row],[Enrolment S.Y. 2025-2026 ]]*8</f>
        <v>1168</v>
      </c>
      <c r="K7" s="5"/>
      <c r="L7" s="1"/>
      <c r="M7" s="5"/>
      <c r="N7" s="5">
        <f t="shared" si="2"/>
        <v>1168</v>
      </c>
      <c r="O7" s="5">
        <f t="shared" si="3"/>
        <v>0</v>
      </c>
      <c r="P7" s="5">
        <f>Table14[[#This Row],[Enrolment S.Y. 2025-2026 ]]*8</f>
        <v>1168</v>
      </c>
      <c r="Q7" s="5"/>
      <c r="R7" s="1"/>
      <c r="S7" s="5"/>
      <c r="T7" s="5">
        <f t="shared" si="4"/>
        <v>1168</v>
      </c>
      <c r="U7" s="5">
        <f t="shared" si="5"/>
        <v>0</v>
      </c>
      <c r="V7" s="5">
        <f>Table14[[#This Row],[Enrolment S.Y. 2025-2026 ]]*8</f>
        <v>1168</v>
      </c>
      <c r="W7" s="5"/>
      <c r="X7" s="1"/>
      <c r="Y7" s="5"/>
      <c r="Z7" s="5">
        <f t="shared" si="6"/>
        <v>1168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146</v>
      </c>
      <c r="D8" s="5">
        <f>Table14[[#This Row],[Enrolment S.Y. 2025-2026 ]]*8</f>
        <v>1168</v>
      </c>
      <c r="E8" s="5"/>
      <c r="F8" s="1"/>
      <c r="G8" s="5"/>
      <c r="H8" s="5">
        <f>IF((D8-E8)&lt;0,0,(D8-E8))</f>
        <v>1168</v>
      </c>
      <c r="I8" s="5">
        <f>IF((E8-D8)&lt;0,0,(E8-D8))</f>
        <v>0</v>
      </c>
      <c r="J8" s="5">
        <f>Table14[[#This Row],[Enrolment S.Y. 2025-2026 ]]*8</f>
        <v>1168</v>
      </c>
      <c r="K8" s="5"/>
      <c r="L8" s="1"/>
      <c r="M8" s="5"/>
      <c r="N8" s="5">
        <f t="shared" si="2"/>
        <v>1168</v>
      </c>
      <c r="O8" s="5">
        <f t="shared" si="3"/>
        <v>0</v>
      </c>
      <c r="P8" s="5">
        <f>Table14[[#This Row],[Enrolment S.Y. 2025-2026 ]]*8</f>
        <v>1168</v>
      </c>
      <c r="Q8" s="5"/>
      <c r="R8" s="1"/>
      <c r="S8" s="5"/>
      <c r="T8" s="5">
        <f t="shared" si="4"/>
        <v>1168</v>
      </c>
      <c r="U8" s="5">
        <f t="shared" si="5"/>
        <v>0</v>
      </c>
      <c r="V8" s="5">
        <f>Table14[[#This Row],[Enrolment S.Y. 2025-2026 ]]*8</f>
        <v>1168</v>
      </c>
      <c r="W8" s="5"/>
      <c r="X8" s="1"/>
      <c r="Y8" s="5"/>
      <c r="Z8" s="5">
        <f t="shared" si="6"/>
        <v>1168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146</v>
      </c>
      <c r="D9" s="5">
        <f>Table14[[#This Row],[Enrolment S.Y. 2025-2026 ]]*8</f>
        <v>1168</v>
      </c>
      <c r="E9" s="5"/>
      <c r="F9" s="1"/>
      <c r="G9" s="5"/>
      <c r="H9" s="5">
        <f>IF((D9-E9)&lt;0,0,(D9-E9))</f>
        <v>1168</v>
      </c>
      <c r="I9" s="5">
        <f>IF((E9-D9)&lt;0,0,(E9-D9))</f>
        <v>0</v>
      </c>
      <c r="J9" s="5">
        <f>Table14[[#This Row],[Enrolment S.Y. 2025-2026 ]]*8</f>
        <v>1168</v>
      </c>
      <c r="K9" s="5"/>
      <c r="L9" s="1"/>
      <c r="M9" s="5"/>
      <c r="N9" s="5">
        <f t="shared" si="2"/>
        <v>1168</v>
      </c>
      <c r="O9" s="5">
        <f t="shared" si="3"/>
        <v>0</v>
      </c>
      <c r="P9" s="5">
        <f>Table14[[#This Row],[Enrolment S.Y. 2025-2026 ]]*8</f>
        <v>1168</v>
      </c>
      <c r="Q9" s="5"/>
      <c r="R9" s="1"/>
      <c r="S9" s="5"/>
      <c r="T9" s="5">
        <f t="shared" si="4"/>
        <v>1168</v>
      </c>
      <c r="U9" s="5">
        <f t="shared" si="5"/>
        <v>0</v>
      </c>
      <c r="V9" s="5">
        <f>Table14[[#This Row],[Enrolment S.Y. 2025-2026 ]]*8</f>
        <v>1168</v>
      </c>
      <c r="W9" s="5"/>
      <c r="X9" s="1"/>
      <c r="Y9" s="5"/>
      <c r="Z9" s="5">
        <f t="shared" si="6"/>
        <v>1168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>
        <v>146</v>
      </c>
      <c r="D10" s="5">
        <f>Table14[[#This Row],[Enrolment S.Y. 2025-2026 ]]*8</f>
        <v>1168</v>
      </c>
      <c r="E10" s="5"/>
      <c r="F10" s="1"/>
      <c r="G10" s="5"/>
      <c r="H10" s="5">
        <f>IF((D10-E10)&lt;0,0,(D10-E10))</f>
        <v>1168</v>
      </c>
      <c r="I10" s="5">
        <f>IF((E10-D10)&lt;0,0,(E10-D10))</f>
        <v>0</v>
      </c>
      <c r="J10" s="5">
        <f>Table14[[#This Row],[Enrolment S.Y. 2025-2026 ]]*8</f>
        <v>1168</v>
      </c>
      <c r="K10" s="5"/>
      <c r="L10" s="1"/>
      <c r="M10" s="5"/>
      <c r="N10" s="5">
        <f t="shared" si="2"/>
        <v>1168</v>
      </c>
      <c r="O10" s="5">
        <f t="shared" si="3"/>
        <v>0</v>
      </c>
      <c r="P10" s="5">
        <f>Table14[[#This Row],[Enrolment S.Y. 2025-2026 ]]*8</f>
        <v>1168</v>
      </c>
      <c r="Q10" s="5"/>
      <c r="R10" s="1"/>
      <c r="S10" s="5"/>
      <c r="T10" s="5">
        <f t="shared" si="4"/>
        <v>1168</v>
      </c>
      <c r="U10" s="5">
        <f t="shared" si="5"/>
        <v>0</v>
      </c>
      <c r="V10" s="5">
        <f>Table14[[#This Row],[Enrolment S.Y. 2025-2026 ]]*8</f>
        <v>1168</v>
      </c>
      <c r="W10" s="5"/>
      <c r="X10" s="1"/>
      <c r="Y10" s="5"/>
      <c r="Z10" s="5">
        <f t="shared" si="6"/>
        <v>1168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162</v>
      </c>
      <c r="D12" s="5">
        <f>Table14[[#This Row],[Enrolment S.Y. 2025-2026 ]]*8</f>
        <v>1296</v>
      </c>
      <c r="E12" s="5"/>
      <c r="F12" s="1"/>
      <c r="G12" s="5"/>
      <c r="H12" s="5">
        <f t="shared" si="0"/>
        <v>1296</v>
      </c>
      <c r="I12" s="5">
        <f t="shared" si="1"/>
        <v>0</v>
      </c>
      <c r="J12" s="5">
        <f>Table14[[#This Row],[Enrolment S.Y. 2025-2026 ]]*8</f>
        <v>1296</v>
      </c>
      <c r="K12" s="5"/>
      <c r="L12" s="1"/>
      <c r="M12" s="5"/>
      <c r="N12" s="5">
        <f t="shared" si="2"/>
        <v>1296</v>
      </c>
      <c r="O12" s="5">
        <f t="shared" si="3"/>
        <v>0</v>
      </c>
      <c r="P12" s="5">
        <f>Table14[[#This Row],[Enrolment S.Y. 2025-2026 ]]*8</f>
        <v>1296</v>
      </c>
      <c r="Q12" s="5"/>
      <c r="R12" s="1"/>
      <c r="S12" s="5"/>
      <c r="T12" s="5">
        <f t="shared" si="4"/>
        <v>1296</v>
      </c>
      <c r="U12" s="5">
        <f t="shared" si="5"/>
        <v>0</v>
      </c>
      <c r="V12" s="5">
        <f>Table14[[#This Row],[Enrolment S.Y. 2025-2026 ]]*8</f>
        <v>1296</v>
      </c>
      <c r="W12" s="5"/>
      <c r="X12" s="1"/>
      <c r="Y12" s="5"/>
      <c r="Z12" s="5">
        <f t="shared" si="6"/>
        <v>1296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162</v>
      </c>
      <c r="D13" s="5">
        <f>Table14[[#This Row],[Enrolment S.Y. 2025-2026 ]]*8</f>
        <v>1296</v>
      </c>
      <c r="E13" s="5"/>
      <c r="F13" s="1"/>
      <c r="G13" s="5"/>
      <c r="H13" s="5">
        <f t="shared" si="0"/>
        <v>1296</v>
      </c>
      <c r="I13" s="5">
        <f t="shared" si="1"/>
        <v>0</v>
      </c>
      <c r="J13" s="5">
        <f>Table14[[#This Row],[Enrolment S.Y. 2025-2026 ]]*8</f>
        <v>1296</v>
      </c>
      <c r="K13" s="5"/>
      <c r="L13" s="1"/>
      <c r="M13" s="5"/>
      <c r="N13" s="5">
        <f t="shared" si="2"/>
        <v>1296</v>
      </c>
      <c r="O13" s="5">
        <f t="shared" si="3"/>
        <v>0</v>
      </c>
      <c r="P13" s="5">
        <f>Table14[[#This Row],[Enrolment S.Y. 2025-2026 ]]*8</f>
        <v>1296</v>
      </c>
      <c r="Q13" s="5"/>
      <c r="R13" s="1"/>
      <c r="S13" s="5"/>
      <c r="T13" s="5">
        <f t="shared" si="4"/>
        <v>1296</v>
      </c>
      <c r="U13" s="5">
        <f t="shared" si="5"/>
        <v>0</v>
      </c>
      <c r="V13" s="5">
        <f>Table14[[#This Row],[Enrolment S.Y. 2025-2026 ]]*8</f>
        <v>1296</v>
      </c>
      <c r="W13" s="5"/>
      <c r="X13" s="1"/>
      <c r="Y13" s="5"/>
      <c r="Z13" s="5">
        <f t="shared" si="6"/>
        <v>1296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162</v>
      </c>
      <c r="D14" s="5">
        <f>Table14[[#This Row],[Enrolment S.Y. 2025-2026 ]]*8</f>
        <v>1296</v>
      </c>
      <c r="E14" s="5"/>
      <c r="F14" s="1"/>
      <c r="G14" s="5"/>
      <c r="H14" s="5">
        <f t="shared" si="0"/>
        <v>1296</v>
      </c>
      <c r="I14" s="5">
        <f t="shared" si="1"/>
        <v>0</v>
      </c>
      <c r="J14" s="5">
        <f>Table14[[#This Row],[Enrolment S.Y. 2025-2026 ]]*8</f>
        <v>1296</v>
      </c>
      <c r="K14" s="5"/>
      <c r="L14" s="1"/>
      <c r="M14" s="5"/>
      <c r="N14" s="5">
        <f t="shared" si="2"/>
        <v>1296</v>
      </c>
      <c r="O14" s="5">
        <f t="shared" si="3"/>
        <v>0</v>
      </c>
      <c r="P14" s="5">
        <f>Table14[[#This Row],[Enrolment S.Y. 2025-2026 ]]*8</f>
        <v>1296</v>
      </c>
      <c r="Q14" s="5"/>
      <c r="R14" s="1"/>
      <c r="S14" s="5"/>
      <c r="T14" s="5">
        <f t="shared" si="4"/>
        <v>1296</v>
      </c>
      <c r="U14" s="5">
        <f t="shared" si="5"/>
        <v>0</v>
      </c>
      <c r="V14" s="5">
        <f>Table14[[#This Row],[Enrolment S.Y. 2025-2026 ]]*8</f>
        <v>1296</v>
      </c>
      <c r="W14" s="5"/>
      <c r="X14" s="1"/>
      <c r="Y14" s="5"/>
      <c r="Z14" s="5">
        <f t="shared" si="6"/>
        <v>1296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162</v>
      </c>
      <c r="D15" s="5">
        <f>Table14[[#This Row],[Enrolment S.Y. 2025-2026 ]]*8</f>
        <v>1296</v>
      </c>
      <c r="E15" s="5"/>
      <c r="F15" s="1"/>
      <c r="G15" s="5"/>
      <c r="H15" s="5">
        <f t="shared" si="0"/>
        <v>1296</v>
      </c>
      <c r="I15" s="5">
        <f t="shared" si="1"/>
        <v>0</v>
      </c>
      <c r="J15" s="5">
        <f>Table14[[#This Row],[Enrolment S.Y. 2025-2026 ]]*8</f>
        <v>1296</v>
      </c>
      <c r="K15" s="5"/>
      <c r="L15" s="1"/>
      <c r="M15" s="5"/>
      <c r="N15" s="5">
        <f t="shared" si="2"/>
        <v>1296</v>
      </c>
      <c r="O15" s="5">
        <f t="shared" si="3"/>
        <v>0</v>
      </c>
      <c r="P15" s="5">
        <f>Table14[[#This Row],[Enrolment S.Y. 2025-2026 ]]*8</f>
        <v>1296</v>
      </c>
      <c r="Q15" s="5"/>
      <c r="R15" s="1"/>
      <c r="S15" s="5"/>
      <c r="T15" s="5">
        <f t="shared" si="4"/>
        <v>1296</v>
      </c>
      <c r="U15" s="5">
        <f t="shared" si="5"/>
        <v>0</v>
      </c>
      <c r="V15" s="5">
        <f>Table14[[#This Row],[Enrolment S.Y. 2025-2026 ]]*8</f>
        <v>1296</v>
      </c>
      <c r="W15" s="5"/>
      <c r="X15" s="1"/>
      <c r="Y15" s="5"/>
      <c r="Z15" s="5">
        <f t="shared" si="6"/>
        <v>1296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162</v>
      </c>
      <c r="D16" s="5">
        <f>Table14[[#This Row],[Enrolment S.Y. 2025-2026 ]]*8</f>
        <v>1296</v>
      </c>
      <c r="E16" s="5"/>
      <c r="F16" s="1"/>
      <c r="G16" s="5"/>
      <c r="H16" s="5">
        <f t="shared" si="0"/>
        <v>1296</v>
      </c>
      <c r="I16" s="5">
        <f t="shared" si="1"/>
        <v>0</v>
      </c>
      <c r="J16" s="5">
        <f>Table14[[#This Row],[Enrolment S.Y. 2025-2026 ]]*8</f>
        <v>1296</v>
      </c>
      <c r="K16" s="5"/>
      <c r="L16" s="1"/>
      <c r="M16" s="5"/>
      <c r="N16" s="5">
        <f t="shared" si="2"/>
        <v>1296</v>
      </c>
      <c r="O16" s="5">
        <f t="shared" si="3"/>
        <v>0</v>
      </c>
      <c r="P16" s="5">
        <f>Table14[[#This Row],[Enrolment S.Y. 2025-2026 ]]*8</f>
        <v>1296</v>
      </c>
      <c r="Q16" s="5"/>
      <c r="R16" s="1"/>
      <c r="S16" s="5"/>
      <c r="T16" s="5">
        <f t="shared" si="4"/>
        <v>1296</v>
      </c>
      <c r="U16" s="5">
        <f t="shared" si="5"/>
        <v>0</v>
      </c>
      <c r="V16" s="5">
        <f>Table14[[#This Row],[Enrolment S.Y. 2025-2026 ]]*8</f>
        <v>1296</v>
      </c>
      <c r="W16" s="5"/>
      <c r="X16" s="1"/>
      <c r="Y16" s="5"/>
      <c r="Z16" s="5">
        <f t="shared" si="6"/>
        <v>1296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162</v>
      </c>
      <c r="D17" s="5">
        <f>Table14[[#This Row],[Enrolment S.Y. 2025-2026 ]]*8</f>
        <v>1296</v>
      </c>
      <c r="E17" s="5"/>
      <c r="F17" s="1"/>
      <c r="G17" s="5"/>
      <c r="H17" s="5">
        <f>IF((D17-E17)&lt;0,0,(D17-E17))</f>
        <v>1296</v>
      </c>
      <c r="I17" s="5">
        <f>IF((E17-D17)&lt;0,0,(E17-D17))</f>
        <v>0</v>
      </c>
      <c r="J17" s="5">
        <f>Table14[[#This Row],[Enrolment S.Y. 2025-2026 ]]*8</f>
        <v>1296</v>
      </c>
      <c r="K17" s="5"/>
      <c r="L17" s="1"/>
      <c r="M17" s="5"/>
      <c r="N17" s="5">
        <f t="shared" si="2"/>
        <v>1296</v>
      </c>
      <c r="O17" s="5">
        <f t="shared" si="3"/>
        <v>0</v>
      </c>
      <c r="P17" s="5">
        <f>Table14[[#This Row],[Enrolment S.Y. 2025-2026 ]]*8</f>
        <v>1296</v>
      </c>
      <c r="Q17" s="5"/>
      <c r="R17" s="1"/>
      <c r="S17" s="5"/>
      <c r="T17" s="5">
        <f t="shared" si="4"/>
        <v>1296</v>
      </c>
      <c r="U17" s="5">
        <f t="shared" si="5"/>
        <v>0</v>
      </c>
      <c r="V17" s="5">
        <f>Table14[[#This Row],[Enrolment S.Y. 2025-2026 ]]*8</f>
        <v>1296</v>
      </c>
      <c r="W17" s="5"/>
      <c r="X17" s="1"/>
      <c r="Y17" s="5"/>
      <c r="Z17" s="5">
        <f t="shared" si="6"/>
        <v>1296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162</v>
      </c>
      <c r="D18" s="5">
        <f>Table14[[#This Row],[Enrolment S.Y. 2025-2026 ]]*8</f>
        <v>1296</v>
      </c>
      <c r="E18" s="5"/>
      <c r="F18" s="1"/>
      <c r="G18" s="5"/>
      <c r="H18" s="5">
        <f>IF((D18-E18)&lt;0,0,(D18-E18))</f>
        <v>1296</v>
      </c>
      <c r="I18" s="5">
        <f>IF((E18-D18)&lt;0,0,(E18-D18))</f>
        <v>0</v>
      </c>
      <c r="J18" s="5">
        <f>Table14[[#This Row],[Enrolment S.Y. 2025-2026 ]]*8</f>
        <v>1296</v>
      </c>
      <c r="K18" s="5"/>
      <c r="L18" s="1"/>
      <c r="M18" s="5"/>
      <c r="N18" s="5">
        <f t="shared" si="2"/>
        <v>1296</v>
      </c>
      <c r="O18" s="5">
        <f t="shared" si="3"/>
        <v>0</v>
      </c>
      <c r="P18" s="5">
        <f>Table14[[#This Row],[Enrolment S.Y. 2025-2026 ]]*8</f>
        <v>1296</v>
      </c>
      <c r="Q18" s="5"/>
      <c r="R18" s="1"/>
      <c r="S18" s="5"/>
      <c r="T18" s="5">
        <f t="shared" si="4"/>
        <v>1296</v>
      </c>
      <c r="U18" s="5">
        <f t="shared" si="5"/>
        <v>0</v>
      </c>
      <c r="V18" s="5">
        <f>Table14[[#This Row],[Enrolment S.Y. 2025-2026 ]]*8</f>
        <v>1296</v>
      </c>
      <c r="W18" s="5"/>
      <c r="X18" s="1"/>
      <c r="Y18" s="5"/>
      <c r="Z18" s="5">
        <f t="shared" si="6"/>
        <v>1296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>
        <v>162</v>
      </c>
      <c r="D19" s="5">
        <f>Table14[[#This Row],[Enrolment S.Y. 2025-2026 ]]*8</f>
        <v>1296</v>
      </c>
      <c r="E19" s="5"/>
      <c r="F19" s="1"/>
      <c r="G19" s="5"/>
      <c r="H19" s="5">
        <f>IF((D19-E19)&lt;0,0,(D19-E19))</f>
        <v>1296</v>
      </c>
      <c r="I19" s="5">
        <f>IF((E19-D19)&lt;0,0,(E19-D19))</f>
        <v>0</v>
      </c>
      <c r="J19" s="5">
        <f>Table14[[#This Row],[Enrolment S.Y. 2025-2026 ]]*8</f>
        <v>1296</v>
      </c>
      <c r="K19" s="5"/>
      <c r="L19" s="1"/>
      <c r="M19" s="5"/>
      <c r="N19" s="5">
        <f t="shared" si="2"/>
        <v>1296</v>
      </c>
      <c r="O19" s="5">
        <f t="shared" si="3"/>
        <v>0</v>
      </c>
      <c r="P19" s="5">
        <f>Table14[[#This Row],[Enrolment S.Y. 2025-2026 ]]*8</f>
        <v>1296</v>
      </c>
      <c r="Q19" s="5"/>
      <c r="R19" s="1"/>
      <c r="S19" s="5"/>
      <c r="T19" s="5">
        <f t="shared" si="4"/>
        <v>1296</v>
      </c>
      <c r="U19" s="5">
        <f t="shared" si="5"/>
        <v>0</v>
      </c>
      <c r="V19" s="5">
        <f>Table14[[#This Row],[Enrolment S.Y. 2025-2026 ]]*8</f>
        <v>1296</v>
      </c>
      <c r="W19" s="5"/>
      <c r="X19" s="1"/>
      <c r="Y19" s="5"/>
      <c r="Z19" s="5">
        <f t="shared" si="6"/>
        <v>1296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CURRICULUM IMPLEMENTATION DIVISION</cp:lastModifiedBy>
  <cp:revision/>
  <dcterms:created xsi:type="dcterms:W3CDTF">2025-11-19T20:48:15Z</dcterms:created>
  <dcterms:modified xsi:type="dcterms:W3CDTF">2026-01-21T07:25:24Z</dcterms:modified>
  <cp:category/>
  <cp:contentStatus/>
</cp:coreProperties>
</file>