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2" documentId="13_ncr:1_{BFB59F67-F0DC-4675-A682-EB0734A8026A}" xr6:coauthVersionLast="47" xr6:coauthVersionMax="47" xr10:uidLastSave="{2832EFDB-087B-48F6-8E1C-CDAC7B9D5D91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<sst xmlns="http://schemas.openxmlformats.org/spreadsheetml/2006/main" count="407" uniqueCount="92">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</sst>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9" activePane="topRight" state="frozen"/>
      <selection pane="topRight" activeCell="D98" sqref="D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215</v>
      </c>
      <c r="D2" s="1">
        <v>263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48</v>
      </c>
    </row>
    <row r="3" spans="1:8" ht="29.25" customHeight="1">
      <c r="A3" s="1">
        <v>1</v>
      </c>
      <c r="B3" s="2" t="s">
        <v>10</v>
      </c>
      <c r="C3" s="1">
        <v>215</v>
      </c>
      <c r="D3" s="1"/>
      <c r="E3" s="1"/>
      <c r="F3" s="5"/>
      <c r="G3" s="3">
        <f>IF((C3-D3)&lt;0,0,C3-D3)</f>
        <v>215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215</v>
      </c>
      <c r="D4" s="1">
        <v>263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48</v>
      </c>
    </row>
    <row r="5" spans="1:8" ht="25.5" customHeight="1">
      <c r="A5" s="1">
        <v>1</v>
      </c>
      <c r="B5" s="2" t="s">
        <v>12</v>
      </c>
      <c r="C5" s="1">
        <v>215</v>
      </c>
      <c r="D5" s="1">
        <v>263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48</v>
      </c>
    </row>
    <row r="6" spans="1:8" ht="19.5">
      <c r="A6" s="1">
        <v>1</v>
      </c>
      <c r="B6" s="2" t="s">
        <v>13</v>
      </c>
      <c r="C6" s="1">
        <v>215</v>
      </c>
      <c r="D6" s="1"/>
      <c r="E6" s="1"/>
      <c r="F6" s="5"/>
      <c r="G6" s="3">
        <f t="shared" si="0"/>
        <v>215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231</v>
      </c>
      <c r="D8" s="1"/>
      <c r="E8" s="1"/>
      <c r="F8" s="5"/>
      <c r="G8" s="3">
        <f>IF((C8-D8)&lt;0,0,C8-D8)</f>
        <v>231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231</v>
      </c>
      <c r="D9" s="1"/>
      <c r="E9" s="1"/>
      <c r="F9" s="5"/>
      <c r="G9" s="3">
        <f>IF((C9-D9)&lt;0,0,C9-D9)</f>
        <v>231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231</v>
      </c>
      <c r="D10" s="1"/>
      <c r="E10" s="1"/>
      <c r="F10" s="5"/>
      <c r="G10" s="3">
        <f>IF((C10-D10)&lt;0,0,C10-D10)</f>
        <v>231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231</v>
      </c>
      <c r="D11" s="1"/>
      <c r="E11" s="1"/>
      <c r="F11" s="5"/>
      <c r="G11" s="3">
        <f>IF((C11-D11)&lt;0,0,C11-D11)</f>
        <v>231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231</v>
      </c>
      <c r="D12" s="1"/>
      <c r="E12" s="1"/>
      <c r="F12" s="5"/>
      <c r="G12" s="3">
        <f>IF((C12-D12)&lt;0,0,C12-D12)</f>
        <v>231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280</v>
      </c>
      <c r="D14" s="1"/>
      <c r="E14" s="1"/>
      <c r="F14" s="5"/>
      <c r="G14" s="3">
        <f t="shared" ref="G14:G19" si="2">IF((C14-D14)&lt;0,0,C14-D14)</f>
        <v>280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280</v>
      </c>
      <c r="D15" s="1"/>
      <c r="E15" s="1"/>
      <c r="F15" s="5"/>
      <c r="G15" s="3">
        <f t="shared" si="2"/>
        <v>280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280</v>
      </c>
      <c r="D16" s="1"/>
      <c r="E16" s="1"/>
      <c r="F16" s="5"/>
      <c r="G16" s="3">
        <f t="shared" si="2"/>
        <v>280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280</v>
      </c>
      <c r="D17" s="1"/>
      <c r="E17" s="1"/>
      <c r="F17" s="5"/>
      <c r="G17" s="3">
        <f t="shared" si="2"/>
        <v>280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280</v>
      </c>
      <c r="D18" s="1"/>
      <c r="E18" s="1"/>
      <c r="F18" s="5"/>
      <c r="G18" s="3">
        <f t="shared" si="2"/>
        <v>280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280</v>
      </c>
      <c r="D19" s="1"/>
      <c r="E19" s="1"/>
      <c r="F19" s="5"/>
      <c r="G19" s="3">
        <f t="shared" si="2"/>
        <v>280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220</v>
      </c>
      <c r="D21" s="1">
        <v>251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31</v>
      </c>
    </row>
    <row r="22" spans="1:8" ht="24" customHeight="1">
      <c r="A22" s="1">
        <v>4</v>
      </c>
      <c r="B22" s="9" t="s">
        <v>17</v>
      </c>
      <c r="C22" s="1">
        <v>220</v>
      </c>
      <c r="D22" s="1">
        <v>251</v>
      </c>
      <c r="E22" s="1">
        <v>2025</v>
      </c>
      <c r="F22" s="5" t="s">
        <v>16</v>
      </c>
      <c r="G22" s="3">
        <f t="shared" si="4"/>
        <v>0</v>
      </c>
      <c r="H22" s="4">
        <f t="shared" si="5"/>
        <v>31</v>
      </c>
    </row>
    <row r="23" spans="1:8" ht="19.5">
      <c r="A23" s="1">
        <v>4</v>
      </c>
      <c r="B23" s="9" t="s">
        <v>13</v>
      </c>
      <c r="C23" s="1">
        <v>220</v>
      </c>
      <c r="D23" s="1">
        <v>251</v>
      </c>
      <c r="E23" s="1">
        <v>2025</v>
      </c>
      <c r="F23" s="5" t="s">
        <v>16</v>
      </c>
      <c r="G23" s="3">
        <f t="shared" si="4"/>
        <v>0</v>
      </c>
      <c r="H23" s="4">
        <f t="shared" si="5"/>
        <v>31</v>
      </c>
    </row>
    <row r="24" spans="1:8" ht="27" customHeight="1">
      <c r="A24" s="1">
        <v>4</v>
      </c>
      <c r="B24" s="9" t="s">
        <v>11</v>
      </c>
      <c r="C24" s="1">
        <v>220</v>
      </c>
      <c r="D24" s="1">
        <v>251</v>
      </c>
      <c r="E24" s="1">
        <v>2025</v>
      </c>
      <c r="F24" s="5" t="s">
        <v>16</v>
      </c>
      <c r="G24" s="3">
        <f t="shared" si="4"/>
        <v>0</v>
      </c>
      <c r="H24" s="4">
        <f t="shared" si="5"/>
        <v>31</v>
      </c>
    </row>
    <row r="25" spans="1:8" ht="33.75" customHeight="1">
      <c r="A25" s="1">
        <v>4</v>
      </c>
      <c r="B25" s="9" t="s">
        <v>18</v>
      </c>
      <c r="C25" s="1">
        <v>220</v>
      </c>
      <c r="D25" s="1">
        <v>251</v>
      </c>
      <c r="E25" s="1">
        <v>2025</v>
      </c>
      <c r="F25" s="5" t="s">
        <v>16</v>
      </c>
      <c r="G25" s="3">
        <f t="shared" si="4"/>
        <v>0</v>
      </c>
      <c r="H25" s="4">
        <f t="shared" si="5"/>
        <v>31</v>
      </c>
    </row>
    <row r="26" spans="1:8" ht="33.75" customHeight="1">
      <c r="A26" s="1">
        <v>4</v>
      </c>
      <c r="B26" s="9" t="s">
        <v>14</v>
      </c>
      <c r="C26" s="1">
        <v>220</v>
      </c>
      <c r="D26" s="1">
        <v>251</v>
      </c>
      <c r="E26" s="1">
        <v>2025</v>
      </c>
      <c r="F26" s="5" t="s">
        <v>16</v>
      </c>
      <c r="G26" s="3">
        <f t="shared" si="4"/>
        <v>0</v>
      </c>
      <c r="H26" s="4">
        <f t="shared" si="5"/>
        <v>31</v>
      </c>
    </row>
    <row r="27" spans="1:8" ht="33.75" customHeight="1">
      <c r="A27" s="1">
        <v>4</v>
      </c>
      <c r="B27" s="9" t="s">
        <v>19</v>
      </c>
      <c r="C27" s="1">
        <v>220</v>
      </c>
      <c r="D27" s="1">
        <v>251</v>
      </c>
      <c r="E27" s="1">
        <v>2025</v>
      </c>
      <c r="F27" s="5" t="s">
        <v>16</v>
      </c>
      <c r="G27" s="3">
        <f t="shared" si="4"/>
        <v>0</v>
      </c>
      <c r="H27" s="4">
        <f t="shared" si="5"/>
        <v>31</v>
      </c>
    </row>
    <row r="28" spans="1:8" ht="27.75" customHeight="1">
      <c r="A28" s="1">
        <v>4</v>
      </c>
      <c r="B28" s="9" t="s">
        <v>20</v>
      </c>
      <c r="C28" s="1">
        <v>220</v>
      </c>
      <c r="D28" s="1"/>
      <c r="E28" s="1"/>
      <c r="F28" s="5"/>
      <c r="G28" s="3">
        <f t="shared" si="4"/>
        <v>220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220</v>
      </c>
      <c r="D29" s="1"/>
      <c r="E29" s="1"/>
      <c r="F29" s="5"/>
      <c r="G29" s="3">
        <f t="shared" si="4"/>
        <v>220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224</v>
      </c>
      <c r="D31" s="1"/>
      <c r="E31" s="1"/>
      <c r="F31" s="5"/>
      <c r="G31" s="3">
        <f t="shared" ref="G31:G39" si="6">IF((C31-D31)&lt;0,0,C31-D31)</f>
        <v>224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224</v>
      </c>
      <c r="D32" s="1"/>
      <c r="E32" s="1"/>
      <c r="F32" s="5"/>
      <c r="G32" s="3">
        <f t="shared" si="6"/>
        <v>224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224</v>
      </c>
      <c r="D33" s="1"/>
      <c r="E33" s="1"/>
      <c r="F33" s="5"/>
      <c r="G33" s="3">
        <f t="shared" si="6"/>
        <v>224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224</v>
      </c>
      <c r="D34" s="1"/>
      <c r="E34" s="1"/>
      <c r="F34" s="5"/>
      <c r="G34" s="3">
        <f t="shared" si="6"/>
        <v>224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224</v>
      </c>
      <c r="D35" s="1">
        <v>225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</v>
      </c>
    </row>
    <row r="36" spans="1:8" ht="27.75" customHeight="1">
      <c r="A36" s="1">
        <v>5</v>
      </c>
      <c r="B36" s="9" t="s">
        <v>14</v>
      </c>
      <c r="C36" s="1">
        <v>224</v>
      </c>
      <c r="D36" s="1"/>
      <c r="E36" s="1"/>
      <c r="F36" s="5"/>
      <c r="G36" s="3">
        <f t="shared" si="6"/>
        <v>224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224</v>
      </c>
      <c r="D37" s="1"/>
      <c r="E37" s="1"/>
      <c r="F37" s="5"/>
      <c r="G37" s="3">
        <f t="shared" si="6"/>
        <v>224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224</v>
      </c>
      <c r="D38" s="1"/>
      <c r="E38" s="1"/>
      <c r="F38" s="5"/>
      <c r="G38" s="3">
        <f t="shared" si="6"/>
        <v>224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224</v>
      </c>
      <c r="D39" s="1"/>
      <c r="E39" s="1"/>
      <c r="F39" s="5"/>
      <c r="G39" s="3">
        <f t="shared" si="6"/>
        <v>224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204</v>
      </c>
      <c r="D41" s="1"/>
      <c r="E41" s="1"/>
      <c r="F41" s="5"/>
      <c r="G41" s="3">
        <f t="shared" ref="G41:G49" si="8">IF((C41-D41)&lt;0,0,C41-D41)</f>
        <v>204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204</v>
      </c>
      <c r="D42" s="1"/>
      <c r="E42" s="1"/>
      <c r="F42" s="5"/>
      <c r="G42" s="3">
        <f t="shared" si="8"/>
        <v>204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204</v>
      </c>
      <c r="D43" s="1"/>
      <c r="E43" s="1"/>
      <c r="F43" s="5"/>
      <c r="G43" s="3">
        <f t="shared" si="8"/>
        <v>204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204</v>
      </c>
      <c r="D44" s="1"/>
      <c r="E44" s="1"/>
      <c r="F44" s="5"/>
      <c r="G44" s="3">
        <f t="shared" si="8"/>
        <v>204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204</v>
      </c>
      <c r="D45" s="1"/>
      <c r="E45" s="1"/>
      <c r="F45" s="5"/>
      <c r="G45" s="3">
        <f t="shared" si="8"/>
        <v>204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204</v>
      </c>
      <c r="D46" s="1"/>
      <c r="E46" s="1"/>
      <c r="F46" s="5"/>
      <c r="G46" s="3">
        <f t="shared" si="8"/>
        <v>204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204</v>
      </c>
      <c r="D47" s="1"/>
      <c r="E47" s="1"/>
      <c r="F47" s="5"/>
      <c r="G47" s="3">
        <f t="shared" si="8"/>
        <v>204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207</v>
      </c>
      <c r="D48" s="1"/>
      <c r="E48" s="1"/>
      <c r="F48" s="5"/>
      <c r="G48" s="3">
        <f t="shared" si="8"/>
        <v>207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207</v>
      </c>
      <c r="D49" s="1"/>
      <c r="E49" s="1"/>
      <c r="F49" s="5"/>
      <c r="G49" s="3">
        <f t="shared" si="8"/>
        <v>207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>
        <v>232</v>
      </c>
      <c r="D52" s="10">
        <v>325</v>
      </c>
      <c r="E52" s="10">
        <v>2025</v>
      </c>
      <c r="F52" s="12" t="s">
        <v>16</v>
      </c>
      <c r="G52" s="3">
        <f t="shared" si="10"/>
        <v>0</v>
      </c>
      <c r="H52" s="4">
        <f t="shared" si="11"/>
        <v>93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>
        <v>232</v>
      </c>
      <c r="D57" s="10">
        <v>325</v>
      </c>
      <c r="E57" s="10">
        <v>2025</v>
      </c>
      <c r="F57" s="12" t="s">
        <v>16</v>
      </c>
      <c r="G57" s="3">
        <f t="shared" si="10"/>
        <v>0</v>
      </c>
      <c r="H57" s="4">
        <f t="shared" si="11"/>
        <v>93</v>
      </c>
    </row>
    <row r="58" spans="1:8" ht="27.75" customHeight="1">
      <c r="A58" s="10">
        <v>7</v>
      </c>
      <c r="B58" s="11" t="s">
        <v>23</v>
      </c>
      <c r="C58" s="10">
        <v>232</v>
      </c>
      <c r="D58" s="10">
        <v>325</v>
      </c>
      <c r="E58" s="10">
        <v>2025</v>
      </c>
      <c r="F58" s="12" t="s">
        <v>16</v>
      </c>
      <c r="G58" s="3">
        <f t="shared" si="10"/>
        <v>0</v>
      </c>
      <c r="H58" s="4">
        <f t="shared" si="11"/>
        <v>93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>
        <v>88</v>
      </c>
      <c r="D94" s="1">
        <v>144</v>
      </c>
      <c r="E94" s="1">
        <v>2025</v>
      </c>
      <c r="F94" s="5" t="s">
        <v>16</v>
      </c>
      <c r="G94" s="3">
        <f t="shared" si="18"/>
        <v>0</v>
      </c>
      <c r="H94" s="4">
        <f t="shared" si="19"/>
        <v>56</v>
      </c>
    </row>
    <row r="95" spans="1:8" ht="40.5" customHeight="1">
      <c r="A95" s="1" t="s">
        <v>25</v>
      </c>
      <c r="B95" s="9" t="s">
        <v>30</v>
      </c>
      <c r="C95" s="1">
        <v>88</v>
      </c>
      <c r="D95" s="1">
        <v>144</v>
      </c>
      <c r="E95" s="1">
        <v>2025</v>
      </c>
      <c r="F95" s="5" t="s">
        <v>16</v>
      </c>
      <c r="G95" s="3">
        <f t="shared" si="18"/>
        <v>0</v>
      </c>
      <c r="H95" s="4">
        <f t="shared" si="19"/>
        <v>56</v>
      </c>
    </row>
    <row r="96" spans="1:8" ht="38.25" customHeight="1">
      <c r="A96" s="1" t="s">
        <v>25</v>
      </c>
      <c r="B96" s="9" t="s">
        <v>31</v>
      </c>
      <c r="C96" s="1">
        <v>88</v>
      </c>
      <c r="D96" s="1">
        <v>144</v>
      </c>
      <c r="E96" s="1">
        <v>2025</v>
      </c>
      <c r="F96" s="5" t="s">
        <v>16</v>
      </c>
      <c r="G96" s="3">
        <f t="shared" si="18"/>
        <v>0</v>
      </c>
      <c r="H96" s="4">
        <f t="shared" si="19"/>
        <v>56</v>
      </c>
    </row>
    <row r="97" spans="1:8" ht="27.75" customHeight="1">
      <c r="A97" s="1" t="s">
        <v>25</v>
      </c>
      <c r="B97" s="9" t="s">
        <v>32</v>
      </c>
      <c r="C97" s="1">
        <v>88</v>
      </c>
      <c r="D97" s="1">
        <v>17</v>
      </c>
      <c r="E97" s="1">
        <v>2025</v>
      </c>
      <c r="F97" s="5" t="s">
        <v>16</v>
      </c>
      <c r="G97" s="3">
        <f t="shared" si="18"/>
        <v>71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>
        <v>88</v>
      </c>
      <c r="D98" s="1">
        <v>144</v>
      </c>
      <c r="E98" s="1">
        <v>2025</v>
      </c>
      <c r="F98" s="5" t="s">
        <v>16</v>
      </c>
      <c r="G98" s="3">
        <f t="shared" si="18"/>
        <v>0</v>
      </c>
      <c r="H98" s="4">
        <f t="shared" si="19"/>
        <v>56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8" zoomScale="70" zoomScaleNormal="70" workbookViewId="0">
      <selection activeCell="F19" sqref="F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240</v>
      </c>
      <c r="F16" s="1">
        <v>2025</v>
      </c>
      <c r="G16" s="5"/>
      <c r="H16" s="5">
        <f t="shared" si="2"/>
        <v>0</v>
      </c>
      <c r="I16" s="5">
        <f t="shared" si="3"/>
        <v>240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240</v>
      </c>
      <c r="F17" s="1">
        <v>2025</v>
      </c>
      <c r="G17" s="5"/>
      <c r="H17" s="5">
        <f t="shared" si="2"/>
        <v>0</v>
      </c>
      <c r="I17" s="5">
        <f t="shared" si="3"/>
        <v>240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240</v>
      </c>
      <c r="F18" s="1">
        <v>2025</v>
      </c>
      <c r="G18" s="5"/>
      <c r="H18" s="5">
        <f t="shared" si="2"/>
        <v>0</v>
      </c>
      <c r="I18" s="5">
        <f t="shared" si="3"/>
        <v>240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>
        <v>240</v>
      </c>
      <c r="F19" s="1">
        <v>2025</v>
      </c>
      <c r="G19" s="5"/>
      <c r="H19" s="5">
        <f>IF((D19-E19)&lt;0,0,(D19-E19))</f>
        <v>0</v>
      </c>
      <c r="I19" s="5">
        <f>IF((E19-D19)&lt;0,0,(E19-D19))</f>
        <v>240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240</v>
      </c>
      <c r="F20" s="1">
        <v>2025</v>
      </c>
      <c r="G20" s="5"/>
      <c r="H20" s="5">
        <f>IF((D20-E20)&lt;0,0,(D20-E20))</f>
        <v>0</v>
      </c>
      <c r="I20" s="5">
        <f>IF((E20-D20)&lt;0,0,(E20-D20))</f>
        <v>240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142</v>
      </c>
      <c r="F26" s="1">
        <v>2025</v>
      </c>
      <c r="G26" s="5"/>
      <c r="H26" s="5">
        <f t="shared" si="2"/>
        <v>0</v>
      </c>
      <c r="I26" s="5">
        <f t="shared" si="3"/>
        <v>142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142</v>
      </c>
      <c r="F27" s="1">
        <v>2025</v>
      </c>
      <c r="G27" s="5"/>
      <c r="H27" s="5">
        <f t="shared" si="2"/>
        <v>0</v>
      </c>
      <c r="I27" s="5">
        <f t="shared" si="3"/>
        <v>142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142</v>
      </c>
      <c r="F28" s="1">
        <v>2025</v>
      </c>
      <c r="G28" s="5"/>
      <c r="H28" s="5">
        <f t="shared" si="2"/>
        <v>0</v>
      </c>
      <c r="I28" s="5">
        <f t="shared" si="3"/>
        <v>142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142</v>
      </c>
      <c r="F29" s="1">
        <v>2025</v>
      </c>
      <c r="G29" s="5"/>
      <c r="H29" s="5">
        <f>IF((D29-E29)&lt;0,0,(D29-E29))</f>
        <v>0</v>
      </c>
      <c r="I29" s="5">
        <f>IF((E29-D29)&lt;0,0,(E29-D29))</f>
        <v>142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33</v>
      </c>
      <c r="F43" s="1">
        <v>2025</v>
      </c>
      <c r="G43" s="5"/>
      <c r="H43" s="5">
        <f t="shared" si="2"/>
        <v>0</v>
      </c>
      <c r="I43" s="5">
        <f t="shared" si="3"/>
        <v>33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>
        <v>33</v>
      </c>
      <c r="F44" s="1">
        <v>2025</v>
      </c>
      <c r="G44" s="5"/>
      <c r="H44" s="5">
        <f t="shared" si="2"/>
        <v>0</v>
      </c>
      <c r="I44" s="5">
        <f t="shared" si="3"/>
        <v>33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33</v>
      </c>
      <c r="F45" s="1">
        <v>2025</v>
      </c>
      <c r="G45" s="5"/>
      <c r="H45" s="5">
        <f t="shared" si="2"/>
        <v>0</v>
      </c>
      <c r="I45" s="5">
        <f t="shared" si="3"/>
        <v>33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>
        <v>33</v>
      </c>
      <c r="F47" s="1">
        <v>2025</v>
      </c>
      <c r="G47" s="5"/>
      <c r="H47" s="5">
        <f t="shared" si="2"/>
        <v>0</v>
      </c>
      <c r="I47" s="5">
        <f t="shared" si="3"/>
        <v>33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33</v>
      </c>
      <c r="F48" s="1">
        <v>2025</v>
      </c>
      <c r="G48" s="5"/>
      <c r="H48" s="5">
        <f t="shared" si="2"/>
        <v>0</v>
      </c>
      <c r="I48" s="5">
        <f t="shared" si="3"/>
        <v>33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>
        <v>33</v>
      </c>
      <c r="F49" s="1">
        <v>2025</v>
      </c>
      <c r="G49" s="5"/>
      <c r="H49" s="5">
        <f t="shared" si="2"/>
        <v>0</v>
      </c>
      <c r="I49" s="5">
        <f t="shared" si="3"/>
        <v>33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>
        <v>33</v>
      </c>
      <c r="F50" s="1">
        <v>2025</v>
      </c>
      <c r="G50" s="5"/>
      <c r="H50" s="5">
        <f t="shared" si="2"/>
        <v>0</v>
      </c>
      <c r="I50" s="5">
        <f t="shared" si="3"/>
        <v>33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>
        <v>33</v>
      </c>
      <c r="F51" s="1">
        <v>2025</v>
      </c>
      <c r="G51" s="5"/>
      <c r="H51" s="5">
        <f t="shared" si="2"/>
        <v>0</v>
      </c>
      <c r="I51" s="5">
        <f t="shared" si="3"/>
        <v>33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5" zoomScale="55" zoomScaleNormal="55" workbookViewId="0">
      <selection activeCell="F57" sqref="F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29</v>
      </c>
      <c r="F55" s="1">
        <v>2025</v>
      </c>
      <c r="G55" s="5"/>
      <c r="H55" s="5">
        <f t="shared" si="0"/>
        <v>0</v>
      </c>
      <c r="I55" s="5">
        <f t="shared" si="1"/>
        <v>29</v>
      </c>
      <c r="J55" s="5">
        <f>Table14[[#This Row],[Enrolment S.Y. 2025-2026 ]]*8</f>
        <v>0</v>
      </c>
      <c r="K55" s="5">
        <v>41</v>
      </c>
      <c r="L55" s="1">
        <v>2025</v>
      </c>
      <c r="M55" s="5"/>
      <c r="N55" s="5">
        <f t="shared" si="2"/>
        <v>0</v>
      </c>
      <c r="O55" s="5">
        <f t="shared" si="3"/>
        <v>41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>
        <v>29</v>
      </c>
      <c r="F56" s="1">
        <v>2025</v>
      </c>
      <c r="G56" s="5"/>
      <c r="H56" s="5">
        <f t="shared" si="0"/>
        <v>0</v>
      </c>
      <c r="I56" s="5">
        <f t="shared" si="1"/>
        <v>29</v>
      </c>
      <c r="J56" s="5">
        <f>Table14[[#This Row],[Enrolment S.Y. 2025-2026 ]]*8</f>
        <v>0</v>
      </c>
      <c r="K56" s="5">
        <v>41</v>
      </c>
      <c r="L56" s="1">
        <v>2025</v>
      </c>
      <c r="M56" s="5"/>
      <c r="N56" s="5">
        <f t="shared" si="2"/>
        <v>0</v>
      </c>
      <c r="O56" s="5">
        <f t="shared" si="3"/>
        <v>41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29</v>
      </c>
      <c r="F57" s="1">
        <v>2025</v>
      </c>
      <c r="G57" s="5"/>
      <c r="H57" s="5">
        <f t="shared" si="0"/>
        <v>0</v>
      </c>
      <c r="I57" s="5">
        <f t="shared" si="1"/>
        <v>29</v>
      </c>
      <c r="J57" s="5">
        <f>Table14[[#This Row],[Enrolment S.Y. 2025-2026 ]]*8</f>
        <v>0</v>
      </c>
      <c r="K57" s="5">
        <v>41</v>
      </c>
      <c r="L57" s="1">
        <v>2025</v>
      </c>
      <c r="M57" s="5"/>
      <c r="N57" s="5">
        <f t="shared" si="2"/>
        <v>0</v>
      </c>
      <c r="O57" s="5">
        <f t="shared" si="3"/>
        <v>41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2026-01-21T06:04:47Z</dcterms:modified>
  <cp:category/>
  <cp:contentStatus/>
</cp:coreProperties>
</file>