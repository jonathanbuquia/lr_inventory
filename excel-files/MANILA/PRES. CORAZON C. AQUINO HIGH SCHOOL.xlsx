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60" documentId="13_ncr:1_{BFB59F67-F0DC-4675-A682-EB0734A8026A}" xr6:coauthVersionLast="47" xr6:coauthVersionMax="47" xr10:uidLastSave="{31846043-11BE-4394-8477-08B20BF81EA3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9" i="1" l="1"/>
  <c r="G99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<sst xmlns="http://schemas.openxmlformats.org/spreadsheetml/2006/main" count="406" uniqueCount="92">
  <si>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</si>
  <si>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</si>
  <si>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</si>
  <si>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</si>
  <si>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</si>
  <si>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</si>
  <si>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</si>
  <si>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</si>
  <si>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</si>
  <si>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</si>
  <si>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</si>
  <si>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</si>
  <si>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</si>
  <si>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</si>
  <si>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</si>
  <si>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</si>
  <si>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</si>
  <si>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</si>
  <si>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</si>
  <si>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</si>
  <si>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</si>
  <si>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</si>
  <si>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</si>
  <si>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</si>
  <si>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</si>
  <si>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</si>
  <si>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</si>
  <si>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</si>
  <si>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</si>
  <si>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</si>
  <si>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</si>
  <si>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</si>
  <si>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</si>
  <si>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Understanding Culture, Society &amp; Politics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</si>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</sst>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tabSelected="1" zoomScale="85" zoomScaleNormal="85" workbookViewId="0">
      <pane xSplit="2" topLeftCell="C84" activePane="topRight" state="frozen"/>
      <selection pane="topRight" activeCell="C97" sqref="C9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957</v>
      </c>
      <c r="D51" s="10">
        <v>1112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155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957</v>
      </c>
      <c r="D53" s="10">
        <v>1112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155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957</v>
      </c>
      <c r="D55" s="10">
        <v>1112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155</v>
      </c>
    </row>
    <row r="56" spans="1:8" ht="27.75" customHeight="1">
      <c r="A56" s="10">
        <v>7</v>
      </c>
      <c r="B56" s="11" t="s">
        <v>13</v>
      </c>
      <c r="C56" s="10">
        <v>957</v>
      </c>
      <c r="D56" s="10">
        <v>1112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155</v>
      </c>
    </row>
    <row r="57" spans="1:8" ht="27.75" customHeight="1">
      <c r="A57" s="10">
        <v>7</v>
      </c>
      <c r="B57" s="11" t="s">
        <v>17</v>
      </c>
      <c r="C57" s="10">
        <v>957</v>
      </c>
      <c r="D57" s="10">
        <v>1112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155</v>
      </c>
    </row>
    <row r="58" spans="1:8" ht="27.75" customHeight="1">
      <c r="A58" s="10">
        <v>7</v>
      </c>
      <c r="B58" s="11" t="s">
        <v>22</v>
      </c>
      <c r="C58" s="10">
        <v>957</v>
      </c>
      <c r="D58" s="10">
        <v>1112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155</v>
      </c>
    </row>
    <row r="59" spans="1:8" ht="27.75" customHeight="1">
      <c r="A59" s="10">
        <v>7</v>
      </c>
      <c r="B59" s="11" t="s">
        <v>19</v>
      </c>
      <c r="C59" s="10">
        <v>957</v>
      </c>
      <c r="D59" s="10">
        <v>1112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155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862</v>
      </c>
      <c r="D63" s="10">
        <v>1029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167</v>
      </c>
    </row>
    <row r="64" spans="1:8" ht="27.75" customHeight="1">
      <c r="A64" s="10">
        <v>8</v>
      </c>
      <c r="B64" s="11" t="s">
        <v>21</v>
      </c>
      <c r="C64" s="10">
        <v>862</v>
      </c>
      <c r="D64" s="10">
        <v>1029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167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9" si="18">IF((C91-D91)&lt;0,0,C91-D91)</f>
        <v>0</v>
      </c>
      <c r="H91" s="4">
        <f t="shared" ref="H91:H99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277</v>
      </c>
      <c r="D93" s="1">
        <v>352</v>
      </c>
      <c r="E93" s="1">
        <v>2025</v>
      </c>
      <c r="F93" s="5" t="s">
        <v>20</v>
      </c>
      <c r="G93" s="3">
        <f t="shared" si="18"/>
        <v>0</v>
      </c>
      <c r="H93" s="4">
        <f t="shared" si="19"/>
        <v>75</v>
      </c>
    </row>
    <row r="94" spans="1:8" ht="27.75" customHeight="1">
      <c r="A94" s="1" t="s">
        <v>24</v>
      </c>
      <c r="B94" s="9" t="s">
        <v>28</v>
      </c>
      <c r="C94" s="1">
        <v>267</v>
      </c>
      <c r="D94" s="1">
        <v>352</v>
      </c>
      <c r="E94" s="1">
        <v>2025</v>
      </c>
      <c r="F94" s="5" t="s">
        <v>20</v>
      </c>
      <c r="G94" s="3">
        <f t="shared" si="18"/>
        <v>0</v>
      </c>
      <c r="H94" s="4">
        <f t="shared" si="19"/>
        <v>85</v>
      </c>
    </row>
    <row r="95" spans="1:8" ht="40.5" customHeight="1">
      <c r="A95" s="1" t="s">
        <v>24</v>
      </c>
      <c r="B95" s="9" t="s">
        <v>29</v>
      </c>
      <c r="C95" s="1">
        <v>260</v>
      </c>
      <c r="D95" s="1">
        <v>352</v>
      </c>
      <c r="E95" s="1">
        <v>2025</v>
      </c>
      <c r="F95" s="5" t="s">
        <v>20</v>
      </c>
      <c r="G95" s="3">
        <f t="shared" si="18"/>
        <v>0</v>
      </c>
      <c r="H95" s="4">
        <f t="shared" si="19"/>
        <v>92</v>
      </c>
    </row>
    <row r="96" spans="1:8" ht="38.25" customHeight="1">
      <c r="A96" s="1" t="s">
        <v>24</v>
      </c>
      <c r="B96" s="9" t="s">
        <v>30</v>
      </c>
      <c r="C96" s="1">
        <v>295</v>
      </c>
      <c r="D96" s="1">
        <v>352</v>
      </c>
      <c r="E96" s="1">
        <v>2025</v>
      </c>
      <c r="F96" s="5" t="s">
        <v>20</v>
      </c>
      <c r="G96" s="3">
        <f t="shared" si="18"/>
        <v>0</v>
      </c>
      <c r="H96" s="4">
        <f t="shared" si="19"/>
        <v>57</v>
      </c>
    </row>
    <row r="97" spans="1:8" ht="27.75" customHeight="1">
      <c r="A97" s="1" t="s">
        <v>24</v>
      </c>
      <c r="B97" s="9" t="s">
        <v>31</v>
      </c>
      <c r="C97" s="1">
        <v>260</v>
      </c>
      <c r="D97" s="1">
        <v>352</v>
      </c>
      <c r="E97" s="1">
        <v>2025</v>
      </c>
      <c r="F97" s="5" t="s">
        <v>20</v>
      </c>
      <c r="G97" s="3">
        <f t="shared" si="18"/>
        <v>0</v>
      </c>
      <c r="H97" s="4">
        <f t="shared" si="19"/>
        <v>92</v>
      </c>
    </row>
    <row r="98" spans="1:8" ht="47.25" customHeight="1">
      <c r="A98" s="1" t="s">
        <v>24</v>
      </c>
      <c r="B98" s="9" t="s">
        <v>32</v>
      </c>
      <c r="C98" s="1"/>
      <c r="D98" s="1">
        <v>352</v>
      </c>
      <c r="E98" s="1">
        <v>2025</v>
      </c>
      <c r="F98" s="5" t="s">
        <v>20</v>
      </c>
      <c r="G98" s="3">
        <f t="shared" si="18"/>
        <v>0</v>
      </c>
      <c r="H98" s="4">
        <f t="shared" si="19"/>
        <v>352</v>
      </c>
    </row>
    <row r="99" spans="1:8" ht="57.75">
      <c r="A99" s="1" t="s">
        <v>24</v>
      </c>
      <c r="B99" s="9" t="s">
        <v>33</v>
      </c>
      <c r="C99" s="1"/>
      <c r="D99" s="1">
        <v>352</v>
      </c>
      <c r="E99" s="1">
        <v>2025</v>
      </c>
      <c r="F99" s="5" t="s">
        <v>20</v>
      </c>
      <c r="G99" s="3">
        <f t="shared" si="18"/>
        <v>0</v>
      </c>
      <c r="H99" s="4">
        <f t="shared" si="19"/>
        <v>352</v>
      </c>
    </row>
  </sheetData>
  <protectedRanges>
    <protectedRange sqref="C1:E98" name="Textbooks"/>
    <protectedRange sqref="F1:F99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92" zoomScale="70" zoomScaleNormal="70" workbookViewId="0">
      <selection activeCell="B110" sqref="B11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34</v>
      </c>
      <c r="E1" s="40"/>
      <c r="F1" s="40"/>
      <c r="G1" s="40"/>
      <c r="H1" s="40"/>
      <c r="I1" s="40"/>
      <c r="J1" s="41" t="s">
        <v>35</v>
      </c>
      <c r="K1" s="41"/>
      <c r="L1" s="41"/>
      <c r="M1" s="41"/>
      <c r="N1" s="41"/>
      <c r="O1" s="41"/>
      <c r="P1" s="42" t="s">
        <v>36</v>
      </c>
      <c r="Q1" s="42"/>
      <c r="R1" s="42"/>
      <c r="S1" s="42"/>
      <c r="T1" s="42"/>
      <c r="U1" s="42"/>
      <c r="V1" s="43" t="s">
        <v>37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4" t="s">
        <v>47</v>
      </c>
      <c r="N2" s="44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5" t="s">
        <v>59</v>
      </c>
      <c r="Z2" s="45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76" zoomScale="55" zoomScaleNormal="55" workbookViewId="0">
      <selection activeCell="R103" sqref="R103:R11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34</v>
      </c>
      <c r="E1" s="40"/>
      <c r="F1" s="40"/>
      <c r="G1" s="40"/>
      <c r="H1" s="40"/>
      <c r="I1" s="40"/>
      <c r="J1" s="41" t="s">
        <v>35</v>
      </c>
      <c r="K1" s="41"/>
      <c r="L1" s="41"/>
      <c r="M1" s="41"/>
      <c r="N1" s="41"/>
      <c r="O1" s="41"/>
      <c r="P1" s="42" t="s">
        <v>36</v>
      </c>
      <c r="Q1" s="42"/>
      <c r="R1" s="42"/>
      <c r="S1" s="42"/>
      <c r="T1" s="42"/>
      <c r="U1" s="42"/>
      <c r="V1" s="43" t="s">
        <v>37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4" t="s">
        <v>73</v>
      </c>
      <c r="N2" s="44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5" t="s">
        <v>85</v>
      </c>
      <c r="Z2" s="45" t="s">
        <v>86</v>
      </c>
      <c r="AA2" s="26" t="s">
        <v>87</v>
      </c>
    </row>
    <row r="3" spans="1:27" ht="19.149999999999999" hidden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 hidden="1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 hidden="1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 hidden="1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 hidden="1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 hidden="1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 hidden="1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 hidden="1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hidden="1"/>
    <row r="12" spans="1:27" ht="19.149999999999999" hidden="1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 hidden="1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 hidden="1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 hidden="1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 hidden="1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 hidden="1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 hidden="1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 hidden="1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idden="1"/>
    <row r="21" spans="1:27" ht="19.149999999999999" hidden="1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 hidden="1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 hidden="1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 hidden="1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 hidden="1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 hidden="1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 hidden="1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 hidden="1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 hidden="1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idden="1"/>
    <row r="31" spans="1:27" ht="19.149999999999999" hidden="1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 hidden="1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 hidden="1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 hidden="1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 hidden="1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 hidden="1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 hidden="1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 hidden="1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 hidden="1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 hidden="1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 hidden="1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idden="1"/>
    <row r="43" spans="1:27" ht="19.149999999999999" hidden="1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 hidden="1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 hidden="1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 hidden="1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 hidden="1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 hidden="1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 hidden="1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 hidden="1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 hidden="1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 hidden="1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 hidden="1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idden="1"/>
    <row r="55" spans="1:27" ht="19.149999999999999" hidden="1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 hidden="1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 hidden="1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 hidden="1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 hidden="1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 hidden="1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 hidden="1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 hidden="1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 hidden="1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 hidden="1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 hidden="1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idden="1"/>
    <row r="67" spans="1:27" ht="19.5">
      <c r="A67" s="10">
        <v>7</v>
      </c>
      <c r="B67" s="11" t="s">
        <v>14</v>
      </c>
      <c r="C67" s="10">
        <v>957</v>
      </c>
      <c r="D67" s="12">
        <f>Table14[[#This Row],[Enrolment S.Y. 2025-2026 ]]*8</f>
        <v>7656</v>
      </c>
      <c r="E67" s="12"/>
      <c r="F67" s="10"/>
      <c r="G67" s="12"/>
      <c r="H67" s="12">
        <f t="shared" si="0"/>
        <v>7656</v>
      </c>
      <c r="I67" s="12">
        <f t="shared" si="1"/>
        <v>0</v>
      </c>
      <c r="J67" s="12">
        <f>Table14[[#This Row],[Enrolment S.Y. 2025-2026 ]]*8</f>
        <v>7656</v>
      </c>
      <c r="K67" s="12"/>
      <c r="L67" s="10"/>
      <c r="M67" s="12"/>
      <c r="N67" s="12">
        <f t="shared" si="2"/>
        <v>7656</v>
      </c>
      <c r="O67" s="12">
        <f t="shared" si="3"/>
        <v>0</v>
      </c>
      <c r="P67" s="12">
        <f>Table14[[#This Row],[Enrolment S.Y. 2025-2026 ]]*8</f>
        <v>7656</v>
      </c>
      <c r="Q67" s="12"/>
      <c r="R67" s="10"/>
      <c r="S67" s="12"/>
      <c r="T67" s="12">
        <f t="shared" si="4"/>
        <v>7656</v>
      </c>
      <c r="U67" s="12">
        <f t="shared" si="5"/>
        <v>0</v>
      </c>
      <c r="V67" s="12">
        <f>Table14[[#This Row],[Enrolment S.Y. 2025-2026 ]]*8</f>
        <v>7656</v>
      </c>
      <c r="W67" s="12"/>
      <c r="X67" s="10"/>
      <c r="Y67" s="12"/>
      <c r="Z67" s="12">
        <f t="shared" si="6"/>
        <v>7656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957</v>
      </c>
      <c r="D68" s="12">
        <f>Table14[[#This Row],[Enrolment S.Y. 2025-2026 ]]*8</f>
        <v>7656</v>
      </c>
      <c r="E68" s="12"/>
      <c r="F68" s="10"/>
      <c r="G68" s="12"/>
      <c r="H68" s="12">
        <f t="shared" si="0"/>
        <v>7656</v>
      </c>
      <c r="I68" s="12">
        <f t="shared" si="1"/>
        <v>0</v>
      </c>
      <c r="J68" s="12">
        <f>Table14[[#This Row],[Enrolment S.Y. 2025-2026 ]]*8</f>
        <v>7656</v>
      </c>
      <c r="K68" s="12"/>
      <c r="L68" s="10"/>
      <c r="M68" s="12"/>
      <c r="N68" s="12">
        <f t="shared" si="2"/>
        <v>7656</v>
      </c>
      <c r="O68" s="12">
        <f t="shared" si="3"/>
        <v>0</v>
      </c>
      <c r="P68" s="12">
        <f>Table14[[#This Row],[Enrolment S.Y. 2025-2026 ]]*8</f>
        <v>7656</v>
      </c>
      <c r="Q68" s="12"/>
      <c r="R68" s="10"/>
      <c r="S68" s="12"/>
      <c r="T68" s="12">
        <f t="shared" si="4"/>
        <v>7656</v>
      </c>
      <c r="U68" s="12">
        <f t="shared" si="5"/>
        <v>0</v>
      </c>
      <c r="V68" s="12">
        <f>Table14[[#This Row],[Enrolment S.Y. 2025-2026 ]]*8</f>
        <v>7656</v>
      </c>
      <c r="W68" s="12"/>
      <c r="X68" s="10"/>
      <c r="Y68" s="12"/>
      <c r="Z68" s="12">
        <f t="shared" si="6"/>
        <v>7656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957</v>
      </c>
      <c r="D69" s="12">
        <f>Table14[[#This Row],[Enrolment S.Y. 2025-2026 ]]*8</f>
        <v>7656</v>
      </c>
      <c r="E69" s="12"/>
      <c r="F69" s="10"/>
      <c r="G69" s="12"/>
      <c r="H69" s="12">
        <f t="shared" si="0"/>
        <v>7656</v>
      </c>
      <c r="I69" s="12">
        <f t="shared" si="1"/>
        <v>0</v>
      </c>
      <c r="J69" s="12">
        <f>Table14[[#This Row],[Enrolment S.Y. 2025-2026 ]]*8</f>
        <v>7656</v>
      </c>
      <c r="K69" s="12"/>
      <c r="L69" s="10"/>
      <c r="M69" s="12"/>
      <c r="N69" s="12">
        <f t="shared" si="2"/>
        <v>7656</v>
      </c>
      <c r="O69" s="12">
        <f t="shared" si="3"/>
        <v>0</v>
      </c>
      <c r="P69" s="12">
        <f>Table14[[#This Row],[Enrolment S.Y. 2025-2026 ]]*8</f>
        <v>7656</v>
      </c>
      <c r="Q69" s="12"/>
      <c r="R69" s="10"/>
      <c r="S69" s="12"/>
      <c r="T69" s="12">
        <f t="shared" si="4"/>
        <v>7656</v>
      </c>
      <c r="U69" s="12">
        <f t="shared" si="5"/>
        <v>0</v>
      </c>
      <c r="V69" s="12">
        <f>Table14[[#This Row],[Enrolment S.Y. 2025-2026 ]]*8</f>
        <v>7656</v>
      </c>
      <c r="W69" s="12"/>
      <c r="X69" s="10"/>
      <c r="Y69" s="12"/>
      <c r="Z69" s="12">
        <f t="shared" si="6"/>
        <v>7656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957</v>
      </c>
      <c r="D70" s="12">
        <f>Table14[[#This Row],[Enrolment S.Y. 2025-2026 ]]*8</f>
        <v>7656</v>
      </c>
      <c r="E70" s="12"/>
      <c r="F70" s="10"/>
      <c r="G70" s="12"/>
      <c r="H70" s="12">
        <f t="shared" si="0"/>
        <v>7656</v>
      </c>
      <c r="I70" s="12">
        <f t="shared" si="1"/>
        <v>0</v>
      </c>
      <c r="J70" s="12">
        <f>Table14[[#This Row],[Enrolment S.Y. 2025-2026 ]]*8</f>
        <v>7656</v>
      </c>
      <c r="K70" s="12"/>
      <c r="L70" s="10"/>
      <c r="M70" s="12"/>
      <c r="N70" s="12">
        <f t="shared" si="2"/>
        <v>7656</v>
      </c>
      <c r="O70" s="12">
        <f t="shared" si="3"/>
        <v>0</v>
      </c>
      <c r="P70" s="12">
        <f>Table14[[#This Row],[Enrolment S.Y. 2025-2026 ]]*8</f>
        <v>7656</v>
      </c>
      <c r="Q70" s="12"/>
      <c r="R70" s="10"/>
      <c r="S70" s="12"/>
      <c r="T70" s="12">
        <f t="shared" si="4"/>
        <v>7656</v>
      </c>
      <c r="U70" s="12">
        <f t="shared" si="5"/>
        <v>0</v>
      </c>
      <c r="V70" s="12">
        <f>Table14[[#This Row],[Enrolment S.Y. 2025-2026 ]]*8</f>
        <v>7656</v>
      </c>
      <c r="W70" s="12"/>
      <c r="X70" s="10"/>
      <c r="Y70" s="12"/>
      <c r="Z70" s="12">
        <f t="shared" si="6"/>
        <v>7656</v>
      </c>
      <c r="AA70" s="12">
        <f t="shared" si="7"/>
        <v>0</v>
      </c>
    </row>
    <row r="71" spans="1:27" ht="36" customHeight="1">
      <c r="A71" s="10">
        <v>7</v>
      </c>
      <c r="B71" s="11" t="s">
        <v>16</v>
      </c>
      <c r="C71" s="10">
        <v>957</v>
      </c>
      <c r="D71" s="12">
        <f>Table14[[#This Row],[Enrolment S.Y. 2025-2026 ]]*8</f>
        <v>7656</v>
      </c>
      <c r="E71" s="12"/>
      <c r="F71" s="10"/>
      <c r="G71" s="12"/>
      <c r="H71" s="12">
        <f t="shared" si="0"/>
        <v>7656</v>
      </c>
      <c r="I71" s="12">
        <f t="shared" si="1"/>
        <v>0</v>
      </c>
      <c r="J71" s="12">
        <f>Table14[[#This Row],[Enrolment S.Y. 2025-2026 ]]*8</f>
        <v>7656</v>
      </c>
      <c r="K71" s="12"/>
      <c r="L71" s="10"/>
      <c r="M71" s="12"/>
      <c r="N71" s="12">
        <f t="shared" ref="N71:N77" si="14">IF((J71-K71)&lt;0,0,(J71-K71))</f>
        <v>7656</v>
      </c>
      <c r="O71" s="12">
        <f t="shared" ref="O71:O77" si="15">IF((K71-J71)&lt;0,0,(K71-J71))</f>
        <v>0</v>
      </c>
      <c r="P71" s="12">
        <f>Table14[[#This Row],[Enrolment S.Y. 2025-2026 ]]*8</f>
        <v>7656</v>
      </c>
      <c r="Q71" s="12"/>
      <c r="R71" s="10"/>
      <c r="S71" s="12"/>
      <c r="T71" s="12">
        <f t="shared" si="4"/>
        <v>7656</v>
      </c>
      <c r="U71" s="12">
        <f t="shared" si="5"/>
        <v>0</v>
      </c>
      <c r="V71" s="12">
        <f>Table14[[#This Row],[Enrolment S.Y. 2025-2026 ]]*8</f>
        <v>7656</v>
      </c>
      <c r="W71" s="12"/>
      <c r="X71" s="10"/>
      <c r="Y71" s="12"/>
      <c r="Z71" s="12">
        <f t="shared" si="6"/>
        <v>7656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957</v>
      </c>
      <c r="D72" s="12">
        <f>Table14[[#This Row],[Enrolment S.Y. 2025-2026 ]]*8</f>
        <v>7656</v>
      </c>
      <c r="E72" s="12"/>
      <c r="F72" s="10"/>
      <c r="G72" s="12"/>
      <c r="H72" s="12">
        <f t="shared" si="0"/>
        <v>7656</v>
      </c>
      <c r="I72" s="12">
        <f t="shared" si="1"/>
        <v>0</v>
      </c>
      <c r="J72" s="12">
        <f>Table14[[#This Row],[Enrolment S.Y. 2025-2026 ]]*8</f>
        <v>7656</v>
      </c>
      <c r="K72" s="12"/>
      <c r="L72" s="10"/>
      <c r="M72" s="12"/>
      <c r="N72" s="12">
        <f t="shared" si="14"/>
        <v>7656</v>
      </c>
      <c r="O72" s="12">
        <f t="shared" si="15"/>
        <v>0</v>
      </c>
      <c r="P72" s="12">
        <f>Table14[[#This Row],[Enrolment S.Y. 2025-2026 ]]*8</f>
        <v>7656</v>
      </c>
      <c r="Q72" s="12"/>
      <c r="R72" s="10"/>
      <c r="S72" s="12"/>
      <c r="T72" s="12">
        <f t="shared" si="4"/>
        <v>7656</v>
      </c>
      <c r="U72" s="12">
        <f t="shared" si="5"/>
        <v>0</v>
      </c>
      <c r="V72" s="12">
        <f>Table14[[#This Row],[Enrolment S.Y. 2025-2026 ]]*8</f>
        <v>7656</v>
      </c>
      <c r="W72" s="12"/>
      <c r="X72" s="10"/>
      <c r="Y72" s="12"/>
      <c r="Z72" s="12">
        <f t="shared" si="6"/>
        <v>7656</v>
      </c>
      <c r="AA72" s="12">
        <f t="shared" si="7"/>
        <v>0</v>
      </c>
    </row>
    <row r="73" spans="1:27" ht="19.5">
      <c r="A73" s="38">
        <v>7</v>
      </c>
      <c r="B73" s="11" t="s">
        <v>88</v>
      </c>
      <c r="C73" s="10">
        <v>957</v>
      </c>
      <c r="D73" s="12">
        <f>Table14[[#This Row],[Enrolment S.Y. 2025-2026 ]]*8</f>
        <v>7656</v>
      </c>
      <c r="E73" s="12"/>
      <c r="F73" s="10"/>
      <c r="G73" s="12"/>
      <c r="H73" s="12">
        <f>IF((D73-E73)&lt;0,0,(D73-E73))</f>
        <v>7656</v>
      </c>
      <c r="I73" s="12">
        <f>IF((E73-D73)&lt;0,0,(E73-D73))</f>
        <v>0</v>
      </c>
      <c r="J73" s="12">
        <f>Table14[[#This Row],[Enrolment S.Y. 2025-2026 ]]*8</f>
        <v>7656</v>
      </c>
      <c r="K73" s="12"/>
      <c r="L73" s="10"/>
      <c r="M73" s="12"/>
      <c r="N73" s="12">
        <f t="shared" si="14"/>
        <v>7656</v>
      </c>
      <c r="O73" s="12">
        <f t="shared" si="15"/>
        <v>0</v>
      </c>
      <c r="P73" s="12">
        <f>Table14[[#This Row],[Enrolment S.Y. 2025-2026 ]]*8</f>
        <v>7656</v>
      </c>
      <c r="Q73" s="12"/>
      <c r="R73" s="10"/>
      <c r="S73" s="12"/>
      <c r="T73" s="12">
        <f>IF((P73-Q73)&lt;0,0,(P73-Q73))</f>
        <v>7656</v>
      </c>
      <c r="U73" s="12">
        <f>IF((Q73-P73)&lt;0,0,(Q73-P73))</f>
        <v>0</v>
      </c>
      <c r="V73" s="12">
        <f>Table14[[#This Row],[Enrolment S.Y. 2025-2026 ]]*8</f>
        <v>7656</v>
      </c>
      <c r="W73" s="12"/>
      <c r="X73" s="10"/>
      <c r="Y73" s="12"/>
      <c r="Z73" s="12">
        <f>IF((V73-W73)&lt;0,0,(V73-W73))</f>
        <v>7656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>
        <v>957</v>
      </c>
      <c r="D74" s="12">
        <f>Table14[[#This Row],[Enrolment S.Y. 2025-2026 ]]*8</f>
        <v>7656</v>
      </c>
      <c r="E74" s="12"/>
      <c r="F74" s="10"/>
      <c r="G74" s="12"/>
      <c r="H74" s="12">
        <f t="shared" si="0"/>
        <v>7656</v>
      </c>
      <c r="I74" s="12">
        <f t="shared" si="1"/>
        <v>0</v>
      </c>
      <c r="J74" s="12">
        <f>Table14[[#This Row],[Enrolment S.Y. 2025-2026 ]]*8</f>
        <v>7656</v>
      </c>
      <c r="K74" s="12"/>
      <c r="L74" s="10"/>
      <c r="M74" s="12"/>
      <c r="N74" s="12">
        <f t="shared" si="14"/>
        <v>7656</v>
      </c>
      <c r="O74" s="12">
        <f t="shared" si="15"/>
        <v>0</v>
      </c>
      <c r="P74" s="12">
        <f>Table14[[#This Row],[Enrolment S.Y. 2025-2026 ]]*8</f>
        <v>7656</v>
      </c>
      <c r="Q74" s="12"/>
      <c r="R74" s="10"/>
      <c r="S74" s="12"/>
      <c r="T74" s="12">
        <f t="shared" ref="T74:T122" si="16">IF((P74-Q74)&lt;0,0,(P74-Q74))</f>
        <v>7656</v>
      </c>
      <c r="U74" s="12">
        <f t="shared" ref="U74:U122" si="17">IF((Q74-P74)&lt;0,0,(Q74-P74))</f>
        <v>0</v>
      </c>
      <c r="V74" s="12">
        <f>Table14[[#This Row],[Enrolment S.Y. 2025-2026 ]]*8</f>
        <v>7656</v>
      </c>
      <c r="W74" s="12"/>
      <c r="X74" s="10"/>
      <c r="Y74" s="12"/>
      <c r="Z74" s="12">
        <f t="shared" ref="Z74:Z122" si="18">IF((V74-W74)&lt;0,0,(V74-W74))</f>
        <v>7656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957</v>
      </c>
      <c r="D75" s="12">
        <f>Table14[[#This Row],[Enrolment S.Y. 2025-2026 ]]*8</f>
        <v>7656</v>
      </c>
      <c r="E75" s="12"/>
      <c r="F75" s="10"/>
      <c r="G75" s="12"/>
      <c r="H75" s="12">
        <f t="shared" si="0"/>
        <v>7656</v>
      </c>
      <c r="I75" s="12">
        <f t="shared" si="1"/>
        <v>0</v>
      </c>
      <c r="J75" s="12">
        <f>Table14[[#This Row],[Enrolment S.Y. 2025-2026 ]]*8</f>
        <v>7656</v>
      </c>
      <c r="K75" s="12"/>
      <c r="L75" s="10"/>
      <c r="M75" s="12"/>
      <c r="N75" s="12">
        <f t="shared" si="14"/>
        <v>7656</v>
      </c>
      <c r="O75" s="12">
        <f t="shared" si="15"/>
        <v>0</v>
      </c>
      <c r="P75" s="12">
        <f>Table14[[#This Row],[Enrolment S.Y. 2025-2026 ]]*8</f>
        <v>7656</v>
      </c>
      <c r="Q75" s="12"/>
      <c r="R75" s="10"/>
      <c r="S75" s="12"/>
      <c r="T75" s="12">
        <f t="shared" si="16"/>
        <v>7656</v>
      </c>
      <c r="U75" s="12">
        <f t="shared" si="17"/>
        <v>0</v>
      </c>
      <c r="V75" s="12">
        <f>Table14[[#This Row],[Enrolment S.Y. 2025-2026 ]]*8</f>
        <v>7656</v>
      </c>
      <c r="W75" s="12"/>
      <c r="X75" s="10"/>
      <c r="Y75" s="12"/>
      <c r="Z75" s="12">
        <f t="shared" si="18"/>
        <v>7656</v>
      </c>
      <c r="AA75" s="12">
        <f t="shared" si="19"/>
        <v>0</v>
      </c>
    </row>
    <row r="76" spans="1:27" ht="19.5">
      <c r="A76" s="38">
        <v>7</v>
      </c>
      <c r="B76" s="11" t="s">
        <v>90</v>
      </c>
      <c r="C76" s="10">
        <v>957</v>
      </c>
      <c r="D76" s="12">
        <f>Table14[[#This Row],[Enrolment S.Y. 2025-2026 ]]*8</f>
        <v>7656</v>
      </c>
      <c r="E76" s="12"/>
      <c r="F76" s="10"/>
      <c r="G76" s="12"/>
      <c r="H76" s="12">
        <f>IF((D76-E76)&lt;0,0,(D76-E76))</f>
        <v>7656</v>
      </c>
      <c r="I76" s="12">
        <f>IF((E76-D76)&lt;0,0,(E76-D76))</f>
        <v>0</v>
      </c>
      <c r="J76" s="12">
        <f>Table14[[#This Row],[Enrolment S.Y. 2025-2026 ]]*8</f>
        <v>7656</v>
      </c>
      <c r="K76" s="12"/>
      <c r="L76" s="10"/>
      <c r="M76" s="12"/>
      <c r="N76" s="12">
        <f t="shared" si="14"/>
        <v>7656</v>
      </c>
      <c r="O76" s="12">
        <f t="shared" si="15"/>
        <v>0</v>
      </c>
      <c r="P76" s="12">
        <f>Table14[[#This Row],[Enrolment S.Y. 2025-2026 ]]*8</f>
        <v>7656</v>
      </c>
      <c r="Q76" s="12"/>
      <c r="R76" s="10"/>
      <c r="S76" s="12"/>
      <c r="T76" s="12">
        <f>IF((P76-Q76)&lt;0,0,(P76-Q76))</f>
        <v>7656</v>
      </c>
      <c r="U76" s="12">
        <f>IF((Q76-P76)&lt;0,0,(Q76-P76))</f>
        <v>0</v>
      </c>
      <c r="V76" s="12">
        <f>Table14[[#This Row],[Enrolment S.Y. 2025-2026 ]]*8</f>
        <v>7656</v>
      </c>
      <c r="W76" s="12"/>
      <c r="X76" s="10"/>
      <c r="Y76" s="12"/>
      <c r="Z76" s="12">
        <f>IF((V76-W76)&lt;0,0,(V76-W76))</f>
        <v>7656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>
        <v>957</v>
      </c>
      <c r="D77" s="12">
        <f>Table14[[#This Row],[Enrolment S.Y. 2025-2026 ]]*8</f>
        <v>7656</v>
      </c>
      <c r="E77" s="12"/>
      <c r="F77" s="10"/>
      <c r="G77" s="12"/>
      <c r="H77" s="12">
        <f t="shared" si="0"/>
        <v>7656</v>
      </c>
      <c r="I77" s="12">
        <f t="shared" si="1"/>
        <v>0</v>
      </c>
      <c r="J77" s="12">
        <f>Table14[[#This Row],[Enrolment S.Y. 2025-2026 ]]*8</f>
        <v>7656</v>
      </c>
      <c r="K77" s="12"/>
      <c r="L77" s="10"/>
      <c r="M77" s="12"/>
      <c r="N77" s="12">
        <f t="shared" si="14"/>
        <v>7656</v>
      </c>
      <c r="O77" s="12">
        <f t="shared" si="15"/>
        <v>0</v>
      </c>
      <c r="P77" s="12">
        <f>Table14[[#This Row],[Enrolment S.Y. 2025-2026 ]]*8</f>
        <v>7656</v>
      </c>
      <c r="Q77" s="12"/>
      <c r="R77" s="10"/>
      <c r="S77" s="12"/>
      <c r="T77" s="12">
        <f t="shared" si="16"/>
        <v>7656</v>
      </c>
      <c r="U77" s="12">
        <f t="shared" si="17"/>
        <v>0</v>
      </c>
      <c r="V77" s="12">
        <f>Table14[[#This Row],[Enrolment S.Y. 2025-2026 ]]*8</f>
        <v>7656</v>
      </c>
      <c r="W77" s="12"/>
      <c r="X77" s="10"/>
      <c r="Y77" s="12"/>
      <c r="Z77" s="12">
        <f t="shared" si="18"/>
        <v>7656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862</v>
      </c>
      <c r="D79" s="12">
        <f>Table14[[#This Row],[Enrolment S.Y. 2025-2026 ]]*8</f>
        <v>6896</v>
      </c>
      <c r="E79" s="12"/>
      <c r="F79" s="10"/>
      <c r="G79" s="12"/>
      <c r="H79" s="12">
        <f t="shared" si="0"/>
        <v>6896</v>
      </c>
      <c r="I79" s="12">
        <f t="shared" si="1"/>
        <v>0</v>
      </c>
      <c r="J79" s="12">
        <f>Table14[[#This Row],[Enrolment S.Y. 2025-2026 ]]*8</f>
        <v>6896</v>
      </c>
      <c r="K79" s="12"/>
      <c r="L79" s="10"/>
      <c r="M79" s="12"/>
      <c r="N79" s="12">
        <f t="shared" ref="N74:N122" si="20">IF((J79-K79)&lt;0,0,(J79-K79))</f>
        <v>6896</v>
      </c>
      <c r="O79" s="12">
        <f t="shared" ref="O74:O122" si="21">IF((K79-J79)&lt;0,0,(K79-J79))</f>
        <v>0</v>
      </c>
      <c r="P79" s="12">
        <f>Table14[[#This Row],[Enrolment S.Y. 2025-2026 ]]*8</f>
        <v>6896</v>
      </c>
      <c r="Q79" s="12"/>
      <c r="R79" s="10"/>
      <c r="S79" s="12"/>
      <c r="T79" s="12">
        <f t="shared" si="16"/>
        <v>6896</v>
      </c>
      <c r="U79" s="12">
        <f t="shared" si="17"/>
        <v>0</v>
      </c>
      <c r="V79" s="12">
        <f>Table14[[#This Row],[Enrolment S.Y. 2025-2026 ]]*8</f>
        <v>6896</v>
      </c>
      <c r="W79" s="12"/>
      <c r="X79" s="10"/>
      <c r="Y79" s="12"/>
      <c r="Z79" s="12">
        <f t="shared" si="18"/>
        <v>6896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862</v>
      </c>
      <c r="D80" s="12">
        <f>Table14[[#This Row],[Enrolment S.Y. 2025-2026 ]]*8</f>
        <v>6896</v>
      </c>
      <c r="E80" s="12"/>
      <c r="F80" s="10"/>
      <c r="G80" s="12"/>
      <c r="H80" s="12">
        <f t="shared" si="0"/>
        <v>6896</v>
      </c>
      <c r="I80" s="12">
        <f t="shared" si="1"/>
        <v>0</v>
      </c>
      <c r="J80" s="12">
        <f>Table14[[#This Row],[Enrolment S.Y. 2025-2026 ]]*8</f>
        <v>6896</v>
      </c>
      <c r="K80" s="12"/>
      <c r="L80" s="10"/>
      <c r="M80" s="12"/>
      <c r="N80" s="12">
        <f t="shared" si="20"/>
        <v>6896</v>
      </c>
      <c r="O80" s="12">
        <f t="shared" si="21"/>
        <v>0</v>
      </c>
      <c r="P80" s="12">
        <f>Table14[[#This Row],[Enrolment S.Y. 2025-2026 ]]*8</f>
        <v>6896</v>
      </c>
      <c r="Q80" s="12"/>
      <c r="R80" s="10"/>
      <c r="S80" s="12"/>
      <c r="T80" s="12">
        <f t="shared" si="16"/>
        <v>6896</v>
      </c>
      <c r="U80" s="12">
        <f t="shared" si="17"/>
        <v>0</v>
      </c>
      <c r="V80" s="12">
        <f>Table14[[#This Row],[Enrolment S.Y. 2025-2026 ]]*8</f>
        <v>6896</v>
      </c>
      <c r="W80" s="12"/>
      <c r="X80" s="10"/>
      <c r="Y80" s="12"/>
      <c r="Z80" s="12">
        <f t="shared" si="18"/>
        <v>6896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862</v>
      </c>
      <c r="D81" s="12">
        <f>Table14[[#This Row],[Enrolment S.Y. 2025-2026 ]]*8</f>
        <v>6896</v>
      </c>
      <c r="E81" s="12"/>
      <c r="F81" s="10"/>
      <c r="G81" s="12"/>
      <c r="H81" s="12">
        <f t="shared" si="0"/>
        <v>6896</v>
      </c>
      <c r="I81" s="12">
        <f t="shared" si="1"/>
        <v>0</v>
      </c>
      <c r="J81" s="12">
        <f>Table14[[#This Row],[Enrolment S.Y. 2025-2026 ]]*8</f>
        <v>6896</v>
      </c>
      <c r="K81" s="12"/>
      <c r="L81" s="10"/>
      <c r="M81" s="12"/>
      <c r="N81" s="12">
        <f t="shared" si="20"/>
        <v>6896</v>
      </c>
      <c r="O81" s="12">
        <f t="shared" si="21"/>
        <v>0</v>
      </c>
      <c r="P81" s="12">
        <f>Table14[[#This Row],[Enrolment S.Y. 2025-2026 ]]*8</f>
        <v>6896</v>
      </c>
      <c r="Q81" s="12"/>
      <c r="R81" s="10"/>
      <c r="S81" s="12"/>
      <c r="T81" s="12">
        <f t="shared" si="16"/>
        <v>6896</v>
      </c>
      <c r="U81" s="12">
        <f t="shared" si="17"/>
        <v>0</v>
      </c>
      <c r="V81" s="12">
        <f>Table14[[#This Row],[Enrolment S.Y. 2025-2026 ]]*8</f>
        <v>6896</v>
      </c>
      <c r="W81" s="12"/>
      <c r="X81" s="10"/>
      <c r="Y81" s="12"/>
      <c r="Z81" s="12">
        <f t="shared" si="18"/>
        <v>6896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862</v>
      </c>
      <c r="D82" s="12">
        <f>Table14[[#This Row],[Enrolment S.Y. 2025-2026 ]]*8</f>
        <v>6896</v>
      </c>
      <c r="E82" s="12"/>
      <c r="F82" s="10"/>
      <c r="G82" s="12"/>
      <c r="H82" s="12">
        <f t="shared" si="0"/>
        <v>6896</v>
      </c>
      <c r="I82" s="12">
        <f t="shared" si="1"/>
        <v>0</v>
      </c>
      <c r="J82" s="12">
        <f>Table14[[#This Row],[Enrolment S.Y. 2025-2026 ]]*8</f>
        <v>6896</v>
      </c>
      <c r="K82" s="12"/>
      <c r="L82" s="10"/>
      <c r="M82" s="12"/>
      <c r="N82" s="12">
        <f t="shared" si="20"/>
        <v>6896</v>
      </c>
      <c r="O82" s="12">
        <f t="shared" si="21"/>
        <v>0</v>
      </c>
      <c r="P82" s="12">
        <f>Table14[[#This Row],[Enrolment S.Y. 2025-2026 ]]*8</f>
        <v>6896</v>
      </c>
      <c r="Q82" s="12"/>
      <c r="R82" s="10"/>
      <c r="S82" s="12"/>
      <c r="T82" s="12">
        <f t="shared" si="16"/>
        <v>6896</v>
      </c>
      <c r="U82" s="12">
        <f t="shared" si="17"/>
        <v>0</v>
      </c>
      <c r="V82" s="12">
        <f>Table14[[#This Row],[Enrolment S.Y. 2025-2026 ]]*8</f>
        <v>6896</v>
      </c>
      <c r="W82" s="12"/>
      <c r="X82" s="10"/>
      <c r="Y82" s="12"/>
      <c r="Z82" s="12">
        <f t="shared" si="18"/>
        <v>6896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862</v>
      </c>
      <c r="D83" s="12">
        <f>Table14[[#This Row],[Enrolment S.Y. 2025-2026 ]]*8</f>
        <v>6896</v>
      </c>
      <c r="E83" s="12"/>
      <c r="F83" s="10"/>
      <c r="G83" s="12"/>
      <c r="H83" s="12">
        <f t="shared" si="0"/>
        <v>6896</v>
      </c>
      <c r="I83" s="12">
        <f t="shared" si="1"/>
        <v>0</v>
      </c>
      <c r="J83" s="12">
        <f>Table14[[#This Row],[Enrolment S.Y. 2025-2026 ]]*8</f>
        <v>6896</v>
      </c>
      <c r="K83" s="12"/>
      <c r="L83" s="10"/>
      <c r="M83" s="12"/>
      <c r="N83" s="12">
        <f t="shared" si="20"/>
        <v>6896</v>
      </c>
      <c r="O83" s="12">
        <f t="shared" si="21"/>
        <v>0</v>
      </c>
      <c r="P83" s="12">
        <f>Table14[[#This Row],[Enrolment S.Y. 2025-2026 ]]*8</f>
        <v>6896</v>
      </c>
      <c r="Q83" s="12"/>
      <c r="R83" s="10"/>
      <c r="S83" s="12"/>
      <c r="T83" s="12">
        <f t="shared" si="16"/>
        <v>6896</v>
      </c>
      <c r="U83" s="12">
        <f t="shared" si="17"/>
        <v>0</v>
      </c>
      <c r="V83" s="12">
        <f>Table14[[#This Row],[Enrolment S.Y. 2025-2026 ]]*8</f>
        <v>6896</v>
      </c>
      <c r="W83" s="12"/>
      <c r="X83" s="10"/>
      <c r="Y83" s="12"/>
      <c r="Z83" s="12">
        <f t="shared" si="18"/>
        <v>6896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862</v>
      </c>
      <c r="D84" s="12">
        <f>Table14[[#This Row],[Enrolment S.Y. 2025-2026 ]]*8</f>
        <v>6896</v>
      </c>
      <c r="E84" s="12"/>
      <c r="F84" s="10"/>
      <c r="G84" s="12"/>
      <c r="H84" s="12">
        <f t="shared" ref="H84:H122" si="22">IF((D84-E84)&lt;0,0,(D84-E84))</f>
        <v>6896</v>
      </c>
      <c r="I84" s="12">
        <f t="shared" ref="I84:I122" si="23">IF((E84-D84)&lt;0,0,(E84-D84))</f>
        <v>0</v>
      </c>
      <c r="J84" s="12">
        <f>Table14[[#This Row],[Enrolment S.Y. 2025-2026 ]]*8</f>
        <v>6896</v>
      </c>
      <c r="K84" s="12"/>
      <c r="L84" s="10"/>
      <c r="M84" s="12"/>
      <c r="N84" s="12">
        <f t="shared" ref="N84:N89" si="24">IF((J84-K84)&lt;0,0,(J84-K84))</f>
        <v>6896</v>
      </c>
      <c r="O84" s="12">
        <f t="shared" ref="O84:O89" si="25">IF((K84-J84)&lt;0,0,(K84-J84))</f>
        <v>0</v>
      </c>
      <c r="P84" s="12">
        <f>Table14[[#This Row],[Enrolment S.Y. 2025-2026 ]]*8</f>
        <v>6896</v>
      </c>
      <c r="Q84" s="12"/>
      <c r="R84" s="10"/>
      <c r="S84" s="12"/>
      <c r="T84" s="12">
        <f t="shared" si="16"/>
        <v>6896</v>
      </c>
      <c r="U84" s="12">
        <f t="shared" si="17"/>
        <v>0</v>
      </c>
      <c r="V84" s="12">
        <f>Table14[[#This Row],[Enrolment S.Y. 2025-2026 ]]*8</f>
        <v>6896</v>
      </c>
      <c r="W84" s="12"/>
      <c r="X84" s="10"/>
      <c r="Y84" s="12"/>
      <c r="Z84" s="12">
        <f t="shared" si="18"/>
        <v>6896</v>
      </c>
      <c r="AA84" s="12">
        <f t="shared" si="19"/>
        <v>0</v>
      </c>
    </row>
    <row r="85" spans="1:27" ht="19.5">
      <c r="A85" s="38">
        <v>8</v>
      </c>
      <c r="B85" s="11" t="s">
        <v>88</v>
      </c>
      <c r="C85" s="10">
        <v>862</v>
      </c>
      <c r="D85" s="12">
        <f>Table14[[#This Row],[Enrolment S.Y. 2025-2026 ]]*8</f>
        <v>6896</v>
      </c>
      <c r="E85" s="12"/>
      <c r="F85" s="10"/>
      <c r="G85" s="12"/>
      <c r="H85" s="12">
        <f>IF((D85-E85)&lt;0,0,(D85-E85))</f>
        <v>6896</v>
      </c>
      <c r="I85" s="12">
        <f>IF((E85-D85)&lt;0,0,(E85-D85))</f>
        <v>0</v>
      </c>
      <c r="J85" s="12">
        <f>Table14[[#This Row],[Enrolment S.Y. 2025-2026 ]]*8</f>
        <v>6896</v>
      </c>
      <c r="K85" s="12"/>
      <c r="L85" s="10"/>
      <c r="M85" s="12"/>
      <c r="N85" s="12">
        <f t="shared" si="24"/>
        <v>6896</v>
      </c>
      <c r="O85" s="12">
        <f t="shared" si="25"/>
        <v>0</v>
      </c>
      <c r="P85" s="12">
        <f>Table14[[#This Row],[Enrolment S.Y. 2025-2026 ]]*8</f>
        <v>6896</v>
      </c>
      <c r="Q85" s="12"/>
      <c r="R85" s="10"/>
      <c r="S85" s="12"/>
      <c r="T85" s="12">
        <f>IF((P85-Q85)&lt;0,0,(P85-Q85))</f>
        <v>6896</v>
      </c>
      <c r="U85" s="12">
        <f>IF((Q85-P85)&lt;0,0,(Q85-P85))</f>
        <v>0</v>
      </c>
      <c r="V85" s="12">
        <f>Table14[[#This Row],[Enrolment S.Y. 2025-2026 ]]*8</f>
        <v>6896</v>
      </c>
      <c r="W85" s="12"/>
      <c r="X85" s="10"/>
      <c r="Y85" s="12"/>
      <c r="Z85" s="12">
        <f>IF((V85-W85)&lt;0,0,(V85-W85))</f>
        <v>6896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>
        <v>862</v>
      </c>
      <c r="D86" s="12">
        <f>Table14[[#This Row],[Enrolment S.Y. 2025-2026 ]]*8</f>
        <v>6896</v>
      </c>
      <c r="E86" s="12"/>
      <c r="F86" s="10"/>
      <c r="G86" s="12"/>
      <c r="H86" s="12">
        <f t="shared" si="22"/>
        <v>6896</v>
      </c>
      <c r="I86" s="12">
        <f t="shared" si="23"/>
        <v>0</v>
      </c>
      <c r="J86" s="12">
        <f>Table14[[#This Row],[Enrolment S.Y. 2025-2026 ]]*8</f>
        <v>6896</v>
      </c>
      <c r="K86" s="12"/>
      <c r="L86" s="10"/>
      <c r="M86" s="12"/>
      <c r="N86" s="12">
        <f t="shared" si="24"/>
        <v>6896</v>
      </c>
      <c r="O86" s="12">
        <f t="shared" si="25"/>
        <v>0</v>
      </c>
      <c r="P86" s="12">
        <f>Table14[[#This Row],[Enrolment S.Y. 2025-2026 ]]*8</f>
        <v>6896</v>
      </c>
      <c r="Q86" s="12"/>
      <c r="R86" s="10"/>
      <c r="S86" s="12"/>
      <c r="T86" s="12">
        <f t="shared" si="16"/>
        <v>6896</v>
      </c>
      <c r="U86" s="12">
        <f t="shared" si="17"/>
        <v>0</v>
      </c>
      <c r="V86" s="12">
        <f>Table14[[#This Row],[Enrolment S.Y. 2025-2026 ]]*8</f>
        <v>6896</v>
      </c>
      <c r="W86" s="12"/>
      <c r="X86" s="10"/>
      <c r="Y86" s="12"/>
      <c r="Z86" s="12">
        <f t="shared" si="18"/>
        <v>6896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862</v>
      </c>
      <c r="D87" s="12">
        <f>Table14[[#This Row],[Enrolment S.Y. 2025-2026 ]]*8</f>
        <v>6896</v>
      </c>
      <c r="E87" s="12"/>
      <c r="F87" s="10"/>
      <c r="G87" s="12"/>
      <c r="H87" s="12">
        <f t="shared" si="22"/>
        <v>6896</v>
      </c>
      <c r="I87" s="12">
        <f t="shared" si="23"/>
        <v>0</v>
      </c>
      <c r="J87" s="12">
        <f>Table14[[#This Row],[Enrolment S.Y. 2025-2026 ]]*8</f>
        <v>6896</v>
      </c>
      <c r="K87" s="12"/>
      <c r="L87" s="10"/>
      <c r="M87" s="12"/>
      <c r="N87" s="12">
        <f t="shared" si="24"/>
        <v>6896</v>
      </c>
      <c r="O87" s="12">
        <f t="shared" si="25"/>
        <v>0</v>
      </c>
      <c r="P87" s="12">
        <f>Table14[[#This Row],[Enrolment S.Y. 2025-2026 ]]*8</f>
        <v>6896</v>
      </c>
      <c r="Q87" s="12"/>
      <c r="R87" s="10"/>
      <c r="S87" s="12"/>
      <c r="T87" s="12">
        <f t="shared" si="16"/>
        <v>6896</v>
      </c>
      <c r="U87" s="12">
        <f t="shared" si="17"/>
        <v>0</v>
      </c>
      <c r="V87" s="12">
        <f>Table14[[#This Row],[Enrolment S.Y. 2025-2026 ]]*8</f>
        <v>6896</v>
      </c>
      <c r="W87" s="12"/>
      <c r="X87" s="10"/>
      <c r="Y87" s="12"/>
      <c r="Z87" s="12">
        <f t="shared" si="18"/>
        <v>6896</v>
      </c>
      <c r="AA87" s="12">
        <f t="shared" si="19"/>
        <v>0</v>
      </c>
    </row>
    <row r="88" spans="1:27" ht="19.5">
      <c r="A88" s="38">
        <v>8</v>
      </c>
      <c r="B88" s="11" t="s">
        <v>90</v>
      </c>
      <c r="C88" s="10">
        <v>862</v>
      </c>
      <c r="D88" s="12">
        <f>Table14[[#This Row],[Enrolment S.Y. 2025-2026 ]]*8</f>
        <v>6896</v>
      </c>
      <c r="E88" s="12"/>
      <c r="F88" s="10"/>
      <c r="G88" s="12"/>
      <c r="H88" s="12">
        <f>IF((D88-E88)&lt;0,0,(D88-E88))</f>
        <v>6896</v>
      </c>
      <c r="I88" s="12">
        <f>IF((E88-D88)&lt;0,0,(E88-D88))</f>
        <v>0</v>
      </c>
      <c r="J88" s="12">
        <f>Table14[[#This Row],[Enrolment S.Y. 2025-2026 ]]*8</f>
        <v>6896</v>
      </c>
      <c r="K88" s="12"/>
      <c r="L88" s="10"/>
      <c r="M88" s="12"/>
      <c r="N88" s="12">
        <f t="shared" si="24"/>
        <v>6896</v>
      </c>
      <c r="O88" s="12">
        <f t="shared" si="25"/>
        <v>0</v>
      </c>
      <c r="P88" s="12">
        <f>Table14[[#This Row],[Enrolment S.Y. 2025-2026 ]]*8</f>
        <v>6896</v>
      </c>
      <c r="Q88" s="12"/>
      <c r="R88" s="10"/>
      <c r="S88" s="12"/>
      <c r="T88" s="12">
        <f>IF((P88-Q88)&lt;0,0,(P88-Q88))</f>
        <v>6896</v>
      </c>
      <c r="U88" s="12">
        <f>IF((Q88-P88)&lt;0,0,(Q88-P88))</f>
        <v>0</v>
      </c>
      <c r="V88" s="12">
        <f>Table14[[#This Row],[Enrolment S.Y. 2025-2026 ]]*8</f>
        <v>6896</v>
      </c>
      <c r="W88" s="12"/>
      <c r="X88" s="10"/>
      <c r="Y88" s="12"/>
      <c r="Z88" s="12">
        <f>IF((V88-W88)&lt;0,0,(V88-W88))</f>
        <v>6896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>
        <v>862</v>
      </c>
      <c r="D89" s="12">
        <f>Table14[[#This Row],[Enrolment S.Y. 2025-2026 ]]*8</f>
        <v>6896</v>
      </c>
      <c r="E89" s="12"/>
      <c r="F89" s="10"/>
      <c r="G89" s="12"/>
      <c r="H89" s="12">
        <f t="shared" si="22"/>
        <v>6896</v>
      </c>
      <c r="I89" s="12">
        <f t="shared" si="23"/>
        <v>0</v>
      </c>
      <c r="J89" s="12">
        <f>Table14[[#This Row],[Enrolment S.Y. 2025-2026 ]]*8</f>
        <v>6896</v>
      </c>
      <c r="K89" s="12"/>
      <c r="L89" s="10"/>
      <c r="M89" s="12"/>
      <c r="N89" s="12">
        <f t="shared" si="24"/>
        <v>6896</v>
      </c>
      <c r="O89" s="12">
        <f t="shared" si="25"/>
        <v>0</v>
      </c>
      <c r="P89" s="12">
        <f>Table14[[#This Row],[Enrolment S.Y. 2025-2026 ]]*8</f>
        <v>6896</v>
      </c>
      <c r="Q89" s="12"/>
      <c r="R89" s="10"/>
      <c r="S89" s="12"/>
      <c r="T89" s="12">
        <f t="shared" si="16"/>
        <v>6896</v>
      </c>
      <c r="U89" s="12">
        <f t="shared" si="17"/>
        <v>0</v>
      </c>
      <c r="V89" s="12">
        <f>Table14[[#This Row],[Enrolment S.Y. 2025-2026 ]]*8</f>
        <v>6896</v>
      </c>
      <c r="W89" s="12"/>
      <c r="X89" s="10"/>
      <c r="Y89" s="12"/>
      <c r="Z89" s="12">
        <f t="shared" si="18"/>
        <v>6896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772</v>
      </c>
      <c r="D91" s="12">
        <f>Table14[[#This Row],[Enrolment S.Y. 2025-2026 ]]*8</f>
        <v>6176</v>
      </c>
      <c r="E91" s="12">
        <v>59</v>
      </c>
      <c r="F91" s="10">
        <v>2025</v>
      </c>
      <c r="G91" s="12"/>
      <c r="H91" s="12">
        <f t="shared" si="22"/>
        <v>6117</v>
      </c>
      <c r="I91" s="12">
        <f t="shared" si="23"/>
        <v>0</v>
      </c>
      <c r="J91" s="12">
        <f>Table14[[#This Row],[Enrolment S.Y. 2025-2026 ]]*8</f>
        <v>6176</v>
      </c>
      <c r="K91" s="12">
        <v>170</v>
      </c>
      <c r="L91" s="10">
        <v>2025</v>
      </c>
      <c r="M91" s="12"/>
      <c r="N91" s="12">
        <f t="shared" si="20"/>
        <v>6006</v>
      </c>
      <c r="O91" s="12">
        <f t="shared" si="21"/>
        <v>0</v>
      </c>
      <c r="P91" s="12">
        <f>Table14[[#This Row],[Enrolment S.Y. 2025-2026 ]]*8</f>
        <v>6176</v>
      </c>
      <c r="Q91" s="12">
        <v>170</v>
      </c>
      <c r="R91" s="10">
        <v>2025</v>
      </c>
      <c r="S91" s="12"/>
      <c r="T91" s="12">
        <f t="shared" si="16"/>
        <v>6006</v>
      </c>
      <c r="U91" s="12">
        <f t="shared" si="17"/>
        <v>0</v>
      </c>
      <c r="V91" s="12">
        <f>Table14[[#This Row],[Enrolment S.Y. 2025-2026 ]]*8</f>
        <v>6176</v>
      </c>
      <c r="W91" s="12"/>
      <c r="X91" s="10"/>
      <c r="Y91" s="12"/>
      <c r="Z91" s="12">
        <f t="shared" si="18"/>
        <v>6176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772</v>
      </c>
      <c r="D92" s="12">
        <f>Table14[[#This Row],[Enrolment S.Y. 2025-2026 ]]*8</f>
        <v>6176</v>
      </c>
      <c r="E92" s="12">
        <v>59</v>
      </c>
      <c r="F92" s="10">
        <v>2025</v>
      </c>
      <c r="G92" s="12"/>
      <c r="H92" s="12">
        <f t="shared" si="22"/>
        <v>6117</v>
      </c>
      <c r="I92" s="12">
        <f t="shared" si="23"/>
        <v>0</v>
      </c>
      <c r="J92" s="12">
        <f>Table14[[#This Row],[Enrolment S.Y. 2025-2026 ]]*8</f>
        <v>6176</v>
      </c>
      <c r="K92" s="12">
        <v>170</v>
      </c>
      <c r="L92" s="10">
        <v>2025</v>
      </c>
      <c r="M92" s="12"/>
      <c r="N92" s="12">
        <f t="shared" si="20"/>
        <v>6006</v>
      </c>
      <c r="O92" s="12">
        <f t="shared" si="21"/>
        <v>0</v>
      </c>
      <c r="P92" s="12">
        <f>Table14[[#This Row],[Enrolment S.Y. 2025-2026 ]]*8</f>
        <v>6176</v>
      </c>
      <c r="Q92" s="12">
        <v>170</v>
      </c>
      <c r="R92" s="10">
        <v>2025</v>
      </c>
      <c r="S92" s="12"/>
      <c r="T92" s="12">
        <f t="shared" si="16"/>
        <v>6006</v>
      </c>
      <c r="U92" s="12">
        <f t="shared" si="17"/>
        <v>0</v>
      </c>
      <c r="V92" s="12">
        <f>Table14[[#This Row],[Enrolment S.Y. 2025-2026 ]]*8</f>
        <v>6176</v>
      </c>
      <c r="W92" s="12"/>
      <c r="X92" s="10"/>
      <c r="Y92" s="12"/>
      <c r="Z92" s="12">
        <f t="shared" si="18"/>
        <v>6176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772</v>
      </c>
      <c r="D93" s="12">
        <f>Table14[[#This Row],[Enrolment S.Y. 2025-2026 ]]*8</f>
        <v>6176</v>
      </c>
      <c r="E93" s="12">
        <v>59</v>
      </c>
      <c r="F93" s="10">
        <v>2025</v>
      </c>
      <c r="G93" s="12"/>
      <c r="H93" s="12">
        <f t="shared" si="22"/>
        <v>6117</v>
      </c>
      <c r="I93" s="12">
        <f t="shared" si="23"/>
        <v>0</v>
      </c>
      <c r="J93" s="12">
        <f>Table14[[#This Row],[Enrolment S.Y. 2025-2026 ]]*8</f>
        <v>6176</v>
      </c>
      <c r="K93" s="12">
        <v>170</v>
      </c>
      <c r="L93" s="10">
        <v>2025</v>
      </c>
      <c r="M93" s="12"/>
      <c r="N93" s="12">
        <f t="shared" si="20"/>
        <v>6006</v>
      </c>
      <c r="O93" s="12">
        <f t="shared" si="21"/>
        <v>0</v>
      </c>
      <c r="P93" s="12">
        <f>Table14[[#This Row],[Enrolment S.Y. 2025-2026 ]]*8</f>
        <v>6176</v>
      </c>
      <c r="Q93" s="12">
        <v>170</v>
      </c>
      <c r="R93" s="10">
        <v>2025</v>
      </c>
      <c r="S93" s="12"/>
      <c r="T93" s="12">
        <f t="shared" si="16"/>
        <v>6006</v>
      </c>
      <c r="U93" s="12">
        <f t="shared" si="17"/>
        <v>0</v>
      </c>
      <c r="V93" s="12">
        <f>Table14[[#This Row],[Enrolment S.Y. 2025-2026 ]]*8</f>
        <v>6176</v>
      </c>
      <c r="W93" s="12"/>
      <c r="X93" s="10"/>
      <c r="Y93" s="12"/>
      <c r="Z93" s="12">
        <f t="shared" si="18"/>
        <v>6176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772</v>
      </c>
      <c r="D94" s="12">
        <f>Table14[[#This Row],[Enrolment S.Y. 2025-2026 ]]*8</f>
        <v>6176</v>
      </c>
      <c r="E94" s="12">
        <v>59</v>
      </c>
      <c r="F94" s="10">
        <v>2025</v>
      </c>
      <c r="G94" s="12"/>
      <c r="H94" s="12">
        <f t="shared" si="22"/>
        <v>6117</v>
      </c>
      <c r="I94" s="12">
        <f t="shared" si="23"/>
        <v>0</v>
      </c>
      <c r="J94" s="12">
        <f>Table14[[#This Row],[Enrolment S.Y. 2025-2026 ]]*8</f>
        <v>6176</v>
      </c>
      <c r="K94" s="12">
        <v>170</v>
      </c>
      <c r="L94" s="10">
        <v>2025</v>
      </c>
      <c r="M94" s="12"/>
      <c r="N94" s="12">
        <f t="shared" si="20"/>
        <v>6006</v>
      </c>
      <c r="O94" s="12">
        <f t="shared" si="21"/>
        <v>0</v>
      </c>
      <c r="P94" s="12">
        <f>Table14[[#This Row],[Enrolment S.Y. 2025-2026 ]]*8</f>
        <v>6176</v>
      </c>
      <c r="Q94" s="12">
        <v>170</v>
      </c>
      <c r="R94" s="10">
        <v>2025</v>
      </c>
      <c r="S94" s="12"/>
      <c r="T94" s="12">
        <f t="shared" si="16"/>
        <v>6006</v>
      </c>
      <c r="U94" s="12">
        <f t="shared" si="17"/>
        <v>0</v>
      </c>
      <c r="V94" s="12">
        <f>Table14[[#This Row],[Enrolment S.Y. 2025-2026 ]]*8</f>
        <v>6176</v>
      </c>
      <c r="W94" s="12"/>
      <c r="X94" s="10"/>
      <c r="Y94" s="12"/>
      <c r="Z94" s="12">
        <f t="shared" si="18"/>
        <v>6176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772</v>
      </c>
      <c r="D95" s="12">
        <f>Table14[[#This Row],[Enrolment S.Y. 2025-2026 ]]*8</f>
        <v>6176</v>
      </c>
      <c r="E95" s="12">
        <v>59</v>
      </c>
      <c r="F95" s="10">
        <v>2025</v>
      </c>
      <c r="G95" s="12"/>
      <c r="H95" s="12">
        <f t="shared" si="22"/>
        <v>6117</v>
      </c>
      <c r="I95" s="12">
        <f t="shared" si="23"/>
        <v>0</v>
      </c>
      <c r="J95" s="12">
        <f>Table14[[#This Row],[Enrolment S.Y. 2025-2026 ]]*8</f>
        <v>6176</v>
      </c>
      <c r="K95" s="12">
        <v>170</v>
      </c>
      <c r="L95" s="10">
        <v>2025</v>
      </c>
      <c r="M95" s="12"/>
      <c r="N95" s="12">
        <f t="shared" si="20"/>
        <v>6006</v>
      </c>
      <c r="O95" s="12">
        <f t="shared" si="21"/>
        <v>0</v>
      </c>
      <c r="P95" s="12">
        <f>Table14[[#This Row],[Enrolment S.Y. 2025-2026 ]]*8</f>
        <v>6176</v>
      </c>
      <c r="Q95" s="12">
        <v>170</v>
      </c>
      <c r="R95" s="10">
        <v>2025</v>
      </c>
      <c r="S95" s="12"/>
      <c r="T95" s="12">
        <f t="shared" si="16"/>
        <v>6006</v>
      </c>
      <c r="U95" s="12">
        <f t="shared" si="17"/>
        <v>0</v>
      </c>
      <c r="V95" s="12">
        <f>Table14[[#This Row],[Enrolment S.Y. 2025-2026 ]]*8</f>
        <v>6176</v>
      </c>
      <c r="W95" s="12"/>
      <c r="X95" s="10"/>
      <c r="Y95" s="12"/>
      <c r="Z95" s="12">
        <f t="shared" si="18"/>
        <v>6176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772</v>
      </c>
      <c r="D96" s="12">
        <f>Table14[[#This Row],[Enrolment S.Y. 2025-2026 ]]*8</f>
        <v>6176</v>
      </c>
      <c r="E96" s="12">
        <v>59</v>
      </c>
      <c r="F96" s="10">
        <v>2025</v>
      </c>
      <c r="G96" s="12"/>
      <c r="H96" s="12">
        <f t="shared" si="22"/>
        <v>6117</v>
      </c>
      <c r="I96" s="12">
        <f t="shared" si="23"/>
        <v>0</v>
      </c>
      <c r="J96" s="12">
        <f>Table14[[#This Row],[Enrolment S.Y. 2025-2026 ]]*8</f>
        <v>6176</v>
      </c>
      <c r="K96" s="12">
        <v>170</v>
      </c>
      <c r="L96" s="10">
        <v>2025</v>
      </c>
      <c r="M96" s="12"/>
      <c r="N96" s="12">
        <f t="shared" si="20"/>
        <v>6006</v>
      </c>
      <c r="O96" s="12">
        <f t="shared" si="21"/>
        <v>0</v>
      </c>
      <c r="P96" s="12">
        <f>Table14[[#This Row],[Enrolment S.Y. 2025-2026 ]]*8</f>
        <v>6176</v>
      </c>
      <c r="Q96" s="12">
        <v>170</v>
      </c>
      <c r="R96" s="10">
        <v>2025</v>
      </c>
      <c r="S96" s="12"/>
      <c r="T96" s="12">
        <f t="shared" si="16"/>
        <v>6006</v>
      </c>
      <c r="U96" s="12">
        <f t="shared" si="17"/>
        <v>0</v>
      </c>
      <c r="V96" s="12">
        <f>Table14[[#This Row],[Enrolment S.Y. 2025-2026 ]]*8</f>
        <v>6176</v>
      </c>
      <c r="W96" s="12"/>
      <c r="X96" s="10"/>
      <c r="Y96" s="12"/>
      <c r="Z96" s="12">
        <f t="shared" si="18"/>
        <v>6176</v>
      </c>
      <c r="AA96" s="12">
        <f t="shared" si="19"/>
        <v>0</v>
      </c>
    </row>
    <row r="97" spans="1:27" ht="19.5">
      <c r="A97" s="38">
        <v>9</v>
      </c>
      <c r="B97" s="11" t="s">
        <v>88</v>
      </c>
      <c r="C97" s="10">
        <v>772</v>
      </c>
      <c r="D97" s="12">
        <f>Table14[[#This Row],[Enrolment S.Y. 2025-2026 ]]*8</f>
        <v>6176</v>
      </c>
      <c r="E97" s="12">
        <v>59</v>
      </c>
      <c r="F97" s="10">
        <v>2025</v>
      </c>
      <c r="G97" s="12"/>
      <c r="H97" s="12">
        <f>IF((D97-E97)&lt;0,0,(D97-E97))</f>
        <v>6117</v>
      </c>
      <c r="I97" s="12">
        <f>IF((E97-D97)&lt;0,0,(E97-D97))</f>
        <v>0</v>
      </c>
      <c r="J97" s="12">
        <f>Table14[[#This Row],[Enrolment S.Y. 2025-2026 ]]*8</f>
        <v>6176</v>
      </c>
      <c r="K97" s="12">
        <v>170</v>
      </c>
      <c r="L97" s="10">
        <v>2025</v>
      </c>
      <c r="M97" s="12"/>
      <c r="N97" s="12">
        <f t="shared" ref="N97:N101" si="26">IF((J97-K97)&lt;0,0,(J97-K97))</f>
        <v>6006</v>
      </c>
      <c r="O97" s="12">
        <f t="shared" ref="O97:O101" si="27">IF((K97-J97)&lt;0,0,(K97-J97))</f>
        <v>0</v>
      </c>
      <c r="P97" s="12">
        <f>Table14[[#This Row],[Enrolment S.Y. 2025-2026 ]]*8</f>
        <v>6176</v>
      </c>
      <c r="Q97" s="12">
        <v>170</v>
      </c>
      <c r="R97" s="10">
        <v>2025</v>
      </c>
      <c r="S97" s="12"/>
      <c r="T97" s="12">
        <f>IF((P97-Q97)&lt;0,0,(P97-Q97))</f>
        <v>6006</v>
      </c>
      <c r="U97" s="12">
        <f>IF((Q97-P97)&lt;0,0,(Q97-P97))</f>
        <v>0</v>
      </c>
      <c r="V97" s="12">
        <f>Table14[[#This Row],[Enrolment S.Y. 2025-2026 ]]*8</f>
        <v>6176</v>
      </c>
      <c r="W97" s="12"/>
      <c r="X97" s="10"/>
      <c r="Y97" s="12"/>
      <c r="Z97" s="12">
        <f>IF((V97-W97)&lt;0,0,(V97-W97))</f>
        <v>6176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>
        <v>772</v>
      </c>
      <c r="D98" s="12">
        <f>Table14[[#This Row],[Enrolment S.Y. 2025-2026 ]]*8</f>
        <v>6176</v>
      </c>
      <c r="E98" s="12">
        <v>59</v>
      </c>
      <c r="F98" s="10">
        <v>2025</v>
      </c>
      <c r="G98" s="12"/>
      <c r="H98" s="12">
        <f t="shared" si="22"/>
        <v>6117</v>
      </c>
      <c r="I98" s="12">
        <f t="shared" si="23"/>
        <v>0</v>
      </c>
      <c r="J98" s="12">
        <f>Table14[[#This Row],[Enrolment S.Y. 2025-2026 ]]*8</f>
        <v>6176</v>
      </c>
      <c r="K98" s="12">
        <v>170</v>
      </c>
      <c r="L98" s="10">
        <v>2025</v>
      </c>
      <c r="M98" s="12"/>
      <c r="N98" s="12">
        <f t="shared" si="26"/>
        <v>6006</v>
      </c>
      <c r="O98" s="12">
        <f t="shared" si="27"/>
        <v>0</v>
      </c>
      <c r="P98" s="12">
        <f>Table14[[#This Row],[Enrolment S.Y. 2025-2026 ]]*8</f>
        <v>6176</v>
      </c>
      <c r="Q98" s="12">
        <v>170</v>
      </c>
      <c r="R98" s="10">
        <v>2025</v>
      </c>
      <c r="S98" s="12"/>
      <c r="T98" s="12">
        <f t="shared" si="16"/>
        <v>6006</v>
      </c>
      <c r="U98" s="12">
        <f t="shared" si="17"/>
        <v>0</v>
      </c>
      <c r="V98" s="12">
        <f>Table14[[#This Row],[Enrolment S.Y. 2025-2026 ]]*8</f>
        <v>6176</v>
      </c>
      <c r="W98" s="12"/>
      <c r="X98" s="10"/>
      <c r="Y98" s="12"/>
      <c r="Z98" s="12">
        <f t="shared" si="18"/>
        <v>6176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772</v>
      </c>
      <c r="D99" s="12">
        <f>Table14[[#This Row],[Enrolment S.Y. 2025-2026 ]]*8</f>
        <v>6176</v>
      </c>
      <c r="E99" s="12">
        <v>59</v>
      </c>
      <c r="F99" s="10">
        <v>2025</v>
      </c>
      <c r="G99" s="12"/>
      <c r="H99" s="12">
        <f t="shared" si="22"/>
        <v>6117</v>
      </c>
      <c r="I99" s="12">
        <f t="shared" si="23"/>
        <v>0</v>
      </c>
      <c r="J99" s="12">
        <f>Table14[[#This Row],[Enrolment S.Y. 2025-2026 ]]*8</f>
        <v>6176</v>
      </c>
      <c r="K99" s="12">
        <v>170</v>
      </c>
      <c r="L99" s="10">
        <v>2025</v>
      </c>
      <c r="M99" s="12"/>
      <c r="N99" s="12">
        <f t="shared" si="26"/>
        <v>6006</v>
      </c>
      <c r="O99" s="12">
        <f t="shared" si="27"/>
        <v>0</v>
      </c>
      <c r="P99" s="12">
        <f>Table14[[#This Row],[Enrolment S.Y. 2025-2026 ]]*8</f>
        <v>6176</v>
      </c>
      <c r="Q99" s="12">
        <v>170</v>
      </c>
      <c r="R99" s="10">
        <v>2025</v>
      </c>
      <c r="S99" s="12"/>
      <c r="T99" s="12">
        <f t="shared" si="16"/>
        <v>6006</v>
      </c>
      <c r="U99" s="12">
        <f t="shared" si="17"/>
        <v>0</v>
      </c>
      <c r="V99" s="12">
        <f>Table14[[#This Row],[Enrolment S.Y. 2025-2026 ]]*8</f>
        <v>6176</v>
      </c>
      <c r="W99" s="12"/>
      <c r="X99" s="10"/>
      <c r="Y99" s="12"/>
      <c r="Z99" s="12">
        <f t="shared" si="18"/>
        <v>6176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>
        <v>772</v>
      </c>
      <c r="D100" s="12">
        <f>Table14[[#This Row],[Enrolment S.Y. 2025-2026 ]]*8</f>
        <v>6176</v>
      </c>
      <c r="E100" s="12">
        <v>59</v>
      </c>
      <c r="F100" s="10">
        <v>2025</v>
      </c>
      <c r="G100" s="12"/>
      <c r="H100" s="12">
        <f>IF((D100-E100)&lt;0,0,(D100-E100))</f>
        <v>6117</v>
      </c>
      <c r="I100" s="12">
        <f>IF((E100-D100)&lt;0,0,(E100-D100))</f>
        <v>0</v>
      </c>
      <c r="J100" s="12">
        <f>Table14[[#This Row],[Enrolment S.Y. 2025-2026 ]]*8</f>
        <v>6176</v>
      </c>
      <c r="K100" s="12">
        <v>170</v>
      </c>
      <c r="L100" s="10">
        <v>2025</v>
      </c>
      <c r="M100" s="12"/>
      <c r="N100" s="12">
        <f t="shared" si="26"/>
        <v>6006</v>
      </c>
      <c r="O100" s="12">
        <f t="shared" si="27"/>
        <v>0</v>
      </c>
      <c r="P100" s="12">
        <f>Table14[[#This Row],[Enrolment S.Y. 2025-2026 ]]*8</f>
        <v>6176</v>
      </c>
      <c r="Q100" s="12">
        <v>170</v>
      </c>
      <c r="R100" s="10">
        <v>2025</v>
      </c>
      <c r="S100" s="12"/>
      <c r="T100" s="12">
        <f>IF((P100-Q100)&lt;0,0,(P100-Q100))</f>
        <v>6006</v>
      </c>
      <c r="U100" s="12">
        <f>IF((Q100-P100)&lt;0,0,(Q100-P100))</f>
        <v>0</v>
      </c>
      <c r="V100" s="12">
        <f>Table14[[#This Row],[Enrolment S.Y. 2025-2026 ]]*8</f>
        <v>6176</v>
      </c>
      <c r="W100" s="12"/>
      <c r="X100" s="10"/>
      <c r="Y100" s="12"/>
      <c r="Z100" s="12">
        <f>IF((V100-W100)&lt;0,0,(V100-W100))</f>
        <v>6176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>
        <v>772</v>
      </c>
      <c r="D101" s="12">
        <f>Table14[[#This Row],[Enrolment S.Y. 2025-2026 ]]*8</f>
        <v>6176</v>
      </c>
      <c r="E101" s="12">
        <v>59</v>
      </c>
      <c r="F101" s="10">
        <v>2025</v>
      </c>
      <c r="G101" s="12"/>
      <c r="H101" s="12">
        <f t="shared" si="22"/>
        <v>6117</v>
      </c>
      <c r="I101" s="12">
        <f t="shared" si="23"/>
        <v>0</v>
      </c>
      <c r="J101" s="12">
        <f>Table14[[#This Row],[Enrolment S.Y. 2025-2026 ]]*8</f>
        <v>6176</v>
      </c>
      <c r="K101" s="12">
        <v>170</v>
      </c>
      <c r="L101" s="10">
        <v>2025</v>
      </c>
      <c r="M101" s="12"/>
      <c r="N101" s="12">
        <f t="shared" si="26"/>
        <v>6006</v>
      </c>
      <c r="O101" s="12">
        <f t="shared" si="27"/>
        <v>0</v>
      </c>
      <c r="P101" s="12">
        <f>Table14[[#This Row],[Enrolment S.Y. 2025-2026 ]]*8</f>
        <v>6176</v>
      </c>
      <c r="Q101" s="12">
        <v>170</v>
      </c>
      <c r="R101" s="10">
        <v>2025</v>
      </c>
      <c r="S101" s="12"/>
      <c r="T101" s="12">
        <f t="shared" si="16"/>
        <v>6006</v>
      </c>
      <c r="U101" s="12">
        <f t="shared" si="17"/>
        <v>0</v>
      </c>
      <c r="V101" s="12">
        <f>Table14[[#This Row],[Enrolment S.Y. 2025-2026 ]]*8</f>
        <v>6176</v>
      </c>
      <c r="W101" s="12"/>
      <c r="X101" s="10"/>
      <c r="Y101" s="12"/>
      <c r="Z101" s="12">
        <f t="shared" si="18"/>
        <v>6176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776</v>
      </c>
      <c r="D103" s="12">
        <f>Table14[[#This Row],[Enrolment S.Y. 2025-2026 ]]*8</f>
        <v>6208</v>
      </c>
      <c r="E103" s="12">
        <v>59</v>
      </c>
      <c r="F103" s="10">
        <v>2025</v>
      </c>
      <c r="G103" s="12"/>
      <c r="H103" s="12">
        <f t="shared" si="22"/>
        <v>6149</v>
      </c>
      <c r="I103" s="12">
        <f t="shared" si="23"/>
        <v>0</v>
      </c>
      <c r="J103" s="12">
        <f>Table14[[#This Row],[Enrolment S.Y. 2025-2026 ]]*8</f>
        <v>6208</v>
      </c>
      <c r="K103" s="12">
        <v>157</v>
      </c>
      <c r="L103" s="10">
        <v>2025</v>
      </c>
      <c r="M103" s="12"/>
      <c r="N103" s="12">
        <f t="shared" si="20"/>
        <v>6051</v>
      </c>
      <c r="O103" s="12">
        <f t="shared" si="21"/>
        <v>0</v>
      </c>
      <c r="P103" s="12">
        <f>Table14[[#This Row],[Enrolment S.Y. 2025-2026 ]]*8</f>
        <v>6208</v>
      </c>
      <c r="Q103" s="12">
        <v>157</v>
      </c>
      <c r="R103" s="10">
        <v>2025</v>
      </c>
      <c r="S103" s="12"/>
      <c r="T103" s="12">
        <f t="shared" si="16"/>
        <v>6051</v>
      </c>
      <c r="U103" s="12">
        <f t="shared" si="17"/>
        <v>0</v>
      </c>
      <c r="V103" s="12">
        <f>Table14[[#This Row],[Enrolment S.Y. 2025-2026 ]]*8</f>
        <v>6208</v>
      </c>
      <c r="W103" s="12"/>
      <c r="X103" s="10"/>
      <c r="Y103" s="12"/>
      <c r="Z103" s="12">
        <f t="shared" si="18"/>
        <v>6208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776</v>
      </c>
      <c r="D104" s="12">
        <f>Table14[[#This Row],[Enrolment S.Y. 2025-2026 ]]*8</f>
        <v>6208</v>
      </c>
      <c r="E104" s="12">
        <v>59</v>
      </c>
      <c r="F104" s="10">
        <v>2025</v>
      </c>
      <c r="G104" s="12"/>
      <c r="H104" s="12">
        <f t="shared" si="22"/>
        <v>6149</v>
      </c>
      <c r="I104" s="12">
        <f t="shared" si="23"/>
        <v>0</v>
      </c>
      <c r="J104" s="12">
        <f>Table14[[#This Row],[Enrolment S.Y. 2025-2026 ]]*8</f>
        <v>6208</v>
      </c>
      <c r="K104" s="12">
        <v>157</v>
      </c>
      <c r="L104" s="10">
        <v>2025</v>
      </c>
      <c r="M104" s="12"/>
      <c r="N104" s="12">
        <f t="shared" si="20"/>
        <v>6051</v>
      </c>
      <c r="O104" s="12">
        <f t="shared" si="21"/>
        <v>0</v>
      </c>
      <c r="P104" s="12">
        <f>Table14[[#This Row],[Enrolment S.Y. 2025-2026 ]]*8</f>
        <v>6208</v>
      </c>
      <c r="Q104" s="12">
        <v>157</v>
      </c>
      <c r="R104" s="10">
        <v>2025</v>
      </c>
      <c r="S104" s="12"/>
      <c r="T104" s="12">
        <f t="shared" si="16"/>
        <v>6051</v>
      </c>
      <c r="U104" s="12">
        <f t="shared" si="17"/>
        <v>0</v>
      </c>
      <c r="V104" s="12">
        <f>Table14[[#This Row],[Enrolment S.Y. 2025-2026 ]]*8</f>
        <v>6208</v>
      </c>
      <c r="W104" s="12"/>
      <c r="X104" s="10"/>
      <c r="Y104" s="12"/>
      <c r="Z104" s="12">
        <f t="shared" si="18"/>
        <v>6208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776</v>
      </c>
      <c r="D105" s="12">
        <f>Table14[[#This Row],[Enrolment S.Y. 2025-2026 ]]*8</f>
        <v>6208</v>
      </c>
      <c r="E105" s="12">
        <v>59</v>
      </c>
      <c r="F105" s="10">
        <v>2025</v>
      </c>
      <c r="G105" s="12"/>
      <c r="H105" s="12">
        <f t="shared" si="22"/>
        <v>6149</v>
      </c>
      <c r="I105" s="12">
        <f t="shared" si="23"/>
        <v>0</v>
      </c>
      <c r="J105" s="12">
        <f>Table14[[#This Row],[Enrolment S.Y. 2025-2026 ]]*8</f>
        <v>6208</v>
      </c>
      <c r="K105" s="12">
        <v>157</v>
      </c>
      <c r="L105" s="10">
        <v>2025</v>
      </c>
      <c r="M105" s="12"/>
      <c r="N105" s="12">
        <f t="shared" si="20"/>
        <v>6051</v>
      </c>
      <c r="O105" s="12">
        <f t="shared" si="21"/>
        <v>0</v>
      </c>
      <c r="P105" s="12">
        <f>Table14[[#This Row],[Enrolment S.Y. 2025-2026 ]]*8</f>
        <v>6208</v>
      </c>
      <c r="Q105" s="12">
        <v>157</v>
      </c>
      <c r="R105" s="10">
        <v>2025</v>
      </c>
      <c r="S105" s="12"/>
      <c r="T105" s="12">
        <f t="shared" si="16"/>
        <v>6051</v>
      </c>
      <c r="U105" s="12">
        <f t="shared" si="17"/>
        <v>0</v>
      </c>
      <c r="V105" s="12">
        <f>Table14[[#This Row],[Enrolment S.Y. 2025-2026 ]]*8</f>
        <v>6208</v>
      </c>
      <c r="W105" s="12"/>
      <c r="X105" s="10"/>
      <c r="Y105" s="12"/>
      <c r="Z105" s="12">
        <f t="shared" si="18"/>
        <v>6208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776</v>
      </c>
      <c r="D106" s="12">
        <f>Table14[[#This Row],[Enrolment S.Y. 2025-2026 ]]*8</f>
        <v>6208</v>
      </c>
      <c r="E106" s="12">
        <v>59</v>
      </c>
      <c r="F106" s="10">
        <v>2025</v>
      </c>
      <c r="G106" s="12"/>
      <c r="H106" s="12">
        <f t="shared" si="22"/>
        <v>6149</v>
      </c>
      <c r="I106" s="12">
        <f t="shared" si="23"/>
        <v>0</v>
      </c>
      <c r="J106" s="12">
        <f>Table14[[#This Row],[Enrolment S.Y. 2025-2026 ]]*8</f>
        <v>6208</v>
      </c>
      <c r="K106" s="12">
        <v>157</v>
      </c>
      <c r="L106" s="10">
        <v>2025</v>
      </c>
      <c r="M106" s="12"/>
      <c r="N106" s="12">
        <f t="shared" si="20"/>
        <v>6051</v>
      </c>
      <c r="O106" s="12">
        <f t="shared" si="21"/>
        <v>0</v>
      </c>
      <c r="P106" s="12">
        <f>Table14[[#This Row],[Enrolment S.Y. 2025-2026 ]]*8</f>
        <v>6208</v>
      </c>
      <c r="Q106" s="12">
        <v>157</v>
      </c>
      <c r="R106" s="10">
        <v>2025</v>
      </c>
      <c r="S106" s="12"/>
      <c r="T106" s="12">
        <f t="shared" si="16"/>
        <v>6051</v>
      </c>
      <c r="U106" s="12">
        <f t="shared" si="17"/>
        <v>0</v>
      </c>
      <c r="V106" s="12">
        <f>Table14[[#This Row],[Enrolment S.Y. 2025-2026 ]]*8</f>
        <v>6208</v>
      </c>
      <c r="W106" s="12"/>
      <c r="X106" s="10"/>
      <c r="Y106" s="12"/>
      <c r="Z106" s="12">
        <f t="shared" si="18"/>
        <v>6208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776</v>
      </c>
      <c r="D107" s="12">
        <f>Table14[[#This Row],[Enrolment S.Y. 2025-2026 ]]*8</f>
        <v>6208</v>
      </c>
      <c r="E107" s="12">
        <v>59</v>
      </c>
      <c r="F107" s="10">
        <v>2025</v>
      </c>
      <c r="G107" s="12"/>
      <c r="H107" s="12">
        <f t="shared" si="22"/>
        <v>6149</v>
      </c>
      <c r="I107" s="12">
        <f t="shared" si="23"/>
        <v>0</v>
      </c>
      <c r="J107" s="12">
        <f>Table14[[#This Row],[Enrolment S.Y. 2025-2026 ]]*8</f>
        <v>6208</v>
      </c>
      <c r="K107" s="12">
        <v>157</v>
      </c>
      <c r="L107" s="10">
        <v>2025</v>
      </c>
      <c r="M107" s="12"/>
      <c r="N107" s="12">
        <f t="shared" si="20"/>
        <v>6051</v>
      </c>
      <c r="O107" s="12">
        <f t="shared" si="21"/>
        <v>0</v>
      </c>
      <c r="P107" s="12">
        <f>Table14[[#This Row],[Enrolment S.Y. 2025-2026 ]]*8</f>
        <v>6208</v>
      </c>
      <c r="Q107" s="12">
        <v>157</v>
      </c>
      <c r="R107" s="10">
        <v>2025</v>
      </c>
      <c r="S107" s="12"/>
      <c r="T107" s="12">
        <f t="shared" si="16"/>
        <v>6051</v>
      </c>
      <c r="U107" s="12">
        <f t="shared" si="17"/>
        <v>0</v>
      </c>
      <c r="V107" s="12">
        <f>Table14[[#This Row],[Enrolment S.Y. 2025-2026 ]]*8</f>
        <v>6208</v>
      </c>
      <c r="W107" s="12"/>
      <c r="X107" s="10"/>
      <c r="Y107" s="12"/>
      <c r="Z107" s="12">
        <f t="shared" si="18"/>
        <v>6208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776</v>
      </c>
      <c r="D108" s="12">
        <f>Table14[[#This Row],[Enrolment S.Y. 2025-2026 ]]*8</f>
        <v>6208</v>
      </c>
      <c r="E108" s="12">
        <v>59</v>
      </c>
      <c r="F108" s="10">
        <v>2025</v>
      </c>
      <c r="G108" s="12"/>
      <c r="H108" s="12">
        <f t="shared" si="22"/>
        <v>6149</v>
      </c>
      <c r="I108" s="12">
        <f t="shared" si="23"/>
        <v>0</v>
      </c>
      <c r="J108" s="12">
        <f>Table14[[#This Row],[Enrolment S.Y. 2025-2026 ]]*8</f>
        <v>6208</v>
      </c>
      <c r="K108" s="12">
        <v>157</v>
      </c>
      <c r="L108" s="10">
        <v>2025</v>
      </c>
      <c r="M108" s="12"/>
      <c r="N108" s="12">
        <f t="shared" si="20"/>
        <v>6051</v>
      </c>
      <c r="O108" s="12">
        <f t="shared" si="21"/>
        <v>0</v>
      </c>
      <c r="P108" s="12">
        <f>Table14[[#This Row],[Enrolment S.Y. 2025-2026 ]]*8</f>
        <v>6208</v>
      </c>
      <c r="Q108" s="12">
        <v>157</v>
      </c>
      <c r="R108" s="10">
        <v>2025</v>
      </c>
      <c r="S108" s="12"/>
      <c r="T108" s="12">
        <f t="shared" si="16"/>
        <v>6051</v>
      </c>
      <c r="U108" s="12">
        <f t="shared" si="17"/>
        <v>0</v>
      </c>
      <c r="V108" s="12">
        <f>Table14[[#This Row],[Enrolment S.Y. 2025-2026 ]]*8</f>
        <v>6208</v>
      </c>
      <c r="W108" s="12"/>
      <c r="X108" s="10"/>
      <c r="Y108" s="12"/>
      <c r="Z108" s="12">
        <f t="shared" si="18"/>
        <v>6208</v>
      </c>
      <c r="AA108" s="12">
        <f t="shared" si="19"/>
        <v>0</v>
      </c>
    </row>
    <row r="109" spans="1:27" ht="19.5">
      <c r="A109" s="38">
        <v>10</v>
      </c>
      <c r="B109" s="11" t="s">
        <v>88</v>
      </c>
      <c r="C109" s="10">
        <v>776</v>
      </c>
      <c r="D109" s="12">
        <f>Table14[[#This Row],[Enrolment S.Y. 2025-2026 ]]*8</f>
        <v>6208</v>
      </c>
      <c r="E109" s="12">
        <v>59</v>
      </c>
      <c r="F109" s="10">
        <v>2025</v>
      </c>
      <c r="G109" s="12"/>
      <c r="H109" s="12">
        <f>IF((D109-E109)&lt;0,0,(D109-E109))</f>
        <v>6149</v>
      </c>
      <c r="I109" s="12">
        <f>IF((E109-D109)&lt;0,0,(E109-D109))</f>
        <v>0</v>
      </c>
      <c r="J109" s="12">
        <f>Table14[[#This Row],[Enrolment S.Y. 2025-2026 ]]*8</f>
        <v>6208</v>
      </c>
      <c r="K109" s="12">
        <v>157</v>
      </c>
      <c r="L109" s="10">
        <v>2025</v>
      </c>
      <c r="M109" s="12"/>
      <c r="N109" s="12">
        <f t="shared" ref="N109:N113" si="28">IF((J109-K109)&lt;0,0,(J109-K109))</f>
        <v>6051</v>
      </c>
      <c r="O109" s="12">
        <f t="shared" ref="O109:O113" si="29">IF((K109-J109)&lt;0,0,(K109-J109))</f>
        <v>0</v>
      </c>
      <c r="P109" s="12">
        <f>Table14[[#This Row],[Enrolment S.Y. 2025-2026 ]]*8</f>
        <v>6208</v>
      </c>
      <c r="Q109" s="12">
        <v>157</v>
      </c>
      <c r="R109" s="10">
        <v>2025</v>
      </c>
      <c r="S109" s="12"/>
      <c r="T109" s="12">
        <f>IF((P109-Q109)&lt;0,0,(P109-Q109))</f>
        <v>6051</v>
      </c>
      <c r="U109" s="12">
        <f>IF((Q109-P109)&lt;0,0,(Q109-P109))</f>
        <v>0</v>
      </c>
      <c r="V109" s="12">
        <f>Table14[[#This Row],[Enrolment S.Y. 2025-2026 ]]*8</f>
        <v>6208</v>
      </c>
      <c r="W109" s="12"/>
      <c r="X109" s="10"/>
      <c r="Y109" s="12"/>
      <c r="Z109" s="12">
        <f>IF((V109-W109)&lt;0,0,(V109-W109))</f>
        <v>6208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>
        <v>776</v>
      </c>
      <c r="D110" s="12">
        <f>Table14[[#This Row],[Enrolment S.Y. 2025-2026 ]]*8</f>
        <v>6208</v>
      </c>
      <c r="E110" s="12">
        <v>59</v>
      </c>
      <c r="F110" s="10">
        <v>2025</v>
      </c>
      <c r="G110" s="12"/>
      <c r="H110" s="12">
        <f t="shared" si="22"/>
        <v>6149</v>
      </c>
      <c r="I110" s="12">
        <f t="shared" si="23"/>
        <v>0</v>
      </c>
      <c r="J110" s="12">
        <f>Table14[[#This Row],[Enrolment S.Y. 2025-2026 ]]*8</f>
        <v>6208</v>
      </c>
      <c r="K110" s="12">
        <v>157</v>
      </c>
      <c r="L110" s="10">
        <v>2025</v>
      </c>
      <c r="M110" s="12"/>
      <c r="N110" s="12">
        <f t="shared" si="28"/>
        <v>6051</v>
      </c>
      <c r="O110" s="12">
        <f t="shared" si="29"/>
        <v>0</v>
      </c>
      <c r="P110" s="12">
        <f>Table14[[#This Row],[Enrolment S.Y. 2025-2026 ]]*8</f>
        <v>6208</v>
      </c>
      <c r="Q110" s="12">
        <v>157</v>
      </c>
      <c r="R110" s="10">
        <v>2025</v>
      </c>
      <c r="S110" s="12"/>
      <c r="T110" s="12">
        <f t="shared" si="16"/>
        <v>6051</v>
      </c>
      <c r="U110" s="12">
        <f t="shared" si="17"/>
        <v>0</v>
      </c>
      <c r="V110" s="12">
        <f>Table14[[#This Row],[Enrolment S.Y. 2025-2026 ]]*8</f>
        <v>6208</v>
      </c>
      <c r="W110" s="12"/>
      <c r="X110" s="10"/>
      <c r="Y110" s="12"/>
      <c r="Z110" s="12">
        <f t="shared" si="18"/>
        <v>6208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776</v>
      </c>
      <c r="D111" s="12">
        <f>Table14[[#This Row],[Enrolment S.Y. 2025-2026 ]]*8</f>
        <v>6208</v>
      </c>
      <c r="E111" s="12">
        <v>59</v>
      </c>
      <c r="F111" s="10">
        <v>2025</v>
      </c>
      <c r="G111" s="12"/>
      <c r="H111" s="12">
        <f t="shared" si="22"/>
        <v>6149</v>
      </c>
      <c r="I111" s="12">
        <f t="shared" si="23"/>
        <v>0</v>
      </c>
      <c r="J111" s="12">
        <f>Table14[[#This Row],[Enrolment S.Y. 2025-2026 ]]*8</f>
        <v>6208</v>
      </c>
      <c r="K111" s="12">
        <v>157</v>
      </c>
      <c r="L111" s="10">
        <v>2025</v>
      </c>
      <c r="M111" s="12"/>
      <c r="N111" s="12">
        <f t="shared" si="28"/>
        <v>6051</v>
      </c>
      <c r="O111" s="12">
        <f t="shared" si="29"/>
        <v>0</v>
      </c>
      <c r="P111" s="12">
        <f>Table14[[#This Row],[Enrolment S.Y. 2025-2026 ]]*8</f>
        <v>6208</v>
      </c>
      <c r="Q111" s="12">
        <v>157</v>
      </c>
      <c r="R111" s="10">
        <v>2025</v>
      </c>
      <c r="S111" s="12"/>
      <c r="T111" s="12">
        <f t="shared" si="16"/>
        <v>6051</v>
      </c>
      <c r="U111" s="12">
        <f t="shared" si="17"/>
        <v>0</v>
      </c>
      <c r="V111" s="12">
        <f>Table14[[#This Row],[Enrolment S.Y. 2025-2026 ]]*8</f>
        <v>6208</v>
      </c>
      <c r="W111" s="12"/>
      <c r="X111" s="10"/>
      <c r="Y111" s="12"/>
      <c r="Z111" s="12">
        <f t="shared" si="18"/>
        <v>6208</v>
      </c>
      <c r="AA111" s="12">
        <f t="shared" si="19"/>
        <v>0</v>
      </c>
    </row>
    <row r="112" spans="1:27" ht="19.5">
      <c r="A112" s="38">
        <v>10</v>
      </c>
      <c r="B112" s="11" t="s">
        <v>90</v>
      </c>
      <c r="C112" s="10">
        <v>776</v>
      </c>
      <c r="D112" s="12">
        <f>Table14[[#This Row],[Enrolment S.Y. 2025-2026 ]]*8</f>
        <v>6208</v>
      </c>
      <c r="E112" s="12">
        <v>59</v>
      </c>
      <c r="F112" s="10">
        <v>2025</v>
      </c>
      <c r="G112" s="12"/>
      <c r="H112" s="12">
        <f>IF((D112-E112)&lt;0,0,(D112-E112))</f>
        <v>6149</v>
      </c>
      <c r="I112" s="12">
        <f>IF((E112-D112)&lt;0,0,(E112-D112))</f>
        <v>0</v>
      </c>
      <c r="J112" s="12">
        <f>Table14[[#This Row],[Enrolment S.Y. 2025-2026 ]]*8</f>
        <v>6208</v>
      </c>
      <c r="K112" s="12">
        <v>157</v>
      </c>
      <c r="L112" s="10">
        <v>2025</v>
      </c>
      <c r="M112" s="12"/>
      <c r="N112" s="12">
        <f t="shared" si="28"/>
        <v>6051</v>
      </c>
      <c r="O112" s="12">
        <f t="shared" si="29"/>
        <v>0</v>
      </c>
      <c r="P112" s="12">
        <f>Table14[[#This Row],[Enrolment S.Y. 2025-2026 ]]*8</f>
        <v>6208</v>
      </c>
      <c r="Q112" s="12">
        <v>157</v>
      </c>
      <c r="R112" s="10">
        <v>2025</v>
      </c>
      <c r="S112" s="12"/>
      <c r="T112" s="12">
        <f>IF((P112-Q112)&lt;0,0,(P112-Q112))</f>
        <v>6051</v>
      </c>
      <c r="U112" s="12">
        <f>IF((Q112-P112)&lt;0,0,(Q112-P112))</f>
        <v>0</v>
      </c>
      <c r="V112" s="12">
        <f>Table14[[#This Row],[Enrolment S.Y. 2025-2026 ]]*8</f>
        <v>6208</v>
      </c>
      <c r="W112" s="12"/>
      <c r="X112" s="10"/>
      <c r="Y112" s="12"/>
      <c r="Z112" s="12">
        <f>IF((V112-W112)&lt;0,0,(V112-W112))</f>
        <v>6208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>
        <v>776</v>
      </c>
      <c r="D113" s="12">
        <f>Table14[[#This Row],[Enrolment S.Y. 2025-2026 ]]*8</f>
        <v>6208</v>
      </c>
      <c r="E113" s="12">
        <v>59</v>
      </c>
      <c r="F113" s="10">
        <v>2025</v>
      </c>
      <c r="G113" s="12"/>
      <c r="H113" s="12">
        <f t="shared" si="22"/>
        <v>6149</v>
      </c>
      <c r="I113" s="12">
        <f t="shared" si="23"/>
        <v>0</v>
      </c>
      <c r="J113" s="12">
        <f>Table14[[#This Row],[Enrolment S.Y. 2025-2026 ]]*8</f>
        <v>6208</v>
      </c>
      <c r="K113" s="12">
        <v>157</v>
      </c>
      <c r="L113" s="10">
        <v>2025</v>
      </c>
      <c r="M113" s="12"/>
      <c r="N113" s="12">
        <f t="shared" si="28"/>
        <v>6051</v>
      </c>
      <c r="O113" s="12">
        <f t="shared" si="29"/>
        <v>0</v>
      </c>
      <c r="P113" s="12">
        <f>Table14[[#This Row],[Enrolment S.Y. 2025-2026 ]]*8</f>
        <v>6208</v>
      </c>
      <c r="Q113" s="12">
        <v>157</v>
      </c>
      <c r="R113" s="10">
        <v>2025</v>
      </c>
      <c r="S113" s="12"/>
      <c r="T113" s="12">
        <f t="shared" si="16"/>
        <v>6051</v>
      </c>
      <c r="U113" s="12">
        <f t="shared" si="17"/>
        <v>0</v>
      </c>
      <c r="V113" s="12">
        <f>Table14[[#This Row],[Enrolment S.Y. 2025-2026 ]]*8</f>
        <v>6208</v>
      </c>
      <c r="W113" s="12"/>
      <c r="X113" s="10"/>
      <c r="Y113" s="12"/>
      <c r="Z113" s="12">
        <f t="shared" si="18"/>
        <v>6208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42" customHeight="1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63.75" customHeight="1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115:C122 C67:C77 C79:C89 C91:C101 C103:C113" name="Textbooks"/>
    <protectedRange sqref="J2:L2 D2:F10 D12:F19 D21:F29 D31:F41 D43:F53 D55:F65 D67:F77 D79:F89 D115:F122 P2:R10 N3:O10 V2:X10 T3:U10 N12:R19 T12:X19 H3:L10 Z3:AA10 Z12:AA19 H12:L19 N21:R29 T21:X29 Z21:AA29 H21:L29 T31:X41 Z31:AA41 H31:L41 T43:X53 Z43:AA53 H43:L53 T55:X65 Z55:AA65 H55:L65 T67:X77 Z67:AA77 H67:L77 T79:X89 Z79:AA89 H79:L89 T91:X101 Z91:AA101 T103:X113 Z103:AA113 N115:R122 T115:X122 Z115:AA122 H115:L122 N31:R41 N43:R53 N55:R65 N67:R77 N79:R89 D91:F101 D103:F113 H91:L101 H103:L113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F103:F113 L91:L101 L12:L19 L3:L10 R21:R29 R31:R41 R43:R53 R67:R77 R79:R89 R55:R65 L103:L113 R91:R101 R12:R19 R3:R10 F21:F29 F31:F41 F43:F53 F67:F77 F79:F89 F55:F65 F3:F10 F91:F101 X115:X122 F12:F19 F115:F122 R115:R122 L115:L122 R103:R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2026-01-19T03:11:05Z</dcterms:modified>
  <cp:category/>
  <cp:contentStatus/>
</cp:coreProperties>
</file>